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uments\GitHub\SAM-CGE\Rwanda MINECOFIN-GIZ project 2026\4 CGE model (Rwanda)\data\RWA_2017\"/>
    </mc:Choice>
  </mc:AlternateContent>
  <xr:revisionPtr revIDLastSave="0" documentId="13_ncr:1_{91994816-A517-4031-9C1E-07376894CF1C}" xr6:coauthVersionLast="47" xr6:coauthVersionMax="47" xr10:uidLastSave="{00000000-0000-0000-0000-000000000000}"/>
  <bookViews>
    <workbookView xWindow="-90" yWindow="-90" windowWidth="19380" windowHeight="11460" activeTab="4" xr2:uid="{00000000-000D-0000-FFFF-FFFF00000000}"/>
  </bookViews>
  <sheets>
    <sheet name="Notes" sheetId="1" r:id="rId1"/>
    <sheet name="Sets" sheetId="3" r:id="rId2"/>
    <sheet name="Control" sheetId="13" r:id="rId3"/>
    <sheet name="Sheet1" sheetId="17" state="hidden" r:id="rId4"/>
    <sheet name="SAM" sheetId="4" r:id="rId5"/>
    <sheet name="Adjust" sheetId="16" r:id="rId6"/>
    <sheet name="Elasticities" sheetId="7" r:id="rId7"/>
    <sheet name="Demand" sheetId="8" r:id="rId8"/>
    <sheet name="Factors" sheetId="9" r:id="rId9"/>
    <sheet name="Households" sheetId="15" r:id="rId10"/>
    <sheet name="Index" sheetId="2" r:id="rId11"/>
    <sheet name="Generator" sheetId="12" state="hidden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B8" i="4" l="1"/>
  <c r="HB9" i="4"/>
  <c r="HB10" i="4"/>
  <c r="HB11" i="4"/>
  <c r="HB12" i="4"/>
  <c r="HB13" i="4"/>
  <c r="HB14" i="4"/>
  <c r="HB15" i="4"/>
  <c r="HB16" i="4"/>
  <c r="HB17" i="4"/>
  <c r="HB18" i="4"/>
  <c r="HB19" i="4"/>
  <c r="HB20" i="4"/>
  <c r="HB21" i="4"/>
  <c r="HB22" i="4"/>
  <c r="HB23" i="4"/>
  <c r="HB24" i="4"/>
  <c r="HB25" i="4"/>
  <c r="HB26" i="4"/>
  <c r="HB27" i="4"/>
  <c r="HB28" i="4"/>
  <c r="HB29" i="4"/>
  <c r="HB30" i="4"/>
  <c r="HB31" i="4"/>
  <c r="HB32" i="4"/>
  <c r="HB33" i="4"/>
  <c r="HB34" i="4"/>
  <c r="HB35" i="4"/>
  <c r="HB36" i="4"/>
  <c r="HB37" i="4"/>
  <c r="HB38" i="4"/>
  <c r="HB39" i="4"/>
  <c r="HB40" i="4"/>
  <c r="HB41" i="4"/>
  <c r="HB42" i="4"/>
  <c r="HB43" i="4"/>
  <c r="HB44" i="4"/>
  <c r="HB45" i="4"/>
  <c r="HB46" i="4"/>
  <c r="HB47" i="4"/>
  <c r="HB48" i="4"/>
  <c r="HB49" i="4"/>
  <c r="HB50" i="4"/>
  <c r="HB51" i="4"/>
  <c r="HB52" i="4"/>
  <c r="HB53" i="4"/>
  <c r="HB54" i="4"/>
  <c r="HB55" i="4"/>
  <c r="HB56" i="4"/>
  <c r="HB57" i="4"/>
  <c r="HB58" i="4"/>
  <c r="HB59" i="4"/>
  <c r="HB60" i="4"/>
  <c r="HB61" i="4"/>
  <c r="HB62" i="4"/>
  <c r="HB63" i="4"/>
  <c r="HB64" i="4"/>
  <c r="HB65" i="4"/>
  <c r="HB66" i="4"/>
  <c r="HB67" i="4"/>
  <c r="HB68" i="4"/>
  <c r="HB69" i="4"/>
  <c r="HB70" i="4"/>
  <c r="HB71" i="4"/>
  <c r="HB72" i="4"/>
  <c r="HB73" i="4"/>
  <c r="HB74" i="4"/>
  <c r="HB75" i="4"/>
  <c r="HB76" i="4"/>
  <c r="HB77" i="4"/>
  <c r="HB78" i="4"/>
  <c r="HB79" i="4"/>
  <c r="HB80" i="4"/>
  <c r="HB81" i="4"/>
  <c r="HB82" i="4"/>
  <c r="HB83" i="4"/>
  <c r="HB84" i="4"/>
  <c r="HB85" i="4"/>
  <c r="HB86" i="4"/>
  <c r="HB87" i="4"/>
  <c r="HB88" i="4"/>
  <c r="HB89" i="4"/>
  <c r="HB90" i="4"/>
  <c r="HB91" i="4"/>
  <c r="HB92" i="4"/>
  <c r="HB93" i="4"/>
  <c r="HB94" i="4"/>
  <c r="HB95" i="4"/>
  <c r="HB96" i="4"/>
  <c r="HB97" i="4"/>
  <c r="HB98" i="4"/>
  <c r="HB99" i="4"/>
  <c r="HB100" i="4"/>
  <c r="HB101" i="4"/>
  <c r="HB102" i="4"/>
  <c r="HB103" i="4"/>
  <c r="HB104" i="4"/>
  <c r="HB105" i="4"/>
  <c r="HB106" i="4"/>
  <c r="HB107" i="4"/>
  <c r="HB108" i="4"/>
  <c r="HB109" i="4"/>
  <c r="HB110" i="4"/>
  <c r="HB111" i="4"/>
  <c r="HB112" i="4"/>
  <c r="HB113" i="4"/>
  <c r="HB114" i="4"/>
  <c r="HB115" i="4"/>
  <c r="HB116" i="4"/>
  <c r="HB117" i="4"/>
  <c r="HB118" i="4"/>
  <c r="HB119" i="4"/>
  <c r="HB120" i="4"/>
  <c r="HB121" i="4"/>
  <c r="HB122" i="4"/>
  <c r="HB123" i="4"/>
  <c r="HB124" i="4"/>
  <c r="HB125" i="4"/>
  <c r="HB126" i="4"/>
  <c r="HB127" i="4"/>
  <c r="HB128" i="4"/>
  <c r="HB129" i="4"/>
  <c r="HB130" i="4"/>
  <c r="HB131" i="4"/>
  <c r="HB132" i="4"/>
  <c r="HB133" i="4"/>
  <c r="HB134" i="4"/>
  <c r="HB135" i="4"/>
  <c r="HB136" i="4"/>
  <c r="HB137" i="4"/>
  <c r="HB138" i="4"/>
  <c r="HB139" i="4"/>
  <c r="HB140" i="4"/>
  <c r="HB141" i="4"/>
  <c r="HB142" i="4"/>
  <c r="HB143" i="4"/>
  <c r="HB144" i="4"/>
  <c r="HB145" i="4"/>
  <c r="HB146" i="4"/>
  <c r="HB147" i="4"/>
  <c r="HB148" i="4"/>
  <c r="HB149" i="4"/>
  <c r="HB150" i="4"/>
  <c r="HB151" i="4"/>
  <c r="HB152" i="4"/>
  <c r="HB153" i="4"/>
  <c r="HB154" i="4"/>
  <c r="HB155" i="4"/>
  <c r="HB156" i="4"/>
  <c r="HB157" i="4"/>
  <c r="HB158" i="4"/>
  <c r="HB159" i="4"/>
  <c r="HB160" i="4"/>
  <c r="HB161" i="4"/>
  <c r="HB162" i="4"/>
  <c r="HB163" i="4"/>
  <c r="HB164" i="4"/>
  <c r="HB165" i="4"/>
  <c r="HB166" i="4"/>
  <c r="HB167" i="4"/>
  <c r="HB168" i="4"/>
  <c r="HB169" i="4"/>
  <c r="HB170" i="4"/>
  <c r="HB171" i="4"/>
  <c r="HB172" i="4"/>
  <c r="HB173" i="4"/>
  <c r="HB174" i="4"/>
  <c r="HB175" i="4"/>
  <c r="HB176" i="4"/>
  <c r="HB177" i="4"/>
  <c r="HB178" i="4"/>
  <c r="HB179" i="4"/>
  <c r="HB180" i="4"/>
  <c r="HB181" i="4"/>
  <c r="HB182" i="4"/>
  <c r="HB183" i="4"/>
  <c r="HB184" i="4"/>
  <c r="HB185" i="4"/>
  <c r="HB186" i="4"/>
  <c r="HB187" i="4"/>
  <c r="HB188" i="4"/>
  <c r="HB189" i="4"/>
  <c r="HB190" i="4"/>
  <c r="HB191" i="4"/>
  <c r="HB192" i="4"/>
  <c r="HB193" i="4"/>
  <c r="HB194" i="4"/>
  <c r="HB195" i="4"/>
  <c r="HB196" i="4"/>
  <c r="HB197" i="4"/>
  <c r="HB198" i="4"/>
  <c r="HB199" i="4"/>
  <c r="HB200" i="4"/>
  <c r="HB201" i="4"/>
  <c r="HB202" i="4"/>
  <c r="HB203" i="4"/>
  <c r="HB204" i="4"/>
  <c r="HB205" i="4"/>
  <c r="HB206" i="4"/>
  <c r="HB207" i="4"/>
  <c r="HB208" i="4"/>
  <c r="HB209" i="4"/>
  <c r="HB210" i="4"/>
  <c r="HB211" i="4"/>
  <c r="HB213" i="4"/>
  <c r="HB214" i="4"/>
  <c r="HB215" i="4"/>
  <c r="C216" i="4"/>
  <c r="C222" i="4" s="1"/>
  <c r="D216" i="4"/>
  <c r="D222" i="4" s="1"/>
  <c r="E216" i="4"/>
  <c r="E222" i="4" s="1"/>
  <c r="F216" i="4"/>
  <c r="F222" i="4" s="1"/>
  <c r="G216" i="4"/>
  <c r="G222" i="4" s="1"/>
  <c r="H216" i="4"/>
  <c r="H222" i="4" s="1"/>
  <c r="I216" i="4"/>
  <c r="I222" i="4" s="1"/>
  <c r="J216" i="4"/>
  <c r="J222" i="4" s="1"/>
  <c r="K216" i="4"/>
  <c r="K222" i="4" s="1"/>
  <c r="L216" i="4"/>
  <c r="L222" i="4" s="1"/>
  <c r="M216" i="4"/>
  <c r="M222" i="4" s="1"/>
  <c r="N216" i="4"/>
  <c r="N222" i="4" s="1"/>
  <c r="O216" i="4"/>
  <c r="O222" i="4" s="1"/>
  <c r="P216" i="4"/>
  <c r="P222" i="4" s="1"/>
  <c r="Q216" i="4"/>
  <c r="Q222" i="4" s="1"/>
  <c r="R216" i="4"/>
  <c r="R222" i="4" s="1"/>
  <c r="S216" i="4"/>
  <c r="S222" i="4" s="1"/>
  <c r="T216" i="4"/>
  <c r="T222" i="4" s="1"/>
  <c r="U216" i="4"/>
  <c r="U222" i="4" s="1"/>
  <c r="V216" i="4"/>
  <c r="V222" i="4" s="1"/>
  <c r="W216" i="4"/>
  <c r="W222" i="4" s="1"/>
  <c r="X216" i="4"/>
  <c r="X222" i="4" s="1"/>
  <c r="Y216" i="4"/>
  <c r="Y222" i="4" s="1"/>
  <c r="Z216" i="4"/>
  <c r="Z222" i="4" s="1"/>
  <c r="AA216" i="4"/>
  <c r="AA222" i="4" s="1"/>
  <c r="AB216" i="4"/>
  <c r="AB222" i="4" s="1"/>
  <c r="AC216" i="4"/>
  <c r="AC222" i="4" s="1"/>
  <c r="AD216" i="4"/>
  <c r="AD222" i="4" s="1"/>
  <c r="AE216" i="4"/>
  <c r="AE222" i="4" s="1"/>
  <c r="AF216" i="4"/>
  <c r="AF222" i="4" s="1"/>
  <c r="AG216" i="4"/>
  <c r="AG222" i="4" s="1"/>
  <c r="AH216" i="4"/>
  <c r="AH222" i="4" s="1"/>
  <c r="AI216" i="4"/>
  <c r="AI222" i="4" s="1"/>
  <c r="AJ216" i="4"/>
  <c r="AJ222" i="4" s="1"/>
  <c r="AK216" i="4"/>
  <c r="AK222" i="4" s="1"/>
  <c r="AL216" i="4"/>
  <c r="AL222" i="4" s="1"/>
  <c r="AM216" i="4"/>
  <c r="AM222" i="4" s="1"/>
  <c r="AN216" i="4"/>
  <c r="AN222" i="4" s="1"/>
  <c r="AO216" i="4"/>
  <c r="AO222" i="4" s="1"/>
  <c r="AP216" i="4"/>
  <c r="AP222" i="4" s="1"/>
  <c r="AQ216" i="4"/>
  <c r="AQ222" i="4" s="1"/>
  <c r="AR216" i="4"/>
  <c r="AR222" i="4" s="1"/>
  <c r="AS216" i="4"/>
  <c r="AS222" i="4" s="1"/>
  <c r="AT216" i="4"/>
  <c r="AT222" i="4" s="1"/>
  <c r="AU216" i="4"/>
  <c r="AU222" i="4" s="1"/>
  <c r="AV216" i="4"/>
  <c r="AV222" i="4" s="1"/>
  <c r="AW216" i="4"/>
  <c r="AW222" i="4" s="1"/>
  <c r="AX216" i="4"/>
  <c r="AX222" i="4" s="1"/>
  <c r="AY216" i="4"/>
  <c r="AY222" i="4" s="1"/>
  <c r="AZ216" i="4"/>
  <c r="AZ222" i="4" s="1"/>
  <c r="BA216" i="4"/>
  <c r="BA222" i="4" s="1"/>
  <c r="BB216" i="4"/>
  <c r="BB222" i="4" s="1"/>
  <c r="BC216" i="4"/>
  <c r="BC222" i="4" s="1"/>
  <c r="BD216" i="4"/>
  <c r="BD222" i="4" s="1"/>
  <c r="BE216" i="4"/>
  <c r="BE222" i="4" s="1"/>
  <c r="BF216" i="4"/>
  <c r="BF222" i="4" s="1"/>
  <c r="BG216" i="4"/>
  <c r="BG222" i="4" s="1"/>
  <c r="BH216" i="4"/>
  <c r="BH222" i="4" s="1"/>
  <c r="BI216" i="4"/>
  <c r="BI222" i="4" s="1"/>
  <c r="BJ216" i="4"/>
  <c r="BJ222" i="4" s="1"/>
  <c r="BK216" i="4"/>
  <c r="BK222" i="4" s="1"/>
  <c r="BL216" i="4"/>
  <c r="BL222" i="4" s="1"/>
  <c r="BM216" i="4"/>
  <c r="BM222" i="4" s="1"/>
  <c r="BN216" i="4"/>
  <c r="BN222" i="4" s="1"/>
  <c r="BO216" i="4"/>
  <c r="BO222" i="4" s="1"/>
  <c r="BP216" i="4"/>
  <c r="BP222" i="4" s="1"/>
  <c r="BQ216" i="4"/>
  <c r="BQ222" i="4" s="1"/>
  <c r="BR216" i="4"/>
  <c r="BR222" i="4" s="1"/>
  <c r="BS216" i="4"/>
  <c r="BS222" i="4" s="1"/>
  <c r="BT216" i="4"/>
  <c r="BT222" i="4" s="1"/>
  <c r="BU216" i="4"/>
  <c r="BU222" i="4" s="1"/>
  <c r="BV216" i="4"/>
  <c r="BV222" i="4" s="1"/>
  <c r="BW216" i="4"/>
  <c r="BW222" i="4" s="1"/>
  <c r="BX216" i="4"/>
  <c r="BX222" i="4" s="1"/>
  <c r="BY216" i="4"/>
  <c r="BY222" i="4" s="1"/>
  <c r="BZ216" i="4"/>
  <c r="BZ222" i="4" s="1"/>
  <c r="CA216" i="4"/>
  <c r="CA222" i="4" s="1"/>
  <c r="CB216" i="4"/>
  <c r="CB222" i="4" s="1"/>
  <c r="CC216" i="4"/>
  <c r="CC222" i="4" s="1"/>
  <c r="CD216" i="4"/>
  <c r="CD222" i="4" s="1"/>
  <c r="CE216" i="4"/>
  <c r="CE222" i="4" s="1"/>
  <c r="CF216" i="4"/>
  <c r="CF222" i="4" s="1"/>
  <c r="CG216" i="4"/>
  <c r="CG222" i="4" s="1"/>
  <c r="CH216" i="4"/>
  <c r="CH222" i="4" s="1"/>
  <c r="CI216" i="4"/>
  <c r="CI222" i="4" s="1"/>
  <c r="CJ216" i="4"/>
  <c r="CJ222" i="4" s="1"/>
  <c r="CK216" i="4"/>
  <c r="CK222" i="4" s="1"/>
  <c r="CL216" i="4"/>
  <c r="CL222" i="4" s="1"/>
  <c r="CM216" i="4"/>
  <c r="CM222" i="4" s="1"/>
  <c r="CN216" i="4"/>
  <c r="CN222" i="4" s="1"/>
  <c r="CO216" i="4"/>
  <c r="CO222" i="4" s="1"/>
  <c r="CP216" i="4"/>
  <c r="CP222" i="4" s="1"/>
  <c r="CQ216" i="4"/>
  <c r="CQ222" i="4" s="1"/>
  <c r="CR216" i="4"/>
  <c r="CR222" i="4" s="1"/>
  <c r="CS216" i="4"/>
  <c r="CS222" i="4" s="1"/>
  <c r="CT216" i="4"/>
  <c r="CT222" i="4" s="1"/>
  <c r="CU216" i="4"/>
  <c r="CU222" i="4" s="1"/>
  <c r="CV216" i="4"/>
  <c r="CV222" i="4" s="1"/>
  <c r="CW216" i="4"/>
  <c r="CW222" i="4" s="1"/>
  <c r="CX216" i="4"/>
  <c r="CX222" i="4" s="1"/>
  <c r="CY216" i="4"/>
  <c r="CY222" i="4" s="1"/>
  <c r="CZ216" i="4"/>
  <c r="CZ222" i="4" s="1"/>
  <c r="DA216" i="4"/>
  <c r="DA222" i="4" s="1"/>
  <c r="DB216" i="4"/>
  <c r="DB222" i="4" s="1"/>
  <c r="DC216" i="4"/>
  <c r="DC222" i="4" s="1"/>
  <c r="DD216" i="4"/>
  <c r="DD222" i="4" s="1"/>
  <c r="DE216" i="4"/>
  <c r="DE222" i="4" s="1"/>
  <c r="DF216" i="4"/>
  <c r="DF222" i="4" s="1"/>
  <c r="DG216" i="4"/>
  <c r="DG222" i="4" s="1"/>
  <c r="DH216" i="4"/>
  <c r="DH222" i="4" s="1"/>
  <c r="DI216" i="4"/>
  <c r="DJ216" i="4"/>
  <c r="DK216" i="4"/>
  <c r="DL216" i="4"/>
  <c r="DM216" i="4"/>
  <c r="DN216" i="4"/>
  <c r="DO216" i="4"/>
  <c r="DP216" i="4"/>
  <c r="DQ216" i="4"/>
  <c r="DR216" i="4"/>
  <c r="DS216" i="4"/>
  <c r="DT216" i="4"/>
  <c r="DU216" i="4"/>
  <c r="DV216" i="4"/>
  <c r="DW216" i="4"/>
  <c r="DX216" i="4"/>
  <c r="DY216" i="4"/>
  <c r="DZ216" i="4"/>
  <c r="EA216" i="4"/>
  <c r="EB216" i="4"/>
  <c r="EC216" i="4"/>
  <c r="ED216" i="4"/>
  <c r="EE216" i="4"/>
  <c r="EF216" i="4"/>
  <c r="EG216" i="4"/>
  <c r="EH216" i="4"/>
  <c r="EI216" i="4"/>
  <c r="EJ216" i="4"/>
  <c r="EK216" i="4"/>
  <c r="EL216" i="4"/>
  <c r="EM216" i="4"/>
  <c r="EN216" i="4"/>
  <c r="EO216" i="4"/>
  <c r="EP216" i="4"/>
  <c r="EQ216" i="4"/>
  <c r="ER216" i="4"/>
  <c r="ES216" i="4"/>
  <c r="ET216" i="4"/>
  <c r="EU216" i="4"/>
  <c r="EV216" i="4"/>
  <c r="EW216" i="4"/>
  <c r="EX216" i="4"/>
  <c r="EY216" i="4"/>
  <c r="EZ216" i="4"/>
  <c r="FA216" i="4"/>
  <c r="FB216" i="4"/>
  <c r="FC216" i="4"/>
  <c r="FD216" i="4"/>
  <c r="FE216" i="4"/>
  <c r="FF216" i="4"/>
  <c r="FG216" i="4"/>
  <c r="FH216" i="4"/>
  <c r="FI216" i="4"/>
  <c r="FJ216" i="4"/>
  <c r="FK216" i="4"/>
  <c r="FL216" i="4"/>
  <c r="FM216" i="4"/>
  <c r="FN216" i="4"/>
  <c r="FO216" i="4"/>
  <c r="FP216" i="4"/>
  <c r="FQ216" i="4"/>
  <c r="FR216" i="4"/>
  <c r="FS216" i="4"/>
  <c r="FT216" i="4"/>
  <c r="FU216" i="4"/>
  <c r="FV216" i="4"/>
  <c r="FW216" i="4"/>
  <c r="FX216" i="4"/>
  <c r="FY216" i="4"/>
  <c r="FZ216" i="4"/>
  <c r="GA216" i="4"/>
  <c r="GB216" i="4"/>
  <c r="GC216" i="4"/>
  <c r="GD216" i="4"/>
  <c r="GE216" i="4"/>
  <c r="GF216" i="4"/>
  <c r="GG216" i="4"/>
  <c r="GH216" i="4"/>
  <c r="GI216" i="4"/>
  <c r="GJ216" i="4"/>
  <c r="GK216" i="4"/>
  <c r="GL216" i="4"/>
  <c r="GM216" i="4"/>
  <c r="GN216" i="4"/>
  <c r="GO216" i="4"/>
  <c r="GP216" i="4"/>
  <c r="GQ216" i="4"/>
  <c r="GR216" i="4"/>
  <c r="GS216" i="4"/>
  <c r="GT216" i="4"/>
  <c r="GU216" i="4"/>
  <c r="GV216" i="4"/>
  <c r="GW216" i="4"/>
  <c r="GY216" i="4"/>
  <c r="GZ216" i="4"/>
  <c r="HA216" i="4"/>
  <c r="B216" i="4"/>
  <c r="B222" i="4" s="1"/>
  <c r="A1" i="1"/>
  <c r="AE70" i="12" l="1"/>
  <c r="AE69" i="12"/>
  <c r="AE68" i="12"/>
  <c r="AE67" i="12"/>
  <c r="O67" i="12"/>
  <c r="I68" i="12"/>
  <c r="O68" i="12" s="1"/>
  <c r="I69" i="12"/>
  <c r="I70" i="12" s="1"/>
  <c r="I71" i="12" s="1"/>
  <c r="I72" i="12" s="1"/>
  <c r="O72" i="12" s="1"/>
  <c r="O69" i="12" l="1"/>
  <c r="O71" i="12"/>
  <c r="O70" i="12"/>
  <c r="I73" i="12"/>
  <c r="O73" i="12" s="1"/>
  <c r="P40" i="12"/>
  <c r="O40" i="12"/>
  <c r="N40" i="12"/>
  <c r="M40" i="12"/>
  <c r="L40" i="12"/>
  <c r="K40" i="12"/>
  <c r="J40" i="12"/>
  <c r="I40" i="12"/>
  <c r="H40" i="12"/>
  <c r="P38" i="12"/>
  <c r="O38" i="12"/>
  <c r="N38" i="12"/>
  <c r="M38" i="12"/>
  <c r="L38" i="12"/>
  <c r="K38" i="12"/>
  <c r="J38" i="12"/>
  <c r="I38" i="12"/>
  <c r="H38" i="12"/>
  <c r="P37" i="12"/>
  <c r="O37" i="12"/>
  <c r="N37" i="12"/>
  <c r="M37" i="12"/>
  <c r="L37" i="12"/>
  <c r="K37" i="12"/>
  <c r="J37" i="12"/>
  <c r="I37" i="12"/>
  <c r="H37" i="12"/>
  <c r="AX31" i="12"/>
  <c r="AX30" i="12"/>
  <c r="AX29" i="12"/>
  <c r="AX28" i="12"/>
  <c r="AX27" i="12"/>
  <c r="AX26" i="12"/>
  <c r="AX24" i="12"/>
  <c r="AX23" i="12"/>
  <c r="AX22" i="12"/>
  <c r="AO56" i="12"/>
  <c r="AO41" i="12"/>
  <c r="AO46" i="12"/>
  <c r="AO44" i="12"/>
  <c r="AO45" i="12"/>
  <c r="AO43" i="12"/>
  <c r="AO42" i="12"/>
  <c r="BL56" i="12"/>
  <c r="BK56" i="12"/>
  <c r="BJ56" i="12"/>
  <c r="BI56" i="12"/>
  <c r="G40" i="12"/>
  <c r="G38" i="12"/>
  <c r="G37" i="12"/>
  <c r="F40" i="12"/>
  <c r="E40" i="12"/>
  <c r="D40" i="12"/>
  <c r="C40" i="12"/>
  <c r="F39" i="12"/>
  <c r="E39" i="12"/>
  <c r="D39" i="12"/>
  <c r="C39" i="12"/>
  <c r="F38" i="12"/>
  <c r="E38" i="12"/>
  <c r="D38" i="12"/>
  <c r="C38" i="12"/>
  <c r="F37" i="12"/>
  <c r="E37" i="12"/>
  <c r="D37" i="12"/>
  <c r="C37" i="12"/>
  <c r="BH46" i="12"/>
  <c r="AY41" i="12"/>
  <c r="AY42" i="12"/>
  <c r="AY45" i="12"/>
  <c r="AY44" i="12"/>
  <c r="AY43" i="12"/>
  <c r="BL54" i="12"/>
  <c r="BK54" i="12"/>
  <c r="BJ54" i="12"/>
  <c r="BI54" i="12"/>
  <c r="BL48" i="12"/>
  <c r="BK48" i="12"/>
  <c r="BJ48" i="12"/>
  <c r="BI48" i="12"/>
  <c r="BL46" i="12"/>
  <c r="BK46" i="12"/>
  <c r="BJ46" i="12"/>
  <c r="BI46" i="12"/>
  <c r="BL41" i="12"/>
  <c r="BK41" i="12"/>
  <c r="BJ41" i="12"/>
  <c r="BI41" i="12"/>
  <c r="BH56" i="12"/>
  <c r="BH54" i="12"/>
  <c r="BH48" i="12"/>
  <c r="BG56" i="12"/>
  <c r="BF56" i="12"/>
  <c r="BE56" i="12"/>
  <c r="BD56" i="12"/>
  <c r="BG50" i="12"/>
  <c r="BF50" i="12"/>
  <c r="BE50" i="12"/>
  <c r="BD50" i="12"/>
  <c r="BG46" i="12"/>
  <c r="BF46" i="12"/>
  <c r="BE46" i="12"/>
  <c r="BD46" i="12"/>
  <c r="BW56" i="12"/>
  <c r="BV56" i="12"/>
  <c r="BU56" i="12"/>
  <c r="BT56" i="12"/>
  <c r="BS56" i="12"/>
  <c r="BR56" i="12"/>
  <c r="BQ56" i="12"/>
  <c r="BP56" i="12"/>
  <c r="BO56" i="12"/>
  <c r="BN56" i="12"/>
  <c r="BM56" i="12"/>
  <c r="BW55" i="12"/>
  <c r="BV55" i="12"/>
  <c r="BU55" i="12"/>
  <c r="BT55" i="12"/>
  <c r="BS55" i="12"/>
  <c r="BR55" i="12"/>
  <c r="BQ55" i="12"/>
  <c r="BP55" i="12"/>
  <c r="BO55" i="12"/>
  <c r="BN55" i="12"/>
  <c r="BM55" i="12"/>
  <c r="BW54" i="12"/>
  <c r="BV54" i="12"/>
  <c r="BU54" i="12"/>
  <c r="BT54" i="12"/>
  <c r="BS54" i="12"/>
  <c r="BR54" i="12"/>
  <c r="BQ54" i="12"/>
  <c r="BP54" i="12"/>
  <c r="BO54" i="12"/>
  <c r="BN54" i="12"/>
  <c r="BM54" i="12"/>
  <c r="BW53" i="12"/>
  <c r="BV53" i="12"/>
  <c r="BU53" i="12"/>
  <c r="BT53" i="12"/>
  <c r="BS53" i="12"/>
  <c r="BR53" i="12"/>
  <c r="BQ53" i="12"/>
  <c r="BP53" i="12"/>
  <c r="BO53" i="12"/>
  <c r="BN53" i="12"/>
  <c r="BM53" i="12"/>
  <c r="BW52" i="12"/>
  <c r="BV52" i="12"/>
  <c r="BU52" i="12"/>
  <c r="BT52" i="12"/>
  <c r="BS52" i="12"/>
  <c r="BR52" i="12"/>
  <c r="BQ52" i="12"/>
  <c r="BP52" i="12"/>
  <c r="BO52" i="12"/>
  <c r="BN52" i="12"/>
  <c r="BM52" i="12"/>
  <c r="BW51" i="12"/>
  <c r="BV51" i="12"/>
  <c r="BU51" i="12"/>
  <c r="BT51" i="12"/>
  <c r="BS51" i="12"/>
  <c r="BR51" i="12"/>
  <c r="BQ51" i="12"/>
  <c r="BP51" i="12"/>
  <c r="BO51" i="12"/>
  <c r="BN51" i="12"/>
  <c r="BM51" i="12"/>
  <c r="BW50" i="12"/>
  <c r="BV50" i="12"/>
  <c r="BU50" i="12"/>
  <c r="BT50" i="12"/>
  <c r="BS50" i="12"/>
  <c r="BR50" i="12"/>
  <c r="BQ50" i="12"/>
  <c r="BP50" i="12"/>
  <c r="BO50" i="12"/>
  <c r="BN50" i="12"/>
  <c r="BM50" i="12"/>
  <c r="BW49" i="12"/>
  <c r="BV49" i="12"/>
  <c r="BU49" i="12"/>
  <c r="BT49" i="12"/>
  <c r="BS49" i="12"/>
  <c r="BR49" i="12"/>
  <c r="BQ49" i="12"/>
  <c r="BP49" i="12"/>
  <c r="BO49" i="12"/>
  <c r="BN49" i="12"/>
  <c r="BM49" i="12"/>
  <c r="BW48" i="12"/>
  <c r="BV48" i="12"/>
  <c r="BU48" i="12"/>
  <c r="BT48" i="12"/>
  <c r="BS48" i="12"/>
  <c r="BR48" i="12"/>
  <c r="BQ48" i="12"/>
  <c r="BP48" i="12"/>
  <c r="BO48" i="12"/>
  <c r="BN48" i="12"/>
  <c r="BM48" i="12"/>
  <c r="BW47" i="12"/>
  <c r="BV47" i="12"/>
  <c r="BU47" i="12"/>
  <c r="BT47" i="12"/>
  <c r="BS47" i="12"/>
  <c r="BR47" i="12"/>
  <c r="BQ47" i="12"/>
  <c r="BP47" i="12"/>
  <c r="BO47" i="12"/>
  <c r="BN47" i="12"/>
  <c r="BM47" i="12"/>
  <c r="BW46" i="12"/>
  <c r="BV46" i="12"/>
  <c r="BU46" i="12"/>
  <c r="BT46" i="12"/>
  <c r="BS46" i="12"/>
  <c r="BR46" i="12"/>
  <c r="BQ46" i="12"/>
  <c r="BP46" i="12"/>
  <c r="BO46" i="12"/>
  <c r="BN46" i="12"/>
  <c r="BM46" i="12"/>
  <c r="BW45" i="12"/>
  <c r="BV45" i="12"/>
  <c r="BU45" i="12"/>
  <c r="BT45" i="12"/>
  <c r="BS45" i="12"/>
  <c r="BR45" i="12"/>
  <c r="BQ45" i="12"/>
  <c r="BP45" i="12"/>
  <c r="BO45" i="12"/>
  <c r="BN45" i="12"/>
  <c r="BM45" i="12"/>
  <c r="BF45" i="12"/>
  <c r="BE45" i="12"/>
  <c r="BD45" i="12"/>
  <c r="BW44" i="12"/>
  <c r="BV44" i="12"/>
  <c r="BU44" i="12"/>
  <c r="BT44" i="12"/>
  <c r="BS44" i="12"/>
  <c r="BR44" i="12"/>
  <c r="BQ44" i="12"/>
  <c r="BP44" i="12"/>
  <c r="BO44" i="12"/>
  <c r="BN44" i="12"/>
  <c r="BM44" i="12"/>
  <c r="BF44" i="12"/>
  <c r="BE44" i="12"/>
  <c r="BD44" i="12"/>
  <c r="BW43" i="12"/>
  <c r="BV43" i="12"/>
  <c r="BU43" i="12"/>
  <c r="BT43" i="12"/>
  <c r="BS43" i="12"/>
  <c r="BR43" i="12"/>
  <c r="BQ43" i="12"/>
  <c r="BP43" i="12"/>
  <c r="BO43" i="12"/>
  <c r="BN43" i="12"/>
  <c r="BM43" i="12"/>
  <c r="BF43" i="12"/>
  <c r="BE43" i="12"/>
  <c r="BD43" i="12"/>
  <c r="BW42" i="12"/>
  <c r="BV42" i="12"/>
  <c r="BU42" i="12"/>
  <c r="BT42" i="12"/>
  <c r="BS42" i="12"/>
  <c r="BR42" i="12"/>
  <c r="BQ42" i="12"/>
  <c r="BP42" i="12"/>
  <c r="BO42" i="12"/>
  <c r="BN42" i="12"/>
  <c r="BM42" i="12"/>
  <c r="BF42" i="12"/>
  <c r="BE42" i="12"/>
  <c r="BD42" i="12"/>
  <c r="BW41" i="12"/>
  <c r="BV41" i="12"/>
  <c r="BU41" i="12"/>
  <c r="BT41" i="12"/>
  <c r="BS41" i="12"/>
  <c r="BR41" i="12"/>
  <c r="BQ41" i="12"/>
  <c r="BP41" i="12"/>
  <c r="BO41" i="12"/>
  <c r="BN41" i="12"/>
  <c r="BM41" i="12"/>
  <c r="BG41" i="12"/>
  <c r="BH45" i="12"/>
  <c r="BH44" i="12"/>
  <c r="BH43" i="12"/>
  <c r="BH42" i="12"/>
  <c r="BG35" i="12"/>
  <c r="BF35" i="12"/>
  <c r="BE35" i="12"/>
  <c r="BD35" i="12"/>
  <c r="BG34" i="12"/>
  <c r="BF34" i="12"/>
  <c r="BE34" i="12"/>
  <c r="BD34" i="12"/>
  <c r="BG33" i="12"/>
  <c r="BF33" i="12"/>
  <c r="BE33" i="12"/>
  <c r="BD33" i="12"/>
  <c r="BG32" i="12"/>
  <c r="BF32" i="12"/>
  <c r="BE32" i="12"/>
  <c r="BD32" i="12"/>
  <c r="BG31" i="12"/>
  <c r="BF31" i="12"/>
  <c r="BE31" i="12"/>
  <c r="BD31" i="12"/>
  <c r="BG30" i="12"/>
  <c r="BF30" i="12"/>
  <c r="BE30" i="12"/>
  <c r="BD30" i="12"/>
  <c r="BG29" i="12"/>
  <c r="BF29" i="12"/>
  <c r="BE29" i="12"/>
  <c r="BD29" i="12"/>
  <c r="BG28" i="12"/>
  <c r="BF28" i="12"/>
  <c r="BE28" i="12"/>
  <c r="BD28" i="12"/>
  <c r="BG27" i="12"/>
  <c r="BF27" i="12"/>
  <c r="BE27" i="12"/>
  <c r="BD27" i="12"/>
  <c r="BG26" i="12"/>
  <c r="BF26" i="12"/>
  <c r="BE26" i="12"/>
  <c r="BD26" i="12"/>
  <c r="BG25" i="12"/>
  <c r="BF25" i="12"/>
  <c r="BE25" i="12"/>
  <c r="BD25" i="12"/>
  <c r="BG24" i="12"/>
  <c r="BF24" i="12"/>
  <c r="BE24" i="12"/>
  <c r="BD24" i="12"/>
  <c r="BG23" i="12"/>
  <c r="BF23" i="12"/>
  <c r="BE23" i="12"/>
  <c r="BD23" i="12"/>
  <c r="BG22" i="12"/>
  <c r="BF22" i="12"/>
  <c r="BE22" i="12"/>
  <c r="BD22" i="12"/>
  <c r="T49" i="12"/>
  <c r="AL14" i="12"/>
  <c r="AK14" i="12"/>
  <c r="N39" i="12"/>
  <c r="P35" i="12"/>
  <c r="O35" i="12"/>
  <c r="N35" i="12"/>
  <c r="M35" i="12"/>
  <c r="K35" i="12"/>
  <c r="J35" i="12"/>
  <c r="I35" i="12"/>
  <c r="H35" i="12"/>
  <c r="G35" i="12"/>
  <c r="F35" i="12"/>
  <c r="E35" i="12"/>
  <c r="D35" i="12"/>
  <c r="C35" i="12"/>
  <c r="P34" i="12"/>
  <c r="O34" i="12"/>
  <c r="N34" i="12"/>
  <c r="M34" i="12"/>
  <c r="K34" i="12"/>
  <c r="J34" i="12"/>
  <c r="I34" i="12"/>
  <c r="H34" i="12"/>
  <c r="G34" i="12"/>
  <c r="F34" i="12"/>
  <c r="E34" i="12"/>
  <c r="D34" i="12"/>
  <c r="C34" i="12"/>
  <c r="G23" i="12"/>
  <c r="G22" i="12"/>
  <c r="O22" i="12"/>
  <c r="P30" i="12"/>
  <c r="O30" i="12"/>
  <c r="N30" i="12"/>
  <c r="M30" i="12"/>
  <c r="K30" i="12"/>
  <c r="J30" i="12"/>
  <c r="I30" i="12"/>
  <c r="H30" i="12"/>
  <c r="G30" i="12"/>
  <c r="F30" i="12"/>
  <c r="E30" i="12"/>
  <c r="D30" i="12"/>
  <c r="C30" i="12"/>
  <c r="P29" i="12"/>
  <c r="O29" i="12"/>
  <c r="N29" i="12"/>
  <c r="M29" i="12"/>
  <c r="K29" i="12"/>
  <c r="J29" i="12"/>
  <c r="I29" i="12"/>
  <c r="H29" i="12"/>
  <c r="P28" i="12"/>
  <c r="O28" i="12"/>
  <c r="N28" i="12"/>
  <c r="M28" i="12"/>
  <c r="K28" i="12"/>
  <c r="J28" i="12"/>
  <c r="I28" i="12"/>
  <c r="H28" i="12"/>
  <c r="O27" i="12"/>
  <c r="M27" i="12"/>
  <c r="H27" i="12"/>
  <c r="O26" i="12"/>
  <c r="N26" i="12"/>
  <c r="M26" i="12"/>
  <c r="K26" i="12"/>
  <c r="J26" i="12"/>
  <c r="I26" i="12"/>
  <c r="H26" i="12"/>
  <c r="G26" i="12"/>
  <c r="F26" i="12"/>
  <c r="O24" i="12"/>
  <c r="E24" i="12"/>
  <c r="O23" i="12"/>
  <c r="D23" i="12"/>
  <c r="C22" i="12"/>
  <c r="P53" i="12"/>
  <c r="O53" i="12"/>
  <c r="N53" i="12"/>
  <c r="M53" i="12"/>
  <c r="K53" i="12"/>
  <c r="J53" i="12"/>
  <c r="I53" i="12"/>
  <c r="H53" i="12"/>
  <c r="G53" i="12"/>
  <c r="F53" i="12"/>
  <c r="E53" i="12"/>
  <c r="D53" i="12"/>
  <c r="C53" i="12"/>
  <c r="P47" i="12"/>
  <c r="O47" i="12"/>
  <c r="N47" i="12"/>
  <c r="M47" i="12"/>
  <c r="K47" i="12"/>
  <c r="J47" i="12"/>
  <c r="I47" i="12"/>
  <c r="H47" i="12"/>
  <c r="G47" i="12"/>
  <c r="F47" i="12"/>
  <c r="E47" i="12"/>
  <c r="D47" i="12"/>
  <c r="C47" i="12"/>
  <c r="AD56" i="12"/>
  <c r="AD51" i="12" s="1"/>
  <c r="AC56" i="12"/>
  <c r="AC51" i="12" s="1"/>
  <c r="AB56" i="12"/>
  <c r="AB51" i="12" s="1"/>
  <c r="AA56" i="12"/>
  <c r="AA51" i="12" s="1"/>
  <c r="Z56" i="12"/>
  <c r="Z51" i="12" s="1"/>
  <c r="Y56" i="12"/>
  <c r="Y51" i="12" s="1"/>
  <c r="X56" i="12"/>
  <c r="X51" i="12" s="1"/>
  <c r="W56" i="12"/>
  <c r="W51" i="12" s="1"/>
  <c r="V56" i="12"/>
  <c r="V51" i="12" s="1"/>
  <c r="U56" i="12"/>
  <c r="U51" i="12" s="1"/>
  <c r="T51" i="12"/>
  <c r="S56" i="12"/>
  <c r="S51" i="12" s="1"/>
  <c r="R56" i="12"/>
  <c r="R51" i="12" s="1"/>
  <c r="Q56" i="12"/>
  <c r="Q51" i="12" s="1"/>
  <c r="AY34" i="12"/>
  <c r="AY32" i="12"/>
  <c r="AY30" i="12"/>
  <c r="AY29" i="12"/>
  <c r="AY28" i="12"/>
  <c r="AY27" i="12"/>
  <c r="AY26" i="12"/>
  <c r="AY24" i="12"/>
  <c r="AY23" i="12"/>
  <c r="AY22" i="12"/>
  <c r="AL12" i="12"/>
  <c r="AK12" i="12"/>
  <c r="AL11" i="12"/>
  <c r="AK11" i="12"/>
  <c r="AL10" i="12"/>
  <c r="AK10" i="12"/>
  <c r="AL9" i="12"/>
  <c r="AK9" i="12"/>
  <c r="AL8" i="12"/>
  <c r="AK8" i="12"/>
  <c r="D67" i="12" l="1" a="1"/>
  <c r="I74" i="12"/>
  <c r="O74" i="12" s="1"/>
  <c r="AY38" i="12"/>
  <c r="AZ38" i="12" s="1"/>
  <c r="AY39" i="12"/>
  <c r="AZ39" i="12" s="1"/>
  <c r="AY40" i="12"/>
  <c r="AZ40" i="12" s="1"/>
  <c r="AJ45" i="12" s="1"/>
  <c r="AY37" i="12"/>
  <c r="AZ37" i="12" s="1"/>
  <c r="AX57" i="12"/>
  <c r="AW55" i="12" s="1"/>
  <c r="H57" i="12"/>
  <c r="V13" i="12" s="1"/>
  <c r="K57" i="12"/>
  <c r="Y16" i="12" s="1"/>
  <c r="L57" i="12"/>
  <c r="Z17" i="12" s="1"/>
  <c r="O57" i="12"/>
  <c r="AC20" i="12" s="1"/>
  <c r="AC52" i="12" s="1"/>
  <c r="E57" i="12"/>
  <c r="S10" i="12" s="1"/>
  <c r="G57" i="12"/>
  <c r="U12" i="12" s="1"/>
  <c r="P57" i="12"/>
  <c r="AD21" i="12" s="1"/>
  <c r="AD52" i="12" s="1"/>
  <c r="D57" i="12"/>
  <c r="R9" i="12" s="1"/>
  <c r="I57" i="12"/>
  <c r="W14" i="12" s="1"/>
  <c r="M57" i="12"/>
  <c r="AA18" i="12" s="1"/>
  <c r="AA52" i="12" s="1"/>
  <c r="J57" i="12"/>
  <c r="X15" i="12" s="1"/>
  <c r="N57" i="12"/>
  <c r="AB19" i="12" s="1"/>
  <c r="AB52" i="12" s="1"/>
  <c r="F57" i="12"/>
  <c r="T11" i="12" s="1"/>
  <c r="C57" i="12"/>
  <c r="Q8" i="12" s="1"/>
  <c r="Q52" i="12" s="1"/>
  <c r="G74" i="12" l="1"/>
  <c r="N74" i="12" s="1"/>
  <c r="G70" i="12"/>
  <c r="N70" i="12" s="1"/>
  <c r="D71" i="12"/>
  <c r="K71" i="12" s="1"/>
  <c r="E71" i="12"/>
  <c r="L71" i="12" s="1"/>
  <c r="G79" i="12"/>
  <c r="D80" i="12"/>
  <c r="E80" i="12"/>
  <c r="F72" i="12"/>
  <c r="M72" i="12" s="1"/>
  <c r="G80" i="12"/>
  <c r="D73" i="12"/>
  <c r="K73" i="12" s="1"/>
  <c r="F73" i="12"/>
  <c r="M73" i="12" s="1"/>
  <c r="E74" i="12"/>
  <c r="L74" i="12" s="1"/>
  <c r="D67" i="12"/>
  <c r="K67" i="12" s="1"/>
  <c r="D75" i="12"/>
  <c r="E67" i="12"/>
  <c r="L67" i="12" s="1"/>
  <c r="E75" i="12"/>
  <c r="F67" i="12"/>
  <c r="M67" i="12" s="1"/>
  <c r="F75" i="12"/>
  <c r="G67" i="12"/>
  <c r="N67" i="12" s="1"/>
  <c r="G75" i="12"/>
  <c r="D68" i="12"/>
  <c r="K68" i="12" s="1"/>
  <c r="D76" i="12"/>
  <c r="E68" i="12"/>
  <c r="L68" i="12" s="1"/>
  <c r="E76" i="12"/>
  <c r="F68" i="12"/>
  <c r="M68" i="12" s="1"/>
  <c r="F76" i="12"/>
  <c r="G68" i="12"/>
  <c r="N68" i="12" s="1"/>
  <c r="G76" i="12"/>
  <c r="D69" i="12"/>
  <c r="K69" i="12" s="1"/>
  <c r="D77" i="12"/>
  <c r="E69" i="12"/>
  <c r="L69" i="12" s="1"/>
  <c r="E77" i="12"/>
  <c r="F69" i="12"/>
  <c r="M69" i="12" s="1"/>
  <c r="F77" i="12"/>
  <c r="G69" i="12"/>
  <c r="N69" i="12" s="1"/>
  <c r="D70" i="12"/>
  <c r="K70" i="12" s="1"/>
  <c r="D78" i="12"/>
  <c r="E70" i="12"/>
  <c r="L70" i="12" s="1"/>
  <c r="E78" i="12"/>
  <c r="F70" i="12"/>
  <c r="M70" i="12" s="1"/>
  <c r="F78" i="12"/>
  <c r="G78" i="12"/>
  <c r="D79" i="12"/>
  <c r="E79" i="12"/>
  <c r="F71" i="12"/>
  <c r="M71" i="12" s="1"/>
  <c r="F79" i="12"/>
  <c r="G71" i="12"/>
  <c r="N71" i="12" s="1"/>
  <c r="D72" i="12"/>
  <c r="K72" i="12" s="1"/>
  <c r="E72" i="12"/>
  <c r="L72" i="12" s="1"/>
  <c r="F80" i="12"/>
  <c r="G72" i="12"/>
  <c r="N72" i="12" s="1"/>
  <c r="E73" i="12"/>
  <c r="L73" i="12" s="1"/>
  <c r="G73" i="12"/>
  <c r="N73" i="12" s="1"/>
  <c r="D74" i="12"/>
  <c r="K74" i="12" s="1"/>
  <c r="F74" i="12"/>
  <c r="M74" i="12" s="1"/>
  <c r="G77" i="12"/>
  <c r="I75" i="12"/>
  <c r="O75" i="12" s="1"/>
  <c r="AJ47" i="12"/>
  <c r="AJ52" i="12"/>
  <c r="AJ48" i="12"/>
  <c r="AJ49" i="12"/>
  <c r="AJ51" i="12"/>
  <c r="AJ56" i="12"/>
  <c r="AJ4" i="12" s="1"/>
  <c r="AJ42" i="12"/>
  <c r="AJ43" i="12"/>
  <c r="AJ46" i="12"/>
  <c r="AJ50" i="12"/>
  <c r="AJ53" i="12"/>
  <c r="AJ55" i="12"/>
  <c r="AJ44" i="12"/>
  <c r="AI56" i="12"/>
  <c r="AF41" i="12"/>
  <c r="AF42" i="12"/>
  <c r="AA67" i="12" s="1"/>
  <c r="AF55" i="12"/>
  <c r="AF47" i="12"/>
  <c r="AF49" i="12"/>
  <c r="AF48" i="12"/>
  <c r="AF44" i="12"/>
  <c r="AA69" i="12" s="1"/>
  <c r="AF51" i="12"/>
  <c r="AF54" i="12"/>
  <c r="AF53" i="12"/>
  <c r="AF45" i="12"/>
  <c r="AA70" i="12" s="1"/>
  <c r="AF52" i="12"/>
  <c r="AF43" i="12"/>
  <c r="AA68" i="12" s="1"/>
  <c r="AF50" i="12"/>
  <c r="AG41" i="12"/>
  <c r="AG48" i="12"/>
  <c r="AG43" i="12"/>
  <c r="AB68" i="12" s="1"/>
  <c r="AG47" i="12"/>
  <c r="AG55" i="12"/>
  <c r="AG49" i="12"/>
  <c r="AG54" i="12"/>
  <c r="AG42" i="12"/>
  <c r="AB67" i="12" s="1"/>
  <c r="AG53" i="12"/>
  <c r="AG45" i="12"/>
  <c r="AB70" i="12" s="1"/>
  <c r="AG51" i="12"/>
  <c r="AG52" i="12"/>
  <c r="AG50" i="12"/>
  <c r="AH41" i="12"/>
  <c r="AH47" i="12"/>
  <c r="AH50" i="12"/>
  <c r="AH49" i="12"/>
  <c r="AH48" i="12"/>
  <c r="AH46" i="12"/>
  <c r="AH54" i="12"/>
  <c r="AH42" i="12"/>
  <c r="AC67" i="12" s="1"/>
  <c r="AH55" i="12"/>
  <c r="AH51" i="12"/>
  <c r="AH53" i="12"/>
  <c r="AH52" i="12"/>
  <c r="AH43" i="12"/>
  <c r="AC68" i="12" s="1"/>
  <c r="AH44" i="12"/>
  <c r="AC69" i="12" s="1"/>
  <c r="AH56" i="12"/>
  <c r="AI48" i="12"/>
  <c r="AI46" i="12"/>
  <c r="AI54" i="12"/>
  <c r="AI55" i="12"/>
  <c r="AI47" i="12"/>
  <c r="AI51" i="12"/>
  <c r="AI49" i="12"/>
  <c r="AI50" i="12"/>
  <c r="AI53" i="12"/>
  <c r="AI45" i="12"/>
  <c r="AD70" i="12" s="1"/>
  <c r="AI43" i="12"/>
  <c r="AD68" i="12" s="1"/>
  <c r="AI52" i="12"/>
  <c r="AI44" i="12"/>
  <c r="AD69" i="12" s="1"/>
  <c r="AI42" i="12"/>
  <c r="AD67" i="12" s="1"/>
  <c r="AG56" i="12"/>
  <c r="AF56" i="12"/>
  <c r="AG46" i="12"/>
  <c r="AH45" i="12"/>
  <c r="AC70" i="12" s="1"/>
  <c r="AF46" i="12"/>
  <c r="AG44" i="12"/>
  <c r="AB69" i="12" s="1"/>
  <c r="AI41" i="12"/>
  <c r="W36" i="12"/>
  <c r="W52" i="12"/>
  <c r="U36" i="12"/>
  <c r="U52" i="12"/>
  <c r="Z36" i="12"/>
  <c r="Z52" i="12"/>
  <c r="T36" i="12"/>
  <c r="R36" i="12"/>
  <c r="R52" i="12"/>
  <c r="Y36" i="12"/>
  <c r="Y52" i="12"/>
  <c r="X36" i="12"/>
  <c r="X52" i="12"/>
  <c r="S36" i="12"/>
  <c r="S52" i="12"/>
  <c r="V36" i="12"/>
  <c r="V52" i="12"/>
  <c r="Q36" i="12"/>
  <c r="AZ21" i="12"/>
  <c r="AZ20" i="12"/>
  <c r="AZ19" i="12"/>
  <c r="AZ18" i="12"/>
  <c r="AZ17" i="12"/>
  <c r="AZ16" i="12"/>
  <c r="AZ15" i="12"/>
  <c r="AZ14" i="12"/>
  <c r="AZ13" i="12"/>
  <c r="AZ12" i="12"/>
  <c r="AZ11" i="12"/>
  <c r="AZ10" i="12"/>
  <c r="AZ9" i="12"/>
  <c r="N75" i="12" l="1"/>
  <c r="L75" i="12"/>
  <c r="M75" i="12"/>
  <c r="K75" i="12"/>
  <c r="I76" i="12"/>
  <c r="O76" i="12" s="1"/>
  <c r="AJ3" i="12"/>
  <c r="AZ36" i="12"/>
  <c r="AE33" i="12" s="1"/>
  <c r="AE57" i="12" s="1"/>
  <c r="AZ8" i="12"/>
  <c r="L76" i="12" l="1"/>
  <c r="N76" i="12"/>
  <c r="M76" i="12"/>
  <c r="K76" i="12"/>
  <c r="I77" i="12"/>
  <c r="Y57" i="12"/>
  <c r="AA57" i="12"/>
  <c r="AC57" i="12"/>
  <c r="W57" i="12"/>
  <c r="S57" i="12"/>
  <c r="X57" i="12"/>
  <c r="V57" i="12"/>
  <c r="AD57" i="12"/>
  <c r="R57" i="12"/>
  <c r="U57" i="12"/>
  <c r="AB57" i="12"/>
  <c r="Z57" i="12"/>
  <c r="T57" i="12"/>
  <c r="AY25" i="12" s="1"/>
  <c r="O77" i="12" l="1"/>
  <c r="N77" i="12"/>
  <c r="M77" i="12"/>
  <c r="K77" i="12"/>
  <c r="L77" i="12"/>
  <c r="I78" i="12"/>
  <c r="Q57" i="12"/>
  <c r="BI22" i="12" s="1" a="1"/>
  <c r="O78" i="12" l="1"/>
  <c r="N78" i="12"/>
  <c r="K78" i="12"/>
  <c r="M78" i="12"/>
  <c r="L78" i="12"/>
  <c r="I79" i="12"/>
  <c r="BI22" i="12"/>
  <c r="BI23" i="12"/>
  <c r="BI25" i="12"/>
  <c r="BI27" i="12"/>
  <c r="BI33" i="12"/>
  <c r="BI24" i="12"/>
  <c r="BI26" i="12"/>
  <c r="BI28" i="12"/>
  <c r="BI35" i="12"/>
  <c r="BI29" i="12"/>
  <c r="BI30" i="12"/>
  <c r="BI32" i="12"/>
  <c r="BI31" i="12"/>
  <c r="BI34" i="12"/>
  <c r="AC77" i="12" l="1"/>
  <c r="AC76" i="12"/>
  <c r="AC78" i="12"/>
  <c r="AC79" i="12"/>
  <c r="O79" i="12"/>
  <c r="M79" i="12"/>
  <c r="L79" i="12"/>
  <c r="N79" i="12"/>
  <c r="K79" i="12"/>
  <c r="I80" i="12"/>
  <c r="AK34" i="12"/>
  <c r="AM34" i="12"/>
  <c r="AN34" i="12"/>
  <c r="AL34" i="12"/>
  <c r="AK33" i="12"/>
  <c r="AM33" i="12"/>
  <c r="AN33" i="12"/>
  <c r="AL33" i="12"/>
  <c r="AM30" i="12"/>
  <c r="AN30" i="12"/>
  <c r="AK30" i="12"/>
  <c r="AL30" i="12"/>
  <c r="AN29" i="12"/>
  <c r="AK29" i="12"/>
  <c r="AM29" i="12"/>
  <c r="AL29" i="12"/>
  <c r="AK28" i="12"/>
  <c r="AL28" i="12"/>
  <c r="AM28" i="12"/>
  <c r="AN28" i="12"/>
  <c r="AN26" i="12"/>
  <c r="AM26" i="12"/>
  <c r="AL26" i="12"/>
  <c r="AK26" i="12"/>
  <c r="AK24" i="12"/>
  <c r="AN24" i="12"/>
  <c r="AM24" i="12"/>
  <c r="AL24" i="12"/>
  <c r="AN27" i="12"/>
  <c r="AM27" i="12"/>
  <c r="AL27" i="12"/>
  <c r="AK27" i="12"/>
  <c r="AK25" i="12"/>
  <c r="AN25" i="12"/>
  <c r="AM25" i="12"/>
  <c r="AL25" i="12"/>
  <c r="AM23" i="12"/>
  <c r="AK23" i="12"/>
  <c r="AN23" i="12"/>
  <c r="AL23" i="12"/>
  <c r="AK22" i="12"/>
  <c r="AL22" i="12"/>
  <c r="AN22" i="12"/>
  <c r="AM22" i="12"/>
  <c r="AI57" i="12"/>
  <c r="AH57" i="12"/>
  <c r="AG57" i="12"/>
  <c r="O80" i="12" l="1"/>
  <c r="M80" i="12"/>
  <c r="N80" i="12"/>
  <c r="L80" i="12"/>
  <c r="K80" i="12"/>
  <c r="I81" i="12"/>
  <c r="AF57" i="12"/>
  <c r="AZ24" i="12"/>
  <c r="AZ22" i="12"/>
  <c r="AZ26" i="12"/>
  <c r="AZ23" i="12"/>
  <c r="AZ29" i="12"/>
  <c r="AZ30" i="12"/>
  <c r="AZ27" i="12"/>
  <c r="AZ33" i="12"/>
  <c r="AZ28" i="12"/>
  <c r="AZ25" i="12"/>
  <c r="AA76" i="12" l="1"/>
  <c r="AA77" i="12"/>
  <c r="AA78" i="12"/>
  <c r="AA79" i="12"/>
  <c r="AB78" i="12"/>
  <c r="AB79" i="12"/>
  <c r="AB77" i="12"/>
  <c r="AB76" i="12"/>
  <c r="AD77" i="12"/>
  <c r="AD79" i="12"/>
  <c r="AD76" i="12"/>
  <c r="AD78" i="12"/>
  <c r="K81" i="12"/>
  <c r="O81" i="12"/>
  <c r="U71" i="12" s="1"/>
  <c r="V71" i="12" s="1"/>
  <c r="L81" i="12"/>
  <c r="N81" i="12"/>
  <c r="M81" i="12"/>
  <c r="AZ34" i="12"/>
  <c r="AZ51" i="12"/>
  <c r="AZ52" i="12"/>
  <c r="AZ49" i="12"/>
  <c r="AZ47" i="12"/>
  <c r="AZ50" i="12"/>
  <c r="AZ53" i="12"/>
  <c r="AZ55" i="12"/>
  <c r="AZ45" i="12" l="1"/>
  <c r="AZ44" i="12"/>
  <c r="AZ43" i="12"/>
  <c r="AZ42" i="12"/>
  <c r="AK59" i="12" l="1" a="1"/>
  <c r="AM59" i="12" s="1"/>
  <c r="AN59" i="12" l="1"/>
  <c r="AK59" i="12"/>
  <c r="AL59" i="12"/>
  <c r="AW32" i="12"/>
  <c r="AZ32" i="12" s="1"/>
  <c r="AO35" i="12"/>
  <c r="AZ35" i="12" l="1"/>
  <c r="AL60" i="12"/>
  <c r="AM60" i="12"/>
  <c r="AN60" i="12"/>
  <c r="AW31" i="12"/>
  <c r="AW57" i="12" s="1"/>
  <c r="AK60" i="12"/>
  <c r="AL48" i="12" l="1"/>
  <c r="AL56" i="12"/>
  <c r="AK48" i="12"/>
  <c r="AK56" i="12"/>
  <c r="AN48" i="12"/>
  <c r="AN56" i="12"/>
  <c r="AM48" i="12"/>
  <c r="AM56" i="12"/>
  <c r="AK41" i="12"/>
  <c r="AK46" i="12"/>
  <c r="AN41" i="12"/>
  <c r="AN46" i="12"/>
  <c r="AM41" i="12"/>
  <c r="AM46" i="12"/>
  <c r="AL41" i="12"/>
  <c r="AL46" i="12"/>
  <c r="AZ31" i="12"/>
  <c r="AK3" i="12" l="1"/>
  <c r="AK4" i="12"/>
  <c r="AM54" i="12"/>
  <c r="AM57" i="12" s="1"/>
  <c r="AN54" i="12"/>
  <c r="AN57" i="12" s="1"/>
  <c r="AL54" i="12"/>
  <c r="AK54" i="12"/>
  <c r="AK57" i="12" s="1"/>
  <c r="AZ56" i="12"/>
  <c r="AY54" i="12" s="1"/>
  <c r="AZ48" i="12"/>
  <c r="AP46" i="12" s="1" a="1"/>
  <c r="AZ41" i="12"/>
  <c r="AJ54" i="12" s="1"/>
  <c r="AJ57" i="12" s="1"/>
  <c r="AJ1" i="12" l="1"/>
  <c r="AL57" i="12"/>
  <c r="U67" i="12" s="1" a="1"/>
  <c r="AP46" i="12"/>
  <c r="AQ46" i="12"/>
  <c r="AQ57" i="12" s="1"/>
  <c r="AU46" i="12"/>
  <c r="AU57" i="12" s="1"/>
  <c r="AT46" i="12"/>
  <c r="AT57" i="12" s="1"/>
  <c r="AR46" i="12"/>
  <c r="AR57" i="12" s="1"/>
  <c r="AV46" i="12"/>
  <c r="AV57" i="12" s="1"/>
  <c r="AS46" i="12"/>
  <c r="AS57" i="12" s="1"/>
  <c r="U67" i="12" l="1"/>
  <c r="V67" i="12" s="1"/>
  <c r="U70" i="12"/>
  <c r="V70" i="12" s="1"/>
  <c r="U68" i="12"/>
  <c r="V68" i="12" s="1"/>
  <c r="U69" i="12"/>
  <c r="V69" i="12" s="1"/>
  <c r="AP57" i="12"/>
  <c r="AZ46" i="12"/>
  <c r="AO54" i="12" l="1"/>
  <c r="AO57" i="12" l="1"/>
  <c r="AZ54" i="12"/>
  <c r="AY57" i="12"/>
  <c r="A8" i="12" l="1" a="1"/>
  <c r="A14" i="12" s="1"/>
  <c r="A56" i="12" l="1"/>
  <c r="A51" i="12"/>
  <c r="A19" i="12"/>
  <c r="A13" i="12"/>
  <c r="A41" i="12"/>
  <c r="A55" i="12"/>
  <c r="A50" i="12"/>
  <c r="A22" i="12"/>
  <c r="A17" i="12"/>
  <c r="A12" i="12"/>
  <c r="A26" i="12"/>
  <c r="A15" i="12"/>
  <c r="A31" i="12"/>
  <c r="A43" i="12"/>
  <c r="A40" i="12"/>
  <c r="A11" i="12"/>
  <c r="A52" i="12"/>
  <c r="A37" i="12"/>
  <c r="A33" i="12"/>
  <c r="A38" i="12"/>
  <c r="A48" i="12"/>
  <c r="A47" i="12"/>
  <c r="A29" i="12"/>
  <c r="A16" i="12"/>
  <c r="A18" i="12"/>
  <c r="A44" i="12"/>
  <c r="A34" i="12"/>
  <c r="A25" i="12"/>
  <c r="A45" i="12"/>
  <c r="A23" i="12"/>
  <c r="A39" i="12"/>
  <c r="A46" i="12"/>
  <c r="A54" i="12"/>
  <c r="A28" i="12"/>
  <c r="A24" i="12"/>
  <c r="A20" i="12"/>
  <c r="A9" i="12"/>
  <c r="A36" i="12"/>
  <c r="A21" i="12"/>
  <c r="A35" i="12"/>
  <c r="A8" i="12"/>
  <c r="A53" i="12"/>
  <c r="A10" i="12"/>
  <c r="A30" i="12"/>
  <c r="A49" i="12"/>
  <c r="A27" i="12"/>
  <c r="A32" i="12"/>
  <c r="A4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</author>
  </authors>
  <commentList>
    <comment ref="D6" authorId="0" shapeId="0" xr:uid="{C5F03E59-17D1-4AF7-8E9C-4B864355342E}">
      <text>
        <r>
          <rPr>
            <sz val="9"/>
            <color indexed="81"/>
            <rFont val="Tahoma"/>
            <family val="2"/>
          </rPr>
          <t>Elasticity of substitution between factors.</t>
        </r>
      </text>
    </comment>
    <comment ref="E6" authorId="0" shapeId="0" xr:uid="{BD57E786-7BFE-4555-9C6C-F84683361BC7}">
      <text>
        <r>
          <rPr>
            <sz val="9"/>
            <color indexed="81"/>
            <rFont val="Tahoma"/>
            <family val="2"/>
          </rPr>
          <t xml:space="preserve">Elasticity of substitution between aggregate factor and intermediate. </t>
        </r>
      </text>
    </comment>
    <comment ref="F6" authorId="0" shapeId="0" xr:uid="{F3CE11C6-5EB8-45DC-9C1A-C68A96FA618A}">
      <text>
        <r>
          <rPr>
            <b/>
            <sz val="9"/>
            <color indexed="81"/>
            <rFont val="Tahoma"/>
            <family val="2"/>
          </rPr>
          <t>Aggregation elasticity</t>
        </r>
        <r>
          <rPr>
            <sz val="9"/>
            <color indexed="81"/>
            <rFont val="Tahoma"/>
            <family val="2"/>
          </rPr>
          <t xml:space="preserve">
CET elasticity for C to A
output aggregation
If AGGREGCA(A) = 1</t>
        </r>
      </text>
    </comment>
    <comment ref="J6" authorId="0" shapeId="0" xr:uid="{A77BAA40-C269-47E4-953A-ADBA8F2D51A0}">
      <text>
        <r>
          <rPr>
            <sz val="9"/>
            <color indexed="81"/>
            <rFont val="Tahoma"/>
            <family val="2"/>
          </rPr>
          <t xml:space="preserve">Elasticity of substitution between aggregate factor and intermediate. </t>
        </r>
      </text>
    </comment>
    <comment ref="K6" authorId="0" shapeId="0" xr:uid="{2CE54F2C-5E23-436F-9651-C80FB84BBE57}">
      <text>
        <r>
          <rPr>
            <b/>
            <sz val="9"/>
            <color indexed="81"/>
            <rFont val="Tahoma"/>
            <family val="2"/>
          </rPr>
          <t>Armington Elasticity</t>
        </r>
        <r>
          <rPr>
            <sz val="9"/>
            <color indexed="81"/>
            <rFont val="Tahoma"/>
            <family val="2"/>
          </rPr>
          <t xml:space="preserve">
Elasticity of substitution between imports and domestic output in domestic demand.</t>
        </r>
      </text>
    </comment>
    <comment ref="L6" authorId="0" shapeId="0" xr:uid="{966DE0FD-AE8C-49BA-8323-17D51DA4738A}">
      <text>
        <r>
          <rPr>
            <b/>
            <sz val="9"/>
            <color indexed="81"/>
            <rFont val="Tahoma"/>
            <family val="2"/>
          </rPr>
          <t xml:space="preserve">CET Elasticity
</t>
        </r>
        <r>
          <rPr>
            <sz val="9"/>
            <color indexed="81"/>
            <rFont val="Tahoma"/>
            <family val="2"/>
          </rPr>
          <t>Elasticity of transformation between exports and domestic supplies in domestic marketed output.</t>
        </r>
      </text>
    </comment>
    <comment ref="P6" authorId="0" shapeId="0" xr:uid="{030C97F5-1F46-4642-BDA2-440178493933}">
      <text>
        <r>
          <rPr>
            <b/>
            <sz val="9"/>
            <color indexed="81"/>
            <rFont val="Tahoma"/>
            <family val="2"/>
          </rPr>
          <t xml:space="preserve">Lower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</author>
  </authors>
  <commentList>
    <comment ref="H5" authorId="0" shapeId="0" xr:uid="{02F8D5B1-C2A8-4D83-BF3B-0DAF343E1622}">
      <text>
        <r>
          <rPr>
            <b/>
            <sz val="9"/>
            <color indexed="81"/>
            <rFont val="Tahoma"/>
            <family val="2"/>
          </rPr>
          <t>Commodities:</t>
        </r>
        <r>
          <rPr>
            <sz val="9"/>
            <color indexed="81"/>
            <rFont val="Tahoma"/>
            <family val="2"/>
          </rPr>
          <t xml:space="preserve">
Expenditure elasticity of market demand for commodity C by household H.</t>
        </r>
      </text>
    </comment>
    <comment ref="I5" authorId="0" shapeId="0" xr:uid="{70A49BF1-2AE9-4CA1-B3D5-5C39B12B75C7}">
      <text>
        <r>
          <rPr>
            <b/>
            <sz val="9"/>
            <color indexed="81"/>
            <rFont val="Tahoma"/>
            <family val="2"/>
          </rPr>
          <t>Activities:</t>
        </r>
        <r>
          <rPr>
            <sz val="9"/>
            <color indexed="81"/>
            <rFont val="Tahoma"/>
            <family val="2"/>
          </rPr>
          <t xml:space="preserve">
Expenditure elasticity of home demand for output from activity A by household H.</t>
        </r>
      </text>
    </comment>
    <comment ref="D6" authorId="0" shapeId="0" xr:uid="{BAFE4F61-E741-48A5-B4D4-70C05393EF60}">
      <text>
        <r>
          <rPr>
            <sz val="9"/>
            <color indexed="81"/>
            <rFont val="Tahoma"/>
            <family val="2"/>
          </rPr>
          <t>Frisch parameter for household LES demand.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</author>
  </authors>
  <commentList>
    <comment ref="H5" authorId="0" shapeId="0" xr:uid="{AA5AABCC-CEB0-4064-B247-16178D7CAB84}">
      <text>
        <r>
          <rPr>
            <sz val="9"/>
            <color indexed="81"/>
            <rFont val="Tahoma"/>
            <family val="2"/>
          </rPr>
          <t xml:space="preserve">Sector employment:
Base year quantity of factor F employed by activity A. </t>
        </r>
      </text>
    </comment>
    <comment ref="D6" authorId="0" shapeId="0" xr:uid="{A9C171D3-6B74-433F-A30E-09AD4BF10D10}">
      <text>
        <r>
          <rPr>
            <b/>
            <sz val="9"/>
            <color indexed="81"/>
            <rFont val="Tahoma"/>
            <family val="2"/>
          </rPr>
          <t xml:space="preserve">Factor supply: </t>
        </r>
        <r>
          <rPr>
            <sz val="9"/>
            <color indexed="81"/>
            <rFont val="Tahoma"/>
            <family val="2"/>
          </rPr>
          <t xml:space="preserve">
Base-year quantity of supply for factor F.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</author>
  </authors>
  <commentList>
    <comment ref="H5" authorId="0" shapeId="0" xr:uid="{E1BECB30-D00B-4092-939D-3B9C138C0E4A}">
      <text>
        <r>
          <rPr>
            <sz val="9"/>
            <color indexed="81"/>
            <rFont val="Tahoma"/>
            <family val="2"/>
          </rPr>
          <t xml:space="preserve">Sector employment:
Base year quantity of factor F employed by activity A. </t>
        </r>
      </text>
    </comment>
    <comment ref="D6" authorId="0" shapeId="0" xr:uid="{CD067396-ED13-4C28-9D42-1AD04B2616C1}">
      <text>
        <r>
          <rPr>
            <b/>
            <sz val="9"/>
            <color indexed="81"/>
            <rFont val="Tahoma"/>
            <family val="2"/>
          </rPr>
          <t xml:space="preserve">Population:
</t>
        </r>
        <r>
          <rPr>
            <sz val="9"/>
            <color indexed="81"/>
            <rFont val="Tahoma"/>
            <family val="2"/>
          </rPr>
          <t>Base year population for household H (individuals per representative household group).</t>
        </r>
      </text>
    </comment>
  </commentList>
</comments>
</file>

<file path=xl/sharedStrings.xml><?xml version="1.0" encoding="utf-8"?>
<sst xmlns="http://schemas.openxmlformats.org/spreadsheetml/2006/main" count="3661" uniqueCount="769">
  <si>
    <t>GDX Index</t>
  </si>
  <si>
    <t>rdim</t>
  </si>
  <si>
    <t>cdim</t>
  </si>
  <si>
    <t>dim</t>
  </si>
  <si>
    <t>AC</t>
  </si>
  <si>
    <t>dset</t>
  </si>
  <si>
    <t>A</t>
  </si>
  <si>
    <t>AAGR</t>
  </si>
  <si>
    <t>C</t>
  </si>
  <si>
    <t>CAGR</t>
  </si>
  <si>
    <t>CTC</t>
  </si>
  <si>
    <t>CTD</t>
  </si>
  <si>
    <t>CTE</t>
  </si>
  <si>
    <t>CTM</t>
  </si>
  <si>
    <t>F</t>
  </si>
  <si>
    <t>FLAB</t>
  </si>
  <si>
    <t>FLND</t>
  </si>
  <si>
    <t>flnd</t>
  </si>
  <si>
    <t>FCAP</t>
  </si>
  <si>
    <t>fcap</t>
  </si>
  <si>
    <t>INS</t>
  </si>
  <si>
    <t>INSD</t>
  </si>
  <si>
    <t>INSDNG</t>
  </si>
  <si>
    <t>EN</t>
  </si>
  <si>
    <t>H</t>
  </si>
  <si>
    <t>RW</t>
  </si>
  <si>
    <t>AIND</t>
  </si>
  <si>
    <t>par</t>
  </si>
  <si>
    <t>SAM</t>
  </si>
  <si>
    <t>ELASAC</t>
  </si>
  <si>
    <t>FRISCH</t>
  </si>
  <si>
    <t>LESELAS1</t>
  </si>
  <si>
    <t>LESELAS2</t>
  </si>
  <si>
    <t>POP</t>
  </si>
  <si>
    <t>QFSBASE</t>
  </si>
  <si>
    <t>QFBASE</t>
  </si>
  <si>
    <t>Set Definitions</t>
  </si>
  <si>
    <t>Global</t>
  </si>
  <si>
    <t>All</t>
  </si>
  <si>
    <t>Agriculture</t>
  </si>
  <si>
    <t>Factors</t>
  </si>
  <si>
    <t>Labor</t>
  </si>
  <si>
    <t>Land</t>
  </si>
  <si>
    <t>Capital</t>
  </si>
  <si>
    <t>Domestic</t>
  </si>
  <si>
    <t>Domestic non-government</t>
  </si>
  <si>
    <t>Households</t>
  </si>
  <si>
    <t>Enterprises</t>
  </si>
  <si>
    <t>GV</t>
  </si>
  <si>
    <t>Government</t>
  </si>
  <si>
    <t>Other accounts</t>
  </si>
  <si>
    <t>Rest of world</t>
  </si>
  <si>
    <t>SI</t>
  </si>
  <si>
    <t>Savings-investment</t>
  </si>
  <si>
    <t>Stocks</t>
  </si>
  <si>
    <t>cstap</t>
  </si>
  <si>
    <t>cpuls</t>
  </si>
  <si>
    <t>cvege</t>
  </si>
  <si>
    <t>cexpo</t>
  </si>
  <si>
    <t>clive</t>
  </si>
  <si>
    <t>cmine</t>
  </si>
  <si>
    <t>cfood</t>
  </si>
  <si>
    <t>cagro</t>
  </si>
  <si>
    <t>cmanu</t>
  </si>
  <si>
    <t>cmach</t>
  </si>
  <si>
    <t>ccons</t>
  </si>
  <si>
    <t>ctran</t>
  </si>
  <si>
    <t>cbsrv</t>
  </si>
  <si>
    <t>ccsrv</t>
  </si>
  <si>
    <t>trc</t>
  </si>
  <si>
    <t>trd</t>
  </si>
  <si>
    <t>tre</t>
  </si>
  <si>
    <t>trm</t>
  </si>
  <si>
    <t>flab-l</t>
  </si>
  <si>
    <t>flab-h</t>
  </si>
  <si>
    <t>ent</t>
  </si>
  <si>
    <t>hhd-r-p</t>
  </si>
  <si>
    <t>hhd-r-n</t>
  </si>
  <si>
    <t>hhd-u-p</t>
  </si>
  <si>
    <t>hhd-u-n</t>
  </si>
  <si>
    <t>gov</t>
  </si>
  <si>
    <t>dtax</t>
  </si>
  <si>
    <t>mtax</t>
  </si>
  <si>
    <t>stax</t>
  </si>
  <si>
    <t>s-i</t>
  </si>
  <si>
    <t>dstk</t>
  </si>
  <si>
    <t>row</t>
  </si>
  <si>
    <t>total</t>
  </si>
  <si>
    <t>instax</t>
  </si>
  <si>
    <t>factax</t>
  </si>
  <si>
    <t>imptax</t>
  </si>
  <si>
    <t>exptax</t>
  </si>
  <si>
    <t>acttax</t>
  </si>
  <si>
    <t>comtax</t>
  </si>
  <si>
    <t>sets!c7</t>
  </si>
  <si>
    <t>sets!d7</t>
  </si>
  <si>
    <t>sets!e7</t>
  </si>
  <si>
    <t>sets!f7</t>
  </si>
  <si>
    <t>sets!g7</t>
  </si>
  <si>
    <t>sets!h7</t>
  </si>
  <si>
    <t>sets!i7</t>
  </si>
  <si>
    <t>sets!j7</t>
  </si>
  <si>
    <t>sets!k7</t>
  </si>
  <si>
    <t>sets!l7</t>
  </si>
  <si>
    <t>sets!m7</t>
  </si>
  <si>
    <t>sets!n7</t>
  </si>
  <si>
    <t>sets!o7</t>
  </si>
  <si>
    <t>sets!p7</t>
  </si>
  <si>
    <t>sets!q7</t>
  </si>
  <si>
    <t>sets!r7</t>
  </si>
  <si>
    <t>STK</t>
  </si>
  <si>
    <t>Industry</t>
  </si>
  <si>
    <t>Services</t>
  </si>
  <si>
    <t>ASRV</t>
  </si>
  <si>
    <t>CIND</t>
  </si>
  <si>
    <t>CSRV</t>
  </si>
  <si>
    <t>sets!s7</t>
  </si>
  <si>
    <t>sets!t7</t>
  </si>
  <si>
    <t>sets!u7</t>
  </si>
  <si>
    <t>sets!v7</t>
  </si>
  <si>
    <t>Social Accounting Matrix</t>
  </si>
  <si>
    <t>sam!a7</t>
  </si>
  <si>
    <t>SAMSCALE</t>
  </si>
  <si>
    <t>SIGMAQ</t>
  </si>
  <si>
    <t>SIGMAT</t>
  </si>
  <si>
    <t>Imports</t>
  </si>
  <si>
    <t>Exports</t>
  </si>
  <si>
    <t>Intermediates</t>
  </si>
  <si>
    <t>Activity elasticities</t>
  </si>
  <si>
    <t>Commodity elasticities</t>
  </si>
  <si>
    <t>Aggregation</t>
  </si>
  <si>
    <t>ELASCA</t>
  </si>
  <si>
    <t>Production functional forms</t>
  </si>
  <si>
    <t>ELASPRD2</t>
  </si>
  <si>
    <t>ELASPRD</t>
  </si>
  <si>
    <t>AELAS</t>
  </si>
  <si>
    <t>CELAS</t>
  </si>
  <si>
    <t>FFORM</t>
  </si>
  <si>
    <t>Frisch parameters</t>
  </si>
  <si>
    <t>Total factor supply</t>
  </si>
  <si>
    <t>Factor employment by activity</t>
  </si>
  <si>
    <t>Household populations</t>
  </si>
  <si>
    <t>Direct taxes on domestic institutions</t>
  </si>
  <si>
    <t>Import taxes</t>
  </si>
  <si>
    <t>Export taxes</t>
  </si>
  <si>
    <t>Taxes on activity revenue</t>
  </si>
  <si>
    <t>Taxes on factor earnings by activity</t>
  </si>
  <si>
    <t>Taxes on commodity sales in domestic market</t>
  </si>
  <si>
    <t>Transaction costs</t>
  </si>
  <si>
    <t>Export</t>
  </si>
  <si>
    <t>Aggregate</t>
  </si>
  <si>
    <t>x</t>
  </si>
  <si>
    <t>sets!w7</t>
  </si>
  <si>
    <t>sets!x7</t>
  </si>
  <si>
    <t>sets!y7</t>
  </si>
  <si>
    <t>sets!z7</t>
  </si>
  <si>
    <t>Direct factor taxes by activity</t>
  </si>
  <si>
    <t>sets!aa7</t>
  </si>
  <si>
    <t>HELAS</t>
  </si>
  <si>
    <t>POPSCALE</t>
  </si>
  <si>
    <t>ftax</t>
  </si>
  <si>
    <t>etax</t>
  </si>
  <si>
    <t>atax</t>
  </si>
  <si>
    <t>vtax</t>
  </si>
  <si>
    <t>100% exported</t>
  </si>
  <si>
    <t>100% imported</t>
  </si>
  <si>
    <t>E</t>
  </si>
  <si>
    <t>ACCES</t>
  </si>
  <si>
    <t>ACES</t>
  </si>
  <si>
    <t>vattax</t>
  </si>
  <si>
    <t>Country</t>
  </si>
  <si>
    <t>Year</t>
  </si>
  <si>
    <t>Units</t>
  </si>
  <si>
    <t>Activities and commodities</t>
  </si>
  <si>
    <t>aact1</t>
  </si>
  <si>
    <t>aact2</t>
  </si>
  <si>
    <t>aact3</t>
  </si>
  <si>
    <t>aact4</t>
  </si>
  <si>
    <t>aact5</t>
  </si>
  <si>
    <t>aact6</t>
  </si>
  <si>
    <t>aact7</t>
  </si>
  <si>
    <t>aact8</t>
  </si>
  <si>
    <t>aact9</t>
  </si>
  <si>
    <t>aact10</t>
  </si>
  <si>
    <t>aact11</t>
  </si>
  <si>
    <t>aact12</t>
  </si>
  <si>
    <t>aact13</t>
  </si>
  <si>
    <t>aact14</t>
  </si>
  <si>
    <t>ccom1</t>
  </si>
  <si>
    <t>ccom2</t>
  </si>
  <si>
    <t>ccom3</t>
  </si>
  <si>
    <t>ccom4</t>
  </si>
  <si>
    <t>ccom5</t>
  </si>
  <si>
    <t>ccom6</t>
  </si>
  <si>
    <t>ccom7</t>
  </si>
  <si>
    <t>ccom8</t>
  </si>
  <si>
    <t>ccom9</t>
  </si>
  <si>
    <t>ccom10</t>
  </si>
  <si>
    <t>ccom11</t>
  </si>
  <si>
    <t>ccom12</t>
  </si>
  <si>
    <t>ccom13</t>
  </si>
  <si>
    <t>ccom14</t>
  </si>
  <si>
    <t>flab-1</t>
  </si>
  <si>
    <t>flab-2</t>
  </si>
  <si>
    <t>hhd-1</t>
  </si>
  <si>
    <t>hhd-2</t>
  </si>
  <si>
    <t>hhd-3</t>
  </si>
  <si>
    <t>hhd-4</t>
  </si>
  <si>
    <t>aact15</t>
  </si>
  <si>
    <t>fcap-1</t>
  </si>
  <si>
    <t>fcap-2</t>
  </si>
  <si>
    <t>hhd-5</t>
  </si>
  <si>
    <t>Taxes - activity</t>
  </si>
  <si>
    <t>Taxes - direct</t>
  </si>
  <si>
    <t>Taxes - export</t>
  </si>
  <si>
    <t>Taxes - factor</t>
  </si>
  <si>
    <t>Taxes - import</t>
  </si>
  <si>
    <t>Taxes - sales</t>
  </si>
  <si>
    <t>Change in stocks</t>
  </si>
  <si>
    <t>Total</t>
  </si>
  <si>
    <t>Taxes - value-added</t>
  </si>
  <si>
    <t>Taxes</t>
  </si>
  <si>
    <t>set</t>
  </si>
  <si>
    <t>Household Income Elasticities of Demand</t>
  </si>
  <si>
    <t>Factor Quantities</t>
  </si>
  <si>
    <t>Household Populations and Factor Endowments</t>
  </si>
  <si>
    <t>QFSHBASE</t>
  </si>
  <si>
    <t>Value-added</t>
  </si>
  <si>
    <t>Employment by activity</t>
  </si>
  <si>
    <t>Income</t>
  </si>
  <si>
    <t>Population</t>
  </si>
  <si>
    <t>Per capita income</t>
  </si>
  <si>
    <t>Household factor endowments</t>
  </si>
  <si>
    <t>Household factor incomes</t>
  </si>
  <si>
    <t xml:space="preserve">   SAM values</t>
  </si>
  <si>
    <t xml:space="preserve">   Labor quantities</t>
  </si>
  <si>
    <t xml:space="preserve">   Land quantities</t>
  </si>
  <si>
    <t xml:space="preserve">   Capital quantities</t>
  </si>
  <si>
    <t xml:space="preserve">   Household populations</t>
  </si>
  <si>
    <t xml:space="preserve">   LCU/FCU (e.g., per US$)</t>
  </si>
  <si>
    <t xml:space="preserve">   1 = quantities, 2 = wages</t>
  </si>
  <si>
    <t>LABSCALE</t>
  </si>
  <si>
    <t>LNDSCALE</t>
  </si>
  <si>
    <t>CAPSCALE</t>
  </si>
  <si>
    <t>EXRBASE</t>
  </si>
  <si>
    <t>QWBASE</t>
  </si>
  <si>
    <t>MAPTX</t>
  </si>
  <si>
    <t>Production-Trade Elasticities and Functional Forms</t>
  </si>
  <si>
    <t>TAXES</t>
  </si>
  <si>
    <t>dum</t>
  </si>
  <si>
    <t>Accounts</t>
  </si>
  <si>
    <t>Description</t>
  </si>
  <si>
    <t>Data Controls</t>
  </si>
  <si>
    <t xml:space="preserve">  Activities</t>
  </si>
  <si>
    <t xml:space="preserve">  Commodities</t>
  </si>
  <si>
    <t xml:space="preserve">  Factors</t>
  </si>
  <si>
    <t xml:space="preserve">  Institutions</t>
  </si>
  <si>
    <t xml:space="preserve">  Transaction costs</t>
  </si>
  <si>
    <t xml:space="preserve">  Other accounts</t>
  </si>
  <si>
    <t xml:space="preserve">  Mapping tax accounts</t>
  </si>
  <si>
    <r>
      <t xml:space="preserve">Data scaling factors </t>
    </r>
    <r>
      <rPr>
        <sz val="11"/>
        <color theme="0"/>
        <rFont val="Calibri"/>
        <family val="2"/>
        <scheme val="minor"/>
      </rPr>
      <t>(multipliers)</t>
    </r>
  </si>
  <si>
    <r>
      <t xml:space="preserve">Factor quantities or wages? </t>
    </r>
    <r>
      <rPr>
        <sz val="11"/>
        <color theme="0"/>
        <rFont val="Calibri"/>
        <family val="2"/>
        <scheme val="minor"/>
      </rPr>
      <t>(defaul is quantities)</t>
    </r>
  </si>
  <si>
    <r>
      <t>Exchange rate in SAM year</t>
    </r>
    <r>
      <rPr>
        <sz val="11"/>
        <color theme="0"/>
        <rFont val="Calibri"/>
        <family val="2"/>
        <scheme val="minor"/>
      </rPr>
      <t xml:space="preserve"> (default = 1)</t>
    </r>
  </si>
  <si>
    <t>Paste SAM with top-left corner in Cell A7</t>
  </si>
  <si>
    <t>Populations</t>
  </si>
  <si>
    <t>sets!ab7</t>
  </si>
  <si>
    <t>sets!ac7</t>
  </si>
  <si>
    <t>sets!af7</t>
  </si>
  <si>
    <t>elasticities!c6</t>
  </si>
  <si>
    <t>elasticities!i6</t>
  </si>
  <si>
    <t>elasticities!o6</t>
  </si>
  <si>
    <t>demand!c7</t>
  </si>
  <si>
    <t>demand!g6</t>
  </si>
  <si>
    <t>factors!c7</t>
  </si>
  <si>
    <t>factors!g6</t>
  </si>
  <si>
    <t>households!c7</t>
  </si>
  <si>
    <t>households!g6</t>
  </si>
  <si>
    <t>control!d5</t>
  </si>
  <si>
    <t>control!d6</t>
  </si>
  <si>
    <t>control!d7</t>
  </si>
  <si>
    <t>control!d8</t>
  </si>
  <si>
    <t>control!d9</t>
  </si>
  <si>
    <t>control!d13</t>
  </si>
  <si>
    <t>control!d17</t>
  </si>
  <si>
    <t>HPOP</t>
  </si>
  <si>
    <t>amaiz</t>
  </si>
  <si>
    <t>apuls</t>
  </si>
  <si>
    <t>aoils</t>
  </si>
  <si>
    <t>aroot</t>
  </si>
  <si>
    <t>avege</t>
  </si>
  <si>
    <t>asugr</t>
  </si>
  <si>
    <t>afrui</t>
  </si>
  <si>
    <t>acoff</t>
  </si>
  <si>
    <t>aocrp</t>
  </si>
  <si>
    <t>acatt</t>
  </si>
  <si>
    <t>apoul</t>
  </si>
  <si>
    <t>aoliv</t>
  </si>
  <si>
    <t>afore</t>
  </si>
  <si>
    <t>afish</t>
  </si>
  <si>
    <t>afood</t>
  </si>
  <si>
    <t>abeve</t>
  </si>
  <si>
    <t>atext</t>
  </si>
  <si>
    <t>awood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</si>
  <si>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</si>
  <si>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</si>
  <si>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</si>
  <si>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</si>
  <si>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</si>
  <si>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</si>
  <si>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</si>
  <si>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</si>
  <si>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atrad</t>
  </si>
  <si>
    <t>atran</t>
  </si>
  <si>
    <t>ahotl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</si>
  <si>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</si>
  <si>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</si>
  <si>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</si>
  <si>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</si>
  <si>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</si>
  <si>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</si>
  <si>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</si>
  <si>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</si>
  <si>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cmaiz</t>
  </si>
  <si>
    <t>coils</t>
  </si>
  <si>
    <t>croot</t>
  </si>
  <si>
    <t>csugr</t>
  </si>
  <si>
    <t>ctoba</t>
  </si>
  <si>
    <t>cfrui</t>
  </si>
  <si>
    <t>ccoff</t>
  </si>
  <si>
    <t>cocrp</t>
  </si>
  <si>
    <t>ccatt</t>
  </si>
  <si>
    <t>cpoul</t>
  </si>
  <si>
    <t>coliv</t>
  </si>
  <si>
    <t>cfore</t>
  </si>
  <si>
    <t>cfish</t>
  </si>
  <si>
    <t>cbeve</t>
  </si>
  <si>
    <t>ctext</t>
  </si>
  <si>
    <t>cwood</t>
  </si>
  <si>
    <t>cchem</t>
  </si>
  <si>
    <t>cnmet</t>
  </si>
  <si>
    <t>cmetl</t>
  </si>
  <si>
    <t>coman</t>
  </si>
  <si>
    <t>celec</t>
  </si>
  <si>
    <t>cwatr</t>
  </si>
  <si>
    <t>ctrad</t>
  </si>
  <si>
    <t>chotl</t>
  </si>
  <si>
    <t>ccomm</t>
  </si>
  <si>
    <t>cfsrv</t>
  </si>
  <si>
    <t>creal</t>
  </si>
  <si>
    <t>cpadm</t>
  </si>
  <si>
    <t>ceduc</t>
  </si>
  <si>
    <t>cheal</t>
  </si>
  <si>
    <t>cosrv</t>
  </si>
  <si>
    <t>aocer</t>
  </si>
  <si>
    <t>atoba</t>
  </si>
  <si>
    <t>acott</t>
  </si>
  <si>
    <t>cocer</t>
  </si>
  <si>
    <t>ccott</t>
  </si>
  <si>
    <t>Maize</t>
  </si>
  <si>
    <t>Other cereals</t>
  </si>
  <si>
    <t>Pulses</t>
  </si>
  <si>
    <t>Sugarcane</t>
  </si>
  <si>
    <t>Tobacco</t>
  </si>
  <si>
    <t>Cotton and fibres</t>
  </si>
  <si>
    <t>Other crops</t>
  </si>
  <si>
    <t>Other livestock</t>
  </si>
  <si>
    <t>Forestry</t>
  </si>
  <si>
    <t>Non-metal minerals</t>
  </si>
  <si>
    <t>Other manufacturing</t>
  </si>
  <si>
    <t>Electricity, gas and steam</t>
  </si>
  <si>
    <t>Water supply and sewage</t>
  </si>
  <si>
    <t>Construction</t>
  </si>
  <si>
    <t>Wholesale and retail trade</t>
  </si>
  <si>
    <t>Transportation and storage</t>
  </si>
  <si>
    <t>Information and communication</t>
  </si>
  <si>
    <t>Finance and insurance</t>
  </si>
  <si>
    <t>Real estate activities</t>
  </si>
  <si>
    <t>Business services</t>
  </si>
  <si>
    <t>Public administration</t>
  </si>
  <si>
    <t>Education</t>
  </si>
  <si>
    <t>Health and social work</t>
  </si>
  <si>
    <t>Other services</t>
  </si>
  <si>
    <t>Adjustments to SAM Trade Flows</t>
  </si>
  <si>
    <t>Remove small trade shares</t>
  </si>
  <si>
    <t>Re-exports</t>
  </si>
  <si>
    <t>Net out trade flows</t>
  </si>
  <si>
    <r>
      <t xml:space="preserve">Expenditure elasticties </t>
    </r>
    <r>
      <rPr>
        <sz val="11"/>
        <color theme="0"/>
        <rFont val="Calibri"/>
        <family val="2"/>
        <scheme val="minor"/>
      </rPr>
      <t>(activities and commodities)</t>
    </r>
  </si>
  <si>
    <t>adjust!c7</t>
  </si>
  <si>
    <t>adjust!d7</t>
  </si>
  <si>
    <t>adjust!g7</t>
  </si>
  <si>
    <t>adjust!k7</t>
  </si>
  <si>
    <t>adjust!j7</t>
  </si>
  <si>
    <t>Zero exports</t>
  </si>
  <si>
    <t>Zero imports</t>
  </si>
  <si>
    <t>Lower imports</t>
  </si>
  <si>
    <t>CXNET</t>
  </si>
  <si>
    <t>CXREM</t>
  </si>
  <si>
    <t>CMREM</t>
  </si>
  <si>
    <t>CXREX</t>
  </si>
  <si>
    <t>CMNET</t>
  </si>
  <si>
    <t>MAPAC</t>
  </si>
  <si>
    <t xml:space="preserve">  Mapping commodities</t>
  </si>
  <si>
    <t>Activities</t>
  </si>
  <si>
    <t>Commodities</t>
  </si>
  <si>
    <t>sets!ak7</t>
  </si>
  <si>
    <t xml:space="preserve"> 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</si>
  <si>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</si>
  <si>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</si>
  <si>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</si>
  <si>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</si>
  <si>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</si>
  <si>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</si>
  <si>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</si>
  <si>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</si>
  <si>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</t>
  </si>
  <si>
    <t>Animal products nec</t>
  </si>
  <si>
    <t>Raw milk</t>
  </si>
  <si>
    <t>Wool, silk-worm cocoons</t>
  </si>
  <si>
    <t>Fishing</t>
  </si>
  <si>
    <t>Coal</t>
  </si>
  <si>
    <t>Oil</t>
  </si>
  <si>
    <t>Gas</t>
  </si>
  <si>
    <t>Minerals nec</t>
  </si>
  <si>
    <t>Bovine meat prods</t>
  </si>
  <si>
    <t>Meat products nec</t>
  </si>
  <si>
    <t>Vegetable oils and fats</t>
  </si>
  <si>
    <t>Dairy products</t>
  </si>
  <si>
    <t>Processed rice</t>
  </si>
  <si>
    <t>Sugar</t>
  </si>
  <si>
    <t>Food products nec</t>
  </si>
  <si>
    <t>Beverages and tobacco products</t>
  </si>
  <si>
    <t>Textiles</t>
  </si>
  <si>
    <t>Wearing apparel</t>
  </si>
  <si>
    <t>Leather products</t>
  </si>
  <si>
    <t>Wood products</t>
  </si>
  <si>
    <t>Paper products, publishing</t>
  </si>
  <si>
    <t>Petroleum, coal products</t>
  </si>
  <si>
    <t>Chemical, rubber, plastic products</t>
  </si>
  <si>
    <t>Mineral products nec</t>
  </si>
  <si>
    <t>Ferrous metals</t>
  </si>
  <si>
    <t>metals nec</t>
  </si>
  <si>
    <t>Metal products</t>
  </si>
  <si>
    <t>Motor vehicles and parts</t>
  </si>
  <si>
    <t>Transport equipment nec</t>
  </si>
  <si>
    <t>Electronic equipment</t>
  </si>
  <si>
    <t>Machinery and equipment nec</t>
  </si>
  <si>
    <t>Manufactures nec</t>
  </si>
  <si>
    <t>Electricity</t>
  </si>
  <si>
    <t>Gas manufacture, distribution</t>
  </si>
  <si>
    <t>Water</t>
  </si>
  <si>
    <t>Trade</t>
  </si>
  <si>
    <t>Transport nec</t>
  </si>
  <si>
    <t>Water transport</t>
  </si>
  <si>
    <t>Air transport</t>
  </si>
  <si>
    <t>Communication</t>
  </si>
  <si>
    <t>Financial services nec</t>
  </si>
  <si>
    <t>Insurance</t>
  </si>
  <si>
    <t>Business services nec</t>
  </si>
  <si>
    <t>Recreational and other services</t>
  </si>
  <si>
    <t>Public Admin, Defense, Education,</t>
  </si>
  <si>
    <t>Dwellings</t>
  </si>
  <si>
    <r>
      <t>Reference: Global elasticity database</t>
    </r>
    <r>
      <rPr>
        <sz val="11"/>
        <color theme="0"/>
        <rFont val="Calibri"/>
        <family val="2"/>
        <scheme val="minor"/>
      </rPr>
      <t xml:space="preserve"> (GTAP)</t>
    </r>
  </si>
  <si>
    <t>Factor</t>
  </si>
  <si>
    <t>asorg</t>
  </si>
  <si>
    <t>awhea</t>
  </si>
  <si>
    <t>aspot</t>
  </si>
  <si>
    <t>anuts</t>
  </si>
  <si>
    <t>abana</t>
  </si>
  <si>
    <t>ateal</t>
  </si>
  <si>
    <t>amilk</t>
  </si>
  <si>
    <t>aeggs</t>
  </si>
  <si>
    <t>asmlr</t>
  </si>
  <si>
    <t>aaqua</t>
  </si>
  <si>
    <t>acoal</t>
  </si>
  <si>
    <t>acoil</t>
  </si>
  <si>
    <t>angas</t>
  </si>
  <si>
    <t>aomin</t>
  </si>
  <si>
    <t>ameat</t>
  </si>
  <si>
    <t>afsea</t>
  </si>
  <si>
    <t>afveg</t>
  </si>
  <si>
    <t>afoil</t>
  </si>
  <si>
    <t>adair</t>
  </si>
  <si>
    <t>ammll</t>
  </si>
  <si>
    <t>asmll</t>
  </si>
  <si>
    <t>armll</t>
  </si>
  <si>
    <t>awmll</t>
  </si>
  <si>
    <t>agmll</t>
  </si>
  <si>
    <t>asref</t>
  </si>
  <si>
    <t>apcof</t>
  </si>
  <si>
    <t>aptea</t>
  </si>
  <si>
    <t>afeed</t>
  </si>
  <si>
    <t>aptob</t>
  </si>
  <si>
    <t>aclth</t>
  </si>
  <si>
    <t>aleat</t>
  </si>
  <si>
    <t>apapr</t>
  </si>
  <si>
    <t>apetr</t>
  </si>
  <si>
    <t>afert</t>
  </si>
  <si>
    <t>aequi</t>
  </si>
  <si>
    <t>avehi</t>
  </si>
  <si>
    <t>arest</t>
  </si>
  <si>
    <t>csorg</t>
  </si>
  <si>
    <t>cwhea</t>
  </si>
  <si>
    <t>cgnut</t>
  </si>
  <si>
    <t>cipot</t>
  </si>
  <si>
    <t>cspot</t>
  </si>
  <si>
    <t>cnuts</t>
  </si>
  <si>
    <t>cbana</t>
  </si>
  <si>
    <t>cteal</t>
  </si>
  <si>
    <t>ccoco</t>
  </si>
  <si>
    <t>cflwr</t>
  </si>
  <si>
    <t>cmilk</t>
  </si>
  <si>
    <t>ceggs</t>
  </si>
  <si>
    <t>csmlr</t>
  </si>
  <si>
    <t>caqua</t>
  </si>
  <si>
    <t>ccoal</t>
  </si>
  <si>
    <t>ccoil</t>
  </si>
  <si>
    <t>cngas</t>
  </si>
  <si>
    <t>comin</t>
  </si>
  <si>
    <t>cmeat</t>
  </si>
  <si>
    <t>cfsea</t>
  </si>
  <si>
    <t>cfveg</t>
  </si>
  <si>
    <t>cfoil</t>
  </si>
  <si>
    <t>cdair</t>
  </si>
  <si>
    <t>cmmll</t>
  </si>
  <si>
    <t>csmll</t>
  </si>
  <si>
    <t>crmll</t>
  </si>
  <si>
    <t>cwmll</t>
  </si>
  <si>
    <t>cgmll</t>
  </si>
  <si>
    <t>csref</t>
  </si>
  <si>
    <t>cpcof</t>
  </si>
  <si>
    <t>cptea</t>
  </si>
  <si>
    <t>cfeed</t>
  </si>
  <si>
    <t>cptob</t>
  </si>
  <si>
    <t>cclth</t>
  </si>
  <si>
    <t>cleat</t>
  </si>
  <si>
    <t>cpapr</t>
  </si>
  <si>
    <t>cpetr</t>
  </si>
  <si>
    <t>cfert</t>
  </si>
  <si>
    <t>cequi</t>
  </si>
  <si>
    <t>cvehi</t>
  </si>
  <si>
    <t>crest</t>
  </si>
  <si>
    <t>flab-rn</t>
  </si>
  <si>
    <t>flab-rp</t>
  </si>
  <si>
    <t>flab-rs</t>
  </si>
  <si>
    <t>flab-rt</t>
  </si>
  <si>
    <t>flab-un</t>
  </si>
  <si>
    <t>flab-up</t>
  </si>
  <si>
    <t>flab-us</t>
  </si>
  <si>
    <t>flab-ut</t>
  </si>
  <si>
    <t>fcap-c</t>
  </si>
  <si>
    <t>fcap-l</t>
  </si>
  <si>
    <t>fcap-m</t>
  </si>
  <si>
    <t>fcap-n</t>
  </si>
  <si>
    <t>Wheat and barley</t>
  </si>
  <si>
    <t>agnut</t>
  </si>
  <si>
    <t>Groundnuts</t>
  </si>
  <si>
    <t>Other oilseeds</t>
  </si>
  <si>
    <t>acass</t>
  </si>
  <si>
    <t>ccass</t>
  </si>
  <si>
    <t>Cassava</t>
  </si>
  <si>
    <t>aipot</t>
  </si>
  <si>
    <t>Irish potatoes</t>
  </si>
  <si>
    <t>Sweet potatoes</t>
  </si>
  <si>
    <t>Other roots</t>
  </si>
  <si>
    <t>Other fruits</t>
  </si>
  <si>
    <t>Leaf tea</t>
  </si>
  <si>
    <t>Coffee</t>
  </si>
  <si>
    <t>acoco</t>
  </si>
  <si>
    <t>Cocoa</t>
  </si>
  <si>
    <t>aflwr</t>
  </si>
  <si>
    <t>Cut flowers</t>
  </si>
  <si>
    <t>arubb</t>
  </si>
  <si>
    <t>crubb</t>
  </si>
  <si>
    <t>Rubber</t>
  </si>
  <si>
    <t>Cattle</t>
  </si>
  <si>
    <t>Poultry</t>
  </si>
  <si>
    <t>Eggs</t>
  </si>
  <si>
    <t>Small ruminants</t>
  </si>
  <si>
    <t>Aquaculture</t>
  </si>
  <si>
    <t>Capture fisheries</t>
  </si>
  <si>
    <t>Coal and lignite</t>
  </si>
  <si>
    <t>Crude oil</t>
  </si>
  <si>
    <t>Natural gas</t>
  </si>
  <si>
    <t>Other mining</t>
  </si>
  <si>
    <t>Fish and seafood processing</t>
  </si>
  <si>
    <t>Fruit and vegetable processing</t>
  </si>
  <si>
    <t>Fats and oils</t>
  </si>
  <si>
    <t>Dairy</t>
  </si>
  <si>
    <t>Sugar refining</t>
  </si>
  <si>
    <t>Coffee processing</t>
  </si>
  <si>
    <t>Tea processing</t>
  </si>
  <si>
    <t>Other foods</t>
  </si>
  <si>
    <t>Animal feed</t>
  </si>
  <si>
    <t>Beverages</t>
  </si>
  <si>
    <t>Tobacco processing</t>
  </si>
  <si>
    <t>Clothing</t>
  </si>
  <si>
    <t>Leather and footwear</t>
  </si>
  <si>
    <t>Petroleum products</t>
  </si>
  <si>
    <t>Fertilizers and herbicides</t>
  </si>
  <si>
    <t>Other chemicals</t>
  </si>
  <si>
    <t>Electrical equipment</t>
  </si>
  <si>
    <t>Machinery and other equipment</t>
  </si>
  <si>
    <t>Accommodation</t>
  </si>
  <si>
    <t>Restaurants and food services</t>
  </si>
  <si>
    <t>Labor - rural uneducated</t>
  </si>
  <si>
    <t>Labor - rural primary</t>
  </si>
  <si>
    <t>Labor - rural secondary</t>
  </si>
  <si>
    <t>Labor - rural tertiary</t>
  </si>
  <si>
    <t>Labor - urban uneducated</t>
  </si>
  <si>
    <t>Labor - urban primary</t>
  </si>
  <si>
    <t>Labor - urban secondary</t>
  </si>
  <si>
    <t>Labor - urban tertiary</t>
  </si>
  <si>
    <t>Crop land</t>
  </si>
  <si>
    <t>Capital - crops</t>
  </si>
  <si>
    <t>Capital - livestock</t>
  </si>
  <si>
    <t>Capital - mining</t>
  </si>
  <si>
    <t>Capital - non-primary</t>
  </si>
  <si>
    <t>Rural - decile 1</t>
  </si>
  <si>
    <t>Rural - decile 2</t>
  </si>
  <si>
    <t>Rural - decile 3</t>
  </si>
  <si>
    <t>Rural - decile 4</t>
  </si>
  <si>
    <t>Rural - decile 5</t>
  </si>
  <si>
    <t>Rural - decile 6</t>
  </si>
  <si>
    <t>Rural - decile 7</t>
  </si>
  <si>
    <t>Rural - decile 8</t>
  </si>
  <si>
    <t>Rural - decile 9</t>
  </si>
  <si>
    <t>Rural - decile 10</t>
  </si>
  <si>
    <t>Urban - decile 1</t>
  </si>
  <si>
    <t>Urban - decile 2</t>
  </si>
  <si>
    <t>Urban - decile 3</t>
  </si>
  <si>
    <t>Urban - decile 4</t>
  </si>
  <si>
    <t>Urban - decile 5</t>
  </si>
  <si>
    <t>Urban - decile 6</t>
  </si>
  <si>
    <t>Urban - decile 7</t>
  </si>
  <si>
    <t>Urban - decile 8</t>
  </si>
  <si>
    <t>Urban - decile 9</t>
  </si>
  <si>
    <t>Urban - decile 10</t>
  </si>
  <si>
    <t>Sorghum and millet</t>
  </si>
  <si>
    <t>aaman</t>
  </si>
  <si>
    <t>aboro</t>
  </si>
  <si>
    <t>aleaf</t>
  </si>
  <si>
    <t>ajute</t>
  </si>
  <si>
    <t>armlc</t>
  </si>
  <si>
    <t>armlo</t>
  </si>
  <si>
    <t>abale</t>
  </si>
  <si>
    <t>apjut</t>
  </si>
  <si>
    <t>ayarn</t>
  </si>
  <si>
    <t>caman</t>
  </si>
  <si>
    <t>cboro</t>
  </si>
  <si>
    <t>cleaf</t>
  </si>
  <si>
    <t>cjute</t>
  </si>
  <si>
    <t>crmlc</t>
  </si>
  <si>
    <t>crmlo</t>
  </si>
  <si>
    <t>cbale</t>
  </si>
  <si>
    <t>cpjut</t>
  </si>
  <si>
    <t>cyarn</t>
  </si>
  <si>
    <t>hhd-u1</t>
  </si>
  <si>
    <t>hhd-u2</t>
  </si>
  <si>
    <t>hhd-u3</t>
  </si>
  <si>
    <t>hhd-u4</t>
  </si>
  <si>
    <t>hhd-u5</t>
  </si>
  <si>
    <t>hhd-r0</t>
  </si>
  <si>
    <t>hhd-r1</t>
  </si>
  <si>
    <t>hhd-r2</t>
  </si>
  <si>
    <t>hhd-r3</t>
  </si>
  <si>
    <t>hhd-r4</t>
  </si>
  <si>
    <t>hhd-r5</t>
  </si>
  <si>
    <t>hhd-r6</t>
  </si>
  <si>
    <t>hhd-r7</t>
  </si>
  <si>
    <t>hhd-r8</t>
  </si>
  <si>
    <t>hhd-r9</t>
  </si>
  <si>
    <t>hhd-u0</t>
  </si>
  <si>
    <t>hhd-u6</t>
  </si>
  <si>
    <t>hhd-u7</t>
  </si>
  <si>
    <t>hhd-u8</t>
  </si>
  <si>
    <t>hhd-u9</t>
  </si>
  <si>
    <t>Leafy vegetables</t>
  </si>
  <si>
    <t>Other vegetables</t>
  </si>
  <si>
    <t>Jute</t>
  </si>
  <si>
    <t>Nuts</t>
  </si>
  <si>
    <t>Bananas and plantains</t>
  </si>
  <si>
    <t>Meat processing</t>
  </si>
  <si>
    <t>Maize milling</t>
  </si>
  <si>
    <t>Sorghum and millet milling</t>
  </si>
  <si>
    <t>Rice milling</t>
  </si>
  <si>
    <t>Rice milling - coarse</t>
  </si>
  <si>
    <t>Rice milling - other</t>
  </si>
  <si>
    <t>Wheat and barley milling</t>
  </si>
  <si>
    <t>Other grain milling</t>
  </si>
  <si>
    <t>Jute baling</t>
  </si>
  <si>
    <t>Jute fabrication</t>
  </si>
  <si>
    <t>Cotton yarn</t>
  </si>
  <si>
    <t>Paper products and publishing</t>
  </si>
  <si>
    <t>Metals and metal products</t>
  </si>
  <si>
    <t>Vehicles and transport equipment</t>
  </si>
  <si>
    <t>Rice paddy (Aman)</t>
  </si>
  <si>
    <t>Rice paddy (Boro)</t>
  </si>
  <si>
    <t>arice</t>
  </si>
  <si>
    <t>abean</t>
  </si>
  <si>
    <t>apeas</t>
  </si>
  <si>
    <t>abanb</t>
  </si>
  <si>
    <t>abanc</t>
  </si>
  <si>
    <t>abans</t>
  </si>
  <si>
    <t>asoya</t>
  </si>
  <si>
    <t>apyre</t>
  </si>
  <si>
    <t>abake</t>
  </si>
  <si>
    <t>aprnt</t>
  </si>
  <si>
    <t>aphar</t>
  </si>
  <si>
    <t>aprub</t>
  </si>
  <si>
    <t>aceme</t>
  </si>
  <si>
    <t>afurn</t>
  </si>
  <si>
    <t>apost</t>
  </si>
  <si>
    <t>ainfo</t>
  </si>
  <si>
    <t>abank</t>
  </si>
  <si>
    <t>ainsu</t>
  </si>
  <si>
    <t>aofsv</t>
  </si>
  <si>
    <t>arent</t>
  </si>
  <si>
    <t>aobsv</t>
  </si>
  <si>
    <t>asocw</t>
  </si>
  <si>
    <t>acult</t>
  </si>
  <si>
    <t>aarts</t>
  </si>
  <si>
    <t>adsrv</t>
  </si>
  <si>
    <t>crice</t>
  </si>
  <si>
    <t>cbean</t>
  </si>
  <si>
    <t>cpeas</t>
  </si>
  <si>
    <t>cbanb</t>
  </si>
  <si>
    <t>cbanc</t>
  </si>
  <si>
    <t>cbans</t>
  </si>
  <si>
    <t>csoya</t>
  </si>
  <si>
    <t>cpyre</t>
  </si>
  <si>
    <t>cbake</t>
  </si>
  <si>
    <t>cprnt</t>
  </si>
  <si>
    <t>cphar</t>
  </si>
  <si>
    <t>cprub</t>
  </si>
  <si>
    <t>cceme</t>
  </si>
  <si>
    <t>cfurn</t>
  </si>
  <si>
    <t>cpost</t>
  </si>
  <si>
    <t>cinfo</t>
  </si>
  <si>
    <t>cbank</t>
  </si>
  <si>
    <t>cinsu</t>
  </si>
  <si>
    <t>cofsv</t>
  </si>
  <si>
    <t>crent</t>
  </si>
  <si>
    <t>cobsv</t>
  </si>
  <si>
    <t>csocw</t>
  </si>
  <si>
    <t>ccult</t>
  </si>
  <si>
    <t>carts</t>
  </si>
  <si>
    <t>cdsrv</t>
  </si>
  <si>
    <t>ctrdc</t>
  </si>
  <si>
    <t>flab-kn</t>
  </si>
  <si>
    <t>flab-kp</t>
  </si>
  <si>
    <t>flab-ks</t>
  </si>
  <si>
    <t>flab-kt</t>
  </si>
  <si>
    <t>hhd-k1</t>
  </si>
  <si>
    <t>hhd-k2</t>
  </si>
  <si>
    <t>hhd-k3</t>
  </si>
  <si>
    <t>hhd-k4</t>
  </si>
  <si>
    <t>hhd-k5</t>
  </si>
  <si>
    <t>ctax</t>
  </si>
  <si>
    <t>xtax</t>
  </si>
  <si>
    <t>g-i</t>
  </si>
  <si>
    <t>cbsv</t>
  </si>
  <si>
    <t>apubl</t>
  </si>
  <si>
    <t>cpubl</t>
  </si>
  <si>
    <t xml:space="preserve">coils  </t>
  </si>
  <si>
    <t xml:space="preserve">cfoil </t>
  </si>
  <si>
    <t xml:space="preserve">ctrdc </t>
  </si>
  <si>
    <t>atrdc</t>
  </si>
  <si>
    <t>Rwanda</t>
  </si>
  <si>
    <t>Billions RWF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</si>
</sst>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"/>
    <numFmt numFmtId="166" formatCode="0.00000000000"/>
    <numFmt numFmtId="167" formatCode="0.000000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1" tint="0.499984740745262"/>
      </left>
      <right/>
      <top/>
      <bottom/>
      <diagonal/>
    </border>
    <border>
      <left/>
      <right/>
      <top style="dashed">
        <color theme="1" tint="0.499984740745262"/>
      </top>
      <bottom/>
      <diagonal/>
    </border>
    <border>
      <left style="dashed">
        <color theme="1" tint="0.499984740745262"/>
      </left>
      <right/>
      <top/>
      <bottom/>
      <diagonal/>
    </border>
    <border>
      <left style="dashed">
        <color theme="0" tint="-4.9989318521683403E-2"/>
      </left>
      <right/>
      <top/>
      <bottom/>
      <diagonal/>
    </border>
    <border>
      <left/>
      <right style="dashed">
        <color theme="1" tint="0.499984740745262"/>
      </right>
      <top/>
      <bottom/>
      <diagonal/>
    </border>
    <border>
      <left style="thick">
        <color theme="0" tint="-0.34998626667073579"/>
      </left>
      <right/>
      <top/>
      <bottom style="dashed">
        <color theme="1" tint="0.499984740745262"/>
      </bottom>
      <diagonal/>
    </border>
    <border>
      <left style="thick">
        <color theme="0" tint="-0.34998626667073579"/>
      </left>
      <right/>
      <top/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4" fontId="0" fillId="0" borderId="0" xfId="0" applyNumberFormat="1"/>
    <xf numFmtId="3" fontId="0" fillId="0" borderId="0" xfId="0" applyNumberFormat="1"/>
    <xf numFmtId="0" fontId="0" fillId="0" borderId="8" xfId="0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7" xfId="0" applyNumberFormat="1" applyBorder="1"/>
    <xf numFmtId="3" fontId="0" fillId="0" borderId="6" xfId="0" applyNumberFormat="1" applyBorder="1"/>
    <xf numFmtId="3" fontId="0" fillId="0" borderId="8" xfId="0" applyNumberFormat="1" applyBorder="1"/>
    <xf numFmtId="3" fontId="0" fillId="0" borderId="9" xfId="0" applyNumberFormat="1" applyBorder="1"/>
    <xf numFmtId="165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165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" xfId="0" applyNumberFormat="1" applyBorder="1"/>
    <xf numFmtId="0" fontId="0" fillId="0" borderId="0" xfId="0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8" fillId="2" borderId="0" xfId="0" applyFont="1" applyFill="1"/>
    <xf numFmtId="0" fontId="0" fillId="2" borderId="0" xfId="0" applyFill="1"/>
    <xf numFmtId="0" fontId="9" fillId="3" borderId="0" xfId="0" applyFont="1" applyFill="1"/>
    <xf numFmtId="0" fontId="0" fillId="0" borderId="16" xfId="0" applyBorder="1"/>
    <xf numFmtId="0" fontId="0" fillId="0" borderId="0" xfId="0" applyProtection="1">
      <protection locked="0"/>
    </xf>
    <xf numFmtId="0" fontId="0" fillId="3" borderId="0" xfId="0" applyFill="1"/>
    <xf numFmtId="0" fontId="6" fillId="3" borderId="0" xfId="0" applyFont="1" applyFill="1"/>
    <xf numFmtId="0" fontId="7" fillId="3" borderId="0" xfId="0" applyFont="1" applyFill="1"/>
    <xf numFmtId="0" fontId="10" fillId="3" borderId="0" xfId="0" applyFont="1" applyFill="1"/>
    <xf numFmtId="0" fontId="11" fillId="0" borderId="0" xfId="0" applyFont="1"/>
    <xf numFmtId="0" fontId="9" fillId="3" borderId="16" xfId="0" applyFont="1" applyFill="1" applyBorder="1"/>
    <xf numFmtId="0" fontId="5" fillId="0" borderId="16" xfId="0" applyFont="1" applyBorder="1"/>
    <xf numFmtId="0" fontId="7" fillId="3" borderId="16" xfId="0" applyFont="1" applyFill="1" applyBorder="1"/>
    <xf numFmtId="4" fontId="0" fillId="0" borderId="16" xfId="0" applyNumberFormat="1" applyBorder="1"/>
    <xf numFmtId="0" fontId="0" fillId="3" borderId="16" xfId="0" applyFill="1" applyBorder="1"/>
    <xf numFmtId="0" fontId="0" fillId="0" borderId="17" xfId="0" applyBorder="1"/>
    <xf numFmtId="0" fontId="0" fillId="0" borderId="17" xfId="0" applyBorder="1" applyProtection="1">
      <protection locked="0"/>
    </xf>
    <xf numFmtId="0" fontId="0" fillId="4" borderId="16" xfId="0" applyFill="1" applyBorder="1"/>
    <xf numFmtId="0" fontId="1" fillId="4" borderId="0" xfId="0" applyFont="1" applyFill="1"/>
    <xf numFmtId="0" fontId="0" fillId="4" borderId="0" xfId="0" applyFill="1"/>
    <xf numFmtId="0" fontId="12" fillId="2" borderId="0" xfId="0" applyFont="1" applyFill="1"/>
    <xf numFmtId="0" fontId="0" fillId="4" borderId="18" xfId="0" applyFill="1" applyBorder="1"/>
    <xf numFmtId="0" fontId="11" fillId="0" borderId="18" xfId="0" applyFont="1" applyBorder="1"/>
    <xf numFmtId="0" fontId="0" fillId="0" borderId="18" xfId="0" applyBorder="1" applyProtection="1">
      <protection locked="0"/>
    </xf>
    <xf numFmtId="0" fontId="9" fillId="3" borderId="19" xfId="0" applyFont="1" applyFill="1" applyBorder="1"/>
    <xf numFmtId="0" fontId="0" fillId="0" borderId="20" xfId="0" applyBorder="1" applyProtection="1">
      <protection locked="0"/>
    </xf>
    <xf numFmtId="0" fontId="13" fillId="0" borderId="0" xfId="0" applyFont="1"/>
    <xf numFmtId="2" fontId="0" fillId="0" borderId="0" xfId="0" applyNumberFormat="1" applyProtection="1">
      <protection locked="0"/>
    </xf>
    <xf numFmtId="4" fontId="0" fillId="0" borderId="0" xfId="0" applyNumberFormat="1" applyProtection="1">
      <protection locked="0"/>
    </xf>
    <xf numFmtId="3" fontId="0" fillId="0" borderId="0" xfId="0" applyNumberFormat="1" applyProtection="1">
      <protection locked="0"/>
    </xf>
    <xf numFmtId="0" fontId="13" fillId="4" borderId="0" xfId="0" applyFont="1" applyFill="1"/>
    <xf numFmtId="0" fontId="7" fillId="2" borderId="0" xfId="0" applyFont="1" applyFill="1"/>
    <xf numFmtId="0" fontId="0" fillId="0" borderId="0" xfId="0" applyAlignment="1" applyProtection="1">
      <alignment horizontal="left"/>
      <protection locked="0"/>
    </xf>
    <xf numFmtId="9" fontId="0" fillId="0" borderId="0" xfId="1" applyFont="1"/>
    <xf numFmtId="0" fontId="15" fillId="0" borderId="0" xfId="0" applyFont="1" applyProtection="1">
      <protection locked="0"/>
    </xf>
    <xf numFmtId="0" fontId="6" fillId="5" borderId="0" xfId="0" applyFont="1" applyFill="1"/>
    <xf numFmtId="0" fontId="7" fillId="5" borderId="0" xfId="0" applyFont="1" applyFill="1"/>
    <xf numFmtId="0" fontId="7" fillId="5" borderId="22" xfId="0" applyFont="1" applyFill="1" applyBorder="1"/>
    <xf numFmtId="0" fontId="0" fillId="4" borderId="22" xfId="0" applyFill="1" applyBorder="1"/>
    <xf numFmtId="0" fontId="0" fillId="0" borderId="22" xfId="0" applyBorder="1"/>
    <xf numFmtId="0" fontId="0" fillId="0" borderId="21" xfId="0" applyBorder="1"/>
    <xf numFmtId="0" fontId="13" fillId="0" borderId="0" xfId="0" applyFont="1" applyProtection="1">
      <protection locked="0"/>
    </xf>
    <xf numFmtId="2" fontId="13" fillId="0" borderId="0" xfId="0" applyNumberFormat="1" applyFont="1" applyProtection="1">
      <protection locked="0"/>
    </xf>
    <xf numFmtId="2" fontId="13" fillId="0" borderId="0" xfId="0" applyNumberFormat="1" applyFont="1"/>
    <xf numFmtId="165" fontId="0" fillId="0" borderId="0" xfId="0" quotePrefix="1" applyNumberFormat="1"/>
    <xf numFmtId="165" fontId="0" fillId="6" borderId="0" xfId="0" quotePrefix="1" applyNumberFormat="1" applyFill="1"/>
    <xf numFmtId="165" fontId="0" fillId="6" borderId="0" xfId="0" applyNumberFormat="1" applyFill="1"/>
    <xf numFmtId="165" fontId="15" fillId="6" borderId="0" xfId="0" quotePrefix="1" applyNumberFormat="1" applyFont="1" applyFill="1"/>
    <xf numFmtId="165" fontId="0" fillId="0" borderId="0" xfId="1" applyNumberFormat="1" applyFont="1"/>
    <xf numFmtId="166" fontId="0" fillId="0" borderId="0" xfId="0" applyNumberFormat="1"/>
    <xf numFmtId="167" fontId="0" fillId="0" borderId="0" xfId="0" applyNumberFormat="1"/>
  </cellXfs>
  <cellStyles count="2">
    <cellStyle name="Normal" xfId="0" builtinId="0"/>
    <cellStyle name="Percent" xfId="1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R159"/>
  <sheetViews>
    <sheetView zoomScale="85" zoomScaleNormal="85" workbookViewId="0">
      <pane ySplit="8" topLeftCell="A87" activePane="bottomLeft" state="frozen"/>
      <selection pane="bottomLeft" activeCell="E89" sqref="E89"/>
    </sheetView>
  </sheetViews>
  <sheetFormatPr defaultColWidth="0" defaultRowHeight="14.75" zeroHeight="1" x14ac:dyDescent="0.75"/>
  <cols>
    <col min="1" max="2" width="2.453125" customWidth="1"/>
    <col min="3" max="4" width="9.08984375" customWidth="1"/>
    <col min="5" max="5" width="24.453125" customWidth="1"/>
    <col min="6" max="7" width="2.453125" customWidth="1"/>
    <col min="8" max="8" width="9.08984375" customWidth="1"/>
    <col min="9" max="9" width="24.453125" customWidth="1"/>
    <col min="10" max="11" width="2.453125" customWidth="1"/>
    <col min="12" max="12" width="9.08984375" customWidth="1"/>
    <col min="13" max="13" width="24.453125" customWidth="1"/>
    <col min="14" max="15" width="2.453125" customWidth="1"/>
    <col min="16" max="16" width="9.08984375" customWidth="1"/>
    <col min="17" max="17" width="24.453125" customWidth="1"/>
    <col min="18" max="18" width="2.453125" customWidth="1"/>
    <col min="19" max="16384" width="9.08984375" hidden="1"/>
  </cols>
  <sheetData>
    <row r="1" spans="1:18" ht="18.5" x14ac:dyDescent="0.9">
      <c r="A1" s="23" t="str">
        <f>"Base Model  |  "&amp;D3&amp;" ("&amp;D4&amp;")"</f>
        <v>Base Model  |  Rwanda (2017)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x14ac:dyDescent="0.75"/>
    <row r="3" spans="1:18" x14ac:dyDescent="0.75">
      <c r="C3" s="1" t="s">
        <v>170</v>
      </c>
      <c r="D3" s="55" t="s">
        <v>767</v>
      </c>
    </row>
    <row r="4" spans="1:18" x14ac:dyDescent="0.75">
      <c r="C4" s="1" t="s">
        <v>171</v>
      </c>
      <c r="D4" s="55">
        <v>2017</v>
      </c>
    </row>
    <row r="5" spans="1:18" x14ac:dyDescent="0.75">
      <c r="C5" s="1" t="s">
        <v>172</v>
      </c>
      <c r="D5" s="55" t="s">
        <v>768</v>
      </c>
    </row>
    <row r="6" spans="1:18" x14ac:dyDescent="0.75"/>
    <row r="7" spans="1:18" ht="16" x14ac:dyDescent="0.8">
      <c r="B7" s="37"/>
      <c r="C7" s="25" t="s">
        <v>173</v>
      </c>
      <c r="D7" s="25"/>
      <c r="E7" s="25"/>
      <c r="G7" s="37"/>
      <c r="H7" s="25" t="s">
        <v>40</v>
      </c>
      <c r="I7" s="25"/>
      <c r="K7" s="37"/>
      <c r="L7" s="25" t="s">
        <v>46</v>
      </c>
      <c r="M7" s="25"/>
      <c r="O7" s="37"/>
      <c r="P7" s="25" t="s">
        <v>50</v>
      </c>
      <c r="Q7" s="25"/>
    </row>
    <row r="8" spans="1:18" x14ac:dyDescent="0.75">
      <c r="B8" s="40"/>
      <c r="C8" s="41" t="s">
        <v>250</v>
      </c>
      <c r="D8" s="42"/>
      <c r="E8" s="41" t="s">
        <v>251</v>
      </c>
      <c r="G8" s="40"/>
      <c r="H8" s="41" t="s">
        <v>250</v>
      </c>
      <c r="I8" s="41" t="s">
        <v>251</v>
      </c>
      <c r="K8" s="40"/>
      <c r="L8" s="41" t="s">
        <v>250</v>
      </c>
      <c r="M8" s="41" t="s">
        <v>251</v>
      </c>
      <c r="O8" s="40"/>
      <c r="P8" s="41" t="s">
        <v>250</v>
      </c>
      <c r="Q8" s="41" t="s">
        <v>251</v>
      </c>
    </row>
    <row r="9" spans="1:18" x14ac:dyDescent="0.75">
      <c r="B9" s="26"/>
      <c r="C9" s="27" t="s">
        <v>285</v>
      </c>
      <c r="D9" s="27" t="s">
        <v>322</v>
      </c>
      <c r="E9" s="27" t="s">
        <v>358</v>
      </c>
      <c r="F9" s="27" t="s">
        <v>405</v>
      </c>
      <c r="G9" s="26"/>
      <c r="H9" s="27" t="s">
        <v>541</v>
      </c>
      <c r="I9" s="27" t="s">
        <v>604</v>
      </c>
      <c r="J9" s="27" t="s">
        <v>405</v>
      </c>
      <c r="K9" s="26"/>
      <c r="L9" s="27" t="s">
        <v>661</v>
      </c>
      <c r="M9" s="27" t="s">
        <v>617</v>
      </c>
      <c r="O9" s="26"/>
      <c r="P9" s="27" t="s">
        <v>69</v>
      </c>
      <c r="Q9" s="27" t="s">
        <v>148</v>
      </c>
    </row>
    <row r="10" spans="1:18" x14ac:dyDescent="0.75">
      <c r="B10" s="26"/>
      <c r="C10" s="27" t="s">
        <v>463</v>
      </c>
      <c r="D10" s="27" t="s">
        <v>500</v>
      </c>
      <c r="E10" s="27" t="s">
        <v>637</v>
      </c>
      <c r="F10" s="27" t="s">
        <v>405</v>
      </c>
      <c r="G10" s="26"/>
      <c r="H10" s="27" t="s">
        <v>542</v>
      </c>
      <c r="I10" s="27" t="s">
        <v>605</v>
      </c>
      <c r="J10" s="27" t="s">
        <v>405</v>
      </c>
      <c r="K10" s="26"/>
      <c r="L10" s="27" t="s">
        <v>662</v>
      </c>
      <c r="M10" s="27" t="s">
        <v>618</v>
      </c>
      <c r="O10" s="26"/>
      <c r="P10" s="27" t="s">
        <v>75</v>
      </c>
      <c r="Q10" s="27" t="s">
        <v>47</v>
      </c>
    </row>
    <row r="11" spans="1:18" x14ac:dyDescent="0.75">
      <c r="B11" s="26"/>
      <c r="C11" s="27" t="s">
        <v>638</v>
      </c>
      <c r="D11" s="27" t="s">
        <v>647</v>
      </c>
      <c r="E11" s="27" t="s">
        <v>695</v>
      </c>
      <c r="F11" s="27" t="s">
        <v>405</v>
      </c>
      <c r="G11" s="26"/>
      <c r="H11" s="27" t="s">
        <v>543</v>
      </c>
      <c r="I11" s="27" t="s">
        <v>606</v>
      </c>
      <c r="J11" s="27" t="s">
        <v>405</v>
      </c>
      <c r="K11" s="26"/>
      <c r="L11" s="27" t="s">
        <v>663</v>
      </c>
      <c r="M11" s="27" t="s">
        <v>619</v>
      </c>
      <c r="O11" s="26"/>
      <c r="P11" s="27" t="s">
        <v>80</v>
      </c>
      <c r="Q11" s="27" t="s">
        <v>49</v>
      </c>
    </row>
    <row r="12" spans="1:18" x14ac:dyDescent="0.75">
      <c r="B12" s="26"/>
      <c r="C12" s="27" t="s">
        <v>639</v>
      </c>
      <c r="D12" s="27" t="s">
        <v>648</v>
      </c>
      <c r="E12" s="27" t="s">
        <v>696</v>
      </c>
      <c r="F12" s="27" t="s">
        <v>405</v>
      </c>
      <c r="G12" s="26"/>
      <c r="H12" s="27" t="s">
        <v>544</v>
      </c>
      <c r="I12" s="27" t="s">
        <v>607</v>
      </c>
      <c r="J12" s="27" t="s">
        <v>405</v>
      </c>
      <c r="K12" s="26"/>
      <c r="L12" s="27" t="s">
        <v>664</v>
      </c>
      <c r="M12" s="27" t="s">
        <v>620</v>
      </c>
      <c r="O12" s="26"/>
      <c r="P12" s="27" t="s">
        <v>162</v>
      </c>
      <c r="Q12" s="27" t="s">
        <v>212</v>
      </c>
    </row>
    <row r="13" spans="1:18" x14ac:dyDescent="0.75">
      <c r="B13" s="26"/>
      <c r="C13" s="27" t="s">
        <v>464</v>
      </c>
      <c r="D13" s="27" t="s">
        <v>501</v>
      </c>
      <c r="E13" s="27" t="s">
        <v>553</v>
      </c>
      <c r="F13" s="27" t="s">
        <v>405</v>
      </c>
      <c r="G13" s="26"/>
      <c r="H13" s="27" t="s">
        <v>545</v>
      </c>
      <c r="I13" s="27" t="s">
        <v>608</v>
      </c>
      <c r="J13" s="27" t="s">
        <v>405</v>
      </c>
      <c r="K13" s="26"/>
      <c r="L13" s="27" t="s">
        <v>665</v>
      </c>
      <c r="M13" s="27" t="s">
        <v>621</v>
      </c>
      <c r="O13" s="26"/>
      <c r="P13" s="27" t="s">
        <v>81</v>
      </c>
      <c r="Q13" s="27" t="s">
        <v>213</v>
      </c>
    </row>
    <row r="14" spans="1:18" x14ac:dyDescent="0.75">
      <c r="B14" s="26"/>
      <c r="C14" s="27" t="s">
        <v>353</v>
      </c>
      <c r="D14" s="27" t="s">
        <v>356</v>
      </c>
      <c r="E14" s="27" t="s">
        <v>359</v>
      </c>
      <c r="F14" s="27" t="s">
        <v>405</v>
      </c>
      <c r="G14" s="26"/>
      <c r="H14" s="27" t="s">
        <v>546</v>
      </c>
      <c r="I14" s="27" t="s">
        <v>609</v>
      </c>
      <c r="J14" s="27" t="s">
        <v>405</v>
      </c>
      <c r="K14" s="26"/>
      <c r="L14" s="27" t="s">
        <v>666</v>
      </c>
      <c r="M14" s="27" t="s">
        <v>622</v>
      </c>
      <c r="O14" s="26"/>
      <c r="P14" s="27" t="s">
        <v>161</v>
      </c>
      <c r="Q14" s="27" t="s">
        <v>214</v>
      </c>
    </row>
    <row r="15" spans="1:18" x14ac:dyDescent="0.75">
      <c r="B15" s="26"/>
      <c r="C15" s="27" t="s">
        <v>286</v>
      </c>
      <c r="D15" s="27" t="s">
        <v>56</v>
      </c>
      <c r="E15" s="27" t="s">
        <v>360</v>
      </c>
      <c r="F15" s="27" t="s">
        <v>405</v>
      </c>
      <c r="G15" s="26"/>
      <c r="H15" s="27" t="s">
        <v>547</v>
      </c>
      <c r="I15" s="27" t="s">
        <v>610</v>
      </c>
      <c r="J15" s="27" t="s">
        <v>405</v>
      </c>
      <c r="K15" s="26"/>
      <c r="L15" s="27" t="s">
        <v>667</v>
      </c>
      <c r="M15" s="27" t="s">
        <v>623</v>
      </c>
      <c r="O15" s="26"/>
      <c r="P15" s="27" t="s">
        <v>160</v>
      </c>
      <c r="Q15" s="27" t="s">
        <v>215</v>
      </c>
    </row>
    <row r="16" spans="1:18" x14ac:dyDescent="0.75">
      <c r="B16" s="26"/>
      <c r="C16" s="27" t="s">
        <v>554</v>
      </c>
      <c r="D16" s="27" t="s">
        <v>502</v>
      </c>
      <c r="E16" s="27" t="s">
        <v>555</v>
      </c>
      <c r="F16" s="27" t="s">
        <v>405</v>
      </c>
      <c r="G16" s="26"/>
      <c r="H16" s="27" t="s">
        <v>548</v>
      </c>
      <c r="I16" s="27" t="s">
        <v>611</v>
      </c>
      <c r="J16" s="27" t="s">
        <v>405</v>
      </c>
      <c r="K16" s="26"/>
      <c r="L16" s="27" t="s">
        <v>668</v>
      </c>
      <c r="M16" s="27" t="s">
        <v>624</v>
      </c>
      <c r="O16" s="26"/>
      <c r="P16" s="27" t="s">
        <v>82</v>
      </c>
      <c r="Q16" s="27" t="s">
        <v>216</v>
      </c>
    </row>
    <row r="17" spans="2:17" x14ac:dyDescent="0.75">
      <c r="B17" s="26"/>
      <c r="C17" s="27" t="s">
        <v>287</v>
      </c>
      <c r="D17" s="27" t="s">
        <v>323</v>
      </c>
      <c r="E17" s="27" t="s">
        <v>556</v>
      </c>
      <c r="F17" s="27" t="s">
        <v>405</v>
      </c>
      <c r="G17" s="26"/>
      <c r="H17" s="27" t="s">
        <v>17</v>
      </c>
      <c r="I17" s="27" t="s">
        <v>612</v>
      </c>
      <c r="J17" s="27" t="s">
        <v>405</v>
      </c>
      <c r="K17" s="26"/>
      <c r="L17" s="27" t="s">
        <v>669</v>
      </c>
      <c r="M17" s="27" t="s">
        <v>625</v>
      </c>
      <c r="O17" s="26"/>
      <c r="P17" s="27" t="s">
        <v>83</v>
      </c>
      <c r="Q17" s="27" t="s">
        <v>217</v>
      </c>
    </row>
    <row r="18" spans="2:17" x14ac:dyDescent="0.75">
      <c r="B18" s="26"/>
      <c r="C18" s="27" t="s">
        <v>557</v>
      </c>
      <c r="D18" s="27" t="s">
        <v>558</v>
      </c>
      <c r="E18" s="27" t="s">
        <v>559</v>
      </c>
      <c r="F18" s="27" t="s">
        <v>405</v>
      </c>
      <c r="G18" s="26"/>
      <c r="H18" s="27" t="s">
        <v>549</v>
      </c>
      <c r="I18" s="27" t="s">
        <v>613</v>
      </c>
      <c r="J18" s="27" t="s">
        <v>405</v>
      </c>
      <c r="K18" s="26"/>
      <c r="L18" s="27" t="s">
        <v>670</v>
      </c>
      <c r="M18" s="27" t="s">
        <v>626</v>
      </c>
      <c r="O18" s="26"/>
      <c r="P18" s="27" t="s">
        <v>163</v>
      </c>
      <c r="Q18" s="27" t="s">
        <v>220</v>
      </c>
    </row>
    <row r="19" spans="2:17" x14ac:dyDescent="0.75">
      <c r="B19" s="26"/>
      <c r="C19" s="27" t="s">
        <v>560</v>
      </c>
      <c r="D19" s="27" t="s">
        <v>503</v>
      </c>
      <c r="E19" s="27" t="s">
        <v>561</v>
      </c>
      <c r="F19" s="27" t="s">
        <v>405</v>
      </c>
      <c r="G19" s="26"/>
      <c r="H19" s="27" t="s">
        <v>550</v>
      </c>
      <c r="I19" s="27" t="s">
        <v>614</v>
      </c>
      <c r="J19" s="27" t="s">
        <v>405</v>
      </c>
      <c r="K19" s="26"/>
      <c r="L19" s="27" t="s">
        <v>671</v>
      </c>
      <c r="M19" s="27" t="s">
        <v>627</v>
      </c>
      <c r="O19" s="26"/>
      <c r="P19" s="27" t="s">
        <v>84</v>
      </c>
      <c r="Q19" s="27" t="s">
        <v>53</v>
      </c>
    </row>
    <row r="20" spans="2:17" x14ac:dyDescent="0.75">
      <c r="B20" s="26"/>
      <c r="C20" s="27" t="s">
        <v>465</v>
      </c>
      <c r="D20" s="27" t="s">
        <v>504</v>
      </c>
      <c r="E20" s="27" t="s">
        <v>562</v>
      </c>
      <c r="F20" s="27" t="s">
        <v>405</v>
      </c>
      <c r="G20" s="26"/>
      <c r="H20" s="27" t="s">
        <v>551</v>
      </c>
      <c r="I20" s="27" t="s">
        <v>615</v>
      </c>
      <c r="J20" s="27" t="s">
        <v>405</v>
      </c>
      <c r="K20" s="26"/>
      <c r="L20" s="27" t="s">
        <v>656</v>
      </c>
      <c r="M20" s="27" t="s">
        <v>628</v>
      </c>
      <c r="O20" s="26"/>
      <c r="P20" s="27" t="s">
        <v>85</v>
      </c>
      <c r="Q20" s="27" t="s">
        <v>218</v>
      </c>
    </row>
    <row r="21" spans="2:17" x14ac:dyDescent="0.75">
      <c r="B21" s="26"/>
      <c r="C21" s="27" t="s">
        <v>288</v>
      </c>
      <c r="D21" s="27" t="s">
        <v>324</v>
      </c>
      <c r="E21" s="27" t="s">
        <v>563</v>
      </c>
      <c r="F21" s="27" t="s">
        <v>405</v>
      </c>
      <c r="G21" s="26"/>
      <c r="H21" s="27" t="s">
        <v>552</v>
      </c>
      <c r="I21" s="27" t="s">
        <v>616</v>
      </c>
      <c r="J21" s="27" t="s">
        <v>405</v>
      </c>
      <c r="K21" s="26"/>
      <c r="L21" s="27" t="s">
        <v>657</v>
      </c>
      <c r="M21" s="27" t="s">
        <v>629</v>
      </c>
      <c r="O21" s="26"/>
      <c r="P21" s="27" t="s">
        <v>86</v>
      </c>
      <c r="Q21" s="27" t="s">
        <v>51</v>
      </c>
    </row>
    <row r="22" spans="2:17" x14ac:dyDescent="0.75">
      <c r="B22" s="26"/>
      <c r="C22" s="27" t="s">
        <v>640</v>
      </c>
      <c r="D22" s="27" t="s">
        <v>649</v>
      </c>
      <c r="E22" s="27" t="s">
        <v>676</v>
      </c>
      <c r="F22" s="27" t="s">
        <v>405</v>
      </c>
      <c r="G22" s="26"/>
      <c r="H22" s="27"/>
      <c r="I22" s="27"/>
      <c r="J22" s="27" t="s">
        <v>405</v>
      </c>
      <c r="K22" s="26"/>
      <c r="L22" s="27" t="s">
        <v>658</v>
      </c>
      <c r="M22" s="27" t="s">
        <v>630</v>
      </c>
      <c r="O22" s="26"/>
      <c r="P22" s="27" t="s">
        <v>87</v>
      </c>
      <c r="Q22" s="27" t="s">
        <v>219</v>
      </c>
    </row>
    <row r="23" spans="2:17" x14ac:dyDescent="0.75">
      <c r="B23" s="26"/>
      <c r="C23" s="27" t="s">
        <v>289</v>
      </c>
      <c r="D23" s="27" t="s">
        <v>57</v>
      </c>
      <c r="E23" s="27" t="s">
        <v>677</v>
      </c>
      <c r="F23" s="27" t="s">
        <v>405</v>
      </c>
      <c r="G23" s="26"/>
      <c r="H23" s="27"/>
      <c r="I23" s="27"/>
      <c r="J23" s="27" t="s">
        <v>405</v>
      </c>
      <c r="K23" s="26"/>
      <c r="L23" s="27" t="s">
        <v>659</v>
      </c>
      <c r="M23" s="27" t="s">
        <v>631</v>
      </c>
      <c r="O23" s="26"/>
      <c r="P23" s="27"/>
      <c r="Q23" s="27"/>
    </row>
    <row r="24" spans="2:17" x14ac:dyDescent="0.75">
      <c r="B24" s="26"/>
      <c r="C24" s="27" t="s">
        <v>290</v>
      </c>
      <c r="D24" s="27" t="s">
        <v>325</v>
      </c>
      <c r="E24" s="27" t="s">
        <v>361</v>
      </c>
      <c r="F24" s="27" t="s">
        <v>405</v>
      </c>
      <c r="G24" s="26"/>
      <c r="H24" s="27"/>
      <c r="I24" s="27"/>
      <c r="J24" s="27" t="s">
        <v>405</v>
      </c>
      <c r="K24" s="26"/>
      <c r="L24" s="27" t="s">
        <v>660</v>
      </c>
      <c r="M24" s="27" t="s">
        <v>632</v>
      </c>
      <c r="O24" s="26"/>
      <c r="P24" s="27"/>
      <c r="Q24" s="27"/>
    </row>
    <row r="25" spans="2:17" x14ac:dyDescent="0.75">
      <c r="B25" s="26"/>
      <c r="C25" s="27" t="s">
        <v>354</v>
      </c>
      <c r="D25" s="27" t="s">
        <v>326</v>
      </c>
      <c r="E25" s="27" t="s">
        <v>362</v>
      </c>
      <c r="F25" s="27" t="s">
        <v>405</v>
      </c>
      <c r="G25" s="26"/>
      <c r="H25" s="27"/>
      <c r="I25" s="27"/>
      <c r="J25" s="27" t="s">
        <v>405</v>
      </c>
      <c r="K25" s="26"/>
      <c r="L25" s="27" t="s">
        <v>672</v>
      </c>
      <c r="M25" s="27" t="s">
        <v>633</v>
      </c>
      <c r="O25" s="26"/>
      <c r="P25" s="27"/>
      <c r="Q25" s="27"/>
    </row>
    <row r="26" spans="2:17" x14ac:dyDescent="0.75">
      <c r="B26" s="26"/>
      <c r="C26" s="27" t="s">
        <v>355</v>
      </c>
      <c r="D26" s="27" t="s">
        <v>357</v>
      </c>
      <c r="E26" s="27" t="s">
        <v>363</v>
      </c>
      <c r="F26" s="27" t="s">
        <v>405</v>
      </c>
      <c r="G26" s="26"/>
      <c r="H26" s="27"/>
      <c r="I26" s="27"/>
      <c r="J26" s="27" t="s">
        <v>405</v>
      </c>
      <c r="K26" s="26"/>
      <c r="L26" s="27" t="s">
        <v>673</v>
      </c>
      <c r="M26" s="27" t="s">
        <v>634</v>
      </c>
      <c r="O26" s="26"/>
      <c r="P26" s="27"/>
      <c r="Q26" s="27"/>
    </row>
    <row r="27" spans="2:17" x14ac:dyDescent="0.75">
      <c r="B27" s="26"/>
      <c r="C27" s="27" t="s">
        <v>641</v>
      </c>
      <c r="D27" s="27" t="s">
        <v>650</v>
      </c>
      <c r="E27" s="27" t="s">
        <v>678</v>
      </c>
      <c r="F27" s="27" t="s">
        <v>405</v>
      </c>
      <c r="G27" s="26"/>
      <c r="H27" s="27"/>
      <c r="I27" s="27"/>
      <c r="J27" s="27" t="s">
        <v>405</v>
      </c>
      <c r="K27" s="26"/>
      <c r="L27" s="27" t="s">
        <v>674</v>
      </c>
      <c r="M27" s="27" t="s">
        <v>635</v>
      </c>
      <c r="O27" s="26"/>
      <c r="P27" s="27"/>
      <c r="Q27" s="27"/>
    </row>
    <row r="28" spans="2:17" x14ac:dyDescent="0.75">
      <c r="B28" s="26"/>
      <c r="C28" s="27" t="s">
        <v>466</v>
      </c>
      <c r="D28" s="27" t="s">
        <v>505</v>
      </c>
      <c r="E28" s="27" t="s">
        <v>679</v>
      </c>
      <c r="F28" s="27" t="s">
        <v>405</v>
      </c>
      <c r="G28" s="26"/>
      <c r="H28" s="27"/>
      <c r="I28" s="27"/>
      <c r="J28" s="27" t="s">
        <v>405</v>
      </c>
      <c r="K28" s="26"/>
      <c r="L28" s="27" t="s">
        <v>675</v>
      </c>
      <c r="M28" s="27" t="s">
        <v>636</v>
      </c>
      <c r="O28" s="26"/>
      <c r="P28" s="27"/>
      <c r="Q28" s="27"/>
    </row>
    <row r="29" spans="2:17" x14ac:dyDescent="0.75">
      <c r="B29" s="26"/>
      <c r="C29" s="27" t="s">
        <v>467</v>
      </c>
      <c r="D29" s="27" t="s">
        <v>506</v>
      </c>
      <c r="E29" s="27" t="s">
        <v>680</v>
      </c>
      <c r="F29" s="27" t="s">
        <v>405</v>
      </c>
      <c r="G29" s="26"/>
      <c r="H29" s="27"/>
      <c r="I29" s="27"/>
      <c r="J29" s="27" t="s">
        <v>405</v>
      </c>
      <c r="K29" s="26"/>
      <c r="L29" s="27"/>
      <c r="M29" s="27"/>
      <c r="O29" s="26"/>
      <c r="P29" s="27"/>
      <c r="Q29" s="27"/>
    </row>
    <row r="30" spans="2:17" x14ac:dyDescent="0.75">
      <c r="B30" s="26"/>
      <c r="C30" s="27" t="s">
        <v>291</v>
      </c>
      <c r="D30" s="27" t="s">
        <v>327</v>
      </c>
      <c r="E30" s="27" t="s">
        <v>564</v>
      </c>
      <c r="F30" s="27" t="s">
        <v>405</v>
      </c>
      <c r="G30" s="26"/>
      <c r="H30" s="27"/>
      <c r="I30" s="27"/>
      <c r="J30" s="27" t="s">
        <v>405</v>
      </c>
      <c r="K30" s="26"/>
      <c r="L30" s="27"/>
      <c r="M30" s="27"/>
      <c r="O30" s="26"/>
      <c r="P30" s="27"/>
      <c r="Q30" s="27"/>
    </row>
    <row r="31" spans="2:17" x14ac:dyDescent="0.75">
      <c r="B31" s="26"/>
      <c r="C31" s="27" t="s">
        <v>468</v>
      </c>
      <c r="D31" s="27" t="s">
        <v>507</v>
      </c>
      <c r="E31" s="27" t="s">
        <v>565</v>
      </c>
      <c r="F31" s="27" t="s">
        <v>405</v>
      </c>
      <c r="G31" s="26"/>
      <c r="H31" s="27"/>
      <c r="I31" s="27"/>
      <c r="J31" s="27" t="s">
        <v>405</v>
      </c>
      <c r="K31" s="26"/>
      <c r="L31" s="27"/>
      <c r="M31" s="27"/>
      <c r="O31" s="26"/>
      <c r="P31" s="27"/>
      <c r="Q31" s="27"/>
    </row>
    <row r="32" spans="2:17" x14ac:dyDescent="0.75">
      <c r="B32" s="26"/>
      <c r="C32" s="27" t="s">
        <v>292</v>
      </c>
      <c r="D32" s="27" t="s">
        <v>328</v>
      </c>
      <c r="E32" s="27" t="s">
        <v>566</v>
      </c>
      <c r="F32" s="27" t="s">
        <v>405</v>
      </c>
      <c r="G32" s="26"/>
      <c r="H32" s="27"/>
      <c r="I32" s="27"/>
      <c r="J32" s="27" t="s">
        <v>405</v>
      </c>
      <c r="K32" s="26"/>
      <c r="L32" s="27"/>
      <c r="M32" s="27"/>
      <c r="O32" s="38"/>
      <c r="P32" s="39"/>
      <c r="Q32" s="39"/>
    </row>
    <row r="33" spans="2:17" x14ac:dyDescent="0.75">
      <c r="B33" s="26"/>
      <c r="C33" s="27" t="s">
        <v>567</v>
      </c>
      <c r="D33" s="27" t="s">
        <v>508</v>
      </c>
      <c r="E33" s="27" t="s">
        <v>568</v>
      </c>
      <c r="F33" s="27" t="s">
        <v>405</v>
      </c>
      <c r="G33" s="26"/>
      <c r="H33" s="27"/>
      <c r="I33" s="27"/>
      <c r="J33" s="27" t="s">
        <v>405</v>
      </c>
      <c r="K33" s="26"/>
      <c r="L33" s="27"/>
      <c r="M33" s="27"/>
      <c r="P33" s="27"/>
      <c r="Q33" s="27"/>
    </row>
    <row r="34" spans="2:17" x14ac:dyDescent="0.75">
      <c r="B34" s="26"/>
      <c r="C34" s="27" t="s">
        <v>569</v>
      </c>
      <c r="D34" s="27" t="s">
        <v>509</v>
      </c>
      <c r="E34" s="27" t="s">
        <v>570</v>
      </c>
      <c r="F34" s="27" t="s">
        <v>405</v>
      </c>
      <c r="G34" s="26"/>
      <c r="H34" s="27"/>
      <c r="I34" s="27"/>
      <c r="J34" s="27" t="s">
        <v>405</v>
      </c>
      <c r="K34" s="26"/>
      <c r="L34" s="27"/>
      <c r="M34" s="27"/>
      <c r="P34" s="27"/>
      <c r="Q34" s="27"/>
    </row>
    <row r="35" spans="2:17" x14ac:dyDescent="0.75">
      <c r="B35" s="26"/>
      <c r="C35" s="27" t="s">
        <v>571</v>
      </c>
      <c r="D35" s="27" t="s">
        <v>572</v>
      </c>
      <c r="E35" s="27" t="s">
        <v>573</v>
      </c>
      <c r="F35" s="27" t="s">
        <v>405</v>
      </c>
      <c r="G35" s="26"/>
      <c r="H35" s="27"/>
      <c r="I35" s="27"/>
      <c r="J35" s="27" t="s">
        <v>405</v>
      </c>
      <c r="K35" s="26"/>
      <c r="L35" s="27"/>
      <c r="M35" s="27"/>
      <c r="P35" s="27"/>
      <c r="Q35" s="27"/>
    </row>
    <row r="36" spans="2:17" x14ac:dyDescent="0.75">
      <c r="B36" s="26"/>
      <c r="C36" s="27" t="s">
        <v>293</v>
      </c>
      <c r="D36" s="27" t="s">
        <v>329</v>
      </c>
      <c r="E36" s="27" t="s">
        <v>364</v>
      </c>
      <c r="F36" s="27" t="s">
        <v>405</v>
      </c>
      <c r="G36" s="26"/>
      <c r="H36" s="27"/>
      <c r="I36" s="27"/>
      <c r="J36" s="27" t="s">
        <v>405</v>
      </c>
      <c r="K36" s="26"/>
      <c r="L36" s="27"/>
      <c r="M36" s="27"/>
      <c r="P36" s="27"/>
      <c r="Q36" s="27"/>
    </row>
    <row r="37" spans="2:17" x14ac:dyDescent="0.75">
      <c r="B37" s="26"/>
      <c r="C37" s="27" t="s">
        <v>294</v>
      </c>
      <c r="D37" s="27" t="s">
        <v>330</v>
      </c>
      <c r="E37" s="27" t="s">
        <v>574</v>
      </c>
      <c r="F37" s="27" t="s">
        <v>405</v>
      </c>
      <c r="G37" s="26"/>
      <c r="H37" s="27"/>
      <c r="I37" s="27"/>
      <c r="J37" s="27" t="s">
        <v>405</v>
      </c>
      <c r="K37" s="26"/>
      <c r="L37" s="27"/>
      <c r="M37" s="27"/>
      <c r="P37" s="27"/>
      <c r="Q37" s="27"/>
    </row>
    <row r="38" spans="2:17" x14ac:dyDescent="0.75">
      <c r="B38" s="26"/>
      <c r="C38" s="27" t="s">
        <v>469</v>
      </c>
      <c r="D38" s="27" t="s">
        <v>510</v>
      </c>
      <c r="E38" s="27" t="s">
        <v>416</v>
      </c>
      <c r="F38" s="27" t="s">
        <v>405</v>
      </c>
      <c r="G38" s="26"/>
      <c r="H38" s="27"/>
      <c r="I38" s="27"/>
      <c r="J38" s="27" t="s">
        <v>405</v>
      </c>
      <c r="K38" s="26"/>
      <c r="L38" s="27"/>
      <c r="M38" s="27"/>
      <c r="P38" s="27"/>
      <c r="Q38" s="27"/>
    </row>
    <row r="39" spans="2:17" x14ac:dyDescent="0.75">
      <c r="B39" s="26"/>
      <c r="C39" s="27" t="s">
        <v>295</v>
      </c>
      <c r="D39" s="27" t="s">
        <v>331</v>
      </c>
      <c r="E39" s="27" t="s">
        <v>575</v>
      </c>
      <c r="F39" s="27" t="s">
        <v>405</v>
      </c>
      <c r="G39" s="26"/>
      <c r="H39" s="27"/>
      <c r="I39" s="27"/>
      <c r="J39" s="27" t="s">
        <v>405</v>
      </c>
      <c r="K39" s="26"/>
      <c r="L39" s="27"/>
      <c r="M39" s="27"/>
      <c r="P39" s="27"/>
      <c r="Q39" s="27"/>
    </row>
    <row r="40" spans="2:17" x14ac:dyDescent="0.75">
      <c r="B40" s="26"/>
      <c r="C40" s="27" t="s">
        <v>470</v>
      </c>
      <c r="D40" s="27" t="s">
        <v>511</v>
      </c>
      <c r="E40" s="27" t="s">
        <v>576</v>
      </c>
      <c r="F40" s="27" t="s">
        <v>405</v>
      </c>
      <c r="G40" s="26"/>
      <c r="H40" s="27"/>
      <c r="I40" s="27"/>
      <c r="J40" s="27" t="s">
        <v>405</v>
      </c>
      <c r="K40" s="26"/>
      <c r="L40" s="27"/>
      <c r="M40" s="27"/>
      <c r="P40" s="27"/>
      <c r="Q40" s="27"/>
    </row>
    <row r="41" spans="2:17" x14ac:dyDescent="0.75">
      <c r="B41" s="26"/>
      <c r="C41" s="27" t="s">
        <v>471</v>
      </c>
      <c r="D41" s="27" t="s">
        <v>512</v>
      </c>
      <c r="E41" s="27" t="s">
        <v>577</v>
      </c>
      <c r="F41" s="27" t="s">
        <v>405</v>
      </c>
      <c r="G41" s="26"/>
      <c r="H41" s="27"/>
      <c r="I41" s="27"/>
      <c r="J41" s="27" t="s">
        <v>405</v>
      </c>
      <c r="K41" s="26"/>
      <c r="L41" s="27"/>
      <c r="M41" s="27"/>
      <c r="P41" s="27"/>
      <c r="Q41" s="27"/>
    </row>
    <row r="42" spans="2:17" x14ac:dyDescent="0.75">
      <c r="B42" s="26"/>
      <c r="C42" s="27" t="s">
        <v>296</v>
      </c>
      <c r="D42" s="27" t="s">
        <v>332</v>
      </c>
      <c r="E42" s="27" t="s">
        <v>365</v>
      </c>
      <c r="F42" s="27" t="s">
        <v>405</v>
      </c>
      <c r="G42" s="26"/>
      <c r="H42" s="27"/>
      <c r="I42" s="27"/>
      <c r="J42" s="27" t="s">
        <v>405</v>
      </c>
      <c r="K42" s="26"/>
      <c r="L42" s="27"/>
      <c r="M42" s="27"/>
      <c r="P42" s="27"/>
      <c r="Q42" s="27"/>
    </row>
    <row r="43" spans="2:17" x14ac:dyDescent="0.75">
      <c r="B43" s="26"/>
      <c r="C43" s="27" t="s">
        <v>297</v>
      </c>
      <c r="D43" s="27" t="s">
        <v>333</v>
      </c>
      <c r="E43" s="27" t="s">
        <v>366</v>
      </c>
      <c r="F43" s="27" t="s">
        <v>405</v>
      </c>
      <c r="G43" s="26"/>
      <c r="H43" s="27"/>
      <c r="I43" s="27"/>
      <c r="J43" s="27" t="s">
        <v>405</v>
      </c>
      <c r="K43" s="26"/>
      <c r="L43" s="27"/>
      <c r="M43" s="27"/>
      <c r="P43" s="27"/>
      <c r="Q43" s="27"/>
    </row>
    <row r="44" spans="2:17" x14ac:dyDescent="0.75">
      <c r="B44" s="26"/>
      <c r="C44" s="27" t="s">
        <v>472</v>
      </c>
      <c r="D44" s="27" t="s">
        <v>513</v>
      </c>
      <c r="E44" s="27" t="s">
        <v>578</v>
      </c>
      <c r="F44" s="27" t="s">
        <v>405</v>
      </c>
      <c r="G44" s="26"/>
      <c r="H44" s="27"/>
      <c r="I44" s="27"/>
      <c r="J44" s="27" t="s">
        <v>405</v>
      </c>
      <c r="K44" s="26"/>
      <c r="L44" s="27"/>
      <c r="M44" s="27"/>
      <c r="P44" s="27"/>
      <c r="Q44" s="27"/>
    </row>
    <row r="45" spans="2:17" x14ac:dyDescent="0.75">
      <c r="B45" s="26"/>
      <c r="C45" s="27" t="s">
        <v>298</v>
      </c>
      <c r="D45" s="27" t="s">
        <v>334</v>
      </c>
      <c r="E45" s="27" t="s">
        <v>579</v>
      </c>
      <c r="F45" s="27" t="s">
        <v>405</v>
      </c>
      <c r="G45" s="26"/>
      <c r="H45" s="27"/>
      <c r="I45" s="27"/>
      <c r="J45" s="27" t="s">
        <v>405</v>
      </c>
      <c r="K45" s="26"/>
      <c r="L45" s="27"/>
      <c r="M45" s="27"/>
      <c r="P45" s="27"/>
      <c r="Q45" s="27"/>
    </row>
    <row r="46" spans="2:17" x14ac:dyDescent="0.75">
      <c r="B46" s="26"/>
      <c r="C46" s="27" t="s">
        <v>473</v>
      </c>
      <c r="D46" s="27" t="s">
        <v>514</v>
      </c>
      <c r="E46" s="27" t="s">
        <v>580</v>
      </c>
      <c r="F46" s="27" t="s">
        <v>405</v>
      </c>
      <c r="G46" s="26"/>
      <c r="H46" s="27"/>
      <c r="I46" s="27"/>
      <c r="J46" s="27" t="s">
        <v>405</v>
      </c>
      <c r="K46" s="26"/>
      <c r="L46" s="27"/>
      <c r="M46" s="27"/>
      <c r="P46" s="27"/>
      <c r="Q46" s="27"/>
    </row>
    <row r="47" spans="2:17" x14ac:dyDescent="0.75">
      <c r="B47" s="26"/>
      <c r="C47" s="27" t="s">
        <v>474</v>
      </c>
      <c r="D47" s="27" t="s">
        <v>515</v>
      </c>
      <c r="E47" s="27" t="s">
        <v>581</v>
      </c>
      <c r="F47" s="27" t="s">
        <v>405</v>
      </c>
      <c r="G47" s="26"/>
      <c r="H47" s="27"/>
      <c r="I47" s="27"/>
      <c r="J47" s="27" t="s">
        <v>405</v>
      </c>
      <c r="K47" s="26"/>
      <c r="L47" s="27"/>
      <c r="M47" s="27"/>
      <c r="P47" s="27"/>
      <c r="Q47" s="27"/>
    </row>
    <row r="48" spans="2:17" x14ac:dyDescent="0.75">
      <c r="B48" s="26"/>
      <c r="C48" s="27" t="s">
        <v>475</v>
      </c>
      <c r="D48" s="27" t="s">
        <v>516</v>
      </c>
      <c r="E48" s="27" t="s">
        <v>582</v>
      </c>
      <c r="F48" s="27" t="s">
        <v>405</v>
      </c>
      <c r="G48" s="26"/>
      <c r="H48" s="27"/>
      <c r="I48" s="27"/>
      <c r="J48" s="27" t="s">
        <v>405</v>
      </c>
      <c r="K48" s="26"/>
      <c r="L48" s="27"/>
      <c r="M48" s="27"/>
      <c r="P48" s="27"/>
      <c r="Q48" s="27"/>
    </row>
    <row r="49" spans="2:17" x14ac:dyDescent="0.75">
      <c r="B49" s="26"/>
      <c r="C49" s="27" t="s">
        <v>476</v>
      </c>
      <c r="D49" s="27" t="s">
        <v>517</v>
      </c>
      <c r="E49" s="27" t="s">
        <v>583</v>
      </c>
      <c r="F49" s="27" t="s">
        <v>405</v>
      </c>
      <c r="G49" s="26"/>
      <c r="H49" s="27"/>
      <c r="I49" s="27"/>
      <c r="J49" s="27" t="s">
        <v>405</v>
      </c>
      <c r="K49" s="26"/>
      <c r="L49" s="27"/>
      <c r="M49" s="27"/>
      <c r="P49" s="27"/>
      <c r="Q49" s="27"/>
    </row>
    <row r="50" spans="2:17" x14ac:dyDescent="0.75">
      <c r="B50" s="26"/>
      <c r="C50" s="27" t="s">
        <v>477</v>
      </c>
      <c r="D50" s="27" t="s">
        <v>518</v>
      </c>
      <c r="E50" s="27" t="s">
        <v>681</v>
      </c>
      <c r="F50" s="27" t="s">
        <v>405</v>
      </c>
      <c r="G50" s="26"/>
      <c r="H50" s="27"/>
      <c r="I50" s="27"/>
      <c r="J50" s="27" t="s">
        <v>405</v>
      </c>
      <c r="K50" s="26"/>
      <c r="L50" s="27"/>
      <c r="M50" s="27"/>
      <c r="P50" s="27"/>
      <c r="Q50" s="27"/>
    </row>
    <row r="51" spans="2:17" x14ac:dyDescent="0.75">
      <c r="B51" s="26"/>
      <c r="C51" s="27" t="s">
        <v>478</v>
      </c>
      <c r="D51" s="27" t="s">
        <v>519</v>
      </c>
      <c r="E51" s="27" t="s">
        <v>584</v>
      </c>
      <c r="F51" s="27" t="s">
        <v>405</v>
      </c>
      <c r="G51" s="26"/>
      <c r="H51" s="27"/>
      <c r="I51" s="27"/>
      <c r="J51" s="27" t="s">
        <v>405</v>
      </c>
      <c r="K51" s="26"/>
      <c r="L51" s="27"/>
      <c r="M51" s="27"/>
      <c r="P51" s="27"/>
      <c r="Q51" s="27"/>
    </row>
    <row r="52" spans="2:17" x14ac:dyDescent="0.75">
      <c r="B52" s="26"/>
      <c r="C52" s="27" t="s">
        <v>481</v>
      </c>
      <c r="D52" s="27" t="s">
        <v>522</v>
      </c>
      <c r="E52" s="27" t="s">
        <v>587</v>
      </c>
      <c r="F52" s="27" t="s">
        <v>405</v>
      </c>
      <c r="G52" s="26"/>
      <c r="H52" s="27"/>
      <c r="I52" s="27"/>
      <c r="J52" s="27" t="s">
        <v>405</v>
      </c>
      <c r="K52" s="26"/>
      <c r="L52" s="27"/>
      <c r="M52" s="27"/>
      <c r="P52" s="27"/>
      <c r="Q52" s="27"/>
    </row>
    <row r="53" spans="2:17" x14ac:dyDescent="0.75">
      <c r="B53" s="26"/>
      <c r="C53" s="27" t="s">
        <v>479</v>
      </c>
      <c r="D53" s="27" t="s">
        <v>520</v>
      </c>
      <c r="E53" s="27" t="s">
        <v>585</v>
      </c>
      <c r="F53" s="27" t="s">
        <v>405</v>
      </c>
      <c r="G53" s="26"/>
      <c r="H53" s="27"/>
      <c r="I53" s="27"/>
      <c r="J53" s="27" t="s">
        <v>405</v>
      </c>
      <c r="K53" s="26"/>
      <c r="L53" s="27"/>
      <c r="M53" s="27"/>
      <c r="P53" s="27"/>
      <c r="Q53" s="27"/>
    </row>
    <row r="54" spans="2:17" x14ac:dyDescent="0.75">
      <c r="B54" s="26"/>
      <c r="C54" s="27" t="s">
        <v>480</v>
      </c>
      <c r="D54" s="27" t="s">
        <v>521</v>
      </c>
      <c r="E54" s="27" t="s">
        <v>586</v>
      </c>
      <c r="F54" s="27" t="s">
        <v>405</v>
      </c>
      <c r="G54" s="26"/>
      <c r="H54" s="27"/>
      <c r="I54" s="27"/>
      <c r="J54" s="27" t="s">
        <v>405</v>
      </c>
      <c r="K54" s="26"/>
      <c r="L54" s="27"/>
      <c r="M54" s="27"/>
      <c r="P54" s="27"/>
      <c r="Q54" s="27"/>
    </row>
    <row r="55" spans="2:17" x14ac:dyDescent="0.75">
      <c r="B55" s="26"/>
      <c r="C55" s="27" t="s">
        <v>482</v>
      </c>
      <c r="D55" s="27" t="s">
        <v>523</v>
      </c>
      <c r="E55" s="27" t="s">
        <v>682</v>
      </c>
      <c r="F55" s="27" t="s">
        <v>405</v>
      </c>
      <c r="G55" s="26"/>
      <c r="H55" s="27"/>
      <c r="I55" s="27"/>
      <c r="J55" s="27" t="s">
        <v>405</v>
      </c>
      <c r="K55" s="26"/>
      <c r="L55" s="27"/>
      <c r="M55" s="27"/>
      <c r="P55" s="27"/>
      <c r="Q55" s="27"/>
    </row>
    <row r="56" spans="2:17" x14ac:dyDescent="0.75">
      <c r="B56" s="26"/>
      <c r="C56" s="27" t="s">
        <v>483</v>
      </c>
      <c r="D56" s="27" t="s">
        <v>524</v>
      </c>
      <c r="E56" s="27" t="s">
        <v>683</v>
      </c>
      <c r="F56" s="27" t="s">
        <v>405</v>
      </c>
      <c r="G56" s="26"/>
      <c r="H56" s="27"/>
      <c r="I56" s="27"/>
      <c r="J56" s="27" t="s">
        <v>405</v>
      </c>
      <c r="K56" s="26"/>
      <c r="L56" s="27"/>
      <c r="M56" s="27"/>
      <c r="P56" s="27"/>
      <c r="Q56" s="27"/>
    </row>
    <row r="57" spans="2:17" x14ac:dyDescent="0.75">
      <c r="B57" s="26"/>
      <c r="C57" s="27" t="s">
        <v>484</v>
      </c>
      <c r="D57" s="27" t="s">
        <v>525</v>
      </c>
      <c r="E57" s="27" t="s">
        <v>684</v>
      </c>
      <c r="F57" s="27" t="s">
        <v>405</v>
      </c>
      <c r="G57" s="26"/>
      <c r="H57" s="27"/>
      <c r="I57" s="27"/>
      <c r="J57" s="27" t="s">
        <v>405</v>
      </c>
      <c r="K57" s="26"/>
      <c r="L57" s="27"/>
      <c r="M57" s="27"/>
      <c r="P57" s="27"/>
      <c r="Q57" s="27"/>
    </row>
    <row r="58" spans="2:17" x14ac:dyDescent="0.75">
      <c r="B58" s="26"/>
      <c r="C58" s="27" t="s">
        <v>642</v>
      </c>
      <c r="D58" s="27" t="s">
        <v>651</v>
      </c>
      <c r="E58" s="27" t="s">
        <v>685</v>
      </c>
      <c r="F58" s="27" t="s">
        <v>405</v>
      </c>
      <c r="G58" s="26"/>
      <c r="H58" s="27"/>
      <c r="I58" s="27"/>
      <c r="J58" s="27" t="s">
        <v>405</v>
      </c>
      <c r="K58" s="26"/>
      <c r="L58" s="27"/>
      <c r="M58" s="27"/>
      <c r="P58" s="27"/>
      <c r="Q58" s="27"/>
    </row>
    <row r="59" spans="2:17" x14ac:dyDescent="0.75">
      <c r="B59" s="26"/>
      <c r="C59" s="27" t="s">
        <v>643</v>
      </c>
      <c r="D59" s="27" t="s">
        <v>652</v>
      </c>
      <c r="E59" s="27" t="s">
        <v>686</v>
      </c>
      <c r="F59" s="27" t="s">
        <v>405</v>
      </c>
      <c r="G59" s="26"/>
      <c r="H59" s="27"/>
      <c r="I59" s="27"/>
      <c r="J59" s="27" t="s">
        <v>405</v>
      </c>
      <c r="K59" s="26"/>
      <c r="L59" s="27"/>
      <c r="M59" s="27"/>
      <c r="P59" s="27"/>
      <c r="Q59" s="27"/>
    </row>
    <row r="60" spans="2:17" x14ac:dyDescent="0.75">
      <c r="B60" s="26"/>
      <c r="C60" s="27" t="s">
        <v>485</v>
      </c>
      <c r="D60" s="27" t="s">
        <v>526</v>
      </c>
      <c r="E60" s="27" t="s">
        <v>687</v>
      </c>
      <c r="F60" s="27" t="s">
        <v>405</v>
      </c>
      <c r="G60" s="26"/>
      <c r="H60" s="27"/>
      <c r="I60" s="27"/>
      <c r="J60" s="27" t="s">
        <v>405</v>
      </c>
      <c r="K60" s="26"/>
      <c r="L60" s="27"/>
      <c r="M60" s="27"/>
      <c r="P60" s="27"/>
      <c r="Q60" s="27"/>
    </row>
    <row r="61" spans="2:17" x14ac:dyDescent="0.75">
      <c r="B61" s="26"/>
      <c r="C61" s="27" t="s">
        <v>486</v>
      </c>
      <c r="D61" s="27" t="s">
        <v>527</v>
      </c>
      <c r="E61" s="27" t="s">
        <v>688</v>
      </c>
      <c r="F61" s="27" t="s">
        <v>405</v>
      </c>
      <c r="G61" s="26"/>
      <c r="H61" s="27"/>
      <c r="I61" s="27"/>
      <c r="J61" s="27" t="s">
        <v>405</v>
      </c>
      <c r="K61" s="26"/>
      <c r="L61" s="27"/>
      <c r="M61" s="27"/>
      <c r="P61" s="27"/>
      <c r="Q61" s="27"/>
    </row>
    <row r="62" spans="2:17" x14ac:dyDescent="0.75">
      <c r="B62" s="26"/>
      <c r="C62" s="27" t="s">
        <v>487</v>
      </c>
      <c r="D62" s="27" t="s">
        <v>528</v>
      </c>
      <c r="E62" s="27" t="s">
        <v>588</v>
      </c>
      <c r="F62" s="27" t="s">
        <v>405</v>
      </c>
      <c r="G62" s="26"/>
      <c r="H62" s="27"/>
      <c r="I62" s="27"/>
      <c r="J62" s="27" t="s">
        <v>405</v>
      </c>
      <c r="K62" s="26"/>
      <c r="L62" s="27"/>
      <c r="M62" s="27"/>
      <c r="P62" s="27"/>
      <c r="Q62" s="27"/>
    </row>
    <row r="63" spans="2:17" x14ac:dyDescent="0.75">
      <c r="B63" s="26"/>
      <c r="C63" s="27" t="s">
        <v>488</v>
      </c>
      <c r="D63" s="27" t="s">
        <v>529</v>
      </c>
      <c r="E63" s="27" t="s">
        <v>589</v>
      </c>
      <c r="F63" s="27" t="s">
        <v>405</v>
      </c>
      <c r="G63" s="26"/>
      <c r="H63" s="27"/>
      <c r="I63" s="27"/>
      <c r="J63" s="27" t="s">
        <v>405</v>
      </c>
      <c r="K63" s="26"/>
      <c r="L63" s="27"/>
      <c r="M63" s="27"/>
      <c r="P63" s="27"/>
      <c r="Q63" s="27"/>
    </row>
    <row r="64" spans="2:17" x14ac:dyDescent="0.75">
      <c r="B64" s="26"/>
      <c r="C64" s="27" t="s">
        <v>489</v>
      </c>
      <c r="D64" s="27" t="s">
        <v>530</v>
      </c>
      <c r="E64" s="27" t="s">
        <v>590</v>
      </c>
      <c r="F64" s="27" t="s">
        <v>405</v>
      </c>
      <c r="G64" s="26"/>
      <c r="H64" s="27"/>
      <c r="I64" s="27"/>
      <c r="J64" s="27" t="s">
        <v>405</v>
      </c>
      <c r="K64" s="26"/>
      <c r="L64" s="27"/>
      <c r="M64" s="27"/>
      <c r="P64" s="27"/>
      <c r="Q64" s="27"/>
    </row>
    <row r="65" spans="2:17" x14ac:dyDescent="0.75">
      <c r="B65" s="26"/>
      <c r="C65" s="27" t="s">
        <v>299</v>
      </c>
      <c r="D65" s="27" t="s">
        <v>61</v>
      </c>
      <c r="E65" s="27" t="s">
        <v>591</v>
      </c>
      <c r="F65" s="27" t="s">
        <v>405</v>
      </c>
      <c r="G65" s="26"/>
      <c r="H65" s="27"/>
      <c r="I65" s="27"/>
      <c r="J65" s="27" t="s">
        <v>405</v>
      </c>
      <c r="K65" s="26"/>
      <c r="L65" s="27"/>
      <c r="M65" s="27"/>
      <c r="P65" s="27"/>
      <c r="Q65" s="27"/>
    </row>
    <row r="66" spans="2:17" x14ac:dyDescent="0.75">
      <c r="B66" s="26"/>
      <c r="C66" s="27" t="s">
        <v>490</v>
      </c>
      <c r="D66" s="27" t="s">
        <v>531</v>
      </c>
      <c r="E66" s="27" t="s">
        <v>592</v>
      </c>
      <c r="F66" s="27" t="s">
        <v>405</v>
      </c>
      <c r="G66" s="26"/>
      <c r="H66" s="27"/>
      <c r="I66" s="27"/>
      <c r="J66" s="27" t="s">
        <v>405</v>
      </c>
      <c r="K66" s="26"/>
      <c r="L66" s="27"/>
      <c r="M66" s="27"/>
      <c r="P66" s="27"/>
      <c r="Q66" s="27"/>
    </row>
    <row r="67" spans="2:17" x14ac:dyDescent="0.75">
      <c r="B67" s="26"/>
      <c r="C67" s="27" t="s">
        <v>300</v>
      </c>
      <c r="D67" s="27" t="s">
        <v>335</v>
      </c>
      <c r="E67" s="27" t="s">
        <v>593</v>
      </c>
      <c r="F67" s="27" t="s">
        <v>405</v>
      </c>
      <c r="G67" s="26"/>
      <c r="H67" s="27"/>
      <c r="I67" s="27"/>
      <c r="J67" s="27" t="s">
        <v>405</v>
      </c>
      <c r="K67" s="26"/>
      <c r="L67" s="27"/>
      <c r="M67" s="27"/>
      <c r="P67" s="27"/>
      <c r="Q67" s="27"/>
    </row>
    <row r="68" spans="2:17" x14ac:dyDescent="0.75">
      <c r="B68" s="26"/>
      <c r="C68" s="27" t="s">
        <v>491</v>
      </c>
      <c r="D68" s="27" t="s">
        <v>532</v>
      </c>
      <c r="E68" s="27" t="s">
        <v>594</v>
      </c>
      <c r="F68" s="27" t="s">
        <v>405</v>
      </c>
      <c r="G68" s="26"/>
      <c r="H68" s="27"/>
      <c r="I68" s="27"/>
      <c r="J68" s="27" t="s">
        <v>405</v>
      </c>
      <c r="K68" s="26"/>
      <c r="L68" s="27"/>
      <c r="M68" s="27"/>
      <c r="P68" s="27"/>
      <c r="Q68" s="27"/>
    </row>
    <row r="69" spans="2:17" x14ac:dyDescent="0.75">
      <c r="B69" s="26"/>
      <c r="C69" s="27" t="s">
        <v>644</v>
      </c>
      <c r="D69" s="27" t="s">
        <v>653</v>
      </c>
      <c r="E69" s="27" t="s">
        <v>689</v>
      </c>
      <c r="F69" s="27" t="s">
        <v>405</v>
      </c>
      <c r="G69" s="26"/>
      <c r="H69" s="27"/>
      <c r="I69" s="27"/>
      <c r="J69" s="27" t="s">
        <v>405</v>
      </c>
      <c r="K69" s="26"/>
      <c r="L69" s="27"/>
      <c r="M69" s="27"/>
      <c r="P69" s="27"/>
      <c r="Q69" s="27"/>
    </row>
    <row r="70" spans="2:17" x14ac:dyDescent="0.75">
      <c r="B70" s="26"/>
      <c r="C70" s="27" t="s">
        <v>645</v>
      </c>
      <c r="D70" s="27" t="s">
        <v>654</v>
      </c>
      <c r="E70" s="27" t="s">
        <v>690</v>
      </c>
      <c r="F70" s="27" t="s">
        <v>405</v>
      </c>
      <c r="G70" s="26"/>
      <c r="H70" s="27"/>
      <c r="I70" s="27"/>
      <c r="J70" s="27" t="s">
        <v>405</v>
      </c>
      <c r="K70" s="26"/>
      <c r="L70" s="27"/>
      <c r="M70" s="27"/>
      <c r="P70" s="27"/>
      <c r="Q70" s="27"/>
    </row>
    <row r="71" spans="2:17" x14ac:dyDescent="0.75">
      <c r="B71" s="26"/>
      <c r="C71" s="27" t="s">
        <v>646</v>
      </c>
      <c r="D71" s="27" t="s">
        <v>655</v>
      </c>
      <c r="E71" s="27" t="s">
        <v>691</v>
      </c>
      <c r="F71" s="27" t="s">
        <v>405</v>
      </c>
      <c r="G71" s="26"/>
      <c r="H71" s="27"/>
      <c r="I71" s="27"/>
      <c r="J71" s="27" t="s">
        <v>405</v>
      </c>
      <c r="K71" s="26"/>
      <c r="L71" s="27"/>
      <c r="M71" s="27"/>
      <c r="P71" s="27"/>
      <c r="Q71" s="27"/>
    </row>
    <row r="72" spans="2:17" x14ac:dyDescent="0.75">
      <c r="B72" s="26"/>
      <c r="C72" s="27" t="s">
        <v>301</v>
      </c>
      <c r="D72" s="27" t="s">
        <v>336</v>
      </c>
      <c r="E72" s="27" t="s">
        <v>431</v>
      </c>
      <c r="F72" s="27" t="s">
        <v>405</v>
      </c>
      <c r="G72" s="26"/>
      <c r="H72" s="27"/>
      <c r="I72" s="27"/>
      <c r="J72" s="27" t="s">
        <v>405</v>
      </c>
      <c r="K72" s="26"/>
      <c r="L72" s="27"/>
      <c r="M72" s="27"/>
      <c r="P72" s="27"/>
      <c r="Q72" s="27"/>
    </row>
    <row r="73" spans="2:17" x14ac:dyDescent="0.75">
      <c r="B73" s="26"/>
      <c r="C73" s="27" t="s">
        <v>492</v>
      </c>
      <c r="D73" s="27" t="s">
        <v>533</v>
      </c>
      <c r="E73" s="27" t="s">
        <v>595</v>
      </c>
      <c r="F73" s="27" t="s">
        <v>405</v>
      </c>
      <c r="G73" s="26"/>
      <c r="H73" s="27"/>
      <c r="I73" s="27"/>
      <c r="J73" s="27" t="s">
        <v>405</v>
      </c>
      <c r="K73" s="26"/>
      <c r="L73" s="27"/>
      <c r="M73" s="27"/>
      <c r="P73" s="27"/>
      <c r="Q73" s="27"/>
    </row>
    <row r="74" spans="2:17" x14ac:dyDescent="0.75">
      <c r="B74" s="26"/>
      <c r="C74" s="27" t="s">
        <v>493</v>
      </c>
      <c r="D74" s="27" t="s">
        <v>534</v>
      </c>
      <c r="E74" s="27" t="s">
        <v>596</v>
      </c>
      <c r="F74" s="27" t="s">
        <v>405</v>
      </c>
      <c r="G74" s="26"/>
      <c r="H74" s="27"/>
      <c r="I74" s="27"/>
      <c r="J74" s="27" t="s">
        <v>405</v>
      </c>
      <c r="K74" s="26"/>
      <c r="L74" s="27"/>
      <c r="M74" s="27"/>
      <c r="P74" s="27"/>
      <c r="Q74" s="27"/>
    </row>
    <row r="75" spans="2:17" x14ac:dyDescent="0.75">
      <c r="B75" s="26"/>
      <c r="C75" s="27" t="s">
        <v>302</v>
      </c>
      <c r="D75" s="27" t="s">
        <v>337</v>
      </c>
      <c r="E75" s="27" t="s">
        <v>434</v>
      </c>
      <c r="F75" s="27" t="s">
        <v>405</v>
      </c>
      <c r="G75" s="26"/>
      <c r="H75" s="27"/>
      <c r="I75" s="27"/>
      <c r="J75" s="27" t="s">
        <v>405</v>
      </c>
      <c r="K75" s="26"/>
      <c r="L75" s="27"/>
      <c r="M75" s="27"/>
      <c r="P75" s="27"/>
      <c r="Q75" s="27"/>
    </row>
    <row r="76" spans="2:17" x14ac:dyDescent="0.75">
      <c r="B76" s="26"/>
      <c r="C76" s="27" t="s">
        <v>494</v>
      </c>
      <c r="D76" s="27" t="s">
        <v>535</v>
      </c>
      <c r="E76" s="27" t="s">
        <v>692</v>
      </c>
      <c r="F76" s="27" t="s">
        <v>405</v>
      </c>
      <c r="G76" s="26"/>
      <c r="H76" s="27"/>
      <c r="I76" s="27"/>
      <c r="J76" s="27" t="s">
        <v>405</v>
      </c>
      <c r="K76" s="26"/>
      <c r="L76" s="27"/>
      <c r="M76" s="27"/>
      <c r="P76" s="27"/>
      <c r="Q76" s="27"/>
    </row>
    <row r="77" spans="2:17" x14ac:dyDescent="0.75">
      <c r="B77" s="26"/>
      <c r="C77" s="27" t="s">
        <v>495</v>
      </c>
      <c r="D77" s="27" t="s">
        <v>536</v>
      </c>
      <c r="E77" s="27" t="s">
        <v>597</v>
      </c>
      <c r="F77" s="27" t="s">
        <v>405</v>
      </c>
      <c r="G77" s="26"/>
      <c r="H77" s="27"/>
      <c r="I77" s="27"/>
      <c r="J77" s="27" t="s">
        <v>405</v>
      </c>
      <c r="K77" s="26"/>
      <c r="L77" s="27"/>
      <c r="M77" s="27"/>
      <c r="P77" s="27"/>
      <c r="Q77" s="27"/>
    </row>
    <row r="78" spans="2:17" x14ac:dyDescent="0.75">
      <c r="B78" s="26"/>
      <c r="C78" s="27" t="s">
        <v>496</v>
      </c>
      <c r="D78" s="27" t="s">
        <v>537</v>
      </c>
      <c r="E78" s="27" t="s">
        <v>598</v>
      </c>
      <c r="F78" s="27" t="s">
        <v>405</v>
      </c>
      <c r="G78" s="26"/>
      <c r="H78" s="27"/>
      <c r="I78" s="27"/>
      <c r="J78" s="27" t="s">
        <v>405</v>
      </c>
      <c r="K78" s="26"/>
      <c r="L78" s="27"/>
      <c r="M78" s="27"/>
      <c r="P78" s="27"/>
      <c r="Q78" s="27"/>
    </row>
    <row r="79" spans="2:17" x14ac:dyDescent="0.75">
      <c r="B79" s="26"/>
      <c r="C79" s="27" t="s">
        <v>303</v>
      </c>
      <c r="D79" s="27" t="s">
        <v>338</v>
      </c>
      <c r="E79" s="27" t="s">
        <v>599</v>
      </c>
      <c r="F79" s="27" t="s">
        <v>405</v>
      </c>
      <c r="G79" s="26"/>
      <c r="H79" s="27"/>
      <c r="I79" s="27"/>
      <c r="J79" s="27" t="s">
        <v>405</v>
      </c>
      <c r="K79" s="26"/>
      <c r="L79" s="27"/>
      <c r="M79" s="27"/>
      <c r="P79" s="27"/>
      <c r="Q79" s="27"/>
    </row>
    <row r="80" spans="2:17" x14ac:dyDescent="0.75">
      <c r="B80" s="26"/>
      <c r="C80" s="27" t="s">
        <v>304</v>
      </c>
      <c r="D80" s="27" t="s">
        <v>339</v>
      </c>
      <c r="E80" s="27" t="s">
        <v>367</v>
      </c>
      <c r="F80" s="27" t="s">
        <v>405</v>
      </c>
      <c r="G80" s="26"/>
      <c r="H80" s="27"/>
      <c r="I80" s="27"/>
      <c r="J80" s="27" t="s">
        <v>405</v>
      </c>
      <c r="K80" s="26"/>
      <c r="L80" s="27"/>
      <c r="M80" s="27"/>
      <c r="P80" s="27"/>
      <c r="Q80" s="27"/>
    </row>
    <row r="81" spans="2:17" x14ac:dyDescent="0.75">
      <c r="B81" s="26"/>
      <c r="C81" s="27" t="s">
        <v>305</v>
      </c>
      <c r="D81" s="27" t="s">
        <v>340</v>
      </c>
      <c r="E81" s="27" t="s">
        <v>693</v>
      </c>
      <c r="F81" s="27" t="s">
        <v>405</v>
      </c>
      <c r="G81" s="26"/>
      <c r="H81" s="27"/>
      <c r="I81" s="27"/>
      <c r="J81" s="27" t="s">
        <v>405</v>
      </c>
      <c r="K81" s="26"/>
      <c r="L81" s="27"/>
      <c r="M81" s="27"/>
      <c r="P81" s="27"/>
      <c r="Q81" s="27"/>
    </row>
    <row r="82" spans="2:17" x14ac:dyDescent="0.75">
      <c r="B82" s="26"/>
      <c r="C82" s="27" t="s">
        <v>306</v>
      </c>
      <c r="D82" s="27" t="s">
        <v>64</v>
      </c>
      <c r="E82" s="27" t="s">
        <v>601</v>
      </c>
      <c r="F82" s="27" t="s">
        <v>405</v>
      </c>
      <c r="G82" s="26"/>
      <c r="H82" s="27"/>
      <c r="I82" s="27"/>
      <c r="J82" s="27" t="s">
        <v>405</v>
      </c>
      <c r="K82" s="26"/>
      <c r="L82" s="27"/>
      <c r="M82" s="27"/>
      <c r="P82" s="27"/>
      <c r="Q82" s="27"/>
    </row>
    <row r="83" spans="2:17" x14ac:dyDescent="0.75">
      <c r="B83" s="26"/>
      <c r="C83" s="27" t="s">
        <v>497</v>
      </c>
      <c r="D83" s="27" t="s">
        <v>538</v>
      </c>
      <c r="E83" s="27" t="s">
        <v>600</v>
      </c>
      <c r="F83" s="27" t="s">
        <v>405</v>
      </c>
      <c r="G83" s="26"/>
      <c r="H83" s="27"/>
      <c r="I83" s="27"/>
      <c r="J83" s="27" t="s">
        <v>405</v>
      </c>
      <c r="K83" s="26"/>
      <c r="L83" s="27"/>
      <c r="M83" s="27"/>
      <c r="P83" s="27"/>
      <c r="Q83" s="27"/>
    </row>
    <row r="84" spans="2:17" x14ac:dyDescent="0.75">
      <c r="B84" s="26"/>
      <c r="C84" s="27" t="s">
        <v>498</v>
      </c>
      <c r="D84" s="27" t="s">
        <v>539</v>
      </c>
      <c r="E84" s="27" t="s">
        <v>694</v>
      </c>
      <c r="F84" s="27" t="s">
        <v>405</v>
      </c>
      <c r="G84" s="26"/>
      <c r="H84" s="27"/>
      <c r="I84" s="27"/>
      <c r="J84" s="27" t="s">
        <v>405</v>
      </c>
      <c r="K84" s="26"/>
      <c r="L84" s="27"/>
      <c r="M84" s="27"/>
      <c r="P84" s="27"/>
      <c r="Q84" s="27"/>
    </row>
    <row r="85" spans="2:17" x14ac:dyDescent="0.75">
      <c r="B85" s="26"/>
      <c r="C85" s="27" t="s">
        <v>307</v>
      </c>
      <c r="D85" s="27" t="s">
        <v>341</v>
      </c>
      <c r="E85" s="27" t="s">
        <v>368</v>
      </c>
      <c r="F85" s="27" t="s">
        <v>405</v>
      </c>
      <c r="G85" s="26"/>
      <c r="H85" s="27"/>
      <c r="I85" s="27"/>
      <c r="J85" s="27" t="s">
        <v>405</v>
      </c>
      <c r="K85" s="26"/>
      <c r="L85" s="27"/>
      <c r="M85" s="27"/>
      <c r="P85" s="27"/>
      <c r="Q85" s="27"/>
    </row>
    <row r="86" spans="2:17" x14ac:dyDescent="0.75">
      <c r="B86" s="26"/>
      <c r="C86" s="27" t="s">
        <v>308</v>
      </c>
      <c r="D86" s="27" t="s">
        <v>342</v>
      </c>
      <c r="E86" s="27" t="s">
        <v>369</v>
      </c>
      <c r="F86" s="27" t="s">
        <v>405</v>
      </c>
      <c r="G86" s="26"/>
      <c r="H86" s="27"/>
      <c r="I86" s="27"/>
      <c r="J86" s="27" t="s">
        <v>405</v>
      </c>
      <c r="K86" s="26"/>
      <c r="L86" s="27"/>
      <c r="M86" s="27"/>
      <c r="P86" s="27"/>
      <c r="Q86" s="27"/>
    </row>
    <row r="87" spans="2:17" x14ac:dyDescent="0.75">
      <c r="B87" s="26"/>
      <c r="C87" s="27" t="s">
        <v>309</v>
      </c>
      <c r="D87" s="27" t="s">
        <v>343</v>
      </c>
      <c r="E87" s="27" t="s">
        <v>370</v>
      </c>
      <c r="F87" s="27" t="s">
        <v>405</v>
      </c>
      <c r="G87" s="26"/>
      <c r="H87" s="27"/>
      <c r="I87" s="27"/>
      <c r="J87" s="27" t="s">
        <v>405</v>
      </c>
      <c r="K87" s="26"/>
      <c r="L87" s="27"/>
      <c r="M87" s="27"/>
      <c r="P87" s="27"/>
      <c r="Q87" s="27"/>
    </row>
    <row r="88" spans="2:17" x14ac:dyDescent="0.75">
      <c r="B88" s="26"/>
      <c r="C88" s="27" t="s">
        <v>310</v>
      </c>
      <c r="D88" s="27" t="s">
        <v>65</v>
      </c>
      <c r="E88" s="27" t="s">
        <v>371</v>
      </c>
      <c r="F88" s="27" t="s">
        <v>405</v>
      </c>
      <c r="G88" s="26"/>
      <c r="H88" s="27"/>
      <c r="I88" s="27"/>
      <c r="J88" s="27" t="s">
        <v>405</v>
      </c>
      <c r="K88" s="26"/>
      <c r="L88" s="27"/>
      <c r="M88" s="27"/>
      <c r="P88" s="27"/>
      <c r="Q88" s="27"/>
    </row>
    <row r="89" spans="2:17" x14ac:dyDescent="0.75">
      <c r="B89" s="26"/>
      <c r="C89" s="27" t="s">
        <v>311</v>
      </c>
      <c r="D89" s="27" t="s">
        <v>344</v>
      </c>
      <c r="E89" s="27" t="s">
        <v>372</v>
      </c>
      <c r="F89" s="27" t="s">
        <v>405</v>
      </c>
      <c r="G89" s="26"/>
      <c r="H89" s="27"/>
      <c r="I89" s="27"/>
      <c r="J89" s="27" t="s">
        <v>405</v>
      </c>
      <c r="K89" s="26"/>
      <c r="L89" s="27"/>
      <c r="M89" s="27"/>
      <c r="P89" s="27"/>
      <c r="Q89" s="27"/>
    </row>
    <row r="90" spans="2:17" x14ac:dyDescent="0.75">
      <c r="B90" s="26"/>
      <c r="C90" s="27" t="s">
        <v>312</v>
      </c>
      <c r="D90" s="27" t="s">
        <v>66</v>
      </c>
      <c r="E90" s="27" t="s">
        <v>373</v>
      </c>
      <c r="F90" s="27" t="s">
        <v>405</v>
      </c>
      <c r="G90" s="26"/>
      <c r="H90" s="27"/>
      <c r="I90" s="27"/>
      <c r="J90" s="27" t="s">
        <v>405</v>
      </c>
      <c r="K90" s="26"/>
      <c r="L90" s="27"/>
      <c r="M90" s="27"/>
      <c r="P90" s="27"/>
      <c r="Q90" s="27"/>
    </row>
    <row r="91" spans="2:17" x14ac:dyDescent="0.75">
      <c r="B91" s="26"/>
      <c r="C91" s="27" t="s">
        <v>313</v>
      </c>
      <c r="D91" s="27" t="s">
        <v>345</v>
      </c>
      <c r="E91" s="27" t="s">
        <v>602</v>
      </c>
      <c r="F91" s="27" t="s">
        <v>405</v>
      </c>
      <c r="G91" s="26"/>
      <c r="H91" s="27"/>
      <c r="I91" s="27"/>
      <c r="J91" s="27" t="s">
        <v>405</v>
      </c>
      <c r="K91" s="26"/>
      <c r="L91" s="27"/>
      <c r="M91" s="27"/>
      <c r="P91" s="27"/>
      <c r="Q91" s="27"/>
    </row>
    <row r="92" spans="2:17" x14ac:dyDescent="0.75">
      <c r="B92" s="26"/>
      <c r="C92" s="27" t="s">
        <v>499</v>
      </c>
      <c r="D92" s="27" t="s">
        <v>540</v>
      </c>
      <c r="E92" s="27" t="s">
        <v>603</v>
      </c>
      <c r="F92" s="27" t="s">
        <v>405</v>
      </c>
      <c r="G92" s="26"/>
      <c r="H92" s="27"/>
      <c r="I92" s="27"/>
      <c r="J92" s="27" t="s">
        <v>405</v>
      </c>
      <c r="K92" s="26"/>
      <c r="L92" s="27"/>
      <c r="M92" s="27"/>
      <c r="P92" s="27"/>
      <c r="Q92" s="27"/>
    </row>
    <row r="93" spans="2:17" x14ac:dyDescent="0.75">
      <c r="B93" s="26"/>
      <c r="C93" s="27" t="s">
        <v>314</v>
      </c>
      <c r="D93" s="27" t="s">
        <v>346</v>
      </c>
      <c r="E93" s="27" t="s">
        <v>374</v>
      </c>
      <c r="F93" s="27" t="s">
        <v>405</v>
      </c>
      <c r="G93" s="26"/>
      <c r="H93" s="27"/>
      <c r="I93" s="27"/>
      <c r="J93" s="27" t="s">
        <v>405</v>
      </c>
      <c r="K93" s="26"/>
      <c r="L93" s="27"/>
      <c r="M93" s="27"/>
      <c r="P93" s="27"/>
      <c r="Q93" s="27"/>
    </row>
    <row r="94" spans="2:17" x14ac:dyDescent="0.75">
      <c r="B94" s="26"/>
      <c r="C94" s="27" t="s">
        <v>315</v>
      </c>
      <c r="D94" s="27" t="s">
        <v>347</v>
      </c>
      <c r="E94" s="27" t="s">
        <v>375</v>
      </c>
      <c r="F94" s="27" t="s">
        <v>405</v>
      </c>
      <c r="G94" s="26"/>
      <c r="H94" s="27"/>
      <c r="I94" s="27"/>
      <c r="J94" s="27" t="s">
        <v>405</v>
      </c>
      <c r="K94" s="26"/>
      <c r="L94" s="27"/>
      <c r="M94" s="27"/>
      <c r="P94" s="27"/>
      <c r="Q94" s="27"/>
    </row>
    <row r="95" spans="2:17" x14ac:dyDescent="0.75">
      <c r="B95" s="26"/>
      <c r="C95" s="27" t="s">
        <v>316</v>
      </c>
      <c r="D95" s="27" t="s">
        <v>348</v>
      </c>
      <c r="E95" s="27" t="s">
        <v>376</v>
      </c>
      <c r="F95" s="27" t="s">
        <v>405</v>
      </c>
      <c r="G95" s="26"/>
      <c r="H95" s="27"/>
      <c r="I95" s="27"/>
      <c r="J95" s="27" t="s">
        <v>405</v>
      </c>
      <c r="K95" s="26"/>
      <c r="L95" s="27"/>
      <c r="M95" s="27"/>
      <c r="P95" s="27"/>
      <c r="Q95" s="27"/>
    </row>
    <row r="96" spans="2:17" x14ac:dyDescent="0.75">
      <c r="B96" s="26"/>
      <c r="C96" s="27" t="s">
        <v>317</v>
      </c>
      <c r="D96" s="27" t="s">
        <v>67</v>
      </c>
      <c r="E96" s="27" t="s">
        <v>377</v>
      </c>
      <c r="F96" s="27" t="s">
        <v>405</v>
      </c>
      <c r="G96" s="26"/>
      <c r="H96" s="27"/>
      <c r="I96" s="27"/>
      <c r="J96" s="27" t="s">
        <v>405</v>
      </c>
      <c r="K96" s="26"/>
      <c r="L96" s="27"/>
      <c r="M96" s="27"/>
      <c r="P96" s="27"/>
      <c r="Q96" s="27"/>
    </row>
    <row r="97" spans="2:17" x14ac:dyDescent="0.75">
      <c r="B97" s="26"/>
      <c r="C97" s="27" t="s">
        <v>318</v>
      </c>
      <c r="D97" s="27" t="s">
        <v>349</v>
      </c>
      <c r="E97" s="27" t="s">
        <v>378</v>
      </c>
      <c r="F97" s="27" t="s">
        <v>405</v>
      </c>
      <c r="G97" s="26"/>
      <c r="H97" s="27"/>
      <c r="I97" s="27"/>
      <c r="J97" s="27" t="s">
        <v>405</v>
      </c>
      <c r="K97" s="26"/>
      <c r="L97" s="27"/>
      <c r="M97" s="27"/>
      <c r="P97" s="27"/>
      <c r="Q97" s="27"/>
    </row>
    <row r="98" spans="2:17" x14ac:dyDescent="0.75">
      <c r="B98" s="26"/>
      <c r="C98" s="27" t="s">
        <v>319</v>
      </c>
      <c r="D98" s="27" t="s">
        <v>350</v>
      </c>
      <c r="E98" s="27" t="s">
        <v>379</v>
      </c>
      <c r="F98" s="27" t="s">
        <v>405</v>
      </c>
      <c r="G98" s="26"/>
      <c r="H98" s="27"/>
      <c r="I98" s="27"/>
      <c r="J98" s="27" t="s">
        <v>405</v>
      </c>
      <c r="K98" s="26"/>
      <c r="L98" s="27"/>
      <c r="M98" s="27"/>
      <c r="P98" s="27"/>
      <c r="Q98" s="27"/>
    </row>
    <row r="99" spans="2:17" x14ac:dyDescent="0.75">
      <c r="B99" s="26"/>
      <c r="C99" s="27" t="s">
        <v>320</v>
      </c>
      <c r="D99" s="27" t="s">
        <v>351</v>
      </c>
      <c r="E99" s="27" t="s">
        <v>380</v>
      </c>
      <c r="F99" s="27" t="s">
        <v>405</v>
      </c>
      <c r="G99" s="26"/>
      <c r="H99" s="27"/>
      <c r="I99" s="27"/>
      <c r="J99" s="27" t="s">
        <v>405</v>
      </c>
      <c r="K99" s="26"/>
      <c r="L99" s="27"/>
      <c r="M99" s="27"/>
      <c r="P99" s="27"/>
      <c r="Q99" s="27"/>
    </row>
    <row r="100" spans="2:17" x14ac:dyDescent="0.75">
      <c r="B100" s="26"/>
      <c r="C100" s="27" t="s">
        <v>321</v>
      </c>
      <c r="D100" s="27" t="s">
        <v>352</v>
      </c>
      <c r="E100" s="27" t="s">
        <v>381</v>
      </c>
      <c r="F100" s="27" t="s">
        <v>405</v>
      </c>
      <c r="G100" s="26"/>
      <c r="H100" s="27"/>
      <c r="I100" s="27"/>
      <c r="J100" s="27" t="s">
        <v>405</v>
      </c>
      <c r="K100" s="26"/>
      <c r="L100" s="27"/>
      <c r="M100" s="27"/>
      <c r="P100" s="27"/>
      <c r="Q100" s="27"/>
    </row>
    <row r="101" spans="2:17" x14ac:dyDescent="0.75">
      <c r="B101" s="26"/>
      <c r="C101" s="27"/>
      <c r="D101" s="27"/>
      <c r="E101" s="27"/>
      <c r="F101" s="27"/>
      <c r="G101" s="26"/>
      <c r="H101" s="27"/>
      <c r="I101" s="27"/>
      <c r="J101" s="27" t="s">
        <v>405</v>
      </c>
      <c r="K101" s="26"/>
      <c r="L101" s="27"/>
      <c r="M101" s="27"/>
      <c r="P101" s="27"/>
      <c r="Q101" s="27"/>
    </row>
    <row r="102" spans="2:17" x14ac:dyDescent="0.75">
      <c r="B102" s="26"/>
      <c r="C102" s="27"/>
      <c r="D102" s="27"/>
      <c r="E102" s="27"/>
      <c r="F102" s="27"/>
      <c r="G102" s="26"/>
      <c r="H102" s="27"/>
      <c r="I102" s="27"/>
      <c r="J102" s="27" t="s">
        <v>405</v>
      </c>
      <c r="K102" s="26"/>
      <c r="L102" s="27"/>
      <c r="M102" s="27"/>
      <c r="P102" s="27"/>
      <c r="Q102" s="27"/>
    </row>
    <row r="103" spans="2:17" x14ac:dyDescent="0.75">
      <c r="B103" s="26"/>
      <c r="C103" s="27"/>
      <c r="D103" s="27"/>
      <c r="E103" s="27"/>
      <c r="F103" s="27" t="s">
        <v>405</v>
      </c>
      <c r="G103" s="26"/>
      <c r="H103" s="27"/>
      <c r="I103" s="27"/>
      <c r="J103" s="27" t="s">
        <v>405</v>
      </c>
      <c r="K103" s="26"/>
      <c r="L103" s="27"/>
      <c r="M103" s="27"/>
      <c r="P103" s="27"/>
      <c r="Q103" s="27"/>
    </row>
    <row r="104" spans="2:17" x14ac:dyDescent="0.75">
      <c r="B104" s="26"/>
      <c r="C104" s="27"/>
      <c r="D104" s="27"/>
      <c r="E104" s="27"/>
      <c r="F104" s="27" t="s">
        <v>405</v>
      </c>
      <c r="G104" s="26"/>
      <c r="H104" s="27"/>
      <c r="I104" s="27"/>
      <c r="J104" s="27" t="s">
        <v>405</v>
      </c>
      <c r="K104" s="26"/>
      <c r="L104" s="27"/>
      <c r="M104" s="27"/>
      <c r="P104" s="27"/>
      <c r="Q104" s="27"/>
    </row>
    <row r="105" spans="2:17" x14ac:dyDescent="0.75">
      <c r="B105" s="26"/>
      <c r="C105" s="27"/>
      <c r="D105" s="27"/>
      <c r="E105" s="27"/>
      <c r="F105" s="27" t="s">
        <v>405</v>
      </c>
      <c r="G105" s="26"/>
      <c r="H105" s="27"/>
      <c r="I105" s="27"/>
      <c r="J105" s="27" t="s">
        <v>405</v>
      </c>
      <c r="K105" s="26"/>
      <c r="L105" s="27"/>
      <c r="M105" s="27"/>
      <c r="P105" s="27"/>
      <c r="Q105" s="27"/>
    </row>
    <row r="106" spans="2:17" x14ac:dyDescent="0.75">
      <c r="B106" s="26"/>
      <c r="C106" s="27"/>
      <c r="D106" s="27"/>
      <c r="E106" s="27"/>
      <c r="F106" s="27" t="s">
        <v>405</v>
      </c>
      <c r="G106" s="26"/>
      <c r="H106" s="27"/>
      <c r="I106" s="27"/>
      <c r="J106" s="27" t="s">
        <v>405</v>
      </c>
      <c r="K106" s="26"/>
      <c r="L106" s="27"/>
      <c r="M106" s="27"/>
      <c r="P106" s="27"/>
      <c r="Q106" s="27"/>
    </row>
    <row r="107" spans="2:17" x14ac:dyDescent="0.75">
      <c r="B107" s="26"/>
      <c r="C107" s="27"/>
      <c r="D107" s="27"/>
      <c r="E107" s="27"/>
      <c r="F107" s="27" t="s">
        <v>405</v>
      </c>
      <c r="G107" s="26"/>
      <c r="H107" s="27"/>
      <c r="I107" s="27"/>
      <c r="J107" s="27" t="s">
        <v>405</v>
      </c>
      <c r="K107" s="26"/>
      <c r="L107" s="27"/>
      <c r="M107" s="27"/>
      <c r="P107" s="27"/>
      <c r="Q107" s="27"/>
    </row>
    <row r="108" spans="2:17" x14ac:dyDescent="0.75">
      <c r="B108" s="26"/>
      <c r="C108" s="27"/>
      <c r="D108" s="27"/>
      <c r="E108" s="27"/>
      <c r="F108" s="27" t="s">
        <v>405</v>
      </c>
      <c r="G108" s="26"/>
      <c r="H108" s="27"/>
      <c r="I108" s="27"/>
      <c r="J108" s="27" t="s">
        <v>405</v>
      </c>
      <c r="K108" s="26"/>
      <c r="L108" s="27"/>
      <c r="M108" s="27"/>
      <c r="P108" s="27"/>
      <c r="Q108" s="27"/>
    </row>
    <row r="109" spans="2:17" x14ac:dyDescent="0.75">
      <c r="B109" s="26"/>
      <c r="C109" s="27"/>
      <c r="D109" s="27"/>
      <c r="E109" s="27"/>
      <c r="F109" s="27" t="s">
        <v>405</v>
      </c>
      <c r="G109" s="26"/>
      <c r="H109" s="27"/>
      <c r="I109" s="27"/>
      <c r="J109" s="27" t="s">
        <v>405</v>
      </c>
      <c r="K109" s="26"/>
      <c r="L109" s="27"/>
      <c r="M109" s="27"/>
      <c r="P109" s="27"/>
      <c r="Q109" s="27"/>
    </row>
    <row r="110" spans="2:17" x14ac:dyDescent="0.75">
      <c r="B110" s="26"/>
      <c r="C110" s="27"/>
      <c r="D110" s="27"/>
      <c r="E110" s="27"/>
      <c r="F110" s="27" t="s">
        <v>405</v>
      </c>
      <c r="G110" s="26"/>
      <c r="H110" s="27"/>
      <c r="I110" s="27"/>
      <c r="J110" s="27" t="s">
        <v>405</v>
      </c>
      <c r="K110" s="26"/>
      <c r="L110" s="27"/>
      <c r="M110" s="27"/>
      <c r="P110" s="27"/>
      <c r="Q110" s="27"/>
    </row>
    <row r="111" spans="2:17" x14ac:dyDescent="0.75">
      <c r="B111" s="26"/>
      <c r="C111" s="27"/>
      <c r="D111" s="27"/>
      <c r="E111" s="27"/>
      <c r="F111" s="27" t="s">
        <v>405</v>
      </c>
      <c r="G111" s="26"/>
      <c r="H111" s="27"/>
      <c r="I111" s="27"/>
      <c r="J111" s="27" t="s">
        <v>405</v>
      </c>
      <c r="K111" s="26"/>
      <c r="L111" s="27"/>
      <c r="M111" s="27"/>
      <c r="P111" s="27"/>
      <c r="Q111" s="27"/>
    </row>
    <row r="112" spans="2:17" x14ac:dyDescent="0.75">
      <c r="B112" s="26"/>
      <c r="C112" s="27"/>
      <c r="D112" s="27"/>
      <c r="E112" s="27"/>
      <c r="F112" s="27" t="s">
        <v>405</v>
      </c>
      <c r="G112" s="26"/>
      <c r="H112" s="27"/>
      <c r="I112" s="27"/>
      <c r="J112" s="27" t="s">
        <v>405</v>
      </c>
      <c r="K112" s="26"/>
      <c r="L112" s="27"/>
      <c r="M112" s="27"/>
      <c r="P112" s="27"/>
      <c r="Q112" s="27"/>
    </row>
    <row r="113" spans="2:17" x14ac:dyDescent="0.75">
      <c r="B113" s="26"/>
      <c r="C113" s="27"/>
      <c r="D113" s="27"/>
      <c r="E113" s="27"/>
      <c r="F113" s="27" t="s">
        <v>405</v>
      </c>
      <c r="G113" s="26"/>
      <c r="H113" s="27"/>
      <c r="I113" s="27"/>
      <c r="J113" s="27" t="s">
        <v>405</v>
      </c>
      <c r="K113" s="26"/>
      <c r="L113" s="27"/>
      <c r="M113" s="27"/>
      <c r="P113" s="27"/>
      <c r="Q113" s="27"/>
    </row>
    <row r="114" spans="2:17" x14ac:dyDescent="0.75">
      <c r="B114" s="26"/>
      <c r="C114" s="27"/>
      <c r="D114" s="27"/>
      <c r="E114" s="27"/>
      <c r="F114" s="27" t="s">
        <v>405</v>
      </c>
      <c r="G114" s="26"/>
      <c r="H114" s="27"/>
      <c r="I114" s="27"/>
      <c r="J114" s="27" t="s">
        <v>405</v>
      </c>
      <c r="K114" s="26"/>
      <c r="L114" s="27"/>
      <c r="M114" s="27"/>
      <c r="P114" s="27"/>
      <c r="Q114" s="27"/>
    </row>
    <row r="115" spans="2:17" x14ac:dyDescent="0.75">
      <c r="B115" s="26"/>
      <c r="C115" s="27"/>
      <c r="D115" s="27"/>
      <c r="E115" s="27"/>
      <c r="F115" s="27" t="s">
        <v>405</v>
      </c>
      <c r="G115" s="26"/>
      <c r="H115" s="27"/>
      <c r="I115" s="27"/>
      <c r="J115" s="27" t="s">
        <v>405</v>
      </c>
      <c r="K115" s="26"/>
      <c r="L115" s="27"/>
      <c r="M115" s="27"/>
      <c r="P115" s="27"/>
      <c r="Q115" s="27"/>
    </row>
    <row r="116" spans="2:17" x14ac:dyDescent="0.75">
      <c r="B116" s="26"/>
      <c r="C116" s="27"/>
      <c r="D116" s="27"/>
      <c r="E116" s="27"/>
      <c r="F116" s="27" t="s">
        <v>405</v>
      </c>
      <c r="G116" s="26"/>
      <c r="H116" s="27"/>
      <c r="I116" s="27"/>
      <c r="J116" s="27" t="s">
        <v>405</v>
      </c>
      <c r="K116" s="26"/>
      <c r="L116" s="27"/>
      <c r="M116" s="27"/>
      <c r="P116" s="27"/>
      <c r="Q116" s="27"/>
    </row>
    <row r="117" spans="2:17" x14ac:dyDescent="0.75">
      <c r="B117" s="26"/>
      <c r="C117" s="27"/>
      <c r="D117" s="27"/>
      <c r="E117" s="27"/>
      <c r="F117" s="27" t="s">
        <v>405</v>
      </c>
      <c r="G117" s="26"/>
      <c r="H117" s="27"/>
      <c r="I117" s="27"/>
      <c r="J117" s="27" t="s">
        <v>405</v>
      </c>
      <c r="K117" s="26"/>
      <c r="L117" s="27"/>
      <c r="M117" s="27"/>
      <c r="P117" s="27"/>
      <c r="Q117" s="27"/>
    </row>
    <row r="118" spans="2:17" x14ac:dyDescent="0.75">
      <c r="B118" s="26"/>
      <c r="C118" s="27"/>
      <c r="D118" s="27"/>
      <c r="E118" s="27"/>
      <c r="F118" s="27" t="s">
        <v>405</v>
      </c>
      <c r="G118" s="26"/>
      <c r="H118" s="27"/>
      <c r="I118" s="27"/>
      <c r="J118" s="27" t="s">
        <v>405</v>
      </c>
      <c r="K118" s="26"/>
      <c r="L118" s="27"/>
      <c r="M118" s="27"/>
      <c r="P118" s="27"/>
      <c r="Q118" s="27"/>
    </row>
    <row r="119" spans="2:17" x14ac:dyDescent="0.75">
      <c r="B119" s="26"/>
      <c r="C119" s="27"/>
      <c r="D119" s="27"/>
      <c r="E119" s="27"/>
      <c r="F119" s="27" t="s">
        <v>405</v>
      </c>
      <c r="G119" s="26"/>
      <c r="H119" s="27"/>
      <c r="I119" s="27"/>
      <c r="J119" s="27" t="s">
        <v>405</v>
      </c>
      <c r="K119" s="26"/>
      <c r="L119" s="27"/>
      <c r="M119" s="27"/>
      <c r="P119" s="27"/>
      <c r="Q119" s="27"/>
    </row>
    <row r="120" spans="2:17" x14ac:dyDescent="0.75">
      <c r="B120" s="26"/>
      <c r="C120" s="27"/>
      <c r="D120" s="27"/>
      <c r="E120" s="27"/>
      <c r="F120" s="27" t="s">
        <v>405</v>
      </c>
      <c r="G120" s="26"/>
      <c r="H120" s="27"/>
      <c r="I120" s="27"/>
      <c r="J120" s="27" t="s">
        <v>405</v>
      </c>
      <c r="K120" s="26"/>
      <c r="L120" s="27"/>
      <c r="M120" s="27"/>
      <c r="P120" s="27"/>
      <c r="Q120" s="27"/>
    </row>
    <row r="121" spans="2:17" x14ac:dyDescent="0.75">
      <c r="B121" s="26"/>
      <c r="C121" s="27"/>
      <c r="D121" s="27"/>
      <c r="E121" s="27"/>
      <c r="F121" s="27" t="s">
        <v>405</v>
      </c>
      <c r="G121" s="26"/>
      <c r="H121" s="27"/>
      <c r="I121" s="27"/>
      <c r="J121" s="27" t="s">
        <v>405</v>
      </c>
      <c r="K121" s="26"/>
      <c r="L121" s="27"/>
      <c r="M121" s="27"/>
      <c r="P121" s="27"/>
      <c r="Q121" s="27"/>
    </row>
    <row r="122" spans="2:17" x14ac:dyDescent="0.75">
      <c r="B122" s="26"/>
      <c r="C122" s="27"/>
      <c r="D122" s="27"/>
      <c r="E122" s="27"/>
      <c r="F122" s="27" t="s">
        <v>405</v>
      </c>
      <c r="G122" s="26"/>
      <c r="H122" s="27"/>
      <c r="I122" s="27"/>
      <c r="J122" s="27" t="s">
        <v>405</v>
      </c>
      <c r="K122" s="26"/>
      <c r="L122" s="27"/>
      <c r="M122" s="27"/>
      <c r="P122" s="27"/>
      <c r="Q122" s="27"/>
    </row>
    <row r="123" spans="2:17" x14ac:dyDescent="0.75">
      <c r="B123" s="26"/>
      <c r="C123" s="27"/>
      <c r="D123" s="27"/>
      <c r="E123" s="27"/>
      <c r="F123" s="27" t="s">
        <v>405</v>
      </c>
      <c r="G123" s="26"/>
      <c r="H123" s="27"/>
      <c r="I123" s="27"/>
      <c r="J123" s="27" t="s">
        <v>405</v>
      </c>
      <c r="K123" s="26"/>
      <c r="L123" s="27"/>
      <c r="M123" s="27"/>
      <c r="P123" s="27"/>
      <c r="Q123" s="27"/>
    </row>
    <row r="124" spans="2:17" x14ac:dyDescent="0.75">
      <c r="B124" s="26"/>
      <c r="C124" s="27"/>
      <c r="D124" s="27"/>
      <c r="E124" s="27"/>
      <c r="F124" s="27" t="s">
        <v>405</v>
      </c>
      <c r="G124" s="26"/>
      <c r="H124" s="27"/>
      <c r="I124" s="27"/>
      <c r="J124" s="27" t="s">
        <v>405</v>
      </c>
      <c r="K124" s="26"/>
      <c r="L124" s="27"/>
      <c r="M124" s="27"/>
      <c r="P124" s="27"/>
      <c r="Q124" s="27"/>
    </row>
    <row r="125" spans="2:17" x14ac:dyDescent="0.75">
      <c r="B125" s="26"/>
      <c r="C125" s="27"/>
      <c r="D125" s="27"/>
      <c r="E125" s="27"/>
      <c r="F125" s="27" t="s">
        <v>405</v>
      </c>
      <c r="G125" s="26"/>
      <c r="H125" s="27"/>
      <c r="I125" s="27"/>
      <c r="J125" s="27" t="s">
        <v>405</v>
      </c>
      <c r="K125" s="26"/>
      <c r="L125" s="27"/>
      <c r="M125" s="27"/>
      <c r="P125" s="27"/>
      <c r="Q125" s="27"/>
    </row>
    <row r="126" spans="2:17" x14ac:dyDescent="0.75">
      <c r="B126" s="26"/>
      <c r="C126" s="27"/>
      <c r="D126" s="27"/>
      <c r="E126" s="27"/>
      <c r="F126" s="27" t="s">
        <v>405</v>
      </c>
      <c r="G126" s="26"/>
      <c r="H126" s="27"/>
      <c r="I126" s="27"/>
      <c r="J126" s="27" t="s">
        <v>405</v>
      </c>
      <c r="K126" s="26"/>
      <c r="L126" s="27"/>
      <c r="M126" s="27"/>
      <c r="P126" s="27"/>
      <c r="Q126" s="27"/>
    </row>
    <row r="127" spans="2:17" x14ac:dyDescent="0.75">
      <c r="B127" s="26"/>
      <c r="C127" s="27"/>
      <c r="D127" s="27"/>
      <c r="E127" s="27"/>
      <c r="F127" s="27" t="s">
        <v>405</v>
      </c>
      <c r="G127" s="26"/>
      <c r="H127" s="27"/>
      <c r="I127" s="27"/>
      <c r="J127" s="27" t="s">
        <v>405</v>
      </c>
      <c r="K127" s="26"/>
      <c r="L127" s="27"/>
      <c r="M127" s="27"/>
      <c r="P127" s="27"/>
      <c r="Q127" s="27"/>
    </row>
    <row r="128" spans="2:17" x14ac:dyDescent="0.75">
      <c r="B128" s="26"/>
      <c r="C128" s="27"/>
      <c r="D128" s="27"/>
      <c r="E128" s="27"/>
      <c r="F128" s="27" t="s">
        <v>405</v>
      </c>
      <c r="G128" s="26"/>
      <c r="H128" s="27"/>
      <c r="I128" s="27"/>
      <c r="J128" s="27" t="s">
        <v>405</v>
      </c>
      <c r="K128" s="26"/>
      <c r="L128" s="27"/>
      <c r="M128" s="27"/>
      <c r="P128" s="27"/>
      <c r="Q128" s="27"/>
    </row>
    <row r="129" spans="2:17" x14ac:dyDescent="0.75">
      <c r="B129" s="26"/>
      <c r="C129" s="27"/>
      <c r="D129" s="27"/>
      <c r="E129" s="27"/>
      <c r="F129" s="27" t="s">
        <v>405</v>
      </c>
      <c r="G129" s="26"/>
      <c r="H129" s="27"/>
      <c r="I129" s="27"/>
      <c r="J129" s="27" t="s">
        <v>405</v>
      </c>
      <c r="K129" s="26"/>
      <c r="L129" s="27"/>
      <c r="M129" s="27"/>
      <c r="P129" s="27"/>
      <c r="Q129" s="27"/>
    </row>
    <row r="130" spans="2:17" x14ac:dyDescent="0.75">
      <c r="B130" s="26"/>
      <c r="C130" s="27"/>
      <c r="D130" s="27"/>
      <c r="E130" s="27"/>
      <c r="F130" s="27" t="s">
        <v>405</v>
      </c>
      <c r="G130" s="26"/>
      <c r="H130" s="27"/>
      <c r="I130" s="27"/>
      <c r="J130" s="27" t="s">
        <v>405</v>
      </c>
      <c r="K130" s="26"/>
      <c r="L130" s="27"/>
      <c r="M130" s="27"/>
      <c r="P130" s="27"/>
      <c r="Q130" s="27"/>
    </row>
    <row r="131" spans="2:17" x14ac:dyDescent="0.75">
      <c r="B131" s="26"/>
      <c r="C131" s="27"/>
      <c r="D131" s="27"/>
      <c r="E131" s="27"/>
      <c r="F131" s="27" t="s">
        <v>405</v>
      </c>
      <c r="G131" s="26"/>
      <c r="H131" s="27"/>
      <c r="I131" s="27"/>
      <c r="J131" s="27" t="s">
        <v>405</v>
      </c>
      <c r="K131" s="26"/>
      <c r="L131" s="27"/>
      <c r="M131" s="27"/>
      <c r="P131" s="27"/>
      <c r="Q131" s="27"/>
    </row>
    <row r="132" spans="2:17" x14ac:dyDescent="0.75">
      <c r="B132" s="26"/>
      <c r="C132" s="27"/>
      <c r="D132" s="27"/>
      <c r="E132" s="27"/>
      <c r="F132" s="27" t="s">
        <v>405</v>
      </c>
      <c r="G132" s="26"/>
      <c r="H132" s="27"/>
      <c r="I132" s="27"/>
      <c r="J132" s="27" t="s">
        <v>405</v>
      </c>
      <c r="K132" s="26"/>
      <c r="L132" s="27"/>
      <c r="M132" s="27"/>
      <c r="P132" s="27"/>
      <c r="Q132" s="27"/>
    </row>
    <row r="133" spans="2:17" x14ac:dyDescent="0.75">
      <c r="B133" s="26"/>
      <c r="C133" s="27"/>
      <c r="D133" s="27"/>
      <c r="E133" s="27"/>
      <c r="F133" s="27" t="s">
        <v>405</v>
      </c>
      <c r="G133" s="26"/>
      <c r="H133" s="27"/>
      <c r="I133" s="27"/>
      <c r="J133" s="27" t="s">
        <v>405</v>
      </c>
      <c r="K133" s="26"/>
      <c r="L133" s="27"/>
      <c r="M133" s="27"/>
      <c r="P133" s="27"/>
      <c r="Q133" s="27"/>
    </row>
    <row r="134" spans="2:17" x14ac:dyDescent="0.75">
      <c r="B134" s="26"/>
      <c r="C134" s="27"/>
      <c r="D134" s="27"/>
      <c r="E134" s="27"/>
      <c r="F134" s="27" t="s">
        <v>405</v>
      </c>
      <c r="G134" s="26"/>
      <c r="H134" s="27"/>
      <c r="I134" s="27"/>
      <c r="J134" s="27" t="s">
        <v>405</v>
      </c>
      <c r="K134" s="26"/>
      <c r="L134" s="27"/>
      <c r="M134" s="27"/>
      <c r="P134" s="27"/>
      <c r="Q134" s="27"/>
    </row>
    <row r="135" spans="2:17" x14ac:dyDescent="0.75">
      <c r="B135" s="26"/>
      <c r="C135" s="27"/>
      <c r="D135" s="27"/>
      <c r="E135" s="27"/>
      <c r="F135" s="27" t="s">
        <v>405</v>
      </c>
      <c r="G135" s="26"/>
      <c r="H135" s="27"/>
      <c r="I135" s="27"/>
      <c r="J135" s="27" t="s">
        <v>405</v>
      </c>
      <c r="K135" s="26"/>
      <c r="L135" s="27"/>
      <c r="M135" s="27"/>
      <c r="P135" s="27"/>
      <c r="Q135" s="27"/>
    </row>
    <row r="136" spans="2:17" x14ac:dyDescent="0.75">
      <c r="B136" s="26"/>
      <c r="C136" s="27"/>
      <c r="D136" s="27"/>
      <c r="E136" s="27"/>
      <c r="F136" s="27" t="s">
        <v>405</v>
      </c>
      <c r="G136" s="26"/>
      <c r="H136" s="27"/>
      <c r="I136" s="27"/>
      <c r="J136" s="27" t="s">
        <v>405</v>
      </c>
      <c r="K136" s="26"/>
      <c r="L136" s="27"/>
      <c r="M136" s="27"/>
      <c r="P136" s="27"/>
      <c r="Q136" s="27"/>
    </row>
    <row r="137" spans="2:17" x14ac:dyDescent="0.75">
      <c r="B137" s="26"/>
      <c r="C137" s="27"/>
      <c r="D137" s="27"/>
      <c r="E137" s="27"/>
      <c r="F137" s="27" t="s">
        <v>405</v>
      </c>
      <c r="G137" s="26"/>
      <c r="H137" s="27"/>
      <c r="I137" s="27"/>
      <c r="J137" s="27" t="s">
        <v>405</v>
      </c>
      <c r="K137" s="26"/>
      <c r="L137" s="27"/>
      <c r="M137" s="27"/>
      <c r="P137" s="27"/>
      <c r="Q137" s="27"/>
    </row>
    <row r="138" spans="2:17" x14ac:dyDescent="0.75">
      <c r="B138" s="26"/>
      <c r="C138" s="27"/>
      <c r="D138" s="27"/>
      <c r="E138" s="27"/>
      <c r="F138" s="27" t="s">
        <v>405</v>
      </c>
      <c r="G138" s="26"/>
      <c r="H138" s="27"/>
      <c r="I138" s="27"/>
      <c r="J138" s="27" t="s">
        <v>405</v>
      </c>
      <c r="K138" s="26"/>
      <c r="L138" s="27"/>
      <c r="M138" s="27"/>
      <c r="P138" s="27"/>
      <c r="Q138" s="27"/>
    </row>
    <row r="139" spans="2:17" x14ac:dyDescent="0.75">
      <c r="B139" s="26"/>
      <c r="C139" s="27"/>
      <c r="D139" s="27"/>
      <c r="E139" s="27"/>
      <c r="F139" s="27" t="s">
        <v>405</v>
      </c>
      <c r="G139" s="26"/>
      <c r="H139" s="27"/>
      <c r="I139" s="27"/>
      <c r="J139" s="27" t="s">
        <v>405</v>
      </c>
      <c r="K139" s="26"/>
      <c r="L139" s="27"/>
      <c r="M139" s="27"/>
      <c r="P139" s="27"/>
      <c r="Q139" s="27"/>
    </row>
    <row r="140" spans="2:17" x14ac:dyDescent="0.75">
      <c r="B140" s="26"/>
      <c r="C140" s="27"/>
      <c r="D140" s="27"/>
      <c r="E140" s="27"/>
      <c r="F140" s="27" t="s">
        <v>405</v>
      </c>
      <c r="G140" s="26"/>
      <c r="H140" s="27"/>
      <c r="I140" s="27"/>
      <c r="J140" s="27" t="s">
        <v>405</v>
      </c>
      <c r="K140" s="26"/>
      <c r="L140" s="27"/>
      <c r="M140" s="27"/>
      <c r="P140" s="27"/>
      <c r="Q140" s="27"/>
    </row>
    <row r="141" spans="2:17" x14ac:dyDescent="0.75">
      <c r="B141" s="26"/>
      <c r="C141" s="27"/>
      <c r="D141" s="27"/>
      <c r="E141" s="27"/>
      <c r="F141" s="27" t="s">
        <v>405</v>
      </c>
      <c r="G141" s="26"/>
      <c r="H141" s="27"/>
      <c r="I141" s="27"/>
      <c r="J141" s="27" t="s">
        <v>405</v>
      </c>
      <c r="K141" s="26"/>
      <c r="L141" s="27"/>
      <c r="M141" s="27"/>
      <c r="P141" s="27"/>
      <c r="Q141" s="27"/>
    </row>
    <row r="142" spans="2:17" x14ac:dyDescent="0.75">
      <c r="B142" s="26"/>
      <c r="C142" s="27"/>
      <c r="D142" s="27"/>
      <c r="E142" s="27"/>
      <c r="F142" s="27" t="s">
        <v>405</v>
      </c>
      <c r="G142" s="26"/>
      <c r="H142" s="27"/>
      <c r="I142" s="27"/>
      <c r="J142" s="27" t="s">
        <v>405</v>
      </c>
      <c r="K142" s="26"/>
      <c r="L142" s="27"/>
      <c r="M142" s="27"/>
      <c r="P142" s="27"/>
      <c r="Q142" s="27"/>
    </row>
    <row r="143" spans="2:17" x14ac:dyDescent="0.75">
      <c r="B143" s="26"/>
      <c r="C143" s="27"/>
      <c r="D143" s="27"/>
      <c r="E143" s="27"/>
      <c r="F143" s="27" t="s">
        <v>405</v>
      </c>
      <c r="G143" s="26"/>
      <c r="H143" s="27"/>
      <c r="I143" s="27"/>
      <c r="J143" s="27" t="s">
        <v>405</v>
      </c>
      <c r="K143" s="26"/>
      <c r="L143" s="27"/>
      <c r="M143" s="27"/>
      <c r="P143" s="27"/>
      <c r="Q143" s="27"/>
    </row>
    <row r="144" spans="2:17" x14ac:dyDescent="0.75">
      <c r="B144" s="26"/>
      <c r="C144" s="27"/>
      <c r="D144" s="27"/>
      <c r="E144" s="27"/>
      <c r="F144" s="27" t="s">
        <v>405</v>
      </c>
      <c r="G144" s="26"/>
      <c r="H144" s="27"/>
      <c r="I144" s="27"/>
      <c r="J144" s="27" t="s">
        <v>405</v>
      </c>
      <c r="K144" s="26"/>
      <c r="L144" s="27"/>
      <c r="M144" s="27"/>
      <c r="P144" s="27"/>
      <c r="Q144" s="27"/>
    </row>
    <row r="145" spans="2:17" x14ac:dyDescent="0.75">
      <c r="B145" s="26"/>
      <c r="C145" s="27"/>
      <c r="D145" s="27"/>
      <c r="E145" s="27"/>
      <c r="F145" s="27" t="s">
        <v>405</v>
      </c>
      <c r="G145" s="26"/>
      <c r="H145" s="27"/>
      <c r="I145" s="27"/>
      <c r="J145" s="27" t="s">
        <v>405</v>
      </c>
      <c r="K145" s="26"/>
      <c r="L145" s="27"/>
      <c r="M145" s="27"/>
      <c r="P145" s="27"/>
      <c r="Q145" s="27"/>
    </row>
    <row r="146" spans="2:17" x14ac:dyDescent="0.75">
      <c r="B146" s="26"/>
      <c r="C146" s="27"/>
      <c r="D146" s="27"/>
      <c r="E146" s="27"/>
      <c r="F146" s="27" t="s">
        <v>405</v>
      </c>
      <c r="G146" s="26"/>
      <c r="H146" s="27"/>
      <c r="I146" s="27"/>
      <c r="J146" s="27" t="s">
        <v>405</v>
      </c>
      <c r="K146" s="26"/>
      <c r="L146" s="27"/>
      <c r="M146" s="27"/>
      <c r="P146" s="27"/>
      <c r="Q146" s="27"/>
    </row>
    <row r="147" spans="2:17" x14ac:dyDescent="0.75">
      <c r="B147" s="26"/>
      <c r="C147" s="27"/>
      <c r="D147" s="27"/>
      <c r="E147" s="27"/>
      <c r="F147" s="27" t="s">
        <v>405</v>
      </c>
      <c r="G147" s="26"/>
      <c r="H147" s="27"/>
      <c r="I147" s="27"/>
      <c r="J147" s="27" t="s">
        <v>405</v>
      </c>
      <c r="K147" s="26"/>
      <c r="L147" s="27"/>
      <c r="M147" s="27"/>
      <c r="P147" s="27"/>
      <c r="Q147" s="27"/>
    </row>
    <row r="148" spans="2:17" x14ac:dyDescent="0.75">
      <c r="B148" s="26"/>
      <c r="C148" s="27"/>
      <c r="D148" s="27"/>
      <c r="E148" s="27"/>
      <c r="F148" s="27" t="s">
        <v>405</v>
      </c>
      <c r="G148" s="26"/>
      <c r="H148" s="27"/>
      <c r="I148" s="27"/>
      <c r="J148" s="27" t="s">
        <v>405</v>
      </c>
      <c r="K148" s="26"/>
      <c r="L148" s="27"/>
      <c r="M148" s="27"/>
      <c r="P148" s="27"/>
      <c r="Q148" s="27"/>
    </row>
    <row r="149" spans="2:17" x14ac:dyDescent="0.75">
      <c r="B149" s="26"/>
      <c r="C149" s="27"/>
      <c r="D149" s="27"/>
      <c r="E149" s="27"/>
      <c r="F149" s="27" t="s">
        <v>405</v>
      </c>
      <c r="G149" s="26"/>
      <c r="H149" s="27"/>
      <c r="I149" s="27"/>
      <c r="J149" s="27" t="s">
        <v>405</v>
      </c>
      <c r="K149" s="26"/>
      <c r="L149" s="27"/>
      <c r="M149" s="27"/>
      <c r="P149" s="27"/>
      <c r="Q149" s="27"/>
    </row>
    <row r="150" spans="2:17" x14ac:dyDescent="0.75">
      <c r="B150" s="26"/>
      <c r="C150" s="27"/>
      <c r="D150" s="27"/>
      <c r="E150" s="27"/>
      <c r="F150" s="27" t="s">
        <v>405</v>
      </c>
      <c r="G150" s="26"/>
      <c r="H150" s="27"/>
      <c r="I150" s="27"/>
      <c r="J150" s="27" t="s">
        <v>405</v>
      </c>
      <c r="K150" s="26"/>
      <c r="L150" s="27"/>
      <c r="M150" s="27"/>
      <c r="P150" s="27"/>
      <c r="Q150" s="27"/>
    </row>
    <row r="151" spans="2:17" x14ac:dyDescent="0.75">
      <c r="B151" s="26"/>
      <c r="C151" s="27"/>
      <c r="D151" s="27"/>
      <c r="E151" s="27"/>
      <c r="F151" s="27" t="s">
        <v>405</v>
      </c>
      <c r="G151" s="26"/>
      <c r="H151" s="27"/>
      <c r="I151" s="27"/>
      <c r="J151" s="27" t="s">
        <v>405</v>
      </c>
      <c r="K151" s="26"/>
      <c r="L151" s="27"/>
      <c r="M151" s="27"/>
      <c r="P151" s="27"/>
      <c r="Q151" s="27"/>
    </row>
    <row r="152" spans="2:17" x14ac:dyDescent="0.75">
      <c r="B152" s="26"/>
      <c r="C152" s="27"/>
      <c r="D152" s="27"/>
      <c r="E152" s="27"/>
      <c r="F152" s="27" t="s">
        <v>405</v>
      </c>
      <c r="G152" s="26"/>
      <c r="H152" s="27"/>
      <c r="I152" s="27"/>
      <c r="J152" s="27" t="s">
        <v>405</v>
      </c>
      <c r="K152" s="26"/>
      <c r="L152" s="27"/>
      <c r="M152" s="27"/>
      <c r="P152" s="27"/>
      <c r="Q152" s="27"/>
    </row>
    <row r="153" spans="2:17" x14ac:dyDescent="0.75">
      <c r="B153" s="26"/>
      <c r="C153" s="27"/>
      <c r="D153" s="27"/>
      <c r="E153" s="27"/>
      <c r="F153" s="27" t="s">
        <v>405</v>
      </c>
      <c r="G153" s="26"/>
      <c r="H153" s="27"/>
      <c r="I153" s="27"/>
      <c r="J153" s="27" t="s">
        <v>405</v>
      </c>
      <c r="K153" s="26"/>
      <c r="L153" s="27"/>
      <c r="M153" s="27"/>
      <c r="P153" s="27"/>
      <c r="Q153" s="27"/>
    </row>
    <row r="154" spans="2:17" x14ac:dyDescent="0.75">
      <c r="B154" s="26"/>
      <c r="C154" s="27"/>
      <c r="D154" s="27"/>
      <c r="E154" s="27"/>
      <c r="F154" s="27" t="s">
        <v>405</v>
      </c>
      <c r="G154" s="26"/>
      <c r="H154" s="27"/>
      <c r="I154" s="27"/>
      <c r="J154" s="27" t="s">
        <v>405</v>
      </c>
      <c r="K154" s="26"/>
      <c r="L154" s="27"/>
      <c r="M154" s="27"/>
      <c r="P154" s="27"/>
      <c r="Q154" s="27"/>
    </row>
    <row r="155" spans="2:17" x14ac:dyDescent="0.75">
      <c r="B155" s="26"/>
      <c r="C155" s="27"/>
      <c r="D155" s="27"/>
      <c r="E155" s="27"/>
      <c r="F155" s="27" t="s">
        <v>405</v>
      </c>
      <c r="G155" s="26"/>
      <c r="H155" s="27"/>
      <c r="I155" s="27"/>
      <c r="J155" s="27" t="s">
        <v>405</v>
      </c>
      <c r="K155" s="26"/>
      <c r="L155" s="27"/>
      <c r="M155" s="27"/>
      <c r="P155" s="27"/>
      <c r="Q155" s="27"/>
    </row>
    <row r="156" spans="2:17" x14ac:dyDescent="0.75">
      <c r="B156" s="26"/>
      <c r="C156" s="27"/>
      <c r="D156" s="27"/>
      <c r="E156" s="27"/>
      <c r="F156" s="27" t="s">
        <v>405</v>
      </c>
      <c r="G156" s="26"/>
      <c r="H156" s="27"/>
      <c r="I156" s="27"/>
      <c r="J156" s="27" t="s">
        <v>405</v>
      </c>
      <c r="K156" s="26"/>
      <c r="L156" s="27"/>
      <c r="M156" s="27"/>
      <c r="P156" s="27"/>
      <c r="Q156" s="27"/>
    </row>
    <row r="157" spans="2:17" x14ac:dyDescent="0.75">
      <c r="B157" s="26"/>
      <c r="C157" s="27"/>
      <c r="D157" s="27"/>
      <c r="E157" s="27"/>
      <c r="F157" s="27" t="s">
        <v>405</v>
      </c>
      <c r="G157" s="26"/>
      <c r="H157" s="27"/>
      <c r="I157" s="27"/>
      <c r="J157" s="27" t="s">
        <v>405</v>
      </c>
      <c r="K157" s="26"/>
      <c r="L157" s="27"/>
      <c r="M157" s="27"/>
      <c r="P157" s="27"/>
      <c r="Q157" s="27"/>
    </row>
    <row r="158" spans="2:17" x14ac:dyDescent="0.75">
      <c r="B158" s="26"/>
      <c r="C158" s="27"/>
      <c r="D158" s="27"/>
      <c r="E158" s="27"/>
      <c r="F158" s="27" t="s">
        <v>405</v>
      </c>
      <c r="G158" s="26"/>
      <c r="H158" s="27"/>
      <c r="I158" s="27"/>
      <c r="J158" s="27" t="s">
        <v>405</v>
      </c>
      <c r="K158" s="26"/>
      <c r="L158" s="27"/>
      <c r="M158" s="27"/>
      <c r="P158" s="27"/>
      <c r="Q158" s="27"/>
    </row>
    <row r="159" spans="2:17" x14ac:dyDescent="0.75">
      <c r="B159" s="38"/>
      <c r="C159" s="38"/>
      <c r="D159" s="38"/>
      <c r="E159" s="38"/>
      <c r="F159" s="27" t="s">
        <v>405</v>
      </c>
      <c r="G159" s="38"/>
      <c r="H159" s="38"/>
      <c r="I159" s="38"/>
      <c r="K159" s="38"/>
      <c r="L159" s="38"/>
      <c r="M159" s="38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C33C-0A2E-43B7-A954-AB54713EAAE8}">
  <sheetPr>
    <tabColor theme="9" tint="-0.499984740745262"/>
  </sheetPr>
  <dimension ref="A1:AM1005"/>
  <sheetViews>
    <sheetView topLeftCell="O1" zoomScale="85" zoomScaleNormal="85" workbookViewId="0">
      <pane ySplit="6" topLeftCell="A7" activePane="bottomLeft" state="frozen"/>
      <selection activeCell="D10" sqref="D10"/>
      <selection pane="bottomLeft" activeCell="AM14" sqref="AM14"/>
    </sheetView>
  </sheetViews>
  <sheetFormatPr defaultColWidth="0" defaultRowHeight="14.75" zeroHeight="1" x14ac:dyDescent="0.75"/>
  <cols>
    <col min="1" max="2" width="2.453125" customWidth="1"/>
    <col min="3" max="29" width="9.08984375" customWidth="1"/>
    <col min="30" max="30" width="3.54296875" customWidth="1"/>
    <col min="31" max="31" width="4.54296875" customWidth="1"/>
    <col min="32" max="32" width="9.90625" customWidth="1"/>
    <col min="33" max="33" width="9.08984375" customWidth="1"/>
    <col min="34" max="35" width="3.54296875" customWidth="1"/>
    <col min="36" max="36" width="4.54296875" customWidth="1"/>
    <col min="37" max="37" width="9.90625" customWidth="1"/>
    <col min="38" max="38" width="9.08984375" customWidth="1"/>
    <col min="39" max="39" width="3.54296875" customWidth="1"/>
    <col min="40" max="16384" width="9.08984375" hidden="1"/>
  </cols>
  <sheetData>
    <row r="1" spans="1:39" ht="18.5" x14ac:dyDescent="0.9">
      <c r="A1" s="23" t="s">
        <v>36</v>
      </c>
      <c r="B1" s="4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</row>
    <row r="2" spans="1:39" x14ac:dyDescent="0.75"/>
    <row r="3" spans="1:39" x14ac:dyDescent="0.75"/>
    <row r="4" spans="1:39" ht="16" x14ac:dyDescent="0.8">
      <c r="B4" s="37"/>
      <c r="C4" s="25" t="s">
        <v>37</v>
      </c>
      <c r="D4" s="47" t="s">
        <v>253</v>
      </c>
      <c r="E4" s="25"/>
      <c r="F4" s="25"/>
      <c r="G4" s="25"/>
      <c r="H4" s="47" t="s">
        <v>254</v>
      </c>
      <c r="I4" s="25"/>
      <c r="J4" s="25"/>
      <c r="K4" s="25"/>
      <c r="L4" s="47" t="s">
        <v>255</v>
      </c>
      <c r="M4" s="31"/>
      <c r="N4" s="31"/>
      <c r="O4" s="31"/>
      <c r="P4" s="47" t="s">
        <v>256</v>
      </c>
      <c r="Q4" s="31"/>
      <c r="R4" s="31"/>
      <c r="S4" s="31"/>
      <c r="T4" s="31"/>
      <c r="U4" s="31"/>
      <c r="V4" s="47" t="s">
        <v>257</v>
      </c>
      <c r="W4" s="31"/>
      <c r="X4" s="31"/>
      <c r="Y4" s="31"/>
      <c r="Z4" s="47" t="s">
        <v>258</v>
      </c>
      <c r="AA4" s="30"/>
      <c r="AB4" s="30"/>
      <c r="AC4" s="30"/>
      <c r="AE4" s="33" t="s">
        <v>259</v>
      </c>
      <c r="AF4" s="28"/>
      <c r="AG4" s="28"/>
      <c r="AJ4" s="33" t="s">
        <v>401</v>
      </c>
      <c r="AK4" s="28"/>
      <c r="AL4" s="28"/>
    </row>
    <row r="5" spans="1:39" x14ac:dyDescent="0.75">
      <c r="B5" s="40"/>
      <c r="C5" s="42"/>
      <c r="D5" s="44" t="s">
        <v>38</v>
      </c>
      <c r="E5" s="42" t="s">
        <v>39</v>
      </c>
      <c r="F5" s="42" t="s">
        <v>111</v>
      </c>
      <c r="G5" s="42" t="s">
        <v>112</v>
      </c>
      <c r="H5" s="44" t="s">
        <v>38</v>
      </c>
      <c r="I5" s="42" t="s">
        <v>39</v>
      </c>
      <c r="J5" s="42" t="s">
        <v>111</v>
      </c>
      <c r="K5" s="42" t="s">
        <v>112</v>
      </c>
      <c r="L5" s="44" t="s">
        <v>38</v>
      </c>
      <c r="M5" s="42" t="s">
        <v>41</v>
      </c>
      <c r="N5" s="42" t="s">
        <v>42</v>
      </c>
      <c r="O5" s="42" t="s">
        <v>43</v>
      </c>
      <c r="P5" s="44" t="s">
        <v>38</v>
      </c>
      <c r="Q5" s="42" t="s">
        <v>44</v>
      </c>
      <c r="R5" s="42" t="s">
        <v>45</v>
      </c>
      <c r="S5" s="42" t="s">
        <v>47</v>
      </c>
      <c r="T5" s="42" t="s">
        <v>46</v>
      </c>
      <c r="U5" s="42" t="s">
        <v>49</v>
      </c>
      <c r="V5" s="44" t="s">
        <v>150</v>
      </c>
      <c r="W5" s="42" t="s">
        <v>44</v>
      </c>
      <c r="X5" s="42" t="s">
        <v>149</v>
      </c>
      <c r="Y5" s="42" t="s">
        <v>125</v>
      </c>
      <c r="Z5" s="44" t="s">
        <v>51</v>
      </c>
      <c r="AA5" s="42" t="s">
        <v>53</v>
      </c>
      <c r="AB5" s="42" t="s">
        <v>54</v>
      </c>
      <c r="AC5" s="42" t="s">
        <v>221</v>
      </c>
      <c r="AE5" s="40"/>
      <c r="AF5" s="42"/>
      <c r="AG5" s="42"/>
      <c r="AJ5" s="40"/>
      <c r="AK5" s="42" t="s">
        <v>402</v>
      </c>
      <c r="AL5" s="42" t="s">
        <v>403</v>
      </c>
    </row>
    <row r="6" spans="1:39" x14ac:dyDescent="0.75">
      <c r="B6" s="26"/>
      <c r="C6" s="32" t="s">
        <v>4</v>
      </c>
      <c r="D6" s="45" t="s">
        <v>6</v>
      </c>
      <c r="E6" s="32" t="s">
        <v>7</v>
      </c>
      <c r="F6" s="32" t="s">
        <v>26</v>
      </c>
      <c r="G6" s="32" t="s">
        <v>113</v>
      </c>
      <c r="H6" s="45" t="s">
        <v>8</v>
      </c>
      <c r="I6" s="32" t="s">
        <v>9</v>
      </c>
      <c r="J6" s="32" t="s">
        <v>114</v>
      </c>
      <c r="K6" s="32" t="s">
        <v>115</v>
      </c>
      <c r="L6" s="45" t="s">
        <v>14</v>
      </c>
      <c r="M6" s="32" t="s">
        <v>15</v>
      </c>
      <c r="N6" s="32" t="s">
        <v>16</v>
      </c>
      <c r="O6" s="32" t="s">
        <v>18</v>
      </c>
      <c r="P6" s="45" t="s">
        <v>20</v>
      </c>
      <c r="Q6" s="32" t="s">
        <v>21</v>
      </c>
      <c r="R6" s="32" t="s">
        <v>22</v>
      </c>
      <c r="S6" s="32" t="s">
        <v>23</v>
      </c>
      <c r="T6" s="32" t="s">
        <v>24</v>
      </c>
      <c r="U6" s="32" t="s">
        <v>48</v>
      </c>
      <c r="V6" s="45" t="s">
        <v>10</v>
      </c>
      <c r="W6" s="32" t="s">
        <v>11</v>
      </c>
      <c r="X6" s="32" t="s">
        <v>12</v>
      </c>
      <c r="Y6" s="32" t="s">
        <v>13</v>
      </c>
      <c r="Z6" s="45" t="s">
        <v>25</v>
      </c>
      <c r="AA6" s="32" t="s">
        <v>52</v>
      </c>
      <c r="AB6" s="32" t="s">
        <v>110</v>
      </c>
      <c r="AC6" s="32" t="s">
        <v>248</v>
      </c>
      <c r="AE6" s="26"/>
      <c r="AF6" t="s">
        <v>246</v>
      </c>
      <c r="AJ6" s="26"/>
      <c r="AK6" t="s">
        <v>400</v>
      </c>
    </row>
    <row r="7" spans="1:39" x14ac:dyDescent="0.75">
      <c r="B7" s="26"/>
      <c r="C7" s="27" t="s">
        <v>463</v>
      </c>
      <c r="D7" s="46" t="s">
        <v>463</v>
      </c>
      <c r="E7" s="46" t="s">
        <v>463</v>
      </c>
      <c r="F7" s="46" t="s">
        <v>475</v>
      </c>
      <c r="G7" s="46" t="s">
        <v>311</v>
      </c>
      <c r="H7" s="46" t="s">
        <v>500</v>
      </c>
      <c r="I7" s="27" t="s">
        <v>500</v>
      </c>
      <c r="J7" t="s">
        <v>516</v>
      </c>
      <c r="K7" t="s">
        <v>344</v>
      </c>
      <c r="L7" s="46" t="s">
        <v>541</v>
      </c>
      <c r="M7" s="46" t="s">
        <v>541</v>
      </c>
      <c r="N7" t="s">
        <v>17</v>
      </c>
      <c r="O7" s="46" t="s">
        <v>549</v>
      </c>
      <c r="P7" s="46" t="s">
        <v>75</v>
      </c>
      <c r="Q7" s="27" t="s">
        <v>75</v>
      </c>
      <c r="R7" s="27" t="s">
        <v>75</v>
      </c>
      <c r="S7" s="27" t="s">
        <v>75</v>
      </c>
      <c r="T7" s="27" t="s">
        <v>662</v>
      </c>
      <c r="U7" s="27" t="s">
        <v>80</v>
      </c>
      <c r="V7" s="46" t="s">
        <v>69</v>
      </c>
      <c r="W7" s="27" t="s">
        <v>70</v>
      </c>
      <c r="X7" s="27" t="s">
        <v>71</v>
      </c>
      <c r="Y7" s="27" t="s">
        <v>72</v>
      </c>
      <c r="Z7" s="46" t="s">
        <v>86</v>
      </c>
      <c r="AA7" s="27" t="s">
        <v>84</v>
      </c>
      <c r="AB7" s="27" t="s">
        <v>85</v>
      </c>
      <c r="AC7" s="27" t="s">
        <v>162</v>
      </c>
      <c r="AE7" s="34" t="s">
        <v>145</v>
      </c>
      <c r="AF7" t="s">
        <v>92</v>
      </c>
      <c r="AG7" s="27" t="s">
        <v>162</v>
      </c>
      <c r="AJ7" s="34"/>
      <c r="AK7" t="s">
        <v>463</v>
      </c>
      <c r="AL7" s="27" t="s">
        <v>500</v>
      </c>
    </row>
    <row r="8" spans="1:39" x14ac:dyDescent="0.75">
      <c r="B8" s="26"/>
      <c r="C8" s="27" t="s">
        <v>285</v>
      </c>
      <c r="D8" s="46" t="s">
        <v>285</v>
      </c>
      <c r="E8" s="46" t="s">
        <v>285</v>
      </c>
      <c r="F8" s="46" t="s">
        <v>476</v>
      </c>
      <c r="G8" s="46" t="s">
        <v>312</v>
      </c>
      <c r="H8" s="46" t="s">
        <v>322</v>
      </c>
      <c r="I8" s="27" t="s">
        <v>322</v>
      </c>
      <c r="J8" t="s">
        <v>517</v>
      </c>
      <c r="K8" t="s">
        <v>66</v>
      </c>
      <c r="L8" s="46" t="s">
        <v>542</v>
      </c>
      <c r="M8" s="46" t="s">
        <v>542</v>
      </c>
      <c r="O8" s="46" t="s">
        <v>550</v>
      </c>
      <c r="P8" s="46" t="s">
        <v>662</v>
      </c>
      <c r="Q8" s="27" t="s">
        <v>662</v>
      </c>
      <c r="R8" s="27" t="s">
        <v>662</v>
      </c>
      <c r="T8" s="27" t="s">
        <v>663</v>
      </c>
      <c r="U8" s="27"/>
      <c r="V8" s="46"/>
      <c r="W8" s="27"/>
      <c r="X8" s="27"/>
      <c r="Y8" s="27"/>
      <c r="Z8" s="46"/>
      <c r="AA8" s="27"/>
      <c r="AB8" s="27"/>
      <c r="AC8" s="27" t="s">
        <v>81</v>
      </c>
      <c r="AE8" s="34" t="s">
        <v>147</v>
      </c>
      <c r="AF8" t="s">
        <v>93</v>
      </c>
      <c r="AG8" s="27" t="s">
        <v>83</v>
      </c>
      <c r="AJ8" s="34"/>
      <c r="AK8" t="s">
        <v>285</v>
      </c>
      <c r="AL8" s="27" t="s">
        <v>322</v>
      </c>
    </row>
    <row r="9" spans="1:39" x14ac:dyDescent="0.75">
      <c r="B9" s="26"/>
      <c r="C9" s="27" t="s">
        <v>464</v>
      </c>
      <c r="D9" s="46" t="s">
        <v>464</v>
      </c>
      <c r="E9" s="46" t="s">
        <v>464</v>
      </c>
      <c r="F9" s="46" t="s">
        <v>477</v>
      </c>
      <c r="G9" s="46" t="s">
        <v>711</v>
      </c>
      <c r="H9" s="46" t="s">
        <v>501</v>
      </c>
      <c r="I9" s="27" t="s">
        <v>501</v>
      </c>
      <c r="J9" t="s">
        <v>518</v>
      </c>
      <c r="K9" t="s">
        <v>736</v>
      </c>
      <c r="L9" s="46" t="s">
        <v>543</v>
      </c>
      <c r="M9" s="46" t="s">
        <v>543</v>
      </c>
      <c r="O9" s="46" t="s">
        <v>551</v>
      </c>
      <c r="P9" s="46" t="s">
        <v>663</v>
      </c>
      <c r="Q9" s="27" t="s">
        <v>663</v>
      </c>
      <c r="R9" s="27" t="s">
        <v>663</v>
      </c>
      <c r="T9" s="27" t="s">
        <v>664</v>
      </c>
      <c r="U9" s="27"/>
      <c r="V9" s="46"/>
      <c r="W9" s="27"/>
      <c r="X9" s="27"/>
      <c r="Y9" s="27"/>
      <c r="Z9" s="46"/>
      <c r="AA9" s="27"/>
      <c r="AB9" s="27"/>
      <c r="AC9" s="27" t="s">
        <v>161</v>
      </c>
      <c r="AE9" s="34" t="s">
        <v>144</v>
      </c>
      <c r="AF9" t="s">
        <v>91</v>
      </c>
      <c r="AG9" s="27" t="s">
        <v>161</v>
      </c>
      <c r="AJ9" s="34"/>
      <c r="AK9" t="s">
        <v>464</v>
      </c>
      <c r="AL9" s="27" t="s">
        <v>501</v>
      </c>
    </row>
    <row r="10" spans="1:39" x14ac:dyDescent="0.75">
      <c r="B10" s="26"/>
      <c r="C10" s="27" t="s">
        <v>697</v>
      </c>
      <c r="D10" s="46" t="s">
        <v>697</v>
      </c>
      <c r="E10" s="46" t="s">
        <v>697</v>
      </c>
      <c r="F10" s="46" t="s">
        <v>478</v>
      </c>
      <c r="G10" s="46" t="s">
        <v>313</v>
      </c>
      <c r="H10" s="46" t="s">
        <v>722</v>
      </c>
      <c r="I10" s="27" t="s">
        <v>722</v>
      </c>
      <c r="J10" t="s">
        <v>519</v>
      </c>
      <c r="K10" t="s">
        <v>345</v>
      </c>
      <c r="L10" s="46" t="s">
        <v>544</v>
      </c>
      <c r="M10" s="46" t="s">
        <v>544</v>
      </c>
      <c r="O10" s="46" t="s">
        <v>552</v>
      </c>
      <c r="P10" s="46" t="s">
        <v>664</v>
      </c>
      <c r="Q10" s="27" t="s">
        <v>664</v>
      </c>
      <c r="R10" s="27" t="s">
        <v>664</v>
      </c>
      <c r="T10" s="27" t="s">
        <v>665</v>
      </c>
      <c r="U10" s="27"/>
      <c r="V10" s="46"/>
      <c r="W10" s="27"/>
      <c r="X10" s="27"/>
      <c r="Y10" s="27"/>
      <c r="Z10" s="46"/>
      <c r="AA10" s="27"/>
      <c r="AB10" s="27"/>
      <c r="AC10" s="27" t="s">
        <v>160</v>
      </c>
      <c r="AE10" s="34" t="s">
        <v>156</v>
      </c>
      <c r="AF10" t="s">
        <v>89</v>
      </c>
      <c r="AG10" s="27" t="s">
        <v>160</v>
      </c>
      <c r="AJ10" s="34"/>
      <c r="AK10" t="s">
        <v>697</v>
      </c>
      <c r="AL10" s="27" t="s">
        <v>722</v>
      </c>
    </row>
    <row r="11" spans="1:39" x14ac:dyDescent="0.75">
      <c r="B11" s="26"/>
      <c r="C11" s="27" t="s">
        <v>353</v>
      </c>
      <c r="D11" s="46" t="s">
        <v>353</v>
      </c>
      <c r="E11" s="46" t="s">
        <v>353</v>
      </c>
      <c r="F11" s="46" t="s">
        <v>479</v>
      </c>
      <c r="G11" s="46" t="s">
        <v>761</v>
      </c>
      <c r="H11" s="46" t="s">
        <v>356</v>
      </c>
      <c r="I11" s="27" t="s">
        <v>356</v>
      </c>
      <c r="J11" t="s">
        <v>520</v>
      </c>
      <c r="K11" t="s">
        <v>346</v>
      </c>
      <c r="L11" s="46" t="s">
        <v>545</v>
      </c>
      <c r="M11" s="46" t="s">
        <v>545</v>
      </c>
      <c r="O11" s="27"/>
      <c r="P11" s="46" t="s">
        <v>665</v>
      </c>
      <c r="Q11" s="27" t="s">
        <v>665</v>
      </c>
      <c r="R11" s="27" t="s">
        <v>665</v>
      </c>
      <c r="T11" s="27" t="s">
        <v>666</v>
      </c>
      <c r="U11" s="27"/>
      <c r="V11" s="46"/>
      <c r="W11" s="27"/>
      <c r="X11" s="27"/>
      <c r="Y11" s="27"/>
      <c r="Z11" s="46"/>
      <c r="AA11" s="27"/>
      <c r="AB11" s="27"/>
      <c r="AC11" s="27" t="s">
        <v>82</v>
      </c>
      <c r="AE11" s="34" t="s">
        <v>143</v>
      </c>
      <c r="AF11" t="s">
        <v>90</v>
      </c>
      <c r="AG11" s="27" t="s">
        <v>82</v>
      </c>
      <c r="AJ11" s="34"/>
      <c r="AK11" t="s">
        <v>353</v>
      </c>
      <c r="AL11" s="27" t="s">
        <v>356</v>
      </c>
    </row>
    <row r="12" spans="1:39" x14ac:dyDescent="0.75">
      <c r="B12" s="26"/>
      <c r="C12" s="27" t="s">
        <v>560</v>
      </c>
      <c r="D12" s="46" t="s">
        <v>560</v>
      </c>
      <c r="E12" s="46" t="s">
        <v>560</v>
      </c>
      <c r="F12" s="46" t="s">
        <v>480</v>
      </c>
      <c r="G12" s="46" t="s">
        <v>314</v>
      </c>
      <c r="H12" s="46" t="s">
        <v>503</v>
      </c>
      <c r="I12" s="27" t="s">
        <v>503</v>
      </c>
      <c r="J12" t="s">
        <v>521</v>
      </c>
      <c r="K12" t="s">
        <v>737</v>
      </c>
      <c r="L12" s="46" t="s">
        <v>546</v>
      </c>
      <c r="M12" s="46" t="s">
        <v>546</v>
      </c>
      <c r="N12" s="27"/>
      <c r="O12" s="27"/>
      <c r="P12" s="46" t="s">
        <v>666</v>
      </c>
      <c r="Q12" s="27" t="s">
        <v>666</v>
      </c>
      <c r="R12" s="27" t="s">
        <v>666</v>
      </c>
      <c r="T12" s="27" t="s">
        <v>656</v>
      </c>
      <c r="U12" s="27"/>
      <c r="V12" s="46"/>
      <c r="W12" s="27"/>
      <c r="X12" s="27"/>
      <c r="Y12" s="27"/>
      <c r="Z12" s="46"/>
      <c r="AA12" s="27"/>
      <c r="AB12" s="27"/>
      <c r="AC12" s="27" t="s">
        <v>83</v>
      </c>
      <c r="AE12" s="34" t="s">
        <v>142</v>
      </c>
      <c r="AF12" t="s">
        <v>88</v>
      </c>
      <c r="AG12" s="27" t="s">
        <v>81</v>
      </c>
      <c r="AJ12" s="34"/>
      <c r="AK12" t="s">
        <v>560</v>
      </c>
      <c r="AL12" s="27" t="s">
        <v>503</v>
      </c>
    </row>
    <row r="13" spans="1:39" x14ac:dyDescent="0.75">
      <c r="B13" s="26"/>
      <c r="C13" s="27" t="s">
        <v>465</v>
      </c>
      <c r="D13" s="46" t="s">
        <v>465</v>
      </c>
      <c r="E13" s="46" t="s">
        <v>465</v>
      </c>
      <c r="F13" s="46" t="s">
        <v>481</v>
      </c>
      <c r="G13" s="46" t="s">
        <v>712</v>
      </c>
      <c r="H13" s="46" t="s">
        <v>504</v>
      </c>
      <c r="I13" s="27" t="s">
        <v>504</v>
      </c>
      <c r="J13" t="s">
        <v>522</v>
      </c>
      <c r="K13" t="s">
        <v>738</v>
      </c>
      <c r="L13" s="46" t="s">
        <v>547</v>
      </c>
      <c r="M13" s="46" t="s">
        <v>547</v>
      </c>
      <c r="N13" s="27"/>
      <c r="O13" s="27"/>
      <c r="P13" s="46" t="s">
        <v>656</v>
      </c>
      <c r="Q13" s="27" t="s">
        <v>656</v>
      </c>
      <c r="R13" s="27" t="s">
        <v>656</v>
      </c>
      <c r="T13" s="27" t="s">
        <v>657</v>
      </c>
      <c r="U13" s="27"/>
      <c r="V13" s="46"/>
      <c r="W13" s="27"/>
      <c r="X13" s="27"/>
      <c r="Y13" s="27"/>
      <c r="Z13" s="46"/>
      <c r="AA13" s="27"/>
      <c r="AB13" s="27"/>
      <c r="AC13" s="27" t="s">
        <v>163</v>
      </c>
      <c r="AE13" s="34" t="s">
        <v>146</v>
      </c>
      <c r="AF13" t="s">
        <v>169</v>
      </c>
      <c r="AG13" s="27" t="s">
        <v>163</v>
      </c>
      <c r="AJ13" s="34"/>
      <c r="AK13" t="s">
        <v>465</v>
      </c>
      <c r="AL13" s="27" t="s">
        <v>504</v>
      </c>
    </row>
    <row r="14" spans="1:39" x14ac:dyDescent="0.75">
      <c r="B14" s="26"/>
      <c r="C14" s="27" t="s">
        <v>557</v>
      </c>
      <c r="D14" s="46" t="s">
        <v>557</v>
      </c>
      <c r="E14" s="46" t="s">
        <v>557</v>
      </c>
      <c r="F14" s="46" t="s">
        <v>486</v>
      </c>
      <c r="G14" s="46" t="s">
        <v>713</v>
      </c>
      <c r="H14" s="46" t="s">
        <v>558</v>
      </c>
      <c r="I14" s="27" t="s">
        <v>558</v>
      </c>
      <c r="J14" t="s">
        <v>527</v>
      </c>
      <c r="K14" t="s">
        <v>739</v>
      </c>
      <c r="L14" s="46" t="s">
        <v>548</v>
      </c>
      <c r="M14" s="46" t="s">
        <v>548</v>
      </c>
      <c r="N14" s="27"/>
      <c r="O14" s="27"/>
      <c r="P14" s="46" t="s">
        <v>657</v>
      </c>
      <c r="Q14" s="27" t="s">
        <v>657</v>
      </c>
      <c r="R14" s="27" t="s">
        <v>657</v>
      </c>
      <c r="T14" s="27" t="s">
        <v>658</v>
      </c>
      <c r="U14" s="27"/>
      <c r="V14" s="46"/>
      <c r="W14" s="27"/>
      <c r="X14" s="27"/>
      <c r="Y14" s="27"/>
      <c r="Z14" s="46"/>
      <c r="AA14" s="27"/>
      <c r="AB14" s="27"/>
      <c r="AC14" s="27"/>
      <c r="AE14" s="26"/>
      <c r="AJ14" s="26"/>
      <c r="AK14" t="s">
        <v>557</v>
      </c>
      <c r="AL14" t="s">
        <v>558</v>
      </c>
    </row>
    <row r="15" spans="1:39" x14ac:dyDescent="0.75">
      <c r="B15" s="26"/>
      <c r="C15" s="27" t="s">
        <v>288</v>
      </c>
      <c r="D15" s="46" t="s">
        <v>288</v>
      </c>
      <c r="E15" s="46" t="s">
        <v>288</v>
      </c>
      <c r="F15" s="46" t="s">
        <v>705</v>
      </c>
      <c r="G15" s="46" t="s">
        <v>714</v>
      </c>
      <c r="H15" s="46" t="s">
        <v>324</v>
      </c>
      <c r="I15" s="27" t="s">
        <v>324</v>
      </c>
      <c r="J15" t="s">
        <v>730</v>
      </c>
      <c r="K15" t="s">
        <v>740</v>
      </c>
      <c r="L15" s="46" t="s">
        <v>748</v>
      </c>
      <c r="M15" t="s">
        <v>748</v>
      </c>
      <c r="N15" s="27"/>
      <c r="O15" s="27"/>
      <c r="P15" s="46" t="s">
        <v>658</v>
      </c>
      <c r="Q15" s="27" t="s">
        <v>658</v>
      </c>
      <c r="R15" s="27" t="s">
        <v>658</v>
      </c>
      <c r="T15" s="27" t="s">
        <v>659</v>
      </c>
      <c r="U15" s="27"/>
      <c r="V15" s="46"/>
      <c r="W15" s="27"/>
      <c r="X15" s="27"/>
      <c r="Y15" s="27"/>
      <c r="Z15" s="46"/>
      <c r="AA15" s="27"/>
      <c r="AB15" s="27"/>
      <c r="AC15" s="27"/>
      <c r="AE15" s="38"/>
      <c r="AF15" s="38"/>
      <c r="AG15" s="38"/>
      <c r="AK15" t="s">
        <v>288</v>
      </c>
      <c r="AL15" t="s">
        <v>324</v>
      </c>
    </row>
    <row r="16" spans="1:39" x14ac:dyDescent="0.75">
      <c r="B16" s="26"/>
      <c r="C16" s="27" t="s">
        <v>698</v>
      </c>
      <c r="D16" s="46" t="s">
        <v>698</v>
      </c>
      <c r="E16" s="46" t="s">
        <v>698</v>
      </c>
      <c r="F16" s="46" t="s">
        <v>490</v>
      </c>
      <c r="G16" s="46" t="s">
        <v>715</v>
      </c>
      <c r="H16" s="46" t="s">
        <v>723</v>
      </c>
      <c r="I16" s="27" t="s">
        <v>723</v>
      </c>
      <c r="J16" t="s">
        <v>531</v>
      </c>
      <c r="K16" t="s">
        <v>741</v>
      </c>
      <c r="L16" s="46" t="s">
        <v>749</v>
      </c>
      <c r="M16" t="s">
        <v>749</v>
      </c>
      <c r="N16" s="27"/>
      <c r="O16" s="27"/>
      <c r="P16" s="46" t="s">
        <v>659</v>
      </c>
      <c r="Q16" s="27" t="s">
        <v>659</v>
      </c>
      <c r="R16" s="27" t="s">
        <v>659</v>
      </c>
      <c r="T16" s="27" t="s">
        <v>660</v>
      </c>
      <c r="U16" s="27"/>
      <c r="V16" s="46"/>
      <c r="W16" s="27"/>
      <c r="X16" s="27"/>
      <c r="Y16" s="27"/>
      <c r="Z16" s="46"/>
      <c r="AA16" s="27"/>
      <c r="AB16" s="27"/>
      <c r="AC16" s="27"/>
      <c r="AK16" t="s">
        <v>698</v>
      </c>
      <c r="AL16" t="s">
        <v>723</v>
      </c>
    </row>
    <row r="17" spans="2:38" x14ac:dyDescent="0.75">
      <c r="B17" s="26"/>
      <c r="C17" s="27" t="s">
        <v>699</v>
      </c>
      <c r="D17" s="46" t="s">
        <v>699</v>
      </c>
      <c r="E17" s="46" t="s">
        <v>699</v>
      </c>
      <c r="F17" s="46" t="s">
        <v>299</v>
      </c>
      <c r="G17" s="46" t="s">
        <v>716</v>
      </c>
      <c r="H17" s="46" t="s">
        <v>724</v>
      </c>
      <c r="I17" s="27" t="s">
        <v>724</v>
      </c>
      <c r="J17" t="s">
        <v>61</v>
      </c>
      <c r="K17" t="s">
        <v>348</v>
      </c>
      <c r="L17" s="46" t="s">
        <v>750</v>
      </c>
      <c r="M17" t="s">
        <v>750</v>
      </c>
      <c r="N17" s="27"/>
      <c r="O17" s="27"/>
      <c r="P17" s="46" t="s">
        <v>660</v>
      </c>
      <c r="Q17" s="27" t="s">
        <v>660</v>
      </c>
      <c r="R17" s="27" t="s">
        <v>660</v>
      </c>
      <c r="T17" t="s">
        <v>752</v>
      </c>
      <c r="U17" s="27"/>
      <c r="V17" s="46"/>
      <c r="W17" s="27"/>
      <c r="X17" s="27"/>
      <c r="Y17" s="27"/>
      <c r="Z17" s="46"/>
      <c r="AA17" s="27"/>
      <c r="AB17" s="27"/>
      <c r="AC17" s="27"/>
      <c r="AK17" t="s">
        <v>699</v>
      </c>
      <c r="AL17" t="s">
        <v>724</v>
      </c>
    </row>
    <row r="18" spans="2:38" x14ac:dyDescent="0.75">
      <c r="B18" s="26"/>
      <c r="C18" s="27" t="s">
        <v>289</v>
      </c>
      <c r="D18" s="46" t="s">
        <v>289</v>
      </c>
      <c r="E18" s="46" t="s">
        <v>289</v>
      </c>
      <c r="F18" s="46" t="s">
        <v>300</v>
      </c>
      <c r="G18" s="46" t="s">
        <v>316</v>
      </c>
      <c r="H18" s="46" t="s">
        <v>57</v>
      </c>
      <c r="I18" s="27" t="s">
        <v>57</v>
      </c>
      <c r="J18" t="s">
        <v>335</v>
      </c>
      <c r="K18" t="s">
        <v>742</v>
      </c>
      <c r="L18" s="46" t="s">
        <v>751</v>
      </c>
      <c r="M18" t="s">
        <v>751</v>
      </c>
      <c r="N18" s="27"/>
      <c r="O18" s="27"/>
      <c r="P18" s="46" t="s">
        <v>752</v>
      </c>
      <c r="Q18" s="27" t="s">
        <v>752</v>
      </c>
      <c r="R18" t="s">
        <v>752</v>
      </c>
      <c r="T18" t="s">
        <v>753</v>
      </c>
      <c r="U18" s="27"/>
      <c r="V18" s="46"/>
      <c r="W18" s="27"/>
      <c r="X18" s="27"/>
      <c r="Y18" s="27"/>
      <c r="Z18" s="46"/>
      <c r="AA18" s="27"/>
      <c r="AB18" s="27"/>
      <c r="AC18" s="27"/>
      <c r="AK18" t="s">
        <v>289</v>
      </c>
      <c r="AL18" t="s">
        <v>57</v>
      </c>
    </row>
    <row r="19" spans="2:38" x14ac:dyDescent="0.75">
      <c r="B19" s="26"/>
      <c r="C19" s="27" t="s">
        <v>700</v>
      </c>
      <c r="D19" s="46" t="s">
        <v>700</v>
      </c>
      <c r="E19" s="46" t="s">
        <v>700</v>
      </c>
      <c r="F19" s="46" t="s">
        <v>491</v>
      </c>
      <c r="G19" s="46" t="s">
        <v>717</v>
      </c>
      <c r="H19" s="46" t="s">
        <v>725</v>
      </c>
      <c r="I19" s="27" t="s">
        <v>725</v>
      </c>
      <c r="J19" t="s">
        <v>532</v>
      </c>
      <c r="K19" t="s">
        <v>349</v>
      </c>
      <c r="L19" s="46" t="s">
        <v>17</v>
      </c>
      <c r="N19" s="27"/>
      <c r="O19" s="27"/>
      <c r="P19" s="46" t="s">
        <v>753</v>
      </c>
      <c r="Q19" s="27" t="s">
        <v>753</v>
      </c>
      <c r="R19" t="s">
        <v>753</v>
      </c>
      <c r="T19" t="s">
        <v>754</v>
      </c>
      <c r="U19" s="27"/>
      <c r="V19" s="46"/>
      <c r="W19" s="27"/>
      <c r="X19" s="27"/>
      <c r="Y19" s="27"/>
      <c r="Z19" s="46"/>
      <c r="AA19" s="27"/>
      <c r="AB19" s="27"/>
      <c r="AC19" s="27"/>
      <c r="AK19" t="s">
        <v>700</v>
      </c>
      <c r="AL19" t="s">
        <v>725</v>
      </c>
    </row>
    <row r="20" spans="2:38" x14ac:dyDescent="0.75">
      <c r="B20" s="26"/>
      <c r="C20" s="27" t="s">
        <v>701</v>
      </c>
      <c r="D20" s="46" t="s">
        <v>701</v>
      </c>
      <c r="E20" s="46" t="s">
        <v>701</v>
      </c>
      <c r="F20" s="46" t="s">
        <v>301</v>
      </c>
      <c r="G20" s="46" t="s">
        <v>318</v>
      </c>
      <c r="H20" s="46" t="s">
        <v>726</v>
      </c>
      <c r="I20" s="27" t="s">
        <v>726</v>
      </c>
      <c r="J20" t="s">
        <v>336</v>
      </c>
      <c r="K20" t="s">
        <v>350</v>
      </c>
      <c r="L20" s="46" t="s">
        <v>549</v>
      </c>
      <c r="M20" s="27"/>
      <c r="N20" s="27"/>
      <c r="O20" s="27"/>
      <c r="P20" s="46" t="s">
        <v>754</v>
      </c>
      <c r="Q20" s="27" t="s">
        <v>754</v>
      </c>
      <c r="R20" t="s">
        <v>754</v>
      </c>
      <c r="T20" t="s">
        <v>755</v>
      </c>
      <c r="U20" s="27"/>
      <c r="V20" s="46"/>
      <c r="W20" s="27"/>
      <c r="X20" s="27"/>
      <c r="Y20" s="27"/>
      <c r="Z20" s="46"/>
      <c r="AA20" s="27"/>
      <c r="AB20" s="27"/>
      <c r="AC20" s="27"/>
      <c r="AK20" t="s">
        <v>701</v>
      </c>
      <c r="AL20" t="s">
        <v>726</v>
      </c>
    </row>
    <row r="21" spans="2:38" x14ac:dyDescent="0.75">
      <c r="B21" s="26"/>
      <c r="C21" s="27" t="s">
        <v>702</v>
      </c>
      <c r="D21" s="46" t="s">
        <v>702</v>
      </c>
      <c r="E21" s="46" t="s">
        <v>702</v>
      </c>
      <c r="F21" s="46" t="s">
        <v>302</v>
      </c>
      <c r="G21" s="46" t="s">
        <v>319</v>
      </c>
      <c r="H21" s="46" t="s">
        <v>727</v>
      </c>
      <c r="I21" s="27" t="s">
        <v>727</v>
      </c>
      <c r="J21" t="s">
        <v>337</v>
      </c>
      <c r="K21" s="27" t="s">
        <v>351</v>
      </c>
      <c r="L21" s="46" t="s">
        <v>550</v>
      </c>
      <c r="M21" s="27"/>
      <c r="N21" s="27"/>
      <c r="O21" s="27"/>
      <c r="P21" s="46" t="s">
        <v>755</v>
      </c>
      <c r="Q21" s="27" t="s">
        <v>755</v>
      </c>
      <c r="R21" t="s">
        <v>755</v>
      </c>
      <c r="T21" t="s">
        <v>756</v>
      </c>
      <c r="U21" s="27"/>
      <c r="V21" s="46"/>
      <c r="W21" s="27"/>
      <c r="X21" s="27"/>
      <c r="Y21" s="27"/>
      <c r="Z21" s="46"/>
      <c r="AA21" s="27"/>
      <c r="AB21" s="27"/>
      <c r="AC21" s="27"/>
      <c r="AK21" t="s">
        <v>702</v>
      </c>
      <c r="AL21" t="s">
        <v>727</v>
      </c>
    </row>
    <row r="22" spans="2:38" x14ac:dyDescent="0.75">
      <c r="B22" s="26"/>
      <c r="C22" s="27" t="s">
        <v>291</v>
      </c>
      <c r="D22" s="46" t="s">
        <v>291</v>
      </c>
      <c r="E22" s="46" t="s">
        <v>291</v>
      </c>
      <c r="F22" s="46" t="s">
        <v>706</v>
      </c>
      <c r="G22" s="46" t="s">
        <v>320</v>
      </c>
      <c r="H22" s="46" t="s">
        <v>327</v>
      </c>
      <c r="I22" s="27" t="s">
        <v>327</v>
      </c>
      <c r="J22" t="s">
        <v>731</v>
      </c>
      <c r="K22" s="27" t="s">
        <v>743</v>
      </c>
      <c r="L22" s="46" t="s">
        <v>551</v>
      </c>
      <c r="M22" s="27"/>
      <c r="N22" s="27"/>
      <c r="O22" s="27"/>
      <c r="P22" s="46" t="s">
        <v>756</v>
      </c>
      <c r="Q22" s="27" t="s">
        <v>756</v>
      </c>
      <c r="R22" t="s">
        <v>756</v>
      </c>
      <c r="T22" s="27"/>
      <c r="U22" s="27"/>
      <c r="V22" s="46"/>
      <c r="W22" s="27"/>
      <c r="X22" s="27"/>
      <c r="Y22" s="27"/>
      <c r="Z22" s="46"/>
      <c r="AA22" s="27"/>
      <c r="AB22" s="27"/>
      <c r="AC22" s="27"/>
      <c r="AK22" t="s">
        <v>291</v>
      </c>
      <c r="AL22" t="s">
        <v>327</v>
      </c>
    </row>
    <row r="23" spans="2:38" x14ac:dyDescent="0.75">
      <c r="B23" s="26"/>
      <c r="C23" s="27" t="s">
        <v>554</v>
      </c>
      <c r="D23" s="46" t="s">
        <v>554</v>
      </c>
      <c r="E23" s="46" t="s">
        <v>554</v>
      </c>
      <c r="F23" s="46" t="s">
        <v>495</v>
      </c>
      <c r="G23" s="46" t="s">
        <v>718</v>
      </c>
      <c r="H23" s="46" t="s">
        <v>502</v>
      </c>
      <c r="I23" s="27" t="s">
        <v>502</v>
      </c>
      <c r="J23" t="s">
        <v>536</v>
      </c>
      <c r="K23" s="27" t="s">
        <v>744</v>
      </c>
      <c r="L23" s="46" t="s">
        <v>552</v>
      </c>
      <c r="M23" s="27"/>
      <c r="N23" s="27"/>
      <c r="O23" s="27"/>
      <c r="P23" s="46" t="s">
        <v>80</v>
      </c>
      <c r="Q23" t="s">
        <v>80</v>
      </c>
      <c r="R23" s="27"/>
      <c r="T23" s="27"/>
      <c r="U23" s="27"/>
      <c r="V23" s="46"/>
      <c r="W23" s="27"/>
      <c r="X23" s="27"/>
      <c r="Y23" s="27"/>
      <c r="Z23" s="46"/>
      <c r="AA23" s="27"/>
      <c r="AB23" s="27"/>
      <c r="AC23" s="27"/>
      <c r="AK23" t="s">
        <v>554</v>
      </c>
      <c r="AL23" t="s">
        <v>502</v>
      </c>
    </row>
    <row r="24" spans="2:38" x14ac:dyDescent="0.75">
      <c r="B24" s="26"/>
      <c r="C24" s="27" t="s">
        <v>703</v>
      </c>
      <c r="D24" s="46" t="s">
        <v>703</v>
      </c>
      <c r="E24" s="46" t="s">
        <v>703</v>
      </c>
      <c r="F24" s="46" t="s">
        <v>303</v>
      </c>
      <c r="G24" s="46" t="s">
        <v>719</v>
      </c>
      <c r="H24" s="46" t="s">
        <v>728</v>
      </c>
      <c r="I24" s="27" t="s">
        <v>728</v>
      </c>
      <c r="J24" t="s">
        <v>338</v>
      </c>
      <c r="K24" s="27" t="s">
        <v>745</v>
      </c>
      <c r="L24" s="46"/>
      <c r="M24" s="27"/>
      <c r="N24" s="27"/>
      <c r="O24" s="27"/>
      <c r="P24" s="46" t="s">
        <v>86</v>
      </c>
      <c r="R24" s="27"/>
      <c r="T24" s="27"/>
      <c r="U24" s="27"/>
      <c r="V24" s="46"/>
      <c r="W24" s="27"/>
      <c r="X24" s="27"/>
      <c r="Y24" s="27"/>
      <c r="Z24" s="46"/>
      <c r="AA24" s="27"/>
      <c r="AB24" s="27"/>
      <c r="AC24" s="27"/>
      <c r="AK24" t="s">
        <v>703</v>
      </c>
      <c r="AL24" t="s">
        <v>728</v>
      </c>
    </row>
    <row r="25" spans="2:38" x14ac:dyDescent="0.75">
      <c r="B25" s="26"/>
      <c r="C25" s="27" t="s">
        <v>287</v>
      </c>
      <c r="D25" s="27" t="s">
        <v>287</v>
      </c>
      <c r="E25" s="27" t="s">
        <v>287</v>
      </c>
      <c r="F25" s="46" t="s">
        <v>707</v>
      </c>
      <c r="G25" s="46" t="s">
        <v>720</v>
      </c>
      <c r="H25" s="46" t="s">
        <v>323</v>
      </c>
      <c r="I25" t="s">
        <v>323</v>
      </c>
      <c r="J25" t="s">
        <v>732</v>
      </c>
      <c r="K25" s="27" t="s">
        <v>352</v>
      </c>
      <c r="L25" s="46"/>
      <c r="M25" s="27"/>
      <c r="N25" s="27"/>
      <c r="O25" s="27"/>
      <c r="P25" s="46"/>
      <c r="Q25" s="27"/>
      <c r="R25" s="27"/>
      <c r="T25" s="27"/>
      <c r="U25" s="27"/>
      <c r="V25" s="46"/>
      <c r="W25" s="27"/>
      <c r="X25" s="27"/>
      <c r="Y25" s="27"/>
      <c r="Z25" s="46"/>
      <c r="AA25" s="27"/>
      <c r="AB25" s="27"/>
      <c r="AC25" s="27"/>
      <c r="AK25" t="s">
        <v>287</v>
      </c>
      <c r="AL25" t="s">
        <v>323</v>
      </c>
    </row>
    <row r="26" spans="2:38" x14ac:dyDescent="0.75">
      <c r="B26" s="26"/>
      <c r="C26" s="27" t="s">
        <v>292</v>
      </c>
      <c r="D26" s="46" t="s">
        <v>292</v>
      </c>
      <c r="E26" s="46" t="s">
        <v>292</v>
      </c>
      <c r="F26" s="46" t="s">
        <v>708</v>
      </c>
      <c r="G26" s="46" t="s">
        <v>321</v>
      </c>
      <c r="H26" s="46" t="s">
        <v>328</v>
      </c>
      <c r="I26" t="s">
        <v>328</v>
      </c>
      <c r="J26" t="s">
        <v>733</v>
      </c>
      <c r="K26" s="27" t="s">
        <v>746</v>
      </c>
      <c r="L26" s="46"/>
      <c r="M26" s="27"/>
      <c r="N26" s="27"/>
      <c r="O26" s="27"/>
      <c r="P26" s="46"/>
      <c r="Q26" s="27"/>
      <c r="R26" s="27"/>
      <c r="T26" s="27"/>
      <c r="U26" s="27"/>
      <c r="V26" s="46"/>
      <c r="W26" s="27"/>
      <c r="X26" s="27"/>
      <c r="Y26" s="27"/>
      <c r="Z26" s="46"/>
      <c r="AA26" s="27"/>
      <c r="AB26" s="27"/>
      <c r="AC26" s="27"/>
      <c r="AK26" t="s">
        <v>292</v>
      </c>
      <c r="AL26" t="s">
        <v>328</v>
      </c>
    </row>
    <row r="27" spans="2:38" x14ac:dyDescent="0.75">
      <c r="B27" s="26"/>
      <c r="C27" s="27" t="s">
        <v>468</v>
      </c>
      <c r="D27" s="46" t="s">
        <v>468</v>
      </c>
      <c r="E27" s="46" t="s">
        <v>468</v>
      </c>
      <c r="F27" s="46" t="s">
        <v>708</v>
      </c>
      <c r="G27" s="27" t="s">
        <v>721</v>
      </c>
      <c r="H27" s="46" t="s">
        <v>507</v>
      </c>
      <c r="I27" t="s">
        <v>507</v>
      </c>
      <c r="J27" t="s">
        <v>339</v>
      </c>
      <c r="K27" s="27" t="s">
        <v>747</v>
      </c>
      <c r="L27" s="46"/>
      <c r="M27" s="27"/>
      <c r="N27" s="27"/>
      <c r="O27" s="27"/>
      <c r="P27" s="46"/>
      <c r="Q27" s="27"/>
      <c r="R27" s="27"/>
      <c r="T27" s="27"/>
      <c r="U27" s="27"/>
      <c r="V27" s="46"/>
      <c r="W27" s="27"/>
      <c r="X27" s="27"/>
      <c r="Y27" s="27"/>
      <c r="Z27" s="46"/>
      <c r="AA27" s="27"/>
      <c r="AB27" s="27"/>
      <c r="AC27" s="27"/>
      <c r="AK27" t="s">
        <v>468</v>
      </c>
      <c r="AL27" t="s">
        <v>507</v>
      </c>
    </row>
    <row r="28" spans="2:38" x14ac:dyDescent="0.75">
      <c r="B28" s="26"/>
      <c r="C28" s="27" t="s">
        <v>354</v>
      </c>
      <c r="D28" s="46" t="s">
        <v>354</v>
      </c>
      <c r="E28" s="46" t="s">
        <v>354</v>
      </c>
      <c r="F28" s="46" t="s">
        <v>304</v>
      </c>
      <c r="G28" s="27" t="s">
        <v>766</v>
      </c>
      <c r="H28" s="46" t="s">
        <v>326</v>
      </c>
      <c r="I28" t="s">
        <v>326</v>
      </c>
      <c r="J28" t="s">
        <v>734</v>
      </c>
      <c r="K28" s="27"/>
      <c r="L28" s="46"/>
      <c r="M28" s="27"/>
      <c r="N28" s="27"/>
      <c r="O28" s="27"/>
      <c r="Q28" s="27"/>
      <c r="R28" s="27"/>
      <c r="S28" s="27"/>
      <c r="T28" s="27"/>
      <c r="U28" s="27"/>
      <c r="V28" s="46"/>
      <c r="W28" s="27"/>
      <c r="X28" s="27"/>
      <c r="Y28" s="27"/>
      <c r="Z28" s="46"/>
      <c r="AA28" s="27"/>
      <c r="AB28" s="27"/>
      <c r="AC28" s="27"/>
      <c r="AK28" t="s">
        <v>354</v>
      </c>
      <c r="AL28" t="s">
        <v>326</v>
      </c>
    </row>
    <row r="29" spans="2:38" x14ac:dyDescent="0.75">
      <c r="B29" s="26"/>
      <c r="C29" s="27" t="s">
        <v>290</v>
      </c>
      <c r="D29" s="46" t="s">
        <v>290</v>
      </c>
      <c r="E29" s="46" t="s">
        <v>290</v>
      </c>
      <c r="F29" s="46" t="s">
        <v>709</v>
      </c>
      <c r="G29" s="27"/>
      <c r="H29" s="46" t="s">
        <v>325</v>
      </c>
      <c r="I29" t="s">
        <v>325</v>
      </c>
      <c r="J29" t="s">
        <v>340</v>
      </c>
      <c r="K29" s="27"/>
      <c r="L29" s="46"/>
      <c r="M29" s="27"/>
      <c r="N29" s="27"/>
      <c r="O29" s="27"/>
      <c r="Q29" s="27"/>
      <c r="R29" s="27"/>
      <c r="S29" s="27"/>
      <c r="T29" s="27"/>
      <c r="U29" s="27"/>
      <c r="V29" s="46"/>
      <c r="W29" s="27"/>
      <c r="X29" s="27"/>
      <c r="Y29" s="27"/>
      <c r="Z29" s="46"/>
      <c r="AA29" s="27"/>
      <c r="AB29" s="27"/>
      <c r="AC29" s="27"/>
      <c r="AK29" t="s">
        <v>290</v>
      </c>
      <c r="AL29" t="s">
        <v>325</v>
      </c>
    </row>
    <row r="30" spans="2:38" x14ac:dyDescent="0.75">
      <c r="B30" s="26"/>
      <c r="C30" s="27" t="s">
        <v>704</v>
      </c>
      <c r="D30" s="46" t="s">
        <v>704</v>
      </c>
      <c r="E30" s="46" t="s">
        <v>704</v>
      </c>
      <c r="F30" s="46" t="s">
        <v>305</v>
      </c>
      <c r="G30" s="27"/>
      <c r="H30" s="46" t="s">
        <v>729</v>
      </c>
      <c r="I30" t="s">
        <v>729</v>
      </c>
      <c r="J30" t="s">
        <v>64</v>
      </c>
      <c r="K30" s="27"/>
      <c r="L30" s="46"/>
      <c r="M30" s="27"/>
      <c r="N30" s="27"/>
      <c r="O30" s="27"/>
      <c r="P30" s="46"/>
      <c r="Q30" s="27"/>
      <c r="R30" s="27"/>
      <c r="S30" s="27"/>
      <c r="T30" s="27"/>
      <c r="U30" s="27"/>
      <c r="V30" s="46"/>
      <c r="W30" s="27"/>
      <c r="X30" s="27"/>
      <c r="Y30" s="27"/>
      <c r="Z30" s="46"/>
      <c r="AA30" s="27"/>
      <c r="AB30" s="27"/>
      <c r="AC30" s="27"/>
      <c r="AK30" t="s">
        <v>704</v>
      </c>
      <c r="AL30" t="s">
        <v>729</v>
      </c>
    </row>
    <row r="31" spans="2:38" x14ac:dyDescent="0.75">
      <c r="B31" s="26"/>
      <c r="C31" s="27" t="s">
        <v>293</v>
      </c>
      <c r="D31" s="46" t="s">
        <v>293</v>
      </c>
      <c r="E31" s="46" t="s">
        <v>293</v>
      </c>
      <c r="F31" s="46" t="s">
        <v>306</v>
      </c>
      <c r="G31" s="27"/>
      <c r="H31" s="46" t="s">
        <v>329</v>
      </c>
      <c r="I31" t="s">
        <v>329</v>
      </c>
      <c r="J31" t="s">
        <v>539</v>
      </c>
      <c r="K31" s="27"/>
      <c r="L31" s="46"/>
      <c r="M31" s="27"/>
      <c r="N31" s="27"/>
      <c r="O31" s="27"/>
      <c r="P31" s="46"/>
      <c r="Q31" s="27"/>
      <c r="R31" s="27"/>
      <c r="S31" s="27"/>
      <c r="T31" s="27"/>
      <c r="U31" s="27"/>
      <c r="V31" s="46"/>
      <c r="W31" s="27"/>
      <c r="X31" s="27"/>
      <c r="Y31" s="27"/>
      <c r="Z31" s="46"/>
      <c r="AA31" s="27"/>
      <c r="AB31" s="27"/>
      <c r="AC31" s="27"/>
      <c r="AK31" t="s">
        <v>293</v>
      </c>
      <c r="AL31" t="s">
        <v>329</v>
      </c>
    </row>
    <row r="32" spans="2:38" x14ac:dyDescent="0.75">
      <c r="B32" s="26"/>
      <c r="C32" s="27" t="s">
        <v>294</v>
      </c>
      <c r="D32" s="46" t="s">
        <v>294</v>
      </c>
      <c r="E32" s="46" t="s">
        <v>294</v>
      </c>
      <c r="F32" s="46" t="s">
        <v>498</v>
      </c>
      <c r="G32" s="27"/>
      <c r="H32" s="46" t="s">
        <v>330</v>
      </c>
      <c r="I32" t="s">
        <v>330</v>
      </c>
      <c r="J32" t="s">
        <v>735</v>
      </c>
      <c r="K32" s="27"/>
      <c r="L32" s="46"/>
      <c r="M32" s="27"/>
      <c r="N32" s="27"/>
      <c r="O32" s="27"/>
      <c r="P32" s="46"/>
      <c r="Q32" s="27"/>
      <c r="R32" s="27"/>
      <c r="S32" s="27"/>
      <c r="T32" s="27"/>
      <c r="U32" s="27"/>
      <c r="V32" s="46"/>
      <c r="W32" s="27"/>
      <c r="X32" s="27"/>
      <c r="Y32" s="27"/>
      <c r="Z32" s="46"/>
      <c r="AA32" s="27"/>
      <c r="AB32" s="27"/>
      <c r="AC32" s="27"/>
      <c r="AK32" t="s">
        <v>294</v>
      </c>
      <c r="AL32" t="s">
        <v>330</v>
      </c>
    </row>
    <row r="33" spans="2:38" x14ac:dyDescent="0.75">
      <c r="B33" s="26"/>
      <c r="C33" s="27" t="s">
        <v>471</v>
      </c>
      <c r="D33" s="46" t="s">
        <v>471</v>
      </c>
      <c r="E33" s="46" t="s">
        <v>471</v>
      </c>
      <c r="F33" s="46" t="s">
        <v>710</v>
      </c>
      <c r="G33" s="27"/>
      <c r="H33" s="46" t="s">
        <v>512</v>
      </c>
      <c r="I33" t="s">
        <v>512</v>
      </c>
      <c r="J33" t="s">
        <v>341</v>
      </c>
      <c r="K33" s="27"/>
      <c r="L33" s="46"/>
      <c r="M33" s="27"/>
      <c r="N33" s="27"/>
      <c r="O33" s="27"/>
      <c r="P33" s="46"/>
      <c r="Q33" s="27"/>
      <c r="R33" s="27"/>
      <c r="S33" s="27"/>
      <c r="T33" s="27"/>
      <c r="U33" s="27"/>
      <c r="V33" s="46"/>
      <c r="W33" s="27"/>
      <c r="X33" s="27"/>
      <c r="Y33" s="27"/>
      <c r="Z33" s="46"/>
      <c r="AA33" s="27"/>
      <c r="AB33" s="27"/>
      <c r="AC33" s="27"/>
      <c r="AK33" t="s">
        <v>471</v>
      </c>
      <c r="AL33" t="s">
        <v>512</v>
      </c>
    </row>
    <row r="34" spans="2:38" x14ac:dyDescent="0.75">
      <c r="B34" s="26"/>
      <c r="C34" s="27" t="s">
        <v>295</v>
      </c>
      <c r="D34" s="46" t="s">
        <v>295</v>
      </c>
      <c r="E34" s="46" t="s">
        <v>295</v>
      </c>
      <c r="F34" s="46" t="s">
        <v>307</v>
      </c>
      <c r="G34" s="27"/>
      <c r="H34" s="46" t="s">
        <v>331</v>
      </c>
      <c r="I34" t="s">
        <v>331</v>
      </c>
      <c r="J34" t="s">
        <v>342</v>
      </c>
      <c r="K34" s="27"/>
      <c r="L34" s="46"/>
      <c r="M34" s="27"/>
      <c r="N34" s="27"/>
      <c r="O34" s="27"/>
      <c r="P34" s="46"/>
      <c r="Q34" s="27"/>
      <c r="R34" s="27"/>
      <c r="S34" s="27"/>
      <c r="T34" s="27"/>
      <c r="U34" s="27"/>
      <c r="V34" s="46"/>
      <c r="W34" s="27"/>
      <c r="X34" s="27"/>
      <c r="Y34" s="27"/>
      <c r="Z34" s="46"/>
      <c r="AA34" s="27"/>
      <c r="AB34" s="27"/>
      <c r="AC34" s="27"/>
      <c r="AK34" t="s">
        <v>295</v>
      </c>
      <c r="AL34" t="s">
        <v>331</v>
      </c>
    </row>
    <row r="35" spans="2:38" x14ac:dyDescent="0.75">
      <c r="B35" s="26"/>
      <c r="C35" s="27" t="s">
        <v>296</v>
      </c>
      <c r="D35" s="46" t="s">
        <v>296</v>
      </c>
      <c r="E35" s="46" t="s">
        <v>296</v>
      </c>
      <c r="F35" s="46" t="s">
        <v>308</v>
      </c>
      <c r="G35" s="27"/>
      <c r="H35" s="46" t="s">
        <v>332</v>
      </c>
      <c r="I35" t="s">
        <v>332</v>
      </c>
      <c r="J35" t="s">
        <v>343</v>
      </c>
      <c r="K35" s="27"/>
      <c r="L35" s="46"/>
      <c r="M35" s="27"/>
      <c r="N35" s="27"/>
      <c r="O35" s="27"/>
      <c r="P35" s="46"/>
      <c r="Q35" s="27"/>
      <c r="R35" s="27"/>
      <c r="S35" s="27"/>
      <c r="T35" s="27"/>
      <c r="U35" s="27"/>
      <c r="V35" s="46"/>
      <c r="W35" s="27"/>
      <c r="X35" s="27"/>
      <c r="Y35" s="27"/>
      <c r="Z35" s="46"/>
      <c r="AA35" s="27"/>
      <c r="AB35" s="27"/>
      <c r="AC35" s="27"/>
      <c r="AK35" t="s">
        <v>296</v>
      </c>
      <c r="AL35" t="s">
        <v>332</v>
      </c>
    </row>
    <row r="36" spans="2:38" x14ac:dyDescent="0.75">
      <c r="B36" s="26"/>
      <c r="C36" s="27" t="s">
        <v>469</v>
      </c>
      <c r="D36" s="46" t="s">
        <v>469</v>
      </c>
      <c r="E36" s="46" t="s">
        <v>469</v>
      </c>
      <c r="F36" s="46" t="s">
        <v>309</v>
      </c>
      <c r="G36" s="27"/>
      <c r="H36" s="46" t="s">
        <v>510</v>
      </c>
      <c r="I36" t="s">
        <v>510</v>
      </c>
      <c r="J36" t="s">
        <v>65</v>
      </c>
      <c r="K36" s="27"/>
      <c r="L36" s="46"/>
      <c r="M36" s="27"/>
      <c r="N36" s="27"/>
      <c r="O36" s="27"/>
      <c r="P36" s="46"/>
      <c r="Q36" s="27"/>
      <c r="R36" s="27"/>
      <c r="S36" s="27"/>
      <c r="T36" s="27"/>
      <c r="U36" s="27"/>
      <c r="V36" s="46"/>
      <c r="W36" s="27"/>
      <c r="X36" s="27"/>
      <c r="Y36" s="27"/>
      <c r="Z36" s="46"/>
      <c r="AA36" s="27"/>
      <c r="AB36" s="27"/>
      <c r="AC36" s="27"/>
      <c r="AK36" t="s">
        <v>469</v>
      </c>
      <c r="AL36" t="s">
        <v>510</v>
      </c>
    </row>
    <row r="37" spans="2:38" x14ac:dyDescent="0.75">
      <c r="B37" s="26"/>
      <c r="C37" s="27" t="s">
        <v>470</v>
      </c>
      <c r="D37" s="46" t="s">
        <v>470</v>
      </c>
      <c r="E37" s="46" t="s">
        <v>470</v>
      </c>
      <c r="F37" s="46" t="s">
        <v>310</v>
      </c>
      <c r="G37" s="27"/>
      <c r="H37" s="46" t="s">
        <v>511</v>
      </c>
      <c r="I37" t="s">
        <v>511</v>
      </c>
      <c r="K37" s="27"/>
      <c r="L37" s="46"/>
      <c r="M37" s="27"/>
      <c r="N37" s="27"/>
      <c r="O37" s="27"/>
      <c r="P37" s="46"/>
      <c r="Q37" s="27"/>
      <c r="R37" s="27"/>
      <c r="S37" s="27"/>
      <c r="T37" s="27"/>
      <c r="U37" s="27"/>
      <c r="V37" s="46"/>
      <c r="W37" s="27"/>
      <c r="X37" s="27"/>
      <c r="Y37" s="27"/>
      <c r="Z37" s="46"/>
      <c r="AA37" s="27"/>
      <c r="AB37" s="27"/>
      <c r="AC37" s="27"/>
      <c r="AK37" t="s">
        <v>470</v>
      </c>
      <c r="AL37" t="s">
        <v>511</v>
      </c>
    </row>
    <row r="38" spans="2:38" x14ac:dyDescent="0.75">
      <c r="B38" s="26"/>
      <c r="C38" s="27" t="s">
        <v>297</v>
      </c>
      <c r="D38" s="46" t="s">
        <v>297</v>
      </c>
      <c r="E38" s="46" t="s">
        <v>297</v>
      </c>
      <c r="G38" s="27"/>
      <c r="H38" s="46" t="s">
        <v>333</v>
      </c>
      <c r="I38" t="s">
        <v>333</v>
      </c>
      <c r="K38" s="27"/>
      <c r="L38" s="46"/>
      <c r="M38" s="27"/>
      <c r="N38" s="27"/>
      <c r="O38" s="27"/>
      <c r="P38" s="46"/>
      <c r="Q38" s="27"/>
      <c r="R38" s="27"/>
      <c r="S38" s="27"/>
      <c r="T38" s="27"/>
      <c r="U38" s="27"/>
      <c r="V38" s="46"/>
      <c r="W38" s="27"/>
      <c r="X38" s="27"/>
      <c r="Y38" s="27"/>
      <c r="Z38" s="46"/>
      <c r="AA38" s="27"/>
      <c r="AB38" s="27"/>
      <c r="AC38" s="27"/>
      <c r="AK38" t="s">
        <v>297</v>
      </c>
      <c r="AL38" t="s">
        <v>333</v>
      </c>
    </row>
    <row r="39" spans="2:38" x14ac:dyDescent="0.75">
      <c r="B39" s="26"/>
      <c r="C39" s="27" t="s">
        <v>298</v>
      </c>
      <c r="D39" s="46" t="s">
        <v>298</v>
      </c>
      <c r="E39" s="46" t="s">
        <v>298</v>
      </c>
      <c r="G39" s="27"/>
      <c r="H39" s="46" t="s">
        <v>334</v>
      </c>
      <c r="I39" t="s">
        <v>334</v>
      </c>
      <c r="K39" s="27"/>
      <c r="L39" s="46"/>
      <c r="M39" s="27"/>
      <c r="N39" s="27"/>
      <c r="O39" s="27"/>
      <c r="P39" s="46"/>
      <c r="Q39" s="27"/>
      <c r="R39" s="27"/>
      <c r="S39" s="27"/>
      <c r="T39" s="27"/>
      <c r="U39" s="27"/>
      <c r="V39" s="46"/>
      <c r="W39" s="27"/>
      <c r="X39" s="27"/>
      <c r="Y39" s="27"/>
      <c r="Z39" s="46"/>
      <c r="AA39" s="27"/>
      <c r="AB39" s="27"/>
      <c r="AC39" s="27"/>
      <c r="AK39" t="s">
        <v>298</v>
      </c>
      <c r="AL39" t="s">
        <v>334</v>
      </c>
    </row>
    <row r="40" spans="2:38" x14ac:dyDescent="0.75">
      <c r="B40" s="26"/>
      <c r="C40" s="27" t="s">
        <v>475</v>
      </c>
      <c r="D40" s="46" t="s">
        <v>475</v>
      </c>
      <c r="G40" s="27"/>
      <c r="H40" s="46" t="s">
        <v>516</v>
      </c>
      <c r="K40" s="27"/>
      <c r="L40" s="46"/>
      <c r="M40" s="27"/>
      <c r="N40" s="27"/>
      <c r="O40" s="27"/>
      <c r="P40" s="46"/>
      <c r="Q40" s="27"/>
      <c r="R40" s="27"/>
      <c r="S40" s="27"/>
      <c r="T40" s="27"/>
      <c r="U40" s="27"/>
      <c r="V40" s="46"/>
      <c r="W40" s="27"/>
      <c r="X40" s="27"/>
      <c r="Y40" s="27"/>
      <c r="Z40" s="46"/>
      <c r="AA40" s="27"/>
      <c r="AB40" s="27"/>
      <c r="AC40" s="27"/>
      <c r="AK40" t="s">
        <v>475</v>
      </c>
      <c r="AL40" t="s">
        <v>516</v>
      </c>
    </row>
    <row r="41" spans="2:38" x14ac:dyDescent="0.75">
      <c r="B41" s="26"/>
      <c r="C41" s="27" t="s">
        <v>476</v>
      </c>
      <c r="D41" s="46" t="s">
        <v>476</v>
      </c>
      <c r="G41" s="27"/>
      <c r="H41" s="46" t="s">
        <v>517</v>
      </c>
      <c r="K41" s="27"/>
      <c r="L41" s="46"/>
      <c r="M41" s="27"/>
      <c r="N41" s="27"/>
      <c r="O41" s="27"/>
      <c r="P41" s="46"/>
      <c r="Q41" s="27"/>
      <c r="R41" s="27"/>
      <c r="S41" s="27"/>
      <c r="T41" s="27"/>
      <c r="U41" s="27"/>
      <c r="V41" s="46"/>
      <c r="W41" s="27"/>
      <c r="X41" s="27"/>
      <c r="Y41" s="27"/>
      <c r="Z41" s="46"/>
      <c r="AA41" s="27"/>
      <c r="AB41" s="27"/>
      <c r="AC41" s="27"/>
      <c r="AK41" t="s">
        <v>476</v>
      </c>
      <c r="AL41" t="s">
        <v>517</v>
      </c>
    </row>
    <row r="42" spans="2:38" x14ac:dyDescent="0.75">
      <c r="B42" s="26"/>
      <c r="C42" s="27" t="s">
        <v>477</v>
      </c>
      <c r="D42" s="46" t="s">
        <v>477</v>
      </c>
      <c r="G42" s="27"/>
      <c r="H42" s="46" t="s">
        <v>518</v>
      </c>
      <c r="K42" s="27"/>
      <c r="L42" s="46"/>
      <c r="M42" s="27"/>
      <c r="N42" s="27"/>
      <c r="O42" s="27"/>
      <c r="P42" s="46"/>
      <c r="Q42" s="27"/>
      <c r="R42" s="27"/>
      <c r="S42" s="27"/>
      <c r="T42" s="27"/>
      <c r="U42" s="27"/>
      <c r="V42" s="46"/>
      <c r="W42" s="27"/>
      <c r="X42" s="27"/>
      <c r="Y42" s="27"/>
      <c r="Z42" s="46"/>
      <c r="AA42" s="27"/>
      <c r="AB42" s="27"/>
      <c r="AC42" s="27"/>
      <c r="AK42" t="s">
        <v>477</v>
      </c>
      <c r="AL42" t="s">
        <v>518</v>
      </c>
    </row>
    <row r="43" spans="2:38" x14ac:dyDescent="0.75">
      <c r="B43" s="26"/>
      <c r="C43" s="27" t="s">
        <v>478</v>
      </c>
      <c r="D43" s="46" t="s">
        <v>478</v>
      </c>
      <c r="G43" s="27"/>
      <c r="H43" s="46" t="s">
        <v>519</v>
      </c>
      <c r="K43" s="27"/>
      <c r="L43" s="46"/>
      <c r="M43" s="27"/>
      <c r="N43" s="27"/>
      <c r="O43" s="27"/>
      <c r="P43" s="46"/>
      <c r="Q43" s="27"/>
      <c r="R43" s="27"/>
      <c r="S43" s="27"/>
      <c r="T43" s="27"/>
      <c r="U43" s="27"/>
      <c r="V43" s="46"/>
      <c r="W43" s="27"/>
      <c r="X43" s="27"/>
      <c r="Y43" s="27"/>
      <c r="Z43" s="46"/>
      <c r="AA43" s="27"/>
      <c r="AB43" s="27"/>
      <c r="AC43" s="27"/>
      <c r="AK43" t="s">
        <v>478</v>
      </c>
      <c r="AL43" t="s">
        <v>519</v>
      </c>
    </row>
    <row r="44" spans="2:38" x14ac:dyDescent="0.75">
      <c r="B44" s="26"/>
      <c r="C44" s="27" t="s">
        <v>479</v>
      </c>
      <c r="D44" s="46" t="s">
        <v>479</v>
      </c>
      <c r="G44" s="27"/>
      <c r="H44" s="46" t="s">
        <v>520</v>
      </c>
      <c r="K44" s="27"/>
      <c r="L44" s="46"/>
      <c r="M44" s="27"/>
      <c r="N44" s="27"/>
      <c r="O44" s="27"/>
      <c r="P44" s="46"/>
      <c r="Q44" s="27"/>
      <c r="R44" s="27"/>
      <c r="S44" s="27"/>
      <c r="T44" s="27"/>
      <c r="U44" s="27"/>
      <c r="V44" s="46"/>
      <c r="W44" s="27"/>
      <c r="X44" s="27"/>
      <c r="Y44" s="27"/>
      <c r="Z44" s="46"/>
      <c r="AA44" s="27"/>
      <c r="AB44" s="27"/>
      <c r="AC44" s="27"/>
      <c r="AK44" t="s">
        <v>479</v>
      </c>
      <c r="AL44" t="s">
        <v>520</v>
      </c>
    </row>
    <row r="45" spans="2:38" x14ac:dyDescent="0.75">
      <c r="B45" s="26"/>
      <c r="C45" s="27" t="s">
        <v>480</v>
      </c>
      <c r="D45" s="46" t="s">
        <v>480</v>
      </c>
      <c r="G45" s="27"/>
      <c r="H45" s="46" t="s">
        <v>521</v>
      </c>
      <c r="K45" s="27"/>
      <c r="L45" s="46"/>
      <c r="M45" s="27"/>
      <c r="N45" s="27"/>
      <c r="O45" s="27"/>
      <c r="P45" s="46"/>
      <c r="Q45" s="27"/>
      <c r="R45" s="27"/>
      <c r="S45" s="27"/>
      <c r="T45" s="27"/>
      <c r="U45" s="27"/>
      <c r="V45" s="46"/>
      <c r="W45" s="27"/>
      <c r="X45" s="27"/>
      <c r="Y45" s="27"/>
      <c r="Z45" s="46"/>
      <c r="AA45" s="27"/>
      <c r="AB45" s="27"/>
      <c r="AC45" s="27"/>
      <c r="AK45" t="s">
        <v>480</v>
      </c>
      <c r="AL45" t="s">
        <v>521</v>
      </c>
    </row>
    <row r="46" spans="2:38" x14ac:dyDescent="0.75">
      <c r="B46" s="26"/>
      <c r="C46" s="27" t="s">
        <v>481</v>
      </c>
      <c r="D46" s="46" t="s">
        <v>481</v>
      </c>
      <c r="G46" s="27"/>
      <c r="H46" s="46" t="s">
        <v>522</v>
      </c>
      <c r="K46" s="27"/>
      <c r="L46" s="46"/>
      <c r="M46" s="27"/>
      <c r="N46" s="27"/>
      <c r="O46" s="27"/>
      <c r="P46" s="46"/>
      <c r="Q46" s="27"/>
      <c r="R46" s="27"/>
      <c r="S46" s="27"/>
      <c r="T46" s="27"/>
      <c r="U46" s="27"/>
      <c r="V46" s="46"/>
      <c r="W46" s="27"/>
      <c r="X46" s="27"/>
      <c r="Y46" s="27"/>
      <c r="Z46" s="46"/>
      <c r="AA46" s="27"/>
      <c r="AB46" s="27"/>
      <c r="AC46" s="27"/>
      <c r="AK46" t="s">
        <v>481</v>
      </c>
      <c r="AL46" t="s">
        <v>522</v>
      </c>
    </row>
    <row r="47" spans="2:38" x14ac:dyDescent="0.75">
      <c r="B47" s="26"/>
      <c r="C47" s="27" t="s">
        <v>486</v>
      </c>
      <c r="D47" s="46" t="s">
        <v>486</v>
      </c>
      <c r="G47" s="27"/>
      <c r="H47" s="46" t="s">
        <v>527</v>
      </c>
      <c r="K47" s="27"/>
      <c r="L47" s="46"/>
      <c r="M47" s="27"/>
      <c r="N47" s="27"/>
      <c r="O47" s="27"/>
      <c r="P47" s="46"/>
      <c r="Q47" s="27"/>
      <c r="R47" s="27"/>
      <c r="S47" s="27"/>
      <c r="T47" s="27"/>
      <c r="U47" s="27"/>
      <c r="V47" s="46"/>
      <c r="W47" s="27"/>
      <c r="X47" s="27"/>
      <c r="Y47" s="27"/>
      <c r="Z47" s="46"/>
      <c r="AA47" s="27"/>
      <c r="AB47" s="27"/>
      <c r="AC47" s="27"/>
      <c r="AK47" t="s">
        <v>486</v>
      </c>
      <c r="AL47" t="s">
        <v>527</v>
      </c>
    </row>
    <row r="48" spans="2:38" x14ac:dyDescent="0.75">
      <c r="B48" s="26"/>
      <c r="C48" s="27" t="s">
        <v>705</v>
      </c>
      <c r="D48" s="46" t="s">
        <v>705</v>
      </c>
      <c r="G48" s="27"/>
      <c r="H48" s="46" t="s">
        <v>730</v>
      </c>
      <c r="K48" s="27"/>
      <c r="L48" s="46"/>
      <c r="M48" s="27"/>
      <c r="N48" s="27"/>
      <c r="O48" s="27"/>
      <c r="P48" s="46"/>
      <c r="Q48" s="27"/>
      <c r="R48" s="27"/>
      <c r="S48" s="27"/>
      <c r="T48" s="27"/>
      <c r="U48" s="27"/>
      <c r="V48" s="46"/>
      <c r="W48" s="27"/>
      <c r="X48" s="27"/>
      <c r="Y48" s="27"/>
      <c r="Z48" s="46"/>
      <c r="AA48" s="27"/>
      <c r="AB48" s="27"/>
      <c r="AC48" s="27"/>
      <c r="AK48" t="s">
        <v>705</v>
      </c>
      <c r="AL48" t="s">
        <v>730</v>
      </c>
    </row>
    <row r="49" spans="2:38" x14ac:dyDescent="0.75">
      <c r="B49" s="26"/>
      <c r="C49" s="27" t="s">
        <v>490</v>
      </c>
      <c r="D49" s="46" t="s">
        <v>490</v>
      </c>
      <c r="G49" s="27"/>
      <c r="H49" s="46" t="s">
        <v>531</v>
      </c>
      <c r="K49" s="27"/>
      <c r="L49" s="46"/>
      <c r="M49" s="27"/>
      <c r="N49" s="27"/>
      <c r="O49" s="27"/>
      <c r="P49" s="46"/>
      <c r="Q49" s="27"/>
      <c r="R49" s="27"/>
      <c r="S49" s="27"/>
      <c r="T49" s="27"/>
      <c r="U49" s="27"/>
      <c r="V49" s="46"/>
      <c r="W49" s="27"/>
      <c r="X49" s="27"/>
      <c r="Y49" s="27"/>
      <c r="Z49" s="46"/>
      <c r="AA49" s="27"/>
      <c r="AB49" s="27"/>
      <c r="AC49" s="27"/>
      <c r="AK49" t="s">
        <v>490</v>
      </c>
      <c r="AL49" t="s">
        <v>531</v>
      </c>
    </row>
    <row r="50" spans="2:38" x14ac:dyDescent="0.75">
      <c r="B50" s="26"/>
      <c r="C50" s="27" t="s">
        <v>299</v>
      </c>
      <c r="D50" s="46" t="s">
        <v>299</v>
      </c>
      <c r="G50" s="27"/>
      <c r="H50" s="46" t="s">
        <v>61</v>
      </c>
      <c r="K50" s="27"/>
      <c r="L50" s="46"/>
      <c r="M50" s="27"/>
      <c r="N50" s="27"/>
      <c r="O50" s="27"/>
      <c r="P50" s="46"/>
      <c r="Q50" s="27"/>
      <c r="R50" s="27"/>
      <c r="S50" s="27"/>
      <c r="T50" s="27"/>
      <c r="U50" s="27"/>
      <c r="V50" s="46"/>
      <c r="W50" s="27"/>
      <c r="X50" s="27"/>
      <c r="Y50" s="27"/>
      <c r="Z50" s="46"/>
      <c r="AA50" s="27"/>
      <c r="AB50" s="27"/>
      <c r="AC50" s="27"/>
      <c r="AK50" t="s">
        <v>299</v>
      </c>
      <c r="AL50" t="s">
        <v>61</v>
      </c>
    </row>
    <row r="51" spans="2:38" x14ac:dyDescent="0.75">
      <c r="B51" s="26"/>
      <c r="C51" s="27" t="s">
        <v>300</v>
      </c>
      <c r="D51" s="46" t="s">
        <v>300</v>
      </c>
      <c r="G51" s="27"/>
      <c r="H51" s="46" t="s">
        <v>335</v>
      </c>
      <c r="K51" s="27"/>
      <c r="L51" s="46"/>
      <c r="M51" s="27"/>
      <c r="N51" s="27"/>
      <c r="O51" s="27"/>
      <c r="P51" s="46"/>
      <c r="Q51" s="27"/>
      <c r="R51" s="27"/>
      <c r="S51" s="27"/>
      <c r="T51" s="27"/>
      <c r="U51" s="27"/>
      <c r="V51" s="46"/>
      <c r="W51" s="27"/>
      <c r="X51" s="27"/>
      <c r="Y51" s="27"/>
      <c r="Z51" s="46"/>
      <c r="AA51" s="27"/>
      <c r="AB51" s="27"/>
      <c r="AC51" s="27"/>
      <c r="AK51" t="s">
        <v>300</v>
      </c>
      <c r="AL51" t="s">
        <v>335</v>
      </c>
    </row>
    <row r="52" spans="2:38" x14ac:dyDescent="0.75">
      <c r="B52" s="26"/>
      <c r="C52" s="27" t="s">
        <v>491</v>
      </c>
      <c r="D52" s="46" t="s">
        <v>491</v>
      </c>
      <c r="G52" s="27"/>
      <c r="H52" s="46" t="s">
        <v>532</v>
      </c>
      <c r="K52" s="27"/>
      <c r="L52" s="46"/>
      <c r="M52" s="27"/>
      <c r="N52" s="27"/>
      <c r="O52" s="27"/>
      <c r="P52" s="46"/>
      <c r="Q52" s="27"/>
      <c r="R52" s="27"/>
      <c r="S52" s="27"/>
      <c r="T52" s="27"/>
      <c r="U52" s="27"/>
      <c r="V52" s="46"/>
      <c r="W52" s="27"/>
      <c r="X52" s="27"/>
      <c r="Y52" s="27"/>
      <c r="Z52" s="46"/>
      <c r="AA52" s="27"/>
      <c r="AB52" s="27"/>
      <c r="AC52" s="27"/>
      <c r="AK52" t="s">
        <v>491</v>
      </c>
      <c r="AL52" t="s">
        <v>532</v>
      </c>
    </row>
    <row r="53" spans="2:38" x14ac:dyDescent="0.75">
      <c r="B53" s="26"/>
      <c r="C53" s="27" t="s">
        <v>301</v>
      </c>
      <c r="D53" s="46" t="s">
        <v>301</v>
      </c>
      <c r="G53" s="27"/>
      <c r="H53" s="46" t="s">
        <v>336</v>
      </c>
      <c r="K53" s="27"/>
      <c r="L53" s="46"/>
      <c r="M53" s="27"/>
      <c r="N53" s="27"/>
      <c r="O53" s="27"/>
      <c r="P53" s="46"/>
      <c r="Q53" s="27"/>
      <c r="R53" s="27"/>
      <c r="S53" s="27"/>
      <c r="T53" s="27"/>
      <c r="U53" s="27"/>
      <c r="V53" s="46"/>
      <c r="W53" s="27"/>
      <c r="X53" s="27"/>
      <c r="Y53" s="27"/>
      <c r="Z53" s="46"/>
      <c r="AA53" s="27"/>
      <c r="AB53" s="27"/>
      <c r="AC53" s="27"/>
      <c r="AK53" t="s">
        <v>301</v>
      </c>
      <c r="AL53" t="s">
        <v>336</v>
      </c>
    </row>
    <row r="54" spans="2:38" x14ac:dyDescent="0.75">
      <c r="B54" s="26"/>
      <c r="C54" s="27" t="s">
        <v>302</v>
      </c>
      <c r="D54" s="46" t="s">
        <v>302</v>
      </c>
      <c r="G54" s="27"/>
      <c r="H54" s="46" t="s">
        <v>337</v>
      </c>
      <c r="K54" s="27"/>
      <c r="L54" s="46"/>
      <c r="M54" s="27"/>
      <c r="N54" s="27"/>
      <c r="O54" s="27"/>
      <c r="P54" s="46"/>
      <c r="Q54" s="27"/>
      <c r="R54" s="27"/>
      <c r="S54" s="27"/>
      <c r="T54" s="27"/>
      <c r="U54" s="27"/>
      <c r="V54" s="46"/>
      <c r="W54" s="27"/>
      <c r="X54" s="27"/>
      <c r="Y54" s="27"/>
      <c r="Z54" s="46"/>
      <c r="AA54" s="27"/>
      <c r="AB54" s="27"/>
      <c r="AC54" s="27"/>
      <c r="AK54" t="s">
        <v>302</v>
      </c>
      <c r="AL54" t="s">
        <v>337</v>
      </c>
    </row>
    <row r="55" spans="2:38" x14ac:dyDescent="0.75">
      <c r="B55" s="26"/>
      <c r="C55" s="27" t="s">
        <v>706</v>
      </c>
      <c r="D55" s="46" t="s">
        <v>706</v>
      </c>
      <c r="G55" s="27"/>
      <c r="H55" s="46" t="s">
        <v>731</v>
      </c>
      <c r="K55" s="27"/>
      <c r="L55" s="46"/>
      <c r="M55" s="27"/>
      <c r="N55" s="27"/>
      <c r="O55" s="27"/>
      <c r="P55" s="46"/>
      <c r="Q55" s="27"/>
      <c r="R55" s="27"/>
      <c r="S55" s="27"/>
      <c r="T55" s="27"/>
      <c r="U55" s="27"/>
      <c r="V55" s="46"/>
      <c r="W55" s="27"/>
      <c r="X55" s="27"/>
      <c r="Y55" s="27"/>
      <c r="Z55" s="46"/>
      <c r="AA55" s="27"/>
      <c r="AB55" s="27"/>
      <c r="AC55" s="27"/>
      <c r="AK55" t="s">
        <v>706</v>
      </c>
      <c r="AL55" t="s">
        <v>731</v>
      </c>
    </row>
    <row r="56" spans="2:38" x14ac:dyDescent="0.75">
      <c r="B56" s="26"/>
      <c r="C56" s="27" t="s">
        <v>495</v>
      </c>
      <c r="D56" s="46" t="s">
        <v>495</v>
      </c>
      <c r="G56" s="27"/>
      <c r="H56" s="46" t="s">
        <v>536</v>
      </c>
      <c r="K56" s="27"/>
      <c r="L56" s="46"/>
      <c r="M56" s="27"/>
      <c r="N56" s="27"/>
      <c r="O56" s="27"/>
      <c r="P56" s="46"/>
      <c r="Q56" s="27"/>
      <c r="R56" s="27"/>
      <c r="S56" s="27"/>
      <c r="T56" s="27"/>
      <c r="U56" s="27"/>
      <c r="V56" s="46"/>
      <c r="W56" s="27"/>
      <c r="X56" s="27"/>
      <c r="Y56" s="27"/>
      <c r="Z56" s="46"/>
      <c r="AA56" s="27"/>
      <c r="AB56" s="27"/>
      <c r="AC56" s="27"/>
      <c r="AK56" t="s">
        <v>495</v>
      </c>
      <c r="AL56" t="s">
        <v>536</v>
      </c>
    </row>
    <row r="57" spans="2:38" x14ac:dyDescent="0.75">
      <c r="B57" s="26"/>
      <c r="C57" s="27" t="s">
        <v>303</v>
      </c>
      <c r="D57" s="46" t="s">
        <v>303</v>
      </c>
      <c r="G57" s="27"/>
      <c r="H57" s="46" t="s">
        <v>338</v>
      </c>
      <c r="K57" s="27"/>
      <c r="L57" s="46"/>
      <c r="M57" s="27"/>
      <c r="N57" s="27"/>
      <c r="O57" s="27"/>
      <c r="P57" s="46"/>
      <c r="Q57" s="27"/>
      <c r="R57" s="27"/>
      <c r="S57" s="27"/>
      <c r="T57" s="27"/>
      <c r="U57" s="27"/>
      <c r="V57" s="46"/>
      <c r="W57" s="27"/>
      <c r="X57" s="27"/>
      <c r="Y57" s="27"/>
      <c r="Z57" s="46"/>
      <c r="AA57" s="27"/>
      <c r="AB57" s="27"/>
      <c r="AC57" s="27"/>
      <c r="AK57" t="s">
        <v>303</v>
      </c>
      <c r="AL57" t="s">
        <v>338</v>
      </c>
    </row>
    <row r="58" spans="2:38" x14ac:dyDescent="0.75">
      <c r="B58" s="26"/>
      <c r="C58" s="27" t="s">
        <v>707</v>
      </c>
      <c r="D58" s="46" t="s">
        <v>707</v>
      </c>
      <c r="G58" s="27"/>
      <c r="H58" s="46" t="s">
        <v>732</v>
      </c>
      <c r="K58" s="27"/>
      <c r="L58" s="46"/>
      <c r="M58" s="27"/>
      <c r="N58" s="27"/>
      <c r="O58" s="27"/>
      <c r="P58" s="46"/>
      <c r="Q58" s="27"/>
      <c r="R58" s="27"/>
      <c r="S58" s="27"/>
      <c r="T58" s="27"/>
      <c r="U58" s="27"/>
      <c r="V58" s="46"/>
      <c r="W58" s="27"/>
      <c r="X58" s="27"/>
      <c r="Y58" s="27"/>
      <c r="Z58" s="46"/>
      <c r="AA58" s="27"/>
      <c r="AB58" s="27"/>
      <c r="AC58" s="27"/>
      <c r="AK58" t="s">
        <v>707</v>
      </c>
      <c r="AL58" t="s">
        <v>732</v>
      </c>
    </row>
    <row r="59" spans="2:38" x14ac:dyDescent="0.75">
      <c r="B59" s="26"/>
      <c r="C59" s="27" t="s">
        <v>708</v>
      </c>
      <c r="D59" s="46" t="s">
        <v>708</v>
      </c>
      <c r="G59" s="27"/>
      <c r="H59" s="46" t="s">
        <v>733</v>
      </c>
      <c r="K59" s="27"/>
      <c r="L59" s="46"/>
      <c r="M59" s="27"/>
      <c r="N59" s="27"/>
      <c r="O59" s="27"/>
      <c r="P59" s="46"/>
      <c r="Q59" s="27"/>
      <c r="R59" s="27"/>
      <c r="S59" s="27"/>
      <c r="T59" s="27"/>
      <c r="U59" s="27"/>
      <c r="V59" s="46"/>
      <c r="W59" s="27"/>
      <c r="X59" s="27"/>
      <c r="Y59" s="27"/>
      <c r="Z59" s="46"/>
      <c r="AA59" s="27"/>
      <c r="AB59" s="27"/>
      <c r="AC59" s="27"/>
      <c r="AK59" t="s">
        <v>708</v>
      </c>
      <c r="AL59" t="s">
        <v>733</v>
      </c>
    </row>
    <row r="60" spans="2:38" x14ac:dyDescent="0.75">
      <c r="B60" s="26"/>
      <c r="C60" s="27" t="s">
        <v>304</v>
      </c>
      <c r="D60" s="46" t="s">
        <v>304</v>
      </c>
      <c r="G60" s="27"/>
      <c r="H60" s="46" t="s">
        <v>339</v>
      </c>
      <c r="K60" s="27"/>
      <c r="L60" s="46"/>
      <c r="M60" s="27"/>
      <c r="N60" s="27"/>
      <c r="O60" s="27"/>
      <c r="P60" s="46"/>
      <c r="Q60" s="27"/>
      <c r="R60" s="27"/>
      <c r="S60" s="27"/>
      <c r="T60" s="27"/>
      <c r="U60" s="27"/>
      <c r="V60" s="46"/>
      <c r="W60" s="27"/>
      <c r="X60" s="27"/>
      <c r="Y60" s="27"/>
      <c r="Z60" s="46"/>
      <c r="AA60" s="27"/>
      <c r="AB60" s="27"/>
      <c r="AC60" s="27"/>
      <c r="AK60" t="s">
        <v>304</v>
      </c>
      <c r="AL60" t="s">
        <v>339</v>
      </c>
    </row>
    <row r="61" spans="2:38" x14ac:dyDescent="0.75">
      <c r="B61" s="26"/>
      <c r="C61" s="27" t="s">
        <v>709</v>
      </c>
      <c r="D61" s="46" t="s">
        <v>709</v>
      </c>
      <c r="G61" s="27"/>
      <c r="H61" s="46" t="s">
        <v>734</v>
      </c>
      <c r="K61" s="27"/>
      <c r="L61" s="46"/>
      <c r="M61" s="27"/>
      <c r="N61" s="27"/>
      <c r="O61" s="27"/>
      <c r="P61" s="46"/>
      <c r="Q61" s="27"/>
      <c r="R61" s="27"/>
      <c r="S61" s="27"/>
      <c r="T61" s="27"/>
      <c r="U61" s="27"/>
      <c r="V61" s="46"/>
      <c r="W61" s="27"/>
      <c r="X61" s="27"/>
      <c r="Y61" s="27"/>
      <c r="Z61" s="46"/>
      <c r="AA61" s="27"/>
      <c r="AB61" s="27"/>
      <c r="AC61" s="27"/>
      <c r="AK61" t="s">
        <v>709</v>
      </c>
      <c r="AL61" t="s">
        <v>734</v>
      </c>
    </row>
    <row r="62" spans="2:38" x14ac:dyDescent="0.75">
      <c r="B62" s="26"/>
      <c r="C62" s="27" t="s">
        <v>305</v>
      </c>
      <c r="D62" s="46" t="s">
        <v>305</v>
      </c>
      <c r="G62" s="27"/>
      <c r="H62" s="46" t="s">
        <v>340</v>
      </c>
      <c r="K62" s="27"/>
      <c r="L62" s="46"/>
      <c r="M62" s="27"/>
      <c r="N62" s="27"/>
      <c r="O62" s="27"/>
      <c r="P62" s="46"/>
      <c r="Q62" s="27"/>
      <c r="R62" s="27"/>
      <c r="S62" s="27"/>
      <c r="T62" s="27"/>
      <c r="U62" s="27"/>
      <c r="V62" s="46"/>
      <c r="W62" s="27"/>
      <c r="X62" s="27"/>
      <c r="Y62" s="27"/>
      <c r="Z62" s="46"/>
      <c r="AA62" s="27"/>
      <c r="AB62" s="27"/>
      <c r="AC62" s="27"/>
      <c r="AK62" t="s">
        <v>305</v>
      </c>
      <c r="AL62" t="s">
        <v>340</v>
      </c>
    </row>
    <row r="63" spans="2:38" x14ac:dyDescent="0.75">
      <c r="B63" s="26"/>
      <c r="C63" s="27" t="s">
        <v>306</v>
      </c>
      <c r="D63" s="46" t="s">
        <v>306</v>
      </c>
      <c r="G63" s="27"/>
      <c r="H63" s="46" t="s">
        <v>64</v>
      </c>
      <c r="K63" s="27"/>
      <c r="L63" s="46"/>
      <c r="M63" s="27"/>
      <c r="N63" s="27"/>
      <c r="O63" s="27"/>
      <c r="P63" s="46"/>
      <c r="Q63" s="27"/>
      <c r="R63" s="27"/>
      <c r="S63" s="27"/>
      <c r="T63" s="27"/>
      <c r="U63" s="27"/>
      <c r="V63" s="46"/>
      <c r="W63" s="27"/>
      <c r="X63" s="27"/>
      <c r="Y63" s="27"/>
      <c r="Z63" s="46"/>
      <c r="AA63" s="27"/>
      <c r="AB63" s="27"/>
      <c r="AC63" s="27"/>
      <c r="AK63" t="s">
        <v>306</v>
      </c>
      <c r="AL63" t="s">
        <v>64</v>
      </c>
    </row>
    <row r="64" spans="2:38" x14ac:dyDescent="0.75">
      <c r="B64" s="26"/>
      <c r="C64" s="27" t="s">
        <v>498</v>
      </c>
      <c r="D64" s="46" t="s">
        <v>498</v>
      </c>
      <c r="G64" s="27"/>
      <c r="H64" s="46" t="s">
        <v>539</v>
      </c>
      <c r="J64" s="27"/>
      <c r="K64" s="27"/>
      <c r="L64" s="46"/>
      <c r="M64" s="27"/>
      <c r="N64" s="27"/>
      <c r="O64" s="27"/>
      <c r="P64" s="46"/>
      <c r="Q64" s="27"/>
      <c r="R64" s="27"/>
      <c r="S64" s="27"/>
      <c r="T64" s="27"/>
      <c r="U64" s="27"/>
      <c r="V64" s="46"/>
      <c r="W64" s="27"/>
      <c r="X64" s="27"/>
      <c r="Y64" s="27"/>
      <c r="Z64" s="46"/>
      <c r="AA64" s="27"/>
      <c r="AB64" s="27"/>
      <c r="AC64" s="27"/>
      <c r="AK64" t="s">
        <v>498</v>
      </c>
      <c r="AL64" t="s">
        <v>539</v>
      </c>
    </row>
    <row r="65" spans="2:38" x14ac:dyDescent="0.75">
      <c r="B65" s="26"/>
      <c r="C65" s="27" t="s">
        <v>710</v>
      </c>
      <c r="D65" s="46" t="s">
        <v>710</v>
      </c>
      <c r="F65" s="27"/>
      <c r="G65" s="27"/>
      <c r="H65" s="46" t="s">
        <v>735</v>
      </c>
      <c r="J65" s="27"/>
      <c r="K65" s="27"/>
      <c r="L65" s="46"/>
      <c r="M65" s="27"/>
      <c r="N65" s="27"/>
      <c r="O65" s="27"/>
      <c r="P65" s="46"/>
      <c r="Q65" s="27"/>
      <c r="R65" s="27"/>
      <c r="S65" s="27"/>
      <c r="T65" s="27"/>
      <c r="U65" s="27"/>
      <c r="V65" s="46"/>
      <c r="W65" s="27"/>
      <c r="X65" s="27"/>
      <c r="Y65" s="27"/>
      <c r="Z65" s="46"/>
      <c r="AA65" s="27"/>
      <c r="AB65" s="27"/>
      <c r="AC65" s="27"/>
      <c r="AK65" t="s">
        <v>710</v>
      </c>
      <c r="AL65" t="s">
        <v>735</v>
      </c>
    </row>
    <row r="66" spans="2:38" x14ac:dyDescent="0.75">
      <c r="B66" s="26"/>
      <c r="C66" s="27" t="s">
        <v>307</v>
      </c>
      <c r="D66" s="46" t="s">
        <v>307</v>
      </c>
      <c r="F66" s="27"/>
      <c r="G66" s="27"/>
      <c r="H66" s="46" t="s">
        <v>341</v>
      </c>
      <c r="J66" s="27"/>
      <c r="K66" s="27"/>
      <c r="L66" s="46"/>
      <c r="M66" s="27"/>
      <c r="N66" s="27"/>
      <c r="O66" s="27"/>
      <c r="P66" s="46"/>
      <c r="Q66" s="27"/>
      <c r="R66" s="27"/>
      <c r="S66" s="27"/>
      <c r="T66" s="27"/>
      <c r="U66" s="27"/>
      <c r="V66" s="46"/>
      <c r="W66" s="27"/>
      <c r="X66" s="27"/>
      <c r="Y66" s="27"/>
      <c r="Z66" s="46"/>
      <c r="AA66" s="27"/>
      <c r="AB66" s="27"/>
      <c r="AC66" s="27"/>
      <c r="AK66" t="s">
        <v>307</v>
      </c>
      <c r="AL66" t="s">
        <v>341</v>
      </c>
    </row>
    <row r="67" spans="2:38" x14ac:dyDescent="0.75">
      <c r="B67" s="26"/>
      <c r="C67" s="27" t="s">
        <v>308</v>
      </c>
      <c r="D67" s="46" t="s">
        <v>308</v>
      </c>
      <c r="F67" s="27"/>
      <c r="G67" s="27"/>
      <c r="H67" s="46" t="s">
        <v>342</v>
      </c>
      <c r="J67" s="27"/>
      <c r="K67" s="27"/>
      <c r="L67" s="46"/>
      <c r="M67" s="27"/>
      <c r="N67" s="27"/>
      <c r="O67" s="27"/>
      <c r="P67" s="46"/>
      <c r="Q67" s="27"/>
      <c r="R67" s="27"/>
      <c r="S67" s="27"/>
      <c r="T67" s="27"/>
      <c r="U67" s="27"/>
      <c r="V67" s="46"/>
      <c r="W67" s="27"/>
      <c r="X67" s="27"/>
      <c r="Y67" s="27"/>
      <c r="Z67" s="46"/>
      <c r="AA67" s="27"/>
      <c r="AB67" s="27"/>
      <c r="AC67" s="27"/>
      <c r="AK67" t="s">
        <v>308</v>
      </c>
      <c r="AL67" t="s">
        <v>342</v>
      </c>
    </row>
    <row r="68" spans="2:38" x14ac:dyDescent="0.75">
      <c r="B68" s="26"/>
      <c r="C68" s="27" t="s">
        <v>309</v>
      </c>
      <c r="D68" s="46" t="s">
        <v>309</v>
      </c>
      <c r="F68" s="27"/>
      <c r="G68" s="27"/>
      <c r="H68" s="46" t="s">
        <v>343</v>
      </c>
      <c r="J68" s="27"/>
      <c r="K68" s="27"/>
      <c r="L68" s="46"/>
      <c r="M68" s="27"/>
      <c r="N68" s="27"/>
      <c r="O68" s="27"/>
      <c r="P68" s="46"/>
      <c r="Q68" s="27"/>
      <c r="R68" s="27"/>
      <c r="S68" s="27"/>
      <c r="T68" s="27"/>
      <c r="U68" s="27"/>
      <c r="V68" s="46"/>
      <c r="W68" s="27"/>
      <c r="X68" s="27"/>
      <c r="Y68" s="27"/>
      <c r="Z68" s="46"/>
      <c r="AA68" s="27"/>
      <c r="AB68" s="27"/>
      <c r="AC68" s="27"/>
      <c r="AK68" t="s">
        <v>309</v>
      </c>
      <c r="AL68" t="s">
        <v>343</v>
      </c>
    </row>
    <row r="69" spans="2:38" x14ac:dyDescent="0.75">
      <c r="B69" s="26"/>
      <c r="C69" s="27" t="s">
        <v>310</v>
      </c>
      <c r="D69" s="46" t="s">
        <v>310</v>
      </c>
      <c r="F69" s="27"/>
      <c r="G69" s="27"/>
      <c r="H69" s="46" t="s">
        <v>65</v>
      </c>
      <c r="J69" s="27"/>
      <c r="K69" s="27"/>
      <c r="L69" s="46"/>
      <c r="M69" s="27"/>
      <c r="N69" s="27"/>
      <c r="O69" s="27"/>
      <c r="P69" s="46"/>
      <c r="Q69" s="27"/>
      <c r="R69" s="27"/>
      <c r="S69" s="27"/>
      <c r="T69" s="27"/>
      <c r="U69" s="27"/>
      <c r="V69" s="46"/>
      <c r="W69" s="27"/>
      <c r="X69" s="27"/>
      <c r="Y69" s="27"/>
      <c r="Z69" s="46"/>
      <c r="AA69" s="27"/>
      <c r="AB69" s="27"/>
      <c r="AC69" s="27"/>
      <c r="AK69" t="s">
        <v>310</v>
      </c>
      <c r="AL69" t="s">
        <v>65</v>
      </c>
    </row>
    <row r="70" spans="2:38" x14ac:dyDescent="0.75">
      <c r="B70" s="26"/>
      <c r="C70" s="27" t="s">
        <v>311</v>
      </c>
      <c r="D70" s="46" t="s">
        <v>311</v>
      </c>
      <c r="F70" s="27"/>
      <c r="G70" s="27"/>
      <c r="H70" s="46" t="s">
        <v>344</v>
      </c>
      <c r="J70" s="27"/>
      <c r="K70" s="27"/>
      <c r="L70" s="46"/>
      <c r="M70" s="27"/>
      <c r="N70" s="27"/>
      <c r="O70" s="27"/>
      <c r="P70" s="46"/>
      <c r="Q70" s="27"/>
      <c r="R70" s="27"/>
      <c r="S70" s="27"/>
      <c r="T70" s="27"/>
      <c r="U70" s="27"/>
      <c r="V70" s="46"/>
      <c r="W70" s="27"/>
      <c r="X70" s="27"/>
      <c r="Y70" s="27"/>
      <c r="Z70" s="46"/>
      <c r="AA70" s="27"/>
      <c r="AB70" s="27"/>
      <c r="AC70" s="27"/>
      <c r="AK70" t="s">
        <v>311</v>
      </c>
      <c r="AL70" t="s">
        <v>344</v>
      </c>
    </row>
    <row r="71" spans="2:38" x14ac:dyDescent="0.75">
      <c r="B71" s="26"/>
      <c r="C71" s="27" t="s">
        <v>312</v>
      </c>
      <c r="D71" s="46" t="s">
        <v>312</v>
      </c>
      <c r="F71" s="27"/>
      <c r="G71" s="27"/>
      <c r="H71" s="46" t="s">
        <v>66</v>
      </c>
      <c r="J71" s="27"/>
      <c r="K71" s="27"/>
      <c r="L71" s="46"/>
      <c r="M71" s="27"/>
      <c r="N71" s="27"/>
      <c r="O71" s="27"/>
      <c r="P71" s="46"/>
      <c r="Q71" s="27"/>
      <c r="R71" s="27"/>
      <c r="S71" s="27"/>
      <c r="T71" s="27"/>
      <c r="U71" s="27"/>
      <c r="V71" s="46"/>
      <c r="W71" s="27"/>
      <c r="X71" s="27"/>
      <c r="Y71" s="27"/>
      <c r="Z71" s="46"/>
      <c r="AA71" s="27"/>
      <c r="AB71" s="27"/>
      <c r="AC71" s="27"/>
      <c r="AK71" t="s">
        <v>312</v>
      </c>
      <c r="AL71" t="s">
        <v>66</v>
      </c>
    </row>
    <row r="72" spans="2:38" x14ac:dyDescent="0.75">
      <c r="B72" s="26"/>
      <c r="C72" s="27" t="s">
        <v>711</v>
      </c>
      <c r="D72" s="46" t="s">
        <v>711</v>
      </c>
      <c r="F72" s="27"/>
      <c r="G72" s="27"/>
      <c r="H72" s="46" t="s">
        <v>736</v>
      </c>
      <c r="J72" s="27"/>
      <c r="K72" s="27"/>
      <c r="L72" s="46"/>
      <c r="M72" s="27"/>
      <c r="N72" s="27"/>
      <c r="O72" s="27"/>
      <c r="P72" s="46"/>
      <c r="Q72" s="27"/>
      <c r="R72" s="27"/>
      <c r="S72" s="27"/>
      <c r="T72" s="27"/>
      <c r="U72" s="27"/>
      <c r="V72" s="46"/>
      <c r="W72" s="27"/>
      <c r="X72" s="27"/>
      <c r="Y72" s="27"/>
      <c r="Z72" s="46"/>
      <c r="AA72" s="27"/>
      <c r="AB72" s="27"/>
      <c r="AC72" s="27"/>
      <c r="AK72" t="s">
        <v>711</v>
      </c>
      <c r="AL72" t="s">
        <v>736</v>
      </c>
    </row>
    <row r="73" spans="2:38" x14ac:dyDescent="0.75">
      <c r="B73" s="26"/>
      <c r="C73" s="27" t="s">
        <v>313</v>
      </c>
      <c r="D73" s="46" t="s">
        <v>313</v>
      </c>
      <c r="F73" s="27"/>
      <c r="G73" s="27"/>
      <c r="H73" s="46" t="s">
        <v>345</v>
      </c>
      <c r="J73" s="27"/>
      <c r="K73" s="27"/>
      <c r="L73" s="46"/>
      <c r="M73" s="27"/>
      <c r="N73" s="27"/>
      <c r="O73" s="27"/>
      <c r="P73" s="46"/>
      <c r="Q73" s="27"/>
      <c r="R73" s="27"/>
      <c r="S73" s="27"/>
      <c r="T73" s="27"/>
      <c r="U73" s="27"/>
      <c r="V73" s="46"/>
      <c r="W73" s="27"/>
      <c r="X73" s="27"/>
      <c r="Y73" s="27"/>
      <c r="Z73" s="46"/>
      <c r="AA73" s="27"/>
      <c r="AB73" s="27"/>
      <c r="AC73" s="27"/>
      <c r="AK73" t="s">
        <v>313</v>
      </c>
      <c r="AL73" t="s">
        <v>345</v>
      </c>
    </row>
    <row r="74" spans="2:38" x14ac:dyDescent="0.75">
      <c r="B74" s="26"/>
      <c r="C74" s="27" t="s">
        <v>761</v>
      </c>
      <c r="D74" s="46" t="s">
        <v>761</v>
      </c>
      <c r="F74" s="27"/>
      <c r="G74" s="27"/>
      <c r="H74" s="46" t="s">
        <v>762</v>
      </c>
      <c r="J74" s="27"/>
      <c r="K74" s="27"/>
      <c r="L74" s="46"/>
      <c r="M74" s="27"/>
      <c r="N74" s="27"/>
      <c r="O74" s="27"/>
      <c r="P74" s="46"/>
      <c r="Q74" s="27"/>
      <c r="R74" s="27"/>
      <c r="S74" s="27"/>
      <c r="T74" s="27"/>
      <c r="U74" s="27"/>
      <c r="V74" s="46"/>
      <c r="W74" s="27"/>
      <c r="X74" s="27"/>
      <c r="Y74" s="27"/>
      <c r="Z74" s="46"/>
      <c r="AA74" s="27"/>
      <c r="AB74" s="27"/>
      <c r="AC74" s="27"/>
      <c r="AK74" t="s">
        <v>761</v>
      </c>
      <c r="AL74" t="s">
        <v>762</v>
      </c>
    </row>
    <row r="75" spans="2:38" x14ac:dyDescent="0.75">
      <c r="B75" s="26"/>
      <c r="C75" s="27" t="s">
        <v>314</v>
      </c>
      <c r="D75" s="46" t="s">
        <v>314</v>
      </c>
      <c r="F75" s="27"/>
      <c r="G75" s="27"/>
      <c r="H75" s="46" t="s">
        <v>346</v>
      </c>
      <c r="J75" s="27"/>
      <c r="K75" s="27"/>
      <c r="L75" s="46"/>
      <c r="M75" s="27"/>
      <c r="N75" s="27"/>
      <c r="O75" s="27"/>
      <c r="P75" s="46"/>
      <c r="Q75" s="27"/>
      <c r="R75" s="27"/>
      <c r="S75" s="27"/>
      <c r="T75" s="27"/>
      <c r="U75" s="27"/>
      <c r="V75" s="46"/>
      <c r="W75" s="27"/>
      <c r="X75" s="27"/>
      <c r="Y75" s="27"/>
      <c r="Z75" s="46"/>
      <c r="AA75" s="27"/>
      <c r="AB75" s="27"/>
      <c r="AC75" s="27"/>
      <c r="AK75" t="s">
        <v>314</v>
      </c>
      <c r="AL75" t="s">
        <v>346</v>
      </c>
    </row>
    <row r="76" spans="2:38" x14ac:dyDescent="0.75">
      <c r="B76" s="26"/>
      <c r="C76" s="27" t="s">
        <v>712</v>
      </c>
      <c r="D76" s="46" t="s">
        <v>712</v>
      </c>
      <c r="F76" s="27"/>
      <c r="G76" s="27"/>
      <c r="H76" s="46" t="s">
        <v>737</v>
      </c>
      <c r="J76" s="27"/>
      <c r="K76" s="27"/>
      <c r="L76" s="46"/>
      <c r="M76" s="27"/>
      <c r="N76" s="27"/>
      <c r="O76" s="27"/>
      <c r="P76" s="46"/>
      <c r="Q76" s="27"/>
      <c r="R76" s="27"/>
      <c r="S76" s="27"/>
      <c r="T76" s="27"/>
      <c r="U76" s="27"/>
      <c r="V76" s="46"/>
      <c r="W76" s="27"/>
      <c r="X76" s="27"/>
      <c r="Y76" s="27"/>
      <c r="Z76" s="46"/>
      <c r="AA76" s="27"/>
      <c r="AB76" s="27"/>
      <c r="AC76" s="27"/>
      <c r="AK76" t="s">
        <v>712</v>
      </c>
      <c r="AL76" t="s">
        <v>737</v>
      </c>
    </row>
    <row r="77" spans="2:38" x14ac:dyDescent="0.75">
      <c r="B77" s="26"/>
      <c r="C77" s="27" t="s">
        <v>713</v>
      </c>
      <c r="D77" s="46" t="s">
        <v>713</v>
      </c>
      <c r="F77" s="27"/>
      <c r="G77" s="27"/>
      <c r="H77" s="46" t="s">
        <v>738</v>
      </c>
      <c r="J77" s="27"/>
      <c r="K77" s="27"/>
      <c r="L77" s="46"/>
      <c r="M77" s="27"/>
      <c r="N77" s="27"/>
      <c r="O77" s="27"/>
      <c r="P77" s="46"/>
      <c r="Q77" s="27"/>
      <c r="R77" s="27"/>
      <c r="S77" s="27"/>
      <c r="T77" s="27"/>
      <c r="U77" s="27"/>
      <c r="V77" s="46"/>
      <c r="W77" s="27"/>
      <c r="X77" s="27"/>
      <c r="Y77" s="27"/>
      <c r="Z77" s="46"/>
      <c r="AA77" s="27"/>
      <c r="AB77" s="27"/>
      <c r="AC77" s="27"/>
      <c r="AK77" t="s">
        <v>713</v>
      </c>
      <c r="AL77" t="s">
        <v>738</v>
      </c>
    </row>
    <row r="78" spans="2:38" x14ac:dyDescent="0.75">
      <c r="B78" s="26"/>
      <c r="C78" s="27" t="s">
        <v>714</v>
      </c>
      <c r="D78" s="46" t="s">
        <v>714</v>
      </c>
      <c r="F78" s="27"/>
      <c r="G78" s="27"/>
      <c r="H78" s="46" t="s">
        <v>739</v>
      </c>
      <c r="J78" s="27"/>
      <c r="K78" s="27"/>
      <c r="L78" s="46"/>
      <c r="M78" s="27"/>
      <c r="N78" s="27"/>
      <c r="O78" s="27"/>
      <c r="P78" s="46"/>
      <c r="Q78" s="27"/>
      <c r="R78" s="27"/>
      <c r="S78" s="27"/>
      <c r="T78" s="27"/>
      <c r="U78" s="27"/>
      <c r="V78" s="46"/>
      <c r="W78" s="27"/>
      <c r="X78" s="27"/>
      <c r="Y78" s="27"/>
      <c r="Z78" s="46"/>
      <c r="AA78" s="27"/>
      <c r="AB78" s="27"/>
      <c r="AC78" s="27"/>
      <c r="AK78" t="s">
        <v>714</v>
      </c>
      <c r="AL78" t="s">
        <v>739</v>
      </c>
    </row>
    <row r="79" spans="2:38" x14ac:dyDescent="0.75">
      <c r="B79" s="26"/>
      <c r="C79" s="27" t="s">
        <v>715</v>
      </c>
      <c r="D79" s="46" t="s">
        <v>715</v>
      </c>
      <c r="F79" s="27"/>
      <c r="G79" s="27"/>
      <c r="H79" s="46" t="s">
        <v>740</v>
      </c>
      <c r="J79" s="27"/>
      <c r="K79" s="27"/>
      <c r="L79" s="46"/>
      <c r="M79" s="27"/>
      <c r="N79" s="27"/>
      <c r="O79" s="27"/>
      <c r="P79" s="46"/>
      <c r="Q79" s="27"/>
      <c r="R79" s="27"/>
      <c r="S79" s="27"/>
      <c r="T79" s="27"/>
      <c r="U79" s="27"/>
      <c r="V79" s="46"/>
      <c r="W79" s="27"/>
      <c r="X79" s="27"/>
      <c r="Y79" s="27"/>
      <c r="Z79" s="46"/>
      <c r="AA79" s="27"/>
      <c r="AB79" s="27"/>
      <c r="AC79" s="27"/>
      <c r="AK79" t="s">
        <v>715</v>
      </c>
      <c r="AL79" t="s">
        <v>740</v>
      </c>
    </row>
    <row r="80" spans="2:38" x14ac:dyDescent="0.75">
      <c r="B80" s="26"/>
      <c r="C80" s="27" t="s">
        <v>716</v>
      </c>
      <c r="D80" s="46" t="s">
        <v>716</v>
      </c>
      <c r="F80" s="27"/>
      <c r="G80" s="27"/>
      <c r="H80" s="46" t="s">
        <v>741</v>
      </c>
      <c r="J80" s="27"/>
      <c r="K80" s="27"/>
      <c r="L80" s="46"/>
      <c r="M80" s="27"/>
      <c r="N80" s="27"/>
      <c r="O80" s="27"/>
      <c r="P80" s="46"/>
      <c r="Q80" s="27"/>
      <c r="R80" s="27"/>
      <c r="S80" s="27"/>
      <c r="T80" s="27"/>
      <c r="U80" s="27"/>
      <c r="V80" s="46"/>
      <c r="W80" s="27"/>
      <c r="X80" s="27"/>
      <c r="Y80" s="27"/>
      <c r="Z80" s="46"/>
      <c r="AA80" s="27"/>
      <c r="AB80" s="27"/>
      <c r="AC80" s="27"/>
      <c r="AK80" t="s">
        <v>716</v>
      </c>
      <c r="AL80" t="s">
        <v>741</v>
      </c>
    </row>
    <row r="81" spans="2:38" x14ac:dyDescent="0.75">
      <c r="B81" s="26"/>
      <c r="C81" s="27" t="s">
        <v>316</v>
      </c>
      <c r="D81" s="46" t="s">
        <v>316</v>
      </c>
      <c r="F81" s="27"/>
      <c r="G81" s="27"/>
      <c r="H81" s="46" t="s">
        <v>348</v>
      </c>
      <c r="J81" s="27"/>
      <c r="K81" s="27"/>
      <c r="L81" s="46"/>
      <c r="M81" s="27"/>
      <c r="N81" s="27"/>
      <c r="O81" s="27"/>
      <c r="P81" s="46"/>
      <c r="Q81" s="27"/>
      <c r="R81" s="27"/>
      <c r="S81" s="27"/>
      <c r="T81" s="27"/>
      <c r="U81" s="27"/>
      <c r="V81" s="46"/>
      <c r="W81" s="27"/>
      <c r="X81" s="27"/>
      <c r="Y81" s="27"/>
      <c r="Z81" s="46"/>
      <c r="AA81" s="27"/>
      <c r="AB81" s="27"/>
      <c r="AC81" s="27"/>
      <c r="AK81" t="s">
        <v>316</v>
      </c>
      <c r="AL81" t="s">
        <v>348</v>
      </c>
    </row>
    <row r="82" spans="2:38" x14ac:dyDescent="0.75">
      <c r="B82" s="26"/>
      <c r="C82" s="27" t="s">
        <v>717</v>
      </c>
      <c r="D82" s="46" t="s">
        <v>717</v>
      </c>
      <c r="F82" s="27"/>
      <c r="G82" s="27"/>
      <c r="H82" s="46" t="s">
        <v>742</v>
      </c>
      <c r="J82" s="27"/>
      <c r="K82" s="27"/>
      <c r="L82" s="46"/>
      <c r="M82" s="27"/>
      <c r="N82" s="27"/>
      <c r="O82" s="27"/>
      <c r="P82" s="46"/>
      <c r="Q82" s="27"/>
      <c r="R82" s="27"/>
      <c r="S82" s="27"/>
      <c r="T82" s="27"/>
      <c r="U82" s="27"/>
      <c r="V82" s="46"/>
      <c r="W82" s="27"/>
      <c r="X82" s="27"/>
      <c r="Y82" s="27"/>
      <c r="Z82" s="46"/>
      <c r="AA82" s="27"/>
      <c r="AB82" s="27"/>
      <c r="AC82" s="27"/>
      <c r="AK82" t="s">
        <v>717</v>
      </c>
      <c r="AL82" t="s">
        <v>742</v>
      </c>
    </row>
    <row r="83" spans="2:38" x14ac:dyDescent="0.75">
      <c r="B83" s="26"/>
      <c r="C83" s="27" t="s">
        <v>318</v>
      </c>
      <c r="D83" s="46" t="s">
        <v>318</v>
      </c>
      <c r="F83" s="27"/>
      <c r="G83" s="27"/>
      <c r="H83" s="46" t="s">
        <v>349</v>
      </c>
      <c r="J83" s="27"/>
      <c r="K83" s="27"/>
      <c r="L83" s="46"/>
      <c r="M83" s="27"/>
      <c r="N83" s="27"/>
      <c r="O83" s="27"/>
      <c r="P83" s="46"/>
      <c r="Q83" s="27"/>
      <c r="R83" s="27"/>
      <c r="S83" s="27"/>
      <c r="T83" s="27"/>
      <c r="U83" s="27"/>
      <c r="V83" s="46"/>
      <c r="W83" s="27"/>
      <c r="X83" s="27"/>
      <c r="Y83" s="27"/>
      <c r="Z83" s="46"/>
      <c r="AA83" s="27"/>
      <c r="AB83" s="27"/>
      <c r="AC83" s="27"/>
      <c r="AK83" t="s">
        <v>318</v>
      </c>
      <c r="AL83" t="s">
        <v>349</v>
      </c>
    </row>
    <row r="84" spans="2:38" x14ac:dyDescent="0.75">
      <c r="B84" s="26"/>
      <c r="C84" s="27" t="s">
        <v>319</v>
      </c>
      <c r="D84" s="46" t="s">
        <v>319</v>
      </c>
      <c r="F84" s="27"/>
      <c r="G84" s="27"/>
      <c r="H84" s="46" t="s">
        <v>350</v>
      </c>
      <c r="J84" s="27"/>
      <c r="K84" s="27"/>
      <c r="L84" s="46"/>
      <c r="M84" s="27"/>
      <c r="N84" s="27"/>
      <c r="O84" s="27"/>
      <c r="P84" s="46"/>
      <c r="Q84" s="27"/>
      <c r="R84" s="27"/>
      <c r="S84" s="27"/>
      <c r="T84" s="27"/>
      <c r="U84" s="27"/>
      <c r="V84" s="46"/>
      <c r="W84" s="27"/>
      <c r="X84" s="27"/>
      <c r="Y84" s="27"/>
      <c r="Z84" s="46"/>
      <c r="AA84" s="27"/>
      <c r="AB84" s="27"/>
      <c r="AC84" s="27"/>
      <c r="AK84" t="s">
        <v>319</v>
      </c>
      <c r="AL84" t="s">
        <v>350</v>
      </c>
    </row>
    <row r="85" spans="2:38" x14ac:dyDescent="0.75">
      <c r="B85" s="26"/>
      <c r="C85" s="27" t="s">
        <v>320</v>
      </c>
      <c r="D85" s="46" t="s">
        <v>320</v>
      </c>
      <c r="F85" s="27"/>
      <c r="G85" s="27"/>
      <c r="H85" s="46" t="s">
        <v>351</v>
      </c>
      <c r="J85" s="27"/>
      <c r="K85" s="27"/>
      <c r="L85" s="46"/>
      <c r="M85" s="27"/>
      <c r="N85" s="27"/>
      <c r="O85" s="27"/>
      <c r="P85" s="46"/>
      <c r="Q85" s="27"/>
      <c r="R85" s="27"/>
      <c r="S85" s="27"/>
      <c r="T85" s="27"/>
      <c r="U85" s="27"/>
      <c r="V85" s="46"/>
      <c r="W85" s="27"/>
      <c r="X85" s="27"/>
      <c r="Y85" s="27"/>
      <c r="Z85" s="46"/>
      <c r="AA85" s="27"/>
      <c r="AB85" s="27"/>
      <c r="AC85" s="27"/>
      <c r="AK85" t="s">
        <v>320</v>
      </c>
      <c r="AL85" t="s">
        <v>351</v>
      </c>
    </row>
    <row r="86" spans="2:38" x14ac:dyDescent="0.75">
      <c r="B86" s="26"/>
      <c r="C86" s="27" t="s">
        <v>718</v>
      </c>
      <c r="D86" s="46" t="s">
        <v>718</v>
      </c>
      <c r="F86" s="27"/>
      <c r="G86" s="27"/>
      <c r="H86" s="46" t="s">
        <v>743</v>
      </c>
      <c r="J86" s="27"/>
      <c r="K86" s="27"/>
      <c r="L86" s="46"/>
      <c r="M86" s="27"/>
      <c r="N86" s="27"/>
      <c r="O86" s="27"/>
      <c r="P86" s="46"/>
      <c r="Q86" s="27"/>
      <c r="R86" s="27"/>
      <c r="S86" s="27"/>
      <c r="T86" s="27"/>
      <c r="U86" s="27"/>
      <c r="V86" s="46"/>
      <c r="W86" s="27"/>
      <c r="X86" s="27"/>
      <c r="Y86" s="27"/>
      <c r="Z86" s="46"/>
      <c r="AA86" s="27"/>
      <c r="AB86" s="27"/>
      <c r="AC86" s="27"/>
      <c r="AK86" t="s">
        <v>718</v>
      </c>
      <c r="AL86" t="s">
        <v>743</v>
      </c>
    </row>
    <row r="87" spans="2:38" x14ac:dyDescent="0.75">
      <c r="B87" s="26"/>
      <c r="C87" s="27" t="s">
        <v>719</v>
      </c>
      <c r="D87" s="46" t="s">
        <v>719</v>
      </c>
      <c r="F87" s="27"/>
      <c r="G87" s="27"/>
      <c r="H87" s="46" t="s">
        <v>744</v>
      </c>
      <c r="J87" s="27"/>
      <c r="K87" s="27"/>
      <c r="L87" s="46"/>
      <c r="M87" s="27"/>
      <c r="N87" s="27"/>
      <c r="O87" s="27"/>
      <c r="P87" s="46"/>
      <c r="Q87" s="27"/>
      <c r="R87" s="27"/>
      <c r="S87" s="27"/>
      <c r="T87" s="27"/>
      <c r="U87" s="27"/>
      <c r="V87" s="46"/>
      <c r="W87" s="27"/>
      <c r="X87" s="27"/>
      <c r="Y87" s="27"/>
      <c r="Z87" s="46"/>
      <c r="AA87" s="27"/>
      <c r="AB87" s="27"/>
      <c r="AC87" s="27"/>
      <c r="AK87" t="s">
        <v>719</v>
      </c>
      <c r="AL87" t="s">
        <v>744</v>
      </c>
    </row>
    <row r="88" spans="2:38" x14ac:dyDescent="0.75">
      <c r="B88" s="26"/>
      <c r="C88" s="27" t="s">
        <v>720</v>
      </c>
      <c r="D88" s="46" t="s">
        <v>720</v>
      </c>
      <c r="F88" s="27"/>
      <c r="G88" s="27"/>
      <c r="H88" s="46" t="s">
        <v>745</v>
      </c>
      <c r="J88" s="27"/>
      <c r="K88" s="27"/>
      <c r="L88" s="46"/>
      <c r="M88" s="27"/>
      <c r="N88" s="27"/>
      <c r="O88" s="27"/>
      <c r="P88" s="46"/>
      <c r="Q88" s="27"/>
      <c r="R88" s="27"/>
      <c r="S88" s="27"/>
      <c r="T88" s="27"/>
      <c r="U88" s="27"/>
      <c r="V88" s="46"/>
      <c r="W88" s="27"/>
      <c r="X88" s="27"/>
      <c r="Y88" s="27"/>
      <c r="Z88" s="46"/>
      <c r="AA88" s="27"/>
      <c r="AB88" s="27"/>
      <c r="AC88" s="27"/>
      <c r="AK88" t="s">
        <v>720</v>
      </c>
      <c r="AL88" t="s">
        <v>745</v>
      </c>
    </row>
    <row r="89" spans="2:38" x14ac:dyDescent="0.75">
      <c r="B89" s="26"/>
      <c r="C89" s="27" t="s">
        <v>321</v>
      </c>
      <c r="D89" s="46" t="s">
        <v>321</v>
      </c>
      <c r="F89" s="27"/>
      <c r="G89" s="27"/>
      <c r="H89" s="46" t="s">
        <v>352</v>
      </c>
      <c r="J89" s="27"/>
      <c r="K89" s="27"/>
      <c r="L89" s="46"/>
      <c r="M89" s="27"/>
      <c r="N89" s="27"/>
      <c r="O89" s="27"/>
      <c r="P89" s="46"/>
      <c r="Q89" s="27"/>
      <c r="R89" s="27"/>
      <c r="S89" s="27"/>
      <c r="T89" s="27"/>
      <c r="U89" s="27"/>
      <c r="V89" s="46"/>
      <c r="W89" s="27"/>
      <c r="X89" s="27"/>
      <c r="Y89" s="27"/>
      <c r="Z89" s="46"/>
      <c r="AA89" s="27"/>
      <c r="AB89" s="27"/>
      <c r="AC89" s="27"/>
      <c r="AK89" t="s">
        <v>321</v>
      </c>
      <c r="AL89" t="s">
        <v>352</v>
      </c>
    </row>
    <row r="90" spans="2:38" x14ac:dyDescent="0.75">
      <c r="B90" s="26"/>
      <c r="C90" s="27" t="s">
        <v>721</v>
      </c>
      <c r="D90" s="46" t="s">
        <v>721</v>
      </c>
      <c r="F90" s="27"/>
      <c r="G90" s="27"/>
      <c r="H90" s="46" t="s">
        <v>746</v>
      </c>
      <c r="J90" s="27"/>
      <c r="K90" s="27"/>
      <c r="L90" s="46"/>
      <c r="M90" s="27"/>
      <c r="N90" s="27"/>
      <c r="O90" s="27"/>
      <c r="P90" s="46"/>
      <c r="Q90" s="27"/>
      <c r="R90" s="27"/>
      <c r="S90" s="27"/>
      <c r="T90" s="27"/>
      <c r="U90" s="27"/>
      <c r="V90" s="46"/>
      <c r="W90" s="27"/>
      <c r="X90" s="27"/>
      <c r="Y90" s="27"/>
      <c r="Z90" s="46"/>
      <c r="AA90" s="27"/>
      <c r="AB90" s="27"/>
      <c r="AC90" s="27"/>
      <c r="AK90" t="s">
        <v>721</v>
      </c>
      <c r="AL90" t="s">
        <v>746</v>
      </c>
    </row>
    <row r="91" spans="2:38" x14ac:dyDescent="0.75">
      <c r="B91" s="26"/>
      <c r="C91" s="27" t="s">
        <v>766</v>
      </c>
      <c r="D91" s="27" t="s">
        <v>766</v>
      </c>
      <c r="F91" s="27"/>
      <c r="G91" s="27"/>
      <c r="H91" s="46" t="s">
        <v>747</v>
      </c>
      <c r="J91" s="27"/>
      <c r="K91" s="27"/>
      <c r="L91" s="46"/>
      <c r="M91" s="27"/>
      <c r="N91" s="27"/>
      <c r="O91" s="27"/>
      <c r="P91" s="46"/>
      <c r="Q91" s="27"/>
      <c r="R91" s="27"/>
      <c r="S91" s="27"/>
      <c r="T91" s="27"/>
      <c r="U91" s="27"/>
      <c r="V91" s="46"/>
      <c r="W91" s="27"/>
      <c r="X91" s="27"/>
      <c r="Y91" s="27"/>
      <c r="Z91" s="46"/>
      <c r="AA91" s="27"/>
      <c r="AB91" s="27"/>
      <c r="AC91" s="27"/>
      <c r="AK91" s="27" t="s">
        <v>766</v>
      </c>
      <c r="AL91" s="27" t="s">
        <v>747</v>
      </c>
    </row>
    <row r="92" spans="2:38" x14ac:dyDescent="0.75">
      <c r="B92" s="26"/>
      <c r="C92" s="27" t="s">
        <v>500</v>
      </c>
      <c r="D92" s="46"/>
      <c r="F92" s="27"/>
      <c r="G92" s="27"/>
      <c r="H92" s="46"/>
      <c r="J92" s="27"/>
      <c r="K92" s="27"/>
      <c r="L92" s="46"/>
      <c r="M92" s="27"/>
      <c r="N92" s="27"/>
      <c r="O92" s="27"/>
      <c r="P92" s="46"/>
      <c r="Q92" s="27"/>
      <c r="R92" s="27"/>
      <c r="S92" s="27"/>
      <c r="T92" s="27"/>
      <c r="U92" s="27"/>
      <c r="V92" s="46"/>
      <c r="W92" s="27"/>
      <c r="X92" s="27"/>
      <c r="Y92" s="27"/>
      <c r="Z92" s="46"/>
      <c r="AA92" s="27"/>
      <c r="AB92" s="27"/>
      <c r="AC92" s="27"/>
    </row>
    <row r="93" spans="2:38" x14ac:dyDescent="0.75">
      <c r="B93" s="26"/>
      <c r="C93" s="27" t="s">
        <v>322</v>
      </c>
      <c r="D93" s="46"/>
      <c r="F93" s="27"/>
      <c r="G93" s="27"/>
      <c r="H93" s="46"/>
      <c r="J93" s="27"/>
      <c r="K93" s="27"/>
      <c r="L93" s="46"/>
      <c r="M93" s="27"/>
      <c r="N93" s="27"/>
      <c r="O93" s="27"/>
      <c r="P93" s="46"/>
      <c r="Q93" s="27"/>
      <c r="R93" s="27"/>
      <c r="S93" s="27"/>
      <c r="T93" s="27"/>
      <c r="U93" s="27"/>
      <c r="V93" s="46"/>
      <c r="W93" s="27"/>
      <c r="X93" s="27"/>
      <c r="Y93" s="27"/>
      <c r="Z93" s="46"/>
      <c r="AA93" s="27"/>
      <c r="AB93" s="27"/>
      <c r="AC93" s="27"/>
    </row>
    <row r="94" spans="2:38" x14ac:dyDescent="0.75">
      <c r="B94" s="26"/>
      <c r="C94" s="27" t="s">
        <v>501</v>
      </c>
      <c r="D94" s="46"/>
      <c r="F94" s="27"/>
      <c r="G94" s="27"/>
      <c r="H94" s="46"/>
      <c r="J94" s="27"/>
      <c r="K94" s="27"/>
      <c r="L94" s="46"/>
      <c r="M94" s="27"/>
      <c r="N94" s="27"/>
      <c r="O94" s="27"/>
      <c r="P94" s="46"/>
      <c r="Q94" s="27"/>
      <c r="R94" s="27"/>
      <c r="S94" s="27"/>
      <c r="T94" s="27"/>
      <c r="U94" s="27"/>
      <c r="V94" s="46"/>
      <c r="W94" s="27"/>
      <c r="X94" s="27"/>
      <c r="Y94" s="27"/>
      <c r="Z94" s="46"/>
      <c r="AA94" s="27"/>
      <c r="AB94" s="27"/>
      <c r="AC94" s="27"/>
    </row>
    <row r="95" spans="2:38" x14ac:dyDescent="0.75">
      <c r="B95" s="26"/>
      <c r="C95" t="s">
        <v>722</v>
      </c>
      <c r="D95" s="46"/>
      <c r="F95" s="27"/>
      <c r="G95" s="27"/>
      <c r="H95" s="46"/>
      <c r="J95" s="27"/>
      <c r="K95" s="27"/>
      <c r="L95" s="46"/>
      <c r="M95" s="27"/>
      <c r="N95" s="27"/>
      <c r="O95" s="27"/>
      <c r="P95" s="46"/>
      <c r="Q95" s="27"/>
      <c r="R95" s="27"/>
      <c r="S95" s="27"/>
      <c r="T95" s="27"/>
      <c r="U95" s="27"/>
      <c r="V95" s="46"/>
      <c r="W95" s="27"/>
      <c r="X95" s="27"/>
      <c r="Y95" s="27"/>
      <c r="Z95" s="46"/>
      <c r="AA95" s="27"/>
      <c r="AB95" s="27"/>
      <c r="AC95" s="27"/>
    </row>
    <row r="96" spans="2:38" x14ac:dyDescent="0.75">
      <c r="B96" s="26"/>
      <c r="C96" t="s">
        <v>356</v>
      </c>
      <c r="D96" s="46"/>
      <c r="F96" s="27"/>
      <c r="G96" s="27"/>
      <c r="H96" s="46"/>
      <c r="J96" s="27"/>
      <c r="K96" s="27"/>
      <c r="L96" s="46"/>
      <c r="M96" s="27"/>
      <c r="N96" s="27"/>
      <c r="O96" s="27"/>
      <c r="P96" s="46"/>
      <c r="Q96" s="27"/>
      <c r="R96" s="27"/>
      <c r="S96" s="27"/>
      <c r="T96" s="27"/>
      <c r="U96" s="27"/>
      <c r="V96" s="46"/>
      <c r="W96" s="27"/>
      <c r="X96" s="27"/>
      <c r="Y96" s="27"/>
      <c r="Z96" s="46"/>
      <c r="AA96" s="27"/>
      <c r="AB96" s="27"/>
      <c r="AC96" s="27"/>
    </row>
    <row r="97" spans="2:29" x14ac:dyDescent="0.75">
      <c r="B97" s="26"/>
      <c r="C97" t="s">
        <v>503</v>
      </c>
      <c r="D97" s="46"/>
      <c r="F97" s="27"/>
      <c r="G97" s="27"/>
      <c r="H97" s="46"/>
      <c r="J97" s="27"/>
      <c r="K97" s="27"/>
      <c r="L97" s="46"/>
      <c r="M97" s="27"/>
      <c r="N97" s="27"/>
      <c r="O97" s="27"/>
      <c r="P97" s="46"/>
      <c r="Q97" s="27"/>
      <c r="R97" s="27"/>
      <c r="S97" s="27"/>
      <c r="T97" s="27"/>
      <c r="U97" s="27"/>
      <c r="V97" s="46"/>
      <c r="W97" s="27"/>
      <c r="X97" s="27"/>
      <c r="Y97" s="27"/>
      <c r="Z97" s="46"/>
      <c r="AA97" s="27"/>
      <c r="AB97" s="27"/>
      <c r="AC97" s="27"/>
    </row>
    <row r="98" spans="2:29" x14ac:dyDescent="0.75">
      <c r="B98" s="26"/>
      <c r="C98" t="s">
        <v>504</v>
      </c>
      <c r="D98" s="46"/>
      <c r="F98" s="27"/>
      <c r="G98" s="27"/>
      <c r="H98" s="46"/>
      <c r="J98" s="27"/>
      <c r="K98" s="27"/>
      <c r="L98" s="46"/>
      <c r="M98" s="27"/>
      <c r="N98" s="27"/>
      <c r="O98" s="27"/>
      <c r="P98" s="46"/>
      <c r="Q98" s="27"/>
      <c r="R98" s="27"/>
      <c r="S98" s="27"/>
      <c r="T98" s="27"/>
      <c r="U98" s="27"/>
      <c r="V98" s="46"/>
      <c r="W98" s="27"/>
      <c r="X98" s="27"/>
      <c r="Y98" s="27"/>
      <c r="Z98" s="46"/>
      <c r="AA98" s="27"/>
      <c r="AB98" s="27"/>
      <c r="AC98" s="27"/>
    </row>
    <row r="99" spans="2:29" x14ac:dyDescent="0.75">
      <c r="B99" s="26"/>
      <c r="C99" t="s">
        <v>558</v>
      </c>
      <c r="D99" s="46"/>
      <c r="F99" s="27"/>
      <c r="G99" s="27"/>
      <c r="H99" s="46"/>
      <c r="J99" s="27"/>
      <c r="K99" s="27"/>
      <c r="L99" s="46"/>
      <c r="M99" s="27"/>
      <c r="N99" s="27"/>
      <c r="O99" s="27"/>
      <c r="P99" s="46"/>
      <c r="Q99" s="27"/>
      <c r="R99" s="27"/>
      <c r="S99" s="27"/>
      <c r="T99" s="27"/>
      <c r="U99" s="27"/>
      <c r="V99" s="46"/>
      <c r="W99" s="27"/>
      <c r="X99" s="27"/>
      <c r="Y99" s="27"/>
      <c r="Z99" s="46"/>
      <c r="AA99" s="27"/>
      <c r="AB99" s="27"/>
      <c r="AC99" s="27"/>
    </row>
    <row r="100" spans="2:29" x14ac:dyDescent="0.75">
      <c r="B100" s="26"/>
      <c r="C100" t="s">
        <v>324</v>
      </c>
      <c r="D100" s="46"/>
      <c r="F100" s="27"/>
      <c r="G100" s="27"/>
      <c r="H100" s="46"/>
      <c r="J100" s="27"/>
      <c r="K100" s="27"/>
      <c r="L100" s="46"/>
      <c r="M100" s="27"/>
      <c r="N100" s="27"/>
      <c r="O100" s="27"/>
      <c r="P100" s="46"/>
      <c r="Q100" s="27"/>
      <c r="R100" s="27"/>
      <c r="S100" s="27"/>
      <c r="T100" s="27"/>
      <c r="U100" s="27"/>
      <c r="V100" s="46"/>
      <c r="W100" s="27"/>
      <c r="X100" s="27"/>
      <c r="Y100" s="27"/>
      <c r="Z100" s="46"/>
      <c r="AA100" s="27"/>
      <c r="AB100" s="27"/>
      <c r="AC100" s="27"/>
    </row>
    <row r="101" spans="2:29" x14ac:dyDescent="0.75">
      <c r="B101" s="26"/>
      <c r="C101" t="s">
        <v>723</v>
      </c>
      <c r="D101" s="46"/>
      <c r="F101" s="27"/>
      <c r="G101" s="27"/>
      <c r="H101" s="46"/>
      <c r="J101" s="27"/>
      <c r="K101" s="27"/>
      <c r="L101" s="46"/>
      <c r="M101" s="27"/>
      <c r="N101" s="27"/>
      <c r="O101" s="27"/>
      <c r="P101" s="46"/>
      <c r="Q101" s="27"/>
      <c r="R101" s="27"/>
      <c r="S101" s="27"/>
      <c r="T101" s="27"/>
      <c r="U101" s="27"/>
      <c r="V101" s="46"/>
      <c r="W101" s="27"/>
      <c r="X101" s="27"/>
      <c r="Y101" s="27"/>
      <c r="Z101" s="46"/>
      <c r="AA101" s="27"/>
      <c r="AB101" s="27"/>
      <c r="AC101" s="27"/>
    </row>
    <row r="102" spans="2:29" x14ac:dyDescent="0.75">
      <c r="B102" s="26"/>
      <c r="C102" t="s">
        <v>724</v>
      </c>
      <c r="D102" s="46"/>
      <c r="F102" s="27"/>
      <c r="G102" s="27"/>
      <c r="H102" s="46"/>
      <c r="I102" s="27"/>
      <c r="J102" s="27"/>
      <c r="K102" s="27"/>
      <c r="L102" s="46"/>
      <c r="M102" s="27"/>
      <c r="N102" s="27"/>
      <c r="O102" s="27"/>
      <c r="P102" s="46"/>
      <c r="Q102" s="27"/>
      <c r="R102" s="27"/>
      <c r="S102" s="27"/>
      <c r="T102" s="27"/>
      <c r="U102" s="27"/>
      <c r="V102" s="46"/>
      <c r="W102" s="27"/>
      <c r="X102" s="27"/>
      <c r="Y102" s="27"/>
      <c r="Z102" s="46"/>
      <c r="AA102" s="27"/>
      <c r="AB102" s="27"/>
      <c r="AC102" s="27"/>
    </row>
    <row r="103" spans="2:29" x14ac:dyDescent="0.75">
      <c r="B103" s="26"/>
      <c r="C103" t="s">
        <v>57</v>
      </c>
      <c r="D103" s="46"/>
      <c r="E103" s="27"/>
      <c r="F103" s="27"/>
      <c r="G103" s="27"/>
      <c r="H103" s="46"/>
      <c r="I103" s="27"/>
      <c r="J103" s="27"/>
      <c r="K103" s="27"/>
      <c r="L103" s="46"/>
      <c r="M103" s="27"/>
      <c r="N103" s="27"/>
      <c r="O103" s="27"/>
      <c r="P103" s="46"/>
      <c r="Q103" s="27"/>
      <c r="R103" s="27"/>
      <c r="S103" s="27"/>
      <c r="T103" s="27"/>
      <c r="U103" s="27"/>
      <c r="V103" s="46"/>
      <c r="W103" s="27"/>
      <c r="X103" s="27"/>
      <c r="Y103" s="27"/>
      <c r="Z103" s="46"/>
      <c r="AA103" s="27"/>
      <c r="AB103" s="27"/>
      <c r="AC103" s="27"/>
    </row>
    <row r="104" spans="2:29" x14ac:dyDescent="0.75">
      <c r="B104" s="26"/>
      <c r="C104" t="s">
        <v>725</v>
      </c>
      <c r="D104" s="46"/>
      <c r="E104" s="27"/>
      <c r="F104" s="27"/>
      <c r="G104" s="27"/>
      <c r="H104" s="46"/>
      <c r="I104" s="27"/>
      <c r="J104" s="27"/>
      <c r="K104" s="27"/>
      <c r="L104" s="46"/>
      <c r="M104" s="27"/>
      <c r="N104" s="27"/>
      <c r="O104" s="27"/>
      <c r="P104" s="46"/>
      <c r="Q104" s="27"/>
      <c r="R104" s="27"/>
      <c r="S104" s="27"/>
      <c r="T104" s="27"/>
      <c r="U104" s="27"/>
      <c r="V104" s="46"/>
      <c r="W104" s="27"/>
      <c r="X104" s="27"/>
      <c r="Y104" s="27"/>
      <c r="Z104" s="46"/>
      <c r="AA104" s="27"/>
      <c r="AB104" s="27"/>
      <c r="AC104" s="27"/>
    </row>
    <row r="105" spans="2:29" x14ac:dyDescent="0.75">
      <c r="B105" s="26"/>
      <c r="C105" t="s">
        <v>726</v>
      </c>
      <c r="D105" s="46"/>
      <c r="E105" s="27"/>
      <c r="F105" s="27"/>
      <c r="G105" s="27"/>
      <c r="H105" s="46"/>
      <c r="I105" s="27"/>
      <c r="J105" s="27"/>
      <c r="K105" s="27"/>
      <c r="L105" s="46"/>
      <c r="M105" s="27"/>
      <c r="N105" s="27"/>
      <c r="O105" s="27"/>
      <c r="P105" s="46"/>
      <c r="Q105" s="27"/>
      <c r="R105" s="27"/>
      <c r="S105" s="27"/>
      <c r="T105" s="27"/>
      <c r="U105" s="27"/>
      <c r="V105" s="46"/>
      <c r="W105" s="27"/>
      <c r="X105" s="27"/>
      <c r="Y105" s="27"/>
      <c r="Z105" s="46"/>
      <c r="AA105" s="27"/>
      <c r="AB105" s="27"/>
      <c r="AC105" s="27"/>
    </row>
    <row r="106" spans="2:29" x14ac:dyDescent="0.75">
      <c r="B106" s="26"/>
      <c r="C106" t="s">
        <v>727</v>
      </c>
      <c r="D106" s="46"/>
      <c r="E106" s="27"/>
      <c r="F106" s="27"/>
      <c r="G106" s="27"/>
      <c r="H106" s="46"/>
      <c r="I106" s="27"/>
      <c r="J106" s="27"/>
      <c r="K106" s="27"/>
      <c r="L106" s="46"/>
      <c r="M106" s="27"/>
      <c r="N106" s="27"/>
      <c r="O106" s="27"/>
      <c r="P106" s="46"/>
      <c r="Q106" s="27"/>
      <c r="R106" s="27"/>
      <c r="S106" s="27"/>
      <c r="T106" s="27"/>
      <c r="U106" s="27"/>
      <c r="V106" s="46"/>
      <c r="W106" s="27"/>
      <c r="X106" s="27"/>
      <c r="Y106" s="27"/>
      <c r="Z106" s="46"/>
      <c r="AA106" s="27"/>
      <c r="AB106" s="27"/>
      <c r="AC106" s="27"/>
    </row>
    <row r="107" spans="2:29" x14ac:dyDescent="0.75">
      <c r="B107" s="26"/>
      <c r="C107" t="s">
        <v>327</v>
      </c>
      <c r="D107" s="46"/>
      <c r="E107" s="27"/>
      <c r="F107" s="27"/>
      <c r="G107" s="27"/>
      <c r="H107" s="46"/>
      <c r="I107" s="27"/>
      <c r="J107" s="27"/>
      <c r="K107" s="27"/>
      <c r="L107" s="46"/>
      <c r="M107" s="27"/>
      <c r="N107" s="27"/>
      <c r="O107" s="27"/>
      <c r="P107" s="46"/>
      <c r="Q107" s="27"/>
      <c r="R107" s="27"/>
      <c r="S107" s="27"/>
      <c r="T107" s="27"/>
      <c r="U107" s="27"/>
      <c r="V107" s="46"/>
      <c r="W107" s="27"/>
      <c r="X107" s="27"/>
      <c r="Y107" s="27"/>
      <c r="Z107" s="46"/>
      <c r="AA107" s="27"/>
      <c r="AB107" s="27"/>
      <c r="AC107" s="27"/>
    </row>
    <row r="108" spans="2:29" x14ac:dyDescent="0.75">
      <c r="B108" s="26"/>
      <c r="C108" t="s">
        <v>502</v>
      </c>
      <c r="D108" s="46"/>
      <c r="E108" s="27"/>
      <c r="F108" s="27"/>
      <c r="G108" s="27"/>
      <c r="H108" s="46"/>
      <c r="I108" s="27"/>
      <c r="J108" s="27"/>
      <c r="K108" s="27"/>
      <c r="L108" s="46"/>
      <c r="M108" s="27"/>
      <c r="N108" s="27"/>
      <c r="O108" s="27"/>
      <c r="P108" s="46"/>
      <c r="Q108" s="27"/>
      <c r="R108" s="27"/>
      <c r="S108" s="27"/>
      <c r="T108" s="27"/>
      <c r="U108" s="27"/>
      <c r="V108" s="46"/>
      <c r="W108" s="27"/>
      <c r="X108" s="27"/>
      <c r="Y108" s="27"/>
      <c r="Z108" s="46"/>
      <c r="AA108" s="27"/>
      <c r="AB108" s="27"/>
      <c r="AC108" s="27"/>
    </row>
    <row r="109" spans="2:29" x14ac:dyDescent="0.75">
      <c r="B109" s="26"/>
      <c r="C109" t="s">
        <v>728</v>
      </c>
      <c r="D109" s="46"/>
      <c r="E109" s="27"/>
      <c r="F109" s="27"/>
      <c r="G109" s="27"/>
      <c r="H109" s="46"/>
      <c r="I109" s="27"/>
      <c r="J109" s="27"/>
      <c r="K109" s="27"/>
      <c r="L109" s="46"/>
      <c r="M109" s="27"/>
      <c r="N109" s="27"/>
      <c r="O109" s="27"/>
      <c r="P109" s="46"/>
      <c r="Q109" s="27"/>
      <c r="R109" s="27"/>
      <c r="S109" s="27"/>
      <c r="T109" s="27"/>
      <c r="U109" s="27"/>
      <c r="V109" s="46"/>
      <c r="W109" s="27"/>
      <c r="X109" s="27"/>
      <c r="Y109" s="27"/>
      <c r="Z109" s="46"/>
      <c r="AA109" s="27"/>
      <c r="AB109" s="27"/>
      <c r="AC109" s="27"/>
    </row>
    <row r="110" spans="2:29" x14ac:dyDescent="0.75">
      <c r="B110" s="26"/>
      <c r="C110" t="s">
        <v>323</v>
      </c>
      <c r="D110" s="46"/>
      <c r="E110" s="27"/>
      <c r="F110" s="27"/>
      <c r="G110" s="27"/>
      <c r="H110" s="46"/>
      <c r="I110" s="27"/>
      <c r="J110" s="27"/>
      <c r="K110" s="27"/>
      <c r="L110" s="46"/>
      <c r="M110" s="27"/>
      <c r="N110" s="27"/>
      <c r="O110" s="27"/>
      <c r="P110" s="46"/>
      <c r="Q110" s="27"/>
      <c r="R110" s="27"/>
      <c r="S110" s="27"/>
      <c r="T110" s="27"/>
      <c r="U110" s="27"/>
      <c r="V110" s="46"/>
      <c r="W110" s="27"/>
      <c r="X110" s="27"/>
      <c r="Y110" s="27"/>
      <c r="Z110" s="46"/>
      <c r="AA110" s="27"/>
      <c r="AB110" s="27"/>
      <c r="AC110" s="27"/>
    </row>
    <row r="111" spans="2:29" x14ac:dyDescent="0.75">
      <c r="B111" s="26"/>
      <c r="C111" t="s">
        <v>328</v>
      </c>
      <c r="D111" s="46"/>
      <c r="E111" s="27"/>
      <c r="F111" s="27"/>
      <c r="G111" s="27"/>
      <c r="H111" s="46"/>
      <c r="I111" s="27"/>
      <c r="J111" s="27"/>
      <c r="K111" s="27"/>
      <c r="L111" s="46"/>
      <c r="M111" s="27"/>
      <c r="N111" s="27"/>
      <c r="O111" s="27"/>
      <c r="P111" s="46"/>
      <c r="Q111" s="27"/>
      <c r="R111" s="27"/>
      <c r="S111" s="27"/>
      <c r="T111" s="27"/>
      <c r="U111" s="27"/>
      <c r="V111" s="46"/>
      <c r="W111" s="27"/>
      <c r="X111" s="27"/>
      <c r="Y111" s="27"/>
      <c r="Z111" s="46"/>
      <c r="AA111" s="27"/>
      <c r="AB111" s="27"/>
      <c r="AC111" s="27"/>
    </row>
    <row r="112" spans="2:29" x14ac:dyDescent="0.75">
      <c r="B112" s="26"/>
      <c r="C112" t="s">
        <v>507</v>
      </c>
      <c r="D112" s="46"/>
      <c r="E112" s="27"/>
      <c r="F112" s="27"/>
      <c r="G112" s="27"/>
      <c r="H112" s="46"/>
      <c r="I112" s="27"/>
      <c r="J112" s="27"/>
      <c r="K112" s="27"/>
      <c r="L112" s="46"/>
      <c r="M112" s="27"/>
      <c r="N112" s="27"/>
      <c r="O112" s="27"/>
      <c r="P112" s="46"/>
      <c r="Q112" s="27"/>
      <c r="R112" s="27"/>
      <c r="S112" s="27"/>
      <c r="T112" s="27"/>
      <c r="U112" s="27"/>
      <c r="V112" s="46"/>
      <c r="W112" s="27"/>
      <c r="X112" s="27"/>
      <c r="Y112" s="27"/>
      <c r="Z112" s="46"/>
      <c r="AA112" s="27"/>
      <c r="AB112" s="27"/>
      <c r="AC112" s="27"/>
    </row>
    <row r="113" spans="2:29" x14ac:dyDescent="0.75">
      <c r="B113" s="26"/>
      <c r="C113" t="s">
        <v>326</v>
      </c>
      <c r="D113" s="46"/>
      <c r="E113" s="27"/>
      <c r="F113" s="27"/>
      <c r="G113" s="27"/>
      <c r="H113" s="46"/>
      <c r="I113" s="27"/>
      <c r="J113" s="27"/>
      <c r="K113" s="27"/>
      <c r="L113" s="46"/>
      <c r="M113" s="27"/>
      <c r="N113" s="27"/>
      <c r="O113" s="27"/>
      <c r="P113" s="46"/>
      <c r="Q113" s="27"/>
      <c r="R113" s="27"/>
      <c r="S113" s="27"/>
      <c r="T113" s="27"/>
      <c r="U113" s="27"/>
      <c r="V113" s="46"/>
      <c r="W113" s="27"/>
      <c r="X113" s="27"/>
      <c r="Y113" s="27"/>
      <c r="Z113" s="46"/>
      <c r="AA113" s="27"/>
      <c r="AB113" s="27"/>
      <c r="AC113" s="27"/>
    </row>
    <row r="114" spans="2:29" x14ac:dyDescent="0.75">
      <c r="B114" s="26"/>
      <c r="C114" t="s">
        <v>325</v>
      </c>
      <c r="D114" s="46"/>
      <c r="E114" s="27"/>
      <c r="F114" s="27"/>
      <c r="G114" s="27"/>
      <c r="H114" s="46"/>
      <c r="I114" s="27"/>
      <c r="J114" s="27"/>
      <c r="K114" s="27"/>
      <c r="L114" s="46"/>
      <c r="M114" s="27"/>
      <c r="N114" s="27"/>
      <c r="O114" s="27"/>
      <c r="P114" s="46"/>
      <c r="Q114" s="27"/>
      <c r="R114" s="27"/>
      <c r="S114" s="27"/>
      <c r="T114" s="27"/>
      <c r="U114" s="27"/>
      <c r="V114" s="46"/>
      <c r="W114" s="27"/>
      <c r="X114" s="27"/>
      <c r="Y114" s="27"/>
      <c r="Z114" s="46"/>
      <c r="AA114" s="27"/>
      <c r="AB114" s="27"/>
      <c r="AC114" s="27"/>
    </row>
    <row r="115" spans="2:29" x14ac:dyDescent="0.75">
      <c r="B115" s="26"/>
      <c r="C115" t="s">
        <v>729</v>
      </c>
      <c r="D115" s="46"/>
      <c r="E115" s="27"/>
      <c r="F115" s="27"/>
      <c r="G115" s="27"/>
      <c r="H115" s="46"/>
      <c r="I115" s="27"/>
      <c r="J115" s="27"/>
      <c r="K115" s="27"/>
      <c r="L115" s="46"/>
      <c r="M115" s="27"/>
      <c r="N115" s="27"/>
      <c r="O115" s="27"/>
      <c r="P115" s="46"/>
      <c r="Q115" s="27"/>
      <c r="R115" s="27"/>
      <c r="S115" s="27"/>
      <c r="T115" s="27"/>
      <c r="U115" s="27"/>
      <c r="V115" s="46"/>
      <c r="W115" s="27"/>
      <c r="X115" s="27"/>
      <c r="Y115" s="27"/>
      <c r="Z115" s="46"/>
      <c r="AA115" s="27"/>
      <c r="AB115" s="27"/>
      <c r="AC115" s="27"/>
    </row>
    <row r="116" spans="2:29" x14ac:dyDescent="0.75">
      <c r="B116" s="26"/>
      <c r="C116" t="s">
        <v>329</v>
      </c>
      <c r="D116" s="46"/>
      <c r="E116" s="27"/>
      <c r="F116" s="27"/>
      <c r="G116" s="27"/>
      <c r="H116" s="46"/>
      <c r="I116" s="27"/>
      <c r="J116" s="27"/>
      <c r="K116" s="27"/>
      <c r="L116" s="46"/>
      <c r="M116" s="27"/>
      <c r="N116" s="27"/>
      <c r="O116" s="27"/>
      <c r="P116" s="46"/>
      <c r="Q116" s="27"/>
      <c r="R116" s="27"/>
      <c r="S116" s="27"/>
      <c r="T116" s="27"/>
      <c r="U116" s="27"/>
      <c r="V116" s="46"/>
      <c r="W116" s="27"/>
      <c r="X116" s="27"/>
      <c r="Y116" s="27"/>
      <c r="Z116" s="46"/>
      <c r="AA116" s="27"/>
      <c r="AB116" s="27"/>
      <c r="AC116" s="27"/>
    </row>
    <row r="117" spans="2:29" x14ac:dyDescent="0.75">
      <c r="B117" s="26"/>
      <c r="C117" t="s">
        <v>330</v>
      </c>
      <c r="D117" s="46"/>
      <c r="E117" s="27"/>
      <c r="F117" s="27"/>
      <c r="G117" s="27"/>
      <c r="H117" s="46"/>
      <c r="I117" s="27"/>
      <c r="J117" s="27"/>
      <c r="K117" s="27"/>
      <c r="L117" s="46"/>
      <c r="M117" s="27"/>
      <c r="N117" s="27"/>
      <c r="O117" s="27"/>
      <c r="P117" s="46"/>
      <c r="Q117" s="27"/>
      <c r="R117" s="27"/>
      <c r="S117" s="27"/>
      <c r="T117" s="27"/>
      <c r="U117" s="27"/>
      <c r="V117" s="46"/>
      <c r="W117" s="27"/>
      <c r="X117" s="27"/>
      <c r="Y117" s="27"/>
      <c r="Z117" s="46"/>
      <c r="AA117" s="27"/>
      <c r="AB117" s="27"/>
      <c r="AC117" s="27"/>
    </row>
    <row r="118" spans="2:29" x14ac:dyDescent="0.75">
      <c r="B118" s="26"/>
      <c r="C118" t="s">
        <v>512</v>
      </c>
      <c r="D118" s="46"/>
      <c r="E118" s="27"/>
      <c r="F118" s="27"/>
      <c r="G118" s="27"/>
      <c r="H118" s="46"/>
      <c r="I118" s="27"/>
      <c r="J118" s="27"/>
      <c r="K118" s="27"/>
      <c r="L118" s="46"/>
      <c r="M118" s="27"/>
      <c r="N118" s="27"/>
      <c r="O118" s="27"/>
      <c r="P118" s="46"/>
      <c r="Q118" s="27"/>
      <c r="R118" s="27"/>
      <c r="S118" s="27"/>
      <c r="T118" s="27"/>
      <c r="U118" s="27"/>
      <c r="V118" s="46"/>
      <c r="W118" s="27"/>
      <c r="X118" s="27"/>
      <c r="Y118" s="27"/>
      <c r="Z118" s="46"/>
      <c r="AA118" s="27"/>
      <c r="AB118" s="27"/>
      <c r="AC118" s="27"/>
    </row>
    <row r="119" spans="2:29" x14ac:dyDescent="0.75">
      <c r="B119" s="26"/>
      <c r="C119" t="s">
        <v>331</v>
      </c>
      <c r="D119" s="46"/>
      <c r="F119" s="27"/>
      <c r="G119" s="27"/>
      <c r="H119" s="46"/>
      <c r="I119" s="27"/>
      <c r="J119" s="27"/>
      <c r="K119" s="27"/>
      <c r="L119" s="46"/>
      <c r="M119" s="27"/>
      <c r="N119" s="27"/>
      <c r="O119" s="27"/>
      <c r="P119" s="46"/>
      <c r="Q119" s="27"/>
      <c r="R119" s="27"/>
      <c r="S119" s="27"/>
      <c r="T119" s="27"/>
      <c r="U119" s="27"/>
      <c r="V119" s="46"/>
      <c r="W119" s="27"/>
      <c r="X119" s="27"/>
      <c r="Y119" s="27"/>
      <c r="Z119" s="46"/>
      <c r="AA119" s="27"/>
      <c r="AB119" s="27"/>
      <c r="AC119" s="27"/>
    </row>
    <row r="120" spans="2:29" x14ac:dyDescent="0.75">
      <c r="B120" s="26"/>
      <c r="C120" t="s">
        <v>332</v>
      </c>
      <c r="D120" s="46"/>
      <c r="F120" s="27"/>
      <c r="G120" s="27"/>
      <c r="H120" s="46"/>
      <c r="I120" s="27"/>
      <c r="J120" s="27"/>
      <c r="K120" s="27"/>
      <c r="L120" s="46"/>
      <c r="M120" s="27"/>
      <c r="N120" s="27"/>
      <c r="O120" s="27"/>
      <c r="P120" s="46"/>
      <c r="Q120" s="27"/>
      <c r="R120" s="27"/>
      <c r="S120" s="27"/>
      <c r="T120" s="27"/>
      <c r="U120" s="27"/>
      <c r="V120" s="46"/>
      <c r="W120" s="27"/>
      <c r="X120" s="27"/>
      <c r="Y120" s="27"/>
      <c r="Z120" s="46"/>
      <c r="AA120" s="27"/>
      <c r="AB120" s="27"/>
      <c r="AC120" s="27"/>
    </row>
    <row r="121" spans="2:29" x14ac:dyDescent="0.75">
      <c r="B121" s="26"/>
      <c r="C121" t="s">
        <v>510</v>
      </c>
      <c r="D121" s="46"/>
      <c r="F121" s="27"/>
      <c r="G121" s="27"/>
      <c r="H121" s="46"/>
      <c r="I121" s="27"/>
      <c r="J121" s="27"/>
      <c r="K121" s="27"/>
      <c r="L121" s="46"/>
      <c r="M121" s="27"/>
      <c r="N121" s="27"/>
      <c r="O121" s="27"/>
      <c r="P121" s="46"/>
      <c r="Q121" s="27"/>
      <c r="R121" s="27"/>
      <c r="S121" s="27"/>
      <c r="T121" s="27"/>
      <c r="U121" s="27"/>
      <c r="V121" s="46"/>
      <c r="W121" s="27"/>
      <c r="X121" s="27"/>
      <c r="Y121" s="27"/>
      <c r="Z121" s="46"/>
      <c r="AA121" s="27"/>
      <c r="AB121" s="27"/>
      <c r="AC121" s="27"/>
    </row>
    <row r="122" spans="2:29" x14ac:dyDescent="0.75">
      <c r="B122" s="26"/>
      <c r="C122" t="s">
        <v>511</v>
      </c>
      <c r="D122" s="46"/>
      <c r="F122" s="27"/>
      <c r="G122" s="27"/>
      <c r="H122" s="46"/>
      <c r="I122" s="27"/>
      <c r="J122" s="27"/>
      <c r="K122" s="27"/>
      <c r="L122" s="46"/>
      <c r="M122" s="27"/>
      <c r="N122" s="27"/>
      <c r="O122" s="27"/>
      <c r="P122" s="46"/>
      <c r="Q122" s="27"/>
      <c r="R122" s="27"/>
      <c r="S122" s="27"/>
      <c r="T122" s="27"/>
      <c r="U122" s="27"/>
      <c r="V122" s="46"/>
      <c r="W122" s="27"/>
      <c r="X122" s="27"/>
      <c r="Y122" s="27"/>
      <c r="Z122" s="46"/>
      <c r="AA122" s="27"/>
      <c r="AB122" s="27"/>
      <c r="AC122" s="27"/>
    </row>
    <row r="123" spans="2:29" x14ac:dyDescent="0.75">
      <c r="B123" s="26"/>
      <c r="C123" t="s">
        <v>333</v>
      </c>
      <c r="D123" s="46"/>
      <c r="E123" s="27"/>
      <c r="F123" s="27"/>
      <c r="G123" s="27"/>
      <c r="H123" s="46"/>
      <c r="I123" s="27"/>
      <c r="J123" s="27"/>
      <c r="K123" s="27"/>
      <c r="L123" s="46"/>
      <c r="M123" s="27"/>
      <c r="N123" s="27"/>
      <c r="O123" s="27"/>
      <c r="P123" s="46"/>
      <c r="Q123" s="27"/>
      <c r="R123" s="27"/>
      <c r="S123" s="27"/>
      <c r="T123" s="27"/>
      <c r="U123" s="27"/>
      <c r="V123" s="46"/>
      <c r="W123" s="27"/>
      <c r="X123" s="27"/>
      <c r="Y123" s="27"/>
      <c r="Z123" s="46"/>
      <c r="AA123" s="27"/>
      <c r="AB123" s="27"/>
      <c r="AC123" s="27"/>
    </row>
    <row r="124" spans="2:29" x14ac:dyDescent="0.75">
      <c r="B124" s="26"/>
      <c r="C124" t="s">
        <v>334</v>
      </c>
      <c r="D124" s="46"/>
      <c r="E124" s="27"/>
      <c r="F124" s="27"/>
      <c r="G124" s="27"/>
      <c r="H124" s="46"/>
      <c r="I124" s="27"/>
      <c r="J124" s="27"/>
      <c r="K124" s="27"/>
      <c r="L124" s="46"/>
      <c r="M124" s="27"/>
      <c r="N124" s="27"/>
      <c r="O124" s="27"/>
      <c r="P124" s="46"/>
      <c r="Q124" s="27"/>
      <c r="R124" s="27"/>
      <c r="S124" s="27"/>
      <c r="T124" s="27"/>
      <c r="U124" s="27"/>
      <c r="V124" s="46"/>
      <c r="W124" s="27"/>
      <c r="X124" s="27"/>
      <c r="Y124" s="27"/>
      <c r="Z124" s="46"/>
      <c r="AA124" s="27"/>
      <c r="AB124" s="27"/>
      <c r="AC124" s="27"/>
    </row>
    <row r="125" spans="2:29" x14ac:dyDescent="0.75">
      <c r="B125" s="26"/>
      <c r="C125" t="s">
        <v>516</v>
      </c>
      <c r="D125" s="46"/>
      <c r="E125" s="27"/>
      <c r="F125" s="27"/>
      <c r="G125" s="27"/>
      <c r="H125" s="46"/>
      <c r="I125" s="27"/>
      <c r="J125" s="27"/>
      <c r="K125" s="27"/>
      <c r="L125" s="46"/>
      <c r="M125" s="27"/>
      <c r="N125" s="27"/>
      <c r="O125" s="27"/>
      <c r="P125" s="46"/>
      <c r="Q125" s="27"/>
      <c r="R125" s="27"/>
      <c r="S125" s="27"/>
      <c r="T125" s="27"/>
      <c r="U125" s="27"/>
      <c r="V125" s="46"/>
      <c r="W125" s="27"/>
      <c r="X125" s="27"/>
      <c r="Y125" s="27"/>
      <c r="Z125" s="46"/>
      <c r="AA125" s="27"/>
      <c r="AB125" s="27"/>
      <c r="AC125" s="27"/>
    </row>
    <row r="126" spans="2:29" x14ac:dyDescent="0.75">
      <c r="B126" s="26"/>
      <c r="C126" t="s">
        <v>517</v>
      </c>
      <c r="D126" s="46"/>
      <c r="E126" s="27"/>
      <c r="F126" s="27"/>
      <c r="G126" s="27"/>
      <c r="H126" s="46"/>
      <c r="I126" s="27"/>
      <c r="J126" s="27"/>
      <c r="K126" s="27"/>
      <c r="L126" s="46"/>
      <c r="M126" s="27"/>
      <c r="N126" s="27"/>
      <c r="O126" s="27"/>
      <c r="P126" s="46"/>
      <c r="Q126" s="27"/>
      <c r="R126" s="27"/>
      <c r="S126" s="27"/>
      <c r="T126" s="27"/>
      <c r="U126" s="27"/>
      <c r="V126" s="46"/>
      <c r="W126" s="27"/>
      <c r="X126" s="27"/>
      <c r="Y126" s="27"/>
      <c r="Z126" s="46"/>
      <c r="AA126" s="27"/>
      <c r="AB126" s="27"/>
      <c r="AC126" s="27"/>
    </row>
    <row r="127" spans="2:29" x14ac:dyDescent="0.75">
      <c r="B127" s="26"/>
      <c r="C127" t="s">
        <v>518</v>
      </c>
      <c r="D127" s="46"/>
      <c r="E127" s="27"/>
      <c r="F127" s="27"/>
      <c r="G127" s="27"/>
      <c r="H127" s="46"/>
      <c r="I127" s="27"/>
      <c r="J127" s="27"/>
      <c r="K127" s="27"/>
      <c r="L127" s="46"/>
      <c r="M127" s="27"/>
      <c r="N127" s="27"/>
      <c r="O127" s="27"/>
      <c r="P127" s="46"/>
      <c r="Q127" s="27"/>
      <c r="R127" s="27"/>
      <c r="S127" s="27"/>
      <c r="T127" s="27"/>
      <c r="U127" s="27"/>
      <c r="V127" s="46"/>
      <c r="W127" s="27"/>
      <c r="X127" s="27"/>
      <c r="Y127" s="27"/>
      <c r="Z127" s="46"/>
      <c r="AA127" s="27"/>
      <c r="AB127" s="27"/>
      <c r="AC127" s="27"/>
    </row>
    <row r="128" spans="2:29" x14ac:dyDescent="0.75">
      <c r="B128" s="26"/>
      <c r="C128" t="s">
        <v>519</v>
      </c>
      <c r="D128" s="46"/>
      <c r="F128" s="27"/>
      <c r="G128" s="27"/>
      <c r="H128" s="46"/>
      <c r="I128" s="27"/>
      <c r="J128" s="27"/>
      <c r="K128" s="27"/>
      <c r="L128" s="46"/>
      <c r="M128" s="27"/>
      <c r="N128" s="27"/>
      <c r="O128" s="27"/>
      <c r="P128" s="46"/>
      <c r="Q128" s="27"/>
      <c r="R128" s="27"/>
      <c r="S128" s="27"/>
      <c r="T128" s="27"/>
      <c r="U128" s="27"/>
      <c r="V128" s="46"/>
      <c r="W128" s="27"/>
      <c r="X128" s="27"/>
      <c r="Y128" s="27"/>
      <c r="Z128" s="46"/>
      <c r="AA128" s="27"/>
      <c r="AB128" s="27"/>
      <c r="AC128" s="27"/>
    </row>
    <row r="129" spans="2:29" x14ac:dyDescent="0.75">
      <c r="B129" s="26"/>
      <c r="C129" t="s">
        <v>520</v>
      </c>
      <c r="D129" s="46"/>
      <c r="E129" s="27"/>
      <c r="F129" s="27"/>
      <c r="G129" s="27"/>
      <c r="H129" s="46"/>
      <c r="I129" s="27"/>
      <c r="J129" s="27"/>
      <c r="K129" s="27"/>
      <c r="L129" s="46"/>
      <c r="M129" s="27"/>
      <c r="N129" s="27"/>
      <c r="O129" s="27"/>
      <c r="P129" s="46"/>
      <c r="Q129" s="27"/>
      <c r="R129" s="27"/>
      <c r="S129" s="27"/>
      <c r="T129" s="27"/>
      <c r="U129" s="27"/>
      <c r="V129" s="46"/>
      <c r="W129" s="27"/>
      <c r="X129" s="27"/>
      <c r="Y129" s="27"/>
      <c r="Z129" s="46"/>
      <c r="AA129" s="27"/>
      <c r="AB129" s="27"/>
      <c r="AC129" s="27"/>
    </row>
    <row r="130" spans="2:29" x14ac:dyDescent="0.75">
      <c r="B130" s="26"/>
      <c r="C130" t="s">
        <v>521</v>
      </c>
      <c r="D130" s="46"/>
      <c r="E130" s="27"/>
      <c r="F130" s="27"/>
      <c r="G130" s="27"/>
      <c r="H130" s="46"/>
      <c r="I130" s="27"/>
      <c r="J130" s="27"/>
      <c r="K130" s="27"/>
      <c r="L130" s="46"/>
      <c r="M130" s="27"/>
      <c r="N130" s="27"/>
      <c r="O130" s="27"/>
      <c r="P130" s="46"/>
      <c r="Q130" s="27"/>
      <c r="R130" s="27"/>
      <c r="S130" s="27"/>
      <c r="T130" s="27"/>
      <c r="U130" s="27"/>
      <c r="V130" s="46"/>
      <c r="W130" s="27"/>
      <c r="X130" s="27"/>
      <c r="Y130" s="27"/>
      <c r="Z130" s="46"/>
      <c r="AA130" s="27"/>
      <c r="AB130" s="27"/>
      <c r="AC130" s="27"/>
    </row>
    <row r="131" spans="2:29" x14ac:dyDescent="0.75">
      <c r="B131" s="26"/>
      <c r="C131" t="s">
        <v>522</v>
      </c>
      <c r="D131" s="46"/>
      <c r="E131" s="27"/>
      <c r="F131" s="27"/>
      <c r="G131" s="27"/>
      <c r="H131" s="46"/>
      <c r="I131" s="27"/>
      <c r="J131" s="27"/>
      <c r="K131" s="27"/>
      <c r="L131" s="46"/>
      <c r="M131" s="27"/>
      <c r="N131" s="27"/>
      <c r="O131" s="27"/>
      <c r="P131" s="46"/>
      <c r="Q131" s="27"/>
      <c r="R131" s="27"/>
      <c r="S131" s="27"/>
      <c r="T131" s="27"/>
      <c r="U131" s="27"/>
      <c r="V131" s="46"/>
      <c r="W131" s="27"/>
      <c r="X131" s="27"/>
      <c r="Y131" s="27"/>
      <c r="Z131" s="46"/>
      <c r="AA131" s="27"/>
      <c r="AB131" s="27"/>
      <c r="AC131" s="27"/>
    </row>
    <row r="132" spans="2:29" x14ac:dyDescent="0.75">
      <c r="B132" s="26"/>
      <c r="C132" t="s">
        <v>527</v>
      </c>
      <c r="D132" s="46"/>
      <c r="E132" s="27"/>
      <c r="F132" s="27"/>
      <c r="G132" s="27"/>
      <c r="H132" s="46"/>
      <c r="I132" s="27"/>
      <c r="J132" s="27"/>
      <c r="K132" s="27"/>
      <c r="L132" s="46"/>
      <c r="M132" s="27"/>
      <c r="N132" s="27"/>
      <c r="O132" s="27"/>
      <c r="P132" s="46"/>
      <c r="Q132" s="27"/>
      <c r="R132" s="27"/>
      <c r="S132" s="27"/>
      <c r="T132" s="27"/>
      <c r="U132" s="27"/>
      <c r="V132" s="46"/>
      <c r="W132" s="27"/>
      <c r="X132" s="27"/>
      <c r="Y132" s="27"/>
      <c r="Z132" s="46"/>
      <c r="AA132" s="27"/>
      <c r="AB132" s="27"/>
      <c r="AC132" s="27"/>
    </row>
    <row r="133" spans="2:29" x14ac:dyDescent="0.75">
      <c r="B133" s="26"/>
      <c r="C133" t="s">
        <v>730</v>
      </c>
      <c r="D133" s="46"/>
      <c r="E133" s="27"/>
      <c r="F133" s="27"/>
      <c r="G133" s="27"/>
      <c r="H133" s="46"/>
      <c r="I133" s="27"/>
      <c r="J133" s="27"/>
      <c r="K133" s="27"/>
      <c r="L133" s="46"/>
      <c r="M133" s="27"/>
      <c r="N133" s="27"/>
      <c r="O133" s="27"/>
      <c r="P133" s="46"/>
      <c r="Q133" s="27"/>
      <c r="R133" s="27"/>
      <c r="S133" s="27"/>
      <c r="T133" s="27"/>
      <c r="U133" s="27"/>
      <c r="V133" s="46"/>
      <c r="W133" s="27"/>
      <c r="X133" s="27"/>
      <c r="Y133" s="27"/>
      <c r="Z133" s="46"/>
      <c r="AA133" s="27"/>
      <c r="AB133" s="27"/>
      <c r="AC133" s="27"/>
    </row>
    <row r="134" spans="2:29" x14ac:dyDescent="0.75">
      <c r="B134" s="26"/>
      <c r="C134" t="s">
        <v>531</v>
      </c>
      <c r="D134" s="46"/>
      <c r="E134" s="27"/>
      <c r="F134" s="27"/>
      <c r="G134" s="27"/>
      <c r="H134" s="46"/>
      <c r="I134" s="27"/>
      <c r="J134" s="27"/>
      <c r="K134" s="27"/>
      <c r="L134" s="46"/>
      <c r="M134" s="27"/>
      <c r="N134" s="27"/>
      <c r="O134" s="27"/>
      <c r="P134" s="46"/>
      <c r="Q134" s="27"/>
      <c r="R134" s="27"/>
      <c r="S134" s="27"/>
      <c r="T134" s="27"/>
      <c r="U134" s="27"/>
      <c r="V134" s="46"/>
      <c r="W134" s="27"/>
      <c r="X134" s="27"/>
      <c r="Y134" s="27"/>
      <c r="Z134" s="46"/>
      <c r="AA134" s="27"/>
      <c r="AB134" s="27"/>
      <c r="AC134" s="27"/>
    </row>
    <row r="135" spans="2:29" x14ac:dyDescent="0.75">
      <c r="B135" s="26"/>
      <c r="C135" t="s">
        <v>61</v>
      </c>
      <c r="D135" s="46"/>
      <c r="E135" s="27"/>
      <c r="F135" s="27"/>
      <c r="G135" s="27"/>
      <c r="H135" s="46"/>
      <c r="I135" s="27"/>
      <c r="J135" s="27"/>
      <c r="K135" s="27"/>
      <c r="L135" s="46"/>
      <c r="M135" s="27"/>
      <c r="N135" s="27"/>
      <c r="O135" s="27"/>
      <c r="P135" s="46"/>
      <c r="Q135" s="27"/>
      <c r="R135" s="27"/>
      <c r="S135" s="27"/>
      <c r="T135" s="27"/>
      <c r="U135" s="27"/>
      <c r="V135" s="46"/>
      <c r="W135" s="27"/>
      <c r="X135" s="27"/>
      <c r="Y135" s="27"/>
      <c r="Z135" s="46"/>
      <c r="AA135" s="27"/>
      <c r="AB135" s="27"/>
      <c r="AC135" s="27"/>
    </row>
    <row r="136" spans="2:29" x14ac:dyDescent="0.75">
      <c r="B136" s="26"/>
      <c r="C136" t="s">
        <v>335</v>
      </c>
      <c r="D136" s="46"/>
      <c r="E136" s="27"/>
      <c r="F136" s="27"/>
      <c r="G136" s="27"/>
      <c r="H136" s="46"/>
      <c r="I136" s="27"/>
      <c r="J136" s="27"/>
      <c r="K136" s="27"/>
      <c r="L136" s="46"/>
      <c r="M136" s="27"/>
      <c r="N136" s="27"/>
      <c r="O136" s="27"/>
      <c r="P136" s="46"/>
      <c r="Q136" s="27"/>
      <c r="R136" s="27"/>
      <c r="S136" s="27"/>
      <c r="T136" s="27"/>
      <c r="U136" s="27"/>
      <c r="V136" s="46"/>
      <c r="W136" s="27"/>
      <c r="X136" s="27"/>
      <c r="Y136" s="27"/>
      <c r="Z136" s="46"/>
      <c r="AA136" s="27"/>
      <c r="AB136" s="27"/>
      <c r="AC136" s="27"/>
    </row>
    <row r="137" spans="2:29" x14ac:dyDescent="0.75">
      <c r="B137" s="26"/>
      <c r="C137" t="s">
        <v>532</v>
      </c>
      <c r="D137" s="46"/>
      <c r="E137" s="27"/>
      <c r="F137" s="27"/>
      <c r="G137" s="27"/>
      <c r="H137" s="46"/>
      <c r="I137" s="27"/>
      <c r="J137" s="27"/>
      <c r="K137" s="27"/>
      <c r="L137" s="46"/>
      <c r="M137" s="27"/>
      <c r="N137" s="27"/>
      <c r="O137" s="27"/>
      <c r="P137" s="46"/>
      <c r="Q137" s="27"/>
      <c r="R137" s="27"/>
      <c r="S137" s="27"/>
      <c r="T137" s="27"/>
      <c r="U137" s="27"/>
      <c r="V137" s="46"/>
      <c r="W137" s="27"/>
      <c r="X137" s="27"/>
      <c r="Y137" s="27"/>
      <c r="Z137" s="46"/>
      <c r="AA137" s="27"/>
      <c r="AB137" s="27"/>
      <c r="AC137" s="27"/>
    </row>
    <row r="138" spans="2:29" x14ac:dyDescent="0.75">
      <c r="B138" s="26"/>
      <c r="C138" t="s">
        <v>336</v>
      </c>
      <c r="D138" s="46"/>
      <c r="E138" s="27"/>
      <c r="F138" s="27"/>
      <c r="G138" s="27"/>
      <c r="H138" s="46"/>
      <c r="I138" s="27"/>
      <c r="J138" s="27"/>
      <c r="K138" s="27"/>
      <c r="L138" s="46"/>
      <c r="M138" s="27"/>
      <c r="N138" s="27"/>
      <c r="O138" s="27"/>
      <c r="P138" s="46"/>
      <c r="Q138" s="27"/>
      <c r="R138" s="27"/>
      <c r="S138" s="27"/>
      <c r="T138" s="27"/>
      <c r="U138" s="27"/>
      <c r="V138" s="46"/>
      <c r="W138" s="27"/>
      <c r="X138" s="27"/>
      <c r="Y138" s="27"/>
      <c r="Z138" s="46"/>
      <c r="AA138" s="27"/>
      <c r="AB138" s="27"/>
      <c r="AC138" s="27"/>
    </row>
    <row r="139" spans="2:29" x14ac:dyDescent="0.75">
      <c r="B139" s="26"/>
      <c r="C139" t="s">
        <v>337</v>
      </c>
      <c r="D139" s="46"/>
      <c r="F139" s="27"/>
      <c r="G139" s="27"/>
      <c r="H139" s="46"/>
      <c r="I139" s="27"/>
      <c r="J139" s="27"/>
      <c r="K139" s="27"/>
      <c r="L139" s="46"/>
      <c r="M139" s="27"/>
      <c r="N139" s="27"/>
      <c r="O139" s="27"/>
      <c r="P139" s="46"/>
      <c r="Q139" s="27"/>
      <c r="R139" s="27"/>
      <c r="S139" s="27"/>
      <c r="T139" s="27"/>
      <c r="U139" s="27"/>
      <c r="V139" s="46"/>
      <c r="W139" s="27"/>
      <c r="X139" s="27"/>
      <c r="Y139" s="27"/>
      <c r="Z139" s="46"/>
      <c r="AA139" s="27"/>
      <c r="AB139" s="27"/>
      <c r="AC139" s="27"/>
    </row>
    <row r="140" spans="2:29" x14ac:dyDescent="0.75">
      <c r="B140" s="26"/>
      <c r="C140" t="s">
        <v>731</v>
      </c>
      <c r="D140" s="46"/>
      <c r="F140" s="27"/>
      <c r="G140" s="27"/>
      <c r="H140" s="46"/>
      <c r="I140" s="27"/>
      <c r="J140" s="27"/>
      <c r="K140" s="27"/>
      <c r="L140" s="46"/>
      <c r="M140" s="27"/>
      <c r="N140" s="27"/>
      <c r="O140" s="27"/>
      <c r="P140" s="46"/>
      <c r="Q140" s="27"/>
      <c r="R140" s="27"/>
      <c r="S140" s="27"/>
      <c r="T140" s="27"/>
      <c r="U140" s="27"/>
      <c r="V140" s="46"/>
      <c r="W140" s="27"/>
      <c r="X140" s="27"/>
      <c r="Y140" s="27"/>
      <c r="Z140" s="46"/>
      <c r="AA140" s="27"/>
      <c r="AB140" s="27"/>
      <c r="AC140" s="27"/>
    </row>
    <row r="141" spans="2:29" x14ac:dyDescent="0.75">
      <c r="B141" s="26"/>
      <c r="C141" t="s">
        <v>536</v>
      </c>
      <c r="D141" s="46"/>
      <c r="F141" s="27"/>
      <c r="G141" s="27"/>
      <c r="H141" s="46"/>
      <c r="I141" s="27"/>
      <c r="J141" s="27"/>
      <c r="K141" s="27"/>
      <c r="L141" s="46"/>
      <c r="M141" s="27"/>
      <c r="N141" s="27"/>
      <c r="O141" s="27"/>
      <c r="P141" s="46"/>
      <c r="Q141" s="27"/>
      <c r="R141" s="27"/>
      <c r="S141" s="27"/>
      <c r="T141" s="27"/>
      <c r="U141" s="27"/>
      <c r="V141" s="46"/>
      <c r="W141" s="27"/>
      <c r="X141" s="27"/>
      <c r="Y141" s="27"/>
      <c r="Z141" s="46"/>
      <c r="AA141" s="27"/>
      <c r="AB141" s="27"/>
      <c r="AC141" s="27"/>
    </row>
    <row r="142" spans="2:29" x14ac:dyDescent="0.75">
      <c r="B142" s="26"/>
      <c r="C142" t="s">
        <v>338</v>
      </c>
      <c r="D142" s="46"/>
      <c r="F142" s="27"/>
      <c r="G142" s="27"/>
      <c r="H142" s="46"/>
      <c r="I142" s="27"/>
      <c r="J142" s="27"/>
      <c r="K142" s="27"/>
      <c r="L142" s="46"/>
      <c r="M142" s="27"/>
      <c r="N142" s="27"/>
      <c r="O142" s="27"/>
      <c r="P142" s="46"/>
      <c r="Q142" s="27"/>
      <c r="R142" s="27"/>
      <c r="S142" s="27"/>
      <c r="T142" s="27"/>
      <c r="U142" s="27"/>
      <c r="V142" s="46"/>
      <c r="W142" s="27"/>
      <c r="X142" s="27"/>
      <c r="Y142" s="27"/>
      <c r="Z142" s="46"/>
      <c r="AA142" s="27"/>
      <c r="AB142" s="27"/>
      <c r="AC142" s="27"/>
    </row>
    <row r="143" spans="2:29" x14ac:dyDescent="0.75">
      <c r="B143" s="26"/>
      <c r="C143" t="s">
        <v>732</v>
      </c>
      <c r="D143" s="46"/>
      <c r="F143" s="27"/>
      <c r="G143" s="27"/>
      <c r="H143" s="46"/>
      <c r="I143" s="27"/>
      <c r="J143" s="27"/>
      <c r="K143" s="27"/>
      <c r="L143" s="46"/>
      <c r="M143" s="27"/>
      <c r="N143" s="27"/>
      <c r="O143" s="27"/>
      <c r="P143" s="46"/>
      <c r="Q143" s="27"/>
      <c r="R143" s="27"/>
      <c r="S143" s="27"/>
      <c r="T143" s="27"/>
      <c r="U143" s="27"/>
      <c r="V143" s="46"/>
      <c r="W143" s="27"/>
      <c r="X143" s="27"/>
      <c r="Y143" s="27"/>
      <c r="Z143" s="46"/>
      <c r="AA143" s="27"/>
      <c r="AB143" s="27"/>
      <c r="AC143" s="27"/>
    </row>
    <row r="144" spans="2:29" x14ac:dyDescent="0.75">
      <c r="B144" s="26"/>
      <c r="C144" t="s">
        <v>733</v>
      </c>
      <c r="D144" s="46"/>
      <c r="F144" s="27"/>
      <c r="G144" s="27"/>
      <c r="H144" s="46"/>
      <c r="I144" s="27"/>
      <c r="J144" s="27"/>
      <c r="K144" s="27"/>
      <c r="L144" s="46"/>
      <c r="M144" s="27"/>
      <c r="N144" s="27"/>
      <c r="O144" s="27"/>
      <c r="P144" s="46"/>
      <c r="Q144" s="27"/>
      <c r="R144" s="27"/>
      <c r="S144" s="27"/>
      <c r="T144" s="27"/>
      <c r="U144" s="27"/>
      <c r="V144" s="46"/>
      <c r="W144" s="27"/>
      <c r="X144" s="27"/>
      <c r="Y144" s="27"/>
      <c r="Z144" s="46"/>
      <c r="AA144" s="27"/>
      <c r="AB144" s="27"/>
      <c r="AC144" s="27"/>
    </row>
    <row r="145" spans="2:29" x14ac:dyDescent="0.75">
      <c r="B145" s="26"/>
      <c r="C145" t="s">
        <v>339</v>
      </c>
      <c r="D145" s="46"/>
      <c r="F145" s="27"/>
      <c r="G145" s="27"/>
      <c r="H145" s="46"/>
      <c r="I145" s="27"/>
      <c r="J145" s="27"/>
      <c r="K145" s="27"/>
      <c r="L145" s="46"/>
      <c r="M145" s="27"/>
      <c r="N145" s="27"/>
      <c r="O145" s="27"/>
      <c r="P145" s="46"/>
      <c r="Q145" s="27"/>
      <c r="R145" s="27"/>
      <c r="S145" s="27"/>
      <c r="T145" s="27"/>
      <c r="U145" s="27"/>
      <c r="V145" s="46"/>
      <c r="W145" s="27"/>
      <c r="X145" s="27"/>
      <c r="Y145" s="27"/>
      <c r="Z145" s="46"/>
      <c r="AA145" s="27"/>
      <c r="AB145" s="27"/>
      <c r="AC145" s="27"/>
    </row>
    <row r="146" spans="2:29" x14ac:dyDescent="0.75">
      <c r="B146" s="26"/>
      <c r="C146" s="27" t="s">
        <v>734</v>
      </c>
      <c r="D146" s="46"/>
      <c r="F146" s="27"/>
      <c r="G146" s="27"/>
      <c r="H146" s="46"/>
      <c r="I146" s="27"/>
      <c r="J146" s="27"/>
      <c r="K146" s="27"/>
      <c r="L146" s="46"/>
      <c r="M146" s="27"/>
      <c r="N146" s="27"/>
      <c r="O146" s="27"/>
      <c r="P146" s="46"/>
      <c r="Q146" s="27"/>
      <c r="R146" s="27"/>
      <c r="S146" s="27"/>
      <c r="T146" s="27"/>
      <c r="U146" s="27"/>
      <c r="V146" s="46"/>
      <c r="W146" s="27"/>
      <c r="X146" s="27"/>
      <c r="Y146" s="27"/>
      <c r="Z146" s="46"/>
      <c r="AA146" s="27"/>
      <c r="AB146" s="27"/>
      <c r="AC146" s="27"/>
    </row>
    <row r="147" spans="2:29" x14ac:dyDescent="0.75">
      <c r="B147" s="26"/>
      <c r="C147" s="27" t="s">
        <v>340</v>
      </c>
      <c r="D147" s="46"/>
      <c r="F147" s="27"/>
      <c r="G147" s="27"/>
      <c r="H147" s="46"/>
      <c r="I147" s="27"/>
      <c r="J147" s="27"/>
      <c r="K147" s="27"/>
      <c r="L147" s="46"/>
      <c r="M147" s="27"/>
      <c r="N147" s="27"/>
      <c r="O147" s="27"/>
      <c r="P147" s="46"/>
      <c r="Q147" s="27"/>
      <c r="R147" s="27"/>
      <c r="S147" s="27"/>
      <c r="T147" s="27"/>
      <c r="U147" s="27"/>
      <c r="V147" s="46"/>
      <c r="W147" s="27"/>
      <c r="X147" s="27"/>
      <c r="Y147" s="27"/>
      <c r="Z147" s="46"/>
      <c r="AA147" s="27"/>
      <c r="AB147" s="27"/>
      <c r="AC147" s="27"/>
    </row>
    <row r="148" spans="2:29" x14ac:dyDescent="0.75">
      <c r="B148" s="26"/>
      <c r="C148" s="27" t="s">
        <v>64</v>
      </c>
      <c r="D148" s="46"/>
      <c r="F148" s="27"/>
      <c r="G148" s="27"/>
      <c r="H148" s="46"/>
      <c r="I148" s="27"/>
      <c r="J148" s="27"/>
      <c r="K148" s="27"/>
      <c r="L148" s="46"/>
      <c r="M148" s="27"/>
      <c r="N148" s="27"/>
      <c r="O148" s="27"/>
      <c r="P148" s="46"/>
      <c r="Q148" s="27"/>
      <c r="R148" s="27"/>
      <c r="S148" s="27"/>
      <c r="T148" s="27"/>
      <c r="U148" s="27"/>
      <c r="V148" s="46"/>
      <c r="W148" s="27"/>
      <c r="X148" s="27"/>
      <c r="Y148" s="27"/>
      <c r="Z148" s="46"/>
      <c r="AA148" s="27"/>
      <c r="AB148" s="27"/>
      <c r="AC148" s="27"/>
    </row>
    <row r="149" spans="2:29" x14ac:dyDescent="0.75">
      <c r="B149" s="26"/>
      <c r="C149" s="27" t="s">
        <v>539</v>
      </c>
      <c r="D149" s="46"/>
      <c r="F149" s="27"/>
      <c r="G149" s="27"/>
      <c r="H149" s="46"/>
      <c r="I149" s="27"/>
      <c r="J149" s="27"/>
      <c r="K149" s="27"/>
      <c r="L149" s="46"/>
      <c r="M149" s="27"/>
      <c r="N149" s="27"/>
      <c r="O149" s="27"/>
      <c r="P149" s="46"/>
      <c r="Q149" s="27"/>
      <c r="R149" s="27"/>
      <c r="S149" s="27"/>
      <c r="T149" s="27"/>
      <c r="U149" s="27"/>
      <c r="V149" s="46"/>
      <c r="W149" s="27"/>
      <c r="X149" s="27"/>
      <c r="Y149" s="27"/>
      <c r="Z149" s="46"/>
      <c r="AA149" s="27"/>
      <c r="AB149" s="27"/>
      <c r="AC149" s="27"/>
    </row>
    <row r="150" spans="2:29" x14ac:dyDescent="0.75">
      <c r="B150" s="26"/>
      <c r="C150" s="27" t="s">
        <v>735</v>
      </c>
      <c r="D150" s="46"/>
      <c r="F150" s="27"/>
      <c r="G150" s="27"/>
      <c r="H150" s="46"/>
      <c r="I150" s="27"/>
      <c r="J150" s="27"/>
      <c r="K150" s="27"/>
      <c r="L150" s="46"/>
      <c r="M150" s="27"/>
      <c r="N150" s="27"/>
      <c r="O150" s="27"/>
      <c r="P150" s="46"/>
      <c r="Q150" s="27"/>
      <c r="R150" s="27"/>
      <c r="S150" s="27"/>
      <c r="T150" s="27"/>
      <c r="U150" s="27"/>
      <c r="V150" s="46"/>
      <c r="W150" s="27"/>
      <c r="X150" s="27"/>
      <c r="Y150" s="27"/>
      <c r="Z150" s="46"/>
      <c r="AA150" s="27"/>
      <c r="AB150" s="27"/>
      <c r="AC150" s="27"/>
    </row>
    <row r="151" spans="2:29" x14ac:dyDescent="0.75">
      <c r="B151" s="26"/>
      <c r="C151" s="27" t="s">
        <v>341</v>
      </c>
      <c r="D151" s="46"/>
      <c r="F151" s="27"/>
      <c r="G151" s="27"/>
      <c r="H151" s="46"/>
      <c r="I151" s="27"/>
      <c r="J151" s="27"/>
      <c r="K151" s="27"/>
      <c r="L151" s="46"/>
      <c r="M151" s="27"/>
      <c r="N151" s="27"/>
      <c r="O151" s="27"/>
      <c r="P151" s="46"/>
      <c r="Q151" s="27"/>
      <c r="R151" s="27"/>
      <c r="S151" s="27"/>
      <c r="T151" s="27"/>
      <c r="U151" s="27"/>
      <c r="V151" s="46"/>
      <c r="W151" s="27"/>
      <c r="X151" s="27"/>
      <c r="Y151" s="27"/>
      <c r="Z151" s="46"/>
      <c r="AA151" s="27"/>
      <c r="AB151" s="27"/>
      <c r="AC151" s="27"/>
    </row>
    <row r="152" spans="2:29" x14ac:dyDescent="0.75">
      <c r="B152" s="26"/>
      <c r="C152" s="27" t="s">
        <v>342</v>
      </c>
      <c r="D152" s="46"/>
      <c r="F152" s="27"/>
      <c r="G152" s="27"/>
      <c r="H152" s="46"/>
      <c r="I152" s="27"/>
      <c r="J152" s="27"/>
      <c r="K152" s="27"/>
      <c r="L152" s="46"/>
      <c r="M152" s="27"/>
      <c r="N152" s="27"/>
      <c r="O152" s="27"/>
      <c r="P152" s="46"/>
      <c r="Q152" s="27"/>
      <c r="R152" s="27"/>
      <c r="S152" s="27"/>
      <c r="T152" s="27"/>
      <c r="U152" s="27"/>
      <c r="V152" s="46"/>
      <c r="W152" s="27"/>
      <c r="X152" s="27"/>
      <c r="Y152" s="27"/>
      <c r="Z152" s="46"/>
      <c r="AA152" s="27"/>
      <c r="AB152" s="27"/>
      <c r="AC152" s="27"/>
    </row>
    <row r="153" spans="2:29" x14ac:dyDescent="0.75">
      <c r="B153" s="26"/>
      <c r="C153" s="27" t="s">
        <v>343</v>
      </c>
      <c r="D153" s="46"/>
      <c r="F153" s="27"/>
      <c r="G153" s="27"/>
      <c r="H153" s="46"/>
      <c r="I153" s="27"/>
      <c r="J153" s="27"/>
      <c r="K153" s="27"/>
      <c r="L153" s="46"/>
      <c r="M153" s="27"/>
      <c r="N153" s="27"/>
      <c r="O153" s="27"/>
      <c r="P153" s="46"/>
      <c r="Q153" s="27"/>
      <c r="R153" s="27"/>
      <c r="S153" s="27"/>
      <c r="T153" s="27"/>
      <c r="U153" s="27"/>
      <c r="V153" s="46"/>
      <c r="W153" s="27"/>
      <c r="X153" s="27"/>
      <c r="Y153" s="27"/>
      <c r="Z153" s="46"/>
      <c r="AA153" s="27"/>
      <c r="AB153" s="27"/>
      <c r="AC153" s="27"/>
    </row>
    <row r="154" spans="2:29" x14ac:dyDescent="0.75">
      <c r="B154" s="26"/>
      <c r="C154" s="27" t="s">
        <v>65</v>
      </c>
      <c r="D154" s="46"/>
      <c r="F154" s="27"/>
      <c r="G154" s="27"/>
      <c r="H154" s="46"/>
      <c r="I154" s="27"/>
      <c r="J154" s="27"/>
      <c r="K154" s="27"/>
      <c r="L154" s="46"/>
      <c r="M154" s="27"/>
      <c r="N154" s="27"/>
      <c r="O154" s="27"/>
      <c r="P154" s="46"/>
      <c r="Q154" s="27"/>
      <c r="R154" s="27"/>
      <c r="S154" s="27"/>
      <c r="T154" s="27"/>
      <c r="U154" s="27"/>
      <c r="V154" s="46"/>
      <c r="W154" s="27"/>
      <c r="X154" s="27"/>
      <c r="Y154" s="27"/>
      <c r="Z154" s="46"/>
      <c r="AA154" s="27"/>
      <c r="AB154" s="27"/>
      <c r="AC154" s="27"/>
    </row>
    <row r="155" spans="2:29" x14ac:dyDescent="0.75">
      <c r="B155" s="26"/>
      <c r="C155" s="27" t="s">
        <v>344</v>
      </c>
      <c r="D155" s="46"/>
      <c r="F155" s="27"/>
      <c r="G155" s="27"/>
      <c r="H155" s="46"/>
      <c r="I155" s="27"/>
      <c r="J155" s="27"/>
      <c r="K155" s="27"/>
      <c r="L155" s="46"/>
      <c r="M155" s="27"/>
      <c r="N155" s="27"/>
      <c r="O155" s="27"/>
      <c r="P155" s="46"/>
      <c r="Q155" s="27"/>
      <c r="R155" s="27"/>
      <c r="S155" s="27"/>
      <c r="T155" s="27"/>
      <c r="U155" s="27"/>
      <c r="V155" s="46"/>
      <c r="W155" s="27"/>
      <c r="X155" s="27"/>
      <c r="Y155" s="27"/>
      <c r="Z155" s="46"/>
      <c r="AA155" s="27"/>
      <c r="AB155" s="27"/>
      <c r="AC155" s="27"/>
    </row>
    <row r="156" spans="2:29" x14ac:dyDescent="0.75">
      <c r="B156" s="26"/>
      <c r="C156" s="27" t="s">
        <v>66</v>
      </c>
      <c r="D156" s="46"/>
      <c r="F156" s="27"/>
      <c r="G156" s="27"/>
      <c r="H156" s="46"/>
      <c r="I156" s="27"/>
      <c r="J156" s="27"/>
      <c r="K156" s="27"/>
      <c r="L156" s="46"/>
      <c r="M156" s="27"/>
      <c r="N156" s="27"/>
      <c r="O156" s="27"/>
      <c r="P156" s="46"/>
      <c r="Q156" s="27"/>
      <c r="R156" s="27"/>
      <c r="S156" s="27"/>
      <c r="T156" s="27"/>
      <c r="U156" s="27"/>
      <c r="V156" s="46"/>
      <c r="W156" s="27"/>
      <c r="X156" s="27"/>
      <c r="Y156" s="27"/>
      <c r="Z156" s="46"/>
      <c r="AA156" s="27"/>
      <c r="AB156" s="27"/>
      <c r="AC156" s="27"/>
    </row>
    <row r="157" spans="2:29" x14ac:dyDescent="0.75">
      <c r="B157" s="26"/>
      <c r="C157" s="27" t="s">
        <v>736</v>
      </c>
      <c r="D157" s="46"/>
      <c r="F157" s="27"/>
      <c r="G157" s="27"/>
      <c r="H157" s="46"/>
      <c r="I157" s="27"/>
      <c r="J157" s="27"/>
      <c r="K157" s="27"/>
      <c r="L157" s="46"/>
      <c r="M157" s="27"/>
      <c r="N157" s="27"/>
      <c r="O157" s="27"/>
      <c r="P157" s="46"/>
      <c r="Q157" s="27"/>
      <c r="R157" s="27"/>
      <c r="S157" s="27"/>
      <c r="T157" s="27"/>
      <c r="U157" s="27"/>
      <c r="V157" s="46"/>
      <c r="W157" s="27"/>
      <c r="X157" s="27"/>
      <c r="Y157" s="27"/>
      <c r="Z157" s="46"/>
      <c r="AA157" s="27"/>
      <c r="AB157" s="27"/>
      <c r="AC157" s="27"/>
    </row>
    <row r="158" spans="2:29" x14ac:dyDescent="0.75">
      <c r="B158" s="26"/>
      <c r="C158" s="27" t="s">
        <v>345</v>
      </c>
      <c r="D158" s="46"/>
      <c r="F158" s="27"/>
      <c r="G158" s="27"/>
      <c r="H158" s="46"/>
      <c r="I158" s="27"/>
      <c r="J158" s="27"/>
      <c r="K158" s="27"/>
      <c r="L158" s="46"/>
      <c r="M158" s="27"/>
      <c r="N158" s="27"/>
      <c r="O158" s="27"/>
      <c r="P158" s="46"/>
      <c r="Q158" s="27"/>
      <c r="R158" s="27"/>
      <c r="S158" s="27"/>
      <c r="T158" s="27"/>
      <c r="U158" s="27"/>
      <c r="V158" s="46"/>
      <c r="W158" s="27"/>
      <c r="X158" s="27"/>
      <c r="Y158" s="27"/>
      <c r="Z158" s="46"/>
      <c r="AA158" s="27"/>
      <c r="AB158" s="27"/>
      <c r="AC158" s="27"/>
    </row>
    <row r="159" spans="2:29" x14ac:dyDescent="0.75">
      <c r="B159" s="26"/>
      <c r="C159" s="27" t="s">
        <v>762</v>
      </c>
      <c r="D159" s="46"/>
      <c r="E159" s="27"/>
      <c r="F159" s="27"/>
      <c r="G159" s="27"/>
      <c r="H159" s="46"/>
      <c r="I159" s="27"/>
      <c r="J159" s="27"/>
      <c r="K159" s="27"/>
      <c r="L159" s="46"/>
      <c r="M159" s="27"/>
      <c r="N159" s="27"/>
      <c r="O159" s="27"/>
      <c r="P159" s="46"/>
      <c r="Q159" s="27"/>
      <c r="R159" s="27"/>
      <c r="S159" s="27"/>
      <c r="T159" s="27"/>
      <c r="U159" s="27"/>
      <c r="V159" s="46"/>
      <c r="W159" s="27"/>
      <c r="X159" s="27"/>
      <c r="Y159" s="27"/>
      <c r="Z159" s="46"/>
      <c r="AA159" s="27"/>
      <c r="AB159" s="27"/>
      <c r="AC159" s="27"/>
    </row>
    <row r="160" spans="2:29" x14ac:dyDescent="0.75">
      <c r="B160" s="26"/>
      <c r="C160" s="27" t="s">
        <v>346</v>
      </c>
      <c r="D160" s="46"/>
      <c r="E160" s="27"/>
      <c r="F160" s="27"/>
      <c r="G160" s="27"/>
      <c r="H160" s="46"/>
      <c r="I160" s="27"/>
      <c r="J160" s="27"/>
      <c r="K160" s="27"/>
      <c r="L160" s="46"/>
      <c r="M160" s="27"/>
      <c r="N160" s="27"/>
      <c r="O160" s="27"/>
      <c r="P160" s="46"/>
      <c r="Q160" s="27"/>
      <c r="R160" s="27"/>
      <c r="S160" s="27"/>
      <c r="T160" s="27"/>
      <c r="U160" s="27"/>
      <c r="V160" s="46"/>
      <c r="W160" s="27"/>
      <c r="X160" s="27"/>
      <c r="Y160" s="27"/>
      <c r="Z160" s="46"/>
      <c r="AA160" s="27"/>
      <c r="AB160" s="27"/>
      <c r="AC160" s="27"/>
    </row>
    <row r="161" spans="2:29" x14ac:dyDescent="0.75">
      <c r="B161" s="26"/>
      <c r="C161" s="27" t="s">
        <v>737</v>
      </c>
      <c r="D161" s="46"/>
      <c r="E161" s="27"/>
      <c r="F161" s="27"/>
      <c r="G161" s="27"/>
      <c r="H161" s="46"/>
      <c r="I161" s="27"/>
      <c r="J161" s="27"/>
      <c r="K161" s="27"/>
      <c r="L161" s="46"/>
      <c r="M161" s="27"/>
      <c r="N161" s="27"/>
      <c r="O161" s="27"/>
      <c r="P161" s="46"/>
      <c r="Q161" s="27"/>
      <c r="R161" s="27"/>
      <c r="S161" s="27"/>
      <c r="T161" s="27"/>
      <c r="U161" s="27"/>
      <c r="V161" s="46"/>
      <c r="W161" s="27"/>
      <c r="X161" s="27"/>
      <c r="Y161" s="27"/>
      <c r="Z161" s="46"/>
      <c r="AA161" s="27"/>
      <c r="AB161" s="27"/>
      <c r="AC161" s="27"/>
    </row>
    <row r="162" spans="2:29" x14ac:dyDescent="0.75">
      <c r="B162" s="26"/>
      <c r="C162" s="27" t="s">
        <v>738</v>
      </c>
      <c r="D162" s="46"/>
      <c r="E162" s="27"/>
      <c r="F162" s="27"/>
      <c r="G162" s="27"/>
      <c r="H162" s="46"/>
      <c r="I162" s="27"/>
      <c r="J162" s="27"/>
      <c r="K162" s="27"/>
      <c r="L162" s="46"/>
      <c r="M162" s="27"/>
      <c r="N162" s="27"/>
      <c r="O162" s="27"/>
      <c r="P162" s="46"/>
      <c r="Q162" s="27"/>
      <c r="R162" s="27"/>
      <c r="S162" s="27"/>
      <c r="T162" s="27"/>
      <c r="U162" s="27"/>
      <c r="V162" s="46"/>
      <c r="W162" s="27"/>
      <c r="X162" s="27"/>
      <c r="Y162" s="27"/>
      <c r="Z162" s="46"/>
      <c r="AA162" s="27"/>
      <c r="AB162" s="27"/>
      <c r="AC162" s="27"/>
    </row>
    <row r="163" spans="2:29" x14ac:dyDescent="0.75">
      <c r="B163" s="26"/>
      <c r="C163" s="27" t="s">
        <v>739</v>
      </c>
      <c r="D163" s="46"/>
      <c r="E163" s="27"/>
      <c r="F163" s="27"/>
      <c r="G163" s="27"/>
      <c r="H163" s="46"/>
      <c r="I163" s="27"/>
      <c r="J163" s="27"/>
      <c r="K163" s="27"/>
      <c r="L163" s="46"/>
      <c r="M163" s="27"/>
      <c r="N163" s="27"/>
      <c r="O163" s="27"/>
      <c r="P163" s="46"/>
      <c r="Q163" s="27"/>
      <c r="R163" s="27"/>
      <c r="S163" s="27"/>
      <c r="T163" s="27"/>
      <c r="U163" s="27"/>
      <c r="V163" s="46"/>
      <c r="W163" s="27"/>
      <c r="X163" s="27"/>
      <c r="Y163" s="27"/>
      <c r="Z163" s="46"/>
      <c r="AA163" s="27"/>
      <c r="AB163" s="27"/>
      <c r="AC163" s="27"/>
    </row>
    <row r="164" spans="2:29" x14ac:dyDescent="0.75">
      <c r="B164" s="26"/>
      <c r="C164" s="27" t="s">
        <v>740</v>
      </c>
      <c r="D164" s="46"/>
      <c r="E164" s="27"/>
      <c r="F164" s="27"/>
      <c r="G164" s="27"/>
      <c r="H164" s="46"/>
      <c r="I164" s="27"/>
      <c r="J164" s="27"/>
      <c r="K164" s="27"/>
      <c r="L164" s="46"/>
      <c r="M164" s="27"/>
      <c r="N164" s="27"/>
      <c r="O164" s="27"/>
      <c r="P164" s="46"/>
      <c r="Q164" s="27"/>
      <c r="R164" s="27"/>
      <c r="S164" s="27"/>
      <c r="T164" s="27"/>
      <c r="U164" s="27"/>
      <c r="V164" s="46"/>
      <c r="W164" s="27"/>
      <c r="X164" s="27"/>
      <c r="Y164" s="27"/>
      <c r="Z164" s="46"/>
      <c r="AA164" s="27"/>
      <c r="AB164" s="27"/>
      <c r="AC164" s="27"/>
    </row>
    <row r="165" spans="2:29" x14ac:dyDescent="0.75">
      <c r="B165" s="26"/>
      <c r="C165" s="27" t="s">
        <v>741</v>
      </c>
      <c r="D165" s="46"/>
      <c r="E165" s="27"/>
      <c r="F165" s="27"/>
      <c r="G165" s="27"/>
      <c r="H165" s="46"/>
      <c r="I165" s="27"/>
      <c r="J165" s="27"/>
      <c r="K165" s="27"/>
      <c r="L165" s="46"/>
      <c r="M165" s="27"/>
      <c r="N165" s="27"/>
      <c r="O165" s="27"/>
      <c r="P165" s="46"/>
      <c r="Q165" s="27"/>
      <c r="R165" s="27"/>
      <c r="S165" s="27"/>
      <c r="T165" s="27"/>
      <c r="U165" s="27"/>
      <c r="V165" s="46"/>
      <c r="W165" s="27"/>
      <c r="X165" s="27"/>
      <c r="Y165" s="27"/>
      <c r="Z165" s="46"/>
      <c r="AA165" s="27"/>
      <c r="AB165" s="27"/>
      <c r="AC165" s="27"/>
    </row>
    <row r="166" spans="2:29" x14ac:dyDescent="0.75">
      <c r="B166" s="26"/>
      <c r="C166" s="27" t="s">
        <v>348</v>
      </c>
      <c r="D166" s="46"/>
      <c r="E166" s="27"/>
      <c r="F166" s="27"/>
      <c r="G166" s="27"/>
      <c r="H166" s="46"/>
      <c r="I166" s="27"/>
      <c r="J166" s="27"/>
      <c r="K166" s="27"/>
      <c r="L166" s="46"/>
      <c r="M166" s="27"/>
      <c r="N166" s="27"/>
      <c r="O166" s="27"/>
      <c r="P166" s="46"/>
      <c r="Q166" s="27"/>
      <c r="R166" s="27"/>
      <c r="S166" s="27"/>
      <c r="T166" s="27"/>
      <c r="U166" s="27"/>
      <c r="V166" s="46"/>
      <c r="W166" s="27"/>
      <c r="X166" s="27"/>
      <c r="Y166" s="27"/>
      <c r="Z166" s="46"/>
      <c r="AA166" s="27"/>
      <c r="AB166" s="27"/>
      <c r="AC166" s="27"/>
    </row>
    <row r="167" spans="2:29" x14ac:dyDescent="0.75">
      <c r="B167" s="26"/>
      <c r="C167" s="27" t="s">
        <v>742</v>
      </c>
      <c r="D167" s="46"/>
      <c r="E167" s="27"/>
      <c r="F167" s="27"/>
      <c r="G167" s="27"/>
      <c r="H167" s="46"/>
      <c r="I167" s="27"/>
      <c r="J167" s="27"/>
      <c r="K167" s="27"/>
      <c r="L167" s="46"/>
      <c r="M167" s="27"/>
      <c r="N167" s="27"/>
      <c r="O167" s="27"/>
      <c r="P167" s="46"/>
      <c r="Q167" s="27"/>
      <c r="R167" s="27"/>
      <c r="S167" s="27"/>
      <c r="T167" s="27"/>
      <c r="U167" s="27"/>
      <c r="V167" s="46"/>
      <c r="W167" s="27"/>
      <c r="X167" s="27"/>
      <c r="Y167" s="27"/>
      <c r="Z167" s="46"/>
      <c r="AA167" s="27"/>
      <c r="AB167" s="27"/>
      <c r="AC167" s="27"/>
    </row>
    <row r="168" spans="2:29" x14ac:dyDescent="0.75">
      <c r="B168" s="26"/>
      <c r="C168" s="27" t="s">
        <v>349</v>
      </c>
      <c r="D168" s="46"/>
      <c r="E168" s="27"/>
      <c r="F168" s="27"/>
      <c r="G168" s="27"/>
      <c r="H168" s="46"/>
      <c r="I168" s="27"/>
      <c r="J168" s="27"/>
      <c r="K168" s="27"/>
      <c r="L168" s="46"/>
      <c r="M168" s="27"/>
      <c r="N168" s="27"/>
      <c r="O168" s="27"/>
      <c r="P168" s="46"/>
      <c r="Q168" s="27"/>
      <c r="R168" s="27"/>
      <c r="S168" s="27"/>
      <c r="T168" s="27"/>
      <c r="U168" s="27"/>
      <c r="V168" s="46"/>
      <c r="W168" s="27"/>
      <c r="X168" s="27"/>
      <c r="Y168" s="27"/>
      <c r="Z168" s="46"/>
      <c r="AA168" s="27"/>
      <c r="AB168" s="27"/>
      <c r="AC168" s="27"/>
    </row>
    <row r="169" spans="2:29" x14ac:dyDescent="0.75">
      <c r="B169" s="26"/>
      <c r="C169" s="27" t="s">
        <v>350</v>
      </c>
      <c r="D169" s="46"/>
      <c r="E169" s="27"/>
      <c r="F169" s="27"/>
      <c r="G169" s="27"/>
      <c r="H169" s="46"/>
      <c r="I169" s="27"/>
      <c r="J169" s="27"/>
      <c r="K169" s="27"/>
      <c r="L169" s="46"/>
      <c r="M169" s="27"/>
      <c r="N169" s="27"/>
      <c r="O169" s="27"/>
      <c r="P169" s="46"/>
      <c r="Q169" s="27"/>
      <c r="R169" s="27"/>
      <c r="S169" s="27"/>
      <c r="T169" s="27"/>
      <c r="U169" s="27"/>
      <c r="V169" s="46"/>
      <c r="W169" s="27"/>
      <c r="X169" s="27"/>
      <c r="Y169" s="27"/>
      <c r="Z169" s="46"/>
      <c r="AA169" s="27"/>
      <c r="AB169" s="27"/>
      <c r="AC169" s="27"/>
    </row>
    <row r="170" spans="2:29" x14ac:dyDescent="0.75">
      <c r="B170" s="26"/>
      <c r="C170" s="27" t="s">
        <v>351</v>
      </c>
      <c r="D170" s="46"/>
      <c r="E170" s="27"/>
      <c r="F170" s="27"/>
      <c r="G170" s="27"/>
      <c r="H170" s="46"/>
      <c r="I170" s="27"/>
      <c r="J170" s="27"/>
      <c r="K170" s="27"/>
      <c r="L170" s="46"/>
      <c r="M170" s="27"/>
      <c r="N170" s="27"/>
      <c r="O170" s="27"/>
      <c r="P170" s="46"/>
      <c r="Q170" s="27"/>
      <c r="R170" s="27"/>
      <c r="S170" s="27"/>
      <c r="T170" s="27"/>
      <c r="U170" s="27"/>
      <c r="V170" s="46"/>
      <c r="W170" s="27"/>
      <c r="X170" s="27"/>
      <c r="Y170" s="27"/>
      <c r="Z170" s="46"/>
      <c r="AA170" s="27"/>
      <c r="AB170" s="27"/>
      <c r="AC170" s="27"/>
    </row>
    <row r="171" spans="2:29" x14ac:dyDescent="0.75">
      <c r="B171" s="26"/>
      <c r="C171" s="27" t="s">
        <v>743</v>
      </c>
      <c r="D171" s="46"/>
      <c r="E171" s="27"/>
      <c r="F171" s="27"/>
      <c r="G171" s="27"/>
      <c r="H171" s="46"/>
      <c r="I171" s="27"/>
      <c r="J171" s="27"/>
      <c r="K171" s="27"/>
      <c r="L171" s="46"/>
      <c r="M171" s="27"/>
      <c r="N171" s="27"/>
      <c r="O171" s="27"/>
      <c r="P171" s="46"/>
      <c r="Q171" s="27"/>
      <c r="R171" s="27"/>
      <c r="S171" s="27"/>
      <c r="T171" s="27"/>
      <c r="U171" s="27"/>
      <c r="V171" s="46"/>
      <c r="W171" s="27"/>
      <c r="X171" s="27"/>
      <c r="Y171" s="27"/>
      <c r="Z171" s="46"/>
      <c r="AA171" s="27"/>
      <c r="AB171" s="27"/>
      <c r="AC171" s="27"/>
    </row>
    <row r="172" spans="2:29" x14ac:dyDescent="0.75">
      <c r="B172" s="26"/>
      <c r="C172" s="27" t="s">
        <v>744</v>
      </c>
      <c r="D172" s="46"/>
      <c r="E172" s="27"/>
      <c r="F172" s="27"/>
      <c r="G172" s="27"/>
      <c r="H172" s="46"/>
      <c r="I172" s="27"/>
      <c r="J172" s="27"/>
      <c r="K172" s="27"/>
      <c r="L172" s="46"/>
      <c r="M172" s="27"/>
      <c r="N172" s="27"/>
      <c r="O172" s="27"/>
      <c r="P172" s="46"/>
      <c r="Q172" s="27"/>
      <c r="R172" s="27"/>
      <c r="S172" s="27"/>
      <c r="T172" s="27"/>
      <c r="U172" s="27"/>
      <c r="V172" s="46"/>
      <c r="W172" s="27"/>
      <c r="X172" s="27"/>
      <c r="Y172" s="27"/>
      <c r="Z172" s="46"/>
      <c r="AA172" s="27"/>
      <c r="AB172" s="27"/>
      <c r="AC172" s="27"/>
    </row>
    <row r="173" spans="2:29" x14ac:dyDescent="0.75">
      <c r="B173" s="26"/>
      <c r="C173" s="27" t="s">
        <v>745</v>
      </c>
      <c r="D173" s="46"/>
      <c r="E173" s="27"/>
      <c r="F173" s="27"/>
      <c r="G173" s="27"/>
      <c r="H173" s="46"/>
      <c r="I173" s="27"/>
      <c r="J173" s="27"/>
      <c r="K173" s="27"/>
      <c r="L173" s="46"/>
      <c r="M173" s="27"/>
      <c r="N173" s="27"/>
      <c r="O173" s="27"/>
      <c r="P173" s="46"/>
      <c r="Q173" s="27"/>
      <c r="R173" s="27"/>
      <c r="S173" s="27"/>
      <c r="T173" s="27"/>
      <c r="U173" s="27"/>
      <c r="V173" s="46"/>
      <c r="W173" s="27"/>
      <c r="X173" s="27"/>
      <c r="Y173" s="27"/>
      <c r="Z173" s="46"/>
      <c r="AA173" s="27"/>
      <c r="AB173" s="27"/>
      <c r="AC173" s="27"/>
    </row>
    <row r="174" spans="2:29" x14ac:dyDescent="0.75">
      <c r="B174" s="26"/>
      <c r="C174" s="27" t="s">
        <v>352</v>
      </c>
      <c r="D174" s="46"/>
      <c r="E174" s="27"/>
      <c r="F174" s="27"/>
      <c r="G174" s="27"/>
      <c r="H174" s="46"/>
      <c r="I174" s="27"/>
      <c r="J174" s="27"/>
      <c r="K174" s="27"/>
      <c r="L174" s="46"/>
      <c r="M174" s="27"/>
      <c r="N174" s="27"/>
      <c r="O174" s="27"/>
      <c r="P174" s="46"/>
      <c r="Q174" s="27"/>
      <c r="R174" s="27"/>
      <c r="S174" s="27"/>
      <c r="T174" s="27"/>
      <c r="U174" s="27"/>
      <c r="V174" s="46"/>
      <c r="W174" s="27"/>
      <c r="X174" s="27"/>
      <c r="Y174" s="27"/>
      <c r="Z174" s="46"/>
      <c r="AA174" s="27"/>
      <c r="AB174" s="27"/>
      <c r="AC174" s="27"/>
    </row>
    <row r="175" spans="2:29" x14ac:dyDescent="0.75">
      <c r="B175" s="26"/>
      <c r="C175" s="27" t="s">
        <v>746</v>
      </c>
      <c r="D175" s="46"/>
      <c r="E175" s="27"/>
      <c r="F175" s="27"/>
      <c r="G175" s="27"/>
      <c r="H175" s="46"/>
      <c r="I175" s="27"/>
      <c r="J175" s="27"/>
      <c r="K175" s="27"/>
      <c r="L175" s="46"/>
      <c r="M175" s="27"/>
      <c r="N175" s="27"/>
      <c r="O175" s="27"/>
      <c r="P175" s="46"/>
      <c r="Q175" s="27"/>
      <c r="R175" s="27"/>
      <c r="S175" s="27"/>
      <c r="T175" s="27"/>
      <c r="U175" s="27"/>
      <c r="V175" s="46"/>
      <c r="W175" s="27"/>
      <c r="X175" s="27"/>
      <c r="Y175" s="27"/>
      <c r="Z175" s="46"/>
      <c r="AA175" s="27"/>
      <c r="AB175" s="27"/>
      <c r="AC175" s="27"/>
    </row>
    <row r="176" spans="2:29" x14ac:dyDescent="0.75">
      <c r="B176" s="26"/>
      <c r="C176" s="27" t="s">
        <v>747</v>
      </c>
      <c r="D176" s="46"/>
      <c r="E176" s="27"/>
      <c r="F176" s="27"/>
      <c r="G176" s="27"/>
      <c r="H176" s="46"/>
      <c r="I176" s="27"/>
      <c r="J176" s="27"/>
      <c r="K176" s="27"/>
      <c r="L176" s="46"/>
      <c r="M176" s="27"/>
      <c r="N176" s="27"/>
      <c r="O176" s="27"/>
      <c r="P176" s="46"/>
      <c r="Q176" s="27"/>
      <c r="R176" s="27"/>
      <c r="S176" s="27"/>
      <c r="T176" s="27"/>
      <c r="U176" s="27"/>
      <c r="V176" s="46"/>
      <c r="W176" s="27"/>
      <c r="X176" s="27"/>
      <c r="Y176" s="27"/>
      <c r="Z176" s="46"/>
      <c r="AA176" s="27"/>
      <c r="AB176" s="27"/>
      <c r="AC176" s="27"/>
    </row>
    <row r="177" spans="2:29" x14ac:dyDescent="0.75">
      <c r="B177" s="26"/>
      <c r="C177" s="27" t="s">
        <v>69</v>
      </c>
      <c r="D177" s="46"/>
      <c r="E177" s="27"/>
      <c r="F177" s="27"/>
      <c r="G177" s="27"/>
      <c r="H177" s="46"/>
      <c r="I177" s="27"/>
      <c r="J177" s="27"/>
      <c r="K177" s="27"/>
      <c r="L177" s="46"/>
      <c r="M177" s="27"/>
      <c r="N177" s="27"/>
      <c r="O177" s="27"/>
      <c r="P177" s="46"/>
      <c r="Q177" s="27"/>
      <c r="R177" s="27"/>
      <c r="S177" s="27"/>
      <c r="T177" s="27"/>
      <c r="U177" s="27"/>
      <c r="V177" s="46"/>
      <c r="W177" s="27"/>
      <c r="X177" s="27"/>
      <c r="Y177" s="27"/>
      <c r="Z177" s="46"/>
      <c r="AA177" s="27"/>
      <c r="AB177" s="27"/>
      <c r="AC177" s="27"/>
    </row>
    <row r="178" spans="2:29" x14ac:dyDescent="0.75">
      <c r="B178" s="26"/>
      <c r="C178" s="27" t="s">
        <v>70</v>
      </c>
      <c r="D178" s="46"/>
      <c r="E178" s="27"/>
      <c r="F178" s="27"/>
      <c r="G178" s="27"/>
      <c r="H178" s="46"/>
      <c r="I178" s="27"/>
      <c r="J178" s="27"/>
      <c r="K178" s="27"/>
      <c r="L178" s="46"/>
      <c r="M178" s="27"/>
      <c r="N178" s="27"/>
      <c r="O178" s="27"/>
      <c r="P178" s="46"/>
      <c r="Q178" s="27"/>
      <c r="R178" s="27"/>
      <c r="S178" s="27"/>
      <c r="T178" s="27"/>
      <c r="U178" s="27"/>
      <c r="V178" s="46"/>
      <c r="W178" s="27"/>
      <c r="X178" s="27"/>
      <c r="Y178" s="27"/>
      <c r="Z178" s="46"/>
      <c r="AA178" s="27"/>
      <c r="AB178" s="27"/>
      <c r="AC178" s="27"/>
    </row>
    <row r="179" spans="2:29" x14ac:dyDescent="0.75">
      <c r="B179" s="26"/>
      <c r="C179" s="27" t="s">
        <v>71</v>
      </c>
      <c r="D179" s="46"/>
      <c r="E179" s="27"/>
      <c r="F179" s="27"/>
      <c r="G179" s="27"/>
      <c r="H179" s="46"/>
      <c r="I179" s="27"/>
      <c r="J179" s="27"/>
      <c r="K179" s="27"/>
      <c r="L179" s="46"/>
      <c r="M179" s="27"/>
      <c r="N179" s="27"/>
      <c r="O179" s="27"/>
      <c r="P179" s="46"/>
      <c r="Q179" s="27"/>
      <c r="R179" s="27"/>
      <c r="S179" s="27"/>
      <c r="T179" s="27"/>
      <c r="U179" s="27"/>
      <c r="V179" s="46"/>
      <c r="W179" s="27"/>
      <c r="X179" s="27"/>
      <c r="Y179" s="27"/>
      <c r="Z179" s="46"/>
      <c r="AA179" s="27"/>
      <c r="AB179" s="27"/>
      <c r="AC179" s="27"/>
    </row>
    <row r="180" spans="2:29" x14ac:dyDescent="0.75">
      <c r="B180" s="26"/>
      <c r="C180" s="27" t="s">
        <v>72</v>
      </c>
      <c r="D180" s="46"/>
      <c r="E180" s="27"/>
      <c r="F180" s="27"/>
      <c r="G180" s="27"/>
      <c r="H180" s="46"/>
      <c r="I180" s="27"/>
      <c r="J180" s="27"/>
      <c r="K180" s="27"/>
      <c r="L180" s="46"/>
      <c r="M180" s="27"/>
      <c r="N180" s="27"/>
      <c r="O180" s="27"/>
      <c r="P180" s="46"/>
      <c r="Q180" s="27"/>
      <c r="R180" s="27"/>
      <c r="S180" s="27"/>
      <c r="T180" s="27"/>
      <c r="U180" s="27"/>
      <c r="V180" s="46"/>
      <c r="W180" s="27"/>
      <c r="X180" s="27"/>
      <c r="Y180" s="27"/>
      <c r="Z180" s="46"/>
      <c r="AA180" s="27"/>
      <c r="AB180" s="27"/>
      <c r="AC180" s="27"/>
    </row>
    <row r="181" spans="2:29" x14ac:dyDescent="0.75">
      <c r="B181" s="26"/>
      <c r="C181" s="27" t="s">
        <v>541</v>
      </c>
      <c r="D181" s="46"/>
      <c r="E181" s="27"/>
      <c r="F181" s="27"/>
      <c r="G181" s="27"/>
      <c r="H181" s="46"/>
      <c r="I181" s="27"/>
      <c r="J181" s="27"/>
      <c r="K181" s="27"/>
      <c r="L181" s="46"/>
      <c r="M181" s="27"/>
      <c r="N181" s="27"/>
      <c r="O181" s="27"/>
      <c r="P181" s="46"/>
      <c r="Q181" s="27"/>
      <c r="R181" s="27"/>
      <c r="S181" s="27"/>
      <c r="T181" s="27"/>
      <c r="U181" s="27"/>
      <c r="V181" s="46"/>
      <c r="W181" s="27"/>
      <c r="X181" s="27"/>
      <c r="Y181" s="27"/>
      <c r="Z181" s="46"/>
      <c r="AA181" s="27"/>
      <c r="AB181" s="27"/>
      <c r="AC181" s="27"/>
    </row>
    <row r="182" spans="2:29" x14ac:dyDescent="0.75">
      <c r="B182" s="26"/>
      <c r="C182" t="s">
        <v>542</v>
      </c>
      <c r="D182" s="46"/>
      <c r="E182" s="27"/>
      <c r="F182" s="27"/>
      <c r="G182" s="27"/>
      <c r="H182" s="46"/>
      <c r="I182" s="27"/>
      <c r="J182" s="27"/>
      <c r="K182" s="27"/>
      <c r="L182" s="46"/>
      <c r="M182" s="27"/>
      <c r="N182" s="27"/>
      <c r="O182" s="27"/>
      <c r="P182" s="46"/>
      <c r="Q182" s="27"/>
      <c r="R182" s="27"/>
      <c r="S182" s="27"/>
      <c r="T182" s="27"/>
      <c r="U182" s="27"/>
      <c r="V182" s="46"/>
      <c r="W182" s="27"/>
      <c r="X182" s="27"/>
      <c r="Y182" s="27"/>
      <c r="Z182" s="46"/>
      <c r="AA182" s="27"/>
      <c r="AB182" s="27"/>
      <c r="AC182" s="27"/>
    </row>
    <row r="183" spans="2:29" x14ac:dyDescent="0.75">
      <c r="B183" s="26"/>
      <c r="C183" t="s">
        <v>543</v>
      </c>
      <c r="D183" s="46"/>
      <c r="E183" s="27"/>
      <c r="F183" s="27"/>
      <c r="G183" s="27"/>
      <c r="H183" s="46"/>
      <c r="I183" s="27"/>
      <c r="J183" s="27"/>
      <c r="K183" s="27"/>
      <c r="L183" s="46"/>
      <c r="M183" s="27"/>
      <c r="N183" s="27"/>
      <c r="O183" s="27"/>
      <c r="P183" s="46"/>
      <c r="Q183" s="27"/>
      <c r="R183" s="27"/>
      <c r="S183" s="27"/>
      <c r="T183" s="27"/>
      <c r="U183" s="27"/>
      <c r="V183" s="46"/>
      <c r="W183" s="27"/>
      <c r="X183" s="27"/>
      <c r="Y183" s="27"/>
      <c r="Z183" s="46"/>
      <c r="AA183" s="27"/>
      <c r="AB183" s="27"/>
      <c r="AC183" s="27"/>
    </row>
    <row r="184" spans="2:29" x14ac:dyDescent="0.75">
      <c r="B184" s="26"/>
      <c r="C184" t="s">
        <v>544</v>
      </c>
      <c r="D184" s="46"/>
      <c r="E184" s="27"/>
      <c r="F184" s="27"/>
      <c r="G184" s="27"/>
      <c r="H184" s="46"/>
      <c r="I184" s="27"/>
      <c r="J184" s="27"/>
      <c r="K184" s="27"/>
      <c r="L184" s="46"/>
      <c r="M184" s="27"/>
      <c r="N184" s="27"/>
      <c r="O184" s="27"/>
      <c r="P184" s="46"/>
      <c r="Q184" s="27"/>
      <c r="R184" s="27"/>
      <c r="S184" s="27"/>
      <c r="T184" s="27"/>
      <c r="U184" s="27"/>
      <c r="V184" s="46"/>
      <c r="W184" s="27"/>
      <c r="X184" s="27"/>
      <c r="Y184" s="27"/>
      <c r="Z184" s="46"/>
      <c r="AA184" s="27"/>
      <c r="AB184" s="27"/>
      <c r="AC184" s="27"/>
    </row>
    <row r="185" spans="2:29" x14ac:dyDescent="0.75">
      <c r="B185" s="26"/>
      <c r="C185" t="s">
        <v>545</v>
      </c>
      <c r="D185" s="46"/>
      <c r="E185" s="27"/>
      <c r="F185" s="27"/>
      <c r="G185" s="27"/>
      <c r="H185" s="46"/>
      <c r="I185" s="27"/>
      <c r="J185" s="27"/>
      <c r="K185" s="27"/>
      <c r="L185" s="46"/>
      <c r="M185" s="27"/>
      <c r="N185" s="27"/>
      <c r="O185" s="27"/>
      <c r="P185" s="46"/>
      <c r="Q185" s="27"/>
      <c r="R185" s="27"/>
      <c r="S185" s="27"/>
      <c r="T185" s="27"/>
      <c r="U185" s="27"/>
      <c r="V185" s="46"/>
      <c r="W185" s="27"/>
      <c r="X185" s="27"/>
      <c r="Y185" s="27"/>
      <c r="Z185" s="46"/>
      <c r="AA185" s="27"/>
      <c r="AB185" s="27"/>
      <c r="AC185" s="27"/>
    </row>
    <row r="186" spans="2:29" x14ac:dyDescent="0.75">
      <c r="B186" s="26"/>
      <c r="C186" t="s">
        <v>546</v>
      </c>
      <c r="D186" s="46"/>
      <c r="E186" s="27"/>
      <c r="F186" s="27"/>
      <c r="G186" s="27"/>
      <c r="H186" s="46"/>
      <c r="I186" s="27"/>
      <c r="J186" s="27"/>
      <c r="K186" s="27"/>
      <c r="L186" s="46"/>
      <c r="M186" s="27"/>
      <c r="N186" s="27"/>
      <c r="O186" s="27"/>
      <c r="P186" s="46"/>
      <c r="Q186" s="27"/>
      <c r="R186" s="27"/>
      <c r="S186" s="27"/>
      <c r="T186" s="27"/>
      <c r="U186" s="27"/>
      <c r="V186" s="46"/>
      <c r="W186" s="27"/>
      <c r="X186" s="27"/>
      <c r="Y186" s="27"/>
      <c r="Z186" s="46"/>
      <c r="AA186" s="27"/>
      <c r="AB186" s="27"/>
      <c r="AC186" s="27"/>
    </row>
    <row r="187" spans="2:29" x14ac:dyDescent="0.75">
      <c r="B187" s="26"/>
      <c r="C187" t="s">
        <v>547</v>
      </c>
      <c r="D187" s="46"/>
      <c r="E187" s="27"/>
      <c r="F187" s="27"/>
      <c r="G187" s="27"/>
      <c r="H187" s="46"/>
      <c r="I187" s="27"/>
      <c r="J187" s="27"/>
      <c r="K187" s="27"/>
      <c r="L187" s="46"/>
      <c r="M187" s="27"/>
      <c r="N187" s="27"/>
      <c r="O187" s="27"/>
      <c r="P187" s="46"/>
      <c r="Q187" s="27"/>
      <c r="R187" s="27"/>
      <c r="S187" s="27"/>
      <c r="T187" s="27"/>
      <c r="U187" s="27"/>
      <c r="V187" s="46"/>
      <c r="W187" s="27"/>
      <c r="X187" s="27"/>
      <c r="Y187" s="27"/>
      <c r="Z187" s="46"/>
      <c r="AA187" s="27"/>
      <c r="AB187" s="27"/>
      <c r="AC187" s="27"/>
    </row>
    <row r="188" spans="2:29" x14ac:dyDescent="0.75">
      <c r="B188" s="26"/>
      <c r="C188" t="s">
        <v>548</v>
      </c>
      <c r="D188" s="46"/>
      <c r="E188" s="27"/>
      <c r="F188" s="27"/>
      <c r="G188" s="27"/>
      <c r="H188" s="46"/>
      <c r="I188" s="27"/>
      <c r="J188" s="27"/>
      <c r="K188" s="27"/>
      <c r="L188" s="46"/>
      <c r="M188" s="27"/>
      <c r="N188" s="27"/>
      <c r="O188" s="27"/>
      <c r="P188" s="46"/>
      <c r="Q188" s="27"/>
      <c r="R188" s="27"/>
      <c r="S188" s="27"/>
      <c r="T188" s="27"/>
      <c r="U188" s="27"/>
      <c r="V188" s="46"/>
      <c r="W188" s="27"/>
      <c r="X188" s="27"/>
      <c r="Y188" s="27"/>
      <c r="Z188" s="46"/>
      <c r="AA188" s="27"/>
      <c r="AB188" s="27"/>
      <c r="AC188" s="27"/>
    </row>
    <row r="189" spans="2:29" x14ac:dyDescent="0.75">
      <c r="B189" s="26"/>
      <c r="C189" t="s">
        <v>748</v>
      </c>
      <c r="D189" s="46"/>
      <c r="E189" s="27"/>
      <c r="F189" s="27"/>
      <c r="G189" s="27"/>
      <c r="H189" s="46"/>
      <c r="I189" s="27"/>
      <c r="J189" s="27"/>
      <c r="K189" s="27"/>
      <c r="L189" s="46"/>
      <c r="M189" s="27"/>
      <c r="N189" s="27"/>
      <c r="O189" s="27"/>
      <c r="P189" s="46"/>
      <c r="Q189" s="27"/>
      <c r="R189" s="27"/>
      <c r="S189" s="27"/>
      <c r="T189" s="27"/>
      <c r="U189" s="27"/>
      <c r="V189" s="46"/>
      <c r="W189" s="27"/>
      <c r="X189" s="27"/>
      <c r="Y189" s="27"/>
      <c r="Z189" s="46"/>
      <c r="AA189" s="27"/>
      <c r="AB189" s="27"/>
      <c r="AC189" s="27"/>
    </row>
    <row r="190" spans="2:29" x14ac:dyDescent="0.75">
      <c r="B190" s="26"/>
      <c r="C190" s="27" t="s">
        <v>749</v>
      </c>
      <c r="D190" s="46"/>
      <c r="E190" s="27"/>
      <c r="F190" s="27"/>
      <c r="G190" s="27"/>
      <c r="H190" s="46"/>
      <c r="I190" s="27"/>
      <c r="J190" s="27"/>
      <c r="K190" s="27"/>
      <c r="L190" s="46"/>
      <c r="M190" s="27"/>
      <c r="N190" s="27"/>
      <c r="O190" s="27"/>
      <c r="P190" s="46"/>
      <c r="Q190" s="27"/>
      <c r="R190" s="27"/>
      <c r="S190" s="27"/>
      <c r="T190" s="27"/>
      <c r="U190" s="27"/>
      <c r="V190" s="46"/>
      <c r="W190" s="27"/>
      <c r="X190" s="27"/>
      <c r="Y190" s="27"/>
      <c r="Z190" s="46"/>
      <c r="AA190" s="27"/>
      <c r="AB190" s="27"/>
      <c r="AC190" s="27"/>
    </row>
    <row r="191" spans="2:29" x14ac:dyDescent="0.75">
      <c r="B191" s="26"/>
      <c r="C191" s="27" t="s">
        <v>750</v>
      </c>
      <c r="D191" s="46"/>
      <c r="E191" s="27"/>
      <c r="F191" s="27"/>
      <c r="G191" s="27"/>
      <c r="H191" s="46"/>
      <c r="I191" s="27"/>
      <c r="J191" s="27"/>
      <c r="K191" s="27"/>
      <c r="L191" s="46"/>
      <c r="M191" s="27"/>
      <c r="N191" s="27"/>
      <c r="O191" s="27"/>
      <c r="P191" s="46"/>
      <c r="Q191" s="27"/>
      <c r="R191" s="27"/>
      <c r="S191" s="27"/>
      <c r="T191" s="27"/>
      <c r="U191" s="27"/>
      <c r="V191" s="46"/>
      <c r="W191" s="27"/>
      <c r="X191" s="27"/>
      <c r="Y191" s="27"/>
      <c r="Z191" s="46"/>
      <c r="AA191" s="27"/>
      <c r="AB191" s="27"/>
      <c r="AC191" s="27"/>
    </row>
    <row r="192" spans="2:29" x14ac:dyDescent="0.75">
      <c r="B192" s="26"/>
      <c r="C192" s="27" t="s">
        <v>751</v>
      </c>
      <c r="D192" s="46"/>
      <c r="E192" s="27"/>
      <c r="F192" s="27"/>
      <c r="G192" s="27"/>
      <c r="H192" s="46"/>
      <c r="I192" s="27"/>
      <c r="J192" s="27"/>
      <c r="K192" s="27"/>
      <c r="L192" s="46"/>
      <c r="M192" s="27"/>
      <c r="N192" s="27"/>
      <c r="O192" s="27"/>
      <c r="P192" s="46"/>
      <c r="Q192" s="27"/>
      <c r="R192" s="27"/>
      <c r="S192" s="27"/>
      <c r="T192" s="27"/>
      <c r="U192" s="27"/>
      <c r="V192" s="46"/>
      <c r="W192" s="27"/>
      <c r="X192" s="27"/>
      <c r="Y192" s="27"/>
      <c r="Z192" s="46"/>
      <c r="AA192" s="27"/>
      <c r="AB192" s="27"/>
      <c r="AC192" s="27"/>
    </row>
    <row r="193" spans="2:29" x14ac:dyDescent="0.75">
      <c r="B193" s="26"/>
      <c r="C193" s="27" t="s">
        <v>17</v>
      </c>
      <c r="D193" s="46"/>
      <c r="E193" s="27"/>
      <c r="F193" s="27"/>
      <c r="G193" s="27"/>
      <c r="H193" s="46"/>
      <c r="I193" s="27"/>
      <c r="J193" s="27"/>
      <c r="K193" s="27"/>
      <c r="L193" s="46"/>
      <c r="M193" s="27"/>
      <c r="N193" s="27"/>
      <c r="O193" s="27"/>
      <c r="P193" s="46"/>
      <c r="Q193" s="27"/>
      <c r="R193" s="27"/>
      <c r="S193" s="27"/>
      <c r="T193" s="27"/>
      <c r="U193" s="27"/>
      <c r="V193" s="46"/>
      <c r="W193" s="27"/>
      <c r="X193" s="27"/>
      <c r="Y193" s="27"/>
      <c r="Z193" s="46"/>
      <c r="AA193" s="27"/>
      <c r="AB193" s="27"/>
      <c r="AC193" s="27"/>
    </row>
    <row r="194" spans="2:29" x14ac:dyDescent="0.75">
      <c r="B194" s="26"/>
      <c r="C194" s="27" t="s">
        <v>549</v>
      </c>
      <c r="D194" s="46"/>
      <c r="E194" s="27"/>
      <c r="F194" s="27"/>
      <c r="G194" s="27"/>
      <c r="H194" s="46"/>
      <c r="I194" s="27"/>
      <c r="J194" s="27"/>
      <c r="K194" s="27"/>
      <c r="L194" s="46"/>
      <c r="M194" s="27"/>
      <c r="N194" s="27"/>
      <c r="O194" s="27"/>
      <c r="P194" s="46"/>
      <c r="Q194" s="27"/>
      <c r="R194" s="27"/>
      <c r="S194" s="27"/>
      <c r="T194" s="27"/>
      <c r="U194" s="27"/>
      <c r="V194" s="46"/>
      <c r="W194" s="27"/>
      <c r="X194" s="27"/>
      <c r="Y194" s="27"/>
      <c r="Z194" s="46"/>
      <c r="AA194" s="27"/>
      <c r="AB194" s="27"/>
      <c r="AC194" s="27"/>
    </row>
    <row r="195" spans="2:29" x14ac:dyDescent="0.75">
      <c r="B195" s="26"/>
      <c r="C195" s="27" t="s">
        <v>550</v>
      </c>
      <c r="D195" s="46"/>
      <c r="E195" s="27"/>
      <c r="F195" s="27"/>
      <c r="G195" s="27"/>
      <c r="H195" s="46"/>
      <c r="I195" s="27"/>
      <c r="J195" s="27"/>
      <c r="K195" s="27"/>
      <c r="L195" s="46"/>
      <c r="M195" s="27"/>
      <c r="N195" s="27"/>
      <c r="O195" s="27"/>
      <c r="P195" s="46"/>
      <c r="Q195" s="27"/>
      <c r="R195" s="27"/>
      <c r="S195" s="27"/>
      <c r="T195" s="27"/>
      <c r="U195" s="27"/>
      <c r="V195" s="46"/>
      <c r="W195" s="27"/>
      <c r="X195" s="27"/>
      <c r="Y195" s="27"/>
      <c r="Z195" s="46"/>
      <c r="AA195" s="27"/>
      <c r="AB195" s="27"/>
      <c r="AC195" s="27"/>
    </row>
    <row r="196" spans="2:29" x14ac:dyDescent="0.75">
      <c r="B196" s="26"/>
      <c r="C196" s="27" t="s">
        <v>551</v>
      </c>
      <c r="D196" s="46"/>
      <c r="E196" s="27"/>
      <c r="F196" s="27"/>
      <c r="G196" s="27"/>
      <c r="H196" s="46"/>
      <c r="I196" s="27"/>
      <c r="J196" s="27"/>
      <c r="K196" s="27"/>
      <c r="L196" s="46"/>
      <c r="M196" s="27"/>
      <c r="N196" s="27"/>
      <c r="O196" s="27"/>
      <c r="P196" s="46"/>
      <c r="Q196" s="27"/>
      <c r="R196" s="27"/>
      <c r="S196" s="27"/>
      <c r="T196" s="27"/>
      <c r="U196" s="27"/>
      <c r="V196" s="46"/>
      <c r="W196" s="27"/>
      <c r="X196" s="27"/>
      <c r="Y196" s="27"/>
      <c r="Z196" s="46"/>
      <c r="AA196" s="27"/>
      <c r="AB196" s="27"/>
      <c r="AC196" s="27"/>
    </row>
    <row r="197" spans="2:29" x14ac:dyDescent="0.75">
      <c r="B197" s="26"/>
      <c r="C197" s="27" t="s">
        <v>552</v>
      </c>
      <c r="D197" s="46"/>
      <c r="E197" s="27"/>
      <c r="F197" s="27"/>
      <c r="G197" s="27"/>
      <c r="H197" s="46"/>
      <c r="I197" s="27"/>
      <c r="J197" s="27"/>
      <c r="K197" s="27"/>
      <c r="L197" s="46"/>
      <c r="M197" s="27"/>
      <c r="N197" s="27"/>
      <c r="O197" s="27"/>
      <c r="P197" s="46"/>
      <c r="Q197" s="27"/>
      <c r="R197" s="27"/>
      <c r="S197" s="27"/>
      <c r="T197" s="27"/>
      <c r="U197" s="27"/>
      <c r="V197" s="46"/>
      <c r="W197" s="27"/>
      <c r="X197" s="27"/>
      <c r="Y197" s="27"/>
      <c r="Z197" s="46"/>
      <c r="AA197" s="27"/>
      <c r="AB197" s="27"/>
      <c r="AC197" s="27"/>
    </row>
    <row r="198" spans="2:29" x14ac:dyDescent="0.75">
      <c r="B198" s="26"/>
      <c r="C198" s="46" t="s">
        <v>75</v>
      </c>
      <c r="D198" s="46"/>
      <c r="E198" s="27"/>
      <c r="F198" s="27"/>
      <c r="G198" s="27"/>
      <c r="H198" s="46"/>
      <c r="I198" s="27"/>
      <c r="J198" s="27"/>
      <c r="K198" s="27"/>
      <c r="L198" s="46"/>
      <c r="M198" s="27"/>
      <c r="N198" s="27"/>
      <c r="O198" s="27"/>
      <c r="P198" s="46"/>
      <c r="Q198" s="27"/>
      <c r="R198" s="27"/>
      <c r="S198" s="27"/>
      <c r="T198" s="27"/>
      <c r="U198" s="27"/>
      <c r="V198" s="46"/>
      <c r="W198" s="27"/>
      <c r="X198" s="27"/>
      <c r="Y198" s="27"/>
      <c r="Z198" s="46"/>
      <c r="AA198" s="27"/>
      <c r="AB198" s="27"/>
      <c r="AC198" s="27"/>
    </row>
    <row r="199" spans="2:29" x14ac:dyDescent="0.75">
      <c r="B199" s="26"/>
      <c r="C199" s="46" t="s">
        <v>662</v>
      </c>
      <c r="D199" s="46"/>
      <c r="E199" s="27"/>
      <c r="F199" s="27"/>
      <c r="G199" s="27"/>
      <c r="H199" s="46"/>
      <c r="I199" s="27"/>
      <c r="J199" s="27"/>
      <c r="K199" s="27"/>
      <c r="L199" s="46"/>
      <c r="M199" s="27"/>
      <c r="N199" s="27"/>
      <c r="O199" s="27"/>
      <c r="P199" s="46"/>
      <c r="Q199" s="27"/>
      <c r="R199" s="27"/>
      <c r="S199" s="27"/>
      <c r="T199" s="27"/>
      <c r="U199" s="27"/>
      <c r="V199" s="46"/>
      <c r="W199" s="27"/>
      <c r="X199" s="27"/>
      <c r="Y199" s="27"/>
      <c r="Z199" s="46"/>
      <c r="AA199" s="27"/>
      <c r="AB199" s="27"/>
      <c r="AC199" s="27"/>
    </row>
    <row r="200" spans="2:29" x14ac:dyDescent="0.75">
      <c r="B200" s="26"/>
      <c r="C200" s="46" t="s">
        <v>663</v>
      </c>
      <c r="D200" s="46"/>
      <c r="E200" s="27"/>
      <c r="F200" s="27"/>
      <c r="G200" s="27"/>
      <c r="H200" s="46"/>
      <c r="I200" s="27"/>
      <c r="J200" s="27"/>
      <c r="K200" s="27"/>
      <c r="L200" s="46"/>
      <c r="M200" s="27"/>
      <c r="N200" s="27"/>
      <c r="O200" s="27"/>
      <c r="P200" s="46"/>
      <c r="Q200" s="27"/>
      <c r="R200" s="27"/>
      <c r="S200" s="27"/>
      <c r="T200" s="27"/>
      <c r="U200" s="27"/>
      <c r="V200" s="46"/>
      <c r="W200" s="27"/>
      <c r="X200" s="27"/>
      <c r="Y200" s="27"/>
      <c r="Z200" s="46"/>
      <c r="AA200" s="27"/>
      <c r="AB200" s="27"/>
      <c r="AC200" s="27"/>
    </row>
    <row r="201" spans="2:29" x14ac:dyDescent="0.75">
      <c r="B201" s="26"/>
      <c r="C201" s="46" t="s">
        <v>664</v>
      </c>
      <c r="D201" s="46"/>
      <c r="E201" s="27"/>
      <c r="F201" s="27"/>
      <c r="G201" s="27"/>
      <c r="H201" s="46"/>
      <c r="I201" s="27"/>
      <c r="J201" s="27"/>
      <c r="K201" s="27"/>
      <c r="L201" s="46"/>
      <c r="M201" s="27"/>
      <c r="N201" s="27"/>
      <c r="O201" s="27"/>
      <c r="P201" s="46"/>
      <c r="Q201" s="27"/>
      <c r="R201" s="27"/>
      <c r="S201" s="27"/>
      <c r="T201" s="27"/>
      <c r="U201" s="27"/>
      <c r="V201" s="46"/>
      <c r="W201" s="27"/>
      <c r="X201" s="27"/>
      <c r="Y201" s="27"/>
      <c r="Z201" s="46"/>
      <c r="AA201" s="27"/>
      <c r="AB201" s="27"/>
      <c r="AC201" s="27"/>
    </row>
    <row r="202" spans="2:29" x14ac:dyDescent="0.75">
      <c r="B202" s="26"/>
      <c r="C202" s="46" t="s">
        <v>665</v>
      </c>
      <c r="D202" s="46"/>
      <c r="E202" s="27"/>
      <c r="F202" s="27"/>
      <c r="G202" s="27"/>
      <c r="H202" s="46"/>
      <c r="I202" s="27"/>
      <c r="J202" s="27"/>
      <c r="K202" s="27"/>
      <c r="L202" s="46"/>
      <c r="M202" s="27"/>
      <c r="N202" s="27"/>
      <c r="O202" s="27"/>
      <c r="P202" s="46"/>
      <c r="Q202" s="27"/>
      <c r="R202" s="27"/>
      <c r="S202" s="27"/>
      <c r="T202" s="27"/>
      <c r="U202" s="27"/>
      <c r="V202" s="46"/>
      <c r="W202" s="27"/>
      <c r="X202" s="27"/>
      <c r="Y202" s="27"/>
      <c r="Z202" s="46"/>
      <c r="AA202" s="27"/>
      <c r="AB202" s="27"/>
      <c r="AC202" s="27"/>
    </row>
    <row r="203" spans="2:29" x14ac:dyDescent="0.75">
      <c r="B203" s="26"/>
      <c r="C203" s="46" t="s">
        <v>666</v>
      </c>
      <c r="D203" s="46"/>
      <c r="E203" s="27"/>
      <c r="F203" s="27"/>
      <c r="G203" s="27"/>
      <c r="H203" s="46"/>
      <c r="I203" s="27"/>
      <c r="J203" s="27"/>
      <c r="K203" s="27"/>
      <c r="L203" s="46"/>
      <c r="M203" s="27"/>
      <c r="N203" s="27"/>
      <c r="O203" s="27"/>
      <c r="P203" s="46"/>
      <c r="Q203" s="27"/>
      <c r="R203" s="27"/>
      <c r="S203" s="27"/>
      <c r="T203" s="27"/>
      <c r="U203" s="27"/>
      <c r="V203" s="46"/>
      <c r="W203" s="27"/>
      <c r="X203" s="27"/>
      <c r="Y203" s="27"/>
      <c r="Z203" s="46"/>
      <c r="AA203" s="27"/>
      <c r="AB203" s="27"/>
      <c r="AC203" s="27"/>
    </row>
    <row r="204" spans="2:29" x14ac:dyDescent="0.75">
      <c r="B204" s="26"/>
      <c r="C204" s="46" t="s">
        <v>656</v>
      </c>
      <c r="D204" s="46"/>
      <c r="E204" s="27"/>
      <c r="F204" s="27"/>
      <c r="G204" s="27"/>
      <c r="H204" s="46"/>
      <c r="I204" s="27"/>
      <c r="J204" s="27"/>
      <c r="K204" s="27"/>
      <c r="L204" s="46"/>
      <c r="M204" s="27"/>
      <c r="N204" s="27"/>
      <c r="O204" s="27"/>
      <c r="P204" s="46"/>
      <c r="Q204" s="27"/>
      <c r="R204" s="27"/>
      <c r="S204" s="27"/>
      <c r="T204" s="27"/>
      <c r="U204" s="27"/>
      <c r="V204" s="46"/>
      <c r="W204" s="27"/>
      <c r="X204" s="27"/>
      <c r="Y204" s="27"/>
      <c r="Z204" s="46"/>
      <c r="AA204" s="27"/>
      <c r="AB204" s="27"/>
      <c r="AC204" s="27"/>
    </row>
    <row r="205" spans="2:29" x14ac:dyDescent="0.75">
      <c r="B205" s="26"/>
      <c r="C205" s="46" t="s">
        <v>657</v>
      </c>
      <c r="D205" s="46"/>
      <c r="E205" s="27"/>
      <c r="F205" s="27"/>
      <c r="G205" s="27"/>
      <c r="H205" s="46"/>
      <c r="I205" s="27"/>
      <c r="J205" s="27"/>
      <c r="K205" s="27"/>
      <c r="L205" s="46"/>
      <c r="M205" s="27"/>
      <c r="N205" s="27"/>
      <c r="O205" s="27"/>
      <c r="P205" s="46"/>
      <c r="Q205" s="27"/>
      <c r="R205" s="27"/>
      <c r="S205" s="27"/>
      <c r="T205" s="27"/>
      <c r="U205" s="27"/>
      <c r="V205" s="46"/>
      <c r="W205" s="27"/>
      <c r="X205" s="27"/>
      <c r="Y205" s="27"/>
      <c r="Z205" s="46"/>
      <c r="AA205" s="27"/>
      <c r="AB205" s="27"/>
      <c r="AC205" s="27"/>
    </row>
    <row r="206" spans="2:29" x14ac:dyDescent="0.75">
      <c r="B206" s="26"/>
      <c r="C206" s="46" t="s">
        <v>658</v>
      </c>
      <c r="D206" s="46"/>
      <c r="E206" s="27"/>
      <c r="F206" s="27"/>
      <c r="G206" s="27"/>
      <c r="H206" s="46"/>
      <c r="I206" s="27"/>
      <c r="J206" s="27"/>
      <c r="K206" s="27"/>
      <c r="L206" s="46"/>
      <c r="M206" s="27"/>
      <c r="N206" s="27"/>
      <c r="O206" s="27"/>
      <c r="P206" s="46"/>
      <c r="Q206" s="27"/>
      <c r="R206" s="27"/>
      <c r="S206" s="27"/>
      <c r="T206" s="27"/>
      <c r="U206" s="27"/>
      <c r="V206" s="46"/>
      <c r="W206" s="27"/>
      <c r="X206" s="27"/>
      <c r="Y206" s="27"/>
      <c r="Z206" s="46"/>
      <c r="AA206" s="27"/>
      <c r="AB206" s="27"/>
      <c r="AC206" s="27"/>
    </row>
    <row r="207" spans="2:29" x14ac:dyDescent="0.75">
      <c r="B207" s="26"/>
      <c r="C207" s="46" t="s">
        <v>659</v>
      </c>
      <c r="D207" s="46"/>
      <c r="E207" s="27"/>
      <c r="F207" s="27"/>
      <c r="G207" s="27"/>
      <c r="H207" s="46"/>
      <c r="I207" s="27"/>
      <c r="J207" s="27"/>
      <c r="K207" s="27"/>
      <c r="L207" s="46"/>
      <c r="M207" s="27"/>
      <c r="N207" s="27"/>
      <c r="O207" s="27"/>
      <c r="P207" s="46"/>
      <c r="Q207" s="27"/>
      <c r="R207" s="27"/>
      <c r="S207" s="27"/>
      <c r="T207" s="27"/>
      <c r="U207" s="27"/>
      <c r="V207" s="46"/>
      <c r="W207" s="27"/>
      <c r="X207" s="27"/>
      <c r="Y207" s="27"/>
      <c r="Z207" s="46"/>
      <c r="AA207" s="27"/>
      <c r="AB207" s="27"/>
      <c r="AC207" s="27"/>
    </row>
    <row r="208" spans="2:29" x14ac:dyDescent="0.75">
      <c r="B208" s="26"/>
      <c r="C208" s="46" t="s">
        <v>660</v>
      </c>
      <c r="D208" s="46"/>
      <c r="E208" s="27"/>
      <c r="F208" s="27"/>
      <c r="G208" s="27"/>
      <c r="H208" s="46"/>
      <c r="I208" s="27"/>
      <c r="J208" s="27"/>
      <c r="K208" s="27"/>
      <c r="L208" s="46"/>
      <c r="M208" s="27"/>
      <c r="N208" s="27"/>
      <c r="O208" s="27"/>
      <c r="P208" s="46"/>
      <c r="Q208" s="27"/>
      <c r="R208" s="27"/>
      <c r="S208" s="27"/>
      <c r="T208" s="27"/>
      <c r="U208" s="27"/>
      <c r="V208" s="46"/>
      <c r="W208" s="27"/>
      <c r="X208" s="27"/>
      <c r="Y208" s="27"/>
      <c r="Z208" s="46"/>
      <c r="AA208" s="27"/>
      <c r="AB208" s="27"/>
      <c r="AC208" s="27"/>
    </row>
    <row r="209" spans="2:29" x14ac:dyDescent="0.75">
      <c r="B209" s="26"/>
      <c r="C209" s="46" t="s">
        <v>752</v>
      </c>
      <c r="D209" s="46"/>
      <c r="E209" s="27"/>
      <c r="F209" s="27"/>
      <c r="G209" s="27"/>
      <c r="H209" s="46"/>
      <c r="I209" s="27"/>
      <c r="J209" s="27"/>
      <c r="K209" s="27"/>
      <c r="L209" s="46"/>
      <c r="M209" s="27"/>
      <c r="N209" s="27"/>
      <c r="O209" s="27"/>
      <c r="P209" s="46"/>
      <c r="Q209" s="27"/>
      <c r="R209" s="27"/>
      <c r="S209" s="27"/>
      <c r="T209" s="27"/>
      <c r="U209" s="27"/>
      <c r="V209" s="46"/>
      <c r="W209" s="27"/>
      <c r="X209" s="27"/>
      <c r="Y209" s="27"/>
      <c r="Z209" s="46"/>
      <c r="AA209" s="27"/>
      <c r="AB209" s="27"/>
      <c r="AC209" s="27"/>
    </row>
    <row r="210" spans="2:29" x14ac:dyDescent="0.75">
      <c r="B210" s="26"/>
      <c r="C210" s="27" t="s">
        <v>753</v>
      </c>
      <c r="D210" s="46"/>
      <c r="E210" s="27"/>
      <c r="F210" s="27"/>
      <c r="G210" s="27"/>
      <c r="H210" s="46"/>
      <c r="I210" s="27"/>
      <c r="J210" s="27"/>
      <c r="K210" s="27"/>
      <c r="L210" s="46"/>
      <c r="M210" s="27"/>
      <c r="N210" s="27"/>
      <c r="O210" s="27"/>
      <c r="P210" s="46"/>
      <c r="Q210" s="27"/>
      <c r="R210" s="27"/>
      <c r="S210" s="27"/>
      <c r="T210" s="27"/>
      <c r="U210" s="27"/>
      <c r="V210" s="46"/>
      <c r="W210" s="27"/>
      <c r="X210" s="27"/>
      <c r="Y210" s="27"/>
      <c r="Z210" s="46"/>
      <c r="AA210" s="27"/>
      <c r="AB210" s="27"/>
      <c r="AC210" s="27"/>
    </row>
    <row r="211" spans="2:29" x14ac:dyDescent="0.75">
      <c r="B211" s="26"/>
      <c r="C211" s="27" t="s">
        <v>754</v>
      </c>
      <c r="D211" s="46"/>
      <c r="E211" s="27"/>
      <c r="F211" s="27"/>
      <c r="G211" s="27"/>
      <c r="H211" s="46"/>
      <c r="I211" s="27"/>
      <c r="J211" s="27"/>
      <c r="K211" s="27"/>
      <c r="L211" s="46"/>
      <c r="M211" s="27"/>
      <c r="N211" s="27"/>
      <c r="O211" s="27"/>
      <c r="P211" s="46"/>
      <c r="Q211" s="27"/>
      <c r="R211" s="27"/>
      <c r="S211" s="27"/>
      <c r="T211" s="27"/>
      <c r="U211" s="27"/>
      <c r="V211" s="46"/>
      <c r="W211" s="27"/>
      <c r="X211" s="27"/>
      <c r="Y211" s="27"/>
      <c r="Z211" s="46"/>
      <c r="AA211" s="27"/>
      <c r="AB211" s="27"/>
      <c r="AC211" s="27"/>
    </row>
    <row r="212" spans="2:29" x14ac:dyDescent="0.75">
      <c r="B212" s="26"/>
      <c r="C212" s="27" t="s">
        <v>755</v>
      </c>
      <c r="D212" s="46"/>
      <c r="E212" s="27"/>
      <c r="F212" s="27"/>
      <c r="G212" s="27"/>
      <c r="H212" s="46"/>
      <c r="I212" s="27"/>
      <c r="J212" s="27"/>
      <c r="K212" s="27"/>
      <c r="L212" s="46"/>
      <c r="M212" s="27"/>
      <c r="N212" s="27"/>
      <c r="O212" s="27"/>
      <c r="P212" s="46"/>
      <c r="Q212" s="27"/>
      <c r="R212" s="27"/>
      <c r="S212" s="27"/>
      <c r="T212" s="27"/>
      <c r="U212" s="27"/>
      <c r="V212" s="46"/>
      <c r="W212" s="27"/>
      <c r="X212" s="27"/>
      <c r="Y212" s="27"/>
      <c r="Z212" s="46"/>
      <c r="AA212" s="27"/>
      <c r="AB212" s="27"/>
      <c r="AC212" s="27"/>
    </row>
    <row r="213" spans="2:29" x14ac:dyDescent="0.75">
      <c r="B213" s="26"/>
      <c r="C213" s="27" t="s">
        <v>756</v>
      </c>
      <c r="D213" s="46"/>
      <c r="E213" s="27"/>
      <c r="F213" s="27"/>
      <c r="G213" s="27"/>
      <c r="H213" s="46"/>
      <c r="I213" s="27"/>
      <c r="J213" s="27"/>
      <c r="K213" s="27"/>
      <c r="L213" s="46"/>
      <c r="M213" s="27"/>
      <c r="N213" s="27"/>
      <c r="O213" s="27"/>
      <c r="P213" s="46"/>
      <c r="Q213" s="27"/>
      <c r="R213" s="27"/>
      <c r="S213" s="27"/>
      <c r="T213" s="27"/>
      <c r="U213" s="27"/>
      <c r="V213" s="46"/>
      <c r="W213" s="27"/>
      <c r="X213" s="27"/>
      <c r="Y213" s="27"/>
      <c r="Z213" s="46"/>
      <c r="AA213" s="27"/>
      <c r="AB213" s="27"/>
      <c r="AC213" s="27"/>
    </row>
    <row r="214" spans="2:29" x14ac:dyDescent="0.75">
      <c r="B214" s="26"/>
      <c r="C214" s="27" t="s">
        <v>80</v>
      </c>
      <c r="D214" s="46"/>
      <c r="E214" s="27"/>
      <c r="F214" s="27"/>
      <c r="G214" s="27"/>
      <c r="H214" s="46"/>
      <c r="I214" s="27"/>
      <c r="J214" s="27"/>
      <c r="K214" s="27"/>
      <c r="L214" s="46"/>
      <c r="M214" s="27"/>
      <c r="N214" s="27"/>
      <c r="O214" s="27"/>
      <c r="P214" s="46"/>
      <c r="Q214" s="27"/>
      <c r="R214" s="27"/>
      <c r="S214" s="27"/>
      <c r="T214" s="27"/>
      <c r="U214" s="27"/>
      <c r="V214" s="46"/>
      <c r="W214" s="27"/>
      <c r="X214" s="27"/>
      <c r="Y214" s="27"/>
      <c r="Z214" s="46"/>
      <c r="AA214" s="27"/>
      <c r="AB214" s="27"/>
      <c r="AC214" s="27"/>
    </row>
    <row r="215" spans="2:29" x14ac:dyDescent="0.75">
      <c r="B215" s="26"/>
      <c r="C215" s="27" t="s">
        <v>162</v>
      </c>
      <c r="D215" s="46"/>
      <c r="E215" s="27"/>
      <c r="F215" s="27"/>
      <c r="G215" s="27"/>
      <c r="H215" s="46"/>
      <c r="I215" s="27"/>
      <c r="J215" s="27"/>
      <c r="K215" s="27"/>
      <c r="L215" s="46"/>
      <c r="M215" s="27"/>
      <c r="N215" s="27"/>
      <c r="O215" s="27"/>
      <c r="P215" s="46"/>
      <c r="Q215" s="27"/>
      <c r="R215" s="27"/>
      <c r="S215" s="27"/>
      <c r="T215" s="27"/>
      <c r="U215" s="27"/>
      <c r="V215" s="46"/>
      <c r="W215" s="27"/>
      <c r="X215" s="27"/>
      <c r="Y215" s="27"/>
      <c r="Z215" s="46"/>
      <c r="AA215" s="27"/>
      <c r="AB215" s="27"/>
      <c r="AC215" s="27"/>
    </row>
    <row r="216" spans="2:29" x14ac:dyDescent="0.75">
      <c r="B216" s="26"/>
      <c r="C216" s="27" t="s">
        <v>81</v>
      </c>
      <c r="D216" s="46"/>
      <c r="E216" s="27"/>
      <c r="F216" s="27"/>
      <c r="G216" s="27"/>
      <c r="H216" s="46"/>
      <c r="I216" s="27"/>
      <c r="J216" s="27"/>
      <c r="K216" s="27"/>
      <c r="L216" s="46"/>
      <c r="M216" s="27"/>
      <c r="N216" s="27"/>
      <c r="O216" s="27"/>
      <c r="P216" s="46"/>
      <c r="Q216" s="27"/>
      <c r="R216" s="27"/>
      <c r="S216" s="27"/>
      <c r="T216" s="27"/>
      <c r="U216" s="27"/>
      <c r="V216" s="46"/>
      <c r="W216" s="27"/>
      <c r="X216" s="27"/>
      <c r="Y216" s="27"/>
      <c r="Z216" s="46"/>
      <c r="AA216" s="27"/>
      <c r="AB216" s="27"/>
      <c r="AC216" s="27"/>
    </row>
    <row r="217" spans="2:29" x14ac:dyDescent="0.75">
      <c r="B217" s="26"/>
      <c r="C217" s="27" t="s">
        <v>161</v>
      </c>
      <c r="D217" s="46"/>
      <c r="E217" s="27"/>
      <c r="F217" s="27"/>
      <c r="G217" s="27"/>
      <c r="H217" s="46"/>
      <c r="I217" s="27"/>
      <c r="J217" s="27"/>
      <c r="K217" s="27"/>
      <c r="L217" s="46"/>
      <c r="M217" s="27"/>
      <c r="N217" s="27"/>
      <c r="O217" s="27"/>
      <c r="P217" s="46"/>
      <c r="Q217" s="27"/>
      <c r="R217" s="27"/>
      <c r="S217" s="27"/>
      <c r="T217" s="27"/>
      <c r="U217" s="27"/>
      <c r="V217" s="46"/>
      <c r="W217" s="27"/>
      <c r="X217" s="27"/>
      <c r="Y217" s="27"/>
      <c r="Z217" s="46"/>
      <c r="AA217" s="27"/>
      <c r="AB217" s="27"/>
      <c r="AC217" s="27"/>
    </row>
    <row r="218" spans="2:29" x14ac:dyDescent="0.75">
      <c r="B218" s="26"/>
      <c r="C218" s="27" t="s">
        <v>160</v>
      </c>
      <c r="D218" s="46"/>
      <c r="E218" s="27"/>
      <c r="F218" s="27"/>
      <c r="G218" s="27"/>
      <c r="H218" s="46"/>
      <c r="I218" s="27"/>
      <c r="J218" s="27"/>
      <c r="K218" s="27"/>
      <c r="L218" s="46"/>
      <c r="M218" s="27"/>
      <c r="N218" s="27"/>
      <c r="O218" s="27"/>
      <c r="P218" s="46"/>
      <c r="Q218" s="27"/>
      <c r="R218" s="27"/>
      <c r="S218" s="27"/>
      <c r="T218" s="27"/>
      <c r="U218" s="27"/>
      <c r="V218" s="46"/>
      <c r="W218" s="27"/>
      <c r="X218" s="27"/>
      <c r="Y218" s="27"/>
      <c r="Z218" s="46"/>
      <c r="AA218" s="27"/>
      <c r="AB218" s="27"/>
      <c r="AC218" s="27"/>
    </row>
    <row r="219" spans="2:29" x14ac:dyDescent="0.75">
      <c r="B219" s="26"/>
      <c r="C219" s="27" t="s">
        <v>82</v>
      </c>
      <c r="D219" s="46"/>
      <c r="E219" s="27"/>
      <c r="F219" s="27"/>
      <c r="G219" s="27"/>
      <c r="H219" s="46"/>
      <c r="I219" s="27"/>
      <c r="J219" s="27"/>
      <c r="K219" s="27"/>
      <c r="L219" s="46"/>
      <c r="M219" s="27"/>
      <c r="N219" s="27"/>
      <c r="O219" s="27"/>
      <c r="P219" s="46"/>
      <c r="Q219" s="27"/>
      <c r="R219" s="27"/>
      <c r="S219" s="27"/>
      <c r="T219" s="27"/>
      <c r="U219" s="27"/>
      <c r="V219" s="46"/>
      <c r="W219" s="27"/>
      <c r="X219" s="27"/>
      <c r="Y219" s="27"/>
      <c r="Z219" s="46"/>
      <c r="AA219" s="27"/>
      <c r="AB219" s="27"/>
      <c r="AC219" s="27"/>
    </row>
    <row r="220" spans="2:29" x14ac:dyDescent="0.75">
      <c r="B220" s="26"/>
      <c r="C220" t="s">
        <v>83</v>
      </c>
      <c r="D220" s="46"/>
      <c r="E220" s="27"/>
      <c r="F220" s="27"/>
      <c r="G220" s="27"/>
      <c r="H220" s="46"/>
      <c r="I220" s="27"/>
      <c r="J220" s="27"/>
      <c r="K220" s="27"/>
      <c r="L220" s="46"/>
      <c r="M220" s="27"/>
      <c r="N220" s="27"/>
      <c r="O220" s="27"/>
      <c r="P220" s="46"/>
      <c r="Q220" s="27"/>
      <c r="R220" s="27"/>
      <c r="S220" s="27"/>
      <c r="T220" s="27"/>
      <c r="U220" s="27"/>
      <c r="V220" s="46"/>
      <c r="W220" s="27"/>
      <c r="X220" s="27"/>
      <c r="Y220" s="27"/>
      <c r="Z220" s="46"/>
      <c r="AA220" s="27"/>
      <c r="AB220" s="27"/>
      <c r="AC220" s="27"/>
    </row>
    <row r="221" spans="2:29" x14ac:dyDescent="0.75">
      <c r="B221" s="26"/>
      <c r="C221" t="s">
        <v>163</v>
      </c>
      <c r="D221" s="46"/>
      <c r="E221" s="27"/>
      <c r="F221" s="27"/>
      <c r="G221" s="27"/>
      <c r="H221" s="46"/>
      <c r="I221" s="27"/>
      <c r="J221" s="27"/>
      <c r="K221" s="27"/>
      <c r="L221" s="46"/>
      <c r="M221" s="27"/>
      <c r="N221" s="27"/>
      <c r="O221" s="27"/>
      <c r="P221" s="46"/>
      <c r="Q221" s="27"/>
      <c r="R221" s="27"/>
      <c r="S221" s="27"/>
      <c r="T221" s="27"/>
      <c r="U221" s="27"/>
      <c r="V221" s="46"/>
      <c r="W221" s="27"/>
      <c r="X221" s="27"/>
      <c r="Y221" s="27"/>
      <c r="Z221" s="46"/>
      <c r="AA221" s="27"/>
      <c r="AB221" s="27"/>
      <c r="AC221" s="27"/>
    </row>
    <row r="222" spans="2:29" x14ac:dyDescent="0.75">
      <c r="B222" s="26"/>
      <c r="C222" t="s">
        <v>84</v>
      </c>
      <c r="D222" s="46"/>
      <c r="E222" s="27"/>
      <c r="F222" s="27"/>
      <c r="G222" s="27"/>
      <c r="H222" s="46"/>
      <c r="I222" s="27"/>
      <c r="J222" s="27"/>
      <c r="K222" s="27"/>
      <c r="L222" s="46"/>
      <c r="M222" s="27"/>
      <c r="N222" s="27"/>
      <c r="O222" s="27"/>
      <c r="P222" s="46"/>
      <c r="Q222" s="27"/>
      <c r="R222" s="27"/>
      <c r="S222" s="27"/>
      <c r="T222" s="27"/>
      <c r="U222" s="27"/>
      <c r="V222" s="46"/>
      <c r="W222" s="27"/>
      <c r="X222" s="27"/>
      <c r="Y222" s="27"/>
      <c r="Z222" s="46"/>
      <c r="AA222" s="27"/>
      <c r="AB222" s="27"/>
      <c r="AC222" s="27"/>
    </row>
    <row r="223" spans="2:29" x14ac:dyDescent="0.75">
      <c r="B223" s="26"/>
      <c r="C223" t="s">
        <v>85</v>
      </c>
      <c r="D223" s="46"/>
      <c r="E223" s="27"/>
      <c r="F223" s="27"/>
      <c r="G223" s="27"/>
      <c r="H223" s="46"/>
      <c r="I223" s="27"/>
      <c r="J223" s="27"/>
      <c r="K223" s="27"/>
      <c r="L223" s="46"/>
      <c r="M223" s="27"/>
      <c r="N223" s="27"/>
      <c r="O223" s="27"/>
      <c r="P223" s="46"/>
      <c r="Q223" s="27"/>
      <c r="R223" s="27"/>
      <c r="S223" s="27"/>
      <c r="T223" s="27"/>
      <c r="U223" s="27"/>
      <c r="V223" s="46"/>
      <c r="W223" s="27"/>
      <c r="X223" s="27"/>
      <c r="Y223" s="27"/>
      <c r="Z223" s="46"/>
      <c r="AA223" s="27"/>
      <c r="AB223" s="27"/>
      <c r="AC223" s="27"/>
    </row>
    <row r="224" spans="2:29" x14ac:dyDescent="0.75">
      <c r="B224" s="26"/>
      <c r="C224" t="s">
        <v>86</v>
      </c>
      <c r="D224" s="46"/>
      <c r="E224" s="27"/>
      <c r="F224" s="27"/>
      <c r="G224" s="27"/>
      <c r="H224" s="46"/>
      <c r="I224" s="27"/>
      <c r="J224" s="27"/>
      <c r="K224" s="27"/>
      <c r="L224" s="46"/>
      <c r="M224" s="27"/>
      <c r="N224" s="27"/>
      <c r="O224" s="27"/>
      <c r="P224" s="46"/>
      <c r="Q224" s="27"/>
      <c r="R224" s="27"/>
      <c r="S224" s="27"/>
      <c r="T224" s="27"/>
      <c r="U224" s="27"/>
      <c r="V224" s="46"/>
      <c r="W224" s="27"/>
      <c r="X224" s="27"/>
      <c r="Y224" s="27"/>
      <c r="Z224" s="46"/>
      <c r="AA224" s="27"/>
      <c r="AB224" s="27"/>
      <c r="AC224" s="27"/>
    </row>
    <row r="225" spans="2:29" x14ac:dyDescent="0.75">
      <c r="B225" s="26"/>
      <c r="C225" s="27" t="s">
        <v>87</v>
      </c>
      <c r="D225" s="46"/>
      <c r="E225" s="27"/>
      <c r="F225" s="27"/>
      <c r="G225" s="27"/>
      <c r="H225" s="46"/>
      <c r="I225" s="27"/>
      <c r="J225" s="27"/>
      <c r="K225" s="27"/>
      <c r="L225" s="46"/>
      <c r="M225" s="27"/>
      <c r="N225" s="27"/>
      <c r="O225" s="27"/>
      <c r="P225" s="46"/>
      <c r="Q225" s="27"/>
      <c r="R225" s="27"/>
      <c r="S225" s="27"/>
      <c r="T225" s="27"/>
      <c r="U225" s="27"/>
      <c r="V225" s="46"/>
      <c r="W225" s="27"/>
      <c r="X225" s="27"/>
      <c r="Y225" s="27"/>
      <c r="Z225" s="46"/>
      <c r="AA225" s="27"/>
      <c r="AB225" s="27"/>
      <c r="AC225" s="27"/>
    </row>
    <row r="226" spans="2:29" x14ac:dyDescent="0.75">
      <c r="B226" s="26"/>
      <c r="C226" s="27" t="s">
        <v>92</v>
      </c>
      <c r="D226" s="46"/>
      <c r="E226" s="27"/>
      <c r="F226" s="27"/>
      <c r="G226" s="27"/>
      <c r="H226" s="46"/>
      <c r="I226" s="27"/>
      <c r="J226" s="27"/>
      <c r="K226" s="27"/>
      <c r="L226" s="46"/>
      <c r="M226" s="27"/>
      <c r="N226" s="27"/>
      <c r="O226" s="27"/>
      <c r="P226" s="46"/>
      <c r="Q226" s="27"/>
      <c r="R226" s="27"/>
      <c r="S226" s="27"/>
      <c r="T226" s="27"/>
      <c r="U226" s="27"/>
      <c r="V226" s="46"/>
      <c r="W226" s="27"/>
      <c r="X226" s="27"/>
      <c r="Y226" s="27"/>
      <c r="Z226" s="46"/>
      <c r="AA226" s="27"/>
      <c r="AB226" s="27"/>
      <c r="AC226" s="27"/>
    </row>
    <row r="227" spans="2:29" x14ac:dyDescent="0.75">
      <c r="B227" s="26"/>
      <c r="C227" s="27" t="s">
        <v>93</v>
      </c>
      <c r="D227" s="46"/>
      <c r="E227" s="27"/>
      <c r="F227" s="27"/>
      <c r="G227" s="27"/>
      <c r="H227" s="46"/>
      <c r="I227" s="27"/>
      <c r="J227" s="27"/>
      <c r="K227" s="27"/>
      <c r="L227" s="46"/>
      <c r="M227" s="27"/>
      <c r="N227" s="27"/>
      <c r="O227" s="27"/>
      <c r="P227" s="46"/>
      <c r="Q227" s="27"/>
      <c r="R227" s="27"/>
      <c r="S227" s="27"/>
      <c r="T227" s="27"/>
      <c r="U227" s="27"/>
      <c r="V227" s="46"/>
      <c r="W227" s="27"/>
      <c r="X227" s="27"/>
      <c r="Y227" s="27"/>
      <c r="Z227" s="46"/>
      <c r="AA227" s="27"/>
      <c r="AB227" s="27"/>
      <c r="AC227" s="27"/>
    </row>
    <row r="228" spans="2:29" x14ac:dyDescent="0.75">
      <c r="B228" s="26"/>
      <c r="C228" s="27" t="s">
        <v>91</v>
      </c>
      <c r="D228" s="46"/>
      <c r="E228" s="27"/>
      <c r="F228" s="27"/>
      <c r="G228" s="27"/>
      <c r="H228" s="46"/>
      <c r="I228" s="27"/>
      <c r="J228" s="27"/>
      <c r="K228" s="27"/>
      <c r="L228" s="46"/>
      <c r="M228" s="27"/>
      <c r="N228" s="27"/>
      <c r="O228" s="27"/>
      <c r="P228" s="46"/>
      <c r="Q228" s="27"/>
      <c r="R228" s="27"/>
      <c r="S228" s="27"/>
      <c r="T228" s="27"/>
      <c r="U228" s="27"/>
      <c r="V228" s="46"/>
      <c r="W228" s="27"/>
      <c r="X228" s="27"/>
      <c r="Y228" s="27"/>
      <c r="Z228" s="46"/>
      <c r="AA228" s="27"/>
      <c r="AB228" s="27"/>
      <c r="AC228" s="27"/>
    </row>
    <row r="229" spans="2:29" x14ac:dyDescent="0.75">
      <c r="B229" s="26"/>
      <c r="C229" s="27" t="s">
        <v>89</v>
      </c>
      <c r="D229" s="46"/>
      <c r="E229" s="27"/>
      <c r="F229" s="27"/>
      <c r="G229" s="27"/>
      <c r="H229" s="46"/>
      <c r="I229" s="27"/>
      <c r="J229" s="27"/>
      <c r="K229" s="27"/>
      <c r="L229" s="46"/>
      <c r="M229" s="27"/>
      <c r="N229" s="27"/>
      <c r="O229" s="27"/>
      <c r="P229" s="46"/>
      <c r="Q229" s="27"/>
      <c r="R229" s="27"/>
      <c r="S229" s="27"/>
      <c r="T229" s="27"/>
      <c r="U229" s="27"/>
      <c r="V229" s="46"/>
      <c r="W229" s="27"/>
      <c r="X229" s="27"/>
      <c r="Y229" s="27"/>
      <c r="Z229" s="46"/>
      <c r="AA229" s="27"/>
      <c r="AB229" s="27"/>
      <c r="AC229" s="27"/>
    </row>
    <row r="230" spans="2:29" x14ac:dyDescent="0.75">
      <c r="B230" s="26"/>
      <c r="C230" s="27" t="s">
        <v>90</v>
      </c>
      <c r="D230" s="46"/>
      <c r="E230" s="27"/>
      <c r="F230" s="27"/>
      <c r="G230" s="27"/>
      <c r="H230" s="46"/>
      <c r="I230" s="27"/>
      <c r="J230" s="27"/>
      <c r="K230" s="27"/>
      <c r="L230" s="46"/>
      <c r="M230" s="27"/>
      <c r="N230" s="27"/>
      <c r="O230" s="27"/>
      <c r="P230" s="46"/>
      <c r="Q230" s="27"/>
      <c r="R230" s="27"/>
      <c r="S230" s="27"/>
      <c r="T230" s="27"/>
      <c r="U230" s="27"/>
      <c r="V230" s="46"/>
      <c r="W230" s="27"/>
      <c r="X230" s="27"/>
      <c r="Y230" s="27"/>
      <c r="Z230" s="46"/>
      <c r="AA230" s="27"/>
      <c r="AB230" s="27"/>
      <c r="AC230" s="27"/>
    </row>
    <row r="231" spans="2:29" x14ac:dyDescent="0.75">
      <c r="B231" s="26"/>
      <c r="C231" s="27" t="s">
        <v>88</v>
      </c>
      <c r="D231" s="46"/>
      <c r="E231" s="27"/>
      <c r="F231" s="27"/>
      <c r="G231" s="27"/>
      <c r="H231" s="46"/>
      <c r="I231" s="27"/>
      <c r="J231" s="27"/>
      <c r="K231" s="27"/>
      <c r="L231" s="46"/>
      <c r="M231" s="27"/>
      <c r="N231" s="27"/>
      <c r="O231" s="27"/>
      <c r="P231" s="46"/>
      <c r="Q231" s="27"/>
      <c r="R231" s="27"/>
      <c r="S231" s="27"/>
      <c r="T231" s="27"/>
      <c r="U231" s="27"/>
      <c r="V231" s="46"/>
      <c r="W231" s="27"/>
      <c r="X231" s="27"/>
      <c r="Y231" s="27"/>
      <c r="Z231" s="46"/>
      <c r="AA231" s="27"/>
      <c r="AB231" s="27"/>
      <c r="AC231" s="27"/>
    </row>
    <row r="232" spans="2:29" x14ac:dyDescent="0.75">
      <c r="B232" s="26"/>
      <c r="C232" s="27" t="s">
        <v>169</v>
      </c>
      <c r="D232" s="46"/>
      <c r="E232" s="27"/>
      <c r="F232" s="27"/>
      <c r="G232" s="27"/>
      <c r="H232" s="46"/>
      <c r="I232" s="27"/>
      <c r="J232" s="27"/>
      <c r="K232" s="27"/>
      <c r="L232" s="46"/>
      <c r="M232" s="27"/>
      <c r="N232" s="27"/>
      <c r="O232" s="27"/>
      <c r="P232" s="46"/>
      <c r="Q232" s="27"/>
      <c r="R232" s="27"/>
      <c r="S232" s="27"/>
      <c r="T232" s="27"/>
      <c r="U232" s="27"/>
      <c r="V232" s="46"/>
      <c r="W232" s="27"/>
      <c r="X232" s="27"/>
      <c r="Y232" s="27"/>
      <c r="Z232" s="46"/>
      <c r="AA232" s="27"/>
      <c r="AB232" s="27"/>
      <c r="AC232" s="27"/>
    </row>
    <row r="233" spans="2:29" x14ac:dyDescent="0.75">
      <c r="B233" s="26"/>
      <c r="C233" s="27" t="s">
        <v>249</v>
      </c>
      <c r="D233" s="46"/>
      <c r="E233" s="27"/>
      <c r="F233" s="27"/>
      <c r="G233" s="27"/>
      <c r="H233" s="46"/>
      <c r="I233" s="27"/>
      <c r="J233" s="27"/>
      <c r="K233" s="27"/>
      <c r="L233" s="46"/>
      <c r="M233" s="27"/>
      <c r="N233" s="27"/>
      <c r="O233" s="27"/>
      <c r="P233" s="46"/>
      <c r="Q233" s="27"/>
      <c r="R233" s="27"/>
      <c r="S233" s="27"/>
      <c r="T233" s="27"/>
      <c r="U233" s="27"/>
      <c r="V233" s="46"/>
      <c r="W233" s="27"/>
      <c r="X233" s="27"/>
      <c r="Y233" s="27"/>
      <c r="Z233" s="46"/>
      <c r="AA233" s="27"/>
      <c r="AB233" s="27"/>
      <c r="AC233" s="27"/>
    </row>
    <row r="234" spans="2:29" x14ac:dyDescent="0.75">
      <c r="B234" s="26"/>
      <c r="C234" s="27" t="s">
        <v>757</v>
      </c>
      <c r="D234" s="46"/>
      <c r="E234" s="27"/>
      <c r="F234" s="27"/>
      <c r="G234" s="27"/>
      <c r="H234" s="46"/>
      <c r="I234" s="27"/>
      <c r="J234" s="27"/>
      <c r="K234" s="27"/>
      <c r="L234" s="46"/>
      <c r="M234" s="27"/>
      <c r="N234" s="27"/>
      <c r="O234" s="27"/>
      <c r="P234" s="46"/>
      <c r="Q234" s="27"/>
      <c r="R234" s="27"/>
      <c r="S234" s="27"/>
      <c r="T234" s="27"/>
      <c r="U234" s="27"/>
      <c r="V234" s="46"/>
      <c r="W234" s="27"/>
      <c r="X234" s="27"/>
      <c r="Y234" s="27"/>
      <c r="Z234" s="46"/>
      <c r="AA234" s="27"/>
      <c r="AB234" s="27"/>
      <c r="AC234" s="27"/>
    </row>
    <row r="235" spans="2:29" x14ac:dyDescent="0.75">
      <c r="B235" s="26"/>
      <c r="C235" s="27" t="s">
        <v>758</v>
      </c>
      <c r="D235" s="46"/>
      <c r="E235" s="27"/>
      <c r="F235" s="27"/>
      <c r="G235" s="27"/>
      <c r="H235" s="46"/>
      <c r="I235" s="27"/>
      <c r="J235" s="27"/>
      <c r="K235" s="27"/>
      <c r="L235" s="46"/>
      <c r="M235" s="27"/>
      <c r="N235" s="27"/>
      <c r="O235" s="27"/>
      <c r="P235" s="46"/>
      <c r="Q235" s="27"/>
      <c r="R235" s="27"/>
      <c r="S235" s="27"/>
      <c r="T235" s="27"/>
      <c r="U235" s="27"/>
      <c r="V235" s="46"/>
      <c r="W235" s="27"/>
      <c r="X235" s="27"/>
      <c r="Y235" s="27"/>
      <c r="Z235" s="46"/>
      <c r="AA235" s="27"/>
      <c r="AB235" s="27"/>
      <c r="AC235" s="27"/>
    </row>
    <row r="236" spans="2:29" x14ac:dyDescent="0.75">
      <c r="B236" s="26"/>
      <c r="C236" s="27"/>
      <c r="D236" s="46"/>
      <c r="E236" s="27"/>
      <c r="F236" s="27"/>
      <c r="G236" s="27"/>
      <c r="H236" s="46"/>
      <c r="I236" s="27"/>
      <c r="J236" s="27"/>
      <c r="K236" s="27"/>
      <c r="L236" s="46"/>
      <c r="M236" s="27"/>
      <c r="N236" s="27"/>
      <c r="O236" s="27"/>
      <c r="P236" s="46"/>
      <c r="Q236" s="27"/>
      <c r="R236" s="27"/>
      <c r="S236" s="27"/>
      <c r="T236" s="27"/>
      <c r="U236" s="27"/>
      <c r="V236" s="46"/>
      <c r="W236" s="27"/>
      <c r="X236" s="27"/>
      <c r="Y236" s="27"/>
      <c r="Z236" s="46"/>
      <c r="AA236" s="27"/>
      <c r="AB236" s="27"/>
      <c r="AC236" s="27"/>
    </row>
    <row r="237" spans="2:29" x14ac:dyDescent="0.75">
      <c r="B237" s="26"/>
      <c r="C237" s="27"/>
      <c r="D237" s="46"/>
      <c r="E237" s="27"/>
      <c r="F237" s="27"/>
      <c r="G237" s="27"/>
      <c r="H237" s="46"/>
      <c r="I237" s="27"/>
      <c r="J237" s="27"/>
      <c r="K237" s="27"/>
      <c r="L237" s="46"/>
      <c r="M237" s="27"/>
      <c r="N237" s="27"/>
      <c r="O237" s="27"/>
      <c r="P237" s="46"/>
      <c r="Q237" s="27"/>
      <c r="R237" s="27"/>
      <c r="S237" s="27"/>
      <c r="T237" s="27"/>
      <c r="U237" s="27"/>
      <c r="V237" s="46"/>
      <c r="W237" s="27"/>
      <c r="X237" s="27"/>
      <c r="Y237" s="27"/>
      <c r="Z237" s="46"/>
      <c r="AA237" s="27"/>
      <c r="AB237" s="27"/>
      <c r="AC237" s="27"/>
    </row>
    <row r="238" spans="2:29" x14ac:dyDescent="0.75">
      <c r="B238" s="26"/>
      <c r="C238" s="27"/>
      <c r="D238" s="46"/>
      <c r="E238" s="27"/>
      <c r="F238" s="27"/>
      <c r="G238" s="27"/>
      <c r="H238" s="46"/>
      <c r="I238" s="27"/>
      <c r="J238" s="27"/>
      <c r="K238" s="27"/>
      <c r="L238" s="46"/>
      <c r="M238" s="27"/>
      <c r="N238" s="27"/>
      <c r="O238" s="27"/>
      <c r="P238" s="46"/>
      <c r="Q238" s="27"/>
      <c r="R238" s="27"/>
      <c r="S238" s="27"/>
      <c r="T238" s="27"/>
      <c r="U238" s="27"/>
      <c r="V238" s="46"/>
      <c r="W238" s="27"/>
      <c r="X238" s="27"/>
      <c r="Y238" s="27"/>
      <c r="Z238" s="46"/>
      <c r="AA238" s="27"/>
      <c r="AB238" s="27"/>
      <c r="AC238" s="27"/>
    </row>
    <row r="239" spans="2:29" x14ac:dyDescent="0.75">
      <c r="B239" s="26"/>
      <c r="C239" s="27"/>
      <c r="D239" s="46"/>
      <c r="E239" s="27"/>
      <c r="F239" s="27"/>
      <c r="G239" s="27"/>
      <c r="H239" s="46"/>
      <c r="I239" s="27"/>
      <c r="J239" s="27"/>
      <c r="K239" s="27"/>
      <c r="L239" s="46"/>
      <c r="M239" s="27"/>
      <c r="N239" s="27"/>
      <c r="O239" s="27"/>
      <c r="P239" s="46"/>
      <c r="Q239" s="27"/>
      <c r="R239" s="27"/>
      <c r="S239" s="27"/>
      <c r="T239" s="27"/>
      <c r="U239" s="27"/>
      <c r="V239" s="46"/>
      <c r="W239" s="27"/>
      <c r="X239" s="27"/>
      <c r="Y239" s="27"/>
      <c r="Z239" s="46"/>
      <c r="AA239" s="27"/>
      <c r="AB239" s="27"/>
      <c r="AC239" s="27"/>
    </row>
    <row r="240" spans="2:29" x14ac:dyDescent="0.75">
      <c r="B240" s="26"/>
      <c r="C240" s="27"/>
      <c r="D240" s="46"/>
      <c r="E240" s="27"/>
      <c r="F240" s="27"/>
      <c r="G240" s="27"/>
      <c r="H240" s="46"/>
      <c r="I240" s="27"/>
      <c r="J240" s="27"/>
      <c r="K240" s="27"/>
      <c r="L240" s="46"/>
      <c r="M240" s="27"/>
      <c r="N240" s="27"/>
      <c r="O240" s="27"/>
      <c r="P240" s="46"/>
      <c r="Q240" s="27"/>
      <c r="R240" s="27"/>
      <c r="S240" s="27"/>
      <c r="T240" s="27"/>
      <c r="U240" s="27"/>
      <c r="V240" s="46"/>
      <c r="W240" s="27"/>
      <c r="X240" s="27"/>
      <c r="Y240" s="27"/>
      <c r="Z240" s="46"/>
      <c r="AA240" s="27"/>
      <c r="AB240" s="27"/>
      <c r="AC240" s="27"/>
    </row>
    <row r="241" spans="2:29" x14ac:dyDescent="0.75">
      <c r="B241" s="26"/>
      <c r="C241" s="27"/>
      <c r="D241" s="46"/>
      <c r="E241" s="27"/>
      <c r="F241" s="27"/>
      <c r="G241" s="27"/>
      <c r="H241" s="46"/>
      <c r="I241" s="27"/>
      <c r="J241" s="27"/>
      <c r="K241" s="27"/>
      <c r="L241" s="46"/>
      <c r="M241" s="27"/>
      <c r="N241" s="27"/>
      <c r="O241" s="27"/>
      <c r="P241" s="46"/>
      <c r="Q241" s="27"/>
      <c r="R241" s="27"/>
      <c r="S241" s="27"/>
      <c r="T241" s="27"/>
      <c r="U241" s="27"/>
      <c r="V241" s="46"/>
      <c r="W241" s="27"/>
      <c r="X241" s="27"/>
      <c r="Y241" s="27"/>
      <c r="Z241" s="46"/>
      <c r="AA241" s="27"/>
      <c r="AB241" s="27"/>
      <c r="AC241" s="27"/>
    </row>
    <row r="242" spans="2:29" x14ac:dyDescent="0.75">
      <c r="B242" s="26"/>
      <c r="C242" s="27"/>
      <c r="D242" s="46"/>
      <c r="E242" s="27"/>
      <c r="F242" s="27"/>
      <c r="G242" s="27"/>
      <c r="H242" s="46"/>
      <c r="I242" s="27"/>
      <c r="J242" s="27"/>
      <c r="K242" s="27"/>
      <c r="L242" s="46"/>
      <c r="M242" s="27"/>
      <c r="N242" s="27"/>
      <c r="O242" s="27"/>
      <c r="P242" s="46"/>
      <c r="Q242" s="27"/>
      <c r="R242" s="27"/>
      <c r="S242" s="27"/>
      <c r="T242" s="27"/>
      <c r="U242" s="27"/>
      <c r="V242" s="46"/>
      <c r="W242" s="27"/>
      <c r="X242" s="27"/>
      <c r="Y242" s="27"/>
      <c r="Z242" s="46"/>
      <c r="AA242" s="27"/>
      <c r="AB242" s="27"/>
      <c r="AC242" s="27"/>
    </row>
    <row r="243" spans="2:29" x14ac:dyDescent="0.75">
      <c r="B243" s="26"/>
      <c r="C243" s="27"/>
      <c r="D243" s="46"/>
      <c r="E243" s="27"/>
      <c r="F243" s="27"/>
      <c r="G243" s="27"/>
      <c r="H243" s="46"/>
      <c r="I243" s="27"/>
      <c r="J243" s="27"/>
      <c r="K243" s="27"/>
      <c r="L243" s="46"/>
      <c r="M243" s="27"/>
      <c r="N243" s="27"/>
      <c r="O243" s="27"/>
      <c r="P243" s="46"/>
      <c r="Q243" s="27"/>
      <c r="R243" s="27"/>
      <c r="S243" s="27"/>
      <c r="T243" s="27"/>
      <c r="U243" s="27"/>
      <c r="V243" s="46"/>
      <c r="W243" s="27"/>
      <c r="X243" s="27"/>
      <c r="Y243" s="27"/>
      <c r="Z243" s="46"/>
      <c r="AA243" s="27"/>
      <c r="AB243" s="27"/>
      <c r="AC243" s="27"/>
    </row>
    <row r="244" spans="2:29" x14ac:dyDescent="0.75">
      <c r="B244" s="26"/>
      <c r="C244" s="27"/>
      <c r="D244" s="46"/>
      <c r="E244" s="27"/>
      <c r="F244" s="27"/>
      <c r="G244" s="27"/>
      <c r="H244" s="46"/>
      <c r="I244" s="27"/>
      <c r="J244" s="27"/>
      <c r="K244" s="27"/>
      <c r="L244" s="46"/>
      <c r="M244" s="27"/>
      <c r="N244" s="27"/>
      <c r="O244" s="27"/>
      <c r="P244" s="46"/>
      <c r="Q244" s="27"/>
      <c r="R244" s="27"/>
      <c r="S244" s="27"/>
      <c r="T244" s="27"/>
      <c r="U244" s="27"/>
      <c r="V244" s="46"/>
      <c r="W244" s="27"/>
      <c r="X244" s="27"/>
      <c r="Y244" s="27"/>
      <c r="Z244" s="46"/>
      <c r="AA244" s="27"/>
      <c r="AB244" s="27"/>
      <c r="AC244" s="27"/>
    </row>
    <row r="245" spans="2:29" x14ac:dyDescent="0.75">
      <c r="B245" s="26"/>
      <c r="C245" s="27"/>
      <c r="D245" s="46"/>
      <c r="E245" s="27"/>
      <c r="F245" s="27"/>
      <c r="G245" s="27"/>
      <c r="H245" s="46"/>
      <c r="I245" s="27"/>
      <c r="J245" s="27"/>
      <c r="K245" s="27"/>
      <c r="L245" s="46"/>
      <c r="M245" s="27"/>
      <c r="N245" s="27"/>
      <c r="O245" s="27"/>
      <c r="P245" s="46"/>
      <c r="Q245" s="27"/>
      <c r="R245" s="27"/>
      <c r="S245" s="27"/>
      <c r="T245" s="27"/>
      <c r="U245" s="27"/>
      <c r="V245" s="46"/>
      <c r="W245" s="27"/>
      <c r="X245" s="27"/>
      <c r="Y245" s="27"/>
      <c r="Z245" s="46"/>
      <c r="AA245" s="27"/>
      <c r="AB245" s="27"/>
      <c r="AC245" s="27"/>
    </row>
    <row r="246" spans="2:29" x14ac:dyDescent="0.75">
      <c r="B246" s="26"/>
      <c r="C246" s="27"/>
      <c r="D246" s="46"/>
      <c r="E246" s="27"/>
      <c r="F246" s="27"/>
      <c r="G246" s="27"/>
      <c r="H246" s="46"/>
      <c r="I246" s="27"/>
      <c r="J246" s="27"/>
      <c r="K246" s="27"/>
      <c r="L246" s="46"/>
      <c r="M246" s="27"/>
      <c r="N246" s="27"/>
      <c r="O246" s="27"/>
      <c r="P246" s="46"/>
      <c r="Q246" s="27"/>
      <c r="R246" s="27"/>
      <c r="S246" s="27"/>
      <c r="T246" s="27"/>
      <c r="U246" s="27"/>
      <c r="V246" s="46"/>
      <c r="W246" s="27"/>
      <c r="X246" s="27"/>
      <c r="Y246" s="27"/>
      <c r="Z246" s="46"/>
      <c r="AA246" s="27"/>
      <c r="AB246" s="27"/>
      <c r="AC246" s="27"/>
    </row>
    <row r="247" spans="2:29" x14ac:dyDescent="0.75">
      <c r="B247" s="26"/>
      <c r="C247" s="27"/>
      <c r="D247" s="46"/>
      <c r="E247" s="27"/>
      <c r="F247" s="27"/>
      <c r="G247" s="27"/>
      <c r="H247" s="46"/>
      <c r="I247" s="27"/>
      <c r="J247" s="27"/>
      <c r="K247" s="27"/>
      <c r="L247" s="46"/>
      <c r="M247" s="27"/>
      <c r="N247" s="27"/>
      <c r="O247" s="27"/>
      <c r="P247" s="46"/>
      <c r="Q247" s="27"/>
      <c r="R247" s="27"/>
      <c r="S247" s="27"/>
      <c r="T247" s="27"/>
      <c r="U247" s="27"/>
      <c r="V247" s="46"/>
      <c r="W247" s="27"/>
      <c r="X247" s="27"/>
      <c r="Y247" s="27"/>
      <c r="Z247" s="46"/>
      <c r="AA247" s="27"/>
      <c r="AB247" s="27"/>
      <c r="AC247" s="27"/>
    </row>
    <row r="248" spans="2:29" x14ac:dyDescent="0.75">
      <c r="B248" s="26"/>
      <c r="D248" s="46"/>
      <c r="E248" s="27"/>
      <c r="F248" s="27"/>
      <c r="G248" s="27"/>
      <c r="H248" s="46"/>
      <c r="I248" s="27"/>
      <c r="J248" s="27"/>
      <c r="K248" s="27"/>
      <c r="L248" s="46"/>
      <c r="M248" s="27"/>
      <c r="N248" s="27"/>
      <c r="O248" s="27"/>
      <c r="P248" s="46"/>
      <c r="Q248" s="27"/>
      <c r="R248" s="27"/>
      <c r="S248" s="27"/>
      <c r="T248" s="27"/>
      <c r="U248" s="27"/>
      <c r="V248" s="46"/>
      <c r="W248" s="27"/>
      <c r="X248" s="27"/>
      <c r="Y248" s="27"/>
      <c r="Z248" s="46"/>
      <c r="AA248" s="27"/>
      <c r="AB248" s="27"/>
      <c r="AC248" s="27"/>
    </row>
    <row r="249" spans="2:29" x14ac:dyDescent="0.75">
      <c r="B249" s="26"/>
      <c r="D249" s="46"/>
      <c r="E249" s="27"/>
      <c r="F249" s="27"/>
      <c r="G249" s="27"/>
      <c r="H249" s="46"/>
      <c r="I249" s="27"/>
      <c r="J249" s="27"/>
      <c r="K249" s="27"/>
      <c r="L249" s="46"/>
      <c r="M249" s="27"/>
      <c r="N249" s="27"/>
      <c r="O249" s="27"/>
      <c r="P249" s="46"/>
      <c r="Q249" s="27"/>
      <c r="R249" s="27"/>
      <c r="S249" s="27"/>
      <c r="T249" s="27"/>
      <c r="U249" s="27"/>
      <c r="V249" s="46"/>
      <c r="W249" s="27"/>
      <c r="X249" s="27"/>
      <c r="Y249" s="27"/>
      <c r="Z249" s="46"/>
      <c r="AA249" s="27"/>
      <c r="AB249" s="27"/>
      <c r="AC249" s="27"/>
    </row>
    <row r="250" spans="2:29" x14ac:dyDescent="0.75">
      <c r="B250" s="26"/>
      <c r="D250" s="46"/>
      <c r="E250" s="27"/>
      <c r="F250" s="27"/>
      <c r="G250" s="27"/>
      <c r="H250" s="46"/>
      <c r="I250" s="27"/>
      <c r="J250" s="27"/>
      <c r="K250" s="27"/>
      <c r="L250" s="46"/>
      <c r="M250" s="27"/>
      <c r="N250" s="27"/>
      <c r="O250" s="27"/>
      <c r="P250" s="46"/>
      <c r="Q250" s="27"/>
      <c r="R250" s="27"/>
      <c r="S250" s="27"/>
      <c r="T250" s="27"/>
      <c r="U250" s="27"/>
      <c r="V250" s="46"/>
      <c r="W250" s="27"/>
      <c r="X250" s="27"/>
      <c r="Y250" s="27"/>
      <c r="Z250" s="46"/>
      <c r="AA250" s="27"/>
      <c r="AB250" s="27"/>
      <c r="AC250" s="27"/>
    </row>
    <row r="251" spans="2:29" x14ac:dyDescent="0.75">
      <c r="B251" s="26"/>
      <c r="D251" s="46"/>
      <c r="E251" s="27"/>
      <c r="F251" s="27"/>
      <c r="G251" s="27"/>
      <c r="H251" s="46"/>
      <c r="I251" s="27"/>
      <c r="J251" s="27"/>
      <c r="K251" s="27"/>
      <c r="L251" s="46"/>
      <c r="M251" s="27"/>
      <c r="N251" s="27"/>
      <c r="O251" s="27"/>
      <c r="P251" s="46"/>
      <c r="Q251" s="27"/>
      <c r="R251" s="27"/>
      <c r="S251" s="27"/>
      <c r="T251" s="27"/>
      <c r="U251" s="27"/>
      <c r="V251" s="46"/>
      <c r="W251" s="27"/>
      <c r="X251" s="27"/>
      <c r="Y251" s="27"/>
      <c r="Z251" s="46"/>
      <c r="AA251" s="27"/>
      <c r="AB251" s="27"/>
      <c r="AC251" s="27"/>
    </row>
    <row r="252" spans="2:29" x14ac:dyDescent="0.75">
      <c r="B252" s="26"/>
      <c r="D252" s="46"/>
      <c r="E252" s="27"/>
      <c r="F252" s="27"/>
      <c r="G252" s="27"/>
      <c r="H252" s="46"/>
      <c r="I252" s="27"/>
      <c r="J252" s="27"/>
      <c r="K252" s="27"/>
      <c r="L252" s="46"/>
      <c r="M252" s="27"/>
      <c r="N252" s="27"/>
      <c r="O252" s="27"/>
      <c r="P252" s="46"/>
      <c r="Q252" s="27"/>
      <c r="R252" s="27"/>
      <c r="S252" s="27"/>
      <c r="T252" s="27"/>
      <c r="U252" s="27"/>
      <c r="V252" s="46"/>
      <c r="W252" s="27"/>
      <c r="X252" s="27"/>
      <c r="Y252" s="27"/>
      <c r="Z252" s="46"/>
      <c r="AA252" s="27"/>
      <c r="AB252" s="27"/>
      <c r="AC252" s="27"/>
    </row>
    <row r="253" spans="2:29" x14ac:dyDescent="0.75">
      <c r="B253" s="26"/>
      <c r="D253" s="46"/>
      <c r="E253" s="27"/>
      <c r="F253" s="27"/>
      <c r="G253" s="27"/>
      <c r="H253" s="46"/>
      <c r="I253" s="27"/>
      <c r="J253" s="27"/>
      <c r="K253" s="27"/>
      <c r="L253" s="46"/>
      <c r="M253" s="27"/>
      <c r="N253" s="27"/>
      <c r="O253" s="27"/>
      <c r="P253" s="46"/>
      <c r="Q253" s="27"/>
      <c r="R253" s="27"/>
      <c r="S253" s="27"/>
      <c r="T253" s="27"/>
      <c r="U253" s="27"/>
      <c r="V253" s="46"/>
      <c r="W253" s="27"/>
      <c r="X253" s="27"/>
      <c r="Y253" s="27"/>
      <c r="Z253" s="46"/>
      <c r="AA253" s="27"/>
      <c r="AB253" s="27"/>
      <c r="AC253" s="27"/>
    </row>
    <row r="254" spans="2:29" x14ac:dyDescent="0.75">
      <c r="B254" s="26"/>
      <c r="D254" s="46"/>
      <c r="E254" s="27"/>
      <c r="F254" s="27"/>
      <c r="G254" s="27"/>
      <c r="H254" s="46"/>
      <c r="I254" s="27"/>
      <c r="J254" s="27"/>
      <c r="K254" s="27"/>
      <c r="L254" s="46"/>
      <c r="M254" s="27"/>
      <c r="N254" s="27"/>
      <c r="O254" s="27"/>
      <c r="P254" s="46"/>
      <c r="Q254" s="27"/>
      <c r="R254" s="27"/>
      <c r="S254" s="27"/>
      <c r="T254" s="27"/>
      <c r="U254" s="27"/>
      <c r="V254" s="46"/>
      <c r="W254" s="27"/>
      <c r="X254" s="27"/>
      <c r="Y254" s="27"/>
      <c r="Z254" s="46"/>
      <c r="AA254" s="27"/>
      <c r="AB254" s="27"/>
      <c r="AC254" s="27"/>
    </row>
    <row r="255" spans="2:29" x14ac:dyDescent="0.75">
      <c r="B255" s="26"/>
      <c r="D255" s="46"/>
      <c r="E255" s="27"/>
      <c r="F255" s="27"/>
      <c r="G255" s="27"/>
      <c r="H255" s="46"/>
      <c r="I255" s="27"/>
      <c r="J255" s="27"/>
      <c r="K255" s="27"/>
      <c r="L255" s="46"/>
      <c r="M255" s="27"/>
      <c r="N255" s="27"/>
      <c r="O255" s="27"/>
      <c r="P255" s="46"/>
      <c r="Q255" s="27"/>
      <c r="R255" s="27"/>
      <c r="S255" s="27"/>
      <c r="T255" s="27"/>
      <c r="U255" s="27"/>
      <c r="V255" s="46"/>
      <c r="W255" s="27"/>
      <c r="X255" s="27"/>
      <c r="Y255" s="27"/>
      <c r="Z255" s="46"/>
      <c r="AA255" s="27"/>
      <c r="AB255" s="27"/>
      <c r="AC255" s="27"/>
    </row>
    <row r="256" spans="2:29" x14ac:dyDescent="0.75">
      <c r="B256" s="26"/>
      <c r="D256" s="46"/>
      <c r="E256" s="27"/>
      <c r="F256" s="27"/>
      <c r="G256" s="27"/>
      <c r="H256" s="46"/>
      <c r="I256" s="27"/>
      <c r="J256" s="27"/>
      <c r="K256" s="27"/>
      <c r="L256" s="46"/>
      <c r="M256" s="27"/>
      <c r="N256" s="27"/>
      <c r="O256" s="27"/>
      <c r="P256" s="46"/>
      <c r="Q256" s="27"/>
      <c r="R256" s="27"/>
      <c r="S256" s="27"/>
      <c r="T256" s="27"/>
      <c r="U256" s="27"/>
      <c r="V256" s="46"/>
      <c r="W256" s="27"/>
      <c r="X256" s="27"/>
      <c r="Y256" s="27"/>
      <c r="Z256" s="46"/>
      <c r="AA256" s="27"/>
      <c r="AB256" s="27"/>
      <c r="AC256" s="27"/>
    </row>
    <row r="257" spans="2:29" x14ac:dyDescent="0.75">
      <c r="B257" s="26"/>
      <c r="C257" s="27"/>
      <c r="D257" s="46"/>
      <c r="E257" s="27"/>
      <c r="F257" s="27"/>
      <c r="G257" s="27"/>
      <c r="H257" s="46"/>
      <c r="I257" s="27"/>
      <c r="J257" s="27"/>
      <c r="K257" s="27"/>
      <c r="L257" s="46"/>
      <c r="M257" s="27"/>
      <c r="N257" s="27"/>
      <c r="O257" s="27"/>
      <c r="P257" s="46"/>
      <c r="Q257" s="27"/>
      <c r="R257" s="27"/>
      <c r="S257" s="27"/>
      <c r="T257" s="27"/>
      <c r="U257" s="27"/>
      <c r="V257" s="46"/>
      <c r="W257" s="27"/>
      <c r="X257" s="27"/>
      <c r="Y257" s="27"/>
      <c r="Z257" s="46"/>
      <c r="AA257" s="27"/>
      <c r="AB257" s="27"/>
      <c r="AC257" s="27"/>
    </row>
    <row r="258" spans="2:29" x14ac:dyDescent="0.75">
      <c r="B258" s="26"/>
      <c r="C258" s="27"/>
      <c r="D258" s="46"/>
      <c r="E258" s="27"/>
      <c r="F258" s="27"/>
      <c r="G258" s="27"/>
      <c r="H258" s="46"/>
      <c r="I258" s="27"/>
      <c r="J258" s="27"/>
      <c r="K258" s="27"/>
      <c r="L258" s="46"/>
      <c r="M258" s="27"/>
      <c r="N258" s="27"/>
      <c r="O258" s="27"/>
      <c r="P258" s="46"/>
      <c r="Q258" s="27"/>
      <c r="R258" s="27"/>
      <c r="S258" s="27"/>
      <c r="T258" s="27"/>
      <c r="U258" s="27"/>
      <c r="V258" s="46"/>
      <c r="W258" s="27"/>
      <c r="X258" s="27"/>
      <c r="Y258" s="27"/>
      <c r="Z258" s="46"/>
      <c r="AA258" s="27"/>
      <c r="AB258" s="27"/>
      <c r="AC258" s="27"/>
    </row>
    <row r="259" spans="2:29" x14ac:dyDescent="0.75">
      <c r="B259" s="26"/>
      <c r="C259" s="27"/>
      <c r="D259" s="46"/>
      <c r="E259" s="27"/>
      <c r="F259" s="27"/>
      <c r="G259" s="27"/>
      <c r="H259" s="46"/>
      <c r="I259" s="27"/>
      <c r="J259" s="27"/>
      <c r="K259" s="27"/>
      <c r="L259" s="46"/>
      <c r="M259" s="27"/>
      <c r="N259" s="27"/>
      <c r="O259" s="27"/>
      <c r="P259" s="46"/>
      <c r="Q259" s="27"/>
      <c r="R259" s="27"/>
      <c r="S259" s="27"/>
      <c r="T259" s="27"/>
      <c r="U259" s="27"/>
      <c r="V259" s="46"/>
      <c r="W259" s="27"/>
      <c r="X259" s="27"/>
      <c r="Y259" s="27"/>
      <c r="Z259" s="46"/>
      <c r="AA259" s="27"/>
      <c r="AB259" s="27"/>
      <c r="AC259" s="27"/>
    </row>
    <row r="260" spans="2:29" x14ac:dyDescent="0.75">
      <c r="B260" s="26"/>
      <c r="C260" s="27"/>
      <c r="D260" s="46"/>
      <c r="E260" s="27"/>
      <c r="F260" s="27"/>
      <c r="G260" s="27"/>
      <c r="H260" s="46"/>
      <c r="I260" s="27"/>
      <c r="J260" s="27"/>
      <c r="K260" s="27"/>
      <c r="L260" s="46"/>
      <c r="M260" s="27"/>
      <c r="N260" s="27"/>
      <c r="O260" s="27"/>
      <c r="P260" s="46"/>
      <c r="Q260" s="27"/>
      <c r="R260" s="27"/>
      <c r="S260" s="27"/>
      <c r="T260" s="27"/>
      <c r="U260" s="27"/>
      <c r="V260" s="46"/>
      <c r="W260" s="27"/>
      <c r="X260" s="27"/>
      <c r="Y260" s="27"/>
      <c r="Z260" s="46"/>
      <c r="AA260" s="27"/>
      <c r="AB260" s="27"/>
      <c r="AC260" s="27"/>
    </row>
    <row r="261" spans="2:29" x14ac:dyDescent="0.75">
      <c r="B261" s="26"/>
      <c r="C261" s="27"/>
      <c r="D261" s="46"/>
      <c r="E261" s="27"/>
      <c r="F261" s="27"/>
      <c r="G261" s="27"/>
      <c r="H261" s="46"/>
      <c r="I261" s="27"/>
      <c r="J261" s="27"/>
      <c r="K261" s="27"/>
      <c r="L261" s="46"/>
      <c r="M261" s="27"/>
      <c r="N261" s="27"/>
      <c r="O261" s="27"/>
      <c r="P261" s="46"/>
      <c r="Q261" s="27"/>
      <c r="R261" s="27"/>
      <c r="S261" s="27"/>
      <c r="T261" s="27"/>
      <c r="U261" s="27"/>
      <c r="V261" s="46"/>
      <c r="W261" s="27"/>
      <c r="X261" s="27"/>
      <c r="Y261" s="27"/>
      <c r="Z261" s="46"/>
      <c r="AA261" s="27"/>
      <c r="AB261" s="27"/>
      <c r="AC261" s="27"/>
    </row>
    <row r="262" spans="2:29" x14ac:dyDescent="0.75">
      <c r="B262" s="26"/>
      <c r="C262" s="27"/>
      <c r="D262" s="46"/>
      <c r="E262" s="27"/>
      <c r="F262" s="27"/>
      <c r="G262" s="27"/>
      <c r="H262" s="46"/>
      <c r="I262" s="27"/>
      <c r="J262" s="27"/>
      <c r="K262" s="27"/>
      <c r="L262" s="46"/>
      <c r="M262" s="27"/>
      <c r="N262" s="27"/>
      <c r="O262" s="27"/>
      <c r="P262" s="46"/>
      <c r="Q262" s="27"/>
      <c r="R262" s="27"/>
      <c r="S262" s="27"/>
      <c r="T262" s="27"/>
      <c r="U262" s="27"/>
      <c r="V262" s="46"/>
      <c r="W262" s="27"/>
      <c r="X262" s="27"/>
      <c r="Y262" s="27"/>
      <c r="Z262" s="46"/>
      <c r="AA262" s="27"/>
      <c r="AB262" s="27"/>
      <c r="AC262" s="27"/>
    </row>
    <row r="263" spans="2:29" x14ac:dyDescent="0.75">
      <c r="B263" s="26"/>
      <c r="C263" s="27"/>
      <c r="D263" s="46"/>
      <c r="E263" s="27"/>
      <c r="F263" s="27"/>
      <c r="G263" s="27"/>
      <c r="H263" s="46"/>
      <c r="I263" s="27"/>
      <c r="J263" s="27"/>
      <c r="K263" s="27"/>
      <c r="L263" s="46"/>
      <c r="M263" s="27"/>
      <c r="N263" s="27"/>
      <c r="O263" s="27"/>
      <c r="P263" s="46"/>
      <c r="Q263" s="27"/>
      <c r="R263" s="27"/>
      <c r="S263" s="27"/>
      <c r="T263" s="27"/>
      <c r="U263" s="27"/>
      <c r="V263" s="46"/>
      <c r="W263" s="27"/>
      <c r="X263" s="27"/>
      <c r="Y263" s="27"/>
      <c r="Z263" s="46"/>
      <c r="AA263" s="27"/>
      <c r="AB263" s="27"/>
      <c r="AC263" s="27"/>
    </row>
    <row r="264" spans="2:29" x14ac:dyDescent="0.75">
      <c r="B264" s="26"/>
      <c r="C264" s="27"/>
      <c r="D264" s="46"/>
      <c r="E264" s="27"/>
      <c r="F264" s="27"/>
      <c r="G264" s="27"/>
      <c r="H264" s="46"/>
      <c r="I264" s="27"/>
      <c r="J264" s="27"/>
      <c r="K264" s="27"/>
      <c r="L264" s="46"/>
      <c r="M264" s="27"/>
      <c r="N264" s="27"/>
      <c r="O264" s="27"/>
      <c r="P264" s="46"/>
      <c r="Q264" s="27"/>
      <c r="R264" s="27"/>
      <c r="S264" s="27"/>
      <c r="T264" s="27"/>
      <c r="U264" s="27"/>
      <c r="V264" s="46"/>
      <c r="W264" s="27"/>
      <c r="X264" s="27"/>
      <c r="Y264" s="27"/>
      <c r="Z264" s="46"/>
      <c r="AA264" s="27"/>
      <c r="AB264" s="27"/>
      <c r="AC264" s="27"/>
    </row>
    <row r="265" spans="2:29" x14ac:dyDescent="0.75">
      <c r="B265" s="26"/>
      <c r="C265" s="27"/>
      <c r="D265" s="46"/>
      <c r="E265" s="27"/>
      <c r="F265" s="27"/>
      <c r="G265" s="27"/>
      <c r="H265" s="46"/>
      <c r="I265" s="27"/>
      <c r="J265" s="27"/>
      <c r="K265" s="27"/>
      <c r="L265" s="46"/>
      <c r="M265" s="27"/>
      <c r="N265" s="27"/>
      <c r="O265" s="27"/>
      <c r="P265" s="46"/>
      <c r="Q265" s="27"/>
      <c r="R265" s="27"/>
      <c r="S265" s="27"/>
      <c r="T265" s="27"/>
      <c r="U265" s="27"/>
      <c r="V265" s="46"/>
      <c r="W265" s="27"/>
      <c r="X265" s="27"/>
      <c r="Y265" s="27"/>
      <c r="Z265" s="46"/>
      <c r="AA265" s="27"/>
      <c r="AB265" s="27"/>
      <c r="AC265" s="27"/>
    </row>
    <row r="266" spans="2:29" x14ac:dyDescent="0.75">
      <c r="B266" s="26"/>
      <c r="C266" s="27"/>
      <c r="D266" s="46"/>
      <c r="E266" s="27"/>
      <c r="F266" s="27"/>
      <c r="G266" s="27"/>
      <c r="H266" s="46"/>
      <c r="I266" s="27"/>
      <c r="J266" s="27"/>
      <c r="K266" s="27"/>
      <c r="L266" s="46"/>
      <c r="M266" s="27"/>
      <c r="N266" s="27"/>
      <c r="O266" s="27"/>
      <c r="P266" s="46"/>
      <c r="Q266" s="27"/>
      <c r="R266" s="27"/>
      <c r="S266" s="27"/>
      <c r="T266" s="27"/>
      <c r="U266" s="27"/>
      <c r="V266" s="46"/>
      <c r="W266" s="27"/>
      <c r="X266" s="27"/>
      <c r="Y266" s="27"/>
      <c r="Z266" s="46"/>
      <c r="AA266" s="27"/>
      <c r="AB266" s="27"/>
      <c r="AC266" s="27"/>
    </row>
    <row r="267" spans="2:29" x14ac:dyDescent="0.75">
      <c r="B267" s="26"/>
      <c r="C267" s="27"/>
      <c r="D267" s="46"/>
      <c r="E267" s="27"/>
      <c r="F267" s="27"/>
      <c r="G267" s="27"/>
      <c r="H267" s="46"/>
      <c r="I267" s="27"/>
      <c r="J267" s="27"/>
      <c r="K267" s="27"/>
      <c r="L267" s="46"/>
      <c r="M267" s="27"/>
      <c r="N267" s="27"/>
      <c r="O267" s="27"/>
      <c r="P267" s="46"/>
      <c r="Q267" s="27"/>
      <c r="R267" s="27"/>
      <c r="S267" s="27"/>
      <c r="T267" s="27"/>
      <c r="U267" s="27"/>
      <c r="V267" s="46"/>
      <c r="W267" s="27"/>
      <c r="X267" s="27"/>
      <c r="Y267" s="27"/>
      <c r="Z267" s="46"/>
      <c r="AA267" s="27"/>
      <c r="AB267" s="27"/>
      <c r="AC267" s="27"/>
    </row>
    <row r="268" spans="2:29" x14ac:dyDescent="0.75">
      <c r="B268" s="26"/>
      <c r="C268" s="27"/>
      <c r="D268" s="46"/>
      <c r="E268" s="27"/>
      <c r="F268" s="27"/>
      <c r="G268" s="27"/>
      <c r="H268" s="46"/>
      <c r="I268" s="27"/>
      <c r="J268" s="27"/>
      <c r="K268" s="27"/>
      <c r="L268" s="46"/>
      <c r="M268" s="27"/>
      <c r="N268" s="27"/>
      <c r="O268" s="27"/>
      <c r="P268" s="46"/>
      <c r="Q268" s="27"/>
      <c r="R268" s="27"/>
      <c r="S268" s="27"/>
      <c r="T268" s="27"/>
      <c r="U268" s="27"/>
      <c r="V268" s="46"/>
      <c r="W268" s="27"/>
      <c r="X268" s="27"/>
      <c r="Y268" s="27"/>
      <c r="Z268" s="46"/>
      <c r="AA268" s="27"/>
      <c r="AB268" s="27"/>
      <c r="AC268" s="27"/>
    </row>
    <row r="269" spans="2:29" x14ac:dyDescent="0.75">
      <c r="B269" s="26"/>
      <c r="C269" s="27"/>
      <c r="D269" s="46"/>
      <c r="E269" s="27"/>
      <c r="F269" s="27"/>
      <c r="G269" s="27"/>
      <c r="H269" s="46"/>
      <c r="I269" s="27"/>
      <c r="J269" s="27"/>
      <c r="K269" s="27"/>
      <c r="L269" s="46"/>
      <c r="M269" s="27"/>
      <c r="N269" s="27"/>
      <c r="O269" s="27"/>
      <c r="P269" s="46"/>
      <c r="Q269" s="27"/>
      <c r="R269" s="27"/>
      <c r="S269" s="27"/>
      <c r="T269" s="27"/>
      <c r="U269" s="27"/>
      <c r="V269" s="46"/>
      <c r="W269" s="27"/>
      <c r="X269" s="27"/>
      <c r="Y269" s="27"/>
      <c r="Z269" s="46"/>
      <c r="AA269" s="27"/>
      <c r="AB269" s="27"/>
      <c r="AC269" s="27"/>
    </row>
    <row r="270" spans="2:29" x14ac:dyDescent="0.75">
      <c r="B270" s="26"/>
      <c r="C270" s="27"/>
      <c r="D270" s="46"/>
      <c r="E270" s="27"/>
      <c r="F270" s="27"/>
      <c r="G270" s="27"/>
      <c r="H270" s="46"/>
      <c r="I270" s="27"/>
      <c r="J270" s="27"/>
      <c r="K270" s="27"/>
      <c r="L270" s="46"/>
      <c r="M270" s="27"/>
      <c r="N270" s="27"/>
      <c r="O270" s="27"/>
      <c r="P270" s="46"/>
      <c r="Q270" s="27"/>
      <c r="R270" s="27"/>
      <c r="S270" s="27"/>
      <c r="T270" s="27"/>
      <c r="U270" s="27"/>
      <c r="V270" s="46"/>
      <c r="W270" s="27"/>
      <c r="X270" s="27"/>
      <c r="Y270" s="27"/>
      <c r="Z270" s="46"/>
      <c r="AA270" s="27"/>
      <c r="AB270" s="27"/>
      <c r="AC270" s="27"/>
    </row>
    <row r="271" spans="2:29" x14ac:dyDescent="0.75">
      <c r="B271" s="26"/>
      <c r="C271" s="27"/>
      <c r="D271" s="46"/>
      <c r="E271" s="27"/>
      <c r="F271" s="27"/>
      <c r="G271" s="27"/>
      <c r="H271" s="46"/>
      <c r="I271" s="27"/>
      <c r="J271" s="27"/>
      <c r="K271" s="27"/>
      <c r="L271" s="46"/>
      <c r="M271" s="27"/>
      <c r="N271" s="27"/>
      <c r="O271" s="27"/>
      <c r="P271" s="46"/>
      <c r="Q271" s="27"/>
      <c r="R271" s="27"/>
      <c r="S271" s="27"/>
      <c r="T271" s="27"/>
      <c r="U271" s="27"/>
      <c r="V271" s="46"/>
      <c r="W271" s="27"/>
      <c r="X271" s="27"/>
      <c r="Y271" s="27"/>
      <c r="Z271" s="46"/>
      <c r="AA271" s="27"/>
      <c r="AB271" s="27"/>
      <c r="AC271" s="27"/>
    </row>
    <row r="272" spans="2:29" x14ac:dyDescent="0.75">
      <c r="B272" s="26"/>
      <c r="C272" s="27"/>
      <c r="D272" s="46"/>
      <c r="E272" s="27"/>
      <c r="F272" s="27"/>
      <c r="G272" s="27"/>
      <c r="H272" s="46"/>
      <c r="I272" s="27"/>
      <c r="J272" s="27"/>
      <c r="K272" s="27"/>
      <c r="L272" s="46"/>
      <c r="M272" s="27"/>
      <c r="N272" s="27"/>
      <c r="O272" s="27"/>
      <c r="P272" s="46"/>
      <c r="Q272" s="27"/>
      <c r="R272" s="27"/>
      <c r="S272" s="27"/>
      <c r="T272" s="27"/>
      <c r="U272" s="27"/>
      <c r="V272" s="46"/>
      <c r="W272" s="27"/>
      <c r="X272" s="27"/>
      <c r="Y272" s="27"/>
      <c r="Z272" s="46"/>
      <c r="AA272" s="27"/>
      <c r="AB272" s="27"/>
      <c r="AC272" s="27"/>
    </row>
    <row r="273" spans="2:29" x14ac:dyDescent="0.75">
      <c r="B273" s="26"/>
      <c r="C273" s="27"/>
      <c r="D273" s="46"/>
      <c r="E273" s="27"/>
      <c r="F273" s="27"/>
      <c r="G273" s="27"/>
      <c r="H273" s="46"/>
      <c r="I273" s="27"/>
      <c r="J273" s="27"/>
      <c r="K273" s="27"/>
      <c r="L273" s="46"/>
      <c r="M273" s="27"/>
      <c r="N273" s="27"/>
      <c r="O273" s="27"/>
      <c r="P273" s="46"/>
      <c r="Q273" s="27"/>
      <c r="R273" s="27"/>
      <c r="S273" s="27"/>
      <c r="T273" s="27"/>
      <c r="U273" s="27"/>
      <c r="V273" s="46"/>
      <c r="W273" s="27"/>
      <c r="X273" s="27"/>
      <c r="Y273" s="27"/>
      <c r="Z273" s="46"/>
      <c r="AA273" s="27"/>
      <c r="AB273" s="27"/>
      <c r="AC273" s="27"/>
    </row>
    <row r="274" spans="2:29" x14ac:dyDescent="0.75">
      <c r="B274" s="26"/>
      <c r="C274" s="27"/>
      <c r="D274" s="46"/>
      <c r="E274" s="27"/>
      <c r="F274" s="27"/>
      <c r="G274" s="27"/>
      <c r="H274" s="46"/>
      <c r="I274" s="27"/>
      <c r="J274" s="27"/>
      <c r="K274" s="27"/>
      <c r="L274" s="46"/>
      <c r="M274" s="27"/>
      <c r="N274" s="27"/>
      <c r="O274" s="27"/>
      <c r="P274" s="46"/>
      <c r="Q274" s="27"/>
      <c r="R274" s="27"/>
      <c r="S274" s="27"/>
      <c r="T274" s="27"/>
      <c r="U274" s="27"/>
      <c r="V274" s="46"/>
      <c r="W274" s="27"/>
      <c r="X274" s="27"/>
      <c r="Y274" s="27"/>
      <c r="Z274" s="46"/>
      <c r="AA274" s="27"/>
      <c r="AB274" s="27"/>
      <c r="AC274" s="27"/>
    </row>
    <row r="275" spans="2:29" x14ac:dyDescent="0.75">
      <c r="B275" s="26"/>
      <c r="C275" s="27"/>
      <c r="D275" s="46"/>
      <c r="E275" s="27"/>
      <c r="F275" s="27"/>
      <c r="G275" s="27"/>
      <c r="H275" s="46"/>
      <c r="I275" s="27"/>
      <c r="J275" s="27"/>
      <c r="K275" s="27"/>
      <c r="L275" s="46"/>
      <c r="M275" s="27"/>
      <c r="N275" s="27"/>
      <c r="O275" s="27"/>
      <c r="P275" s="46"/>
      <c r="Q275" s="27"/>
      <c r="R275" s="27"/>
      <c r="S275" s="27"/>
      <c r="T275" s="27"/>
      <c r="U275" s="27"/>
      <c r="V275" s="46"/>
      <c r="W275" s="27"/>
      <c r="X275" s="27"/>
      <c r="Y275" s="27"/>
      <c r="Z275" s="46"/>
      <c r="AA275" s="27"/>
      <c r="AB275" s="27"/>
      <c r="AC275" s="27"/>
    </row>
    <row r="276" spans="2:29" x14ac:dyDescent="0.75">
      <c r="B276" s="26"/>
      <c r="C276" s="27"/>
      <c r="D276" s="46"/>
      <c r="E276" s="27"/>
      <c r="F276" s="27"/>
      <c r="G276" s="27"/>
      <c r="H276" s="46"/>
      <c r="I276" s="27"/>
      <c r="J276" s="27"/>
      <c r="K276" s="27"/>
      <c r="L276" s="46"/>
      <c r="M276" s="27"/>
      <c r="N276" s="27"/>
      <c r="O276" s="27"/>
      <c r="P276" s="46"/>
      <c r="Q276" s="27"/>
      <c r="R276" s="27"/>
      <c r="S276" s="27"/>
      <c r="T276" s="27"/>
      <c r="U276" s="27"/>
      <c r="V276" s="46"/>
      <c r="W276" s="27"/>
      <c r="X276" s="27"/>
      <c r="Y276" s="27"/>
      <c r="Z276" s="46"/>
      <c r="AA276" s="27"/>
      <c r="AB276" s="27"/>
      <c r="AC276" s="27"/>
    </row>
    <row r="277" spans="2:29" x14ac:dyDescent="0.75">
      <c r="B277" s="26"/>
      <c r="C277" s="27"/>
      <c r="D277" s="46"/>
      <c r="E277" s="27"/>
      <c r="F277" s="27"/>
      <c r="G277" s="27"/>
      <c r="H277" s="46"/>
      <c r="I277" s="27"/>
      <c r="J277" s="27"/>
      <c r="K277" s="27"/>
      <c r="L277" s="46"/>
      <c r="M277" s="27"/>
      <c r="N277" s="27"/>
      <c r="O277" s="27"/>
      <c r="P277" s="46"/>
      <c r="Q277" s="27"/>
      <c r="R277" s="27"/>
      <c r="S277" s="27"/>
      <c r="T277" s="27"/>
      <c r="U277" s="27"/>
      <c r="V277" s="46"/>
      <c r="W277" s="27"/>
      <c r="X277" s="27"/>
      <c r="Y277" s="27"/>
      <c r="Z277" s="46"/>
      <c r="AA277" s="27"/>
      <c r="AB277" s="27"/>
      <c r="AC277" s="27"/>
    </row>
    <row r="278" spans="2:29" x14ac:dyDescent="0.75">
      <c r="B278" s="26"/>
      <c r="C278" s="27"/>
      <c r="D278" s="46"/>
      <c r="E278" s="27"/>
      <c r="F278" s="27"/>
      <c r="G278" s="27"/>
      <c r="H278" s="46"/>
      <c r="I278" s="27"/>
      <c r="J278" s="27"/>
      <c r="K278" s="27"/>
      <c r="L278" s="46"/>
      <c r="M278" s="27"/>
      <c r="N278" s="27"/>
      <c r="O278" s="27"/>
      <c r="P278" s="46"/>
      <c r="Q278" s="27"/>
      <c r="R278" s="27"/>
      <c r="S278" s="27"/>
      <c r="T278" s="27"/>
      <c r="U278" s="27"/>
      <c r="V278" s="46"/>
      <c r="W278" s="27"/>
      <c r="X278" s="27"/>
      <c r="Y278" s="27"/>
      <c r="Z278" s="46"/>
      <c r="AA278" s="27"/>
      <c r="AB278" s="27"/>
      <c r="AC278" s="27"/>
    </row>
    <row r="279" spans="2:29" x14ac:dyDescent="0.75">
      <c r="B279" s="26"/>
      <c r="C279" s="27"/>
      <c r="D279" s="46"/>
      <c r="E279" s="27"/>
      <c r="F279" s="27"/>
      <c r="G279" s="27"/>
      <c r="H279" s="46"/>
      <c r="I279" s="27"/>
      <c r="J279" s="27"/>
      <c r="K279" s="27"/>
      <c r="L279" s="46"/>
      <c r="M279" s="27"/>
      <c r="N279" s="27"/>
      <c r="O279" s="27"/>
      <c r="P279" s="46"/>
      <c r="Q279" s="27"/>
      <c r="R279" s="27"/>
      <c r="S279" s="27"/>
      <c r="T279" s="27"/>
      <c r="U279" s="27"/>
      <c r="V279" s="46"/>
      <c r="W279" s="27"/>
      <c r="X279" s="27"/>
      <c r="Y279" s="27"/>
      <c r="Z279" s="46"/>
      <c r="AA279" s="27"/>
      <c r="AB279" s="27"/>
      <c r="AC279" s="27"/>
    </row>
    <row r="280" spans="2:29" x14ac:dyDescent="0.75">
      <c r="B280" s="26"/>
      <c r="C280" s="27"/>
      <c r="D280" s="46"/>
      <c r="E280" s="27"/>
      <c r="F280" s="27"/>
      <c r="G280" s="27"/>
      <c r="H280" s="46"/>
      <c r="I280" s="27"/>
      <c r="J280" s="27"/>
      <c r="K280" s="27"/>
      <c r="L280" s="46"/>
      <c r="M280" s="27"/>
      <c r="N280" s="27"/>
      <c r="O280" s="27"/>
      <c r="P280" s="46"/>
      <c r="Q280" s="27"/>
      <c r="R280" s="27"/>
      <c r="S280" s="27"/>
      <c r="T280" s="27"/>
      <c r="U280" s="27"/>
      <c r="V280" s="46"/>
      <c r="W280" s="27"/>
      <c r="X280" s="27"/>
      <c r="Y280" s="27"/>
      <c r="Z280" s="46"/>
      <c r="AA280" s="27"/>
      <c r="AB280" s="27"/>
      <c r="AC280" s="27"/>
    </row>
    <row r="281" spans="2:29" x14ac:dyDescent="0.75">
      <c r="B281" s="26"/>
      <c r="C281" s="27"/>
      <c r="D281" s="46"/>
      <c r="E281" s="27"/>
      <c r="F281" s="27"/>
      <c r="G281" s="27"/>
      <c r="H281" s="46"/>
      <c r="I281" s="27"/>
      <c r="J281" s="27"/>
      <c r="K281" s="27"/>
      <c r="L281" s="46"/>
      <c r="M281" s="27"/>
      <c r="N281" s="27"/>
      <c r="O281" s="27"/>
      <c r="P281" s="46"/>
      <c r="Q281" s="27"/>
      <c r="R281" s="27"/>
      <c r="S281" s="27"/>
      <c r="T281" s="27"/>
      <c r="U281" s="27"/>
      <c r="V281" s="46"/>
      <c r="W281" s="27"/>
      <c r="X281" s="27"/>
      <c r="Y281" s="27"/>
      <c r="Z281" s="46"/>
      <c r="AA281" s="27"/>
      <c r="AB281" s="27"/>
      <c r="AC281" s="27"/>
    </row>
    <row r="282" spans="2:29" x14ac:dyDescent="0.75">
      <c r="B282" s="26"/>
      <c r="C282" s="27"/>
      <c r="D282" s="46"/>
      <c r="E282" s="27"/>
      <c r="F282" s="27"/>
      <c r="G282" s="27"/>
      <c r="H282" s="46"/>
      <c r="I282" s="27"/>
      <c r="J282" s="27"/>
      <c r="K282" s="27"/>
      <c r="L282" s="46"/>
      <c r="M282" s="27"/>
      <c r="N282" s="27"/>
      <c r="O282" s="27"/>
      <c r="P282" s="46"/>
      <c r="Q282" s="27"/>
      <c r="R282" s="27"/>
      <c r="S282" s="27"/>
      <c r="T282" s="27"/>
      <c r="U282" s="27"/>
      <c r="V282" s="46"/>
      <c r="W282" s="27"/>
      <c r="X282" s="27"/>
      <c r="Y282" s="27"/>
      <c r="Z282" s="46"/>
      <c r="AA282" s="27"/>
      <c r="AB282" s="27"/>
      <c r="AC282" s="27"/>
    </row>
    <row r="283" spans="2:29" x14ac:dyDescent="0.75">
      <c r="B283" s="26"/>
      <c r="C283" s="27"/>
      <c r="D283" s="46"/>
      <c r="E283" s="27"/>
      <c r="F283" s="27"/>
      <c r="G283" s="27"/>
      <c r="H283" s="46"/>
      <c r="I283" s="27"/>
      <c r="J283" s="27"/>
      <c r="K283" s="27"/>
      <c r="L283" s="46"/>
      <c r="M283" s="27"/>
      <c r="N283" s="27"/>
      <c r="O283" s="27"/>
      <c r="P283" s="46"/>
      <c r="Q283" s="27"/>
      <c r="R283" s="27"/>
      <c r="S283" s="27"/>
      <c r="T283" s="27"/>
      <c r="U283" s="27"/>
      <c r="V283" s="46"/>
      <c r="W283" s="27"/>
      <c r="X283" s="27"/>
      <c r="Y283" s="27"/>
      <c r="Z283" s="46"/>
      <c r="AA283" s="27"/>
      <c r="AB283" s="27"/>
      <c r="AC283" s="27"/>
    </row>
    <row r="284" spans="2:29" x14ac:dyDescent="0.75">
      <c r="B284" s="26"/>
      <c r="C284" s="27"/>
      <c r="D284" s="46"/>
      <c r="E284" s="27"/>
      <c r="F284" s="27"/>
      <c r="G284" s="27"/>
      <c r="H284" s="46"/>
      <c r="I284" s="27"/>
      <c r="J284" s="27"/>
      <c r="K284" s="27"/>
      <c r="L284" s="46"/>
      <c r="M284" s="27"/>
      <c r="N284" s="27"/>
      <c r="O284" s="27"/>
      <c r="P284" s="46"/>
      <c r="Q284" s="27"/>
      <c r="R284" s="27"/>
      <c r="S284" s="27"/>
      <c r="T284" s="27"/>
      <c r="U284" s="27"/>
      <c r="V284" s="46"/>
      <c r="W284" s="27"/>
      <c r="X284" s="27"/>
      <c r="Y284" s="27"/>
      <c r="Z284" s="46"/>
      <c r="AA284" s="27"/>
      <c r="AB284" s="27"/>
      <c r="AC284" s="27"/>
    </row>
    <row r="285" spans="2:29" x14ac:dyDescent="0.75">
      <c r="B285" s="26"/>
      <c r="C285" s="27"/>
      <c r="D285" s="46"/>
      <c r="E285" s="27"/>
      <c r="F285" s="27"/>
      <c r="G285" s="27"/>
      <c r="H285" s="46"/>
      <c r="I285" s="27"/>
      <c r="J285" s="27"/>
      <c r="K285" s="27"/>
      <c r="L285" s="46"/>
      <c r="M285" s="27"/>
      <c r="N285" s="27"/>
      <c r="O285" s="27"/>
      <c r="P285" s="46"/>
      <c r="Q285" s="27"/>
      <c r="R285" s="27"/>
      <c r="S285" s="27"/>
      <c r="T285" s="27"/>
      <c r="U285" s="27"/>
      <c r="V285" s="46"/>
      <c r="W285" s="27"/>
      <c r="X285" s="27"/>
      <c r="Y285" s="27"/>
      <c r="Z285" s="46"/>
      <c r="AA285" s="27"/>
      <c r="AB285" s="27"/>
      <c r="AC285" s="27"/>
    </row>
    <row r="286" spans="2:29" x14ac:dyDescent="0.75">
      <c r="B286" s="26"/>
      <c r="C286" s="27"/>
      <c r="D286" s="46"/>
      <c r="E286" s="27"/>
      <c r="F286" s="27"/>
      <c r="G286" s="27"/>
      <c r="H286" s="46"/>
      <c r="I286" s="27"/>
      <c r="J286" s="27"/>
      <c r="K286" s="27"/>
      <c r="L286" s="46"/>
      <c r="M286" s="27"/>
      <c r="N286" s="27"/>
      <c r="O286" s="27"/>
      <c r="P286" s="46"/>
      <c r="Q286" s="27"/>
      <c r="R286" s="27"/>
      <c r="S286" s="27"/>
      <c r="T286" s="27"/>
      <c r="U286" s="27"/>
      <c r="V286" s="46"/>
      <c r="W286" s="27"/>
      <c r="X286" s="27"/>
      <c r="Y286" s="27"/>
      <c r="Z286" s="46"/>
      <c r="AA286" s="27"/>
      <c r="AB286" s="27"/>
      <c r="AC286" s="27"/>
    </row>
    <row r="287" spans="2:29" x14ac:dyDescent="0.75">
      <c r="B287" s="26"/>
      <c r="C287" s="27"/>
      <c r="D287" s="46"/>
      <c r="E287" s="27"/>
      <c r="F287" s="27"/>
      <c r="G287" s="27"/>
      <c r="H287" s="46"/>
      <c r="I287" s="27"/>
      <c r="J287" s="27"/>
      <c r="K287" s="27"/>
      <c r="L287" s="46"/>
      <c r="M287" s="27"/>
      <c r="N287" s="27"/>
      <c r="O287" s="27"/>
      <c r="P287" s="46"/>
      <c r="Q287" s="27"/>
      <c r="R287" s="27"/>
      <c r="S287" s="27"/>
      <c r="T287" s="27"/>
      <c r="U287" s="27"/>
      <c r="V287" s="46"/>
      <c r="W287" s="27"/>
      <c r="X287" s="27"/>
      <c r="Y287" s="27"/>
      <c r="Z287" s="46"/>
      <c r="AA287" s="27"/>
      <c r="AB287" s="27"/>
      <c r="AC287" s="27"/>
    </row>
    <row r="288" spans="2:29" x14ac:dyDescent="0.75">
      <c r="B288" s="26"/>
      <c r="C288" s="27"/>
      <c r="D288" s="46"/>
      <c r="E288" s="27"/>
      <c r="F288" s="27"/>
      <c r="G288" s="27"/>
      <c r="H288" s="46"/>
      <c r="I288" s="27"/>
      <c r="J288" s="27"/>
      <c r="K288" s="27"/>
      <c r="L288" s="46"/>
      <c r="M288" s="27"/>
      <c r="N288" s="27"/>
      <c r="O288" s="27"/>
      <c r="P288" s="46"/>
      <c r="Q288" s="27"/>
      <c r="R288" s="27"/>
      <c r="S288" s="27"/>
      <c r="T288" s="27"/>
      <c r="U288" s="27"/>
      <c r="V288" s="46"/>
      <c r="W288" s="27"/>
      <c r="X288" s="27"/>
      <c r="Y288" s="27"/>
      <c r="Z288" s="46"/>
      <c r="AA288" s="27"/>
      <c r="AB288" s="27"/>
      <c r="AC288" s="27"/>
    </row>
    <row r="289" spans="2:29" x14ac:dyDescent="0.75">
      <c r="B289" s="26"/>
      <c r="C289" s="27"/>
      <c r="D289" s="46"/>
      <c r="E289" s="27"/>
      <c r="F289" s="27"/>
      <c r="G289" s="27"/>
      <c r="H289" s="46"/>
      <c r="I289" s="27"/>
      <c r="J289" s="27"/>
      <c r="K289" s="27"/>
      <c r="L289" s="46"/>
      <c r="M289" s="27"/>
      <c r="N289" s="27"/>
      <c r="O289" s="27"/>
      <c r="P289" s="46"/>
      <c r="Q289" s="27"/>
      <c r="R289" s="27"/>
      <c r="S289" s="27"/>
      <c r="T289" s="27"/>
      <c r="U289" s="27"/>
      <c r="V289" s="46"/>
      <c r="W289" s="27"/>
      <c r="X289" s="27"/>
      <c r="Y289" s="27"/>
      <c r="Z289" s="46"/>
      <c r="AA289" s="27"/>
      <c r="AB289" s="27"/>
      <c r="AC289" s="27"/>
    </row>
    <row r="290" spans="2:29" x14ac:dyDescent="0.75">
      <c r="B290" s="26"/>
      <c r="C290" s="27"/>
      <c r="D290" s="46"/>
      <c r="E290" s="27"/>
      <c r="F290" s="27"/>
      <c r="G290" s="27"/>
      <c r="H290" s="46"/>
      <c r="I290" s="27"/>
      <c r="J290" s="27"/>
      <c r="K290" s="27"/>
      <c r="L290" s="46"/>
      <c r="M290" s="27"/>
      <c r="N290" s="27"/>
      <c r="O290" s="27"/>
      <c r="P290" s="46"/>
      <c r="Q290" s="27"/>
      <c r="R290" s="27"/>
      <c r="S290" s="27"/>
      <c r="T290" s="27"/>
      <c r="U290" s="27"/>
      <c r="V290" s="46"/>
      <c r="W290" s="27"/>
      <c r="X290" s="27"/>
      <c r="Y290" s="27"/>
      <c r="Z290" s="46"/>
      <c r="AA290" s="27"/>
      <c r="AB290" s="27"/>
      <c r="AC290" s="27"/>
    </row>
    <row r="291" spans="2:29" x14ac:dyDescent="0.75">
      <c r="B291" s="26"/>
      <c r="C291" s="27"/>
      <c r="D291" s="46"/>
      <c r="E291" s="27"/>
      <c r="F291" s="27"/>
      <c r="G291" s="27"/>
      <c r="H291" s="46"/>
      <c r="I291" s="27"/>
      <c r="J291" s="27"/>
      <c r="K291" s="27"/>
      <c r="L291" s="46"/>
      <c r="M291" s="27"/>
      <c r="N291" s="27"/>
      <c r="O291" s="27"/>
      <c r="P291" s="46"/>
      <c r="Q291" s="27"/>
      <c r="R291" s="27"/>
      <c r="S291" s="27"/>
      <c r="T291" s="27"/>
      <c r="U291" s="27"/>
      <c r="V291" s="46"/>
      <c r="W291" s="27"/>
      <c r="X291" s="27"/>
      <c r="Y291" s="27"/>
      <c r="Z291" s="46"/>
      <c r="AA291" s="27"/>
      <c r="AB291" s="27"/>
      <c r="AC291" s="27"/>
    </row>
    <row r="292" spans="2:29" x14ac:dyDescent="0.75">
      <c r="B292" s="26"/>
      <c r="C292" s="27"/>
      <c r="D292" s="46"/>
      <c r="E292" s="27"/>
      <c r="F292" s="27"/>
      <c r="G292" s="27"/>
      <c r="H292" s="46"/>
      <c r="I292" s="27"/>
      <c r="J292" s="27"/>
      <c r="K292" s="27"/>
      <c r="L292" s="46"/>
      <c r="M292" s="27"/>
      <c r="N292" s="27"/>
      <c r="O292" s="27"/>
      <c r="P292" s="46"/>
      <c r="Q292" s="27"/>
      <c r="R292" s="27"/>
      <c r="S292" s="27"/>
      <c r="T292" s="27"/>
      <c r="U292" s="27"/>
      <c r="V292" s="46"/>
      <c r="W292" s="27"/>
      <c r="X292" s="27"/>
      <c r="Y292" s="27"/>
      <c r="Z292" s="46"/>
      <c r="AA292" s="27"/>
      <c r="AB292" s="27"/>
      <c r="AC292" s="27"/>
    </row>
    <row r="293" spans="2:29" x14ac:dyDescent="0.75">
      <c r="B293" s="26"/>
      <c r="C293" s="27"/>
      <c r="D293" s="46"/>
      <c r="E293" s="27"/>
      <c r="F293" s="27"/>
      <c r="G293" s="27"/>
      <c r="H293" s="46"/>
      <c r="I293" s="27"/>
      <c r="J293" s="27"/>
      <c r="K293" s="27"/>
      <c r="L293" s="46"/>
      <c r="M293" s="27"/>
      <c r="N293" s="27"/>
      <c r="O293" s="27"/>
      <c r="P293" s="46"/>
      <c r="Q293" s="27"/>
      <c r="R293" s="27"/>
      <c r="S293" s="27"/>
      <c r="T293" s="27"/>
      <c r="U293" s="27"/>
      <c r="V293" s="46"/>
      <c r="W293" s="27"/>
      <c r="X293" s="27"/>
      <c r="Y293" s="27"/>
      <c r="Z293" s="46"/>
      <c r="AA293" s="27"/>
      <c r="AB293" s="27"/>
      <c r="AC293" s="27"/>
    </row>
    <row r="294" spans="2:29" x14ac:dyDescent="0.75">
      <c r="B294" s="26"/>
      <c r="C294" s="27"/>
      <c r="D294" s="46"/>
      <c r="E294" s="27"/>
      <c r="F294" s="27"/>
      <c r="G294" s="27"/>
      <c r="H294" s="46"/>
      <c r="I294" s="27"/>
      <c r="J294" s="27"/>
      <c r="K294" s="27"/>
      <c r="L294" s="46"/>
      <c r="M294" s="27"/>
      <c r="N294" s="27"/>
      <c r="O294" s="27"/>
      <c r="P294" s="46"/>
      <c r="Q294" s="27"/>
      <c r="R294" s="27"/>
      <c r="S294" s="27"/>
      <c r="T294" s="27"/>
      <c r="U294" s="27"/>
      <c r="V294" s="46"/>
      <c r="W294" s="27"/>
      <c r="X294" s="27"/>
      <c r="Y294" s="27"/>
      <c r="Z294" s="46"/>
      <c r="AA294" s="27"/>
      <c r="AB294" s="27"/>
      <c r="AC294" s="27"/>
    </row>
    <row r="295" spans="2:29" x14ac:dyDescent="0.75">
      <c r="B295" s="26"/>
      <c r="C295" s="27"/>
      <c r="D295" s="46"/>
      <c r="E295" s="27"/>
      <c r="F295" s="27"/>
      <c r="G295" s="27"/>
      <c r="H295" s="46"/>
      <c r="I295" s="27"/>
      <c r="J295" s="27"/>
      <c r="K295" s="27"/>
      <c r="L295" s="46"/>
      <c r="M295" s="27"/>
      <c r="N295" s="27"/>
      <c r="O295" s="27"/>
      <c r="P295" s="46"/>
      <c r="Q295" s="27"/>
      <c r="R295" s="27"/>
      <c r="S295" s="27"/>
      <c r="T295" s="27"/>
      <c r="U295" s="27"/>
      <c r="V295" s="46"/>
      <c r="W295" s="27"/>
      <c r="X295" s="27"/>
      <c r="Y295" s="27"/>
      <c r="Z295" s="46"/>
      <c r="AA295" s="27"/>
      <c r="AB295" s="27"/>
      <c r="AC295" s="27"/>
    </row>
    <row r="296" spans="2:29" x14ac:dyDescent="0.75">
      <c r="B296" s="26"/>
      <c r="C296" s="27"/>
      <c r="D296" s="46"/>
      <c r="E296" s="27"/>
      <c r="F296" s="27"/>
      <c r="G296" s="27"/>
      <c r="H296" s="46"/>
      <c r="I296" s="27"/>
      <c r="J296" s="27"/>
      <c r="K296" s="27"/>
      <c r="L296" s="46"/>
      <c r="M296" s="27"/>
      <c r="N296" s="27"/>
      <c r="O296" s="27"/>
      <c r="P296" s="46"/>
      <c r="Q296" s="27"/>
      <c r="R296" s="27"/>
      <c r="S296" s="27"/>
      <c r="T296" s="27"/>
      <c r="U296" s="27"/>
      <c r="V296" s="46"/>
      <c r="W296" s="27"/>
      <c r="X296" s="27"/>
      <c r="Y296" s="27"/>
      <c r="Z296" s="46"/>
      <c r="AA296" s="27"/>
      <c r="AB296" s="27"/>
      <c r="AC296" s="27"/>
    </row>
    <row r="297" spans="2:29" x14ac:dyDescent="0.75">
      <c r="B297" s="26"/>
      <c r="C297" s="27"/>
      <c r="D297" s="46"/>
      <c r="E297" s="27"/>
      <c r="F297" s="27"/>
      <c r="G297" s="27"/>
      <c r="H297" s="46"/>
      <c r="I297" s="27"/>
      <c r="J297" s="27"/>
      <c r="K297" s="27"/>
      <c r="L297" s="46"/>
      <c r="M297" s="27"/>
      <c r="N297" s="27"/>
      <c r="O297" s="27"/>
      <c r="P297" s="46"/>
      <c r="Q297" s="27"/>
      <c r="R297" s="27"/>
      <c r="S297" s="27"/>
      <c r="T297" s="27"/>
      <c r="U297" s="27"/>
      <c r="V297" s="46"/>
      <c r="W297" s="27"/>
      <c r="X297" s="27"/>
      <c r="Y297" s="27"/>
      <c r="Z297" s="46"/>
      <c r="AA297" s="27"/>
      <c r="AB297" s="27"/>
      <c r="AC297" s="27"/>
    </row>
    <row r="298" spans="2:29" x14ac:dyDescent="0.75">
      <c r="B298" s="26"/>
      <c r="C298" s="27"/>
      <c r="D298" s="46"/>
      <c r="E298" s="27"/>
      <c r="F298" s="27"/>
      <c r="G298" s="27"/>
      <c r="H298" s="46"/>
      <c r="I298" s="27"/>
      <c r="J298" s="27"/>
      <c r="K298" s="27"/>
      <c r="L298" s="46"/>
      <c r="M298" s="27"/>
      <c r="N298" s="27"/>
      <c r="O298" s="27"/>
      <c r="P298" s="46"/>
      <c r="Q298" s="27"/>
      <c r="R298" s="27"/>
      <c r="S298" s="27"/>
      <c r="T298" s="27"/>
      <c r="U298" s="27"/>
      <c r="V298" s="46"/>
      <c r="W298" s="27"/>
      <c r="X298" s="27"/>
      <c r="Y298" s="27"/>
      <c r="Z298" s="46"/>
      <c r="AA298" s="27"/>
      <c r="AB298" s="27"/>
      <c r="AC298" s="27"/>
    </row>
    <row r="299" spans="2:29" x14ac:dyDescent="0.75">
      <c r="B299" s="26"/>
      <c r="C299" s="27"/>
      <c r="D299" s="46"/>
      <c r="E299" s="27"/>
      <c r="F299" s="27"/>
      <c r="G299" s="27"/>
      <c r="H299" s="46"/>
      <c r="I299" s="27"/>
      <c r="J299" s="27"/>
      <c r="K299" s="27"/>
      <c r="L299" s="46"/>
      <c r="M299" s="27"/>
      <c r="N299" s="27"/>
      <c r="O299" s="27"/>
      <c r="P299" s="46"/>
      <c r="Q299" s="27"/>
      <c r="R299" s="27"/>
      <c r="S299" s="27"/>
      <c r="T299" s="27"/>
      <c r="U299" s="27"/>
      <c r="V299" s="46"/>
      <c r="W299" s="27"/>
      <c r="X299" s="27"/>
      <c r="Y299" s="27"/>
      <c r="Z299" s="46"/>
      <c r="AA299" s="27"/>
      <c r="AB299" s="27"/>
      <c r="AC299" s="27"/>
    </row>
    <row r="300" spans="2:29" x14ac:dyDescent="0.75">
      <c r="B300" s="26"/>
      <c r="C300" s="27"/>
      <c r="D300" s="46"/>
      <c r="E300" s="27"/>
      <c r="F300" s="27"/>
      <c r="G300" s="27"/>
      <c r="H300" s="46"/>
      <c r="I300" s="27"/>
      <c r="J300" s="27"/>
      <c r="K300" s="27"/>
      <c r="L300" s="46"/>
      <c r="M300" s="27"/>
      <c r="N300" s="27"/>
      <c r="O300" s="27"/>
      <c r="P300" s="46"/>
      <c r="Q300" s="27"/>
      <c r="R300" s="27"/>
      <c r="S300" s="27"/>
      <c r="T300" s="27"/>
      <c r="U300" s="27"/>
      <c r="V300" s="46"/>
      <c r="W300" s="27"/>
      <c r="X300" s="27"/>
      <c r="Y300" s="27"/>
      <c r="Z300" s="46"/>
      <c r="AA300" s="27"/>
      <c r="AB300" s="27"/>
      <c r="AC300" s="27"/>
    </row>
    <row r="301" spans="2:29" x14ac:dyDescent="0.75">
      <c r="B301" s="26"/>
      <c r="C301" s="27"/>
      <c r="D301" s="46"/>
      <c r="E301" s="27"/>
      <c r="F301" s="27"/>
      <c r="G301" s="27"/>
      <c r="H301" s="46"/>
      <c r="I301" s="27"/>
      <c r="J301" s="27"/>
      <c r="K301" s="27"/>
      <c r="L301" s="46"/>
      <c r="M301" s="27"/>
      <c r="N301" s="27"/>
      <c r="O301" s="27"/>
      <c r="P301" s="46"/>
      <c r="Q301" s="27"/>
      <c r="R301" s="27"/>
      <c r="S301" s="27"/>
      <c r="T301" s="27"/>
      <c r="U301" s="27"/>
      <c r="V301" s="46"/>
      <c r="W301" s="27"/>
      <c r="X301" s="27"/>
      <c r="Y301" s="27"/>
      <c r="Z301" s="46"/>
      <c r="AA301" s="27"/>
      <c r="AB301" s="27"/>
      <c r="AC301" s="27"/>
    </row>
    <row r="302" spans="2:29" x14ac:dyDescent="0.75">
      <c r="B302" s="26"/>
      <c r="C302" s="27"/>
      <c r="D302" s="46"/>
      <c r="E302" s="27"/>
      <c r="F302" s="27"/>
      <c r="G302" s="27"/>
      <c r="H302" s="46"/>
      <c r="I302" s="27"/>
      <c r="J302" s="27"/>
      <c r="K302" s="27"/>
      <c r="L302" s="46"/>
      <c r="M302" s="27"/>
      <c r="N302" s="27"/>
      <c r="O302" s="27"/>
      <c r="P302" s="46"/>
      <c r="Q302" s="27"/>
      <c r="R302" s="27"/>
      <c r="S302" s="27"/>
      <c r="T302" s="27"/>
      <c r="U302" s="27"/>
      <c r="V302" s="46"/>
      <c r="W302" s="27"/>
      <c r="X302" s="27"/>
      <c r="Y302" s="27"/>
      <c r="Z302" s="46"/>
      <c r="AA302" s="27"/>
      <c r="AB302" s="27"/>
      <c r="AC302" s="27"/>
    </row>
    <row r="303" spans="2:29" x14ac:dyDescent="0.75">
      <c r="B303" s="26"/>
      <c r="C303" s="27"/>
      <c r="D303" s="46"/>
      <c r="E303" s="27"/>
      <c r="F303" s="27"/>
      <c r="G303" s="27"/>
      <c r="H303" s="46"/>
      <c r="I303" s="27"/>
      <c r="J303" s="27"/>
      <c r="K303" s="27"/>
      <c r="L303" s="46"/>
      <c r="M303" s="27"/>
      <c r="N303" s="27"/>
      <c r="O303" s="27"/>
      <c r="P303" s="46"/>
      <c r="Q303" s="27"/>
      <c r="R303" s="27"/>
      <c r="S303" s="27"/>
      <c r="T303" s="27"/>
      <c r="U303" s="27"/>
      <c r="V303" s="46"/>
      <c r="W303" s="27"/>
      <c r="X303" s="27"/>
      <c r="Y303" s="27"/>
      <c r="Z303" s="46"/>
      <c r="AA303" s="27"/>
      <c r="AB303" s="27"/>
      <c r="AC303" s="27"/>
    </row>
    <row r="304" spans="2:29" x14ac:dyDescent="0.75">
      <c r="B304" s="26"/>
      <c r="C304" s="27"/>
      <c r="D304" s="46"/>
      <c r="E304" s="27"/>
      <c r="F304" s="27"/>
      <c r="G304" s="27"/>
      <c r="H304" s="46"/>
      <c r="I304" s="27"/>
      <c r="J304" s="27"/>
      <c r="K304" s="27"/>
      <c r="L304" s="46"/>
      <c r="M304" s="27"/>
      <c r="N304" s="27"/>
      <c r="O304" s="27"/>
      <c r="P304" s="46"/>
      <c r="Q304" s="27"/>
      <c r="R304" s="27"/>
      <c r="S304" s="27"/>
      <c r="T304" s="27"/>
      <c r="U304" s="27"/>
      <c r="V304" s="46"/>
      <c r="W304" s="27"/>
      <c r="X304" s="27"/>
      <c r="Y304" s="27"/>
      <c r="Z304" s="46"/>
      <c r="AA304" s="27"/>
      <c r="AB304" s="27"/>
      <c r="AC304" s="27"/>
    </row>
    <row r="305" spans="2:29" x14ac:dyDescent="0.75">
      <c r="B305" s="26"/>
      <c r="C305" s="27"/>
      <c r="D305" s="46"/>
      <c r="E305" s="27"/>
      <c r="F305" s="27"/>
      <c r="G305" s="27"/>
      <c r="H305" s="46"/>
      <c r="I305" s="27"/>
      <c r="J305" s="27"/>
      <c r="K305" s="27"/>
      <c r="L305" s="46"/>
      <c r="M305" s="27"/>
      <c r="N305" s="27"/>
      <c r="O305" s="27"/>
      <c r="P305" s="46"/>
      <c r="Q305" s="27"/>
      <c r="R305" s="27"/>
      <c r="S305" s="27"/>
      <c r="T305" s="27"/>
      <c r="U305" s="27"/>
      <c r="V305" s="46"/>
      <c r="W305" s="27"/>
      <c r="X305" s="27"/>
      <c r="Y305" s="27"/>
      <c r="Z305" s="46"/>
      <c r="AA305" s="27"/>
      <c r="AB305" s="27"/>
      <c r="AC305" s="27"/>
    </row>
    <row r="306" spans="2:29" x14ac:dyDescent="0.75">
      <c r="B306" s="26"/>
      <c r="C306" s="27"/>
      <c r="D306" s="46"/>
      <c r="E306" s="27"/>
      <c r="F306" s="27"/>
      <c r="G306" s="27"/>
      <c r="H306" s="46"/>
      <c r="I306" s="27"/>
      <c r="J306" s="27"/>
      <c r="K306" s="27"/>
      <c r="L306" s="46"/>
      <c r="M306" s="27"/>
      <c r="N306" s="27"/>
      <c r="O306" s="27"/>
      <c r="P306" s="46"/>
      <c r="Q306" s="27"/>
      <c r="R306" s="27"/>
      <c r="S306" s="27"/>
      <c r="T306" s="27"/>
      <c r="U306" s="27"/>
      <c r="V306" s="46"/>
      <c r="W306" s="27"/>
      <c r="X306" s="27"/>
      <c r="Y306" s="27"/>
      <c r="Z306" s="46"/>
      <c r="AA306" s="27"/>
      <c r="AB306" s="27"/>
      <c r="AC306" s="27"/>
    </row>
    <row r="307" spans="2:29" x14ac:dyDescent="0.75">
      <c r="B307" s="26"/>
      <c r="C307" s="27"/>
      <c r="D307" s="46"/>
      <c r="E307" s="27"/>
      <c r="F307" s="27"/>
      <c r="G307" s="27"/>
      <c r="H307" s="46"/>
      <c r="I307" s="27"/>
      <c r="J307" s="27"/>
      <c r="K307" s="27"/>
      <c r="L307" s="46"/>
      <c r="M307" s="27"/>
      <c r="N307" s="27"/>
      <c r="O307" s="27"/>
      <c r="P307" s="46"/>
      <c r="Q307" s="27"/>
      <c r="R307" s="27"/>
      <c r="S307" s="27"/>
      <c r="T307" s="27"/>
      <c r="U307" s="27"/>
      <c r="V307" s="46"/>
      <c r="W307" s="27"/>
      <c r="X307" s="27"/>
      <c r="Y307" s="27"/>
      <c r="Z307" s="46"/>
      <c r="AA307" s="27"/>
      <c r="AB307" s="27"/>
      <c r="AC307" s="27"/>
    </row>
    <row r="308" spans="2:29" x14ac:dyDescent="0.75">
      <c r="B308" s="26"/>
      <c r="C308" s="27"/>
      <c r="D308" s="46"/>
      <c r="E308" s="27"/>
      <c r="F308" s="27"/>
      <c r="G308" s="27"/>
      <c r="H308" s="46"/>
      <c r="I308" s="27"/>
      <c r="J308" s="27"/>
      <c r="K308" s="27"/>
      <c r="L308" s="46"/>
      <c r="M308" s="27"/>
      <c r="N308" s="27"/>
      <c r="O308" s="27"/>
      <c r="P308" s="46"/>
      <c r="Q308" s="27"/>
      <c r="R308" s="27"/>
      <c r="S308" s="27"/>
      <c r="T308" s="27"/>
      <c r="U308" s="27"/>
      <c r="V308" s="46"/>
      <c r="W308" s="27"/>
      <c r="X308" s="27"/>
      <c r="Y308" s="27"/>
      <c r="Z308" s="46"/>
      <c r="AA308" s="27"/>
      <c r="AB308" s="27"/>
      <c r="AC308" s="27"/>
    </row>
    <row r="309" spans="2:29" x14ac:dyDescent="0.75">
      <c r="B309" s="26"/>
      <c r="C309" s="27"/>
      <c r="D309" s="46"/>
      <c r="E309" s="27"/>
      <c r="F309" s="27"/>
      <c r="G309" s="27"/>
      <c r="H309" s="46"/>
      <c r="I309" s="27"/>
      <c r="J309" s="27"/>
      <c r="K309" s="27"/>
      <c r="L309" s="46"/>
      <c r="M309" s="27"/>
      <c r="N309" s="27"/>
      <c r="O309" s="27"/>
      <c r="P309" s="46"/>
      <c r="Q309" s="27"/>
      <c r="R309" s="27"/>
      <c r="S309" s="27"/>
      <c r="T309" s="27"/>
      <c r="U309" s="27"/>
      <c r="V309" s="46"/>
      <c r="W309" s="27"/>
      <c r="X309" s="27"/>
      <c r="Y309" s="27"/>
      <c r="Z309" s="46"/>
      <c r="AA309" s="27"/>
      <c r="AB309" s="27"/>
      <c r="AC309" s="27"/>
    </row>
    <row r="310" spans="2:29" x14ac:dyDescent="0.75">
      <c r="B310" s="26"/>
      <c r="C310" s="27"/>
      <c r="D310" s="46"/>
      <c r="E310" s="27"/>
      <c r="F310" s="27"/>
      <c r="G310" s="27"/>
      <c r="H310" s="46"/>
      <c r="I310" s="27"/>
      <c r="J310" s="27"/>
      <c r="K310" s="27"/>
      <c r="L310" s="46"/>
      <c r="M310" s="27"/>
      <c r="N310" s="27"/>
      <c r="O310" s="27"/>
      <c r="P310" s="46"/>
      <c r="Q310" s="27"/>
      <c r="R310" s="27"/>
      <c r="S310" s="27"/>
      <c r="T310" s="27"/>
      <c r="U310" s="27"/>
      <c r="V310" s="46"/>
      <c r="W310" s="27"/>
      <c r="X310" s="27"/>
      <c r="Y310" s="27"/>
      <c r="Z310" s="46"/>
      <c r="AA310" s="27"/>
      <c r="AB310" s="27"/>
      <c r="AC310" s="27"/>
    </row>
    <row r="311" spans="2:29" x14ac:dyDescent="0.75">
      <c r="B311" s="26"/>
      <c r="C311" s="27"/>
      <c r="D311" s="46"/>
      <c r="E311" s="27"/>
      <c r="F311" s="27"/>
      <c r="G311" s="27"/>
      <c r="H311" s="46"/>
      <c r="I311" s="27"/>
      <c r="J311" s="27"/>
      <c r="K311" s="27"/>
      <c r="L311" s="46"/>
      <c r="M311" s="27"/>
      <c r="N311" s="27"/>
      <c r="O311" s="27"/>
      <c r="P311" s="46"/>
      <c r="Q311" s="27"/>
      <c r="R311" s="27"/>
      <c r="S311" s="27"/>
      <c r="T311" s="27"/>
      <c r="U311" s="27"/>
      <c r="V311" s="46"/>
      <c r="W311" s="27"/>
      <c r="X311" s="27"/>
      <c r="Y311" s="27"/>
      <c r="Z311" s="46"/>
      <c r="AA311" s="27"/>
      <c r="AB311" s="27"/>
      <c r="AC311" s="27"/>
    </row>
    <row r="312" spans="2:29" x14ac:dyDescent="0.75">
      <c r="B312" s="26"/>
      <c r="C312" s="27"/>
      <c r="D312" s="46"/>
      <c r="E312" s="27"/>
      <c r="F312" s="27"/>
      <c r="G312" s="27"/>
      <c r="H312" s="46"/>
      <c r="I312" s="27"/>
      <c r="J312" s="27"/>
      <c r="K312" s="27"/>
      <c r="L312" s="46"/>
      <c r="M312" s="27"/>
      <c r="N312" s="27"/>
      <c r="O312" s="27"/>
      <c r="P312" s="46"/>
      <c r="Q312" s="27"/>
      <c r="R312" s="27"/>
      <c r="S312" s="27"/>
      <c r="T312" s="27"/>
      <c r="U312" s="27"/>
      <c r="V312" s="46"/>
      <c r="W312" s="27"/>
      <c r="X312" s="27"/>
      <c r="Y312" s="27"/>
      <c r="Z312" s="46"/>
      <c r="AA312" s="27"/>
      <c r="AB312" s="27"/>
      <c r="AC312" s="27"/>
    </row>
    <row r="313" spans="2:29" x14ac:dyDescent="0.75">
      <c r="B313" s="26"/>
      <c r="C313" s="27"/>
      <c r="D313" s="46"/>
      <c r="E313" s="27"/>
      <c r="F313" s="27"/>
      <c r="G313" s="27"/>
      <c r="H313" s="46"/>
      <c r="I313" s="27"/>
      <c r="J313" s="27"/>
      <c r="K313" s="27"/>
      <c r="L313" s="46"/>
      <c r="M313" s="27"/>
      <c r="N313" s="27"/>
      <c r="O313" s="27"/>
      <c r="P313" s="46"/>
      <c r="Q313" s="27"/>
      <c r="R313" s="27"/>
      <c r="S313" s="27"/>
      <c r="T313" s="27"/>
      <c r="U313" s="27"/>
      <c r="V313" s="46"/>
      <c r="W313" s="27"/>
      <c r="X313" s="27"/>
      <c r="Y313" s="27"/>
      <c r="Z313" s="46"/>
      <c r="AA313" s="27"/>
      <c r="AB313" s="27"/>
      <c r="AC313" s="27"/>
    </row>
    <row r="314" spans="2:29" x14ac:dyDescent="0.75">
      <c r="B314" s="26"/>
      <c r="C314" s="27"/>
      <c r="D314" s="46"/>
      <c r="E314" s="27"/>
      <c r="F314" s="27"/>
      <c r="G314" s="27"/>
      <c r="H314" s="46"/>
      <c r="I314" s="27"/>
      <c r="J314" s="27"/>
      <c r="K314" s="27"/>
      <c r="L314" s="46"/>
      <c r="M314" s="27"/>
      <c r="N314" s="27"/>
      <c r="O314" s="27"/>
      <c r="P314" s="46"/>
      <c r="Q314" s="27"/>
      <c r="R314" s="27"/>
      <c r="S314" s="27"/>
      <c r="T314" s="27"/>
      <c r="U314" s="27"/>
      <c r="V314" s="46"/>
      <c r="W314" s="27"/>
      <c r="X314" s="27"/>
      <c r="Y314" s="27"/>
      <c r="Z314" s="46"/>
      <c r="AA314" s="27"/>
      <c r="AB314" s="27"/>
      <c r="AC314" s="27"/>
    </row>
    <row r="315" spans="2:29" x14ac:dyDescent="0.75">
      <c r="B315" s="26"/>
      <c r="C315" s="27"/>
      <c r="D315" s="46"/>
      <c r="E315" s="27"/>
      <c r="F315" s="27"/>
      <c r="G315" s="27"/>
      <c r="H315" s="46"/>
      <c r="I315" s="27"/>
      <c r="J315" s="27"/>
      <c r="K315" s="27"/>
      <c r="L315" s="46"/>
      <c r="M315" s="27"/>
      <c r="N315" s="27"/>
      <c r="O315" s="27"/>
      <c r="P315" s="46"/>
      <c r="Q315" s="27"/>
      <c r="R315" s="27"/>
      <c r="S315" s="27"/>
      <c r="T315" s="27"/>
      <c r="U315" s="27"/>
      <c r="V315" s="46"/>
      <c r="W315" s="27"/>
      <c r="X315" s="27"/>
      <c r="Y315" s="27"/>
      <c r="Z315" s="46"/>
      <c r="AA315" s="27"/>
      <c r="AB315" s="27"/>
      <c r="AC315" s="27"/>
    </row>
    <row r="316" spans="2:29" x14ac:dyDescent="0.75">
      <c r="B316" s="26"/>
      <c r="C316" s="27"/>
      <c r="D316" s="46"/>
      <c r="E316" s="27"/>
      <c r="F316" s="27"/>
      <c r="G316" s="27"/>
      <c r="H316" s="46"/>
      <c r="I316" s="27"/>
      <c r="J316" s="27"/>
      <c r="K316" s="27"/>
      <c r="L316" s="46"/>
      <c r="M316" s="27"/>
      <c r="N316" s="27"/>
      <c r="O316" s="27"/>
      <c r="P316" s="46"/>
      <c r="Q316" s="27"/>
      <c r="R316" s="27"/>
      <c r="S316" s="27"/>
      <c r="T316" s="27"/>
      <c r="U316" s="27"/>
      <c r="V316" s="46"/>
      <c r="W316" s="27"/>
      <c r="X316" s="27"/>
      <c r="Y316" s="27"/>
      <c r="Z316" s="46"/>
      <c r="AA316" s="27"/>
      <c r="AB316" s="27"/>
      <c r="AC316" s="27"/>
    </row>
    <row r="317" spans="2:29" x14ac:dyDescent="0.75">
      <c r="B317" s="26"/>
      <c r="C317" s="27"/>
      <c r="D317" s="46"/>
      <c r="E317" s="27"/>
      <c r="F317" s="27"/>
      <c r="G317" s="27"/>
      <c r="H317" s="46"/>
      <c r="I317" s="27"/>
      <c r="J317" s="27"/>
      <c r="K317" s="27"/>
      <c r="L317" s="46"/>
      <c r="M317" s="27"/>
      <c r="N317" s="27"/>
      <c r="O317" s="27"/>
      <c r="P317" s="46"/>
      <c r="Q317" s="27"/>
      <c r="R317" s="27"/>
      <c r="S317" s="27"/>
      <c r="T317" s="27"/>
      <c r="U317" s="27"/>
      <c r="V317" s="46"/>
      <c r="W317" s="27"/>
      <c r="X317" s="27"/>
      <c r="Y317" s="27"/>
      <c r="Z317" s="46"/>
      <c r="AA317" s="27"/>
      <c r="AB317" s="27"/>
      <c r="AC317" s="27"/>
    </row>
    <row r="318" spans="2:29" x14ac:dyDescent="0.75">
      <c r="B318" s="26"/>
      <c r="C318" s="27"/>
      <c r="D318" s="46"/>
      <c r="E318" s="27"/>
      <c r="F318" s="27"/>
      <c r="G318" s="27"/>
      <c r="H318" s="46"/>
      <c r="I318" s="27"/>
      <c r="J318" s="27"/>
      <c r="K318" s="27"/>
      <c r="L318" s="46"/>
      <c r="M318" s="27"/>
      <c r="N318" s="27"/>
      <c r="O318" s="27"/>
      <c r="P318" s="46"/>
      <c r="Q318" s="27"/>
      <c r="R318" s="27"/>
      <c r="S318" s="27"/>
      <c r="T318" s="27"/>
      <c r="U318" s="27"/>
      <c r="V318" s="46"/>
      <c r="W318" s="27"/>
      <c r="X318" s="27"/>
      <c r="Y318" s="27"/>
      <c r="Z318" s="46"/>
      <c r="AA318" s="27"/>
      <c r="AB318" s="27"/>
      <c r="AC318" s="27"/>
    </row>
    <row r="319" spans="2:29" x14ac:dyDescent="0.75">
      <c r="B319" s="26"/>
      <c r="C319" s="27"/>
      <c r="D319" s="46"/>
      <c r="E319" s="27"/>
      <c r="F319" s="27"/>
      <c r="G319" s="27"/>
      <c r="H319" s="46"/>
      <c r="I319" s="27"/>
      <c r="J319" s="27"/>
      <c r="K319" s="27"/>
      <c r="L319" s="46"/>
      <c r="M319" s="27"/>
      <c r="N319" s="27"/>
      <c r="O319" s="27"/>
      <c r="P319" s="46"/>
      <c r="Q319" s="27"/>
      <c r="R319" s="27"/>
      <c r="S319" s="27"/>
      <c r="T319" s="27"/>
      <c r="U319" s="27"/>
      <c r="V319" s="46"/>
      <c r="W319" s="27"/>
      <c r="X319" s="27"/>
      <c r="Y319" s="27"/>
      <c r="Z319" s="46"/>
      <c r="AA319" s="27"/>
      <c r="AB319" s="27"/>
      <c r="AC319" s="27"/>
    </row>
    <row r="320" spans="2:29" x14ac:dyDescent="0.75">
      <c r="B320" s="26"/>
      <c r="C320" s="27"/>
      <c r="D320" s="46"/>
      <c r="E320" s="27"/>
      <c r="F320" s="27"/>
      <c r="G320" s="27"/>
      <c r="H320" s="46"/>
      <c r="I320" s="27"/>
      <c r="J320" s="27"/>
      <c r="K320" s="27"/>
      <c r="L320" s="46"/>
      <c r="M320" s="27"/>
      <c r="N320" s="27"/>
      <c r="O320" s="27"/>
      <c r="P320" s="46"/>
      <c r="Q320" s="27"/>
      <c r="R320" s="27"/>
      <c r="S320" s="27"/>
      <c r="T320" s="27"/>
      <c r="U320" s="27"/>
      <c r="V320" s="46"/>
      <c r="W320" s="27"/>
      <c r="X320" s="27"/>
      <c r="Y320" s="27"/>
      <c r="Z320" s="46"/>
      <c r="AA320" s="27"/>
      <c r="AB320" s="27"/>
      <c r="AC320" s="27"/>
    </row>
    <row r="321" spans="2:29" x14ac:dyDescent="0.75">
      <c r="B321" s="26"/>
      <c r="C321" s="27"/>
      <c r="D321" s="46"/>
      <c r="E321" s="27"/>
      <c r="F321" s="27"/>
      <c r="G321" s="27"/>
      <c r="H321" s="46"/>
      <c r="I321" s="27"/>
      <c r="J321" s="27"/>
      <c r="K321" s="27"/>
      <c r="L321" s="46"/>
      <c r="M321" s="27"/>
      <c r="N321" s="27"/>
      <c r="O321" s="27"/>
      <c r="P321" s="46"/>
      <c r="Q321" s="27"/>
      <c r="R321" s="27"/>
      <c r="S321" s="27"/>
      <c r="T321" s="27"/>
      <c r="U321" s="27"/>
      <c r="V321" s="46"/>
      <c r="W321" s="27"/>
      <c r="X321" s="27"/>
      <c r="Y321" s="27"/>
      <c r="Z321" s="46"/>
      <c r="AA321" s="27"/>
      <c r="AB321" s="27"/>
      <c r="AC321" s="27"/>
    </row>
    <row r="322" spans="2:29" x14ac:dyDescent="0.75">
      <c r="B322" s="26"/>
      <c r="C322" s="27"/>
      <c r="D322" s="46"/>
      <c r="E322" s="27"/>
      <c r="F322" s="27"/>
      <c r="G322" s="27"/>
      <c r="H322" s="46"/>
      <c r="I322" s="27"/>
      <c r="J322" s="27"/>
      <c r="K322" s="27"/>
      <c r="L322" s="46"/>
      <c r="M322" s="27"/>
      <c r="N322" s="27"/>
      <c r="O322" s="27"/>
      <c r="P322" s="46"/>
      <c r="Q322" s="27"/>
      <c r="R322" s="27"/>
      <c r="S322" s="27"/>
      <c r="T322" s="27"/>
      <c r="U322" s="27"/>
      <c r="V322" s="46"/>
      <c r="W322" s="27"/>
      <c r="X322" s="27"/>
      <c r="Y322" s="27"/>
      <c r="Z322" s="46"/>
      <c r="AA322" s="27"/>
      <c r="AB322" s="27"/>
      <c r="AC322" s="27"/>
    </row>
    <row r="323" spans="2:29" x14ac:dyDescent="0.75">
      <c r="B323" s="26"/>
      <c r="C323" s="27"/>
      <c r="D323" s="46"/>
      <c r="E323" s="27"/>
      <c r="F323" s="27"/>
      <c r="G323" s="27"/>
      <c r="H323" s="46"/>
      <c r="I323" s="27"/>
      <c r="J323" s="27"/>
      <c r="K323" s="27"/>
      <c r="L323" s="46"/>
      <c r="M323" s="27"/>
      <c r="N323" s="27"/>
      <c r="O323" s="27"/>
      <c r="P323" s="46"/>
      <c r="Q323" s="27"/>
      <c r="R323" s="27"/>
      <c r="S323" s="27"/>
      <c r="T323" s="27"/>
      <c r="U323" s="27"/>
      <c r="V323" s="46"/>
      <c r="W323" s="27"/>
      <c r="X323" s="27"/>
      <c r="Y323" s="27"/>
      <c r="Z323" s="46"/>
      <c r="AA323" s="27"/>
      <c r="AB323" s="27"/>
      <c r="AC323" s="27"/>
    </row>
    <row r="324" spans="2:29" x14ac:dyDescent="0.75">
      <c r="B324" s="26"/>
      <c r="C324" s="27"/>
      <c r="D324" s="46"/>
      <c r="E324" s="27"/>
      <c r="F324" s="27"/>
      <c r="G324" s="27"/>
      <c r="H324" s="46"/>
      <c r="I324" s="27"/>
      <c r="J324" s="27"/>
      <c r="K324" s="27"/>
      <c r="L324" s="46"/>
      <c r="M324" s="27"/>
      <c r="N324" s="27"/>
      <c r="O324" s="27"/>
      <c r="P324" s="46"/>
      <c r="Q324" s="27"/>
      <c r="R324" s="27"/>
      <c r="S324" s="27"/>
      <c r="T324" s="27"/>
      <c r="U324" s="27"/>
      <c r="V324" s="46"/>
      <c r="W324" s="27"/>
      <c r="X324" s="27"/>
      <c r="Y324" s="27"/>
      <c r="Z324" s="46"/>
      <c r="AA324" s="27"/>
      <c r="AB324" s="27"/>
      <c r="AC324" s="27"/>
    </row>
    <row r="325" spans="2:29" x14ac:dyDescent="0.75">
      <c r="B325" s="26"/>
      <c r="C325" s="27"/>
      <c r="D325" s="46"/>
      <c r="E325" s="27"/>
      <c r="F325" s="27"/>
      <c r="G325" s="27"/>
      <c r="H325" s="46"/>
      <c r="I325" s="27"/>
      <c r="J325" s="27"/>
      <c r="K325" s="27"/>
      <c r="L325" s="46"/>
      <c r="M325" s="27"/>
      <c r="N325" s="27"/>
      <c r="O325" s="27"/>
      <c r="P325" s="46"/>
      <c r="Q325" s="27"/>
      <c r="R325" s="27"/>
      <c r="S325" s="27"/>
      <c r="T325" s="27"/>
      <c r="U325" s="27"/>
      <c r="V325" s="46"/>
      <c r="W325" s="27"/>
      <c r="X325" s="27"/>
      <c r="Y325" s="27"/>
      <c r="Z325" s="46"/>
      <c r="AA325" s="27"/>
      <c r="AB325" s="27"/>
      <c r="AC325" s="27"/>
    </row>
    <row r="326" spans="2:29" x14ac:dyDescent="0.75">
      <c r="B326" s="26"/>
      <c r="C326" s="27"/>
      <c r="D326" s="46"/>
      <c r="E326" s="27"/>
      <c r="F326" s="27"/>
      <c r="G326" s="27"/>
      <c r="H326" s="46"/>
      <c r="I326" s="27"/>
      <c r="J326" s="27"/>
      <c r="K326" s="27"/>
      <c r="L326" s="46"/>
      <c r="M326" s="27"/>
      <c r="N326" s="27"/>
      <c r="O326" s="27"/>
      <c r="P326" s="46"/>
      <c r="Q326" s="27"/>
      <c r="R326" s="27"/>
      <c r="S326" s="27"/>
      <c r="T326" s="27"/>
      <c r="U326" s="27"/>
      <c r="V326" s="46"/>
      <c r="W326" s="27"/>
      <c r="X326" s="27"/>
      <c r="Y326" s="27"/>
      <c r="Z326" s="46"/>
      <c r="AA326" s="27"/>
      <c r="AB326" s="27"/>
      <c r="AC326" s="27"/>
    </row>
    <row r="327" spans="2:29" x14ac:dyDescent="0.75">
      <c r="B327" s="26"/>
      <c r="C327" s="27"/>
      <c r="D327" s="46"/>
      <c r="E327" s="27"/>
      <c r="F327" s="27"/>
      <c r="G327" s="27"/>
      <c r="H327" s="46"/>
      <c r="I327" s="27"/>
      <c r="J327" s="27"/>
      <c r="K327" s="27"/>
      <c r="L327" s="46"/>
      <c r="M327" s="27"/>
      <c r="N327" s="27"/>
      <c r="O327" s="27"/>
      <c r="P327" s="46"/>
      <c r="Q327" s="27"/>
      <c r="R327" s="27"/>
      <c r="S327" s="27"/>
      <c r="T327" s="27"/>
      <c r="U327" s="27"/>
      <c r="V327" s="46"/>
      <c r="W327" s="27"/>
      <c r="X327" s="27"/>
      <c r="Y327" s="27"/>
      <c r="Z327" s="46"/>
      <c r="AA327" s="27"/>
      <c r="AB327" s="27"/>
      <c r="AC327" s="27"/>
    </row>
    <row r="328" spans="2:29" x14ac:dyDescent="0.75">
      <c r="B328" s="26"/>
      <c r="C328" s="27"/>
      <c r="D328" s="46"/>
      <c r="E328" s="27"/>
      <c r="F328" s="27"/>
      <c r="G328" s="27"/>
      <c r="H328" s="46"/>
      <c r="I328" s="27"/>
      <c r="J328" s="27"/>
      <c r="K328" s="27"/>
      <c r="L328" s="46"/>
      <c r="M328" s="27"/>
      <c r="N328" s="27"/>
      <c r="O328" s="27"/>
      <c r="P328" s="46"/>
      <c r="Q328" s="27"/>
      <c r="R328" s="27"/>
      <c r="S328" s="27"/>
      <c r="T328" s="27"/>
      <c r="U328" s="27"/>
      <c r="V328" s="46"/>
      <c r="W328" s="27"/>
      <c r="X328" s="27"/>
      <c r="Y328" s="27"/>
      <c r="Z328" s="46"/>
      <c r="AA328" s="27"/>
      <c r="AB328" s="27"/>
      <c r="AC328" s="27"/>
    </row>
    <row r="329" spans="2:29" x14ac:dyDescent="0.75">
      <c r="B329" s="26"/>
      <c r="C329" s="27"/>
      <c r="D329" s="46"/>
      <c r="E329" s="27"/>
      <c r="F329" s="27"/>
      <c r="G329" s="27"/>
      <c r="H329" s="46"/>
      <c r="I329" s="27"/>
      <c r="J329" s="27"/>
      <c r="K329" s="27"/>
      <c r="L329" s="46"/>
      <c r="M329" s="27"/>
      <c r="N329" s="27"/>
      <c r="O329" s="27"/>
      <c r="P329" s="46"/>
      <c r="Q329" s="27"/>
      <c r="R329" s="27"/>
      <c r="S329" s="27"/>
      <c r="T329" s="27"/>
      <c r="U329" s="27"/>
      <c r="V329" s="46"/>
      <c r="W329" s="27"/>
      <c r="X329" s="27"/>
      <c r="Y329" s="27"/>
      <c r="Z329" s="46"/>
      <c r="AA329" s="27"/>
      <c r="AB329" s="27"/>
      <c r="AC329" s="27"/>
    </row>
    <row r="330" spans="2:29" x14ac:dyDescent="0.75">
      <c r="B330" s="26"/>
      <c r="C330" s="27"/>
      <c r="D330" s="46"/>
      <c r="E330" s="27"/>
      <c r="F330" s="27"/>
      <c r="G330" s="27"/>
      <c r="H330" s="46"/>
      <c r="I330" s="27"/>
      <c r="J330" s="27"/>
      <c r="K330" s="27"/>
      <c r="L330" s="46"/>
      <c r="M330" s="27"/>
      <c r="N330" s="27"/>
      <c r="O330" s="27"/>
      <c r="P330" s="46"/>
      <c r="Q330" s="27"/>
      <c r="R330" s="27"/>
      <c r="S330" s="27"/>
      <c r="T330" s="27"/>
      <c r="U330" s="27"/>
      <c r="V330" s="46"/>
      <c r="W330" s="27"/>
      <c r="X330" s="27"/>
      <c r="Y330" s="27"/>
      <c r="Z330" s="46"/>
      <c r="AA330" s="27"/>
      <c r="AB330" s="27"/>
      <c r="AC330" s="27"/>
    </row>
    <row r="331" spans="2:29" x14ac:dyDescent="0.75">
      <c r="B331" s="26"/>
      <c r="C331" s="27"/>
      <c r="D331" s="46"/>
      <c r="E331" s="27"/>
      <c r="F331" s="27"/>
      <c r="G331" s="27"/>
      <c r="H331" s="46"/>
      <c r="I331" s="27"/>
      <c r="J331" s="27"/>
      <c r="K331" s="27"/>
      <c r="L331" s="46"/>
      <c r="M331" s="27"/>
      <c r="N331" s="27"/>
      <c r="O331" s="27"/>
      <c r="P331" s="46"/>
      <c r="Q331" s="27"/>
      <c r="R331" s="27"/>
      <c r="S331" s="27"/>
      <c r="T331" s="27"/>
      <c r="U331" s="27"/>
      <c r="V331" s="46"/>
      <c r="W331" s="27"/>
      <c r="X331" s="27"/>
      <c r="Y331" s="27"/>
      <c r="Z331" s="46"/>
      <c r="AA331" s="27"/>
      <c r="AB331" s="27"/>
      <c r="AC331" s="27"/>
    </row>
    <row r="332" spans="2:29" x14ac:dyDescent="0.75">
      <c r="B332" s="26"/>
      <c r="C332" s="27"/>
      <c r="D332" s="46"/>
      <c r="E332" s="27"/>
      <c r="F332" s="27"/>
      <c r="G332" s="27"/>
      <c r="H332" s="46"/>
      <c r="I332" s="27"/>
      <c r="J332" s="27"/>
      <c r="K332" s="27"/>
      <c r="L332" s="46"/>
      <c r="M332" s="27"/>
      <c r="N332" s="27"/>
      <c r="O332" s="27"/>
      <c r="P332" s="46"/>
      <c r="Q332" s="27"/>
      <c r="R332" s="27"/>
      <c r="S332" s="27"/>
      <c r="T332" s="27"/>
      <c r="U332" s="27"/>
      <c r="V332" s="46"/>
      <c r="W332" s="27"/>
      <c r="X332" s="27"/>
      <c r="Y332" s="27"/>
      <c r="Z332" s="46"/>
      <c r="AA332" s="27"/>
      <c r="AB332" s="27"/>
      <c r="AC332" s="27"/>
    </row>
    <row r="333" spans="2:29" x14ac:dyDescent="0.75">
      <c r="B333" s="26"/>
      <c r="C333" s="27"/>
      <c r="D333" s="46"/>
      <c r="E333" s="27"/>
      <c r="F333" s="27"/>
      <c r="G333" s="27"/>
      <c r="H333" s="46"/>
      <c r="I333" s="27"/>
      <c r="J333" s="27"/>
      <c r="K333" s="27"/>
      <c r="L333" s="46"/>
      <c r="M333" s="27"/>
      <c r="N333" s="27"/>
      <c r="O333" s="27"/>
      <c r="P333" s="46"/>
      <c r="Q333" s="27"/>
      <c r="R333" s="27"/>
      <c r="S333" s="27"/>
      <c r="T333" s="27"/>
      <c r="U333" s="27"/>
      <c r="V333" s="46"/>
      <c r="W333" s="27"/>
      <c r="X333" s="27"/>
      <c r="Y333" s="27"/>
      <c r="Z333" s="46"/>
      <c r="AA333" s="27"/>
      <c r="AB333" s="27"/>
      <c r="AC333" s="27"/>
    </row>
    <row r="334" spans="2:29" x14ac:dyDescent="0.75">
      <c r="B334" s="26"/>
      <c r="C334" s="27"/>
      <c r="D334" s="46"/>
      <c r="E334" s="27"/>
      <c r="F334" s="27"/>
      <c r="G334" s="27"/>
      <c r="H334" s="46"/>
      <c r="I334" s="27"/>
      <c r="J334" s="27"/>
      <c r="K334" s="27"/>
      <c r="L334" s="46"/>
      <c r="M334" s="27"/>
      <c r="N334" s="27"/>
      <c r="O334" s="27"/>
      <c r="P334" s="46"/>
      <c r="Q334" s="27"/>
      <c r="R334" s="27"/>
      <c r="S334" s="27"/>
      <c r="T334" s="27"/>
      <c r="U334" s="27"/>
      <c r="V334" s="46"/>
      <c r="W334" s="27"/>
      <c r="X334" s="27"/>
      <c r="Y334" s="27"/>
      <c r="Z334" s="46"/>
      <c r="AA334" s="27"/>
      <c r="AB334" s="27"/>
      <c r="AC334" s="27"/>
    </row>
    <row r="335" spans="2:29" x14ac:dyDescent="0.75">
      <c r="B335" s="26"/>
      <c r="C335" s="27"/>
      <c r="D335" s="46"/>
      <c r="E335" s="27"/>
      <c r="F335" s="27"/>
      <c r="G335" s="27"/>
      <c r="H335" s="46"/>
      <c r="I335" s="27"/>
      <c r="J335" s="27"/>
      <c r="K335" s="27"/>
      <c r="L335" s="46"/>
      <c r="M335" s="27"/>
      <c r="N335" s="27"/>
      <c r="O335" s="27"/>
      <c r="P335" s="46"/>
      <c r="Q335" s="27"/>
      <c r="R335" s="27"/>
      <c r="S335" s="27"/>
      <c r="T335" s="27"/>
      <c r="U335" s="27"/>
      <c r="V335" s="46"/>
      <c r="W335" s="27"/>
      <c r="X335" s="27"/>
      <c r="Y335" s="27"/>
      <c r="Z335" s="46"/>
      <c r="AA335" s="27"/>
      <c r="AB335" s="27"/>
      <c r="AC335" s="27"/>
    </row>
    <row r="336" spans="2:29" x14ac:dyDescent="0.75">
      <c r="B336" s="26"/>
      <c r="C336" s="27"/>
      <c r="D336" s="46"/>
      <c r="E336" s="27"/>
      <c r="F336" s="27"/>
      <c r="G336" s="27"/>
      <c r="H336" s="46"/>
      <c r="I336" s="27"/>
      <c r="J336" s="27"/>
      <c r="K336" s="27"/>
      <c r="L336" s="46"/>
      <c r="M336" s="27"/>
      <c r="N336" s="27"/>
      <c r="O336" s="27"/>
      <c r="P336" s="46"/>
      <c r="Q336" s="27"/>
      <c r="R336" s="27"/>
      <c r="S336" s="27"/>
      <c r="T336" s="27"/>
      <c r="U336" s="27"/>
      <c r="V336" s="46"/>
      <c r="W336" s="27"/>
      <c r="X336" s="27"/>
      <c r="Y336" s="27"/>
      <c r="Z336" s="46"/>
      <c r="AA336" s="27"/>
      <c r="AB336" s="27"/>
      <c r="AC336" s="27"/>
    </row>
    <row r="337" spans="2:29" x14ac:dyDescent="0.75">
      <c r="B337" s="26"/>
      <c r="C337" s="27"/>
      <c r="D337" s="46"/>
      <c r="E337" s="27"/>
      <c r="F337" s="27"/>
      <c r="G337" s="27"/>
      <c r="H337" s="46"/>
      <c r="I337" s="27"/>
      <c r="J337" s="27"/>
      <c r="K337" s="27"/>
      <c r="L337" s="46"/>
      <c r="M337" s="27"/>
      <c r="N337" s="27"/>
      <c r="O337" s="27"/>
      <c r="P337" s="46"/>
      <c r="Q337" s="27"/>
      <c r="R337" s="27"/>
      <c r="S337" s="27"/>
      <c r="T337" s="27"/>
      <c r="U337" s="27"/>
      <c r="V337" s="46"/>
      <c r="W337" s="27"/>
      <c r="X337" s="27"/>
      <c r="Y337" s="27"/>
      <c r="Z337" s="46"/>
      <c r="AA337" s="27"/>
      <c r="AB337" s="27"/>
      <c r="AC337" s="27"/>
    </row>
    <row r="338" spans="2:29" x14ac:dyDescent="0.75">
      <c r="B338" s="26"/>
      <c r="C338" s="27"/>
      <c r="D338" s="46"/>
      <c r="E338" s="27"/>
      <c r="F338" s="27"/>
      <c r="G338" s="27"/>
      <c r="H338" s="46"/>
      <c r="I338" s="27"/>
      <c r="J338" s="27"/>
      <c r="K338" s="27"/>
      <c r="L338" s="46"/>
      <c r="M338" s="27"/>
      <c r="N338" s="27"/>
      <c r="O338" s="27"/>
      <c r="P338" s="46"/>
      <c r="Q338" s="27"/>
      <c r="R338" s="27"/>
      <c r="S338" s="27"/>
      <c r="T338" s="27"/>
      <c r="U338" s="27"/>
      <c r="V338" s="46"/>
      <c r="W338" s="27"/>
      <c r="X338" s="27"/>
      <c r="Y338" s="27"/>
      <c r="Z338" s="46"/>
      <c r="AA338" s="27"/>
      <c r="AB338" s="27"/>
      <c r="AC338" s="27"/>
    </row>
    <row r="339" spans="2:29" x14ac:dyDescent="0.75">
      <c r="B339" s="26"/>
      <c r="C339" s="27"/>
      <c r="D339" s="46"/>
      <c r="E339" s="27"/>
      <c r="F339" s="27"/>
      <c r="G339" s="27"/>
      <c r="H339" s="46"/>
      <c r="I339" s="27"/>
      <c r="J339" s="27"/>
      <c r="K339" s="27"/>
      <c r="L339" s="46"/>
      <c r="M339" s="27"/>
      <c r="N339" s="27"/>
      <c r="O339" s="27"/>
      <c r="P339" s="46"/>
      <c r="Q339" s="27"/>
      <c r="R339" s="27"/>
      <c r="S339" s="27"/>
      <c r="T339" s="27"/>
      <c r="U339" s="27"/>
      <c r="V339" s="46"/>
      <c r="W339" s="27"/>
      <c r="X339" s="27"/>
      <c r="Y339" s="27"/>
      <c r="Z339" s="46"/>
      <c r="AA339" s="27"/>
      <c r="AB339" s="27"/>
      <c r="AC339" s="27"/>
    </row>
    <row r="340" spans="2:29" x14ac:dyDescent="0.75">
      <c r="B340" s="26"/>
      <c r="C340" s="27"/>
      <c r="D340" s="46"/>
      <c r="E340" s="27"/>
      <c r="F340" s="27"/>
      <c r="G340" s="27"/>
      <c r="H340" s="46"/>
      <c r="I340" s="27"/>
      <c r="J340" s="27"/>
      <c r="K340" s="27"/>
      <c r="L340" s="46"/>
      <c r="M340" s="27"/>
      <c r="N340" s="27"/>
      <c r="O340" s="27"/>
      <c r="P340" s="46"/>
      <c r="Q340" s="27"/>
      <c r="R340" s="27"/>
      <c r="S340" s="27"/>
      <c r="T340" s="27"/>
      <c r="U340" s="27"/>
      <c r="V340" s="46"/>
      <c r="W340" s="27"/>
      <c r="X340" s="27"/>
      <c r="Y340" s="27"/>
      <c r="Z340" s="46"/>
      <c r="AA340" s="27"/>
      <c r="AB340" s="27"/>
      <c r="AC340" s="27"/>
    </row>
    <row r="341" spans="2:29" x14ac:dyDescent="0.75">
      <c r="B341" s="26"/>
      <c r="C341" s="27"/>
      <c r="D341" s="46"/>
      <c r="E341" s="27"/>
      <c r="F341" s="27"/>
      <c r="G341" s="27"/>
      <c r="H341" s="46"/>
      <c r="I341" s="27"/>
      <c r="J341" s="27"/>
      <c r="K341" s="27"/>
      <c r="L341" s="46"/>
      <c r="M341" s="27"/>
      <c r="N341" s="27"/>
      <c r="O341" s="27"/>
      <c r="P341" s="46"/>
      <c r="Q341" s="27"/>
      <c r="R341" s="27"/>
      <c r="S341" s="27"/>
      <c r="T341" s="27"/>
      <c r="U341" s="27"/>
      <c r="V341" s="46"/>
      <c r="W341" s="27"/>
      <c r="X341" s="27"/>
      <c r="Y341" s="27"/>
      <c r="Z341" s="46"/>
      <c r="AA341" s="27"/>
      <c r="AB341" s="27"/>
      <c r="AC341" s="27"/>
    </row>
    <row r="342" spans="2:29" x14ac:dyDescent="0.75">
      <c r="B342" s="26"/>
      <c r="C342" s="27"/>
      <c r="D342" s="46"/>
      <c r="E342" s="27"/>
      <c r="F342" s="27"/>
      <c r="G342" s="27"/>
      <c r="H342" s="46"/>
      <c r="I342" s="27"/>
      <c r="J342" s="27"/>
      <c r="K342" s="27"/>
      <c r="L342" s="46"/>
      <c r="M342" s="27"/>
      <c r="N342" s="27"/>
      <c r="O342" s="27"/>
      <c r="P342" s="46"/>
      <c r="Q342" s="27"/>
      <c r="R342" s="27"/>
      <c r="S342" s="27"/>
      <c r="T342" s="27"/>
      <c r="U342" s="27"/>
      <c r="V342" s="46"/>
      <c r="W342" s="27"/>
      <c r="X342" s="27"/>
      <c r="Y342" s="27"/>
      <c r="Z342" s="46"/>
      <c r="AA342" s="27"/>
      <c r="AB342" s="27"/>
      <c r="AC342" s="27"/>
    </row>
    <row r="343" spans="2:29" x14ac:dyDescent="0.75">
      <c r="B343" s="26"/>
      <c r="C343" s="27"/>
      <c r="D343" s="46"/>
      <c r="E343" s="27"/>
      <c r="F343" s="27"/>
      <c r="G343" s="27"/>
      <c r="H343" s="46"/>
      <c r="I343" s="27"/>
      <c r="J343" s="27"/>
      <c r="K343" s="27"/>
      <c r="L343" s="46"/>
      <c r="M343" s="27"/>
      <c r="N343" s="27"/>
      <c r="O343" s="27"/>
      <c r="P343" s="46"/>
      <c r="Q343" s="27"/>
      <c r="R343" s="27"/>
      <c r="S343" s="27"/>
      <c r="T343" s="27"/>
      <c r="U343" s="27"/>
      <c r="V343" s="46"/>
      <c r="W343" s="27"/>
      <c r="X343" s="27"/>
      <c r="Y343" s="27"/>
      <c r="Z343" s="46"/>
      <c r="AA343" s="27"/>
      <c r="AB343" s="27"/>
      <c r="AC343" s="27"/>
    </row>
    <row r="344" spans="2:29" x14ac:dyDescent="0.75">
      <c r="B344" s="26"/>
      <c r="C344" s="27"/>
      <c r="D344" s="46"/>
      <c r="E344" s="27"/>
      <c r="F344" s="27"/>
      <c r="G344" s="27"/>
      <c r="H344" s="46"/>
      <c r="I344" s="27"/>
      <c r="J344" s="27"/>
      <c r="K344" s="27"/>
      <c r="L344" s="46"/>
      <c r="M344" s="27"/>
      <c r="N344" s="27"/>
      <c r="O344" s="27"/>
      <c r="P344" s="46"/>
      <c r="Q344" s="27"/>
      <c r="R344" s="27"/>
      <c r="S344" s="27"/>
      <c r="T344" s="27"/>
      <c r="U344" s="27"/>
      <c r="V344" s="46"/>
      <c r="W344" s="27"/>
      <c r="X344" s="27"/>
      <c r="Y344" s="27"/>
      <c r="Z344" s="46"/>
      <c r="AA344" s="27"/>
      <c r="AB344" s="27"/>
      <c r="AC344" s="27"/>
    </row>
    <row r="345" spans="2:29" x14ac:dyDescent="0.75">
      <c r="B345" s="26"/>
      <c r="C345" s="27"/>
      <c r="D345" s="46"/>
      <c r="E345" s="27"/>
      <c r="F345" s="27"/>
      <c r="G345" s="27"/>
      <c r="H345" s="46"/>
      <c r="I345" s="27"/>
      <c r="J345" s="27"/>
      <c r="K345" s="27"/>
      <c r="L345" s="46"/>
      <c r="M345" s="27"/>
      <c r="N345" s="27"/>
      <c r="O345" s="27"/>
      <c r="P345" s="46"/>
      <c r="Q345" s="27"/>
      <c r="R345" s="27"/>
      <c r="S345" s="27"/>
      <c r="T345" s="27"/>
      <c r="U345" s="27"/>
      <c r="V345" s="46"/>
      <c r="W345" s="27"/>
      <c r="X345" s="27"/>
      <c r="Y345" s="27"/>
      <c r="Z345" s="46"/>
      <c r="AA345" s="27"/>
      <c r="AB345" s="27"/>
      <c r="AC345" s="27"/>
    </row>
    <row r="346" spans="2:29" x14ac:dyDescent="0.75">
      <c r="B346" s="26"/>
      <c r="C346" s="27"/>
      <c r="D346" s="46"/>
      <c r="E346" s="27"/>
      <c r="F346" s="27"/>
      <c r="G346" s="27"/>
      <c r="H346" s="46"/>
      <c r="I346" s="27"/>
      <c r="J346" s="27"/>
      <c r="K346" s="27"/>
      <c r="L346" s="46"/>
      <c r="M346" s="27"/>
      <c r="N346" s="27"/>
      <c r="O346" s="27"/>
      <c r="P346" s="46"/>
      <c r="Q346" s="27"/>
      <c r="R346" s="27"/>
      <c r="S346" s="27"/>
      <c r="T346" s="27"/>
      <c r="U346" s="27"/>
      <c r="V346" s="46"/>
      <c r="W346" s="27"/>
      <c r="X346" s="27"/>
      <c r="Y346" s="27"/>
      <c r="Z346" s="46"/>
      <c r="AA346" s="27"/>
      <c r="AB346" s="27"/>
      <c r="AC346" s="27"/>
    </row>
    <row r="347" spans="2:29" x14ac:dyDescent="0.75">
      <c r="B347" s="26"/>
      <c r="C347" s="27"/>
      <c r="D347" s="46"/>
      <c r="E347" s="27"/>
      <c r="F347" s="27"/>
      <c r="G347" s="27"/>
      <c r="H347" s="46"/>
      <c r="I347" s="27"/>
      <c r="J347" s="27"/>
      <c r="K347" s="27"/>
      <c r="L347" s="46"/>
      <c r="M347" s="27"/>
      <c r="N347" s="27"/>
      <c r="O347" s="27"/>
      <c r="P347" s="46"/>
      <c r="Q347" s="27"/>
      <c r="R347" s="27"/>
      <c r="S347" s="27"/>
      <c r="T347" s="27"/>
      <c r="U347" s="27"/>
      <c r="V347" s="46"/>
      <c r="W347" s="27"/>
      <c r="X347" s="27"/>
      <c r="Y347" s="27"/>
      <c r="Z347" s="46"/>
      <c r="AA347" s="27"/>
      <c r="AB347" s="27"/>
      <c r="AC347" s="27"/>
    </row>
    <row r="348" spans="2:29" x14ac:dyDescent="0.75">
      <c r="B348" s="26"/>
      <c r="C348" s="27"/>
      <c r="D348" s="46"/>
      <c r="E348" s="27"/>
      <c r="F348" s="27"/>
      <c r="G348" s="27"/>
      <c r="H348" s="46"/>
      <c r="I348" s="27"/>
      <c r="J348" s="27"/>
      <c r="K348" s="27"/>
      <c r="L348" s="46"/>
      <c r="M348" s="27"/>
      <c r="N348" s="27"/>
      <c r="O348" s="27"/>
      <c r="P348" s="46"/>
      <c r="Q348" s="27"/>
      <c r="R348" s="27"/>
      <c r="S348" s="27"/>
      <c r="T348" s="27"/>
      <c r="U348" s="27"/>
      <c r="V348" s="46"/>
      <c r="W348" s="27"/>
      <c r="X348" s="27"/>
      <c r="Y348" s="27"/>
      <c r="Z348" s="46"/>
      <c r="AA348" s="27"/>
      <c r="AB348" s="27"/>
      <c r="AC348" s="27"/>
    </row>
    <row r="349" spans="2:29" x14ac:dyDescent="0.75">
      <c r="B349" s="26"/>
      <c r="C349" s="27"/>
      <c r="D349" s="46"/>
      <c r="E349" s="27"/>
      <c r="F349" s="27"/>
      <c r="G349" s="27"/>
      <c r="H349" s="46"/>
      <c r="I349" s="27"/>
      <c r="J349" s="27"/>
      <c r="K349" s="27"/>
      <c r="L349" s="46"/>
      <c r="M349" s="27"/>
      <c r="N349" s="27"/>
      <c r="O349" s="27"/>
      <c r="P349" s="46"/>
      <c r="Q349" s="27"/>
      <c r="R349" s="27"/>
      <c r="S349" s="27"/>
      <c r="T349" s="27"/>
      <c r="U349" s="27"/>
      <c r="V349" s="46"/>
      <c r="W349" s="27"/>
      <c r="X349" s="27"/>
      <c r="Y349" s="27"/>
      <c r="Z349" s="46"/>
      <c r="AA349" s="27"/>
      <c r="AB349" s="27"/>
      <c r="AC349" s="27"/>
    </row>
    <row r="350" spans="2:29" x14ac:dyDescent="0.75">
      <c r="B350" s="26"/>
      <c r="C350" s="27"/>
      <c r="D350" s="46"/>
      <c r="E350" s="27"/>
      <c r="F350" s="27"/>
      <c r="G350" s="27"/>
      <c r="H350" s="46"/>
      <c r="I350" s="27"/>
      <c r="J350" s="27"/>
      <c r="K350" s="27"/>
      <c r="L350" s="46"/>
      <c r="M350" s="27"/>
      <c r="N350" s="27"/>
      <c r="O350" s="27"/>
      <c r="P350" s="46"/>
      <c r="Q350" s="27"/>
      <c r="R350" s="27"/>
      <c r="S350" s="27"/>
      <c r="T350" s="27"/>
      <c r="U350" s="27"/>
      <c r="V350" s="46"/>
      <c r="W350" s="27"/>
      <c r="X350" s="27"/>
      <c r="Y350" s="27"/>
      <c r="Z350" s="46"/>
      <c r="AA350" s="27"/>
      <c r="AB350" s="27"/>
      <c r="AC350" s="27"/>
    </row>
    <row r="351" spans="2:29" x14ac:dyDescent="0.75">
      <c r="B351" s="26"/>
      <c r="C351" s="27"/>
      <c r="D351" s="46"/>
      <c r="E351" s="27"/>
      <c r="F351" s="27"/>
      <c r="G351" s="27"/>
      <c r="H351" s="46"/>
      <c r="I351" s="27"/>
      <c r="J351" s="27"/>
      <c r="K351" s="27"/>
      <c r="L351" s="46"/>
      <c r="M351" s="27"/>
      <c r="N351" s="27"/>
      <c r="O351" s="27"/>
      <c r="P351" s="46"/>
      <c r="Q351" s="27"/>
      <c r="R351" s="27"/>
      <c r="S351" s="27"/>
      <c r="T351" s="27"/>
      <c r="U351" s="27"/>
      <c r="V351" s="46"/>
      <c r="W351" s="27"/>
      <c r="X351" s="27"/>
      <c r="Y351" s="27"/>
      <c r="Z351" s="46"/>
      <c r="AA351" s="27"/>
      <c r="AB351" s="27"/>
      <c r="AC351" s="27"/>
    </row>
    <row r="352" spans="2:29" x14ac:dyDescent="0.75">
      <c r="B352" s="26"/>
      <c r="C352" s="27"/>
      <c r="D352" s="46"/>
      <c r="E352" s="27"/>
      <c r="F352" s="27"/>
      <c r="G352" s="27"/>
      <c r="H352" s="46"/>
      <c r="I352" s="27"/>
      <c r="J352" s="27"/>
      <c r="K352" s="27"/>
      <c r="L352" s="46"/>
      <c r="M352" s="27"/>
      <c r="N352" s="27"/>
      <c r="O352" s="27"/>
      <c r="P352" s="46"/>
      <c r="Q352" s="27"/>
      <c r="R352" s="27"/>
      <c r="S352" s="27"/>
      <c r="T352" s="27"/>
      <c r="U352" s="27"/>
      <c r="V352" s="46"/>
      <c r="W352" s="27"/>
      <c r="X352" s="27"/>
      <c r="Y352" s="27"/>
      <c r="Z352" s="46"/>
      <c r="AA352" s="27"/>
      <c r="AB352" s="27"/>
      <c r="AC352" s="27"/>
    </row>
    <row r="353" spans="2:29" x14ac:dyDescent="0.75">
      <c r="B353" s="26"/>
      <c r="C353" s="27"/>
      <c r="D353" s="46"/>
      <c r="E353" s="27"/>
      <c r="F353" s="27"/>
      <c r="G353" s="27"/>
      <c r="H353" s="46"/>
      <c r="I353" s="27"/>
      <c r="J353" s="27"/>
      <c r="K353" s="27"/>
      <c r="L353" s="46"/>
      <c r="M353" s="27"/>
      <c r="N353" s="27"/>
      <c r="O353" s="27"/>
      <c r="P353" s="46"/>
      <c r="Q353" s="27"/>
      <c r="R353" s="27"/>
      <c r="S353" s="27"/>
      <c r="T353" s="27"/>
      <c r="U353" s="27"/>
      <c r="V353" s="46"/>
      <c r="W353" s="27"/>
      <c r="X353" s="27"/>
      <c r="Y353" s="27"/>
      <c r="Z353" s="46"/>
      <c r="AA353" s="27"/>
      <c r="AB353" s="27"/>
      <c r="AC353" s="27"/>
    </row>
    <row r="354" spans="2:29" x14ac:dyDescent="0.75">
      <c r="B354" s="26"/>
      <c r="C354" s="27"/>
      <c r="D354" s="46"/>
      <c r="E354" s="27"/>
      <c r="F354" s="27"/>
      <c r="G354" s="27"/>
      <c r="H354" s="46"/>
      <c r="I354" s="27"/>
      <c r="J354" s="27"/>
      <c r="K354" s="27"/>
      <c r="L354" s="46"/>
      <c r="M354" s="27"/>
      <c r="N354" s="27"/>
      <c r="O354" s="27"/>
      <c r="P354" s="46"/>
      <c r="Q354" s="27"/>
      <c r="R354" s="27"/>
      <c r="S354" s="27"/>
      <c r="T354" s="27"/>
      <c r="U354" s="27"/>
      <c r="V354" s="46"/>
      <c r="W354" s="27"/>
      <c r="X354" s="27"/>
      <c r="Y354" s="27"/>
      <c r="Z354" s="46"/>
      <c r="AA354" s="27"/>
      <c r="AB354" s="27"/>
      <c r="AC354" s="27"/>
    </row>
    <row r="355" spans="2:29" x14ac:dyDescent="0.75">
      <c r="B355" s="26"/>
      <c r="C355" s="27"/>
      <c r="D355" s="46"/>
      <c r="E355" s="27"/>
      <c r="F355" s="27"/>
      <c r="G355" s="27"/>
      <c r="H355" s="46"/>
      <c r="I355" s="27"/>
      <c r="J355" s="27"/>
      <c r="K355" s="27"/>
      <c r="L355" s="46"/>
      <c r="M355" s="27"/>
      <c r="N355" s="27"/>
      <c r="O355" s="27"/>
      <c r="P355" s="46"/>
      <c r="Q355" s="27"/>
      <c r="R355" s="27"/>
      <c r="S355" s="27"/>
      <c r="T355" s="27"/>
      <c r="U355" s="27"/>
      <c r="V355" s="46"/>
      <c r="W355" s="27"/>
      <c r="X355" s="27"/>
      <c r="Y355" s="27"/>
      <c r="Z355" s="46"/>
      <c r="AA355" s="27"/>
      <c r="AB355" s="27"/>
      <c r="AC355" s="27"/>
    </row>
    <row r="356" spans="2:29" x14ac:dyDescent="0.75">
      <c r="B356" s="26"/>
      <c r="C356" s="27"/>
      <c r="D356" s="46"/>
      <c r="E356" s="27"/>
      <c r="F356" s="27"/>
      <c r="G356" s="27"/>
      <c r="H356" s="46"/>
      <c r="I356" s="27"/>
      <c r="J356" s="27"/>
      <c r="K356" s="27"/>
      <c r="L356" s="46"/>
      <c r="M356" s="27"/>
      <c r="N356" s="27"/>
      <c r="O356" s="27"/>
      <c r="P356" s="46"/>
      <c r="Q356" s="27"/>
      <c r="R356" s="27"/>
      <c r="S356" s="27"/>
      <c r="T356" s="27"/>
      <c r="U356" s="27"/>
      <c r="V356" s="46"/>
      <c r="W356" s="27"/>
      <c r="X356" s="27"/>
      <c r="Y356" s="27"/>
      <c r="Z356" s="46"/>
      <c r="AA356" s="27"/>
      <c r="AB356" s="27"/>
      <c r="AC356" s="27"/>
    </row>
    <row r="357" spans="2:29" x14ac:dyDescent="0.75">
      <c r="B357" s="26"/>
      <c r="C357" s="27"/>
      <c r="D357" s="46"/>
      <c r="E357" s="27"/>
      <c r="F357" s="27"/>
      <c r="G357" s="27"/>
      <c r="H357" s="46"/>
      <c r="I357" s="27"/>
      <c r="J357" s="27"/>
      <c r="K357" s="27"/>
      <c r="L357" s="46"/>
      <c r="M357" s="27"/>
      <c r="N357" s="27"/>
      <c r="O357" s="27"/>
      <c r="P357" s="46"/>
      <c r="Q357" s="27"/>
      <c r="R357" s="27"/>
      <c r="S357" s="27"/>
      <c r="T357" s="27"/>
      <c r="U357" s="27"/>
      <c r="V357" s="46"/>
      <c r="W357" s="27"/>
      <c r="X357" s="27"/>
      <c r="Y357" s="27"/>
      <c r="Z357" s="46"/>
      <c r="AA357" s="27"/>
      <c r="AB357" s="27"/>
      <c r="AC357" s="27"/>
    </row>
    <row r="358" spans="2:29" x14ac:dyDescent="0.75">
      <c r="B358" s="26"/>
      <c r="C358" s="27"/>
      <c r="D358" s="46"/>
      <c r="E358" s="27"/>
      <c r="F358" s="27"/>
      <c r="G358" s="27"/>
      <c r="H358" s="46"/>
      <c r="I358" s="27"/>
      <c r="J358" s="27"/>
      <c r="K358" s="27"/>
      <c r="L358" s="46"/>
      <c r="M358" s="27"/>
      <c r="N358" s="27"/>
      <c r="O358" s="27"/>
      <c r="P358" s="46"/>
      <c r="Q358" s="27"/>
      <c r="R358" s="27"/>
      <c r="S358" s="27"/>
      <c r="T358" s="27"/>
      <c r="U358" s="27"/>
      <c r="V358" s="46"/>
      <c r="W358" s="27"/>
      <c r="X358" s="27"/>
      <c r="Y358" s="27"/>
      <c r="Z358" s="46"/>
      <c r="AA358" s="27"/>
      <c r="AB358" s="27"/>
      <c r="AC358" s="27"/>
    </row>
    <row r="359" spans="2:29" x14ac:dyDescent="0.75">
      <c r="B359" s="26"/>
      <c r="C359" s="27"/>
      <c r="D359" s="46"/>
      <c r="E359" s="27"/>
      <c r="F359" s="27"/>
      <c r="G359" s="27"/>
      <c r="H359" s="46"/>
      <c r="I359" s="27"/>
      <c r="J359" s="27"/>
      <c r="K359" s="27"/>
      <c r="L359" s="46"/>
      <c r="M359" s="27"/>
      <c r="N359" s="27"/>
      <c r="O359" s="27"/>
      <c r="P359" s="46"/>
      <c r="Q359" s="27"/>
      <c r="R359" s="27"/>
      <c r="S359" s="27"/>
      <c r="T359" s="27"/>
      <c r="U359" s="27"/>
      <c r="V359" s="46"/>
      <c r="W359" s="27"/>
      <c r="X359" s="27"/>
      <c r="Y359" s="27"/>
      <c r="Z359" s="46"/>
      <c r="AA359" s="27"/>
      <c r="AB359" s="27"/>
      <c r="AC359" s="27"/>
    </row>
    <row r="360" spans="2:29" x14ac:dyDescent="0.75">
      <c r="B360" s="26"/>
      <c r="C360" s="27"/>
      <c r="D360" s="46"/>
      <c r="E360" s="27"/>
      <c r="F360" s="27"/>
      <c r="G360" s="27"/>
      <c r="H360" s="46"/>
      <c r="I360" s="27"/>
      <c r="J360" s="27"/>
      <c r="K360" s="27"/>
      <c r="L360" s="46"/>
      <c r="M360" s="27"/>
      <c r="N360" s="27"/>
      <c r="O360" s="27"/>
      <c r="P360" s="46"/>
      <c r="Q360" s="27"/>
      <c r="R360" s="27"/>
      <c r="S360" s="27"/>
      <c r="T360" s="27"/>
      <c r="U360" s="27"/>
      <c r="V360" s="46"/>
      <c r="W360" s="27"/>
      <c r="X360" s="27"/>
      <c r="Y360" s="27"/>
      <c r="Z360" s="46"/>
      <c r="AA360" s="27"/>
      <c r="AB360" s="27"/>
      <c r="AC360" s="27"/>
    </row>
    <row r="361" spans="2:29" x14ac:dyDescent="0.75">
      <c r="B361" s="26"/>
      <c r="C361" s="27"/>
      <c r="D361" s="46"/>
      <c r="E361" s="27"/>
      <c r="F361" s="27"/>
      <c r="G361" s="27"/>
      <c r="H361" s="46"/>
      <c r="I361" s="27"/>
      <c r="J361" s="27"/>
      <c r="K361" s="27"/>
      <c r="L361" s="46"/>
      <c r="M361" s="27"/>
      <c r="N361" s="27"/>
      <c r="O361" s="27"/>
      <c r="P361" s="46"/>
      <c r="Q361" s="27"/>
      <c r="R361" s="27"/>
      <c r="S361" s="27"/>
      <c r="T361" s="27"/>
      <c r="U361" s="27"/>
      <c r="V361" s="46"/>
      <c r="W361" s="27"/>
      <c r="X361" s="27"/>
      <c r="Y361" s="27"/>
      <c r="Z361" s="46"/>
      <c r="AA361" s="27"/>
      <c r="AB361" s="27"/>
      <c r="AC361" s="27"/>
    </row>
    <row r="362" spans="2:29" x14ac:dyDescent="0.75">
      <c r="B362" s="26"/>
      <c r="C362" s="27"/>
      <c r="D362" s="46"/>
      <c r="E362" s="27"/>
      <c r="F362" s="27"/>
      <c r="G362" s="27"/>
      <c r="H362" s="46"/>
      <c r="I362" s="27"/>
      <c r="J362" s="27"/>
      <c r="K362" s="27"/>
      <c r="L362" s="46"/>
      <c r="M362" s="27"/>
      <c r="N362" s="27"/>
      <c r="O362" s="27"/>
      <c r="P362" s="46"/>
      <c r="Q362" s="27"/>
      <c r="R362" s="27"/>
      <c r="S362" s="27"/>
      <c r="T362" s="27"/>
      <c r="U362" s="27"/>
      <c r="V362" s="46"/>
      <c r="W362" s="27"/>
      <c r="X362" s="27"/>
      <c r="Y362" s="27"/>
      <c r="Z362" s="46"/>
      <c r="AA362" s="27"/>
      <c r="AB362" s="27"/>
      <c r="AC362" s="27"/>
    </row>
    <row r="363" spans="2:29" x14ac:dyDescent="0.75">
      <c r="B363" s="26"/>
      <c r="C363" s="27"/>
      <c r="D363" s="46"/>
      <c r="E363" s="27"/>
      <c r="F363" s="27"/>
      <c r="G363" s="27"/>
      <c r="H363" s="46"/>
      <c r="I363" s="27"/>
      <c r="J363" s="27"/>
      <c r="K363" s="27"/>
      <c r="L363" s="46"/>
      <c r="M363" s="27"/>
      <c r="N363" s="27"/>
      <c r="O363" s="27"/>
      <c r="P363" s="46"/>
      <c r="Q363" s="27"/>
      <c r="R363" s="27"/>
      <c r="S363" s="27"/>
      <c r="T363" s="27"/>
      <c r="U363" s="27"/>
      <c r="V363" s="46"/>
      <c r="W363" s="27"/>
      <c r="X363" s="27"/>
      <c r="Y363" s="27"/>
      <c r="Z363" s="46"/>
      <c r="AA363" s="27"/>
      <c r="AB363" s="27"/>
      <c r="AC363" s="27"/>
    </row>
    <row r="364" spans="2:29" x14ac:dyDescent="0.75">
      <c r="B364" s="26"/>
      <c r="C364" s="27"/>
      <c r="D364" s="46"/>
      <c r="E364" s="27"/>
      <c r="F364" s="27"/>
      <c r="G364" s="27"/>
      <c r="H364" s="46"/>
      <c r="I364" s="27"/>
      <c r="J364" s="27"/>
      <c r="K364" s="27"/>
      <c r="L364" s="46"/>
      <c r="M364" s="27"/>
      <c r="N364" s="27"/>
      <c r="O364" s="27"/>
      <c r="P364" s="46"/>
      <c r="Q364" s="27"/>
      <c r="R364" s="27"/>
      <c r="S364" s="27"/>
      <c r="T364" s="27"/>
      <c r="U364" s="27"/>
      <c r="V364" s="46"/>
      <c r="W364" s="27"/>
      <c r="X364" s="27"/>
      <c r="Y364" s="27"/>
      <c r="Z364" s="46"/>
      <c r="AA364" s="27"/>
      <c r="AB364" s="27"/>
      <c r="AC364" s="27"/>
    </row>
    <row r="365" spans="2:29" x14ac:dyDescent="0.75">
      <c r="B365" s="26"/>
      <c r="C365" s="27"/>
      <c r="D365" s="46"/>
      <c r="E365" s="27"/>
      <c r="F365" s="27"/>
      <c r="G365" s="27"/>
      <c r="H365" s="46"/>
      <c r="I365" s="27"/>
      <c r="J365" s="27"/>
      <c r="K365" s="27"/>
      <c r="L365" s="46"/>
      <c r="M365" s="27"/>
      <c r="N365" s="27"/>
      <c r="O365" s="27"/>
      <c r="P365" s="46"/>
      <c r="Q365" s="27"/>
      <c r="R365" s="27"/>
      <c r="S365" s="27"/>
      <c r="T365" s="27"/>
      <c r="U365" s="27"/>
      <c r="V365" s="46"/>
      <c r="W365" s="27"/>
      <c r="X365" s="27"/>
      <c r="Y365" s="27"/>
      <c r="Z365" s="46"/>
      <c r="AA365" s="27"/>
      <c r="AB365" s="27"/>
      <c r="AC365" s="27"/>
    </row>
    <row r="366" spans="2:29" x14ac:dyDescent="0.75">
      <c r="B366" s="26"/>
      <c r="C366" s="27"/>
      <c r="D366" s="46"/>
      <c r="E366" s="27"/>
      <c r="F366" s="27"/>
      <c r="G366" s="27"/>
      <c r="H366" s="46"/>
      <c r="I366" s="27"/>
      <c r="J366" s="27"/>
      <c r="K366" s="27"/>
      <c r="L366" s="46"/>
      <c r="M366" s="27"/>
      <c r="N366" s="27"/>
      <c r="O366" s="27"/>
      <c r="P366" s="46"/>
      <c r="Q366" s="27"/>
      <c r="R366" s="27"/>
      <c r="S366" s="27"/>
      <c r="T366" s="27"/>
      <c r="U366" s="27"/>
      <c r="V366" s="46"/>
      <c r="W366" s="27"/>
      <c r="X366" s="27"/>
      <c r="Y366" s="27"/>
      <c r="Z366" s="46"/>
      <c r="AA366" s="27"/>
      <c r="AB366" s="27"/>
      <c r="AC366" s="27"/>
    </row>
    <row r="367" spans="2:29" x14ac:dyDescent="0.75">
      <c r="B367" s="26"/>
      <c r="C367" s="27"/>
      <c r="D367" s="46"/>
      <c r="E367" s="27"/>
      <c r="F367" s="27"/>
      <c r="G367" s="27"/>
      <c r="H367" s="46"/>
      <c r="I367" s="27"/>
      <c r="J367" s="27"/>
      <c r="K367" s="27"/>
      <c r="L367" s="46"/>
      <c r="M367" s="27"/>
      <c r="N367" s="27"/>
      <c r="O367" s="27"/>
      <c r="P367" s="46"/>
      <c r="Q367" s="27"/>
      <c r="R367" s="27"/>
      <c r="S367" s="27"/>
      <c r="T367" s="27"/>
      <c r="U367" s="27"/>
      <c r="V367" s="46"/>
      <c r="W367" s="27"/>
      <c r="X367" s="27"/>
      <c r="Y367" s="27"/>
      <c r="Z367" s="46"/>
      <c r="AA367" s="27"/>
      <c r="AB367" s="27"/>
      <c r="AC367" s="27"/>
    </row>
    <row r="368" spans="2:29" x14ac:dyDescent="0.75">
      <c r="B368" s="26"/>
      <c r="C368" s="27"/>
      <c r="D368" s="46"/>
      <c r="E368" s="27"/>
      <c r="F368" s="27"/>
      <c r="G368" s="27"/>
      <c r="H368" s="46"/>
      <c r="I368" s="27"/>
      <c r="J368" s="27"/>
      <c r="K368" s="27"/>
      <c r="L368" s="46"/>
      <c r="M368" s="27"/>
      <c r="N368" s="27"/>
      <c r="O368" s="27"/>
      <c r="P368" s="46"/>
      <c r="Q368" s="27"/>
      <c r="R368" s="27"/>
      <c r="S368" s="27"/>
      <c r="T368" s="27"/>
      <c r="U368" s="27"/>
      <c r="V368" s="46"/>
      <c r="W368" s="27"/>
      <c r="X368" s="27"/>
      <c r="Y368" s="27"/>
      <c r="Z368" s="46"/>
      <c r="AA368" s="27"/>
      <c r="AB368" s="27"/>
      <c r="AC368" s="27"/>
    </row>
    <row r="369" spans="2:29" x14ac:dyDescent="0.75">
      <c r="B369" s="26"/>
      <c r="C369" s="27"/>
      <c r="D369" s="46"/>
      <c r="E369" s="27"/>
      <c r="F369" s="27"/>
      <c r="G369" s="27"/>
      <c r="H369" s="46"/>
      <c r="I369" s="27"/>
      <c r="J369" s="27"/>
      <c r="K369" s="27"/>
      <c r="L369" s="46"/>
      <c r="M369" s="27"/>
      <c r="N369" s="27"/>
      <c r="O369" s="27"/>
      <c r="P369" s="46"/>
      <c r="Q369" s="27"/>
      <c r="R369" s="27"/>
      <c r="S369" s="27"/>
      <c r="T369" s="27"/>
      <c r="U369" s="27"/>
      <c r="V369" s="46"/>
      <c r="W369" s="27"/>
      <c r="X369" s="27"/>
      <c r="Y369" s="27"/>
      <c r="Z369" s="46"/>
      <c r="AA369" s="27"/>
      <c r="AB369" s="27"/>
      <c r="AC369" s="27"/>
    </row>
    <row r="370" spans="2:29" x14ac:dyDescent="0.75">
      <c r="B370" s="26"/>
      <c r="C370" s="27"/>
      <c r="D370" s="46"/>
      <c r="E370" s="27"/>
      <c r="F370" s="27"/>
      <c r="G370" s="27"/>
      <c r="H370" s="46"/>
      <c r="I370" s="27"/>
      <c r="J370" s="27"/>
      <c r="K370" s="27"/>
      <c r="L370" s="46"/>
      <c r="M370" s="27"/>
      <c r="N370" s="27"/>
      <c r="O370" s="27"/>
      <c r="P370" s="46"/>
      <c r="Q370" s="27"/>
      <c r="R370" s="27"/>
      <c r="S370" s="27"/>
      <c r="T370" s="27"/>
      <c r="U370" s="27"/>
      <c r="V370" s="46"/>
      <c r="W370" s="27"/>
      <c r="X370" s="27"/>
      <c r="Y370" s="27"/>
      <c r="Z370" s="46"/>
      <c r="AA370" s="27"/>
      <c r="AB370" s="27"/>
      <c r="AC370" s="27"/>
    </row>
    <row r="371" spans="2:29" x14ac:dyDescent="0.75">
      <c r="B371" s="26"/>
      <c r="C371" s="27"/>
      <c r="D371" s="46"/>
      <c r="E371" s="27"/>
      <c r="F371" s="27"/>
      <c r="G371" s="27"/>
      <c r="H371" s="46"/>
      <c r="I371" s="27"/>
      <c r="J371" s="27"/>
      <c r="K371" s="27"/>
      <c r="L371" s="46"/>
      <c r="M371" s="27"/>
      <c r="N371" s="27"/>
      <c r="O371" s="27"/>
      <c r="P371" s="46"/>
      <c r="Q371" s="27"/>
      <c r="R371" s="27"/>
      <c r="S371" s="27"/>
      <c r="T371" s="27"/>
      <c r="U371" s="27"/>
      <c r="V371" s="46"/>
      <c r="W371" s="27"/>
      <c r="X371" s="27"/>
      <c r="Y371" s="27"/>
      <c r="Z371" s="46"/>
      <c r="AA371" s="27"/>
      <c r="AB371" s="27"/>
      <c r="AC371" s="27"/>
    </row>
    <row r="372" spans="2:29" x14ac:dyDescent="0.75">
      <c r="B372" s="26"/>
      <c r="C372" s="27"/>
      <c r="D372" s="46"/>
      <c r="E372" s="27"/>
      <c r="F372" s="27"/>
      <c r="G372" s="27"/>
      <c r="H372" s="46"/>
      <c r="I372" s="27"/>
      <c r="J372" s="27"/>
      <c r="K372" s="27"/>
      <c r="L372" s="46"/>
      <c r="M372" s="27"/>
      <c r="N372" s="27"/>
      <c r="O372" s="27"/>
      <c r="P372" s="46"/>
      <c r="Q372" s="27"/>
      <c r="R372" s="27"/>
      <c r="S372" s="27"/>
      <c r="T372" s="27"/>
      <c r="U372" s="27"/>
      <c r="V372" s="46"/>
      <c r="W372" s="27"/>
      <c r="X372" s="27"/>
      <c r="Y372" s="27"/>
      <c r="Z372" s="46"/>
      <c r="AA372" s="27"/>
      <c r="AB372" s="27"/>
      <c r="AC372" s="27"/>
    </row>
    <row r="373" spans="2:29" x14ac:dyDescent="0.75">
      <c r="B373" s="26"/>
      <c r="C373" s="27"/>
      <c r="D373" s="46"/>
      <c r="E373" s="27"/>
      <c r="F373" s="27"/>
      <c r="G373" s="27"/>
      <c r="H373" s="46"/>
      <c r="I373" s="27"/>
      <c r="J373" s="27"/>
      <c r="K373" s="27"/>
      <c r="L373" s="46"/>
      <c r="M373" s="27"/>
      <c r="N373" s="27"/>
      <c r="O373" s="27"/>
      <c r="P373" s="46"/>
      <c r="Q373" s="27"/>
      <c r="R373" s="27"/>
      <c r="S373" s="27"/>
      <c r="T373" s="27"/>
      <c r="U373" s="27"/>
      <c r="V373" s="46"/>
      <c r="W373" s="27"/>
      <c r="X373" s="27"/>
      <c r="Y373" s="27"/>
      <c r="Z373" s="46"/>
      <c r="AA373" s="27"/>
      <c r="AB373" s="27"/>
      <c r="AC373" s="27"/>
    </row>
    <row r="374" spans="2:29" x14ac:dyDescent="0.75">
      <c r="B374" s="26"/>
      <c r="C374" s="27"/>
      <c r="D374" s="46"/>
      <c r="E374" s="27"/>
      <c r="F374" s="27"/>
      <c r="G374" s="27"/>
      <c r="H374" s="46"/>
      <c r="I374" s="27"/>
      <c r="J374" s="27"/>
      <c r="K374" s="27"/>
      <c r="L374" s="46"/>
      <c r="M374" s="27"/>
      <c r="N374" s="27"/>
      <c r="O374" s="27"/>
      <c r="P374" s="46"/>
      <c r="Q374" s="27"/>
      <c r="R374" s="27"/>
      <c r="S374" s="27"/>
      <c r="T374" s="27"/>
      <c r="U374" s="27"/>
      <c r="V374" s="46"/>
      <c r="W374" s="27"/>
      <c r="X374" s="27"/>
      <c r="Y374" s="27"/>
      <c r="Z374" s="46"/>
      <c r="AA374" s="27"/>
      <c r="AB374" s="27"/>
      <c r="AC374" s="27"/>
    </row>
    <row r="375" spans="2:29" x14ac:dyDescent="0.75">
      <c r="B375" s="26"/>
      <c r="C375" s="27"/>
      <c r="D375" s="46"/>
      <c r="E375" s="27"/>
      <c r="F375" s="27"/>
      <c r="G375" s="27"/>
      <c r="H375" s="46"/>
      <c r="I375" s="27"/>
      <c r="J375" s="27"/>
      <c r="K375" s="27"/>
      <c r="L375" s="46"/>
      <c r="M375" s="27"/>
      <c r="N375" s="27"/>
      <c r="O375" s="27"/>
      <c r="P375" s="46"/>
      <c r="Q375" s="27"/>
      <c r="R375" s="27"/>
      <c r="S375" s="27"/>
      <c r="T375" s="27"/>
      <c r="U375" s="27"/>
      <c r="V375" s="46"/>
      <c r="W375" s="27"/>
      <c r="X375" s="27"/>
      <c r="Y375" s="27"/>
      <c r="Z375" s="46"/>
      <c r="AA375" s="27"/>
      <c r="AB375" s="27"/>
      <c r="AC375" s="27"/>
    </row>
    <row r="376" spans="2:29" x14ac:dyDescent="0.75">
      <c r="B376" s="26"/>
      <c r="C376" s="27"/>
      <c r="D376" s="46"/>
      <c r="E376" s="27"/>
      <c r="F376" s="27"/>
      <c r="G376" s="27"/>
      <c r="H376" s="46"/>
      <c r="I376" s="27"/>
      <c r="J376" s="27"/>
      <c r="K376" s="27"/>
      <c r="L376" s="46"/>
      <c r="M376" s="27"/>
      <c r="N376" s="27"/>
      <c r="O376" s="27"/>
      <c r="P376" s="46"/>
      <c r="Q376" s="27"/>
      <c r="R376" s="27"/>
      <c r="S376" s="27"/>
      <c r="T376" s="27"/>
      <c r="U376" s="27"/>
      <c r="V376" s="46"/>
      <c r="W376" s="27"/>
      <c r="X376" s="27"/>
      <c r="Y376" s="27"/>
      <c r="Z376" s="46"/>
      <c r="AA376" s="27"/>
      <c r="AB376" s="27"/>
      <c r="AC376" s="27"/>
    </row>
    <row r="377" spans="2:29" x14ac:dyDescent="0.75">
      <c r="B377" s="26"/>
      <c r="C377" s="27"/>
      <c r="D377" s="46"/>
      <c r="E377" s="27"/>
      <c r="F377" s="27"/>
      <c r="G377" s="27"/>
      <c r="H377" s="46"/>
      <c r="I377" s="27"/>
      <c r="J377" s="27"/>
      <c r="K377" s="27"/>
      <c r="L377" s="46"/>
      <c r="M377" s="27"/>
      <c r="N377" s="27"/>
      <c r="O377" s="27"/>
      <c r="P377" s="46"/>
      <c r="Q377" s="27"/>
      <c r="R377" s="27"/>
      <c r="S377" s="27"/>
      <c r="T377" s="27"/>
      <c r="U377" s="27"/>
      <c r="V377" s="46"/>
      <c r="W377" s="27"/>
      <c r="X377" s="27"/>
      <c r="Y377" s="27"/>
      <c r="Z377" s="46"/>
      <c r="AA377" s="27"/>
      <c r="AB377" s="27"/>
      <c r="AC377" s="27"/>
    </row>
    <row r="378" spans="2:29" x14ac:dyDescent="0.75">
      <c r="B378" s="26"/>
      <c r="C378" s="27"/>
      <c r="D378" s="46"/>
      <c r="E378" s="27"/>
      <c r="F378" s="27"/>
      <c r="G378" s="27"/>
      <c r="H378" s="46"/>
      <c r="I378" s="27"/>
      <c r="J378" s="27"/>
      <c r="K378" s="27"/>
      <c r="L378" s="46"/>
      <c r="M378" s="27"/>
      <c r="N378" s="27"/>
      <c r="O378" s="27"/>
      <c r="P378" s="46"/>
      <c r="Q378" s="27"/>
      <c r="R378" s="27"/>
      <c r="S378" s="27"/>
      <c r="T378" s="27"/>
      <c r="U378" s="27"/>
      <c r="V378" s="46"/>
      <c r="W378" s="27"/>
      <c r="X378" s="27"/>
      <c r="Y378" s="27"/>
      <c r="Z378" s="46"/>
      <c r="AA378" s="27"/>
      <c r="AB378" s="27"/>
      <c r="AC378" s="27"/>
    </row>
    <row r="379" spans="2:29" x14ac:dyDescent="0.75">
      <c r="B379" s="26"/>
      <c r="C379" s="27"/>
      <c r="D379" s="46"/>
      <c r="E379" s="27"/>
      <c r="F379" s="27"/>
      <c r="G379" s="27"/>
      <c r="H379" s="46"/>
      <c r="I379" s="27"/>
      <c r="J379" s="27"/>
      <c r="K379" s="27"/>
      <c r="L379" s="46"/>
      <c r="M379" s="27"/>
      <c r="N379" s="27"/>
      <c r="O379" s="27"/>
      <c r="P379" s="46"/>
      <c r="Q379" s="27"/>
      <c r="R379" s="27"/>
      <c r="S379" s="27"/>
      <c r="T379" s="27"/>
      <c r="U379" s="27"/>
      <c r="V379" s="46"/>
      <c r="W379" s="27"/>
      <c r="X379" s="27"/>
      <c r="Y379" s="27"/>
      <c r="Z379" s="46"/>
      <c r="AA379" s="27"/>
      <c r="AB379" s="27"/>
      <c r="AC379" s="27"/>
    </row>
    <row r="380" spans="2:29" x14ac:dyDescent="0.75">
      <c r="B380" s="26"/>
      <c r="C380" s="27"/>
      <c r="D380" s="46"/>
      <c r="E380" s="27"/>
      <c r="F380" s="27"/>
      <c r="G380" s="27"/>
      <c r="H380" s="46"/>
      <c r="I380" s="27"/>
      <c r="J380" s="27"/>
      <c r="K380" s="27"/>
      <c r="L380" s="46"/>
      <c r="M380" s="27"/>
      <c r="N380" s="27"/>
      <c r="O380" s="27"/>
      <c r="P380" s="46"/>
      <c r="Q380" s="27"/>
      <c r="R380" s="27"/>
      <c r="S380" s="27"/>
      <c r="T380" s="27"/>
      <c r="U380" s="27"/>
      <c r="V380" s="46"/>
      <c r="W380" s="27"/>
      <c r="X380" s="27"/>
      <c r="Y380" s="27"/>
      <c r="Z380" s="46"/>
      <c r="AA380" s="27"/>
      <c r="AB380" s="27"/>
      <c r="AC380" s="27"/>
    </row>
    <row r="381" spans="2:29" x14ac:dyDescent="0.75">
      <c r="B381" s="26"/>
      <c r="C381" s="27"/>
      <c r="D381" s="46"/>
      <c r="E381" s="27"/>
      <c r="F381" s="27"/>
      <c r="G381" s="27"/>
      <c r="H381" s="46"/>
      <c r="I381" s="27"/>
      <c r="J381" s="27"/>
      <c r="K381" s="27"/>
      <c r="L381" s="46"/>
      <c r="M381" s="27"/>
      <c r="N381" s="27"/>
      <c r="O381" s="27"/>
      <c r="P381" s="46"/>
      <c r="Q381" s="27"/>
      <c r="R381" s="27"/>
      <c r="S381" s="27"/>
      <c r="T381" s="27"/>
      <c r="U381" s="27"/>
      <c r="V381" s="46"/>
      <c r="W381" s="27"/>
      <c r="X381" s="27"/>
      <c r="Y381" s="27"/>
      <c r="Z381" s="46"/>
      <c r="AA381" s="27"/>
      <c r="AB381" s="27"/>
      <c r="AC381" s="27"/>
    </row>
    <row r="382" spans="2:29" x14ac:dyDescent="0.75">
      <c r="B382" s="26"/>
      <c r="C382" s="27"/>
      <c r="D382" s="46"/>
      <c r="E382" s="27"/>
      <c r="F382" s="27"/>
      <c r="G382" s="27"/>
      <c r="H382" s="46"/>
      <c r="I382" s="27"/>
      <c r="J382" s="27"/>
      <c r="K382" s="27"/>
      <c r="L382" s="46"/>
      <c r="M382" s="27"/>
      <c r="N382" s="27"/>
      <c r="O382" s="27"/>
      <c r="P382" s="46"/>
      <c r="Q382" s="27"/>
      <c r="R382" s="27"/>
      <c r="S382" s="27"/>
      <c r="T382" s="27"/>
      <c r="U382" s="27"/>
      <c r="V382" s="46"/>
      <c r="W382" s="27"/>
      <c r="X382" s="27"/>
      <c r="Y382" s="27"/>
      <c r="Z382" s="46"/>
      <c r="AA382" s="27"/>
      <c r="AB382" s="27"/>
      <c r="AC382" s="27"/>
    </row>
    <row r="383" spans="2:29" x14ac:dyDescent="0.75">
      <c r="B383" s="26"/>
      <c r="C383" s="27"/>
      <c r="D383" s="46"/>
      <c r="E383" s="27"/>
      <c r="F383" s="27"/>
      <c r="G383" s="27"/>
      <c r="H383" s="46"/>
      <c r="I383" s="27"/>
      <c r="J383" s="27"/>
      <c r="K383" s="27"/>
      <c r="L383" s="46"/>
      <c r="M383" s="27"/>
      <c r="N383" s="27"/>
      <c r="O383" s="27"/>
      <c r="P383" s="46"/>
      <c r="Q383" s="27"/>
      <c r="R383" s="27"/>
      <c r="S383" s="27"/>
      <c r="T383" s="27"/>
      <c r="U383" s="27"/>
      <c r="V383" s="46"/>
      <c r="W383" s="27"/>
      <c r="X383" s="27"/>
      <c r="Y383" s="27"/>
      <c r="Z383" s="46"/>
      <c r="AA383" s="27"/>
      <c r="AB383" s="27"/>
      <c r="AC383" s="27"/>
    </row>
    <row r="384" spans="2:29" x14ac:dyDescent="0.75">
      <c r="B384" s="26"/>
      <c r="C384" s="27"/>
      <c r="D384" s="46"/>
      <c r="E384" s="27"/>
      <c r="F384" s="27"/>
      <c r="G384" s="27"/>
      <c r="H384" s="46"/>
      <c r="I384" s="27"/>
      <c r="J384" s="27"/>
      <c r="K384" s="27"/>
      <c r="L384" s="46"/>
      <c r="M384" s="27"/>
      <c r="N384" s="27"/>
      <c r="O384" s="27"/>
      <c r="P384" s="46"/>
      <c r="Q384" s="27"/>
      <c r="R384" s="27"/>
      <c r="S384" s="27"/>
      <c r="T384" s="27"/>
      <c r="U384" s="27"/>
      <c r="V384" s="46"/>
      <c r="W384" s="27"/>
      <c r="X384" s="27"/>
      <c r="Y384" s="27"/>
      <c r="Z384" s="46"/>
      <c r="AA384" s="27"/>
      <c r="AB384" s="27"/>
      <c r="AC384" s="27"/>
    </row>
    <row r="385" spans="2:29" x14ac:dyDescent="0.75">
      <c r="B385" s="26"/>
      <c r="C385" s="27"/>
      <c r="D385" s="46"/>
      <c r="E385" s="27"/>
      <c r="F385" s="27"/>
      <c r="G385" s="27"/>
      <c r="H385" s="46"/>
      <c r="I385" s="27"/>
      <c r="J385" s="27"/>
      <c r="K385" s="27"/>
      <c r="L385" s="46"/>
      <c r="M385" s="27"/>
      <c r="N385" s="27"/>
      <c r="O385" s="27"/>
      <c r="P385" s="46"/>
      <c r="Q385" s="27"/>
      <c r="R385" s="27"/>
      <c r="S385" s="27"/>
      <c r="T385" s="27"/>
      <c r="U385" s="27"/>
      <c r="V385" s="46"/>
      <c r="W385" s="27"/>
      <c r="X385" s="27"/>
      <c r="Y385" s="27"/>
      <c r="Z385" s="46"/>
      <c r="AA385" s="27"/>
      <c r="AB385" s="27"/>
      <c r="AC385" s="27"/>
    </row>
    <row r="386" spans="2:29" x14ac:dyDescent="0.75">
      <c r="B386" s="26"/>
      <c r="C386" s="27"/>
      <c r="D386" s="46"/>
      <c r="E386" s="27"/>
      <c r="F386" s="27"/>
      <c r="G386" s="27"/>
      <c r="H386" s="46"/>
      <c r="I386" s="27"/>
      <c r="J386" s="27"/>
      <c r="K386" s="27"/>
      <c r="L386" s="46"/>
      <c r="M386" s="27"/>
      <c r="N386" s="27"/>
      <c r="O386" s="27"/>
      <c r="P386" s="46"/>
      <c r="Q386" s="27"/>
      <c r="R386" s="27"/>
      <c r="S386" s="27"/>
      <c r="T386" s="27"/>
      <c r="U386" s="27"/>
      <c r="V386" s="46"/>
      <c r="W386" s="27"/>
      <c r="X386" s="27"/>
      <c r="Y386" s="27"/>
      <c r="Z386" s="46"/>
      <c r="AA386" s="27"/>
      <c r="AB386" s="27"/>
      <c r="AC386" s="27"/>
    </row>
    <row r="387" spans="2:29" x14ac:dyDescent="0.75">
      <c r="B387" s="26"/>
      <c r="C387" s="27"/>
      <c r="D387" s="46"/>
      <c r="E387" s="27"/>
      <c r="F387" s="27"/>
      <c r="G387" s="27"/>
      <c r="H387" s="46"/>
      <c r="I387" s="27"/>
      <c r="J387" s="27"/>
      <c r="K387" s="27"/>
      <c r="L387" s="46"/>
      <c r="M387" s="27"/>
      <c r="N387" s="27"/>
      <c r="O387" s="27"/>
      <c r="P387" s="46"/>
      <c r="Q387" s="27"/>
      <c r="R387" s="27"/>
      <c r="S387" s="27"/>
      <c r="T387" s="27"/>
      <c r="U387" s="27"/>
      <c r="V387" s="46"/>
      <c r="W387" s="27"/>
      <c r="X387" s="27"/>
      <c r="Y387" s="27"/>
      <c r="Z387" s="46"/>
      <c r="AA387" s="27"/>
      <c r="AB387" s="27"/>
      <c r="AC387" s="27"/>
    </row>
    <row r="388" spans="2:29" x14ac:dyDescent="0.75">
      <c r="B388" s="26"/>
      <c r="C388" s="27"/>
      <c r="D388" s="46"/>
      <c r="E388" s="27"/>
      <c r="F388" s="27"/>
      <c r="G388" s="27"/>
      <c r="H388" s="46"/>
      <c r="I388" s="27"/>
      <c r="J388" s="27"/>
      <c r="K388" s="27"/>
      <c r="L388" s="46"/>
      <c r="M388" s="27"/>
      <c r="N388" s="27"/>
      <c r="O388" s="27"/>
      <c r="P388" s="46"/>
      <c r="Q388" s="27"/>
      <c r="R388" s="27"/>
      <c r="S388" s="27"/>
      <c r="T388" s="27"/>
      <c r="U388" s="27"/>
      <c r="V388" s="46"/>
      <c r="W388" s="27"/>
      <c r="X388" s="27"/>
      <c r="Y388" s="27"/>
      <c r="Z388" s="46"/>
      <c r="AA388" s="27"/>
      <c r="AB388" s="27"/>
      <c r="AC388" s="27"/>
    </row>
    <row r="389" spans="2:29" x14ac:dyDescent="0.75">
      <c r="B389" s="26"/>
      <c r="C389" s="27"/>
      <c r="D389" s="46"/>
      <c r="E389" s="27"/>
      <c r="F389" s="27"/>
      <c r="G389" s="27"/>
      <c r="H389" s="46"/>
      <c r="I389" s="27"/>
      <c r="J389" s="27"/>
      <c r="K389" s="27"/>
      <c r="L389" s="46"/>
      <c r="M389" s="27"/>
      <c r="N389" s="27"/>
      <c r="O389" s="27"/>
      <c r="P389" s="46"/>
      <c r="Q389" s="27"/>
      <c r="R389" s="27"/>
      <c r="S389" s="27"/>
      <c r="T389" s="27"/>
      <c r="U389" s="27"/>
      <c r="V389" s="46"/>
      <c r="W389" s="27"/>
      <c r="X389" s="27"/>
      <c r="Y389" s="27"/>
      <c r="Z389" s="46"/>
      <c r="AA389" s="27"/>
      <c r="AB389" s="27"/>
      <c r="AC389" s="27"/>
    </row>
    <row r="390" spans="2:29" x14ac:dyDescent="0.75">
      <c r="B390" s="26"/>
      <c r="C390" s="27"/>
      <c r="D390" s="46"/>
      <c r="E390" s="27"/>
      <c r="F390" s="27"/>
      <c r="G390" s="27"/>
      <c r="H390" s="46"/>
      <c r="I390" s="27"/>
      <c r="J390" s="27"/>
      <c r="K390" s="27"/>
      <c r="L390" s="46"/>
      <c r="M390" s="27"/>
      <c r="N390" s="27"/>
      <c r="O390" s="27"/>
      <c r="P390" s="46"/>
      <c r="Q390" s="27"/>
      <c r="R390" s="27"/>
      <c r="S390" s="27"/>
      <c r="T390" s="27"/>
      <c r="U390" s="27"/>
      <c r="V390" s="46"/>
      <c r="W390" s="27"/>
      <c r="X390" s="27"/>
      <c r="Y390" s="27"/>
      <c r="Z390" s="46"/>
      <c r="AA390" s="27"/>
      <c r="AB390" s="27"/>
      <c r="AC390" s="27"/>
    </row>
    <row r="391" spans="2:29" x14ac:dyDescent="0.75">
      <c r="B391" s="26"/>
      <c r="C391" s="27"/>
      <c r="D391" s="46"/>
      <c r="E391" s="27"/>
      <c r="F391" s="27"/>
      <c r="G391" s="27"/>
      <c r="H391" s="46"/>
      <c r="I391" s="27"/>
      <c r="J391" s="27"/>
      <c r="K391" s="27"/>
      <c r="L391" s="46"/>
      <c r="M391" s="27"/>
      <c r="N391" s="27"/>
      <c r="O391" s="27"/>
      <c r="P391" s="46"/>
      <c r="Q391" s="27"/>
      <c r="R391" s="27"/>
      <c r="S391" s="27"/>
      <c r="T391" s="27"/>
      <c r="U391" s="27"/>
      <c r="V391" s="46"/>
      <c r="W391" s="27"/>
      <c r="X391" s="27"/>
      <c r="Y391" s="27"/>
      <c r="Z391" s="46"/>
      <c r="AA391" s="27"/>
      <c r="AB391" s="27"/>
      <c r="AC391" s="27"/>
    </row>
    <row r="392" spans="2:29" x14ac:dyDescent="0.75">
      <c r="B392" s="26"/>
      <c r="C392" s="27"/>
      <c r="D392" s="46"/>
      <c r="E392" s="27"/>
      <c r="F392" s="27"/>
      <c r="G392" s="27"/>
      <c r="H392" s="46"/>
      <c r="I392" s="27"/>
      <c r="J392" s="27"/>
      <c r="K392" s="27"/>
      <c r="L392" s="46"/>
      <c r="M392" s="27"/>
      <c r="N392" s="27"/>
      <c r="O392" s="27"/>
      <c r="P392" s="46"/>
      <c r="Q392" s="27"/>
      <c r="R392" s="27"/>
      <c r="S392" s="27"/>
      <c r="T392" s="27"/>
      <c r="U392" s="27"/>
      <c r="V392" s="46"/>
      <c r="W392" s="27"/>
      <c r="X392" s="27"/>
      <c r="Y392" s="27"/>
      <c r="Z392" s="46"/>
      <c r="AA392" s="27"/>
      <c r="AB392" s="27"/>
      <c r="AC392" s="27"/>
    </row>
    <row r="393" spans="2:29" x14ac:dyDescent="0.75">
      <c r="B393" s="26"/>
      <c r="C393" s="27"/>
      <c r="D393" s="46"/>
      <c r="E393" s="27"/>
      <c r="F393" s="27"/>
      <c r="G393" s="27"/>
      <c r="H393" s="46"/>
      <c r="I393" s="27"/>
      <c r="J393" s="27"/>
      <c r="K393" s="27"/>
      <c r="L393" s="46"/>
      <c r="M393" s="27"/>
      <c r="N393" s="27"/>
      <c r="O393" s="27"/>
      <c r="P393" s="46"/>
      <c r="Q393" s="27"/>
      <c r="R393" s="27"/>
      <c r="S393" s="27"/>
      <c r="T393" s="27"/>
      <c r="U393" s="27"/>
      <c r="V393" s="46"/>
      <c r="W393" s="27"/>
      <c r="X393" s="27"/>
      <c r="Y393" s="27"/>
      <c r="Z393" s="46"/>
      <c r="AA393" s="27"/>
      <c r="AB393" s="27"/>
      <c r="AC393" s="27"/>
    </row>
    <row r="394" spans="2:29" x14ac:dyDescent="0.75">
      <c r="B394" s="26"/>
      <c r="C394" s="27"/>
      <c r="D394" s="46"/>
      <c r="E394" s="27"/>
      <c r="F394" s="27"/>
      <c r="G394" s="27"/>
      <c r="H394" s="46"/>
      <c r="I394" s="27"/>
      <c r="J394" s="27"/>
      <c r="K394" s="27"/>
      <c r="L394" s="46"/>
      <c r="M394" s="27"/>
      <c r="N394" s="27"/>
      <c r="O394" s="27"/>
      <c r="P394" s="46"/>
      <c r="Q394" s="27"/>
      <c r="R394" s="27"/>
      <c r="S394" s="27"/>
      <c r="T394" s="27"/>
      <c r="U394" s="27"/>
      <c r="V394" s="46"/>
      <c r="W394" s="27"/>
      <c r="X394" s="27"/>
      <c r="Y394" s="27"/>
      <c r="Z394" s="46"/>
      <c r="AA394" s="27"/>
      <c r="AB394" s="27"/>
      <c r="AC394" s="27"/>
    </row>
    <row r="395" spans="2:29" x14ac:dyDescent="0.75">
      <c r="B395" s="26"/>
      <c r="C395" s="27"/>
      <c r="D395" s="46"/>
      <c r="E395" s="27"/>
      <c r="F395" s="27"/>
      <c r="G395" s="27"/>
      <c r="H395" s="46"/>
      <c r="I395" s="27"/>
      <c r="J395" s="27"/>
      <c r="K395" s="27"/>
      <c r="L395" s="46"/>
      <c r="M395" s="27"/>
      <c r="N395" s="27"/>
      <c r="O395" s="27"/>
      <c r="P395" s="46"/>
      <c r="Q395" s="27"/>
      <c r="R395" s="27"/>
      <c r="S395" s="27"/>
      <c r="T395" s="27"/>
      <c r="U395" s="27"/>
      <c r="V395" s="46"/>
      <c r="W395" s="27"/>
      <c r="X395" s="27"/>
      <c r="Y395" s="27"/>
      <c r="Z395" s="46"/>
      <c r="AA395" s="27"/>
      <c r="AB395" s="27"/>
      <c r="AC395" s="27"/>
    </row>
    <row r="396" spans="2:29" x14ac:dyDescent="0.75">
      <c r="B396" s="26"/>
      <c r="C396" s="27"/>
      <c r="D396" s="46"/>
      <c r="E396" s="27"/>
      <c r="F396" s="27"/>
      <c r="G396" s="27"/>
      <c r="H396" s="46"/>
      <c r="I396" s="27"/>
      <c r="J396" s="27"/>
      <c r="K396" s="27"/>
      <c r="L396" s="46"/>
      <c r="M396" s="27"/>
      <c r="N396" s="27"/>
      <c r="O396" s="27"/>
      <c r="P396" s="46"/>
      <c r="Q396" s="27"/>
      <c r="R396" s="27"/>
      <c r="S396" s="27"/>
      <c r="T396" s="27"/>
      <c r="U396" s="27"/>
      <c r="V396" s="46"/>
      <c r="W396" s="27"/>
      <c r="X396" s="27"/>
      <c r="Y396" s="27"/>
      <c r="Z396" s="46"/>
      <c r="AA396" s="27"/>
      <c r="AB396" s="27"/>
      <c r="AC396" s="27"/>
    </row>
    <row r="397" spans="2:29" x14ac:dyDescent="0.75">
      <c r="B397" s="26"/>
      <c r="C397" s="27"/>
      <c r="D397" s="46"/>
      <c r="E397" s="27"/>
      <c r="F397" s="27"/>
      <c r="G397" s="27"/>
      <c r="H397" s="46"/>
      <c r="I397" s="27"/>
      <c r="J397" s="27"/>
      <c r="K397" s="27"/>
      <c r="L397" s="46"/>
      <c r="M397" s="27"/>
      <c r="N397" s="27"/>
      <c r="O397" s="27"/>
      <c r="P397" s="46"/>
      <c r="Q397" s="27"/>
      <c r="R397" s="27"/>
      <c r="S397" s="27"/>
      <c r="T397" s="27"/>
      <c r="U397" s="27"/>
      <c r="V397" s="46"/>
      <c r="W397" s="27"/>
      <c r="X397" s="27"/>
      <c r="Y397" s="27"/>
      <c r="Z397" s="46"/>
      <c r="AA397" s="27"/>
      <c r="AB397" s="27"/>
      <c r="AC397" s="27"/>
    </row>
    <row r="398" spans="2:29" x14ac:dyDescent="0.75">
      <c r="B398" s="26"/>
      <c r="C398" s="27"/>
      <c r="D398" s="46"/>
      <c r="E398" s="27"/>
      <c r="F398" s="27"/>
      <c r="G398" s="27"/>
      <c r="H398" s="46"/>
      <c r="I398" s="27"/>
      <c r="J398" s="27"/>
      <c r="K398" s="27"/>
      <c r="L398" s="46"/>
      <c r="M398" s="27"/>
      <c r="N398" s="27"/>
      <c r="O398" s="27"/>
      <c r="P398" s="46"/>
      <c r="Q398" s="27"/>
      <c r="R398" s="27"/>
      <c r="S398" s="27"/>
      <c r="T398" s="27"/>
      <c r="U398" s="27"/>
      <c r="V398" s="46"/>
      <c r="W398" s="27"/>
      <c r="X398" s="27"/>
      <c r="Y398" s="27"/>
      <c r="Z398" s="46"/>
      <c r="AA398" s="27"/>
      <c r="AB398" s="27"/>
      <c r="AC398" s="27"/>
    </row>
    <row r="399" spans="2:29" x14ac:dyDescent="0.75">
      <c r="B399" s="26"/>
      <c r="C399" s="27"/>
      <c r="D399" s="46"/>
      <c r="E399" s="27"/>
      <c r="F399" s="27"/>
      <c r="G399" s="27"/>
      <c r="H399" s="46"/>
      <c r="I399" s="27"/>
      <c r="J399" s="27"/>
      <c r="K399" s="27"/>
      <c r="L399" s="46"/>
      <c r="M399" s="27"/>
      <c r="N399" s="27"/>
      <c r="O399" s="27"/>
      <c r="P399" s="46"/>
      <c r="Q399" s="27"/>
      <c r="R399" s="27"/>
      <c r="S399" s="27"/>
      <c r="T399" s="27"/>
      <c r="U399" s="27"/>
      <c r="V399" s="46"/>
      <c r="W399" s="27"/>
      <c r="X399" s="27"/>
      <c r="Y399" s="27"/>
      <c r="Z399" s="46"/>
      <c r="AA399" s="27"/>
      <c r="AB399" s="27"/>
      <c r="AC399" s="27"/>
    </row>
    <row r="400" spans="2:29" x14ac:dyDescent="0.75">
      <c r="B400" s="26"/>
      <c r="C400" s="27"/>
      <c r="D400" s="46"/>
      <c r="E400" s="27"/>
      <c r="F400" s="27"/>
      <c r="G400" s="27"/>
      <c r="H400" s="46"/>
      <c r="I400" s="27"/>
      <c r="J400" s="27"/>
      <c r="K400" s="27"/>
      <c r="L400" s="46"/>
      <c r="M400" s="27"/>
      <c r="N400" s="27"/>
      <c r="O400" s="27"/>
      <c r="P400" s="46"/>
      <c r="Q400" s="27"/>
      <c r="R400" s="27"/>
      <c r="S400" s="27"/>
      <c r="T400" s="27"/>
      <c r="U400" s="27"/>
      <c r="V400" s="46"/>
      <c r="W400" s="27"/>
      <c r="X400" s="27"/>
      <c r="Y400" s="27"/>
      <c r="Z400" s="46"/>
      <c r="AA400" s="27"/>
      <c r="AB400" s="27"/>
      <c r="AC400" s="27"/>
    </row>
    <row r="401" spans="2:29" x14ac:dyDescent="0.75">
      <c r="B401" s="26"/>
      <c r="C401" s="27"/>
      <c r="D401" s="46"/>
      <c r="E401" s="27"/>
      <c r="F401" s="27"/>
      <c r="G401" s="27"/>
      <c r="H401" s="46"/>
      <c r="I401" s="27"/>
      <c r="J401" s="27"/>
      <c r="K401" s="27"/>
      <c r="L401" s="46"/>
      <c r="M401" s="27"/>
      <c r="N401" s="27"/>
      <c r="O401" s="27"/>
      <c r="P401" s="46"/>
      <c r="Q401" s="27"/>
      <c r="R401" s="27"/>
      <c r="S401" s="27"/>
      <c r="T401" s="27"/>
      <c r="U401" s="27"/>
      <c r="V401" s="46"/>
      <c r="W401" s="27"/>
      <c r="X401" s="27"/>
      <c r="Y401" s="27"/>
      <c r="Z401" s="46"/>
      <c r="AA401" s="27"/>
      <c r="AB401" s="27"/>
      <c r="AC401" s="27"/>
    </row>
    <row r="402" spans="2:29" x14ac:dyDescent="0.75">
      <c r="B402" s="26"/>
      <c r="C402" s="27"/>
      <c r="D402" s="46"/>
      <c r="E402" s="27"/>
      <c r="F402" s="27"/>
      <c r="G402" s="27"/>
      <c r="H402" s="46"/>
      <c r="I402" s="27"/>
      <c r="J402" s="27"/>
      <c r="K402" s="27"/>
      <c r="L402" s="46"/>
      <c r="M402" s="27"/>
      <c r="N402" s="27"/>
      <c r="O402" s="27"/>
      <c r="P402" s="46"/>
      <c r="Q402" s="27"/>
      <c r="R402" s="27"/>
      <c r="S402" s="27"/>
      <c r="T402" s="27"/>
      <c r="U402" s="27"/>
      <c r="V402" s="46"/>
      <c r="W402" s="27"/>
      <c r="X402" s="27"/>
      <c r="Y402" s="27"/>
      <c r="Z402" s="46"/>
      <c r="AA402" s="27"/>
      <c r="AB402" s="27"/>
      <c r="AC402" s="27"/>
    </row>
    <row r="403" spans="2:29" x14ac:dyDescent="0.75">
      <c r="B403" s="26"/>
      <c r="C403" s="27"/>
      <c r="D403" s="46"/>
      <c r="E403" s="27"/>
      <c r="F403" s="27"/>
      <c r="G403" s="27"/>
      <c r="H403" s="46"/>
      <c r="I403" s="27"/>
      <c r="J403" s="27"/>
      <c r="K403" s="27"/>
      <c r="L403" s="46"/>
      <c r="M403" s="27"/>
      <c r="N403" s="27"/>
      <c r="O403" s="27"/>
      <c r="P403" s="46"/>
      <c r="Q403" s="27"/>
      <c r="R403" s="27"/>
      <c r="S403" s="27"/>
      <c r="T403" s="27"/>
      <c r="U403" s="27"/>
      <c r="V403" s="46"/>
      <c r="W403" s="27"/>
      <c r="X403" s="27"/>
      <c r="Y403" s="27"/>
      <c r="Z403" s="46"/>
      <c r="AA403" s="27"/>
      <c r="AB403" s="27"/>
      <c r="AC403" s="27"/>
    </row>
    <row r="404" spans="2:29" x14ac:dyDescent="0.75">
      <c r="B404" s="26"/>
      <c r="C404" s="27"/>
      <c r="D404" s="46"/>
      <c r="E404" s="27"/>
      <c r="F404" s="27"/>
      <c r="G404" s="27"/>
      <c r="H404" s="46"/>
      <c r="I404" s="27"/>
      <c r="J404" s="27"/>
      <c r="K404" s="27"/>
      <c r="L404" s="46"/>
      <c r="M404" s="27"/>
      <c r="N404" s="27"/>
      <c r="O404" s="27"/>
      <c r="P404" s="46"/>
      <c r="Q404" s="27"/>
      <c r="R404" s="27"/>
      <c r="S404" s="27"/>
      <c r="T404" s="27"/>
      <c r="U404" s="27"/>
      <c r="V404" s="46"/>
      <c r="W404" s="27"/>
      <c r="X404" s="27"/>
      <c r="Y404" s="27"/>
      <c r="Z404" s="46"/>
      <c r="AA404" s="27"/>
      <c r="AB404" s="27"/>
      <c r="AC404" s="27"/>
    </row>
    <row r="405" spans="2:29" x14ac:dyDescent="0.75">
      <c r="B405" s="26"/>
      <c r="C405" s="27"/>
      <c r="D405" s="46"/>
      <c r="E405" s="27"/>
      <c r="F405" s="27"/>
      <c r="G405" s="27"/>
      <c r="H405" s="46"/>
      <c r="I405" s="27"/>
      <c r="J405" s="27"/>
      <c r="K405" s="27"/>
      <c r="L405" s="46"/>
      <c r="M405" s="27"/>
      <c r="N405" s="27"/>
      <c r="O405" s="27"/>
      <c r="P405" s="46"/>
      <c r="Q405" s="27"/>
      <c r="R405" s="27"/>
      <c r="S405" s="27"/>
      <c r="T405" s="27"/>
      <c r="U405" s="27"/>
      <c r="V405" s="46"/>
      <c r="W405" s="27"/>
      <c r="X405" s="27"/>
      <c r="Y405" s="27"/>
      <c r="Z405" s="46"/>
      <c r="AA405" s="27"/>
      <c r="AB405" s="27"/>
      <c r="AC405" s="27"/>
    </row>
    <row r="406" spans="2:29" x14ac:dyDescent="0.75">
      <c r="B406" s="26"/>
      <c r="C406" s="27"/>
      <c r="D406" s="46"/>
      <c r="E406" s="27"/>
      <c r="F406" s="27"/>
      <c r="G406" s="27"/>
      <c r="H406" s="46"/>
      <c r="I406" s="27"/>
      <c r="J406" s="27"/>
      <c r="K406" s="27"/>
      <c r="L406" s="46"/>
      <c r="M406" s="27"/>
      <c r="N406" s="27"/>
      <c r="O406" s="27"/>
      <c r="P406" s="46"/>
      <c r="Q406" s="27"/>
      <c r="R406" s="27"/>
      <c r="S406" s="27"/>
      <c r="T406" s="27"/>
      <c r="U406" s="27"/>
      <c r="V406" s="46"/>
      <c r="W406" s="27"/>
      <c r="X406" s="27"/>
      <c r="Y406" s="27"/>
      <c r="Z406" s="46"/>
      <c r="AA406" s="27"/>
      <c r="AB406" s="27"/>
      <c r="AC406" s="27"/>
    </row>
    <row r="407" spans="2:29" x14ac:dyDescent="0.75">
      <c r="B407" s="26"/>
      <c r="C407" s="27"/>
      <c r="D407" s="46"/>
      <c r="E407" s="27"/>
      <c r="F407" s="27"/>
      <c r="G407" s="27"/>
      <c r="H407" s="46"/>
      <c r="I407" s="27"/>
      <c r="J407" s="27"/>
      <c r="K407" s="27"/>
      <c r="L407" s="46"/>
      <c r="M407" s="27"/>
      <c r="N407" s="27"/>
      <c r="O407" s="27"/>
      <c r="P407" s="46"/>
      <c r="Q407" s="27"/>
      <c r="R407" s="27"/>
      <c r="S407" s="27"/>
      <c r="T407" s="27"/>
      <c r="U407" s="27"/>
      <c r="V407" s="46"/>
      <c r="W407" s="27"/>
      <c r="X407" s="27"/>
      <c r="Y407" s="27"/>
      <c r="Z407" s="46"/>
      <c r="AA407" s="27"/>
      <c r="AB407" s="27"/>
      <c r="AC407" s="27"/>
    </row>
    <row r="408" spans="2:29" x14ac:dyDescent="0.75">
      <c r="B408" s="26"/>
      <c r="C408" s="27"/>
      <c r="D408" s="46"/>
      <c r="E408" s="27"/>
      <c r="F408" s="27"/>
      <c r="G408" s="27"/>
      <c r="H408" s="46"/>
      <c r="I408" s="27"/>
      <c r="J408" s="27"/>
      <c r="K408" s="27"/>
      <c r="L408" s="46"/>
      <c r="M408" s="27"/>
      <c r="N408" s="27"/>
      <c r="O408" s="27"/>
      <c r="P408" s="46"/>
      <c r="Q408" s="27"/>
      <c r="R408" s="27"/>
      <c r="S408" s="27"/>
      <c r="T408" s="27"/>
      <c r="U408" s="27"/>
      <c r="V408" s="46"/>
      <c r="W408" s="27"/>
      <c r="X408" s="27"/>
      <c r="Y408" s="27"/>
      <c r="Z408" s="46"/>
      <c r="AA408" s="27"/>
      <c r="AB408" s="27"/>
      <c r="AC408" s="27"/>
    </row>
    <row r="409" spans="2:29" x14ac:dyDescent="0.75">
      <c r="B409" s="26"/>
      <c r="C409" s="27"/>
      <c r="D409" s="46"/>
      <c r="E409" s="27"/>
      <c r="F409" s="27"/>
      <c r="G409" s="27"/>
      <c r="H409" s="46"/>
      <c r="I409" s="27"/>
      <c r="J409" s="27"/>
      <c r="K409" s="27"/>
      <c r="L409" s="46"/>
      <c r="M409" s="27"/>
      <c r="N409" s="27"/>
      <c r="O409" s="27"/>
      <c r="P409" s="46"/>
      <c r="Q409" s="27"/>
      <c r="R409" s="27"/>
      <c r="S409" s="27"/>
      <c r="T409" s="27"/>
      <c r="U409" s="27"/>
      <c r="V409" s="46"/>
      <c r="W409" s="27"/>
      <c r="X409" s="27"/>
      <c r="Y409" s="27"/>
      <c r="Z409" s="46"/>
      <c r="AA409" s="27"/>
      <c r="AB409" s="27"/>
      <c r="AC409" s="27"/>
    </row>
    <row r="410" spans="2:29" x14ac:dyDescent="0.75">
      <c r="B410" s="26"/>
      <c r="C410" s="27"/>
      <c r="D410" s="46"/>
      <c r="E410" s="27"/>
      <c r="F410" s="27"/>
      <c r="G410" s="27"/>
      <c r="H410" s="46"/>
      <c r="I410" s="27"/>
      <c r="J410" s="27"/>
      <c r="K410" s="27"/>
      <c r="L410" s="46"/>
      <c r="M410" s="27"/>
      <c r="N410" s="27"/>
      <c r="O410" s="27"/>
      <c r="P410" s="46"/>
      <c r="Q410" s="27"/>
      <c r="R410" s="27"/>
      <c r="S410" s="27"/>
      <c r="T410" s="27"/>
      <c r="U410" s="27"/>
      <c r="V410" s="46"/>
      <c r="W410" s="27"/>
      <c r="X410" s="27"/>
      <c r="Y410" s="27"/>
      <c r="Z410" s="46"/>
      <c r="AA410" s="27"/>
      <c r="AB410" s="27"/>
      <c r="AC410" s="27"/>
    </row>
    <row r="411" spans="2:29" x14ac:dyDescent="0.75">
      <c r="B411" s="26"/>
      <c r="C411" s="27"/>
      <c r="D411" s="46"/>
      <c r="E411" s="27"/>
      <c r="F411" s="27"/>
      <c r="G411" s="27"/>
      <c r="H411" s="46"/>
      <c r="I411" s="27"/>
      <c r="J411" s="27"/>
      <c r="K411" s="27"/>
      <c r="L411" s="46"/>
      <c r="M411" s="27"/>
      <c r="N411" s="27"/>
      <c r="O411" s="27"/>
      <c r="P411" s="46"/>
      <c r="Q411" s="27"/>
      <c r="R411" s="27"/>
      <c r="S411" s="27"/>
      <c r="T411" s="27"/>
      <c r="U411" s="27"/>
      <c r="V411" s="46"/>
      <c r="W411" s="27"/>
      <c r="X411" s="27"/>
      <c r="Y411" s="27"/>
      <c r="Z411" s="46"/>
      <c r="AA411" s="27"/>
      <c r="AB411" s="27"/>
      <c r="AC411" s="27"/>
    </row>
    <row r="412" spans="2:29" x14ac:dyDescent="0.75">
      <c r="B412" s="26"/>
      <c r="C412" s="27"/>
      <c r="D412" s="46"/>
      <c r="E412" s="27"/>
      <c r="F412" s="27"/>
      <c r="G412" s="27"/>
      <c r="H412" s="46"/>
      <c r="I412" s="27"/>
      <c r="J412" s="27"/>
      <c r="K412" s="27"/>
      <c r="L412" s="46"/>
      <c r="M412" s="27"/>
      <c r="N412" s="27"/>
      <c r="O412" s="27"/>
      <c r="P412" s="46"/>
      <c r="Q412" s="27"/>
      <c r="R412" s="27"/>
      <c r="S412" s="27"/>
      <c r="T412" s="27"/>
      <c r="U412" s="27"/>
      <c r="V412" s="46"/>
      <c r="W412" s="27"/>
      <c r="X412" s="27"/>
      <c r="Y412" s="27"/>
      <c r="Z412" s="46"/>
      <c r="AA412" s="27"/>
      <c r="AB412" s="27"/>
      <c r="AC412" s="27"/>
    </row>
    <row r="413" spans="2:29" x14ac:dyDescent="0.75">
      <c r="B413" s="26"/>
      <c r="C413" s="27"/>
      <c r="D413" s="46"/>
      <c r="E413" s="27"/>
      <c r="F413" s="27"/>
      <c r="G413" s="27"/>
      <c r="H413" s="46"/>
      <c r="I413" s="27"/>
      <c r="J413" s="27"/>
      <c r="K413" s="27"/>
      <c r="L413" s="46"/>
      <c r="M413" s="27"/>
      <c r="N413" s="27"/>
      <c r="O413" s="27"/>
      <c r="P413" s="46"/>
      <c r="Q413" s="27"/>
      <c r="R413" s="27"/>
      <c r="S413" s="27"/>
      <c r="T413" s="27"/>
      <c r="U413" s="27"/>
      <c r="V413" s="46"/>
      <c r="W413" s="27"/>
      <c r="X413" s="27"/>
      <c r="Y413" s="27"/>
      <c r="Z413" s="46"/>
      <c r="AA413" s="27"/>
      <c r="AB413" s="27"/>
      <c r="AC413" s="27"/>
    </row>
    <row r="414" spans="2:29" x14ac:dyDescent="0.75">
      <c r="B414" s="26"/>
      <c r="C414" s="27"/>
      <c r="D414" s="46"/>
      <c r="E414" s="27"/>
      <c r="F414" s="27"/>
      <c r="G414" s="27"/>
      <c r="H414" s="46"/>
      <c r="I414" s="27"/>
      <c r="J414" s="27"/>
      <c r="K414" s="27"/>
      <c r="L414" s="46"/>
      <c r="M414" s="27"/>
      <c r="N414" s="27"/>
      <c r="O414" s="27"/>
      <c r="P414" s="46"/>
      <c r="Q414" s="27"/>
      <c r="R414" s="27"/>
      <c r="S414" s="27"/>
      <c r="T414" s="27"/>
      <c r="U414" s="27"/>
      <c r="V414" s="46"/>
      <c r="W414" s="27"/>
      <c r="X414" s="27"/>
      <c r="Y414" s="27"/>
      <c r="Z414" s="46"/>
      <c r="AA414" s="27"/>
      <c r="AB414" s="27"/>
      <c r="AC414" s="27"/>
    </row>
    <row r="415" spans="2:29" x14ac:dyDescent="0.75">
      <c r="B415" s="26"/>
      <c r="C415" s="27"/>
      <c r="D415" s="46"/>
      <c r="E415" s="27"/>
      <c r="F415" s="27"/>
      <c r="G415" s="27"/>
      <c r="H415" s="46"/>
      <c r="I415" s="27"/>
      <c r="J415" s="27"/>
      <c r="K415" s="27"/>
      <c r="L415" s="46"/>
      <c r="M415" s="27"/>
      <c r="N415" s="27"/>
      <c r="O415" s="27"/>
      <c r="P415" s="46"/>
      <c r="Q415" s="27"/>
      <c r="R415" s="27"/>
      <c r="S415" s="27"/>
      <c r="T415" s="27"/>
      <c r="U415" s="27"/>
      <c r="V415" s="46"/>
      <c r="W415" s="27"/>
      <c r="X415" s="27"/>
      <c r="Y415" s="27"/>
      <c r="Z415" s="46"/>
      <c r="AA415" s="27"/>
      <c r="AB415" s="27"/>
      <c r="AC415" s="27"/>
    </row>
    <row r="416" spans="2:29" x14ac:dyDescent="0.75">
      <c r="B416" s="26"/>
      <c r="C416" s="27"/>
      <c r="D416" s="46"/>
      <c r="E416" s="27"/>
      <c r="F416" s="27"/>
      <c r="G416" s="27"/>
      <c r="H416" s="46"/>
      <c r="I416" s="27"/>
      <c r="J416" s="27"/>
      <c r="K416" s="27"/>
      <c r="L416" s="46"/>
      <c r="M416" s="27"/>
      <c r="N416" s="27"/>
      <c r="O416" s="27"/>
      <c r="P416" s="46"/>
      <c r="Q416" s="27"/>
      <c r="R416" s="27"/>
      <c r="S416" s="27"/>
      <c r="T416" s="27"/>
      <c r="U416" s="27"/>
      <c r="V416" s="46"/>
      <c r="W416" s="27"/>
      <c r="X416" s="27"/>
      <c r="Y416" s="27"/>
      <c r="Z416" s="46"/>
      <c r="AA416" s="27"/>
      <c r="AB416" s="27"/>
      <c r="AC416" s="27"/>
    </row>
    <row r="417" spans="2:29" x14ac:dyDescent="0.75">
      <c r="B417" s="26"/>
      <c r="C417" s="27"/>
      <c r="D417" s="46"/>
      <c r="E417" s="27"/>
      <c r="F417" s="27"/>
      <c r="G417" s="27"/>
      <c r="H417" s="46"/>
      <c r="I417" s="27"/>
      <c r="J417" s="27"/>
      <c r="K417" s="27"/>
      <c r="L417" s="46"/>
      <c r="M417" s="27"/>
      <c r="N417" s="27"/>
      <c r="O417" s="27"/>
      <c r="P417" s="46"/>
      <c r="Q417" s="27"/>
      <c r="R417" s="27"/>
      <c r="S417" s="27"/>
      <c r="T417" s="27"/>
      <c r="U417" s="27"/>
      <c r="V417" s="46"/>
      <c r="W417" s="27"/>
      <c r="X417" s="27"/>
      <c r="Y417" s="27"/>
      <c r="Z417" s="46"/>
      <c r="AA417" s="27"/>
      <c r="AB417" s="27"/>
      <c r="AC417" s="27"/>
    </row>
    <row r="418" spans="2:29" x14ac:dyDescent="0.75">
      <c r="B418" s="26"/>
      <c r="C418" s="27"/>
      <c r="D418" s="46"/>
      <c r="E418" s="27"/>
      <c r="F418" s="27"/>
      <c r="G418" s="27"/>
      <c r="H418" s="46"/>
      <c r="I418" s="27"/>
      <c r="J418" s="27"/>
      <c r="K418" s="27"/>
      <c r="L418" s="46"/>
      <c r="M418" s="27"/>
      <c r="N418" s="27"/>
      <c r="O418" s="27"/>
      <c r="P418" s="46"/>
      <c r="Q418" s="27"/>
      <c r="R418" s="27"/>
      <c r="S418" s="27"/>
      <c r="T418" s="27"/>
      <c r="U418" s="27"/>
      <c r="V418" s="46"/>
      <c r="W418" s="27"/>
      <c r="X418" s="27"/>
      <c r="Y418" s="27"/>
      <c r="Z418" s="46"/>
      <c r="AA418" s="27"/>
      <c r="AB418" s="27"/>
      <c r="AC418" s="27"/>
    </row>
    <row r="419" spans="2:29" x14ac:dyDescent="0.75">
      <c r="B419" s="26"/>
      <c r="C419" s="27"/>
      <c r="D419" s="46"/>
      <c r="E419" s="27"/>
      <c r="F419" s="27"/>
      <c r="G419" s="27"/>
      <c r="H419" s="46"/>
      <c r="I419" s="27"/>
      <c r="J419" s="27"/>
      <c r="K419" s="27"/>
      <c r="L419" s="46"/>
      <c r="M419" s="27"/>
      <c r="N419" s="27"/>
      <c r="O419" s="27"/>
      <c r="P419" s="46"/>
      <c r="Q419" s="27"/>
      <c r="R419" s="27"/>
      <c r="S419" s="27"/>
      <c r="T419" s="27"/>
      <c r="U419" s="27"/>
      <c r="V419" s="46"/>
      <c r="W419" s="27"/>
      <c r="X419" s="27"/>
      <c r="Y419" s="27"/>
      <c r="Z419" s="46"/>
      <c r="AA419" s="27"/>
      <c r="AB419" s="27"/>
      <c r="AC419" s="27"/>
    </row>
    <row r="420" spans="2:29" x14ac:dyDescent="0.75">
      <c r="B420" s="26"/>
      <c r="C420" s="27"/>
      <c r="D420" s="46"/>
      <c r="E420" s="27"/>
      <c r="F420" s="27"/>
      <c r="G420" s="27"/>
      <c r="H420" s="46"/>
      <c r="I420" s="27"/>
      <c r="J420" s="27"/>
      <c r="K420" s="27"/>
      <c r="L420" s="46"/>
      <c r="M420" s="27"/>
      <c r="N420" s="27"/>
      <c r="O420" s="27"/>
      <c r="P420" s="46"/>
      <c r="Q420" s="27"/>
      <c r="R420" s="27"/>
      <c r="S420" s="27"/>
      <c r="T420" s="27"/>
      <c r="U420" s="27"/>
      <c r="V420" s="46"/>
      <c r="W420" s="27"/>
      <c r="X420" s="27"/>
      <c r="Y420" s="27"/>
      <c r="Z420" s="46"/>
      <c r="AA420" s="27"/>
      <c r="AB420" s="27"/>
      <c r="AC420" s="27"/>
    </row>
    <row r="421" spans="2:29" x14ac:dyDescent="0.75">
      <c r="B421" s="26"/>
      <c r="C421" s="27"/>
      <c r="D421" s="46"/>
      <c r="E421" s="27"/>
      <c r="F421" s="27"/>
      <c r="G421" s="27"/>
      <c r="H421" s="46"/>
      <c r="I421" s="27"/>
      <c r="J421" s="27"/>
      <c r="K421" s="27"/>
      <c r="L421" s="46"/>
      <c r="M421" s="27"/>
      <c r="N421" s="27"/>
      <c r="O421" s="27"/>
      <c r="P421" s="46"/>
      <c r="Q421" s="27"/>
      <c r="R421" s="27"/>
      <c r="S421" s="27"/>
      <c r="T421" s="27"/>
      <c r="U421" s="27"/>
      <c r="V421" s="46"/>
      <c r="W421" s="27"/>
      <c r="X421" s="27"/>
      <c r="Y421" s="27"/>
      <c r="Z421" s="46"/>
      <c r="AA421" s="27"/>
      <c r="AB421" s="27"/>
      <c r="AC421" s="27"/>
    </row>
    <row r="422" spans="2:29" x14ac:dyDescent="0.75">
      <c r="B422" s="26"/>
      <c r="C422" s="27"/>
      <c r="D422" s="46"/>
      <c r="E422" s="27"/>
      <c r="F422" s="27"/>
      <c r="G422" s="27"/>
      <c r="H422" s="46"/>
      <c r="I422" s="27"/>
      <c r="J422" s="27"/>
      <c r="K422" s="27"/>
      <c r="L422" s="46"/>
      <c r="M422" s="27"/>
      <c r="N422" s="27"/>
      <c r="O422" s="27"/>
      <c r="P422" s="46"/>
      <c r="Q422" s="27"/>
      <c r="R422" s="27"/>
      <c r="S422" s="27"/>
      <c r="T422" s="27"/>
      <c r="U422" s="27"/>
      <c r="V422" s="46"/>
      <c r="W422" s="27"/>
      <c r="X422" s="27"/>
      <c r="Y422" s="27"/>
      <c r="Z422" s="46"/>
      <c r="AA422" s="27"/>
      <c r="AB422" s="27"/>
      <c r="AC422" s="27"/>
    </row>
    <row r="423" spans="2:29" x14ac:dyDescent="0.75">
      <c r="B423" s="26"/>
      <c r="C423" s="27"/>
      <c r="D423" s="46"/>
      <c r="E423" s="27"/>
      <c r="F423" s="27"/>
      <c r="G423" s="27"/>
      <c r="H423" s="46"/>
      <c r="I423" s="27"/>
      <c r="J423" s="27"/>
      <c r="K423" s="27"/>
      <c r="L423" s="46"/>
      <c r="M423" s="27"/>
      <c r="N423" s="27"/>
      <c r="O423" s="27"/>
      <c r="P423" s="46"/>
      <c r="Q423" s="27"/>
      <c r="R423" s="27"/>
      <c r="S423" s="27"/>
      <c r="T423" s="27"/>
      <c r="U423" s="27"/>
      <c r="V423" s="46"/>
      <c r="W423" s="27"/>
      <c r="X423" s="27"/>
      <c r="Y423" s="27"/>
      <c r="Z423" s="46"/>
      <c r="AA423" s="27"/>
      <c r="AB423" s="27"/>
      <c r="AC423" s="27"/>
    </row>
    <row r="424" spans="2:29" x14ac:dyDescent="0.75">
      <c r="B424" s="26"/>
      <c r="C424" s="27"/>
      <c r="D424" s="46"/>
      <c r="E424" s="27"/>
      <c r="F424" s="27"/>
      <c r="G424" s="27"/>
      <c r="H424" s="46"/>
      <c r="I424" s="27"/>
      <c r="J424" s="27"/>
      <c r="K424" s="27"/>
      <c r="L424" s="46"/>
      <c r="M424" s="27"/>
      <c r="N424" s="27"/>
      <c r="O424" s="27"/>
      <c r="P424" s="46"/>
      <c r="Q424" s="27"/>
      <c r="R424" s="27"/>
      <c r="S424" s="27"/>
      <c r="T424" s="27"/>
      <c r="U424" s="27"/>
      <c r="V424" s="46"/>
      <c r="W424" s="27"/>
      <c r="X424" s="27"/>
      <c r="Y424" s="27"/>
      <c r="Z424" s="46"/>
      <c r="AA424" s="27"/>
      <c r="AB424" s="27"/>
      <c r="AC424" s="27"/>
    </row>
    <row r="425" spans="2:29" x14ac:dyDescent="0.75">
      <c r="B425" s="26"/>
      <c r="C425" s="27"/>
      <c r="D425" s="46"/>
      <c r="E425" s="27"/>
      <c r="F425" s="27"/>
      <c r="G425" s="27"/>
      <c r="H425" s="46"/>
      <c r="I425" s="27"/>
      <c r="J425" s="27"/>
      <c r="K425" s="27"/>
      <c r="L425" s="46"/>
      <c r="M425" s="27"/>
      <c r="N425" s="27"/>
      <c r="O425" s="27"/>
      <c r="P425" s="46"/>
      <c r="Q425" s="27"/>
      <c r="R425" s="27"/>
      <c r="S425" s="27"/>
      <c r="T425" s="27"/>
      <c r="U425" s="27"/>
      <c r="V425" s="46"/>
      <c r="W425" s="27"/>
      <c r="X425" s="27"/>
      <c r="Y425" s="27"/>
      <c r="Z425" s="46"/>
      <c r="AA425" s="27"/>
      <c r="AB425" s="27"/>
      <c r="AC425" s="27"/>
    </row>
    <row r="426" spans="2:29" x14ac:dyDescent="0.75">
      <c r="B426" s="26"/>
      <c r="C426" s="27"/>
      <c r="D426" s="46"/>
      <c r="E426" s="27"/>
      <c r="F426" s="27"/>
      <c r="G426" s="27"/>
      <c r="H426" s="46"/>
      <c r="I426" s="27"/>
      <c r="J426" s="27"/>
      <c r="K426" s="27"/>
      <c r="L426" s="46"/>
      <c r="M426" s="27"/>
      <c r="N426" s="27"/>
      <c r="O426" s="27"/>
      <c r="P426" s="46"/>
      <c r="Q426" s="27"/>
      <c r="R426" s="27"/>
      <c r="S426" s="27"/>
      <c r="T426" s="27"/>
      <c r="U426" s="27"/>
      <c r="V426" s="46"/>
      <c r="W426" s="27"/>
      <c r="X426" s="27"/>
      <c r="Y426" s="27"/>
      <c r="Z426" s="46"/>
      <c r="AA426" s="27"/>
      <c r="AB426" s="27"/>
      <c r="AC426" s="27"/>
    </row>
    <row r="427" spans="2:29" x14ac:dyDescent="0.75">
      <c r="B427" s="26"/>
      <c r="C427" s="27"/>
      <c r="D427" s="46"/>
      <c r="E427" s="27"/>
      <c r="F427" s="27"/>
      <c r="G427" s="27"/>
      <c r="H427" s="46"/>
      <c r="I427" s="27"/>
      <c r="J427" s="27"/>
      <c r="K427" s="27"/>
      <c r="L427" s="46"/>
      <c r="M427" s="27"/>
      <c r="N427" s="27"/>
      <c r="O427" s="27"/>
      <c r="P427" s="46"/>
      <c r="Q427" s="27"/>
      <c r="R427" s="27"/>
      <c r="S427" s="27"/>
      <c r="T427" s="27"/>
      <c r="U427" s="27"/>
      <c r="V427" s="46"/>
      <c r="W427" s="27"/>
      <c r="X427" s="27"/>
      <c r="Y427" s="27"/>
      <c r="Z427" s="46"/>
      <c r="AA427" s="27"/>
      <c r="AB427" s="27"/>
      <c r="AC427" s="27"/>
    </row>
    <row r="428" spans="2:29" x14ac:dyDescent="0.75">
      <c r="B428" s="26"/>
      <c r="C428" s="27"/>
      <c r="D428" s="46"/>
      <c r="E428" s="27"/>
      <c r="F428" s="27"/>
      <c r="G428" s="27"/>
      <c r="H428" s="46"/>
      <c r="I428" s="27"/>
      <c r="J428" s="27"/>
      <c r="K428" s="27"/>
      <c r="L428" s="46"/>
      <c r="M428" s="27"/>
      <c r="N428" s="27"/>
      <c r="O428" s="27"/>
      <c r="P428" s="46"/>
      <c r="Q428" s="27"/>
      <c r="R428" s="27"/>
      <c r="S428" s="27"/>
      <c r="T428" s="27"/>
      <c r="U428" s="27"/>
      <c r="V428" s="46"/>
      <c r="W428" s="27"/>
      <c r="X428" s="27"/>
      <c r="Y428" s="27"/>
      <c r="Z428" s="46"/>
      <c r="AA428" s="27"/>
      <c r="AB428" s="27"/>
      <c r="AC428" s="27"/>
    </row>
    <row r="429" spans="2:29" x14ac:dyDescent="0.75">
      <c r="B429" s="26"/>
      <c r="C429" s="27"/>
      <c r="D429" s="46"/>
      <c r="E429" s="27"/>
      <c r="F429" s="27"/>
      <c r="G429" s="27"/>
      <c r="H429" s="46"/>
      <c r="I429" s="27"/>
      <c r="J429" s="27"/>
      <c r="K429" s="27"/>
      <c r="L429" s="46"/>
      <c r="M429" s="27"/>
      <c r="N429" s="27"/>
      <c r="O429" s="27"/>
      <c r="P429" s="46"/>
      <c r="Q429" s="27"/>
      <c r="R429" s="27"/>
      <c r="S429" s="27"/>
      <c r="T429" s="27"/>
      <c r="U429" s="27"/>
      <c r="V429" s="46"/>
      <c r="W429" s="27"/>
      <c r="X429" s="27"/>
      <c r="Y429" s="27"/>
      <c r="Z429" s="46"/>
      <c r="AA429" s="27"/>
      <c r="AB429" s="27"/>
      <c r="AC429" s="27"/>
    </row>
    <row r="430" spans="2:29" x14ac:dyDescent="0.75">
      <c r="B430" s="26"/>
      <c r="C430" s="27"/>
      <c r="D430" s="46"/>
      <c r="E430" s="27"/>
      <c r="F430" s="27"/>
      <c r="G430" s="27"/>
      <c r="H430" s="46"/>
      <c r="I430" s="27"/>
      <c r="J430" s="27"/>
      <c r="K430" s="27"/>
      <c r="L430" s="46"/>
      <c r="M430" s="27"/>
      <c r="N430" s="27"/>
      <c r="O430" s="27"/>
      <c r="P430" s="46"/>
      <c r="Q430" s="27"/>
      <c r="R430" s="27"/>
      <c r="S430" s="27"/>
      <c r="T430" s="27"/>
      <c r="U430" s="27"/>
      <c r="V430" s="46"/>
      <c r="W430" s="27"/>
      <c r="X430" s="27"/>
      <c r="Y430" s="27"/>
      <c r="Z430" s="46"/>
      <c r="AA430" s="27"/>
      <c r="AB430" s="27"/>
      <c r="AC430" s="27"/>
    </row>
    <row r="431" spans="2:29" x14ac:dyDescent="0.75">
      <c r="B431" s="26"/>
      <c r="C431" s="27"/>
      <c r="D431" s="46"/>
      <c r="E431" s="27"/>
      <c r="F431" s="27"/>
      <c r="G431" s="27"/>
      <c r="H431" s="46"/>
      <c r="I431" s="27"/>
      <c r="J431" s="27"/>
      <c r="K431" s="27"/>
      <c r="L431" s="46"/>
      <c r="M431" s="27"/>
      <c r="N431" s="27"/>
      <c r="O431" s="27"/>
      <c r="P431" s="46"/>
      <c r="Q431" s="27"/>
      <c r="R431" s="27"/>
      <c r="S431" s="27"/>
      <c r="T431" s="27"/>
      <c r="U431" s="27"/>
      <c r="V431" s="46"/>
      <c r="W431" s="27"/>
      <c r="X431" s="27"/>
      <c r="Y431" s="27"/>
      <c r="Z431" s="46"/>
      <c r="AA431" s="27"/>
      <c r="AB431" s="27"/>
      <c r="AC431" s="27"/>
    </row>
    <row r="432" spans="2:29" x14ac:dyDescent="0.75">
      <c r="B432" s="26"/>
      <c r="C432" s="27"/>
      <c r="D432" s="46"/>
      <c r="E432" s="27"/>
      <c r="F432" s="27"/>
      <c r="G432" s="27"/>
      <c r="H432" s="46"/>
      <c r="I432" s="27"/>
      <c r="J432" s="27"/>
      <c r="K432" s="27"/>
      <c r="L432" s="46"/>
      <c r="M432" s="27"/>
      <c r="N432" s="27"/>
      <c r="O432" s="27"/>
      <c r="P432" s="46"/>
      <c r="Q432" s="27"/>
      <c r="R432" s="27"/>
      <c r="S432" s="27"/>
      <c r="T432" s="27"/>
      <c r="U432" s="27"/>
      <c r="V432" s="46"/>
      <c r="W432" s="27"/>
      <c r="X432" s="27"/>
      <c r="Y432" s="27"/>
      <c r="Z432" s="46"/>
      <c r="AA432" s="27"/>
      <c r="AB432" s="27"/>
      <c r="AC432" s="27"/>
    </row>
    <row r="433" spans="2:29" x14ac:dyDescent="0.75">
      <c r="B433" s="26"/>
      <c r="C433" s="27"/>
      <c r="D433" s="46"/>
      <c r="E433" s="27"/>
      <c r="F433" s="27"/>
      <c r="G433" s="27"/>
      <c r="H433" s="46"/>
      <c r="I433" s="27"/>
      <c r="J433" s="27"/>
      <c r="K433" s="27"/>
      <c r="L433" s="46"/>
      <c r="M433" s="27"/>
      <c r="N433" s="27"/>
      <c r="O433" s="27"/>
      <c r="P433" s="46"/>
      <c r="Q433" s="27"/>
      <c r="R433" s="27"/>
      <c r="S433" s="27"/>
      <c r="T433" s="27"/>
      <c r="U433" s="27"/>
      <c r="V433" s="46"/>
      <c r="W433" s="27"/>
      <c r="X433" s="27"/>
      <c r="Y433" s="27"/>
      <c r="Z433" s="46"/>
      <c r="AA433" s="27"/>
      <c r="AB433" s="27"/>
      <c r="AC433" s="27"/>
    </row>
    <row r="434" spans="2:29" x14ac:dyDescent="0.75">
      <c r="B434" s="26"/>
      <c r="C434" s="27"/>
      <c r="D434" s="46"/>
      <c r="E434" s="27"/>
      <c r="F434" s="27"/>
      <c r="G434" s="27"/>
      <c r="H434" s="46"/>
      <c r="I434" s="27"/>
      <c r="J434" s="27"/>
      <c r="K434" s="27"/>
      <c r="L434" s="46"/>
      <c r="M434" s="27"/>
      <c r="N434" s="27"/>
      <c r="O434" s="27"/>
      <c r="P434" s="46"/>
      <c r="Q434" s="27"/>
      <c r="R434" s="27"/>
      <c r="S434" s="27"/>
      <c r="T434" s="27"/>
      <c r="U434" s="27"/>
      <c r="V434" s="46"/>
      <c r="W434" s="27"/>
      <c r="X434" s="27"/>
      <c r="Y434" s="27"/>
      <c r="Z434" s="46"/>
      <c r="AA434" s="27"/>
      <c r="AB434" s="27"/>
      <c r="AC434" s="27"/>
    </row>
    <row r="435" spans="2:29" x14ac:dyDescent="0.75">
      <c r="B435" s="26"/>
      <c r="C435" s="27"/>
      <c r="D435" s="46"/>
      <c r="E435" s="27"/>
      <c r="F435" s="27"/>
      <c r="G435" s="27"/>
      <c r="H435" s="46"/>
      <c r="I435" s="27"/>
      <c r="J435" s="27"/>
      <c r="K435" s="27"/>
      <c r="L435" s="46"/>
      <c r="M435" s="27"/>
      <c r="N435" s="27"/>
      <c r="O435" s="27"/>
      <c r="P435" s="46"/>
      <c r="Q435" s="27"/>
      <c r="R435" s="27"/>
      <c r="S435" s="27"/>
      <c r="T435" s="27"/>
      <c r="U435" s="27"/>
      <c r="V435" s="46"/>
      <c r="W435" s="27"/>
      <c r="X435" s="27"/>
      <c r="Y435" s="27"/>
      <c r="Z435" s="46"/>
      <c r="AA435" s="27"/>
      <c r="AB435" s="27"/>
      <c r="AC435" s="27"/>
    </row>
    <row r="436" spans="2:29" x14ac:dyDescent="0.75">
      <c r="B436" s="26"/>
      <c r="C436" s="27"/>
      <c r="D436" s="46"/>
      <c r="E436" s="27"/>
      <c r="F436" s="27"/>
      <c r="G436" s="27"/>
      <c r="H436" s="46"/>
      <c r="I436" s="27"/>
      <c r="J436" s="27"/>
      <c r="K436" s="27"/>
      <c r="L436" s="46"/>
      <c r="M436" s="27"/>
      <c r="N436" s="27"/>
      <c r="O436" s="27"/>
      <c r="P436" s="46"/>
      <c r="Q436" s="27"/>
      <c r="R436" s="27"/>
      <c r="S436" s="27"/>
      <c r="T436" s="27"/>
      <c r="U436" s="27"/>
      <c r="V436" s="46"/>
      <c r="W436" s="27"/>
      <c r="X436" s="27"/>
      <c r="Y436" s="27"/>
      <c r="Z436" s="46"/>
      <c r="AA436" s="27"/>
      <c r="AB436" s="27"/>
      <c r="AC436" s="27"/>
    </row>
    <row r="437" spans="2:29" x14ac:dyDescent="0.75">
      <c r="B437" s="26"/>
      <c r="C437" s="27"/>
      <c r="D437" s="46"/>
      <c r="E437" s="27"/>
      <c r="F437" s="27"/>
      <c r="G437" s="27"/>
      <c r="H437" s="46"/>
      <c r="I437" s="27"/>
      <c r="J437" s="27"/>
      <c r="K437" s="27"/>
      <c r="L437" s="46"/>
      <c r="M437" s="27"/>
      <c r="N437" s="27"/>
      <c r="O437" s="27"/>
      <c r="P437" s="46"/>
      <c r="Q437" s="27"/>
      <c r="R437" s="27"/>
      <c r="S437" s="27"/>
      <c r="T437" s="27"/>
      <c r="U437" s="27"/>
      <c r="V437" s="46"/>
      <c r="W437" s="27"/>
      <c r="X437" s="27"/>
      <c r="Y437" s="27"/>
      <c r="Z437" s="46"/>
      <c r="AA437" s="27"/>
      <c r="AB437" s="27"/>
      <c r="AC437" s="27"/>
    </row>
    <row r="438" spans="2:29" x14ac:dyDescent="0.75">
      <c r="B438" s="26"/>
      <c r="C438" s="27"/>
      <c r="D438" s="46"/>
      <c r="E438" s="27"/>
      <c r="F438" s="27"/>
      <c r="G438" s="27"/>
      <c r="H438" s="46"/>
      <c r="I438" s="27"/>
      <c r="J438" s="27"/>
      <c r="K438" s="27"/>
      <c r="L438" s="46"/>
      <c r="M438" s="27"/>
      <c r="N438" s="27"/>
      <c r="O438" s="27"/>
      <c r="P438" s="46"/>
      <c r="Q438" s="27"/>
      <c r="R438" s="27"/>
      <c r="S438" s="27"/>
      <c r="T438" s="27"/>
      <c r="U438" s="27"/>
      <c r="V438" s="46"/>
      <c r="W438" s="27"/>
      <c r="X438" s="27"/>
      <c r="Y438" s="27"/>
      <c r="Z438" s="46"/>
      <c r="AA438" s="27"/>
      <c r="AB438" s="27"/>
      <c r="AC438" s="27"/>
    </row>
    <row r="439" spans="2:29" x14ac:dyDescent="0.75">
      <c r="B439" s="26"/>
      <c r="C439" s="27"/>
      <c r="D439" s="46"/>
      <c r="E439" s="27"/>
      <c r="F439" s="27"/>
      <c r="G439" s="27"/>
      <c r="H439" s="46"/>
      <c r="I439" s="27"/>
      <c r="J439" s="27"/>
      <c r="K439" s="27"/>
      <c r="L439" s="46"/>
      <c r="M439" s="27"/>
      <c r="N439" s="27"/>
      <c r="O439" s="27"/>
      <c r="P439" s="46"/>
      <c r="Q439" s="27"/>
      <c r="R439" s="27"/>
      <c r="S439" s="27"/>
      <c r="T439" s="27"/>
      <c r="U439" s="27"/>
      <c r="V439" s="46"/>
      <c r="W439" s="27"/>
      <c r="X439" s="27"/>
      <c r="Y439" s="27"/>
      <c r="Z439" s="46"/>
      <c r="AA439" s="27"/>
      <c r="AB439" s="27"/>
      <c r="AC439" s="27"/>
    </row>
    <row r="440" spans="2:29" x14ac:dyDescent="0.75">
      <c r="B440" s="26"/>
      <c r="C440" s="27"/>
      <c r="D440" s="46"/>
      <c r="E440" s="27"/>
      <c r="F440" s="27"/>
      <c r="G440" s="27"/>
      <c r="H440" s="46"/>
      <c r="I440" s="27"/>
      <c r="J440" s="27"/>
      <c r="K440" s="27"/>
      <c r="L440" s="46"/>
      <c r="M440" s="27"/>
      <c r="N440" s="27"/>
      <c r="O440" s="27"/>
      <c r="P440" s="46"/>
      <c r="Q440" s="27"/>
      <c r="R440" s="27"/>
      <c r="S440" s="27"/>
      <c r="T440" s="27"/>
      <c r="U440" s="27"/>
      <c r="V440" s="46"/>
      <c r="W440" s="27"/>
      <c r="X440" s="27"/>
      <c r="Y440" s="27"/>
      <c r="Z440" s="46"/>
      <c r="AA440" s="27"/>
      <c r="AB440" s="27"/>
      <c r="AC440" s="27"/>
    </row>
    <row r="441" spans="2:29" x14ac:dyDescent="0.75">
      <c r="B441" s="26"/>
      <c r="C441" s="27"/>
      <c r="D441" s="46"/>
      <c r="E441" s="27"/>
      <c r="F441" s="27"/>
      <c r="G441" s="27"/>
      <c r="H441" s="46"/>
      <c r="I441" s="27"/>
      <c r="J441" s="27"/>
      <c r="K441" s="27"/>
      <c r="L441" s="46"/>
      <c r="M441" s="27"/>
      <c r="N441" s="27"/>
      <c r="O441" s="27"/>
      <c r="P441" s="46"/>
      <c r="Q441" s="27"/>
      <c r="R441" s="27"/>
      <c r="S441" s="27"/>
      <c r="T441" s="27"/>
      <c r="U441" s="27"/>
      <c r="V441" s="46"/>
      <c r="W441" s="27"/>
      <c r="X441" s="27"/>
      <c r="Y441" s="27"/>
      <c r="Z441" s="46"/>
      <c r="AA441" s="27"/>
      <c r="AB441" s="27"/>
      <c r="AC441" s="27"/>
    </row>
    <row r="442" spans="2:29" x14ac:dyDescent="0.75">
      <c r="B442" s="26"/>
      <c r="C442" s="27"/>
      <c r="D442" s="46"/>
      <c r="E442" s="27"/>
      <c r="F442" s="27"/>
      <c r="G442" s="27"/>
      <c r="H442" s="46"/>
      <c r="I442" s="27"/>
      <c r="J442" s="27"/>
      <c r="K442" s="27"/>
      <c r="L442" s="46"/>
      <c r="M442" s="27"/>
      <c r="N442" s="27"/>
      <c r="O442" s="27"/>
      <c r="P442" s="46"/>
      <c r="Q442" s="27"/>
      <c r="R442" s="27"/>
      <c r="S442" s="27"/>
      <c r="T442" s="27"/>
      <c r="U442" s="27"/>
      <c r="V442" s="46"/>
      <c r="W442" s="27"/>
      <c r="X442" s="27"/>
      <c r="Y442" s="27"/>
      <c r="Z442" s="46"/>
      <c r="AA442" s="27"/>
      <c r="AB442" s="27"/>
      <c r="AC442" s="27"/>
    </row>
    <row r="443" spans="2:29" x14ac:dyDescent="0.75">
      <c r="B443" s="26"/>
      <c r="C443" s="27"/>
      <c r="D443" s="46"/>
      <c r="E443" s="27"/>
      <c r="F443" s="27"/>
      <c r="G443" s="27"/>
      <c r="H443" s="46"/>
      <c r="I443" s="27"/>
      <c r="J443" s="27"/>
      <c r="K443" s="27"/>
      <c r="L443" s="46"/>
      <c r="M443" s="27"/>
      <c r="N443" s="27"/>
      <c r="O443" s="27"/>
      <c r="P443" s="46"/>
      <c r="Q443" s="27"/>
      <c r="R443" s="27"/>
      <c r="S443" s="27"/>
      <c r="T443" s="27"/>
      <c r="U443" s="27"/>
      <c r="V443" s="46"/>
      <c r="W443" s="27"/>
      <c r="X443" s="27"/>
      <c r="Y443" s="27"/>
      <c r="Z443" s="46"/>
      <c r="AA443" s="27"/>
      <c r="AB443" s="27"/>
      <c r="AC443" s="27"/>
    </row>
    <row r="444" spans="2:29" x14ac:dyDescent="0.75">
      <c r="B444" s="26"/>
      <c r="C444" s="27"/>
      <c r="D444" s="46"/>
      <c r="E444" s="27"/>
      <c r="F444" s="27"/>
      <c r="G444" s="27"/>
      <c r="H444" s="46"/>
      <c r="I444" s="27"/>
      <c r="J444" s="27"/>
      <c r="K444" s="27"/>
      <c r="L444" s="46"/>
      <c r="M444" s="27"/>
      <c r="N444" s="27"/>
      <c r="O444" s="27"/>
      <c r="P444" s="46"/>
      <c r="Q444" s="27"/>
      <c r="R444" s="27"/>
      <c r="S444" s="27"/>
      <c r="T444" s="27"/>
      <c r="U444" s="27"/>
      <c r="V444" s="46"/>
      <c r="W444" s="27"/>
      <c r="X444" s="27"/>
      <c r="Y444" s="27"/>
      <c r="Z444" s="46"/>
      <c r="AA444" s="27"/>
      <c r="AB444" s="27"/>
      <c r="AC444" s="27"/>
    </row>
    <row r="445" spans="2:29" x14ac:dyDescent="0.75">
      <c r="B445" s="26"/>
      <c r="C445" s="27"/>
      <c r="D445" s="46"/>
      <c r="E445" s="27"/>
      <c r="F445" s="27"/>
      <c r="G445" s="27"/>
      <c r="H445" s="46"/>
      <c r="I445" s="27"/>
      <c r="J445" s="27"/>
      <c r="K445" s="27"/>
      <c r="L445" s="46"/>
      <c r="M445" s="27"/>
      <c r="N445" s="27"/>
      <c r="O445" s="27"/>
      <c r="P445" s="46"/>
      <c r="Q445" s="27"/>
      <c r="R445" s="27"/>
      <c r="S445" s="27"/>
      <c r="T445" s="27"/>
      <c r="U445" s="27"/>
      <c r="V445" s="46"/>
      <c r="W445" s="27"/>
      <c r="X445" s="27"/>
      <c r="Y445" s="27"/>
      <c r="Z445" s="46"/>
      <c r="AA445" s="27"/>
      <c r="AB445" s="27"/>
      <c r="AC445" s="27"/>
    </row>
    <row r="446" spans="2:29" x14ac:dyDescent="0.75">
      <c r="B446" s="26"/>
      <c r="C446" s="27"/>
      <c r="D446" s="46"/>
      <c r="E446" s="27"/>
      <c r="F446" s="27"/>
      <c r="G446" s="27"/>
      <c r="H446" s="46"/>
      <c r="I446" s="27"/>
      <c r="J446" s="27"/>
      <c r="K446" s="27"/>
      <c r="L446" s="46"/>
      <c r="M446" s="27"/>
      <c r="N446" s="27"/>
      <c r="O446" s="27"/>
      <c r="P446" s="46"/>
      <c r="Q446" s="27"/>
      <c r="R446" s="27"/>
      <c r="S446" s="27"/>
      <c r="T446" s="27"/>
      <c r="U446" s="27"/>
      <c r="V446" s="46"/>
      <c r="W446" s="27"/>
      <c r="X446" s="27"/>
      <c r="Y446" s="27"/>
      <c r="Z446" s="46"/>
      <c r="AA446" s="27"/>
      <c r="AB446" s="27"/>
      <c r="AC446" s="27"/>
    </row>
    <row r="447" spans="2:29" x14ac:dyDescent="0.75">
      <c r="B447" s="26"/>
      <c r="C447" s="27"/>
      <c r="D447" s="46"/>
      <c r="E447" s="27"/>
      <c r="F447" s="27"/>
      <c r="G447" s="27"/>
      <c r="H447" s="46"/>
      <c r="I447" s="27"/>
      <c r="J447" s="27"/>
      <c r="K447" s="27"/>
      <c r="L447" s="46"/>
      <c r="M447" s="27"/>
      <c r="N447" s="27"/>
      <c r="O447" s="27"/>
      <c r="P447" s="46"/>
      <c r="Q447" s="27"/>
      <c r="R447" s="27"/>
      <c r="S447" s="27"/>
      <c r="T447" s="27"/>
      <c r="U447" s="27"/>
      <c r="V447" s="46"/>
      <c r="W447" s="27"/>
      <c r="X447" s="27"/>
      <c r="Y447" s="27"/>
      <c r="Z447" s="46"/>
      <c r="AA447" s="27"/>
      <c r="AB447" s="27"/>
      <c r="AC447" s="27"/>
    </row>
    <row r="448" spans="2:29" x14ac:dyDescent="0.75">
      <c r="B448" s="26"/>
      <c r="C448" s="27"/>
      <c r="D448" s="46"/>
      <c r="E448" s="27"/>
      <c r="F448" s="27"/>
      <c r="G448" s="27"/>
      <c r="H448" s="46"/>
      <c r="I448" s="27"/>
      <c r="J448" s="27"/>
      <c r="K448" s="27"/>
      <c r="L448" s="46"/>
      <c r="M448" s="27"/>
      <c r="N448" s="27"/>
      <c r="O448" s="27"/>
      <c r="P448" s="46"/>
      <c r="Q448" s="27"/>
      <c r="R448" s="27"/>
      <c r="S448" s="27"/>
      <c r="T448" s="27"/>
      <c r="U448" s="27"/>
      <c r="V448" s="46"/>
      <c r="W448" s="27"/>
      <c r="X448" s="27"/>
      <c r="Y448" s="27"/>
      <c r="Z448" s="46"/>
      <c r="AA448" s="27"/>
      <c r="AB448" s="27"/>
      <c r="AC448" s="27"/>
    </row>
    <row r="449" spans="2:29" x14ac:dyDescent="0.75">
      <c r="B449" s="26"/>
      <c r="C449" s="27"/>
      <c r="D449" s="46"/>
      <c r="E449" s="27"/>
      <c r="F449" s="27"/>
      <c r="G449" s="27"/>
      <c r="H449" s="46"/>
      <c r="I449" s="27"/>
      <c r="J449" s="27"/>
      <c r="K449" s="27"/>
      <c r="L449" s="46"/>
      <c r="M449" s="27"/>
      <c r="N449" s="27"/>
      <c r="O449" s="27"/>
      <c r="P449" s="46"/>
      <c r="Q449" s="27"/>
      <c r="R449" s="27"/>
      <c r="S449" s="27"/>
      <c r="T449" s="27"/>
      <c r="U449" s="27"/>
      <c r="V449" s="46"/>
      <c r="W449" s="27"/>
      <c r="X449" s="27"/>
      <c r="Y449" s="27"/>
      <c r="Z449" s="46"/>
      <c r="AA449" s="27"/>
      <c r="AB449" s="27"/>
      <c r="AC449" s="27"/>
    </row>
    <row r="450" spans="2:29" x14ac:dyDescent="0.75">
      <c r="B450" s="26"/>
      <c r="C450" s="27"/>
      <c r="D450" s="46"/>
      <c r="E450" s="27"/>
      <c r="F450" s="27"/>
      <c r="G450" s="27"/>
      <c r="H450" s="46"/>
      <c r="I450" s="27"/>
      <c r="J450" s="27"/>
      <c r="K450" s="27"/>
      <c r="L450" s="46"/>
      <c r="M450" s="27"/>
      <c r="N450" s="27"/>
      <c r="O450" s="27"/>
      <c r="P450" s="46"/>
      <c r="Q450" s="27"/>
      <c r="R450" s="27"/>
      <c r="S450" s="27"/>
      <c r="T450" s="27"/>
      <c r="U450" s="27"/>
      <c r="V450" s="46"/>
      <c r="W450" s="27"/>
      <c r="X450" s="27"/>
      <c r="Y450" s="27"/>
      <c r="Z450" s="46"/>
      <c r="AA450" s="27"/>
      <c r="AB450" s="27"/>
      <c r="AC450" s="27"/>
    </row>
    <row r="451" spans="2:29" x14ac:dyDescent="0.75">
      <c r="B451" s="26"/>
      <c r="C451" s="27"/>
      <c r="D451" s="46"/>
      <c r="E451" s="27"/>
      <c r="F451" s="27"/>
      <c r="G451" s="27"/>
      <c r="H451" s="46"/>
      <c r="I451" s="27"/>
      <c r="J451" s="27"/>
      <c r="K451" s="27"/>
      <c r="L451" s="46"/>
      <c r="M451" s="27"/>
      <c r="N451" s="27"/>
      <c r="O451" s="27"/>
      <c r="P451" s="46"/>
      <c r="Q451" s="27"/>
      <c r="R451" s="27"/>
      <c r="S451" s="27"/>
      <c r="T451" s="27"/>
      <c r="U451" s="27"/>
      <c r="V451" s="46"/>
      <c r="W451" s="27"/>
      <c r="X451" s="27"/>
      <c r="Y451" s="27"/>
      <c r="Z451" s="46"/>
      <c r="AA451" s="27"/>
      <c r="AB451" s="27"/>
      <c r="AC451" s="27"/>
    </row>
    <row r="452" spans="2:29" x14ac:dyDescent="0.75">
      <c r="B452" s="26"/>
      <c r="C452" s="27"/>
      <c r="D452" s="46"/>
      <c r="E452" s="27"/>
      <c r="F452" s="27"/>
      <c r="G452" s="27"/>
      <c r="H452" s="46"/>
      <c r="I452" s="27"/>
      <c r="J452" s="27"/>
      <c r="K452" s="27"/>
      <c r="L452" s="46"/>
      <c r="M452" s="27"/>
      <c r="N452" s="27"/>
      <c r="O452" s="27"/>
      <c r="P452" s="46"/>
      <c r="Q452" s="27"/>
      <c r="R452" s="27"/>
      <c r="S452" s="27"/>
      <c r="T452" s="27"/>
      <c r="U452" s="27"/>
      <c r="V452" s="46"/>
      <c r="W452" s="27"/>
      <c r="X452" s="27"/>
      <c r="Y452" s="27"/>
      <c r="Z452" s="46"/>
      <c r="AA452" s="27"/>
      <c r="AB452" s="27"/>
      <c r="AC452" s="27"/>
    </row>
    <row r="453" spans="2:29" x14ac:dyDescent="0.75">
      <c r="B453" s="26"/>
      <c r="C453" s="27"/>
      <c r="D453" s="46"/>
      <c r="E453" s="27"/>
      <c r="F453" s="27"/>
      <c r="G453" s="27"/>
      <c r="H453" s="46"/>
      <c r="I453" s="27"/>
      <c r="J453" s="27"/>
      <c r="K453" s="27"/>
      <c r="L453" s="46"/>
      <c r="M453" s="27"/>
      <c r="N453" s="27"/>
      <c r="O453" s="27"/>
      <c r="P453" s="46"/>
      <c r="Q453" s="27"/>
      <c r="R453" s="27"/>
      <c r="S453" s="27"/>
      <c r="T453" s="27"/>
      <c r="U453" s="27"/>
      <c r="V453" s="46"/>
      <c r="W453" s="27"/>
      <c r="X453" s="27"/>
      <c r="Y453" s="27"/>
      <c r="Z453" s="46"/>
      <c r="AA453" s="27"/>
      <c r="AB453" s="27"/>
      <c r="AC453" s="27"/>
    </row>
    <row r="454" spans="2:29" x14ac:dyDescent="0.75">
      <c r="B454" s="26"/>
      <c r="C454" s="27"/>
      <c r="D454" s="46"/>
      <c r="E454" s="27"/>
      <c r="F454" s="27"/>
      <c r="G454" s="27"/>
      <c r="H454" s="46"/>
      <c r="I454" s="27"/>
      <c r="J454" s="27"/>
      <c r="K454" s="27"/>
      <c r="L454" s="46"/>
      <c r="M454" s="27"/>
      <c r="N454" s="27"/>
      <c r="O454" s="27"/>
      <c r="P454" s="46"/>
      <c r="Q454" s="27"/>
      <c r="R454" s="27"/>
      <c r="S454" s="27"/>
      <c r="T454" s="27"/>
      <c r="U454" s="27"/>
      <c r="V454" s="46"/>
      <c r="W454" s="27"/>
      <c r="X454" s="27"/>
      <c r="Y454" s="27"/>
      <c r="Z454" s="46"/>
      <c r="AA454" s="27"/>
      <c r="AB454" s="27"/>
      <c r="AC454" s="27"/>
    </row>
    <row r="455" spans="2:29" x14ac:dyDescent="0.75">
      <c r="B455" s="26"/>
      <c r="C455" s="27"/>
      <c r="D455" s="46"/>
      <c r="E455" s="27"/>
      <c r="F455" s="27"/>
      <c r="G455" s="27"/>
      <c r="H455" s="46"/>
      <c r="I455" s="27"/>
      <c r="J455" s="27"/>
      <c r="K455" s="27"/>
      <c r="L455" s="46"/>
      <c r="M455" s="27"/>
      <c r="N455" s="27"/>
      <c r="O455" s="27"/>
      <c r="P455" s="46"/>
      <c r="Q455" s="27"/>
      <c r="R455" s="27"/>
      <c r="S455" s="27"/>
      <c r="T455" s="27"/>
      <c r="U455" s="27"/>
      <c r="V455" s="46"/>
      <c r="W455" s="27"/>
      <c r="X455" s="27"/>
      <c r="Y455" s="27"/>
      <c r="Z455" s="46"/>
      <c r="AA455" s="27"/>
      <c r="AB455" s="27"/>
      <c r="AC455" s="27"/>
    </row>
    <row r="456" spans="2:29" x14ac:dyDescent="0.75">
      <c r="B456" s="26"/>
      <c r="C456" s="27"/>
      <c r="D456" s="46"/>
      <c r="E456" s="27"/>
      <c r="F456" s="27"/>
      <c r="G456" s="27"/>
      <c r="H456" s="46"/>
      <c r="I456" s="27"/>
      <c r="J456" s="27"/>
      <c r="K456" s="27"/>
      <c r="L456" s="46"/>
      <c r="M456" s="27"/>
      <c r="N456" s="27"/>
      <c r="O456" s="27"/>
      <c r="P456" s="46"/>
      <c r="Q456" s="27"/>
      <c r="R456" s="27"/>
      <c r="S456" s="27"/>
      <c r="T456" s="27"/>
      <c r="U456" s="27"/>
      <c r="V456" s="46"/>
      <c r="W456" s="27"/>
      <c r="X456" s="27"/>
      <c r="Y456" s="27"/>
      <c r="Z456" s="46"/>
      <c r="AA456" s="27"/>
      <c r="AB456" s="27"/>
      <c r="AC456" s="27"/>
    </row>
    <row r="457" spans="2:29" x14ac:dyDescent="0.75">
      <c r="B457" s="26"/>
      <c r="C457" s="27"/>
      <c r="D457" s="46"/>
      <c r="E457" s="27"/>
      <c r="F457" s="27"/>
      <c r="G457" s="27"/>
      <c r="H457" s="46"/>
      <c r="I457" s="27"/>
      <c r="J457" s="27"/>
      <c r="K457" s="27"/>
      <c r="L457" s="46"/>
      <c r="M457" s="27"/>
      <c r="N457" s="27"/>
      <c r="O457" s="27"/>
      <c r="P457" s="46"/>
      <c r="Q457" s="27"/>
      <c r="R457" s="27"/>
      <c r="S457" s="27"/>
      <c r="T457" s="27"/>
      <c r="U457" s="27"/>
      <c r="V457" s="46"/>
      <c r="W457" s="27"/>
      <c r="X457" s="27"/>
      <c r="Y457" s="27"/>
      <c r="Z457" s="46"/>
      <c r="AA457" s="27"/>
      <c r="AB457" s="27"/>
      <c r="AC457" s="27"/>
    </row>
    <row r="458" spans="2:29" x14ac:dyDescent="0.75">
      <c r="B458" s="26"/>
      <c r="C458" s="27"/>
      <c r="D458" s="46"/>
      <c r="E458" s="27"/>
      <c r="F458" s="27"/>
      <c r="G458" s="27"/>
      <c r="H458" s="46"/>
      <c r="I458" s="27"/>
      <c r="J458" s="27"/>
      <c r="K458" s="27"/>
      <c r="L458" s="46"/>
      <c r="M458" s="27"/>
      <c r="N458" s="27"/>
      <c r="O458" s="27"/>
      <c r="P458" s="46"/>
      <c r="Q458" s="27"/>
      <c r="R458" s="27"/>
      <c r="S458" s="27"/>
      <c r="T458" s="27"/>
      <c r="U458" s="27"/>
      <c r="V458" s="46"/>
      <c r="W458" s="27"/>
      <c r="X458" s="27"/>
      <c r="Y458" s="27"/>
      <c r="Z458" s="46"/>
      <c r="AA458" s="27"/>
      <c r="AB458" s="27"/>
      <c r="AC458" s="27"/>
    </row>
    <row r="459" spans="2:29" x14ac:dyDescent="0.75">
      <c r="B459" s="26"/>
      <c r="C459" s="27"/>
      <c r="D459" s="46"/>
      <c r="E459" s="27"/>
      <c r="F459" s="27"/>
      <c r="G459" s="27"/>
      <c r="H459" s="46"/>
      <c r="I459" s="27"/>
      <c r="J459" s="27"/>
      <c r="K459" s="27"/>
      <c r="L459" s="46"/>
      <c r="M459" s="27"/>
      <c r="N459" s="27"/>
      <c r="O459" s="27"/>
      <c r="P459" s="46"/>
      <c r="Q459" s="27"/>
      <c r="R459" s="27"/>
      <c r="S459" s="27"/>
      <c r="T459" s="27"/>
      <c r="U459" s="27"/>
      <c r="V459" s="46"/>
      <c r="W459" s="27"/>
      <c r="X459" s="27"/>
      <c r="Y459" s="27"/>
      <c r="Z459" s="46"/>
      <c r="AA459" s="27"/>
      <c r="AB459" s="27"/>
      <c r="AC459" s="27"/>
    </row>
    <row r="460" spans="2:29" x14ac:dyDescent="0.75">
      <c r="B460" s="26"/>
      <c r="C460" s="27"/>
      <c r="D460" s="46"/>
      <c r="E460" s="27"/>
      <c r="F460" s="27"/>
      <c r="G460" s="27"/>
      <c r="H460" s="46"/>
      <c r="I460" s="27"/>
      <c r="J460" s="27"/>
      <c r="K460" s="27"/>
      <c r="L460" s="46"/>
      <c r="M460" s="27"/>
      <c r="N460" s="27"/>
      <c r="O460" s="27"/>
      <c r="P460" s="46"/>
      <c r="Q460" s="27"/>
      <c r="R460" s="27"/>
      <c r="S460" s="27"/>
      <c r="T460" s="27"/>
      <c r="U460" s="27"/>
      <c r="V460" s="46"/>
      <c r="W460" s="27"/>
      <c r="X460" s="27"/>
      <c r="Y460" s="27"/>
      <c r="Z460" s="46"/>
      <c r="AA460" s="27"/>
      <c r="AB460" s="27"/>
      <c r="AC460" s="27"/>
    </row>
    <row r="461" spans="2:29" x14ac:dyDescent="0.75">
      <c r="B461" s="26"/>
      <c r="C461" s="27"/>
      <c r="D461" s="46"/>
      <c r="E461" s="27"/>
      <c r="F461" s="27"/>
      <c r="G461" s="27"/>
      <c r="H461" s="46"/>
      <c r="I461" s="27"/>
      <c r="J461" s="27"/>
      <c r="K461" s="27"/>
      <c r="L461" s="46"/>
      <c r="M461" s="27"/>
      <c r="N461" s="27"/>
      <c r="O461" s="27"/>
      <c r="P461" s="46"/>
      <c r="Q461" s="27"/>
      <c r="R461" s="27"/>
      <c r="S461" s="27"/>
      <c r="T461" s="27"/>
      <c r="U461" s="27"/>
      <c r="V461" s="46"/>
      <c r="W461" s="27"/>
      <c r="X461" s="27"/>
      <c r="Y461" s="27"/>
      <c r="Z461" s="46"/>
      <c r="AA461" s="27"/>
      <c r="AB461" s="27"/>
      <c r="AC461" s="27"/>
    </row>
    <row r="462" spans="2:29" x14ac:dyDescent="0.75">
      <c r="B462" s="26"/>
      <c r="C462" s="27"/>
      <c r="D462" s="46"/>
      <c r="E462" s="27"/>
      <c r="F462" s="27"/>
      <c r="G462" s="27"/>
      <c r="H462" s="46"/>
      <c r="I462" s="27"/>
      <c r="J462" s="27"/>
      <c r="K462" s="27"/>
      <c r="L462" s="46"/>
      <c r="M462" s="27"/>
      <c r="N462" s="27"/>
      <c r="O462" s="27"/>
      <c r="P462" s="46"/>
      <c r="Q462" s="27"/>
      <c r="R462" s="27"/>
      <c r="S462" s="27"/>
      <c r="T462" s="27"/>
      <c r="U462" s="27"/>
      <c r="V462" s="46"/>
      <c r="W462" s="27"/>
      <c r="X462" s="27"/>
      <c r="Y462" s="27"/>
      <c r="Z462" s="46"/>
      <c r="AA462" s="27"/>
      <c r="AB462" s="27"/>
      <c r="AC462" s="27"/>
    </row>
    <row r="463" spans="2:29" x14ac:dyDescent="0.75">
      <c r="B463" s="26"/>
      <c r="C463" s="27"/>
      <c r="D463" s="46"/>
      <c r="E463" s="27"/>
      <c r="F463" s="27"/>
      <c r="G463" s="27"/>
      <c r="H463" s="46"/>
      <c r="I463" s="27"/>
      <c r="J463" s="27"/>
      <c r="K463" s="27"/>
      <c r="L463" s="46"/>
      <c r="M463" s="27"/>
      <c r="N463" s="27"/>
      <c r="O463" s="27"/>
      <c r="P463" s="46"/>
      <c r="Q463" s="27"/>
      <c r="R463" s="27"/>
      <c r="S463" s="27"/>
      <c r="T463" s="27"/>
      <c r="U463" s="27"/>
      <c r="V463" s="46"/>
      <c r="W463" s="27"/>
      <c r="X463" s="27"/>
      <c r="Y463" s="27"/>
      <c r="Z463" s="46"/>
      <c r="AA463" s="27"/>
      <c r="AB463" s="27"/>
      <c r="AC463" s="27"/>
    </row>
    <row r="464" spans="2:29" x14ac:dyDescent="0.75">
      <c r="B464" s="26"/>
      <c r="C464" s="27"/>
      <c r="D464" s="46"/>
      <c r="E464" s="27"/>
      <c r="F464" s="27"/>
      <c r="G464" s="27"/>
      <c r="H464" s="46"/>
      <c r="I464" s="27"/>
      <c r="J464" s="27"/>
      <c r="K464" s="27"/>
      <c r="L464" s="46"/>
      <c r="M464" s="27"/>
      <c r="N464" s="27"/>
      <c r="O464" s="27"/>
      <c r="P464" s="46"/>
      <c r="Q464" s="27"/>
      <c r="R464" s="27"/>
      <c r="S464" s="27"/>
      <c r="T464" s="27"/>
      <c r="U464" s="27"/>
      <c r="V464" s="46"/>
      <c r="W464" s="27"/>
      <c r="X464" s="27"/>
      <c r="Y464" s="27"/>
      <c r="Z464" s="46"/>
      <c r="AA464" s="27"/>
      <c r="AB464" s="27"/>
      <c r="AC464" s="27"/>
    </row>
    <row r="465" spans="2:29" x14ac:dyDescent="0.75">
      <c r="B465" s="26"/>
      <c r="C465" s="27"/>
      <c r="D465" s="46"/>
      <c r="E465" s="27"/>
      <c r="F465" s="27"/>
      <c r="G465" s="27"/>
      <c r="H465" s="46"/>
      <c r="I465" s="27"/>
      <c r="J465" s="27"/>
      <c r="K465" s="27"/>
      <c r="L465" s="46"/>
      <c r="M465" s="27"/>
      <c r="N465" s="27"/>
      <c r="O465" s="27"/>
      <c r="P465" s="46"/>
      <c r="Q465" s="27"/>
      <c r="R465" s="27"/>
      <c r="S465" s="27"/>
      <c r="T465" s="27"/>
      <c r="U465" s="27"/>
      <c r="V465" s="46"/>
      <c r="W465" s="27"/>
      <c r="X465" s="27"/>
      <c r="Y465" s="27"/>
      <c r="Z465" s="46"/>
      <c r="AA465" s="27"/>
      <c r="AB465" s="27"/>
      <c r="AC465" s="27"/>
    </row>
    <row r="466" spans="2:29" x14ac:dyDescent="0.75">
      <c r="B466" s="26"/>
      <c r="C466" s="27"/>
      <c r="D466" s="46"/>
      <c r="E466" s="27"/>
      <c r="F466" s="27"/>
      <c r="G466" s="27"/>
      <c r="H466" s="46"/>
      <c r="I466" s="27"/>
      <c r="J466" s="27"/>
      <c r="K466" s="27"/>
      <c r="L466" s="46"/>
      <c r="M466" s="27"/>
      <c r="N466" s="27"/>
      <c r="O466" s="27"/>
      <c r="P466" s="46"/>
      <c r="Q466" s="27"/>
      <c r="R466" s="27"/>
      <c r="S466" s="27"/>
      <c r="T466" s="27"/>
      <c r="U466" s="27"/>
      <c r="V466" s="46"/>
      <c r="W466" s="27"/>
      <c r="X466" s="27"/>
      <c r="Y466" s="27"/>
      <c r="Z466" s="46"/>
      <c r="AA466" s="27"/>
      <c r="AB466" s="27"/>
      <c r="AC466" s="27"/>
    </row>
    <row r="467" spans="2:29" x14ac:dyDescent="0.75">
      <c r="B467" s="26"/>
      <c r="C467" s="27"/>
      <c r="D467" s="46"/>
      <c r="E467" s="27"/>
      <c r="F467" s="27"/>
      <c r="G467" s="27"/>
      <c r="H467" s="46"/>
      <c r="I467" s="27"/>
      <c r="J467" s="27"/>
      <c r="K467" s="27"/>
      <c r="L467" s="46"/>
      <c r="M467" s="27"/>
      <c r="N467" s="27"/>
      <c r="O467" s="27"/>
      <c r="P467" s="46"/>
      <c r="Q467" s="27"/>
      <c r="R467" s="27"/>
      <c r="S467" s="27"/>
      <c r="T467" s="27"/>
      <c r="U467" s="27"/>
      <c r="V467" s="46"/>
      <c r="W467" s="27"/>
      <c r="X467" s="27"/>
      <c r="Y467" s="27"/>
      <c r="Z467" s="46"/>
      <c r="AA467" s="27"/>
      <c r="AB467" s="27"/>
      <c r="AC467" s="27"/>
    </row>
    <row r="468" spans="2:29" x14ac:dyDescent="0.75">
      <c r="B468" s="26"/>
      <c r="C468" s="27"/>
      <c r="D468" s="46"/>
      <c r="E468" s="27"/>
      <c r="F468" s="27"/>
      <c r="G468" s="27"/>
      <c r="H468" s="46"/>
      <c r="I468" s="27"/>
      <c r="J468" s="27"/>
      <c r="K468" s="27"/>
      <c r="L468" s="46"/>
      <c r="M468" s="27"/>
      <c r="N468" s="27"/>
      <c r="O468" s="27"/>
      <c r="P468" s="46"/>
      <c r="Q468" s="27"/>
      <c r="R468" s="27"/>
      <c r="S468" s="27"/>
      <c r="T468" s="27"/>
      <c r="U468" s="27"/>
      <c r="V468" s="46"/>
      <c r="W468" s="27"/>
      <c r="X468" s="27"/>
      <c r="Y468" s="27"/>
      <c r="Z468" s="46"/>
      <c r="AA468" s="27"/>
      <c r="AB468" s="27"/>
      <c r="AC468" s="27"/>
    </row>
    <row r="469" spans="2:29" x14ac:dyDescent="0.75">
      <c r="B469" s="26"/>
      <c r="C469" s="27"/>
      <c r="D469" s="46"/>
      <c r="E469" s="27"/>
      <c r="F469" s="27"/>
      <c r="G469" s="27"/>
      <c r="H469" s="46"/>
      <c r="I469" s="27"/>
      <c r="J469" s="27"/>
      <c r="K469" s="27"/>
      <c r="L469" s="46"/>
      <c r="M469" s="27"/>
      <c r="N469" s="27"/>
      <c r="O469" s="27"/>
      <c r="P469" s="46"/>
      <c r="Q469" s="27"/>
      <c r="R469" s="27"/>
      <c r="S469" s="27"/>
      <c r="T469" s="27"/>
      <c r="U469" s="27"/>
      <c r="V469" s="46"/>
      <c r="W469" s="27"/>
      <c r="X469" s="27"/>
      <c r="Y469" s="27"/>
      <c r="Z469" s="46"/>
      <c r="AA469" s="27"/>
      <c r="AB469" s="27"/>
      <c r="AC469" s="27"/>
    </row>
    <row r="470" spans="2:29" x14ac:dyDescent="0.75">
      <c r="B470" s="26"/>
      <c r="C470" s="27"/>
      <c r="D470" s="46"/>
      <c r="E470" s="27"/>
      <c r="F470" s="27"/>
      <c r="G470" s="27"/>
      <c r="H470" s="46"/>
      <c r="I470" s="27"/>
      <c r="J470" s="27"/>
      <c r="K470" s="27"/>
      <c r="L470" s="46"/>
      <c r="M470" s="27"/>
      <c r="N470" s="27"/>
      <c r="O470" s="27"/>
      <c r="P470" s="46"/>
      <c r="Q470" s="27"/>
      <c r="R470" s="27"/>
      <c r="S470" s="27"/>
      <c r="T470" s="27"/>
      <c r="U470" s="27"/>
      <c r="V470" s="46"/>
      <c r="W470" s="27"/>
      <c r="X470" s="27"/>
      <c r="Y470" s="27"/>
      <c r="Z470" s="46"/>
      <c r="AA470" s="27"/>
      <c r="AB470" s="27"/>
      <c r="AC470" s="27"/>
    </row>
    <row r="471" spans="2:29" x14ac:dyDescent="0.75">
      <c r="B471" s="26"/>
      <c r="C471" s="27"/>
      <c r="D471" s="46"/>
      <c r="E471" s="27"/>
      <c r="F471" s="27"/>
      <c r="G471" s="27"/>
      <c r="H471" s="46"/>
      <c r="I471" s="27"/>
      <c r="J471" s="27"/>
      <c r="K471" s="27"/>
      <c r="L471" s="46"/>
      <c r="M471" s="27"/>
      <c r="N471" s="27"/>
      <c r="O471" s="27"/>
      <c r="P471" s="46"/>
      <c r="Q471" s="27"/>
      <c r="R471" s="27"/>
      <c r="S471" s="27"/>
      <c r="T471" s="27"/>
      <c r="U471" s="27"/>
      <c r="V471" s="46"/>
      <c r="W471" s="27"/>
      <c r="X471" s="27"/>
      <c r="Y471" s="27"/>
      <c r="Z471" s="46"/>
      <c r="AA471" s="27"/>
      <c r="AB471" s="27"/>
      <c r="AC471" s="27"/>
    </row>
    <row r="472" spans="2:29" x14ac:dyDescent="0.75">
      <c r="B472" s="26"/>
      <c r="C472" s="27"/>
      <c r="D472" s="46"/>
      <c r="E472" s="27"/>
      <c r="F472" s="27"/>
      <c r="G472" s="27"/>
      <c r="H472" s="46"/>
      <c r="I472" s="27"/>
      <c r="J472" s="27"/>
      <c r="K472" s="27"/>
      <c r="L472" s="46"/>
      <c r="M472" s="27"/>
      <c r="N472" s="27"/>
      <c r="O472" s="27"/>
      <c r="P472" s="46"/>
      <c r="Q472" s="27"/>
      <c r="R472" s="27"/>
      <c r="S472" s="27"/>
      <c r="T472" s="27"/>
      <c r="U472" s="27"/>
      <c r="V472" s="46"/>
      <c r="W472" s="27"/>
      <c r="X472" s="27"/>
      <c r="Y472" s="27"/>
      <c r="Z472" s="46"/>
      <c r="AA472" s="27"/>
      <c r="AB472" s="27"/>
      <c r="AC472" s="27"/>
    </row>
    <row r="473" spans="2:29" x14ac:dyDescent="0.75">
      <c r="B473" s="26"/>
      <c r="C473" s="27"/>
      <c r="D473" s="46"/>
      <c r="E473" s="27"/>
      <c r="F473" s="27"/>
      <c r="G473" s="27"/>
      <c r="H473" s="46"/>
      <c r="I473" s="27"/>
      <c r="J473" s="27"/>
      <c r="K473" s="27"/>
      <c r="L473" s="46"/>
      <c r="M473" s="27"/>
      <c r="N473" s="27"/>
      <c r="O473" s="27"/>
      <c r="P473" s="46"/>
      <c r="Q473" s="27"/>
      <c r="R473" s="27"/>
      <c r="S473" s="27"/>
      <c r="T473" s="27"/>
      <c r="U473" s="27"/>
      <c r="V473" s="46"/>
      <c r="W473" s="27"/>
      <c r="X473" s="27"/>
      <c r="Y473" s="27"/>
      <c r="Z473" s="46"/>
      <c r="AA473" s="27"/>
      <c r="AB473" s="27"/>
      <c r="AC473" s="27"/>
    </row>
    <row r="474" spans="2:29" x14ac:dyDescent="0.75">
      <c r="B474" s="26"/>
      <c r="C474" s="27"/>
      <c r="D474" s="46"/>
      <c r="E474" s="27"/>
      <c r="F474" s="27"/>
      <c r="G474" s="27"/>
      <c r="H474" s="46"/>
      <c r="I474" s="27"/>
      <c r="J474" s="27"/>
      <c r="K474" s="27"/>
      <c r="L474" s="46"/>
      <c r="M474" s="27"/>
      <c r="N474" s="27"/>
      <c r="O474" s="27"/>
      <c r="P474" s="46"/>
      <c r="Q474" s="27"/>
      <c r="R474" s="27"/>
      <c r="S474" s="27"/>
      <c r="T474" s="27"/>
      <c r="U474" s="27"/>
      <c r="V474" s="46"/>
      <c r="W474" s="27"/>
      <c r="X474" s="27"/>
      <c r="Y474" s="27"/>
      <c r="Z474" s="46"/>
      <c r="AA474" s="27"/>
      <c r="AB474" s="27"/>
      <c r="AC474" s="27"/>
    </row>
    <row r="475" spans="2:29" x14ac:dyDescent="0.75">
      <c r="B475" s="26"/>
      <c r="C475" s="27"/>
      <c r="D475" s="46"/>
      <c r="E475" s="27"/>
      <c r="F475" s="27"/>
      <c r="G475" s="27"/>
      <c r="H475" s="46"/>
      <c r="I475" s="27"/>
      <c r="J475" s="27"/>
      <c r="K475" s="27"/>
      <c r="L475" s="46"/>
      <c r="M475" s="27"/>
      <c r="N475" s="27"/>
      <c r="O475" s="27"/>
      <c r="P475" s="46"/>
      <c r="Q475" s="27"/>
      <c r="R475" s="27"/>
      <c r="S475" s="27"/>
      <c r="T475" s="27"/>
      <c r="U475" s="27"/>
      <c r="V475" s="46"/>
      <c r="W475" s="27"/>
      <c r="X475" s="27"/>
      <c r="Y475" s="27"/>
      <c r="Z475" s="46"/>
      <c r="AA475" s="27"/>
      <c r="AB475" s="27"/>
      <c r="AC475" s="27"/>
    </row>
    <row r="476" spans="2:29" x14ac:dyDescent="0.75">
      <c r="B476" s="26"/>
      <c r="C476" s="27"/>
      <c r="D476" s="46"/>
      <c r="E476" s="27"/>
      <c r="F476" s="27"/>
      <c r="G476" s="27"/>
      <c r="H476" s="46"/>
      <c r="I476" s="27"/>
      <c r="J476" s="27"/>
      <c r="K476" s="27"/>
      <c r="L476" s="46"/>
      <c r="M476" s="27"/>
      <c r="N476" s="27"/>
      <c r="O476" s="27"/>
      <c r="P476" s="46"/>
      <c r="Q476" s="27"/>
      <c r="R476" s="27"/>
      <c r="S476" s="27"/>
      <c r="T476" s="27"/>
      <c r="U476" s="27"/>
      <c r="V476" s="46"/>
      <c r="W476" s="27"/>
      <c r="X476" s="27"/>
      <c r="Y476" s="27"/>
      <c r="Z476" s="46"/>
      <c r="AA476" s="27"/>
      <c r="AB476" s="27"/>
      <c r="AC476" s="27"/>
    </row>
    <row r="477" spans="2:29" x14ac:dyDescent="0.75">
      <c r="B477" s="26"/>
      <c r="C477" s="27"/>
      <c r="D477" s="46"/>
      <c r="E477" s="27"/>
      <c r="F477" s="27"/>
      <c r="G477" s="27"/>
      <c r="H477" s="46"/>
      <c r="I477" s="27"/>
      <c r="J477" s="27"/>
      <c r="K477" s="27"/>
      <c r="L477" s="46"/>
      <c r="M477" s="27"/>
      <c r="N477" s="27"/>
      <c r="O477" s="27"/>
      <c r="P477" s="46"/>
      <c r="Q477" s="27"/>
      <c r="R477" s="27"/>
      <c r="S477" s="27"/>
      <c r="T477" s="27"/>
      <c r="U477" s="27"/>
      <c r="V477" s="46"/>
      <c r="W477" s="27"/>
      <c r="X477" s="27"/>
      <c r="Y477" s="27"/>
      <c r="Z477" s="46"/>
      <c r="AA477" s="27"/>
      <c r="AB477" s="27"/>
      <c r="AC477" s="27"/>
    </row>
    <row r="478" spans="2:29" x14ac:dyDescent="0.75">
      <c r="B478" s="26"/>
      <c r="C478" s="27"/>
      <c r="D478" s="46"/>
      <c r="E478" s="27"/>
      <c r="F478" s="27"/>
      <c r="G478" s="27"/>
      <c r="H478" s="46"/>
      <c r="I478" s="27"/>
      <c r="J478" s="27"/>
      <c r="K478" s="27"/>
      <c r="L478" s="46"/>
      <c r="M478" s="27"/>
      <c r="N478" s="27"/>
      <c r="O478" s="27"/>
      <c r="P478" s="46"/>
      <c r="Q478" s="27"/>
      <c r="R478" s="27"/>
      <c r="S478" s="27"/>
      <c r="T478" s="27"/>
      <c r="U478" s="27"/>
      <c r="V478" s="46"/>
      <c r="W478" s="27"/>
      <c r="X478" s="27"/>
      <c r="Y478" s="27"/>
      <c r="Z478" s="46"/>
      <c r="AA478" s="27"/>
      <c r="AB478" s="27"/>
      <c r="AC478" s="27"/>
    </row>
    <row r="479" spans="2:29" x14ac:dyDescent="0.75">
      <c r="B479" s="26"/>
      <c r="C479" s="27"/>
      <c r="D479" s="46"/>
      <c r="E479" s="27"/>
      <c r="F479" s="27"/>
      <c r="G479" s="27"/>
      <c r="H479" s="46"/>
      <c r="I479" s="27"/>
      <c r="J479" s="27"/>
      <c r="K479" s="27"/>
      <c r="L479" s="46"/>
      <c r="M479" s="27"/>
      <c r="N479" s="27"/>
      <c r="O479" s="27"/>
      <c r="P479" s="46"/>
      <c r="Q479" s="27"/>
      <c r="R479" s="27"/>
      <c r="S479" s="27"/>
      <c r="T479" s="27"/>
      <c r="U479" s="27"/>
      <c r="V479" s="46"/>
      <c r="W479" s="27"/>
      <c r="X479" s="27"/>
      <c r="Y479" s="27"/>
      <c r="Z479" s="46"/>
      <c r="AA479" s="27"/>
      <c r="AB479" s="27"/>
      <c r="AC479" s="27"/>
    </row>
    <row r="480" spans="2:29" x14ac:dyDescent="0.75">
      <c r="B480" s="26"/>
      <c r="C480" s="27"/>
      <c r="D480" s="46"/>
      <c r="E480" s="27"/>
      <c r="F480" s="27"/>
      <c r="G480" s="27"/>
      <c r="H480" s="46"/>
      <c r="I480" s="27"/>
      <c r="J480" s="27"/>
      <c r="K480" s="27"/>
      <c r="L480" s="46"/>
      <c r="M480" s="27"/>
      <c r="N480" s="27"/>
      <c r="O480" s="27"/>
      <c r="P480" s="46"/>
      <c r="Q480" s="27"/>
      <c r="R480" s="27"/>
      <c r="S480" s="27"/>
      <c r="T480" s="27"/>
      <c r="U480" s="27"/>
      <c r="V480" s="46"/>
      <c r="W480" s="27"/>
      <c r="X480" s="27"/>
      <c r="Y480" s="27"/>
      <c r="Z480" s="46"/>
      <c r="AA480" s="27"/>
      <c r="AB480" s="27"/>
      <c r="AC480" s="27"/>
    </row>
    <row r="481" spans="2:29" x14ac:dyDescent="0.75">
      <c r="B481" s="26"/>
      <c r="C481" s="27"/>
      <c r="D481" s="46"/>
      <c r="E481" s="27"/>
      <c r="F481" s="27"/>
      <c r="G481" s="27"/>
      <c r="H481" s="46"/>
      <c r="I481" s="27"/>
      <c r="J481" s="27"/>
      <c r="K481" s="27"/>
      <c r="L481" s="46"/>
      <c r="M481" s="27"/>
      <c r="N481" s="27"/>
      <c r="O481" s="27"/>
      <c r="P481" s="46"/>
      <c r="Q481" s="27"/>
      <c r="R481" s="27"/>
      <c r="S481" s="27"/>
      <c r="T481" s="27"/>
      <c r="U481" s="27"/>
      <c r="V481" s="46"/>
      <c r="W481" s="27"/>
      <c r="X481" s="27"/>
      <c r="Y481" s="27"/>
      <c r="Z481" s="46"/>
      <c r="AA481" s="27"/>
      <c r="AB481" s="27"/>
      <c r="AC481" s="27"/>
    </row>
    <row r="482" spans="2:29" x14ac:dyDescent="0.75">
      <c r="B482" s="26"/>
      <c r="C482" s="27"/>
      <c r="D482" s="46"/>
      <c r="E482" s="27"/>
      <c r="F482" s="27"/>
      <c r="G482" s="27"/>
      <c r="H482" s="46"/>
      <c r="I482" s="27"/>
      <c r="J482" s="27"/>
      <c r="K482" s="27"/>
      <c r="L482" s="46"/>
      <c r="M482" s="27"/>
      <c r="N482" s="27"/>
      <c r="O482" s="27"/>
      <c r="P482" s="46"/>
      <c r="Q482" s="27"/>
      <c r="R482" s="27"/>
      <c r="S482" s="27"/>
      <c r="T482" s="27"/>
      <c r="U482" s="27"/>
      <c r="V482" s="46"/>
      <c r="W482" s="27"/>
      <c r="X482" s="27"/>
      <c r="Y482" s="27"/>
      <c r="Z482" s="46"/>
      <c r="AA482" s="27"/>
      <c r="AB482" s="27"/>
      <c r="AC482" s="27"/>
    </row>
    <row r="483" spans="2:29" x14ac:dyDescent="0.75">
      <c r="B483" s="26"/>
      <c r="C483" s="27"/>
      <c r="D483" s="46"/>
      <c r="E483" s="27"/>
      <c r="F483" s="27"/>
      <c r="G483" s="27"/>
      <c r="H483" s="46"/>
      <c r="I483" s="27"/>
      <c r="J483" s="27"/>
      <c r="K483" s="27"/>
      <c r="L483" s="46"/>
      <c r="M483" s="27"/>
      <c r="N483" s="27"/>
      <c r="O483" s="27"/>
      <c r="P483" s="46"/>
      <c r="Q483" s="27"/>
      <c r="R483" s="27"/>
      <c r="S483" s="27"/>
      <c r="T483" s="27"/>
      <c r="U483" s="27"/>
      <c r="V483" s="46"/>
      <c r="W483" s="27"/>
      <c r="X483" s="27"/>
      <c r="Y483" s="27"/>
      <c r="Z483" s="46"/>
      <c r="AA483" s="27"/>
      <c r="AB483" s="27"/>
      <c r="AC483" s="27"/>
    </row>
    <row r="484" spans="2:29" x14ac:dyDescent="0.75">
      <c r="B484" s="26"/>
      <c r="C484" s="27"/>
      <c r="D484" s="46"/>
      <c r="E484" s="27"/>
      <c r="F484" s="27"/>
      <c r="G484" s="27"/>
      <c r="H484" s="46"/>
      <c r="I484" s="27"/>
      <c r="J484" s="27"/>
      <c r="K484" s="27"/>
      <c r="L484" s="46"/>
      <c r="M484" s="27"/>
      <c r="N484" s="27"/>
      <c r="O484" s="27"/>
      <c r="P484" s="46"/>
      <c r="Q484" s="27"/>
      <c r="R484" s="27"/>
      <c r="S484" s="27"/>
      <c r="T484" s="27"/>
      <c r="U484" s="27"/>
      <c r="V484" s="46"/>
      <c r="W484" s="27"/>
      <c r="X484" s="27"/>
      <c r="Y484" s="27"/>
      <c r="Z484" s="46"/>
      <c r="AA484" s="27"/>
      <c r="AB484" s="27"/>
      <c r="AC484" s="27"/>
    </row>
    <row r="485" spans="2:29" x14ac:dyDescent="0.75">
      <c r="B485" s="26"/>
      <c r="C485" s="27"/>
      <c r="D485" s="46"/>
      <c r="E485" s="27"/>
      <c r="F485" s="27"/>
      <c r="G485" s="27"/>
      <c r="H485" s="46"/>
      <c r="I485" s="27"/>
      <c r="J485" s="27"/>
      <c r="K485" s="27"/>
      <c r="L485" s="46"/>
      <c r="M485" s="27"/>
      <c r="N485" s="27"/>
      <c r="O485" s="27"/>
      <c r="P485" s="46"/>
      <c r="Q485" s="27"/>
      <c r="R485" s="27"/>
      <c r="S485" s="27"/>
      <c r="T485" s="27"/>
      <c r="U485" s="27"/>
      <c r="V485" s="46"/>
      <c r="W485" s="27"/>
      <c r="X485" s="27"/>
      <c r="Y485" s="27"/>
      <c r="Z485" s="46"/>
      <c r="AA485" s="27"/>
      <c r="AB485" s="27"/>
      <c r="AC485" s="27"/>
    </row>
    <row r="486" spans="2:29" x14ac:dyDescent="0.75">
      <c r="B486" s="26"/>
      <c r="C486" s="27"/>
      <c r="D486" s="46"/>
      <c r="E486" s="27"/>
      <c r="F486" s="27"/>
      <c r="G486" s="27"/>
      <c r="H486" s="46"/>
      <c r="I486" s="27"/>
      <c r="J486" s="27"/>
      <c r="K486" s="27"/>
      <c r="L486" s="46"/>
      <c r="M486" s="27"/>
      <c r="N486" s="27"/>
      <c r="O486" s="27"/>
      <c r="P486" s="46"/>
      <c r="Q486" s="27"/>
      <c r="R486" s="27"/>
      <c r="S486" s="27"/>
      <c r="T486" s="27"/>
      <c r="U486" s="27"/>
      <c r="V486" s="46"/>
      <c r="W486" s="27"/>
      <c r="X486" s="27"/>
      <c r="Y486" s="27"/>
      <c r="Z486" s="46"/>
      <c r="AA486" s="27"/>
      <c r="AB486" s="27"/>
      <c r="AC486" s="27"/>
    </row>
    <row r="487" spans="2:29" x14ac:dyDescent="0.75">
      <c r="B487" s="26"/>
      <c r="C487" s="27"/>
      <c r="D487" s="46"/>
      <c r="E487" s="27"/>
      <c r="F487" s="27"/>
      <c r="G487" s="27"/>
      <c r="H487" s="46"/>
      <c r="I487" s="27"/>
      <c r="J487" s="27"/>
      <c r="K487" s="27"/>
      <c r="L487" s="46"/>
      <c r="M487" s="27"/>
      <c r="N487" s="27"/>
      <c r="O487" s="27"/>
      <c r="P487" s="46"/>
      <c r="Q487" s="27"/>
      <c r="R487" s="27"/>
      <c r="S487" s="27"/>
      <c r="T487" s="27"/>
      <c r="U487" s="27"/>
      <c r="V487" s="46"/>
      <c r="W487" s="27"/>
      <c r="X487" s="27"/>
      <c r="Y487" s="27"/>
      <c r="Z487" s="46"/>
      <c r="AA487" s="27"/>
      <c r="AB487" s="27"/>
      <c r="AC487" s="27"/>
    </row>
    <row r="488" spans="2:29" x14ac:dyDescent="0.75">
      <c r="B488" s="26"/>
      <c r="C488" s="27"/>
      <c r="D488" s="46"/>
      <c r="E488" s="27"/>
      <c r="F488" s="27"/>
      <c r="G488" s="27"/>
      <c r="H488" s="46"/>
      <c r="I488" s="27"/>
      <c r="J488" s="27"/>
      <c r="K488" s="27"/>
      <c r="L488" s="46"/>
      <c r="M488" s="27"/>
      <c r="N488" s="27"/>
      <c r="O488" s="27"/>
      <c r="P488" s="46"/>
      <c r="Q488" s="27"/>
      <c r="R488" s="27"/>
      <c r="S488" s="27"/>
      <c r="T488" s="27"/>
      <c r="U488" s="27"/>
      <c r="V488" s="46"/>
      <c r="W488" s="27"/>
      <c r="X488" s="27"/>
      <c r="Y488" s="27"/>
      <c r="Z488" s="46"/>
      <c r="AA488" s="27"/>
      <c r="AB488" s="27"/>
      <c r="AC488" s="27"/>
    </row>
    <row r="489" spans="2:29" x14ac:dyDescent="0.75">
      <c r="B489" s="26"/>
      <c r="C489" s="27"/>
      <c r="D489" s="46"/>
      <c r="E489" s="27"/>
      <c r="F489" s="27"/>
      <c r="G489" s="27"/>
      <c r="H489" s="46"/>
      <c r="I489" s="27"/>
      <c r="J489" s="27"/>
      <c r="K489" s="27"/>
      <c r="L489" s="46"/>
      <c r="M489" s="27"/>
      <c r="N489" s="27"/>
      <c r="O489" s="27"/>
      <c r="P489" s="46"/>
      <c r="Q489" s="27"/>
      <c r="R489" s="27"/>
      <c r="S489" s="27"/>
      <c r="T489" s="27"/>
      <c r="U489" s="27"/>
      <c r="V489" s="46"/>
      <c r="W489" s="27"/>
      <c r="X489" s="27"/>
      <c r="Y489" s="27"/>
      <c r="Z489" s="46"/>
      <c r="AA489" s="27"/>
      <c r="AB489" s="27"/>
      <c r="AC489" s="27"/>
    </row>
    <row r="490" spans="2:29" x14ac:dyDescent="0.75">
      <c r="B490" s="26"/>
      <c r="C490" s="27"/>
      <c r="D490" s="46"/>
      <c r="E490" s="27"/>
      <c r="F490" s="27"/>
      <c r="G490" s="27"/>
      <c r="H490" s="46"/>
      <c r="I490" s="27"/>
      <c r="J490" s="27"/>
      <c r="K490" s="27"/>
      <c r="L490" s="46"/>
      <c r="M490" s="27"/>
      <c r="N490" s="27"/>
      <c r="O490" s="27"/>
      <c r="P490" s="46"/>
      <c r="Q490" s="27"/>
      <c r="R490" s="27"/>
      <c r="S490" s="27"/>
      <c r="T490" s="27"/>
      <c r="U490" s="27"/>
      <c r="V490" s="46"/>
      <c r="W490" s="27"/>
      <c r="X490" s="27"/>
      <c r="Y490" s="27"/>
      <c r="Z490" s="46"/>
      <c r="AA490" s="27"/>
      <c r="AB490" s="27"/>
      <c r="AC490" s="27"/>
    </row>
    <row r="491" spans="2:29" x14ac:dyDescent="0.75">
      <c r="B491" s="26"/>
      <c r="C491" s="27"/>
      <c r="D491" s="46"/>
      <c r="E491" s="27"/>
      <c r="F491" s="27"/>
      <c r="G491" s="27"/>
      <c r="H491" s="46"/>
      <c r="I491" s="27"/>
      <c r="J491" s="27"/>
      <c r="K491" s="27"/>
      <c r="L491" s="46"/>
      <c r="M491" s="27"/>
      <c r="N491" s="27"/>
      <c r="O491" s="27"/>
      <c r="P491" s="46"/>
      <c r="Q491" s="27"/>
      <c r="R491" s="27"/>
      <c r="S491" s="27"/>
      <c r="T491" s="27"/>
      <c r="U491" s="27"/>
      <c r="V491" s="46"/>
      <c r="W491" s="27"/>
      <c r="X491" s="27"/>
      <c r="Y491" s="27"/>
      <c r="Z491" s="46"/>
      <c r="AA491" s="27"/>
      <c r="AB491" s="27"/>
      <c r="AC491" s="27"/>
    </row>
    <row r="492" spans="2:29" x14ac:dyDescent="0.75">
      <c r="B492" s="26"/>
      <c r="C492" s="27"/>
      <c r="D492" s="46"/>
      <c r="E492" s="27"/>
      <c r="F492" s="27"/>
      <c r="G492" s="27"/>
      <c r="H492" s="46"/>
      <c r="I492" s="27"/>
      <c r="J492" s="27"/>
      <c r="K492" s="27"/>
      <c r="L492" s="46"/>
      <c r="M492" s="27"/>
      <c r="N492" s="27"/>
      <c r="O492" s="27"/>
      <c r="P492" s="46"/>
      <c r="Q492" s="27"/>
      <c r="R492" s="27"/>
      <c r="S492" s="27"/>
      <c r="T492" s="27"/>
      <c r="U492" s="27"/>
      <c r="V492" s="46"/>
      <c r="W492" s="27"/>
      <c r="X492" s="27"/>
      <c r="Y492" s="27"/>
      <c r="Z492" s="46"/>
      <c r="AA492" s="27"/>
      <c r="AB492" s="27"/>
      <c r="AC492" s="27"/>
    </row>
    <row r="493" spans="2:29" x14ac:dyDescent="0.75">
      <c r="B493" s="26"/>
      <c r="C493" s="27"/>
      <c r="D493" s="46"/>
      <c r="E493" s="27"/>
      <c r="F493" s="27"/>
      <c r="G493" s="27"/>
      <c r="H493" s="46"/>
      <c r="I493" s="27"/>
      <c r="J493" s="27"/>
      <c r="K493" s="27"/>
      <c r="L493" s="46"/>
      <c r="M493" s="27"/>
      <c r="N493" s="27"/>
      <c r="O493" s="27"/>
      <c r="P493" s="46"/>
      <c r="Q493" s="27"/>
      <c r="R493" s="27"/>
      <c r="S493" s="27"/>
      <c r="T493" s="27"/>
      <c r="U493" s="27"/>
      <c r="V493" s="46"/>
      <c r="W493" s="27"/>
      <c r="X493" s="27"/>
      <c r="Y493" s="27"/>
      <c r="Z493" s="46"/>
      <c r="AA493" s="27"/>
      <c r="AB493" s="27"/>
      <c r="AC493" s="27"/>
    </row>
    <row r="494" spans="2:29" x14ac:dyDescent="0.75">
      <c r="B494" s="26"/>
      <c r="C494" s="27"/>
      <c r="D494" s="46"/>
      <c r="E494" s="27"/>
      <c r="F494" s="27"/>
      <c r="G494" s="27"/>
      <c r="H494" s="46"/>
      <c r="I494" s="27"/>
      <c r="J494" s="27"/>
      <c r="K494" s="27"/>
      <c r="L494" s="46"/>
      <c r="M494" s="27"/>
      <c r="N494" s="27"/>
      <c r="O494" s="27"/>
      <c r="P494" s="46"/>
      <c r="Q494" s="27"/>
      <c r="R494" s="27"/>
      <c r="S494" s="27"/>
      <c r="T494" s="27"/>
      <c r="U494" s="27"/>
      <c r="V494" s="46"/>
      <c r="W494" s="27"/>
      <c r="X494" s="27"/>
      <c r="Y494" s="27"/>
      <c r="Z494" s="46"/>
      <c r="AA494" s="27"/>
      <c r="AB494" s="27"/>
      <c r="AC494" s="27"/>
    </row>
    <row r="495" spans="2:29" x14ac:dyDescent="0.75">
      <c r="B495" s="26"/>
      <c r="C495" s="27"/>
      <c r="D495" s="46"/>
      <c r="E495" s="27"/>
      <c r="F495" s="27"/>
      <c r="G495" s="27"/>
      <c r="H495" s="46"/>
      <c r="I495" s="27"/>
      <c r="J495" s="27"/>
      <c r="K495" s="27"/>
      <c r="L495" s="46"/>
      <c r="M495" s="27"/>
      <c r="N495" s="27"/>
      <c r="O495" s="27"/>
      <c r="P495" s="46"/>
      <c r="Q495" s="27"/>
      <c r="R495" s="27"/>
      <c r="S495" s="27"/>
      <c r="T495" s="27"/>
      <c r="U495" s="27"/>
      <c r="V495" s="46"/>
      <c r="W495" s="27"/>
      <c r="X495" s="27"/>
      <c r="Y495" s="27"/>
      <c r="Z495" s="46"/>
      <c r="AA495" s="27"/>
      <c r="AB495" s="27"/>
      <c r="AC495" s="27"/>
    </row>
    <row r="496" spans="2:29" x14ac:dyDescent="0.75">
      <c r="B496" s="26"/>
      <c r="C496" s="27"/>
      <c r="D496" s="46"/>
      <c r="E496" s="27"/>
      <c r="F496" s="27"/>
      <c r="G496" s="27"/>
      <c r="H496" s="46"/>
      <c r="I496" s="27"/>
      <c r="J496" s="27"/>
      <c r="K496" s="27"/>
      <c r="L496" s="46"/>
      <c r="M496" s="27"/>
      <c r="N496" s="27"/>
      <c r="O496" s="27"/>
      <c r="P496" s="46"/>
      <c r="Q496" s="27"/>
      <c r="R496" s="27"/>
      <c r="S496" s="27"/>
      <c r="T496" s="27"/>
      <c r="U496" s="27"/>
      <c r="V496" s="46"/>
      <c r="W496" s="27"/>
      <c r="X496" s="27"/>
      <c r="Y496" s="27"/>
      <c r="Z496" s="46"/>
      <c r="AA496" s="27"/>
      <c r="AB496" s="27"/>
      <c r="AC496" s="27"/>
    </row>
    <row r="497" spans="2:29" x14ac:dyDescent="0.75">
      <c r="B497" s="26"/>
      <c r="C497" s="27"/>
      <c r="D497" s="46"/>
      <c r="E497" s="27"/>
      <c r="F497" s="27"/>
      <c r="G497" s="27"/>
      <c r="H497" s="46"/>
      <c r="I497" s="27"/>
      <c r="J497" s="27"/>
      <c r="K497" s="27"/>
      <c r="L497" s="46"/>
      <c r="M497" s="27"/>
      <c r="N497" s="27"/>
      <c r="O497" s="27"/>
      <c r="P497" s="46"/>
      <c r="Q497" s="27"/>
      <c r="R497" s="27"/>
      <c r="S497" s="27"/>
      <c r="T497" s="27"/>
      <c r="U497" s="27"/>
      <c r="V497" s="46"/>
      <c r="W497" s="27"/>
      <c r="X497" s="27"/>
      <c r="Y497" s="27"/>
      <c r="Z497" s="46"/>
      <c r="AA497" s="27"/>
      <c r="AB497" s="27"/>
      <c r="AC497" s="27"/>
    </row>
    <row r="498" spans="2:29" x14ac:dyDescent="0.75">
      <c r="B498" s="26"/>
      <c r="C498" s="27"/>
      <c r="D498" s="46"/>
      <c r="E498" s="27"/>
      <c r="F498" s="27"/>
      <c r="G498" s="27"/>
      <c r="H498" s="46"/>
      <c r="I498" s="27"/>
      <c r="J498" s="27"/>
      <c r="K498" s="27"/>
      <c r="L498" s="46"/>
      <c r="M498" s="27"/>
      <c r="N498" s="27"/>
      <c r="O498" s="27"/>
      <c r="P498" s="46"/>
      <c r="Q498" s="27"/>
      <c r="R498" s="27"/>
      <c r="S498" s="27"/>
      <c r="T498" s="27"/>
      <c r="U498" s="27"/>
      <c r="V498" s="46"/>
      <c r="W498" s="27"/>
      <c r="X498" s="27"/>
      <c r="Y498" s="27"/>
      <c r="Z498" s="46"/>
      <c r="AA498" s="27"/>
      <c r="AB498" s="27"/>
      <c r="AC498" s="27"/>
    </row>
    <row r="499" spans="2:29" x14ac:dyDescent="0.75">
      <c r="B499" s="26"/>
      <c r="C499" s="27"/>
      <c r="D499" s="46"/>
      <c r="E499" s="27"/>
      <c r="F499" s="27"/>
      <c r="G499" s="27"/>
      <c r="H499" s="46"/>
      <c r="I499" s="27"/>
      <c r="J499" s="27"/>
      <c r="K499" s="27"/>
      <c r="L499" s="46"/>
      <c r="M499" s="27"/>
      <c r="N499" s="27"/>
      <c r="O499" s="27"/>
      <c r="P499" s="46"/>
      <c r="Q499" s="27"/>
      <c r="R499" s="27"/>
      <c r="S499" s="27"/>
      <c r="T499" s="27"/>
      <c r="U499" s="27"/>
      <c r="V499" s="46"/>
      <c r="W499" s="27"/>
      <c r="X499" s="27"/>
      <c r="Y499" s="27"/>
      <c r="Z499" s="46"/>
      <c r="AA499" s="27"/>
      <c r="AB499" s="27"/>
      <c r="AC499" s="27"/>
    </row>
    <row r="500" spans="2:29" x14ac:dyDescent="0.75">
      <c r="B500" s="26"/>
      <c r="C500" s="27"/>
      <c r="D500" s="46"/>
      <c r="E500" s="27"/>
      <c r="F500" s="27"/>
      <c r="G500" s="27"/>
      <c r="H500" s="46"/>
      <c r="I500" s="27"/>
      <c r="J500" s="27"/>
      <c r="K500" s="27"/>
      <c r="L500" s="46"/>
      <c r="M500" s="27"/>
      <c r="N500" s="27"/>
      <c r="O500" s="27"/>
      <c r="P500" s="46"/>
      <c r="Q500" s="27"/>
      <c r="R500" s="27"/>
      <c r="S500" s="27"/>
      <c r="T500" s="27"/>
      <c r="U500" s="27"/>
      <c r="V500" s="46"/>
      <c r="W500" s="27"/>
      <c r="X500" s="27"/>
      <c r="Y500" s="27"/>
      <c r="Z500" s="46"/>
      <c r="AA500" s="27"/>
      <c r="AB500" s="27"/>
      <c r="AC500" s="27"/>
    </row>
    <row r="501" spans="2:29" x14ac:dyDescent="0.75">
      <c r="B501" s="26"/>
      <c r="C501" s="27"/>
      <c r="D501" s="46"/>
      <c r="E501" s="27"/>
      <c r="F501" s="27"/>
      <c r="G501" s="27"/>
      <c r="H501" s="46"/>
      <c r="I501" s="27"/>
      <c r="J501" s="27"/>
      <c r="K501" s="27"/>
      <c r="L501" s="46"/>
      <c r="M501" s="27"/>
      <c r="N501" s="27"/>
      <c r="O501" s="27"/>
      <c r="P501" s="46"/>
      <c r="Q501" s="27"/>
      <c r="R501" s="27"/>
      <c r="S501" s="27"/>
      <c r="T501" s="27"/>
      <c r="U501" s="27"/>
      <c r="V501" s="46"/>
      <c r="W501" s="27"/>
      <c r="X501" s="27"/>
      <c r="Y501" s="27"/>
      <c r="Z501" s="46"/>
      <c r="AA501" s="27"/>
      <c r="AB501" s="27"/>
      <c r="AC501" s="27"/>
    </row>
    <row r="502" spans="2:29" x14ac:dyDescent="0.75">
      <c r="B502" s="26"/>
      <c r="C502" s="27"/>
      <c r="D502" s="46"/>
      <c r="E502" s="27"/>
      <c r="F502" s="27"/>
      <c r="G502" s="27"/>
      <c r="H502" s="46"/>
      <c r="I502" s="27"/>
      <c r="J502" s="27"/>
      <c r="K502" s="27"/>
      <c r="L502" s="46"/>
      <c r="M502" s="27"/>
      <c r="N502" s="27"/>
      <c r="O502" s="27"/>
      <c r="P502" s="46"/>
      <c r="Q502" s="27"/>
      <c r="R502" s="27"/>
      <c r="S502" s="27"/>
      <c r="T502" s="27"/>
      <c r="U502" s="27"/>
      <c r="V502" s="46"/>
      <c r="W502" s="27"/>
      <c r="X502" s="27"/>
      <c r="Y502" s="27"/>
      <c r="Z502" s="46"/>
      <c r="AA502" s="27"/>
      <c r="AB502" s="27"/>
      <c r="AC502" s="27"/>
    </row>
    <row r="503" spans="2:29" x14ac:dyDescent="0.75">
      <c r="B503" s="26"/>
      <c r="C503" s="27"/>
      <c r="D503" s="46"/>
      <c r="E503" s="27"/>
      <c r="F503" s="27"/>
      <c r="G503" s="27"/>
      <c r="H503" s="46"/>
      <c r="I503" s="27"/>
      <c r="J503" s="27"/>
      <c r="K503" s="27"/>
      <c r="L503" s="46"/>
      <c r="M503" s="27"/>
      <c r="N503" s="27"/>
      <c r="O503" s="27"/>
      <c r="P503" s="46"/>
      <c r="Q503" s="27"/>
      <c r="R503" s="27"/>
      <c r="S503" s="27"/>
      <c r="T503" s="27"/>
      <c r="U503" s="27"/>
      <c r="V503" s="46"/>
      <c r="W503" s="27"/>
      <c r="X503" s="27"/>
      <c r="Y503" s="27"/>
      <c r="Z503" s="46"/>
      <c r="AA503" s="27"/>
      <c r="AB503" s="27"/>
      <c r="AC503" s="27"/>
    </row>
    <row r="504" spans="2:29" x14ac:dyDescent="0.75">
      <c r="B504" s="26"/>
      <c r="C504" s="27"/>
      <c r="D504" s="46"/>
      <c r="E504" s="27"/>
      <c r="F504" s="27"/>
      <c r="G504" s="27"/>
      <c r="H504" s="46"/>
      <c r="I504" s="27"/>
      <c r="J504" s="27"/>
      <c r="K504" s="27"/>
      <c r="L504" s="46"/>
      <c r="M504" s="27"/>
      <c r="N504" s="27"/>
      <c r="O504" s="27"/>
      <c r="P504" s="46"/>
      <c r="Q504" s="27"/>
      <c r="R504" s="27"/>
      <c r="S504" s="27"/>
      <c r="T504" s="27"/>
      <c r="U504" s="27"/>
      <c r="V504" s="46"/>
      <c r="W504" s="27"/>
      <c r="X504" s="27"/>
      <c r="Y504" s="27"/>
      <c r="Z504" s="46"/>
      <c r="AA504" s="27"/>
      <c r="AB504" s="27"/>
      <c r="AC504" s="27"/>
    </row>
    <row r="505" spans="2:29" x14ac:dyDescent="0.75">
      <c r="B505" s="26"/>
      <c r="C505" s="27"/>
      <c r="D505" s="46"/>
      <c r="E505" s="27"/>
      <c r="F505" s="27"/>
      <c r="G505" s="27"/>
      <c r="H505" s="46"/>
      <c r="I505" s="27"/>
      <c r="J505" s="27"/>
      <c r="K505" s="27"/>
      <c r="L505" s="46"/>
      <c r="M505" s="27"/>
      <c r="N505" s="27"/>
      <c r="O505" s="27"/>
      <c r="P505" s="46"/>
      <c r="Q505" s="27"/>
      <c r="R505" s="27"/>
      <c r="S505" s="27"/>
      <c r="T505" s="27"/>
      <c r="U505" s="27"/>
      <c r="V505" s="46"/>
      <c r="W505" s="27"/>
      <c r="X505" s="27"/>
      <c r="Y505" s="27"/>
      <c r="Z505" s="46"/>
      <c r="AA505" s="27"/>
      <c r="AB505" s="27"/>
      <c r="AC505" s="27"/>
    </row>
    <row r="506" spans="2:29" x14ac:dyDescent="0.75">
      <c r="B506" s="26"/>
      <c r="C506" s="27"/>
      <c r="D506" s="46"/>
      <c r="E506" s="27"/>
      <c r="F506" s="27"/>
      <c r="G506" s="27"/>
      <c r="H506" s="46"/>
      <c r="I506" s="27"/>
      <c r="J506" s="27"/>
      <c r="K506" s="27"/>
      <c r="L506" s="46"/>
      <c r="M506" s="27"/>
      <c r="N506" s="27"/>
      <c r="O506" s="27"/>
      <c r="P506" s="46"/>
      <c r="Q506" s="27"/>
      <c r="R506" s="27"/>
      <c r="S506" s="27"/>
      <c r="T506" s="27"/>
      <c r="U506" s="27"/>
      <c r="V506" s="46"/>
      <c r="W506" s="27"/>
      <c r="X506" s="27"/>
      <c r="Y506" s="27"/>
      <c r="Z506" s="46"/>
      <c r="AA506" s="27"/>
      <c r="AB506" s="27"/>
      <c r="AC506" s="27"/>
    </row>
    <row r="507" spans="2:29" x14ac:dyDescent="0.75">
      <c r="B507" s="26"/>
      <c r="C507" s="27"/>
      <c r="D507" s="46"/>
      <c r="E507" s="27"/>
      <c r="F507" s="27"/>
      <c r="G507" s="27"/>
      <c r="H507" s="46"/>
      <c r="I507" s="27"/>
      <c r="J507" s="27"/>
      <c r="K507" s="27"/>
      <c r="L507" s="46"/>
      <c r="M507" s="27"/>
      <c r="N507" s="27"/>
      <c r="O507" s="27"/>
      <c r="P507" s="46"/>
      <c r="Q507" s="27"/>
      <c r="R507" s="27"/>
      <c r="S507" s="27"/>
      <c r="T507" s="27"/>
      <c r="U507" s="27"/>
      <c r="V507" s="46"/>
      <c r="W507" s="27"/>
      <c r="X507" s="27"/>
      <c r="Y507" s="27"/>
      <c r="Z507" s="46"/>
      <c r="AA507" s="27"/>
      <c r="AB507" s="27"/>
      <c r="AC507" s="27"/>
    </row>
    <row r="508" spans="2:29" x14ac:dyDescent="0.75">
      <c r="B508" s="26"/>
      <c r="C508" s="27"/>
      <c r="D508" s="46"/>
      <c r="E508" s="27"/>
      <c r="F508" s="27"/>
      <c r="G508" s="27"/>
      <c r="H508" s="46"/>
      <c r="I508" s="27"/>
      <c r="J508" s="27"/>
      <c r="K508" s="27"/>
      <c r="L508" s="46"/>
      <c r="M508" s="27"/>
      <c r="N508" s="27"/>
      <c r="O508" s="27"/>
      <c r="P508" s="46"/>
      <c r="Q508" s="27"/>
      <c r="R508" s="27"/>
      <c r="S508" s="27"/>
      <c r="T508" s="27"/>
      <c r="U508" s="27"/>
      <c r="V508" s="46"/>
      <c r="W508" s="27"/>
      <c r="X508" s="27"/>
      <c r="Y508" s="27"/>
      <c r="Z508" s="46"/>
      <c r="AA508" s="27"/>
      <c r="AB508" s="27"/>
      <c r="AC508" s="27"/>
    </row>
    <row r="509" spans="2:29" x14ac:dyDescent="0.75">
      <c r="B509" s="26"/>
      <c r="C509" s="27"/>
      <c r="D509" s="46"/>
      <c r="E509" s="27"/>
      <c r="F509" s="27"/>
      <c r="G509" s="27"/>
      <c r="H509" s="46"/>
      <c r="I509" s="27"/>
      <c r="J509" s="27"/>
      <c r="K509" s="27"/>
      <c r="L509" s="46"/>
      <c r="M509" s="27"/>
      <c r="N509" s="27"/>
      <c r="O509" s="27"/>
      <c r="P509" s="46"/>
      <c r="Q509" s="27"/>
      <c r="R509" s="27"/>
      <c r="S509" s="27"/>
      <c r="T509" s="27"/>
      <c r="U509" s="27"/>
      <c r="V509" s="46"/>
      <c r="W509" s="27"/>
      <c r="X509" s="27"/>
      <c r="Y509" s="27"/>
      <c r="Z509" s="46"/>
      <c r="AA509" s="27"/>
      <c r="AB509" s="27"/>
      <c r="AC509" s="27"/>
    </row>
    <row r="510" spans="2:29" x14ac:dyDescent="0.75">
      <c r="B510" s="26"/>
      <c r="C510" s="27"/>
      <c r="D510" s="46"/>
      <c r="E510" s="27"/>
      <c r="F510" s="27"/>
      <c r="G510" s="27"/>
      <c r="H510" s="46"/>
      <c r="I510" s="27"/>
      <c r="J510" s="27"/>
      <c r="K510" s="27"/>
      <c r="L510" s="46"/>
      <c r="M510" s="27"/>
      <c r="N510" s="27"/>
      <c r="O510" s="27"/>
      <c r="P510" s="46"/>
      <c r="Q510" s="27"/>
      <c r="R510" s="27"/>
      <c r="S510" s="27"/>
      <c r="T510" s="27"/>
      <c r="U510" s="27"/>
      <c r="V510" s="46"/>
      <c r="W510" s="27"/>
      <c r="X510" s="27"/>
      <c r="Y510" s="27"/>
      <c r="Z510" s="46"/>
      <c r="AA510" s="27"/>
      <c r="AB510" s="27"/>
      <c r="AC510" s="27"/>
    </row>
    <row r="511" spans="2:29" x14ac:dyDescent="0.75">
      <c r="B511" s="26"/>
      <c r="C511" s="27"/>
      <c r="D511" s="46"/>
      <c r="E511" s="27"/>
      <c r="F511" s="27"/>
      <c r="G511" s="27"/>
      <c r="H511" s="46"/>
      <c r="I511" s="27"/>
      <c r="J511" s="27"/>
      <c r="K511" s="27"/>
      <c r="L511" s="46"/>
      <c r="M511" s="27"/>
      <c r="N511" s="27"/>
      <c r="O511" s="27"/>
      <c r="P511" s="46"/>
      <c r="Q511" s="27"/>
      <c r="R511" s="27"/>
      <c r="S511" s="27"/>
      <c r="T511" s="27"/>
      <c r="U511" s="27"/>
      <c r="V511" s="46"/>
      <c r="W511" s="27"/>
      <c r="X511" s="27"/>
      <c r="Y511" s="27"/>
      <c r="Z511" s="46"/>
      <c r="AA511" s="27"/>
      <c r="AB511" s="27"/>
      <c r="AC511" s="27"/>
    </row>
    <row r="512" spans="2:29" x14ac:dyDescent="0.75">
      <c r="B512" s="26"/>
      <c r="C512" s="27"/>
      <c r="D512" s="46"/>
      <c r="E512" s="27"/>
      <c r="F512" s="27"/>
      <c r="G512" s="27"/>
      <c r="H512" s="46"/>
      <c r="I512" s="27"/>
      <c r="J512" s="27"/>
      <c r="K512" s="27"/>
      <c r="L512" s="46"/>
      <c r="M512" s="27"/>
      <c r="N512" s="27"/>
      <c r="O512" s="27"/>
      <c r="P512" s="46"/>
      <c r="Q512" s="27"/>
      <c r="R512" s="27"/>
      <c r="S512" s="27"/>
      <c r="T512" s="27"/>
      <c r="U512" s="27"/>
      <c r="V512" s="46"/>
      <c r="W512" s="27"/>
      <c r="X512" s="27"/>
      <c r="Y512" s="27"/>
      <c r="Z512" s="46"/>
      <c r="AA512" s="27"/>
      <c r="AB512" s="27"/>
      <c r="AC512" s="27"/>
    </row>
    <row r="513" spans="2:29" x14ac:dyDescent="0.75">
      <c r="B513" s="26"/>
      <c r="C513" s="27"/>
      <c r="D513" s="46"/>
      <c r="E513" s="27"/>
      <c r="F513" s="27"/>
      <c r="G513" s="27"/>
      <c r="H513" s="46"/>
      <c r="I513" s="27"/>
      <c r="J513" s="27"/>
      <c r="K513" s="27"/>
      <c r="L513" s="46"/>
      <c r="M513" s="27"/>
      <c r="N513" s="27"/>
      <c r="O513" s="27"/>
      <c r="P513" s="46"/>
      <c r="Q513" s="27"/>
      <c r="R513" s="27"/>
      <c r="S513" s="27"/>
      <c r="T513" s="27"/>
      <c r="U513" s="27"/>
      <c r="V513" s="46"/>
      <c r="W513" s="27"/>
      <c r="X513" s="27"/>
      <c r="Y513" s="27"/>
      <c r="Z513" s="46"/>
      <c r="AA513" s="27"/>
      <c r="AB513" s="27"/>
      <c r="AC513" s="27"/>
    </row>
    <row r="514" spans="2:29" x14ac:dyDescent="0.75">
      <c r="B514" s="26"/>
      <c r="C514" s="27"/>
      <c r="D514" s="46"/>
      <c r="E514" s="27"/>
      <c r="F514" s="27"/>
      <c r="G514" s="27"/>
      <c r="H514" s="46"/>
      <c r="I514" s="27"/>
      <c r="J514" s="27"/>
      <c r="K514" s="27"/>
      <c r="L514" s="46"/>
      <c r="M514" s="27"/>
      <c r="N514" s="27"/>
      <c r="O514" s="27"/>
      <c r="P514" s="46"/>
      <c r="Q514" s="27"/>
      <c r="R514" s="27"/>
      <c r="S514" s="27"/>
      <c r="T514" s="27"/>
      <c r="U514" s="27"/>
      <c r="V514" s="46"/>
      <c r="W514" s="27"/>
      <c r="X514" s="27"/>
      <c r="Y514" s="27"/>
      <c r="Z514" s="46"/>
      <c r="AA514" s="27"/>
      <c r="AB514" s="27"/>
      <c r="AC514" s="27"/>
    </row>
    <row r="515" spans="2:29" x14ac:dyDescent="0.75">
      <c r="B515" s="26"/>
      <c r="C515" s="27"/>
      <c r="D515" s="46"/>
      <c r="E515" s="27"/>
      <c r="F515" s="27"/>
      <c r="G515" s="27"/>
      <c r="H515" s="46"/>
      <c r="I515" s="27"/>
      <c r="J515" s="27"/>
      <c r="K515" s="27"/>
      <c r="L515" s="46"/>
      <c r="M515" s="27"/>
      <c r="N515" s="27"/>
      <c r="O515" s="27"/>
      <c r="P515" s="46"/>
      <c r="Q515" s="27"/>
      <c r="R515" s="27"/>
      <c r="S515" s="27"/>
      <c r="T515" s="27"/>
      <c r="U515" s="27"/>
      <c r="V515" s="46"/>
      <c r="W515" s="27"/>
      <c r="X515" s="27"/>
      <c r="Y515" s="27"/>
      <c r="Z515" s="46"/>
      <c r="AA515" s="27"/>
      <c r="AB515" s="27"/>
      <c r="AC515" s="27"/>
    </row>
    <row r="516" spans="2:29" x14ac:dyDescent="0.75">
      <c r="B516" s="26"/>
      <c r="C516" s="27"/>
      <c r="D516" s="46"/>
      <c r="E516" s="27"/>
      <c r="F516" s="27"/>
      <c r="G516" s="27"/>
      <c r="H516" s="46"/>
      <c r="I516" s="27"/>
      <c r="J516" s="27"/>
      <c r="K516" s="27"/>
      <c r="L516" s="46"/>
      <c r="M516" s="27"/>
      <c r="N516" s="27"/>
      <c r="O516" s="27"/>
      <c r="P516" s="46"/>
      <c r="Q516" s="27"/>
      <c r="R516" s="27"/>
      <c r="S516" s="27"/>
      <c r="T516" s="27"/>
      <c r="U516" s="27"/>
      <c r="V516" s="46"/>
      <c r="W516" s="27"/>
      <c r="X516" s="27"/>
      <c r="Y516" s="27"/>
      <c r="Z516" s="46"/>
      <c r="AA516" s="27"/>
      <c r="AB516" s="27"/>
      <c r="AC516" s="27"/>
    </row>
    <row r="517" spans="2:29" x14ac:dyDescent="0.75">
      <c r="B517" s="26"/>
      <c r="C517" s="27"/>
      <c r="D517" s="46"/>
      <c r="E517" s="27"/>
      <c r="F517" s="27"/>
      <c r="G517" s="27"/>
      <c r="H517" s="46"/>
      <c r="I517" s="27"/>
      <c r="J517" s="27"/>
      <c r="K517" s="27"/>
      <c r="L517" s="46"/>
      <c r="M517" s="27"/>
      <c r="N517" s="27"/>
      <c r="O517" s="27"/>
      <c r="P517" s="46"/>
      <c r="Q517" s="27"/>
      <c r="R517" s="27"/>
      <c r="S517" s="27"/>
      <c r="T517" s="27"/>
      <c r="U517" s="27"/>
      <c r="V517" s="46"/>
      <c r="W517" s="27"/>
      <c r="X517" s="27"/>
      <c r="Y517" s="27"/>
      <c r="Z517" s="46"/>
      <c r="AA517" s="27"/>
      <c r="AB517" s="27"/>
      <c r="AC517" s="27"/>
    </row>
    <row r="518" spans="2:29" x14ac:dyDescent="0.75">
      <c r="B518" s="26"/>
      <c r="C518" s="27"/>
      <c r="D518" s="46"/>
      <c r="E518" s="27"/>
      <c r="F518" s="27"/>
      <c r="G518" s="27"/>
      <c r="H518" s="46"/>
      <c r="I518" s="27"/>
      <c r="J518" s="27"/>
      <c r="K518" s="27"/>
      <c r="L518" s="46"/>
      <c r="M518" s="27"/>
      <c r="N518" s="27"/>
      <c r="O518" s="27"/>
      <c r="P518" s="46"/>
      <c r="Q518" s="27"/>
      <c r="R518" s="27"/>
      <c r="S518" s="27"/>
      <c r="T518" s="27"/>
      <c r="U518" s="27"/>
      <c r="V518" s="46"/>
      <c r="W518" s="27"/>
      <c r="X518" s="27"/>
      <c r="Y518" s="27"/>
      <c r="Z518" s="46"/>
      <c r="AA518" s="27"/>
      <c r="AB518" s="27"/>
      <c r="AC518" s="27"/>
    </row>
    <row r="519" spans="2:29" x14ac:dyDescent="0.75">
      <c r="B519" s="26"/>
      <c r="C519" s="27"/>
      <c r="D519" s="46"/>
      <c r="E519" s="27"/>
      <c r="F519" s="27"/>
      <c r="G519" s="27"/>
      <c r="H519" s="46"/>
      <c r="I519" s="27"/>
      <c r="J519" s="27"/>
      <c r="K519" s="27"/>
      <c r="L519" s="46"/>
      <c r="M519" s="27"/>
      <c r="N519" s="27"/>
      <c r="O519" s="27"/>
      <c r="P519" s="46"/>
      <c r="Q519" s="27"/>
      <c r="R519" s="27"/>
      <c r="S519" s="27"/>
      <c r="T519" s="27"/>
      <c r="U519" s="27"/>
      <c r="V519" s="46"/>
      <c r="W519" s="27"/>
      <c r="X519" s="27"/>
      <c r="Y519" s="27"/>
      <c r="Z519" s="46"/>
      <c r="AA519" s="27"/>
      <c r="AB519" s="27"/>
      <c r="AC519" s="27"/>
    </row>
    <row r="520" spans="2:29" x14ac:dyDescent="0.75">
      <c r="B520" s="26"/>
      <c r="C520" s="27"/>
      <c r="D520" s="46"/>
      <c r="E520" s="27"/>
      <c r="F520" s="27"/>
      <c r="G520" s="27"/>
      <c r="H520" s="46"/>
      <c r="I520" s="27"/>
      <c r="J520" s="27"/>
      <c r="K520" s="27"/>
      <c r="L520" s="46"/>
      <c r="M520" s="27"/>
      <c r="N520" s="27"/>
      <c r="O520" s="27"/>
      <c r="P520" s="46"/>
      <c r="Q520" s="27"/>
      <c r="R520" s="27"/>
      <c r="S520" s="27"/>
      <c r="T520" s="27"/>
      <c r="U520" s="27"/>
      <c r="V520" s="46"/>
      <c r="W520" s="27"/>
      <c r="X520" s="27"/>
      <c r="Y520" s="27"/>
      <c r="Z520" s="46"/>
      <c r="AA520" s="27"/>
      <c r="AB520" s="27"/>
      <c r="AC520" s="27"/>
    </row>
    <row r="521" spans="2:29" x14ac:dyDescent="0.75">
      <c r="B521" s="26"/>
      <c r="C521" s="27"/>
      <c r="D521" s="46"/>
      <c r="E521" s="27"/>
      <c r="F521" s="27"/>
      <c r="G521" s="27"/>
      <c r="H521" s="46"/>
      <c r="I521" s="27"/>
      <c r="J521" s="27"/>
      <c r="K521" s="27"/>
      <c r="L521" s="46"/>
      <c r="M521" s="27"/>
      <c r="N521" s="27"/>
      <c r="O521" s="27"/>
      <c r="P521" s="46"/>
      <c r="Q521" s="27"/>
      <c r="R521" s="27"/>
      <c r="S521" s="27"/>
      <c r="T521" s="27"/>
      <c r="U521" s="27"/>
      <c r="V521" s="46"/>
      <c r="W521" s="27"/>
      <c r="X521" s="27"/>
      <c r="Y521" s="27"/>
      <c r="Z521" s="46"/>
      <c r="AA521" s="27"/>
      <c r="AB521" s="27"/>
      <c r="AC521" s="27"/>
    </row>
    <row r="522" spans="2:29" x14ac:dyDescent="0.75">
      <c r="B522" s="26"/>
      <c r="C522" s="27"/>
      <c r="D522" s="46"/>
      <c r="E522" s="27"/>
      <c r="F522" s="27"/>
      <c r="G522" s="27"/>
      <c r="H522" s="46"/>
      <c r="I522" s="27"/>
      <c r="J522" s="27"/>
      <c r="K522" s="27"/>
      <c r="L522" s="46"/>
      <c r="M522" s="27"/>
      <c r="N522" s="27"/>
      <c r="O522" s="27"/>
      <c r="P522" s="46"/>
      <c r="Q522" s="27"/>
      <c r="R522" s="27"/>
      <c r="S522" s="27"/>
      <c r="T522" s="27"/>
      <c r="U522" s="27"/>
      <c r="V522" s="46"/>
      <c r="W522" s="27"/>
      <c r="X522" s="27"/>
      <c r="Y522" s="27"/>
      <c r="Z522" s="46"/>
      <c r="AA522" s="27"/>
      <c r="AB522" s="27"/>
      <c r="AC522" s="27"/>
    </row>
    <row r="523" spans="2:29" x14ac:dyDescent="0.75">
      <c r="B523" s="26"/>
      <c r="C523" s="27"/>
      <c r="D523" s="46"/>
      <c r="E523" s="27"/>
      <c r="F523" s="27"/>
      <c r="G523" s="27"/>
      <c r="H523" s="46"/>
      <c r="I523" s="27"/>
      <c r="J523" s="27"/>
      <c r="K523" s="27"/>
      <c r="L523" s="46"/>
      <c r="M523" s="27"/>
      <c r="N523" s="27"/>
      <c r="O523" s="27"/>
      <c r="P523" s="46"/>
      <c r="Q523" s="27"/>
      <c r="R523" s="27"/>
      <c r="S523" s="27"/>
      <c r="T523" s="27"/>
      <c r="U523" s="27"/>
      <c r="V523" s="46"/>
      <c r="W523" s="27"/>
      <c r="X523" s="27"/>
      <c r="Y523" s="27"/>
      <c r="Z523" s="46"/>
      <c r="AA523" s="27"/>
      <c r="AB523" s="27"/>
      <c r="AC523" s="27"/>
    </row>
    <row r="524" spans="2:29" x14ac:dyDescent="0.75">
      <c r="B524" s="26"/>
      <c r="C524" s="27"/>
      <c r="D524" s="46"/>
      <c r="E524" s="27"/>
      <c r="F524" s="27"/>
      <c r="G524" s="27"/>
      <c r="H524" s="46"/>
      <c r="I524" s="27"/>
      <c r="J524" s="27"/>
      <c r="K524" s="27"/>
      <c r="L524" s="46"/>
      <c r="M524" s="27"/>
      <c r="N524" s="27"/>
      <c r="O524" s="27"/>
      <c r="P524" s="46"/>
      <c r="Q524" s="27"/>
      <c r="R524" s="27"/>
      <c r="S524" s="27"/>
      <c r="T524" s="27"/>
      <c r="U524" s="27"/>
      <c r="V524" s="46"/>
      <c r="W524" s="27"/>
      <c r="X524" s="27"/>
      <c r="Y524" s="27"/>
      <c r="Z524" s="46"/>
      <c r="AA524" s="27"/>
      <c r="AB524" s="27"/>
      <c r="AC524" s="27"/>
    </row>
    <row r="525" spans="2:29" x14ac:dyDescent="0.75">
      <c r="B525" s="26"/>
      <c r="C525" s="27"/>
      <c r="D525" s="46"/>
      <c r="E525" s="27"/>
      <c r="F525" s="27"/>
      <c r="G525" s="27"/>
      <c r="H525" s="46"/>
      <c r="I525" s="27"/>
      <c r="J525" s="27"/>
      <c r="K525" s="27"/>
      <c r="L525" s="46"/>
      <c r="M525" s="27"/>
      <c r="N525" s="27"/>
      <c r="O525" s="27"/>
      <c r="P525" s="46"/>
      <c r="Q525" s="27"/>
      <c r="R525" s="27"/>
      <c r="S525" s="27"/>
      <c r="T525" s="27"/>
      <c r="U525" s="27"/>
      <c r="V525" s="46"/>
      <c r="W525" s="27"/>
      <c r="X525" s="27"/>
      <c r="Y525" s="27"/>
      <c r="Z525" s="46"/>
      <c r="AA525" s="27"/>
      <c r="AB525" s="27"/>
      <c r="AC525" s="27"/>
    </row>
    <row r="526" spans="2:29" x14ac:dyDescent="0.75">
      <c r="B526" s="26"/>
      <c r="C526" s="27"/>
      <c r="D526" s="46"/>
      <c r="E526" s="27"/>
      <c r="F526" s="27"/>
      <c r="G526" s="27"/>
      <c r="H526" s="46"/>
      <c r="I526" s="27"/>
      <c r="J526" s="27"/>
      <c r="K526" s="27"/>
      <c r="L526" s="46"/>
      <c r="M526" s="27"/>
      <c r="N526" s="27"/>
      <c r="O526" s="27"/>
      <c r="P526" s="46"/>
      <c r="Q526" s="27"/>
      <c r="R526" s="27"/>
      <c r="S526" s="27"/>
      <c r="T526" s="27"/>
      <c r="U526" s="27"/>
      <c r="V526" s="46"/>
      <c r="W526" s="27"/>
      <c r="X526" s="27"/>
      <c r="Y526" s="27"/>
      <c r="Z526" s="46"/>
      <c r="AA526" s="27"/>
      <c r="AB526" s="27"/>
      <c r="AC526" s="27"/>
    </row>
    <row r="527" spans="2:29" x14ac:dyDescent="0.75">
      <c r="B527" s="26"/>
      <c r="C527" s="27"/>
      <c r="D527" s="46"/>
      <c r="E527" s="27"/>
      <c r="F527" s="27"/>
      <c r="G527" s="27"/>
      <c r="H527" s="46"/>
      <c r="I527" s="27"/>
      <c r="J527" s="27"/>
      <c r="K527" s="27"/>
      <c r="L527" s="46"/>
      <c r="M527" s="27"/>
      <c r="N527" s="27"/>
      <c r="O527" s="27"/>
      <c r="P527" s="46"/>
      <c r="Q527" s="27"/>
      <c r="R527" s="27"/>
      <c r="S527" s="27"/>
      <c r="T527" s="27"/>
      <c r="U527" s="27"/>
      <c r="V527" s="46"/>
      <c r="W527" s="27"/>
      <c r="X527" s="27"/>
      <c r="Y527" s="27"/>
      <c r="Z527" s="46"/>
      <c r="AA527" s="27"/>
      <c r="AB527" s="27"/>
      <c r="AC527" s="27"/>
    </row>
    <row r="528" spans="2:29" x14ac:dyDescent="0.75">
      <c r="B528" s="26"/>
      <c r="C528" s="27"/>
      <c r="D528" s="46"/>
      <c r="E528" s="27"/>
      <c r="F528" s="27"/>
      <c r="G528" s="27"/>
      <c r="H528" s="46"/>
      <c r="I528" s="27"/>
      <c r="J528" s="27"/>
      <c r="K528" s="27"/>
      <c r="L528" s="46"/>
      <c r="M528" s="27"/>
      <c r="N528" s="27"/>
      <c r="O528" s="27"/>
      <c r="P528" s="46"/>
      <c r="Q528" s="27"/>
      <c r="R528" s="27"/>
      <c r="S528" s="27"/>
      <c r="T528" s="27"/>
      <c r="U528" s="27"/>
      <c r="V528" s="46"/>
      <c r="W528" s="27"/>
      <c r="X528" s="27"/>
      <c r="Y528" s="27"/>
      <c r="Z528" s="46"/>
      <c r="AA528" s="27"/>
      <c r="AB528" s="27"/>
      <c r="AC528" s="27"/>
    </row>
    <row r="529" spans="2:29" x14ac:dyDescent="0.75">
      <c r="B529" s="26"/>
      <c r="C529" s="27"/>
      <c r="D529" s="46"/>
      <c r="E529" s="27"/>
      <c r="F529" s="27"/>
      <c r="G529" s="27"/>
      <c r="H529" s="46"/>
      <c r="I529" s="27"/>
      <c r="J529" s="27"/>
      <c r="K529" s="27"/>
      <c r="L529" s="46"/>
      <c r="M529" s="27"/>
      <c r="N529" s="27"/>
      <c r="O529" s="27"/>
      <c r="P529" s="46"/>
      <c r="Q529" s="27"/>
      <c r="R529" s="27"/>
      <c r="S529" s="27"/>
      <c r="T529" s="27"/>
      <c r="U529" s="27"/>
      <c r="V529" s="46"/>
      <c r="W529" s="27"/>
      <c r="X529" s="27"/>
      <c r="Y529" s="27"/>
      <c r="Z529" s="46"/>
      <c r="AA529" s="27"/>
      <c r="AB529" s="27"/>
      <c r="AC529" s="27"/>
    </row>
    <row r="530" spans="2:29" x14ac:dyDescent="0.75">
      <c r="B530" s="26"/>
      <c r="C530" s="27"/>
      <c r="D530" s="46"/>
      <c r="E530" s="27"/>
      <c r="F530" s="27"/>
      <c r="G530" s="27"/>
      <c r="H530" s="46"/>
      <c r="I530" s="27"/>
      <c r="J530" s="27"/>
      <c r="K530" s="27"/>
      <c r="L530" s="46"/>
      <c r="M530" s="27"/>
      <c r="N530" s="27"/>
      <c r="O530" s="27"/>
      <c r="P530" s="46"/>
      <c r="Q530" s="27"/>
      <c r="R530" s="27"/>
      <c r="S530" s="27"/>
      <c r="T530" s="27"/>
      <c r="U530" s="27"/>
      <c r="V530" s="46"/>
      <c r="W530" s="27"/>
      <c r="X530" s="27"/>
      <c r="Y530" s="27"/>
      <c r="Z530" s="46"/>
      <c r="AA530" s="27"/>
      <c r="AB530" s="27"/>
      <c r="AC530" s="27"/>
    </row>
    <row r="531" spans="2:29" x14ac:dyDescent="0.75">
      <c r="B531" s="26"/>
      <c r="C531" s="27"/>
      <c r="D531" s="46"/>
      <c r="E531" s="27"/>
      <c r="F531" s="27"/>
      <c r="G531" s="27"/>
      <c r="H531" s="46"/>
      <c r="I531" s="27"/>
      <c r="J531" s="27"/>
      <c r="K531" s="27"/>
      <c r="L531" s="46"/>
      <c r="M531" s="27"/>
      <c r="N531" s="27"/>
      <c r="O531" s="27"/>
      <c r="P531" s="46"/>
      <c r="Q531" s="27"/>
      <c r="R531" s="27"/>
      <c r="S531" s="27"/>
      <c r="T531" s="27"/>
      <c r="U531" s="27"/>
      <c r="V531" s="46"/>
      <c r="W531" s="27"/>
      <c r="X531" s="27"/>
      <c r="Y531" s="27"/>
      <c r="Z531" s="46"/>
      <c r="AA531" s="27"/>
      <c r="AB531" s="27"/>
      <c r="AC531" s="27"/>
    </row>
    <row r="532" spans="2:29" x14ac:dyDescent="0.75">
      <c r="B532" s="26"/>
      <c r="C532" s="27"/>
      <c r="D532" s="46"/>
      <c r="E532" s="27"/>
      <c r="F532" s="27"/>
      <c r="G532" s="27"/>
      <c r="H532" s="46"/>
      <c r="I532" s="27"/>
      <c r="J532" s="27"/>
      <c r="K532" s="27"/>
      <c r="L532" s="46"/>
      <c r="M532" s="27"/>
      <c r="N532" s="27"/>
      <c r="O532" s="27"/>
      <c r="P532" s="46"/>
      <c r="Q532" s="27"/>
      <c r="R532" s="27"/>
      <c r="S532" s="27"/>
      <c r="T532" s="27"/>
      <c r="U532" s="27"/>
      <c r="V532" s="46"/>
      <c r="W532" s="27"/>
      <c r="X532" s="27"/>
      <c r="Y532" s="27"/>
      <c r="Z532" s="46"/>
      <c r="AA532" s="27"/>
      <c r="AB532" s="27"/>
      <c r="AC532" s="27"/>
    </row>
    <row r="533" spans="2:29" x14ac:dyDescent="0.75">
      <c r="B533" s="26"/>
      <c r="C533" s="27"/>
      <c r="D533" s="46"/>
      <c r="E533" s="27"/>
      <c r="F533" s="27"/>
      <c r="G533" s="27"/>
      <c r="H533" s="46"/>
      <c r="I533" s="27"/>
      <c r="J533" s="27"/>
      <c r="K533" s="27"/>
      <c r="L533" s="46"/>
      <c r="M533" s="27"/>
      <c r="N533" s="27"/>
      <c r="O533" s="27"/>
      <c r="P533" s="46"/>
      <c r="Q533" s="27"/>
      <c r="R533" s="27"/>
      <c r="S533" s="27"/>
      <c r="T533" s="27"/>
      <c r="U533" s="27"/>
      <c r="V533" s="46"/>
      <c r="W533" s="27"/>
      <c r="X533" s="27"/>
      <c r="Y533" s="27"/>
      <c r="Z533" s="46"/>
      <c r="AA533" s="27"/>
      <c r="AB533" s="27"/>
      <c r="AC533" s="27"/>
    </row>
    <row r="534" spans="2:29" x14ac:dyDescent="0.75">
      <c r="B534" s="26"/>
      <c r="C534" s="27"/>
      <c r="D534" s="46"/>
      <c r="E534" s="27"/>
      <c r="F534" s="27"/>
      <c r="G534" s="27"/>
      <c r="H534" s="46"/>
      <c r="I534" s="27"/>
      <c r="J534" s="27"/>
      <c r="K534" s="27"/>
      <c r="L534" s="46"/>
      <c r="M534" s="27"/>
      <c r="N534" s="27"/>
      <c r="O534" s="27"/>
      <c r="P534" s="46"/>
      <c r="Q534" s="27"/>
      <c r="R534" s="27"/>
      <c r="S534" s="27"/>
      <c r="T534" s="27"/>
      <c r="U534" s="27"/>
      <c r="V534" s="46"/>
      <c r="W534" s="27"/>
      <c r="X534" s="27"/>
      <c r="Y534" s="27"/>
      <c r="Z534" s="46"/>
      <c r="AA534" s="27"/>
      <c r="AB534" s="27"/>
      <c r="AC534" s="27"/>
    </row>
    <row r="535" spans="2:29" x14ac:dyDescent="0.75">
      <c r="B535" s="26"/>
      <c r="C535" s="27"/>
      <c r="D535" s="46"/>
      <c r="E535" s="27"/>
      <c r="F535" s="27"/>
      <c r="G535" s="27"/>
      <c r="H535" s="46"/>
      <c r="I535" s="27"/>
      <c r="J535" s="27"/>
      <c r="K535" s="27"/>
      <c r="L535" s="46"/>
      <c r="M535" s="27"/>
      <c r="N535" s="27"/>
      <c r="O535" s="27"/>
      <c r="P535" s="46"/>
      <c r="Q535" s="27"/>
      <c r="R535" s="27"/>
      <c r="S535" s="27"/>
      <c r="T535" s="27"/>
      <c r="U535" s="27"/>
      <c r="V535" s="46"/>
      <c r="W535" s="27"/>
      <c r="X535" s="27"/>
      <c r="Y535" s="27"/>
      <c r="Z535" s="46"/>
      <c r="AA535" s="27"/>
      <c r="AB535" s="27"/>
      <c r="AC535" s="27"/>
    </row>
    <row r="536" spans="2:29" x14ac:dyDescent="0.75">
      <c r="B536" s="26"/>
      <c r="C536" s="27"/>
      <c r="D536" s="46"/>
      <c r="E536" s="27"/>
      <c r="F536" s="27"/>
      <c r="G536" s="27"/>
      <c r="H536" s="46"/>
      <c r="I536" s="27"/>
      <c r="J536" s="27"/>
      <c r="K536" s="27"/>
      <c r="L536" s="46"/>
      <c r="M536" s="27"/>
      <c r="N536" s="27"/>
      <c r="O536" s="27"/>
      <c r="P536" s="46"/>
      <c r="Q536" s="27"/>
      <c r="R536" s="27"/>
      <c r="S536" s="27"/>
      <c r="T536" s="27"/>
      <c r="U536" s="27"/>
      <c r="V536" s="46"/>
      <c r="W536" s="27"/>
      <c r="X536" s="27"/>
      <c r="Y536" s="27"/>
      <c r="Z536" s="46"/>
      <c r="AA536" s="27"/>
      <c r="AB536" s="27"/>
      <c r="AC536" s="27"/>
    </row>
    <row r="537" spans="2:29" x14ac:dyDescent="0.75">
      <c r="B537" s="26"/>
      <c r="C537" s="27"/>
      <c r="D537" s="46"/>
      <c r="E537" s="27"/>
      <c r="F537" s="27"/>
      <c r="G537" s="27"/>
      <c r="H537" s="46"/>
      <c r="I537" s="27"/>
      <c r="J537" s="27"/>
      <c r="K537" s="27"/>
      <c r="L537" s="46"/>
      <c r="M537" s="27"/>
      <c r="N537" s="27"/>
      <c r="O537" s="27"/>
      <c r="P537" s="46"/>
      <c r="Q537" s="27"/>
      <c r="R537" s="27"/>
      <c r="S537" s="27"/>
      <c r="T537" s="27"/>
      <c r="U537" s="27"/>
      <c r="V537" s="46"/>
      <c r="W537" s="27"/>
      <c r="X537" s="27"/>
      <c r="Y537" s="27"/>
      <c r="Z537" s="46"/>
      <c r="AA537" s="27"/>
      <c r="AB537" s="27"/>
      <c r="AC537" s="27"/>
    </row>
    <row r="538" spans="2:29" x14ac:dyDescent="0.75">
      <c r="B538" s="26"/>
      <c r="C538" s="27"/>
      <c r="D538" s="46"/>
      <c r="E538" s="27"/>
      <c r="F538" s="27"/>
      <c r="G538" s="27"/>
      <c r="H538" s="46"/>
      <c r="I538" s="27"/>
      <c r="J538" s="27"/>
      <c r="K538" s="27"/>
      <c r="L538" s="46"/>
      <c r="M538" s="27"/>
      <c r="N538" s="27"/>
      <c r="O538" s="27"/>
      <c r="P538" s="46"/>
      <c r="Q538" s="27"/>
      <c r="R538" s="27"/>
      <c r="S538" s="27"/>
      <c r="T538" s="27"/>
      <c r="U538" s="27"/>
      <c r="V538" s="46"/>
      <c r="W538" s="27"/>
      <c r="X538" s="27"/>
      <c r="Y538" s="27"/>
      <c r="Z538" s="46"/>
      <c r="AA538" s="27"/>
      <c r="AB538" s="27"/>
      <c r="AC538" s="27"/>
    </row>
    <row r="539" spans="2:29" x14ac:dyDescent="0.75">
      <c r="B539" s="26"/>
      <c r="C539" s="27"/>
      <c r="D539" s="46"/>
      <c r="E539" s="27"/>
      <c r="F539" s="27"/>
      <c r="G539" s="27"/>
      <c r="H539" s="46"/>
      <c r="I539" s="27"/>
      <c r="J539" s="27"/>
      <c r="K539" s="27"/>
      <c r="L539" s="46"/>
      <c r="M539" s="27"/>
      <c r="N539" s="27"/>
      <c r="O539" s="27"/>
      <c r="P539" s="46"/>
      <c r="Q539" s="27"/>
      <c r="R539" s="27"/>
      <c r="S539" s="27"/>
      <c r="T539" s="27"/>
      <c r="U539" s="27"/>
      <c r="V539" s="46"/>
      <c r="W539" s="27"/>
      <c r="X539" s="27"/>
      <c r="Y539" s="27"/>
      <c r="Z539" s="46"/>
      <c r="AA539" s="27"/>
      <c r="AB539" s="27"/>
      <c r="AC539" s="27"/>
    </row>
    <row r="540" spans="2:29" x14ac:dyDescent="0.75">
      <c r="B540" s="26"/>
      <c r="C540" s="27"/>
      <c r="D540" s="46"/>
      <c r="E540" s="27"/>
      <c r="F540" s="27"/>
      <c r="G540" s="27"/>
      <c r="H540" s="46"/>
      <c r="I540" s="27"/>
      <c r="J540" s="27"/>
      <c r="K540" s="27"/>
      <c r="L540" s="46"/>
      <c r="M540" s="27"/>
      <c r="N540" s="27"/>
      <c r="O540" s="27"/>
      <c r="P540" s="46"/>
      <c r="Q540" s="27"/>
      <c r="R540" s="27"/>
      <c r="S540" s="27"/>
      <c r="T540" s="27"/>
      <c r="U540" s="27"/>
      <c r="V540" s="46"/>
      <c r="W540" s="27"/>
      <c r="X540" s="27"/>
      <c r="Y540" s="27"/>
      <c r="Z540" s="46"/>
      <c r="AA540" s="27"/>
      <c r="AB540" s="27"/>
      <c r="AC540" s="27"/>
    </row>
    <row r="541" spans="2:29" x14ac:dyDescent="0.75">
      <c r="B541" s="26"/>
      <c r="C541" s="27"/>
      <c r="D541" s="46"/>
      <c r="E541" s="27"/>
      <c r="F541" s="27"/>
      <c r="G541" s="27"/>
      <c r="H541" s="46"/>
      <c r="I541" s="27"/>
      <c r="J541" s="27"/>
      <c r="K541" s="27"/>
      <c r="L541" s="46"/>
      <c r="M541" s="27"/>
      <c r="N541" s="27"/>
      <c r="O541" s="27"/>
      <c r="P541" s="46"/>
      <c r="Q541" s="27"/>
      <c r="R541" s="27"/>
      <c r="S541" s="27"/>
      <c r="T541" s="27"/>
      <c r="U541" s="27"/>
      <c r="V541" s="46"/>
      <c r="W541" s="27"/>
      <c r="X541" s="27"/>
      <c r="Y541" s="27"/>
      <c r="Z541" s="46"/>
      <c r="AA541" s="27"/>
      <c r="AB541" s="27"/>
      <c r="AC541" s="27"/>
    </row>
    <row r="542" spans="2:29" x14ac:dyDescent="0.75">
      <c r="B542" s="26"/>
      <c r="C542" s="27"/>
      <c r="D542" s="46"/>
      <c r="E542" s="27"/>
      <c r="F542" s="27"/>
      <c r="G542" s="27"/>
      <c r="H542" s="46"/>
      <c r="I542" s="27"/>
      <c r="J542" s="27"/>
      <c r="K542" s="27"/>
      <c r="L542" s="46"/>
      <c r="M542" s="27"/>
      <c r="N542" s="27"/>
      <c r="O542" s="27"/>
      <c r="P542" s="46"/>
      <c r="Q542" s="27"/>
      <c r="R542" s="27"/>
      <c r="S542" s="27"/>
      <c r="T542" s="27"/>
      <c r="U542" s="27"/>
      <c r="V542" s="46"/>
      <c r="W542" s="27"/>
      <c r="X542" s="27"/>
      <c r="Y542" s="27"/>
      <c r="Z542" s="46"/>
      <c r="AA542" s="27"/>
      <c r="AB542" s="27"/>
      <c r="AC542" s="27"/>
    </row>
    <row r="543" spans="2:29" x14ac:dyDescent="0.75">
      <c r="B543" s="26"/>
      <c r="C543" s="27"/>
      <c r="D543" s="46"/>
      <c r="E543" s="27"/>
      <c r="F543" s="27"/>
      <c r="G543" s="27"/>
      <c r="H543" s="46"/>
      <c r="I543" s="27"/>
      <c r="J543" s="27"/>
      <c r="K543" s="27"/>
      <c r="L543" s="46"/>
      <c r="M543" s="27"/>
      <c r="N543" s="27"/>
      <c r="O543" s="27"/>
      <c r="P543" s="46"/>
      <c r="Q543" s="27"/>
      <c r="R543" s="27"/>
      <c r="S543" s="27"/>
      <c r="T543" s="27"/>
      <c r="U543" s="27"/>
      <c r="V543" s="46"/>
      <c r="W543" s="27"/>
      <c r="X543" s="27"/>
      <c r="Y543" s="27"/>
      <c r="Z543" s="46"/>
      <c r="AA543" s="27"/>
      <c r="AB543" s="27"/>
      <c r="AC543" s="27"/>
    </row>
    <row r="544" spans="2:29" x14ac:dyDescent="0.75">
      <c r="B544" s="26"/>
      <c r="C544" s="27"/>
      <c r="D544" s="46"/>
      <c r="E544" s="27"/>
      <c r="F544" s="27"/>
      <c r="G544" s="27"/>
      <c r="H544" s="46"/>
      <c r="I544" s="27"/>
      <c r="J544" s="27"/>
      <c r="K544" s="27"/>
      <c r="L544" s="46"/>
      <c r="M544" s="27"/>
      <c r="N544" s="27"/>
      <c r="O544" s="27"/>
      <c r="P544" s="46"/>
      <c r="Q544" s="27"/>
      <c r="R544" s="27"/>
      <c r="S544" s="27"/>
      <c r="T544" s="27"/>
      <c r="U544" s="27"/>
      <c r="V544" s="46"/>
      <c r="W544" s="27"/>
      <c r="X544" s="27"/>
      <c r="Y544" s="27"/>
      <c r="Z544" s="46"/>
      <c r="AA544" s="27"/>
      <c r="AB544" s="27"/>
      <c r="AC544" s="27"/>
    </row>
    <row r="545" spans="2:29" x14ac:dyDescent="0.75">
      <c r="B545" s="26"/>
      <c r="C545" s="27"/>
      <c r="D545" s="46"/>
      <c r="E545" s="27"/>
      <c r="F545" s="27"/>
      <c r="G545" s="27"/>
      <c r="H545" s="46"/>
      <c r="I545" s="27"/>
      <c r="J545" s="27"/>
      <c r="K545" s="27"/>
      <c r="L545" s="46"/>
      <c r="M545" s="27"/>
      <c r="N545" s="27"/>
      <c r="O545" s="27"/>
      <c r="P545" s="46"/>
      <c r="Q545" s="27"/>
      <c r="R545" s="27"/>
      <c r="S545" s="27"/>
      <c r="T545" s="27"/>
      <c r="U545" s="27"/>
      <c r="V545" s="46"/>
      <c r="W545" s="27"/>
      <c r="X545" s="27"/>
      <c r="Y545" s="27"/>
      <c r="Z545" s="46"/>
      <c r="AA545" s="27"/>
      <c r="AB545" s="27"/>
      <c r="AC545" s="27"/>
    </row>
    <row r="546" spans="2:29" x14ac:dyDescent="0.75">
      <c r="B546" s="26"/>
      <c r="C546" s="27"/>
      <c r="D546" s="46"/>
      <c r="E546" s="27"/>
      <c r="F546" s="27"/>
      <c r="G546" s="27"/>
      <c r="H546" s="46"/>
      <c r="I546" s="27"/>
      <c r="J546" s="27"/>
      <c r="K546" s="27"/>
      <c r="L546" s="46"/>
      <c r="M546" s="27"/>
      <c r="N546" s="27"/>
      <c r="O546" s="27"/>
      <c r="P546" s="46"/>
      <c r="Q546" s="27"/>
      <c r="R546" s="27"/>
      <c r="S546" s="27"/>
      <c r="T546" s="27"/>
      <c r="U546" s="27"/>
      <c r="V546" s="46"/>
      <c r="W546" s="27"/>
      <c r="X546" s="27"/>
      <c r="Y546" s="27"/>
      <c r="Z546" s="46"/>
      <c r="AA546" s="27"/>
      <c r="AB546" s="27"/>
      <c r="AC546" s="27"/>
    </row>
    <row r="547" spans="2:29" x14ac:dyDescent="0.75">
      <c r="B547" s="26"/>
      <c r="C547" s="27"/>
      <c r="D547" s="46"/>
      <c r="E547" s="27"/>
      <c r="F547" s="27"/>
      <c r="G547" s="27"/>
      <c r="H547" s="46"/>
      <c r="I547" s="27"/>
      <c r="J547" s="27"/>
      <c r="K547" s="27"/>
      <c r="L547" s="46"/>
      <c r="M547" s="27"/>
      <c r="N547" s="27"/>
      <c r="O547" s="27"/>
      <c r="P547" s="46"/>
      <c r="Q547" s="27"/>
      <c r="R547" s="27"/>
      <c r="S547" s="27"/>
      <c r="T547" s="27"/>
      <c r="U547" s="27"/>
      <c r="V547" s="46"/>
      <c r="W547" s="27"/>
      <c r="X547" s="27"/>
      <c r="Y547" s="27"/>
      <c r="Z547" s="46"/>
      <c r="AA547" s="27"/>
      <c r="AB547" s="27"/>
      <c r="AC547" s="27"/>
    </row>
    <row r="548" spans="2:29" x14ac:dyDescent="0.75">
      <c r="B548" s="26"/>
      <c r="C548" s="27"/>
      <c r="D548" s="46"/>
      <c r="E548" s="27"/>
      <c r="F548" s="27"/>
      <c r="G548" s="27"/>
      <c r="H548" s="46"/>
      <c r="I548" s="27"/>
      <c r="J548" s="27"/>
      <c r="K548" s="27"/>
      <c r="L548" s="46"/>
      <c r="M548" s="27"/>
      <c r="N548" s="27"/>
      <c r="O548" s="27"/>
      <c r="P548" s="46"/>
      <c r="Q548" s="27"/>
      <c r="R548" s="27"/>
      <c r="S548" s="27"/>
      <c r="T548" s="27"/>
      <c r="U548" s="27"/>
      <c r="V548" s="46"/>
      <c r="W548" s="27"/>
      <c r="X548" s="27"/>
      <c r="Y548" s="27"/>
      <c r="Z548" s="46"/>
      <c r="AA548" s="27"/>
      <c r="AB548" s="27"/>
      <c r="AC548" s="27"/>
    </row>
    <row r="549" spans="2:29" x14ac:dyDescent="0.75">
      <c r="B549" s="26"/>
      <c r="C549" s="27"/>
      <c r="D549" s="46"/>
      <c r="E549" s="27"/>
      <c r="F549" s="27"/>
      <c r="G549" s="27"/>
      <c r="H549" s="46"/>
      <c r="I549" s="27"/>
      <c r="J549" s="27"/>
      <c r="K549" s="27"/>
      <c r="L549" s="46"/>
      <c r="M549" s="27"/>
      <c r="N549" s="27"/>
      <c r="O549" s="27"/>
      <c r="P549" s="46"/>
      <c r="Q549" s="27"/>
      <c r="R549" s="27"/>
      <c r="S549" s="27"/>
      <c r="T549" s="27"/>
      <c r="U549" s="27"/>
      <c r="V549" s="46"/>
      <c r="W549" s="27"/>
      <c r="X549" s="27"/>
      <c r="Y549" s="27"/>
      <c r="Z549" s="46"/>
      <c r="AA549" s="27"/>
      <c r="AB549" s="27"/>
      <c r="AC549" s="27"/>
    </row>
    <row r="550" spans="2:29" x14ac:dyDescent="0.75">
      <c r="B550" s="26"/>
      <c r="C550" s="27"/>
      <c r="D550" s="46"/>
      <c r="E550" s="27"/>
      <c r="F550" s="27"/>
      <c r="G550" s="27"/>
      <c r="H550" s="46"/>
      <c r="I550" s="27"/>
      <c r="J550" s="27"/>
      <c r="K550" s="27"/>
      <c r="L550" s="46"/>
      <c r="M550" s="27"/>
      <c r="N550" s="27"/>
      <c r="O550" s="27"/>
      <c r="P550" s="46"/>
      <c r="Q550" s="27"/>
      <c r="R550" s="27"/>
      <c r="S550" s="27"/>
      <c r="T550" s="27"/>
      <c r="U550" s="27"/>
      <c r="V550" s="46"/>
      <c r="W550" s="27"/>
      <c r="X550" s="27"/>
      <c r="Y550" s="27"/>
      <c r="Z550" s="46"/>
      <c r="AA550" s="27"/>
      <c r="AB550" s="27"/>
      <c r="AC550" s="27"/>
    </row>
    <row r="551" spans="2:29" x14ac:dyDescent="0.75">
      <c r="B551" s="26"/>
      <c r="C551" s="27"/>
      <c r="D551" s="46"/>
      <c r="E551" s="27"/>
      <c r="F551" s="27"/>
      <c r="G551" s="27"/>
      <c r="H551" s="46"/>
      <c r="I551" s="27"/>
      <c r="J551" s="27"/>
      <c r="K551" s="27"/>
      <c r="L551" s="46"/>
      <c r="M551" s="27"/>
      <c r="N551" s="27"/>
      <c r="O551" s="27"/>
      <c r="P551" s="46"/>
      <c r="Q551" s="27"/>
      <c r="R551" s="27"/>
      <c r="S551" s="27"/>
      <c r="T551" s="27"/>
      <c r="U551" s="27"/>
      <c r="V551" s="46"/>
      <c r="W551" s="27"/>
      <c r="X551" s="27"/>
      <c r="Y551" s="27"/>
      <c r="Z551" s="46"/>
      <c r="AA551" s="27"/>
      <c r="AB551" s="27"/>
      <c r="AC551" s="27"/>
    </row>
    <row r="552" spans="2:29" x14ac:dyDescent="0.75">
      <c r="B552" s="26"/>
      <c r="C552" s="27"/>
      <c r="D552" s="46"/>
      <c r="E552" s="27"/>
      <c r="F552" s="27"/>
      <c r="G552" s="27"/>
      <c r="H552" s="46"/>
      <c r="I552" s="27"/>
      <c r="J552" s="27"/>
      <c r="K552" s="27"/>
      <c r="L552" s="46"/>
      <c r="M552" s="27"/>
      <c r="N552" s="27"/>
      <c r="O552" s="27"/>
      <c r="P552" s="46"/>
      <c r="Q552" s="27"/>
      <c r="R552" s="27"/>
      <c r="S552" s="27"/>
      <c r="T552" s="27"/>
      <c r="U552" s="27"/>
      <c r="V552" s="46"/>
      <c r="W552" s="27"/>
      <c r="X552" s="27"/>
      <c r="Y552" s="27"/>
      <c r="Z552" s="46"/>
      <c r="AA552" s="27"/>
      <c r="AB552" s="27"/>
      <c r="AC552" s="27"/>
    </row>
    <row r="553" spans="2:29" x14ac:dyDescent="0.75">
      <c r="B553" s="26"/>
      <c r="C553" s="27"/>
      <c r="D553" s="46"/>
      <c r="E553" s="27"/>
      <c r="F553" s="27"/>
      <c r="G553" s="27"/>
      <c r="H553" s="46"/>
      <c r="I553" s="27"/>
      <c r="J553" s="27"/>
      <c r="K553" s="27"/>
      <c r="L553" s="46"/>
      <c r="M553" s="27"/>
      <c r="N553" s="27"/>
      <c r="O553" s="27"/>
      <c r="P553" s="46"/>
      <c r="Q553" s="27"/>
      <c r="R553" s="27"/>
      <c r="S553" s="27"/>
      <c r="T553" s="27"/>
      <c r="U553" s="27"/>
      <c r="V553" s="46"/>
      <c r="W553" s="27"/>
      <c r="X553" s="27"/>
      <c r="Y553" s="27"/>
      <c r="Z553" s="46"/>
      <c r="AA553" s="27"/>
      <c r="AB553" s="27"/>
      <c r="AC553" s="27"/>
    </row>
    <row r="554" spans="2:29" x14ac:dyDescent="0.75">
      <c r="B554" s="26"/>
      <c r="C554" s="27"/>
      <c r="D554" s="46"/>
      <c r="E554" s="27"/>
      <c r="F554" s="27"/>
      <c r="G554" s="27"/>
      <c r="H554" s="46"/>
      <c r="I554" s="27"/>
      <c r="J554" s="27"/>
      <c r="K554" s="27"/>
      <c r="L554" s="46"/>
      <c r="M554" s="27"/>
      <c r="N554" s="27"/>
      <c r="O554" s="27"/>
      <c r="P554" s="46"/>
      <c r="Q554" s="27"/>
      <c r="R554" s="27"/>
      <c r="S554" s="27"/>
      <c r="T554" s="27"/>
      <c r="U554" s="27"/>
      <c r="V554" s="46"/>
      <c r="W554" s="27"/>
      <c r="X554" s="27"/>
      <c r="Y554" s="27"/>
      <c r="Z554" s="46"/>
      <c r="AA554" s="27"/>
      <c r="AB554" s="27"/>
      <c r="AC554" s="27"/>
    </row>
    <row r="555" spans="2:29" x14ac:dyDescent="0.75">
      <c r="B555" s="26"/>
      <c r="C555" s="27"/>
      <c r="D555" s="46"/>
      <c r="E555" s="27"/>
      <c r="F555" s="27"/>
      <c r="G555" s="27"/>
      <c r="H555" s="46"/>
      <c r="I555" s="27"/>
      <c r="J555" s="27"/>
      <c r="K555" s="27"/>
      <c r="L555" s="46"/>
      <c r="M555" s="27"/>
      <c r="N555" s="27"/>
      <c r="O555" s="27"/>
      <c r="P555" s="46"/>
      <c r="Q555" s="27"/>
      <c r="R555" s="27"/>
      <c r="S555" s="27"/>
      <c r="T555" s="27"/>
      <c r="U555" s="27"/>
      <c r="V555" s="46"/>
      <c r="W555" s="27"/>
      <c r="X555" s="27"/>
      <c r="Y555" s="27"/>
      <c r="Z555" s="46"/>
      <c r="AA555" s="27"/>
      <c r="AB555" s="27"/>
      <c r="AC555" s="27"/>
    </row>
    <row r="556" spans="2:29" x14ac:dyDescent="0.75">
      <c r="B556" s="26"/>
      <c r="C556" s="27"/>
      <c r="D556" s="46"/>
      <c r="E556" s="27"/>
      <c r="F556" s="27"/>
      <c r="G556" s="27"/>
      <c r="H556" s="46"/>
      <c r="I556" s="27"/>
      <c r="J556" s="27"/>
      <c r="K556" s="27"/>
      <c r="L556" s="46"/>
      <c r="M556" s="27"/>
      <c r="N556" s="27"/>
      <c r="O556" s="27"/>
      <c r="P556" s="46"/>
      <c r="Q556" s="27"/>
      <c r="R556" s="27"/>
      <c r="S556" s="27"/>
      <c r="T556" s="27"/>
      <c r="U556" s="27"/>
      <c r="V556" s="46"/>
      <c r="W556" s="27"/>
      <c r="X556" s="27"/>
      <c r="Y556" s="27"/>
      <c r="Z556" s="46"/>
      <c r="AA556" s="27"/>
      <c r="AB556" s="27"/>
      <c r="AC556" s="27"/>
    </row>
    <row r="557" spans="2:29" x14ac:dyDescent="0.75">
      <c r="B557" s="26"/>
      <c r="C557" s="27"/>
      <c r="D557" s="46"/>
      <c r="E557" s="27"/>
      <c r="F557" s="27"/>
      <c r="G557" s="27"/>
      <c r="H557" s="46"/>
      <c r="I557" s="27"/>
      <c r="J557" s="27"/>
      <c r="K557" s="27"/>
      <c r="L557" s="46"/>
      <c r="M557" s="27"/>
      <c r="N557" s="27"/>
      <c r="O557" s="27"/>
      <c r="P557" s="46"/>
      <c r="Q557" s="27"/>
      <c r="R557" s="27"/>
      <c r="S557" s="27"/>
      <c r="T557" s="27"/>
      <c r="U557" s="27"/>
      <c r="V557" s="46"/>
      <c r="W557" s="27"/>
      <c r="X557" s="27"/>
      <c r="Y557" s="27"/>
      <c r="Z557" s="46"/>
      <c r="AA557" s="27"/>
      <c r="AB557" s="27"/>
      <c r="AC557" s="27"/>
    </row>
    <row r="558" spans="2:29" x14ac:dyDescent="0.75">
      <c r="B558" s="26"/>
      <c r="C558" s="27"/>
      <c r="D558" s="46"/>
      <c r="E558" s="27"/>
      <c r="F558" s="27"/>
      <c r="G558" s="27"/>
      <c r="H558" s="46"/>
      <c r="I558" s="27"/>
      <c r="J558" s="27"/>
      <c r="K558" s="27"/>
      <c r="L558" s="46"/>
      <c r="M558" s="27"/>
      <c r="N558" s="27"/>
      <c r="O558" s="27"/>
      <c r="P558" s="46"/>
      <c r="Q558" s="27"/>
      <c r="R558" s="27"/>
      <c r="S558" s="27"/>
      <c r="T558" s="27"/>
      <c r="U558" s="27"/>
      <c r="V558" s="46"/>
      <c r="W558" s="27"/>
      <c r="X558" s="27"/>
      <c r="Y558" s="27"/>
      <c r="Z558" s="46"/>
      <c r="AA558" s="27"/>
      <c r="AB558" s="27"/>
      <c r="AC558" s="27"/>
    </row>
    <row r="559" spans="2:29" x14ac:dyDescent="0.75">
      <c r="B559" s="26"/>
      <c r="C559" s="27"/>
      <c r="D559" s="46"/>
      <c r="E559" s="27"/>
      <c r="F559" s="27"/>
      <c r="G559" s="27"/>
      <c r="H559" s="46"/>
      <c r="I559" s="27"/>
      <c r="J559" s="27"/>
      <c r="K559" s="27"/>
      <c r="L559" s="46"/>
      <c r="M559" s="27"/>
      <c r="N559" s="27"/>
      <c r="O559" s="27"/>
      <c r="P559" s="46"/>
      <c r="Q559" s="27"/>
      <c r="R559" s="27"/>
      <c r="S559" s="27"/>
      <c r="T559" s="27"/>
      <c r="U559" s="27"/>
      <c r="V559" s="46"/>
      <c r="W559" s="27"/>
      <c r="X559" s="27"/>
      <c r="Y559" s="27"/>
      <c r="Z559" s="46"/>
      <c r="AA559" s="27"/>
      <c r="AB559" s="27"/>
      <c r="AC559" s="27"/>
    </row>
    <row r="560" spans="2:29" x14ac:dyDescent="0.75">
      <c r="B560" s="26"/>
      <c r="C560" s="27"/>
      <c r="D560" s="46"/>
      <c r="E560" s="27"/>
      <c r="F560" s="27"/>
      <c r="G560" s="27"/>
      <c r="H560" s="46"/>
      <c r="I560" s="27"/>
      <c r="J560" s="27"/>
      <c r="K560" s="27"/>
      <c r="L560" s="46"/>
      <c r="M560" s="27"/>
      <c r="N560" s="27"/>
      <c r="O560" s="27"/>
      <c r="P560" s="46"/>
      <c r="Q560" s="27"/>
      <c r="R560" s="27"/>
      <c r="S560" s="27"/>
      <c r="T560" s="27"/>
      <c r="U560" s="27"/>
      <c r="V560" s="46"/>
      <c r="W560" s="27"/>
      <c r="X560" s="27"/>
      <c r="Y560" s="27"/>
      <c r="Z560" s="46"/>
      <c r="AA560" s="27"/>
      <c r="AB560" s="27"/>
      <c r="AC560" s="27"/>
    </row>
    <row r="561" spans="2:29" x14ac:dyDescent="0.75">
      <c r="B561" s="26"/>
      <c r="C561" s="27"/>
      <c r="D561" s="46"/>
      <c r="E561" s="27"/>
      <c r="F561" s="27"/>
      <c r="G561" s="27"/>
      <c r="H561" s="46"/>
      <c r="I561" s="27"/>
      <c r="J561" s="27"/>
      <c r="K561" s="27"/>
      <c r="L561" s="46"/>
      <c r="M561" s="27"/>
      <c r="N561" s="27"/>
      <c r="O561" s="27"/>
      <c r="P561" s="46"/>
      <c r="Q561" s="27"/>
      <c r="R561" s="27"/>
      <c r="S561" s="27"/>
      <c r="T561" s="27"/>
      <c r="U561" s="27"/>
      <c r="V561" s="46"/>
      <c r="W561" s="27"/>
      <c r="X561" s="27"/>
      <c r="Y561" s="27"/>
      <c r="Z561" s="46"/>
      <c r="AA561" s="27"/>
      <c r="AB561" s="27"/>
      <c r="AC561" s="27"/>
    </row>
    <row r="562" spans="2:29" x14ac:dyDescent="0.75">
      <c r="B562" s="26"/>
      <c r="C562" s="27"/>
      <c r="D562" s="46"/>
      <c r="E562" s="27"/>
      <c r="F562" s="27"/>
      <c r="G562" s="27"/>
      <c r="H562" s="46"/>
      <c r="I562" s="27"/>
      <c r="J562" s="27"/>
      <c r="K562" s="27"/>
      <c r="L562" s="46"/>
      <c r="M562" s="27"/>
      <c r="N562" s="27"/>
      <c r="O562" s="27"/>
      <c r="P562" s="46"/>
      <c r="Q562" s="27"/>
      <c r="R562" s="27"/>
      <c r="S562" s="27"/>
      <c r="T562" s="27"/>
      <c r="U562" s="27"/>
      <c r="V562" s="46"/>
      <c r="W562" s="27"/>
      <c r="X562" s="27"/>
      <c r="Y562" s="27"/>
      <c r="Z562" s="46"/>
      <c r="AA562" s="27"/>
      <c r="AB562" s="27"/>
      <c r="AC562" s="27"/>
    </row>
    <row r="563" spans="2:29" x14ac:dyDescent="0.75">
      <c r="B563" s="26"/>
      <c r="C563" s="27"/>
      <c r="D563" s="46"/>
      <c r="E563" s="27"/>
      <c r="F563" s="27"/>
      <c r="G563" s="27"/>
      <c r="H563" s="46"/>
      <c r="I563" s="27"/>
      <c r="J563" s="27"/>
      <c r="K563" s="27"/>
      <c r="L563" s="46"/>
      <c r="M563" s="27"/>
      <c r="N563" s="27"/>
      <c r="O563" s="27"/>
      <c r="P563" s="46"/>
      <c r="Q563" s="27"/>
      <c r="R563" s="27"/>
      <c r="S563" s="27"/>
      <c r="T563" s="27"/>
      <c r="U563" s="27"/>
      <c r="V563" s="46"/>
      <c r="W563" s="27"/>
      <c r="X563" s="27"/>
      <c r="Y563" s="27"/>
      <c r="Z563" s="46"/>
      <c r="AA563" s="27"/>
      <c r="AB563" s="27"/>
      <c r="AC563" s="27"/>
    </row>
    <row r="564" spans="2:29" x14ac:dyDescent="0.75">
      <c r="B564" s="26"/>
      <c r="C564" s="27"/>
      <c r="D564" s="46"/>
      <c r="E564" s="27"/>
      <c r="F564" s="27"/>
      <c r="G564" s="27"/>
      <c r="H564" s="46"/>
      <c r="I564" s="27"/>
      <c r="J564" s="27"/>
      <c r="K564" s="27"/>
      <c r="L564" s="46"/>
      <c r="M564" s="27"/>
      <c r="N564" s="27"/>
      <c r="O564" s="27"/>
      <c r="P564" s="46"/>
      <c r="Q564" s="27"/>
      <c r="R564" s="27"/>
      <c r="S564" s="27"/>
      <c r="T564" s="27"/>
      <c r="U564" s="27"/>
      <c r="V564" s="46"/>
      <c r="W564" s="27"/>
      <c r="X564" s="27"/>
      <c r="Y564" s="27"/>
      <c r="Z564" s="46"/>
      <c r="AA564" s="27"/>
      <c r="AB564" s="27"/>
      <c r="AC564" s="27"/>
    </row>
    <row r="565" spans="2:29" x14ac:dyDescent="0.75">
      <c r="B565" s="26"/>
      <c r="C565" s="27"/>
      <c r="D565" s="46"/>
      <c r="E565" s="27"/>
      <c r="F565" s="27"/>
      <c r="G565" s="27"/>
      <c r="H565" s="46"/>
      <c r="I565" s="27"/>
      <c r="J565" s="27"/>
      <c r="K565" s="27"/>
      <c r="L565" s="46"/>
      <c r="M565" s="27"/>
      <c r="N565" s="27"/>
      <c r="O565" s="27"/>
      <c r="P565" s="46"/>
      <c r="Q565" s="27"/>
      <c r="R565" s="27"/>
      <c r="S565" s="27"/>
      <c r="T565" s="27"/>
      <c r="U565" s="27"/>
      <c r="V565" s="46"/>
      <c r="W565" s="27"/>
      <c r="X565" s="27"/>
      <c r="Y565" s="27"/>
      <c r="Z565" s="46"/>
      <c r="AA565" s="27"/>
      <c r="AB565" s="27"/>
      <c r="AC565" s="27"/>
    </row>
    <row r="566" spans="2:29" x14ac:dyDescent="0.75">
      <c r="B566" s="26"/>
      <c r="C566" s="27"/>
      <c r="D566" s="46"/>
      <c r="E566" s="27"/>
      <c r="F566" s="27"/>
      <c r="G566" s="27"/>
      <c r="H566" s="46"/>
      <c r="I566" s="27"/>
      <c r="J566" s="27"/>
      <c r="K566" s="27"/>
      <c r="L566" s="46"/>
      <c r="M566" s="27"/>
      <c r="N566" s="27"/>
      <c r="O566" s="27"/>
      <c r="P566" s="46"/>
      <c r="Q566" s="27"/>
      <c r="R566" s="27"/>
      <c r="S566" s="27"/>
      <c r="T566" s="27"/>
      <c r="U566" s="27"/>
      <c r="V566" s="46"/>
      <c r="W566" s="27"/>
      <c r="X566" s="27"/>
      <c r="Y566" s="27"/>
      <c r="Z566" s="46"/>
      <c r="AA566" s="27"/>
      <c r="AB566" s="27"/>
      <c r="AC566" s="27"/>
    </row>
    <row r="567" spans="2:29" x14ac:dyDescent="0.75">
      <c r="B567" s="26"/>
      <c r="C567" s="27"/>
      <c r="D567" s="46"/>
      <c r="E567" s="27"/>
      <c r="F567" s="27"/>
      <c r="G567" s="27"/>
      <c r="H567" s="46"/>
      <c r="I567" s="27"/>
      <c r="J567" s="27"/>
      <c r="K567" s="27"/>
      <c r="L567" s="46"/>
      <c r="M567" s="27"/>
      <c r="N567" s="27"/>
      <c r="O567" s="27"/>
      <c r="P567" s="46"/>
      <c r="Q567" s="27"/>
      <c r="R567" s="27"/>
      <c r="S567" s="27"/>
      <c r="T567" s="27"/>
      <c r="U567" s="27"/>
      <c r="V567" s="46"/>
      <c r="W567" s="27"/>
      <c r="X567" s="27"/>
      <c r="Y567" s="27"/>
      <c r="Z567" s="46"/>
      <c r="AA567" s="27"/>
      <c r="AB567" s="27"/>
      <c r="AC567" s="27"/>
    </row>
    <row r="568" spans="2:29" x14ac:dyDescent="0.75">
      <c r="B568" s="26"/>
      <c r="C568" s="27"/>
      <c r="D568" s="46"/>
      <c r="E568" s="27"/>
      <c r="F568" s="27"/>
      <c r="G568" s="27"/>
      <c r="H568" s="46"/>
      <c r="I568" s="27"/>
      <c r="J568" s="27"/>
      <c r="K568" s="27"/>
      <c r="L568" s="46"/>
      <c r="M568" s="27"/>
      <c r="N568" s="27"/>
      <c r="O568" s="27"/>
      <c r="P568" s="46"/>
      <c r="Q568" s="27"/>
      <c r="R568" s="27"/>
      <c r="S568" s="27"/>
      <c r="T568" s="27"/>
      <c r="U568" s="27"/>
      <c r="V568" s="46"/>
      <c r="W568" s="27"/>
      <c r="X568" s="27"/>
      <c r="Y568" s="27"/>
      <c r="Z568" s="46"/>
      <c r="AA568" s="27"/>
      <c r="AB568" s="27"/>
      <c r="AC568" s="27"/>
    </row>
    <row r="569" spans="2:29" x14ac:dyDescent="0.75">
      <c r="B569" s="26"/>
      <c r="C569" s="27"/>
      <c r="D569" s="46"/>
      <c r="E569" s="27"/>
      <c r="F569" s="27"/>
      <c r="G569" s="27"/>
      <c r="H569" s="46"/>
      <c r="I569" s="27"/>
      <c r="J569" s="27"/>
      <c r="K569" s="27"/>
      <c r="L569" s="46"/>
      <c r="M569" s="27"/>
      <c r="N569" s="27"/>
      <c r="O569" s="27"/>
      <c r="P569" s="46"/>
      <c r="Q569" s="27"/>
      <c r="R569" s="27"/>
      <c r="S569" s="27"/>
      <c r="T569" s="27"/>
      <c r="U569" s="27"/>
      <c r="V569" s="46"/>
      <c r="W569" s="27"/>
      <c r="X569" s="27"/>
      <c r="Y569" s="27"/>
      <c r="Z569" s="46"/>
      <c r="AA569" s="27"/>
      <c r="AB569" s="27"/>
      <c r="AC569" s="27"/>
    </row>
    <row r="570" spans="2:29" x14ac:dyDescent="0.75">
      <c r="B570" s="26"/>
      <c r="C570" s="27"/>
      <c r="D570" s="46"/>
      <c r="E570" s="27"/>
      <c r="F570" s="27"/>
      <c r="G570" s="27"/>
      <c r="H570" s="46"/>
      <c r="I570" s="27"/>
      <c r="J570" s="27"/>
      <c r="K570" s="27"/>
      <c r="L570" s="46"/>
      <c r="M570" s="27"/>
      <c r="N570" s="27"/>
      <c r="O570" s="27"/>
      <c r="P570" s="46"/>
      <c r="Q570" s="27"/>
      <c r="R570" s="27"/>
      <c r="S570" s="27"/>
      <c r="T570" s="27"/>
      <c r="U570" s="27"/>
      <c r="V570" s="46"/>
      <c r="W570" s="27"/>
      <c r="X570" s="27"/>
      <c r="Y570" s="27"/>
      <c r="Z570" s="46"/>
      <c r="AA570" s="27"/>
      <c r="AB570" s="27"/>
      <c r="AC570" s="27"/>
    </row>
    <row r="571" spans="2:29" x14ac:dyDescent="0.75">
      <c r="B571" s="26"/>
      <c r="C571" s="27"/>
      <c r="D571" s="46"/>
      <c r="E571" s="27"/>
      <c r="F571" s="27"/>
      <c r="G571" s="27"/>
      <c r="H571" s="46"/>
      <c r="I571" s="27"/>
      <c r="J571" s="27"/>
      <c r="K571" s="27"/>
      <c r="L571" s="46"/>
      <c r="M571" s="27"/>
      <c r="N571" s="27"/>
      <c r="O571" s="27"/>
      <c r="P571" s="46"/>
      <c r="Q571" s="27"/>
      <c r="R571" s="27"/>
      <c r="S571" s="27"/>
      <c r="T571" s="27"/>
      <c r="U571" s="27"/>
      <c r="V571" s="46"/>
      <c r="W571" s="27"/>
      <c r="X571" s="27"/>
      <c r="Y571" s="27"/>
      <c r="Z571" s="46"/>
      <c r="AA571" s="27"/>
      <c r="AB571" s="27"/>
      <c r="AC571" s="27"/>
    </row>
    <row r="572" spans="2:29" x14ac:dyDescent="0.75">
      <c r="B572" s="26"/>
      <c r="C572" s="27"/>
      <c r="D572" s="46"/>
      <c r="E572" s="27"/>
      <c r="F572" s="27"/>
      <c r="G572" s="27"/>
      <c r="H572" s="46"/>
      <c r="I572" s="27"/>
      <c r="J572" s="27"/>
      <c r="K572" s="27"/>
      <c r="L572" s="46"/>
      <c r="M572" s="27"/>
      <c r="N572" s="27"/>
      <c r="O572" s="27"/>
      <c r="P572" s="46"/>
      <c r="Q572" s="27"/>
      <c r="R572" s="27"/>
      <c r="S572" s="27"/>
      <c r="T572" s="27"/>
      <c r="U572" s="27"/>
      <c r="V572" s="46"/>
      <c r="W572" s="27"/>
      <c r="X572" s="27"/>
      <c r="Y572" s="27"/>
      <c r="Z572" s="46"/>
      <c r="AA572" s="27"/>
      <c r="AB572" s="27"/>
      <c r="AC572" s="27"/>
    </row>
    <row r="573" spans="2:29" x14ac:dyDescent="0.75">
      <c r="B573" s="26"/>
      <c r="C573" s="27"/>
      <c r="D573" s="46"/>
      <c r="E573" s="27"/>
      <c r="F573" s="27"/>
      <c r="G573" s="27"/>
      <c r="H573" s="46"/>
      <c r="I573" s="27"/>
      <c r="J573" s="27"/>
      <c r="K573" s="27"/>
      <c r="L573" s="46"/>
      <c r="M573" s="27"/>
      <c r="N573" s="27"/>
      <c r="O573" s="27"/>
      <c r="P573" s="46"/>
      <c r="Q573" s="27"/>
      <c r="R573" s="27"/>
      <c r="S573" s="27"/>
      <c r="T573" s="27"/>
      <c r="U573" s="27"/>
      <c r="V573" s="46"/>
      <c r="W573" s="27"/>
      <c r="X573" s="27"/>
      <c r="Y573" s="27"/>
      <c r="Z573" s="46"/>
      <c r="AA573" s="27"/>
      <c r="AB573" s="27"/>
      <c r="AC573" s="27"/>
    </row>
    <row r="574" spans="2:29" x14ac:dyDescent="0.75">
      <c r="B574" s="26"/>
      <c r="C574" s="27"/>
      <c r="D574" s="46"/>
      <c r="E574" s="27"/>
      <c r="F574" s="27"/>
      <c r="G574" s="27"/>
      <c r="H574" s="46"/>
      <c r="I574" s="27"/>
      <c r="J574" s="27"/>
      <c r="K574" s="27"/>
      <c r="L574" s="46"/>
      <c r="M574" s="27"/>
      <c r="N574" s="27"/>
      <c r="O574" s="27"/>
      <c r="P574" s="46"/>
      <c r="Q574" s="27"/>
      <c r="R574" s="27"/>
      <c r="S574" s="27"/>
      <c r="T574" s="27"/>
      <c r="U574" s="27"/>
      <c r="V574" s="46"/>
      <c r="W574" s="27"/>
      <c r="X574" s="27"/>
      <c r="Y574" s="27"/>
      <c r="Z574" s="46"/>
      <c r="AA574" s="27"/>
      <c r="AB574" s="27"/>
      <c r="AC574" s="27"/>
    </row>
    <row r="575" spans="2:29" x14ac:dyDescent="0.75">
      <c r="B575" s="26"/>
      <c r="C575" s="27"/>
      <c r="D575" s="46"/>
      <c r="E575" s="27"/>
      <c r="F575" s="27"/>
      <c r="G575" s="27"/>
      <c r="H575" s="46"/>
      <c r="I575" s="27"/>
      <c r="J575" s="27"/>
      <c r="K575" s="27"/>
      <c r="L575" s="46"/>
      <c r="M575" s="27"/>
      <c r="N575" s="27"/>
      <c r="O575" s="27"/>
      <c r="P575" s="46"/>
      <c r="Q575" s="27"/>
      <c r="R575" s="27"/>
      <c r="S575" s="27"/>
      <c r="T575" s="27"/>
      <c r="U575" s="27"/>
      <c r="V575" s="46"/>
      <c r="W575" s="27"/>
      <c r="X575" s="27"/>
      <c r="Y575" s="27"/>
      <c r="Z575" s="46"/>
      <c r="AA575" s="27"/>
      <c r="AB575" s="27"/>
      <c r="AC575" s="27"/>
    </row>
    <row r="576" spans="2:29" x14ac:dyDescent="0.75">
      <c r="B576" s="26"/>
      <c r="C576" s="27"/>
      <c r="D576" s="46"/>
      <c r="E576" s="27"/>
      <c r="F576" s="27"/>
      <c r="G576" s="27"/>
      <c r="H576" s="46"/>
      <c r="I576" s="27"/>
      <c r="J576" s="27"/>
      <c r="K576" s="27"/>
      <c r="L576" s="46"/>
      <c r="M576" s="27"/>
      <c r="N576" s="27"/>
      <c r="O576" s="27"/>
      <c r="P576" s="46"/>
      <c r="Q576" s="27"/>
      <c r="R576" s="27"/>
      <c r="S576" s="27"/>
      <c r="T576" s="27"/>
      <c r="U576" s="27"/>
      <c r="V576" s="46"/>
      <c r="W576" s="27"/>
      <c r="X576" s="27"/>
      <c r="Y576" s="27"/>
      <c r="Z576" s="46"/>
      <c r="AA576" s="27"/>
      <c r="AB576" s="27"/>
      <c r="AC576" s="27"/>
    </row>
    <row r="577" spans="2:29" x14ac:dyDescent="0.75">
      <c r="B577" s="26"/>
      <c r="C577" s="27"/>
      <c r="D577" s="46"/>
      <c r="E577" s="27"/>
      <c r="F577" s="27"/>
      <c r="G577" s="27"/>
      <c r="H577" s="46"/>
      <c r="I577" s="27"/>
      <c r="J577" s="27"/>
      <c r="K577" s="27"/>
      <c r="L577" s="46"/>
      <c r="M577" s="27"/>
      <c r="N577" s="27"/>
      <c r="O577" s="27"/>
      <c r="P577" s="46"/>
      <c r="Q577" s="27"/>
      <c r="R577" s="27"/>
      <c r="S577" s="27"/>
      <c r="T577" s="27"/>
      <c r="U577" s="27"/>
      <c r="V577" s="46"/>
      <c r="W577" s="27"/>
      <c r="X577" s="27"/>
      <c r="Y577" s="27"/>
      <c r="Z577" s="46"/>
      <c r="AA577" s="27"/>
      <c r="AB577" s="27"/>
      <c r="AC577" s="27"/>
    </row>
    <row r="578" spans="2:29" x14ac:dyDescent="0.75">
      <c r="B578" s="26"/>
      <c r="C578" s="27"/>
      <c r="D578" s="46"/>
      <c r="E578" s="27"/>
      <c r="F578" s="27"/>
      <c r="G578" s="27"/>
      <c r="H578" s="46"/>
      <c r="I578" s="27"/>
      <c r="J578" s="27"/>
      <c r="K578" s="27"/>
      <c r="L578" s="46"/>
      <c r="M578" s="27"/>
      <c r="N578" s="27"/>
      <c r="O578" s="27"/>
      <c r="P578" s="46"/>
      <c r="Q578" s="27"/>
      <c r="R578" s="27"/>
      <c r="S578" s="27"/>
      <c r="T578" s="27"/>
      <c r="U578" s="27"/>
      <c r="V578" s="46"/>
      <c r="W578" s="27"/>
      <c r="X578" s="27"/>
      <c r="Y578" s="27"/>
      <c r="Z578" s="46"/>
      <c r="AA578" s="27"/>
      <c r="AB578" s="27"/>
      <c r="AC578" s="27"/>
    </row>
    <row r="579" spans="2:29" x14ac:dyDescent="0.75">
      <c r="B579" s="26"/>
      <c r="C579" s="27"/>
      <c r="D579" s="46"/>
      <c r="E579" s="27"/>
      <c r="F579" s="27"/>
      <c r="G579" s="27"/>
      <c r="H579" s="46"/>
      <c r="I579" s="27"/>
      <c r="J579" s="27"/>
      <c r="K579" s="27"/>
      <c r="L579" s="46"/>
      <c r="M579" s="27"/>
      <c r="N579" s="27"/>
      <c r="O579" s="27"/>
      <c r="P579" s="46"/>
      <c r="Q579" s="27"/>
      <c r="R579" s="27"/>
      <c r="S579" s="27"/>
      <c r="T579" s="27"/>
      <c r="U579" s="27"/>
      <c r="V579" s="46"/>
      <c r="W579" s="27"/>
      <c r="X579" s="27"/>
      <c r="Y579" s="27"/>
      <c r="Z579" s="46"/>
      <c r="AA579" s="27"/>
      <c r="AB579" s="27"/>
      <c r="AC579" s="27"/>
    </row>
    <row r="580" spans="2:29" x14ac:dyDescent="0.75">
      <c r="B580" s="26"/>
      <c r="C580" s="27"/>
      <c r="D580" s="46"/>
      <c r="E580" s="27"/>
      <c r="F580" s="27"/>
      <c r="G580" s="27"/>
      <c r="H580" s="46"/>
      <c r="I580" s="27"/>
      <c r="J580" s="27"/>
      <c r="K580" s="27"/>
      <c r="L580" s="46"/>
      <c r="M580" s="27"/>
      <c r="N580" s="27"/>
      <c r="O580" s="27"/>
      <c r="P580" s="46"/>
      <c r="Q580" s="27"/>
      <c r="R580" s="27"/>
      <c r="S580" s="27"/>
      <c r="T580" s="27"/>
      <c r="U580" s="27"/>
      <c r="V580" s="46"/>
      <c r="W580" s="27"/>
      <c r="X580" s="27"/>
      <c r="Y580" s="27"/>
      <c r="Z580" s="46"/>
      <c r="AA580" s="27"/>
      <c r="AB580" s="27"/>
      <c r="AC580" s="27"/>
    </row>
    <row r="581" spans="2:29" x14ac:dyDescent="0.75">
      <c r="B581" s="26"/>
      <c r="C581" s="27"/>
      <c r="D581" s="46"/>
      <c r="E581" s="27"/>
      <c r="F581" s="27"/>
      <c r="G581" s="27"/>
      <c r="H581" s="46"/>
      <c r="I581" s="27"/>
      <c r="J581" s="27"/>
      <c r="K581" s="27"/>
      <c r="L581" s="46"/>
      <c r="M581" s="27"/>
      <c r="N581" s="27"/>
      <c r="O581" s="27"/>
      <c r="P581" s="46"/>
      <c r="Q581" s="27"/>
      <c r="R581" s="27"/>
      <c r="S581" s="27"/>
      <c r="T581" s="27"/>
      <c r="U581" s="27"/>
      <c r="V581" s="46"/>
      <c r="W581" s="27"/>
      <c r="X581" s="27"/>
      <c r="Y581" s="27"/>
      <c r="Z581" s="46"/>
      <c r="AA581" s="27"/>
      <c r="AB581" s="27"/>
      <c r="AC581" s="27"/>
    </row>
    <row r="582" spans="2:29" x14ac:dyDescent="0.75">
      <c r="B582" s="26"/>
      <c r="C582" s="27"/>
      <c r="D582" s="46"/>
      <c r="E582" s="27"/>
      <c r="F582" s="27"/>
      <c r="G582" s="27"/>
      <c r="H582" s="46"/>
      <c r="I582" s="27"/>
      <c r="J582" s="27"/>
      <c r="K582" s="27"/>
      <c r="L582" s="46"/>
      <c r="M582" s="27"/>
      <c r="N582" s="27"/>
      <c r="O582" s="27"/>
      <c r="P582" s="46"/>
      <c r="Q582" s="27"/>
      <c r="R582" s="27"/>
      <c r="S582" s="27"/>
      <c r="T582" s="27"/>
      <c r="U582" s="27"/>
      <c r="V582" s="46"/>
      <c r="W582" s="27"/>
      <c r="X582" s="27"/>
      <c r="Y582" s="27"/>
      <c r="Z582" s="46"/>
      <c r="AA582" s="27"/>
      <c r="AB582" s="27"/>
      <c r="AC582" s="27"/>
    </row>
    <row r="583" spans="2:29" x14ac:dyDescent="0.75">
      <c r="B583" s="26"/>
      <c r="C583" s="27"/>
      <c r="D583" s="46"/>
      <c r="E583" s="27"/>
      <c r="F583" s="27"/>
      <c r="G583" s="27"/>
      <c r="H583" s="46"/>
      <c r="I583" s="27"/>
      <c r="J583" s="27"/>
      <c r="K583" s="27"/>
      <c r="L583" s="46"/>
      <c r="M583" s="27"/>
      <c r="N583" s="27"/>
      <c r="O583" s="27"/>
      <c r="P583" s="46"/>
      <c r="Q583" s="27"/>
      <c r="R583" s="27"/>
      <c r="S583" s="27"/>
      <c r="T583" s="27"/>
      <c r="U583" s="27"/>
      <c r="V583" s="46"/>
      <c r="W583" s="27"/>
      <c r="X583" s="27"/>
      <c r="Y583" s="27"/>
      <c r="Z583" s="46"/>
      <c r="AA583" s="27"/>
      <c r="AB583" s="27"/>
      <c r="AC583" s="27"/>
    </row>
    <row r="584" spans="2:29" x14ac:dyDescent="0.75">
      <c r="B584" s="26"/>
      <c r="C584" s="27"/>
      <c r="D584" s="46"/>
      <c r="E584" s="27"/>
      <c r="F584" s="27"/>
      <c r="G584" s="27"/>
      <c r="H584" s="46"/>
      <c r="I584" s="27"/>
      <c r="J584" s="27"/>
      <c r="K584" s="27"/>
      <c r="L584" s="46"/>
      <c r="M584" s="27"/>
      <c r="N584" s="27"/>
      <c r="O584" s="27"/>
      <c r="P584" s="46"/>
      <c r="Q584" s="27"/>
      <c r="R584" s="27"/>
      <c r="S584" s="27"/>
      <c r="T584" s="27"/>
      <c r="U584" s="27"/>
      <c r="V584" s="46"/>
      <c r="W584" s="27"/>
      <c r="X584" s="27"/>
      <c r="Y584" s="27"/>
      <c r="Z584" s="46"/>
      <c r="AA584" s="27"/>
      <c r="AB584" s="27"/>
      <c r="AC584" s="27"/>
    </row>
    <row r="585" spans="2:29" x14ac:dyDescent="0.75">
      <c r="B585" s="26"/>
      <c r="C585" s="27"/>
      <c r="D585" s="46"/>
      <c r="E585" s="27"/>
      <c r="F585" s="27"/>
      <c r="G585" s="27"/>
      <c r="H585" s="46"/>
      <c r="I585" s="27"/>
      <c r="J585" s="27"/>
      <c r="K585" s="27"/>
      <c r="L585" s="46"/>
      <c r="M585" s="27"/>
      <c r="N585" s="27"/>
      <c r="O585" s="27"/>
      <c r="P585" s="46"/>
      <c r="Q585" s="27"/>
      <c r="R585" s="27"/>
      <c r="S585" s="27"/>
      <c r="T585" s="27"/>
      <c r="U585" s="27"/>
      <c r="V585" s="46"/>
      <c r="W585" s="27"/>
      <c r="X585" s="27"/>
      <c r="Y585" s="27"/>
      <c r="Z585" s="46"/>
      <c r="AA585" s="27"/>
      <c r="AB585" s="27"/>
      <c r="AC585" s="27"/>
    </row>
    <row r="586" spans="2:29" x14ac:dyDescent="0.75">
      <c r="B586" s="26"/>
      <c r="C586" s="27"/>
      <c r="D586" s="46"/>
      <c r="E586" s="27"/>
      <c r="F586" s="27"/>
      <c r="G586" s="27"/>
      <c r="H586" s="46"/>
      <c r="I586" s="27"/>
      <c r="J586" s="27"/>
      <c r="K586" s="27"/>
      <c r="L586" s="46"/>
      <c r="M586" s="27"/>
      <c r="N586" s="27"/>
      <c r="O586" s="27"/>
      <c r="P586" s="46"/>
      <c r="Q586" s="27"/>
      <c r="R586" s="27"/>
      <c r="S586" s="27"/>
      <c r="T586" s="27"/>
      <c r="U586" s="27"/>
      <c r="V586" s="46"/>
      <c r="W586" s="27"/>
      <c r="X586" s="27"/>
      <c r="Y586" s="27"/>
      <c r="Z586" s="46"/>
      <c r="AA586" s="27"/>
      <c r="AB586" s="27"/>
      <c r="AC586" s="27"/>
    </row>
    <row r="587" spans="2:29" x14ac:dyDescent="0.75">
      <c r="B587" s="26"/>
      <c r="C587" s="27"/>
      <c r="D587" s="46"/>
      <c r="E587" s="27"/>
      <c r="F587" s="27"/>
      <c r="G587" s="27"/>
      <c r="H587" s="46"/>
      <c r="I587" s="27"/>
      <c r="J587" s="27"/>
      <c r="K587" s="27"/>
      <c r="L587" s="46"/>
      <c r="M587" s="27"/>
      <c r="N587" s="27"/>
      <c r="O587" s="27"/>
      <c r="P587" s="46"/>
      <c r="Q587" s="27"/>
      <c r="R587" s="27"/>
      <c r="S587" s="27"/>
      <c r="T587" s="27"/>
      <c r="U587" s="27"/>
      <c r="V587" s="46"/>
      <c r="W587" s="27"/>
      <c r="X587" s="27"/>
      <c r="Y587" s="27"/>
      <c r="Z587" s="46"/>
      <c r="AA587" s="27"/>
      <c r="AB587" s="27"/>
      <c r="AC587" s="27"/>
    </row>
    <row r="588" spans="2:29" x14ac:dyDescent="0.75">
      <c r="B588" s="26"/>
      <c r="C588" s="27"/>
      <c r="D588" s="46"/>
      <c r="E588" s="27"/>
      <c r="F588" s="27"/>
      <c r="G588" s="27"/>
      <c r="H588" s="46"/>
      <c r="I588" s="27"/>
      <c r="J588" s="27"/>
      <c r="K588" s="27"/>
      <c r="L588" s="46"/>
      <c r="M588" s="27"/>
      <c r="N588" s="27"/>
      <c r="O588" s="27"/>
      <c r="P588" s="46"/>
      <c r="Q588" s="27"/>
      <c r="R588" s="27"/>
      <c r="S588" s="27"/>
      <c r="T588" s="27"/>
      <c r="U588" s="27"/>
      <c r="V588" s="46"/>
      <c r="W588" s="27"/>
      <c r="X588" s="27"/>
      <c r="Y588" s="27"/>
      <c r="Z588" s="46"/>
      <c r="AA588" s="27"/>
      <c r="AB588" s="27"/>
      <c r="AC588" s="27"/>
    </row>
    <row r="589" spans="2:29" x14ac:dyDescent="0.75">
      <c r="B589" s="26"/>
      <c r="C589" s="27"/>
      <c r="D589" s="46"/>
      <c r="E589" s="27"/>
      <c r="F589" s="27"/>
      <c r="G589" s="27"/>
      <c r="H589" s="46"/>
      <c r="I589" s="27"/>
      <c r="J589" s="27"/>
      <c r="K589" s="27"/>
      <c r="L589" s="46"/>
      <c r="M589" s="27"/>
      <c r="N589" s="27"/>
      <c r="O589" s="27"/>
      <c r="P589" s="46"/>
      <c r="Q589" s="27"/>
      <c r="R589" s="27"/>
      <c r="S589" s="27"/>
      <c r="T589" s="27"/>
      <c r="U589" s="27"/>
      <c r="V589" s="46"/>
      <c r="W589" s="27"/>
      <c r="X589" s="27"/>
      <c r="Y589" s="27"/>
      <c r="Z589" s="46"/>
      <c r="AA589" s="27"/>
      <c r="AB589" s="27"/>
      <c r="AC589" s="27"/>
    </row>
    <row r="590" spans="2:29" x14ac:dyDescent="0.75">
      <c r="B590" s="26"/>
      <c r="C590" s="27"/>
      <c r="D590" s="46"/>
      <c r="E590" s="27"/>
      <c r="F590" s="27"/>
      <c r="G590" s="27"/>
      <c r="H590" s="46"/>
      <c r="I590" s="27"/>
      <c r="J590" s="27"/>
      <c r="K590" s="27"/>
      <c r="L590" s="46"/>
      <c r="M590" s="27"/>
      <c r="N590" s="27"/>
      <c r="O590" s="27"/>
      <c r="P590" s="46"/>
      <c r="Q590" s="27"/>
      <c r="R590" s="27"/>
      <c r="S590" s="27"/>
      <c r="T590" s="27"/>
      <c r="U590" s="27"/>
      <c r="V590" s="46"/>
      <c r="W590" s="27"/>
      <c r="X590" s="27"/>
      <c r="Y590" s="27"/>
      <c r="Z590" s="46"/>
      <c r="AA590" s="27"/>
      <c r="AB590" s="27"/>
      <c r="AC590" s="27"/>
    </row>
    <row r="591" spans="2:29" x14ac:dyDescent="0.75">
      <c r="B591" s="26"/>
      <c r="C591" s="27"/>
      <c r="D591" s="46"/>
      <c r="E591" s="27"/>
      <c r="F591" s="27"/>
      <c r="G591" s="27"/>
      <c r="H591" s="46"/>
      <c r="I591" s="27"/>
      <c r="J591" s="27"/>
      <c r="K591" s="27"/>
      <c r="L591" s="46"/>
      <c r="M591" s="27"/>
      <c r="N591" s="27"/>
      <c r="O591" s="27"/>
      <c r="P591" s="46"/>
      <c r="Q591" s="27"/>
      <c r="R591" s="27"/>
      <c r="S591" s="27"/>
      <c r="T591" s="27"/>
      <c r="U591" s="27"/>
      <c r="V591" s="46"/>
      <c r="W591" s="27"/>
      <c r="X591" s="27"/>
      <c r="Y591" s="27"/>
      <c r="Z591" s="46"/>
      <c r="AA591" s="27"/>
      <c r="AB591" s="27"/>
      <c r="AC591" s="27"/>
    </row>
    <row r="592" spans="2:29" x14ac:dyDescent="0.75">
      <c r="B592" s="26"/>
      <c r="C592" s="27"/>
      <c r="D592" s="46"/>
      <c r="E592" s="27"/>
      <c r="F592" s="27"/>
      <c r="G592" s="27"/>
      <c r="H592" s="46"/>
      <c r="I592" s="27"/>
      <c r="J592" s="27"/>
      <c r="K592" s="27"/>
      <c r="L592" s="46"/>
      <c r="M592" s="27"/>
      <c r="N592" s="27"/>
      <c r="O592" s="27"/>
      <c r="P592" s="46"/>
      <c r="Q592" s="27"/>
      <c r="R592" s="27"/>
      <c r="S592" s="27"/>
      <c r="T592" s="27"/>
      <c r="U592" s="27"/>
      <c r="V592" s="46"/>
      <c r="W592" s="27"/>
      <c r="X592" s="27"/>
      <c r="Y592" s="27"/>
      <c r="Z592" s="46"/>
      <c r="AA592" s="27"/>
      <c r="AB592" s="27"/>
      <c r="AC592" s="27"/>
    </row>
    <row r="593" spans="2:29" x14ac:dyDescent="0.75">
      <c r="B593" s="26"/>
      <c r="C593" s="27"/>
      <c r="D593" s="46"/>
      <c r="E593" s="27"/>
      <c r="F593" s="27"/>
      <c r="G593" s="27"/>
      <c r="H593" s="46"/>
      <c r="I593" s="27"/>
      <c r="J593" s="27"/>
      <c r="K593" s="27"/>
      <c r="L593" s="46"/>
      <c r="M593" s="27"/>
      <c r="N593" s="27"/>
      <c r="O593" s="27"/>
      <c r="P593" s="46"/>
      <c r="Q593" s="27"/>
      <c r="R593" s="27"/>
      <c r="S593" s="27"/>
      <c r="T593" s="27"/>
      <c r="U593" s="27"/>
      <c r="V593" s="46"/>
      <c r="W593" s="27"/>
      <c r="X593" s="27"/>
      <c r="Y593" s="27"/>
      <c r="Z593" s="46"/>
      <c r="AA593" s="27"/>
      <c r="AB593" s="27"/>
      <c r="AC593" s="27"/>
    </row>
    <row r="594" spans="2:29" x14ac:dyDescent="0.75">
      <c r="B594" s="26"/>
      <c r="C594" s="27"/>
      <c r="D594" s="46"/>
      <c r="E594" s="27"/>
      <c r="F594" s="27"/>
      <c r="G594" s="27"/>
      <c r="H594" s="46"/>
      <c r="I594" s="27"/>
      <c r="J594" s="27"/>
      <c r="K594" s="27"/>
      <c r="L594" s="46"/>
      <c r="M594" s="27"/>
      <c r="N594" s="27"/>
      <c r="O594" s="27"/>
      <c r="P594" s="46"/>
      <c r="Q594" s="27"/>
      <c r="R594" s="27"/>
      <c r="S594" s="27"/>
      <c r="T594" s="27"/>
      <c r="U594" s="27"/>
      <c r="V594" s="46"/>
      <c r="W594" s="27"/>
      <c r="X594" s="27"/>
      <c r="Y594" s="27"/>
      <c r="Z594" s="46"/>
      <c r="AA594" s="27"/>
      <c r="AB594" s="27"/>
      <c r="AC594" s="27"/>
    </row>
    <row r="595" spans="2:29" x14ac:dyDescent="0.75">
      <c r="B595" s="26"/>
      <c r="C595" s="27"/>
      <c r="D595" s="46"/>
      <c r="E595" s="27"/>
      <c r="F595" s="27"/>
      <c r="G595" s="27"/>
      <c r="H595" s="46"/>
      <c r="I595" s="27"/>
      <c r="J595" s="27"/>
      <c r="K595" s="27"/>
      <c r="L595" s="46"/>
      <c r="M595" s="27"/>
      <c r="N595" s="27"/>
      <c r="O595" s="27"/>
      <c r="P595" s="46"/>
      <c r="Q595" s="27"/>
      <c r="R595" s="27"/>
      <c r="S595" s="27"/>
      <c r="T595" s="27"/>
      <c r="U595" s="27"/>
      <c r="V595" s="46"/>
      <c r="W595" s="27"/>
      <c r="X595" s="27"/>
      <c r="Y595" s="27"/>
      <c r="Z595" s="46"/>
      <c r="AA595" s="27"/>
      <c r="AB595" s="27"/>
      <c r="AC595" s="27"/>
    </row>
    <row r="596" spans="2:29" x14ac:dyDescent="0.75">
      <c r="B596" s="26"/>
      <c r="C596" s="27"/>
      <c r="D596" s="46"/>
      <c r="E596" s="27"/>
      <c r="F596" s="27"/>
      <c r="G596" s="27"/>
      <c r="H596" s="46"/>
      <c r="I596" s="27"/>
      <c r="J596" s="27"/>
      <c r="K596" s="27"/>
      <c r="L596" s="46"/>
      <c r="M596" s="27"/>
      <c r="N596" s="27"/>
      <c r="O596" s="27"/>
      <c r="P596" s="46"/>
      <c r="Q596" s="27"/>
      <c r="R596" s="27"/>
      <c r="S596" s="27"/>
      <c r="T596" s="27"/>
      <c r="U596" s="27"/>
      <c r="V596" s="46"/>
      <c r="W596" s="27"/>
      <c r="X596" s="27"/>
      <c r="Y596" s="27"/>
      <c r="Z596" s="46"/>
      <c r="AA596" s="27"/>
      <c r="AB596" s="27"/>
      <c r="AC596" s="27"/>
    </row>
    <row r="597" spans="2:29" x14ac:dyDescent="0.75">
      <c r="B597" s="26"/>
      <c r="C597" s="27"/>
      <c r="D597" s="46"/>
      <c r="E597" s="27"/>
      <c r="F597" s="27"/>
      <c r="G597" s="27"/>
      <c r="H597" s="46"/>
      <c r="I597" s="27"/>
      <c r="J597" s="27"/>
      <c r="K597" s="27"/>
      <c r="L597" s="46"/>
      <c r="M597" s="27"/>
      <c r="N597" s="27"/>
      <c r="O597" s="27"/>
      <c r="P597" s="46"/>
      <c r="Q597" s="27"/>
      <c r="R597" s="27"/>
      <c r="S597" s="27"/>
      <c r="T597" s="27"/>
      <c r="U597" s="27"/>
      <c r="V597" s="46"/>
      <c r="W597" s="27"/>
      <c r="X597" s="27"/>
      <c r="Y597" s="27"/>
      <c r="Z597" s="46"/>
      <c r="AA597" s="27"/>
      <c r="AB597" s="27"/>
      <c r="AC597" s="27"/>
    </row>
    <row r="598" spans="2:29" x14ac:dyDescent="0.75">
      <c r="B598" s="26"/>
      <c r="C598" s="27"/>
      <c r="D598" s="46"/>
      <c r="E598" s="27"/>
      <c r="F598" s="27"/>
      <c r="G598" s="27"/>
      <c r="H598" s="46"/>
      <c r="I598" s="27"/>
      <c r="J598" s="27"/>
      <c r="K598" s="27"/>
      <c r="L598" s="46"/>
      <c r="M598" s="27"/>
      <c r="N598" s="27"/>
      <c r="O598" s="27"/>
      <c r="P598" s="46"/>
      <c r="Q598" s="27"/>
      <c r="R598" s="27"/>
      <c r="S598" s="27"/>
      <c r="T598" s="27"/>
      <c r="U598" s="27"/>
      <c r="V598" s="46"/>
      <c r="W598" s="27"/>
      <c r="X598" s="27"/>
      <c r="Y598" s="27"/>
      <c r="Z598" s="46"/>
      <c r="AA598" s="27"/>
      <c r="AB598" s="27"/>
      <c r="AC598" s="27"/>
    </row>
    <row r="599" spans="2:29" x14ac:dyDescent="0.75">
      <c r="B599" s="26"/>
      <c r="C599" s="27"/>
      <c r="D599" s="46"/>
      <c r="E599" s="27"/>
      <c r="F599" s="27"/>
      <c r="G599" s="27"/>
      <c r="H599" s="46"/>
      <c r="I599" s="27"/>
      <c r="J599" s="27"/>
      <c r="K599" s="27"/>
      <c r="L599" s="46"/>
      <c r="M599" s="27"/>
      <c r="N599" s="27"/>
      <c r="O599" s="27"/>
      <c r="P599" s="46"/>
      <c r="Q599" s="27"/>
      <c r="R599" s="27"/>
      <c r="S599" s="27"/>
      <c r="T599" s="27"/>
      <c r="U599" s="27"/>
      <c r="V599" s="46"/>
      <c r="W599" s="27"/>
      <c r="X599" s="27"/>
      <c r="Y599" s="27"/>
      <c r="Z599" s="46"/>
      <c r="AA599" s="27"/>
      <c r="AB599" s="27"/>
      <c r="AC599" s="27"/>
    </row>
    <row r="600" spans="2:29" x14ac:dyDescent="0.75">
      <c r="B600" s="26"/>
      <c r="C600" s="27"/>
      <c r="D600" s="46"/>
      <c r="E600" s="27"/>
      <c r="F600" s="27"/>
      <c r="G600" s="27"/>
      <c r="H600" s="46"/>
      <c r="I600" s="27"/>
      <c r="J600" s="27"/>
      <c r="K600" s="27"/>
      <c r="L600" s="46"/>
      <c r="M600" s="27"/>
      <c r="N600" s="27"/>
      <c r="O600" s="27"/>
      <c r="P600" s="46"/>
      <c r="Q600" s="27"/>
      <c r="R600" s="27"/>
      <c r="S600" s="27"/>
      <c r="T600" s="27"/>
      <c r="U600" s="27"/>
      <c r="V600" s="46"/>
      <c r="W600" s="27"/>
      <c r="X600" s="27"/>
      <c r="Y600" s="27"/>
      <c r="Z600" s="46"/>
      <c r="AA600" s="27"/>
      <c r="AB600" s="27"/>
      <c r="AC600" s="27"/>
    </row>
    <row r="601" spans="2:29" x14ac:dyDescent="0.75">
      <c r="B601" s="26"/>
      <c r="C601" s="27"/>
      <c r="D601" s="46"/>
      <c r="E601" s="27"/>
      <c r="F601" s="27"/>
      <c r="G601" s="27"/>
      <c r="H601" s="46"/>
      <c r="I601" s="27"/>
      <c r="J601" s="27"/>
      <c r="K601" s="27"/>
      <c r="L601" s="46"/>
      <c r="M601" s="27"/>
      <c r="N601" s="27"/>
      <c r="O601" s="27"/>
      <c r="P601" s="46"/>
      <c r="Q601" s="27"/>
      <c r="R601" s="27"/>
      <c r="S601" s="27"/>
      <c r="T601" s="27"/>
      <c r="U601" s="27"/>
      <c r="V601" s="46"/>
      <c r="W601" s="27"/>
      <c r="X601" s="27"/>
      <c r="Y601" s="27"/>
      <c r="Z601" s="46"/>
      <c r="AA601" s="27"/>
      <c r="AB601" s="27"/>
      <c r="AC601" s="27"/>
    </row>
    <row r="602" spans="2:29" x14ac:dyDescent="0.75">
      <c r="B602" s="26"/>
      <c r="C602" s="27"/>
      <c r="D602" s="46"/>
      <c r="E602" s="27"/>
      <c r="F602" s="27"/>
      <c r="G602" s="27"/>
      <c r="H602" s="46"/>
      <c r="I602" s="27"/>
      <c r="J602" s="27"/>
      <c r="K602" s="27"/>
      <c r="L602" s="46"/>
      <c r="M602" s="27"/>
      <c r="N602" s="27"/>
      <c r="O602" s="27"/>
      <c r="P602" s="46"/>
      <c r="Q602" s="27"/>
      <c r="R602" s="27"/>
      <c r="S602" s="27"/>
      <c r="T602" s="27"/>
      <c r="U602" s="27"/>
      <c r="V602" s="46"/>
      <c r="W602" s="27"/>
      <c r="X602" s="27"/>
      <c r="Y602" s="27"/>
      <c r="Z602" s="46"/>
      <c r="AA602" s="27"/>
      <c r="AB602" s="27"/>
      <c r="AC602" s="27"/>
    </row>
    <row r="603" spans="2:29" x14ac:dyDescent="0.75">
      <c r="B603" s="26"/>
      <c r="C603" s="27"/>
      <c r="D603" s="46"/>
      <c r="E603" s="27"/>
      <c r="F603" s="27"/>
      <c r="G603" s="27"/>
      <c r="H603" s="46"/>
      <c r="I603" s="27"/>
      <c r="J603" s="27"/>
      <c r="K603" s="27"/>
      <c r="L603" s="46"/>
      <c r="M603" s="27"/>
      <c r="N603" s="27"/>
      <c r="O603" s="27"/>
      <c r="P603" s="46"/>
      <c r="Q603" s="27"/>
      <c r="R603" s="27"/>
      <c r="S603" s="27"/>
      <c r="T603" s="27"/>
      <c r="U603" s="27"/>
      <c r="V603" s="46"/>
      <c r="W603" s="27"/>
      <c r="X603" s="27"/>
      <c r="Y603" s="27"/>
      <c r="Z603" s="46"/>
      <c r="AA603" s="27"/>
      <c r="AB603" s="27"/>
      <c r="AC603" s="27"/>
    </row>
    <row r="604" spans="2:29" x14ac:dyDescent="0.75">
      <c r="B604" s="26"/>
      <c r="C604" s="27"/>
      <c r="D604" s="46"/>
      <c r="E604" s="27"/>
      <c r="F604" s="27"/>
      <c r="G604" s="27"/>
      <c r="H604" s="46"/>
      <c r="I604" s="27"/>
      <c r="J604" s="27"/>
      <c r="K604" s="27"/>
      <c r="L604" s="46"/>
      <c r="M604" s="27"/>
      <c r="N604" s="27"/>
      <c r="O604" s="27"/>
      <c r="P604" s="46"/>
      <c r="Q604" s="27"/>
      <c r="R604" s="27"/>
      <c r="S604" s="27"/>
      <c r="T604" s="27"/>
      <c r="U604" s="27"/>
      <c r="V604" s="46"/>
      <c r="W604" s="27"/>
      <c r="X604" s="27"/>
      <c r="Y604" s="27"/>
      <c r="Z604" s="46"/>
      <c r="AA604" s="27"/>
      <c r="AB604" s="27"/>
      <c r="AC604" s="27"/>
    </row>
    <row r="605" spans="2:29" x14ac:dyDescent="0.75">
      <c r="B605" s="26"/>
      <c r="C605" s="27"/>
      <c r="D605" s="46"/>
      <c r="E605" s="27"/>
      <c r="F605" s="27"/>
      <c r="G605" s="27"/>
      <c r="H605" s="46"/>
      <c r="I605" s="27"/>
      <c r="J605" s="27"/>
      <c r="K605" s="27"/>
      <c r="L605" s="46"/>
      <c r="M605" s="27"/>
      <c r="N605" s="27"/>
      <c r="O605" s="27"/>
      <c r="P605" s="46"/>
      <c r="Q605" s="27"/>
      <c r="R605" s="27"/>
      <c r="S605" s="27"/>
      <c r="T605" s="27"/>
      <c r="U605" s="27"/>
      <c r="V605" s="46"/>
      <c r="W605" s="27"/>
      <c r="X605" s="27"/>
      <c r="Y605" s="27"/>
      <c r="Z605" s="46"/>
      <c r="AA605" s="27"/>
      <c r="AB605" s="27"/>
      <c r="AC605" s="27"/>
    </row>
    <row r="606" spans="2:29" x14ac:dyDescent="0.75">
      <c r="B606" s="26"/>
      <c r="C606" s="27"/>
      <c r="D606" s="46"/>
      <c r="E606" s="27"/>
      <c r="F606" s="27"/>
      <c r="G606" s="27"/>
      <c r="H606" s="46"/>
      <c r="I606" s="27"/>
      <c r="J606" s="27"/>
      <c r="K606" s="27"/>
      <c r="L606" s="46"/>
      <c r="M606" s="27"/>
      <c r="N606" s="27"/>
      <c r="O606" s="27"/>
      <c r="P606" s="46"/>
      <c r="Q606" s="27"/>
      <c r="R606" s="27"/>
      <c r="S606" s="27"/>
      <c r="T606" s="27"/>
      <c r="U606" s="27"/>
      <c r="V606" s="46"/>
      <c r="W606" s="27"/>
      <c r="X606" s="27"/>
      <c r="Y606" s="27"/>
      <c r="Z606" s="46"/>
      <c r="AA606" s="27"/>
      <c r="AB606" s="27"/>
      <c r="AC606" s="27"/>
    </row>
    <row r="607" spans="2:29" x14ac:dyDescent="0.75">
      <c r="B607" s="26"/>
      <c r="C607" s="27"/>
      <c r="D607" s="46"/>
      <c r="E607" s="27"/>
      <c r="F607" s="27"/>
      <c r="G607" s="27"/>
      <c r="H607" s="46"/>
      <c r="I607" s="27"/>
      <c r="J607" s="27"/>
      <c r="K607" s="27"/>
      <c r="L607" s="46"/>
      <c r="M607" s="27"/>
      <c r="N607" s="27"/>
      <c r="O607" s="27"/>
      <c r="P607" s="46"/>
      <c r="Q607" s="27"/>
      <c r="R607" s="27"/>
      <c r="S607" s="27"/>
      <c r="T607" s="27"/>
      <c r="U607" s="27"/>
      <c r="V607" s="46"/>
      <c r="W607" s="27"/>
      <c r="X607" s="27"/>
      <c r="Y607" s="27"/>
      <c r="Z607" s="46"/>
      <c r="AA607" s="27"/>
      <c r="AB607" s="27"/>
      <c r="AC607" s="27"/>
    </row>
    <row r="608" spans="2:29" x14ac:dyDescent="0.75">
      <c r="B608" s="26"/>
      <c r="C608" s="27"/>
      <c r="D608" s="46"/>
      <c r="E608" s="27"/>
      <c r="F608" s="27"/>
      <c r="G608" s="27"/>
      <c r="H608" s="46"/>
      <c r="I608" s="27"/>
      <c r="J608" s="27"/>
      <c r="K608" s="27"/>
      <c r="L608" s="46"/>
      <c r="M608" s="27"/>
      <c r="N608" s="27"/>
      <c r="O608" s="27"/>
      <c r="P608" s="46"/>
      <c r="Q608" s="27"/>
      <c r="R608" s="27"/>
      <c r="S608" s="27"/>
      <c r="T608" s="27"/>
      <c r="U608" s="27"/>
      <c r="V608" s="46"/>
      <c r="W608" s="27"/>
      <c r="X608" s="27"/>
      <c r="Y608" s="27"/>
      <c r="Z608" s="46"/>
      <c r="AA608" s="27"/>
      <c r="AB608" s="27"/>
      <c r="AC608" s="27"/>
    </row>
    <row r="609" spans="2:29" x14ac:dyDescent="0.75">
      <c r="B609" s="26"/>
      <c r="C609" s="27"/>
      <c r="D609" s="46"/>
      <c r="E609" s="27"/>
      <c r="F609" s="27"/>
      <c r="G609" s="27"/>
      <c r="H609" s="46"/>
      <c r="I609" s="27"/>
      <c r="J609" s="27"/>
      <c r="K609" s="27"/>
      <c r="L609" s="46"/>
      <c r="M609" s="27"/>
      <c r="N609" s="27"/>
      <c r="O609" s="27"/>
      <c r="P609" s="46"/>
      <c r="Q609" s="27"/>
      <c r="R609" s="27"/>
      <c r="S609" s="27"/>
      <c r="T609" s="27"/>
      <c r="U609" s="27"/>
      <c r="V609" s="46"/>
      <c r="W609" s="27"/>
      <c r="X609" s="27"/>
      <c r="Y609" s="27"/>
      <c r="Z609" s="46"/>
      <c r="AA609" s="27"/>
      <c r="AB609" s="27"/>
      <c r="AC609" s="27"/>
    </row>
    <row r="610" spans="2:29" x14ac:dyDescent="0.75">
      <c r="B610" s="26"/>
      <c r="C610" s="27"/>
      <c r="D610" s="46"/>
      <c r="E610" s="27"/>
      <c r="F610" s="27"/>
      <c r="G610" s="27"/>
      <c r="H610" s="46"/>
      <c r="I610" s="27"/>
      <c r="J610" s="27"/>
      <c r="K610" s="27"/>
      <c r="L610" s="46"/>
      <c r="M610" s="27"/>
      <c r="N610" s="27"/>
      <c r="O610" s="27"/>
      <c r="P610" s="46"/>
      <c r="Q610" s="27"/>
      <c r="R610" s="27"/>
      <c r="S610" s="27"/>
      <c r="T610" s="27"/>
      <c r="U610" s="27"/>
      <c r="V610" s="46"/>
      <c r="W610" s="27"/>
      <c r="X610" s="27"/>
      <c r="Y610" s="27"/>
      <c r="Z610" s="46"/>
      <c r="AA610" s="27"/>
      <c r="AB610" s="27"/>
      <c r="AC610" s="27"/>
    </row>
    <row r="611" spans="2:29" x14ac:dyDescent="0.75">
      <c r="B611" s="26"/>
      <c r="C611" s="27"/>
      <c r="D611" s="46"/>
      <c r="E611" s="27"/>
      <c r="F611" s="27"/>
      <c r="G611" s="27"/>
      <c r="H611" s="46"/>
      <c r="I611" s="27"/>
      <c r="J611" s="27"/>
      <c r="K611" s="27"/>
      <c r="L611" s="46"/>
      <c r="M611" s="27"/>
      <c r="N611" s="27"/>
      <c r="O611" s="27"/>
      <c r="P611" s="46"/>
      <c r="Q611" s="27"/>
      <c r="R611" s="27"/>
      <c r="S611" s="27"/>
      <c r="T611" s="27"/>
      <c r="U611" s="27"/>
      <c r="V611" s="46"/>
      <c r="W611" s="27"/>
      <c r="X611" s="27"/>
      <c r="Y611" s="27"/>
      <c r="Z611" s="46"/>
      <c r="AA611" s="27"/>
      <c r="AB611" s="27"/>
      <c r="AC611" s="27"/>
    </row>
    <row r="612" spans="2:29" x14ac:dyDescent="0.75">
      <c r="B612" s="26"/>
      <c r="C612" s="27"/>
      <c r="D612" s="46"/>
      <c r="E612" s="27"/>
      <c r="F612" s="27"/>
      <c r="G612" s="27"/>
      <c r="H612" s="46"/>
      <c r="I612" s="27"/>
      <c r="J612" s="27"/>
      <c r="K612" s="27"/>
      <c r="L612" s="46"/>
      <c r="M612" s="27"/>
      <c r="N612" s="27"/>
      <c r="O612" s="27"/>
      <c r="P612" s="46"/>
      <c r="Q612" s="27"/>
      <c r="R612" s="27"/>
      <c r="S612" s="27"/>
      <c r="T612" s="27"/>
      <c r="U612" s="27"/>
      <c r="V612" s="46"/>
      <c r="W612" s="27"/>
      <c r="X612" s="27"/>
      <c r="Y612" s="27"/>
      <c r="Z612" s="46"/>
      <c r="AA612" s="27"/>
      <c r="AB612" s="27"/>
      <c r="AC612" s="27"/>
    </row>
    <row r="613" spans="2:29" x14ac:dyDescent="0.75">
      <c r="B613" s="26"/>
      <c r="C613" s="27"/>
      <c r="D613" s="46"/>
      <c r="E613" s="27"/>
      <c r="F613" s="27"/>
      <c r="G613" s="27"/>
      <c r="H613" s="46"/>
      <c r="I613" s="27"/>
      <c r="J613" s="27"/>
      <c r="K613" s="27"/>
      <c r="L613" s="46"/>
      <c r="M613" s="27"/>
      <c r="N613" s="27"/>
      <c r="O613" s="27"/>
      <c r="P613" s="46"/>
      <c r="Q613" s="27"/>
      <c r="R613" s="27"/>
      <c r="S613" s="27"/>
      <c r="T613" s="27"/>
      <c r="U613" s="27"/>
      <c r="V613" s="46"/>
      <c r="W613" s="27"/>
      <c r="X613" s="27"/>
      <c r="Y613" s="27"/>
      <c r="Z613" s="46"/>
      <c r="AA613" s="27"/>
      <c r="AB613" s="27"/>
      <c r="AC613" s="27"/>
    </row>
    <row r="614" spans="2:29" x14ac:dyDescent="0.75">
      <c r="B614" s="26"/>
      <c r="C614" s="27"/>
      <c r="D614" s="46"/>
      <c r="E614" s="27"/>
      <c r="F614" s="27"/>
      <c r="G614" s="27"/>
      <c r="H614" s="46"/>
      <c r="I614" s="27"/>
      <c r="J614" s="27"/>
      <c r="K614" s="27"/>
      <c r="L614" s="46"/>
      <c r="M614" s="27"/>
      <c r="N614" s="27"/>
      <c r="O614" s="27"/>
      <c r="P614" s="46"/>
      <c r="Q614" s="27"/>
      <c r="R614" s="27"/>
      <c r="S614" s="27"/>
      <c r="T614" s="27"/>
      <c r="U614" s="27"/>
      <c r="V614" s="46"/>
      <c r="W614" s="27"/>
      <c r="X614" s="27"/>
      <c r="Y614" s="27"/>
      <c r="Z614" s="46"/>
      <c r="AA614" s="27"/>
      <c r="AB614" s="27"/>
      <c r="AC614" s="27"/>
    </row>
    <row r="615" spans="2:29" x14ac:dyDescent="0.75">
      <c r="B615" s="26"/>
      <c r="C615" s="27"/>
      <c r="D615" s="46"/>
      <c r="E615" s="27"/>
      <c r="F615" s="27"/>
      <c r="G615" s="27"/>
      <c r="H615" s="46"/>
      <c r="I615" s="27"/>
      <c r="J615" s="27"/>
      <c r="K615" s="27"/>
      <c r="L615" s="46"/>
      <c r="M615" s="27"/>
      <c r="N615" s="27"/>
      <c r="O615" s="27"/>
      <c r="P615" s="46"/>
      <c r="Q615" s="27"/>
      <c r="R615" s="27"/>
      <c r="S615" s="27"/>
      <c r="T615" s="27"/>
      <c r="U615" s="27"/>
      <c r="V615" s="46"/>
      <c r="W615" s="27"/>
      <c r="X615" s="27"/>
      <c r="Y615" s="27"/>
      <c r="Z615" s="46"/>
      <c r="AA615" s="27"/>
      <c r="AB615" s="27"/>
      <c r="AC615" s="27"/>
    </row>
    <row r="616" spans="2:29" x14ac:dyDescent="0.75">
      <c r="B616" s="26"/>
      <c r="C616" s="27"/>
      <c r="D616" s="46"/>
      <c r="E616" s="27"/>
      <c r="F616" s="27"/>
      <c r="G616" s="27"/>
      <c r="H616" s="46"/>
      <c r="I616" s="27"/>
      <c r="J616" s="27"/>
      <c r="K616" s="27"/>
      <c r="L616" s="46"/>
      <c r="M616" s="27"/>
      <c r="N616" s="27"/>
      <c r="O616" s="27"/>
      <c r="P616" s="46"/>
      <c r="Q616" s="27"/>
      <c r="R616" s="27"/>
      <c r="S616" s="27"/>
      <c r="T616" s="27"/>
      <c r="U616" s="27"/>
      <c r="V616" s="46"/>
      <c r="W616" s="27"/>
      <c r="X616" s="27"/>
      <c r="Y616" s="27"/>
      <c r="Z616" s="46"/>
      <c r="AA616" s="27"/>
      <c r="AB616" s="27"/>
      <c r="AC616" s="27"/>
    </row>
    <row r="617" spans="2:29" x14ac:dyDescent="0.75">
      <c r="B617" s="26"/>
      <c r="C617" s="27"/>
      <c r="D617" s="46"/>
      <c r="E617" s="27"/>
      <c r="F617" s="27"/>
      <c r="G617" s="27"/>
      <c r="H617" s="46"/>
      <c r="I617" s="27"/>
      <c r="J617" s="27"/>
      <c r="K617" s="27"/>
      <c r="L617" s="46"/>
      <c r="M617" s="27"/>
      <c r="N617" s="27"/>
      <c r="O617" s="27"/>
      <c r="P617" s="46"/>
      <c r="Q617" s="27"/>
      <c r="R617" s="27"/>
      <c r="S617" s="27"/>
      <c r="T617" s="27"/>
      <c r="U617" s="27"/>
      <c r="V617" s="46"/>
      <c r="W617" s="27"/>
      <c r="X617" s="27"/>
      <c r="Y617" s="27"/>
      <c r="Z617" s="46"/>
      <c r="AA617" s="27"/>
      <c r="AB617" s="27"/>
      <c r="AC617" s="27"/>
    </row>
    <row r="618" spans="2:29" x14ac:dyDescent="0.75">
      <c r="B618" s="26"/>
      <c r="C618" s="27"/>
      <c r="D618" s="46"/>
      <c r="E618" s="27"/>
      <c r="F618" s="27"/>
      <c r="G618" s="27"/>
      <c r="H618" s="46"/>
      <c r="I618" s="27"/>
      <c r="J618" s="27"/>
      <c r="K618" s="27"/>
      <c r="L618" s="46"/>
      <c r="M618" s="27"/>
      <c r="N618" s="27"/>
      <c r="O618" s="27"/>
      <c r="P618" s="46"/>
      <c r="Q618" s="27"/>
      <c r="R618" s="27"/>
      <c r="S618" s="27"/>
      <c r="T618" s="27"/>
      <c r="U618" s="27"/>
      <c r="V618" s="46"/>
      <c r="W618" s="27"/>
      <c r="X618" s="27"/>
      <c r="Y618" s="27"/>
      <c r="Z618" s="46"/>
      <c r="AA618" s="27"/>
      <c r="AB618" s="27"/>
      <c r="AC618" s="27"/>
    </row>
    <row r="619" spans="2:29" x14ac:dyDescent="0.75">
      <c r="B619" s="26"/>
      <c r="C619" s="27"/>
      <c r="D619" s="46"/>
      <c r="E619" s="27"/>
      <c r="F619" s="27"/>
      <c r="G619" s="27"/>
      <c r="H619" s="46"/>
      <c r="I619" s="27"/>
      <c r="J619" s="27"/>
      <c r="K619" s="27"/>
      <c r="L619" s="46"/>
      <c r="M619" s="27"/>
      <c r="N619" s="27"/>
      <c r="O619" s="27"/>
      <c r="P619" s="46"/>
      <c r="Q619" s="27"/>
      <c r="R619" s="27"/>
      <c r="S619" s="27"/>
      <c r="T619" s="27"/>
      <c r="U619" s="27"/>
      <c r="V619" s="46"/>
      <c r="W619" s="27"/>
      <c r="X619" s="27"/>
      <c r="Y619" s="27"/>
      <c r="Z619" s="46"/>
      <c r="AA619" s="27"/>
      <c r="AB619" s="27"/>
      <c r="AC619" s="27"/>
    </row>
    <row r="620" spans="2:29" x14ac:dyDescent="0.75">
      <c r="B620" s="26"/>
      <c r="C620" s="27"/>
      <c r="D620" s="46"/>
      <c r="E620" s="27"/>
      <c r="F620" s="27"/>
      <c r="G620" s="27"/>
      <c r="H620" s="46"/>
      <c r="I620" s="27"/>
      <c r="J620" s="27"/>
      <c r="K620" s="27"/>
      <c r="L620" s="46"/>
      <c r="M620" s="27"/>
      <c r="N620" s="27"/>
      <c r="O620" s="27"/>
      <c r="P620" s="46"/>
      <c r="Q620" s="27"/>
      <c r="R620" s="27"/>
      <c r="S620" s="27"/>
      <c r="T620" s="27"/>
      <c r="U620" s="27"/>
      <c r="V620" s="46"/>
      <c r="W620" s="27"/>
      <c r="X620" s="27"/>
      <c r="Y620" s="27"/>
      <c r="Z620" s="46"/>
      <c r="AA620" s="27"/>
      <c r="AB620" s="27"/>
      <c r="AC620" s="27"/>
    </row>
    <row r="621" spans="2:29" x14ac:dyDescent="0.75">
      <c r="B621" s="26"/>
      <c r="C621" s="27"/>
      <c r="D621" s="46"/>
      <c r="E621" s="27"/>
      <c r="F621" s="27"/>
      <c r="G621" s="27"/>
      <c r="H621" s="46"/>
      <c r="I621" s="27"/>
      <c r="J621" s="27"/>
      <c r="K621" s="27"/>
      <c r="L621" s="46"/>
      <c r="M621" s="27"/>
      <c r="N621" s="27"/>
      <c r="O621" s="27"/>
      <c r="P621" s="46"/>
      <c r="Q621" s="27"/>
      <c r="R621" s="27"/>
      <c r="S621" s="27"/>
      <c r="T621" s="27"/>
      <c r="U621" s="27"/>
      <c r="V621" s="46"/>
      <c r="W621" s="27"/>
      <c r="X621" s="27"/>
      <c r="Y621" s="27"/>
      <c r="Z621" s="46"/>
      <c r="AA621" s="27"/>
      <c r="AB621" s="27"/>
      <c r="AC621" s="27"/>
    </row>
    <row r="622" spans="2:29" x14ac:dyDescent="0.75">
      <c r="B622" s="26"/>
      <c r="C622" s="27"/>
      <c r="D622" s="46"/>
      <c r="E622" s="27"/>
      <c r="F622" s="27"/>
      <c r="G622" s="27"/>
      <c r="H622" s="46"/>
      <c r="I622" s="27"/>
      <c r="J622" s="27"/>
      <c r="K622" s="27"/>
      <c r="L622" s="46"/>
      <c r="M622" s="27"/>
      <c r="N622" s="27"/>
      <c r="O622" s="27"/>
      <c r="P622" s="46"/>
      <c r="Q622" s="27"/>
      <c r="R622" s="27"/>
      <c r="S622" s="27"/>
      <c r="T622" s="27"/>
      <c r="U622" s="27"/>
      <c r="V622" s="46"/>
      <c r="W622" s="27"/>
      <c r="X622" s="27"/>
      <c r="Y622" s="27"/>
      <c r="Z622" s="46"/>
      <c r="AA622" s="27"/>
      <c r="AB622" s="27"/>
      <c r="AC622" s="27"/>
    </row>
    <row r="623" spans="2:29" x14ac:dyDescent="0.75">
      <c r="B623" s="26"/>
      <c r="C623" s="27"/>
      <c r="D623" s="46"/>
      <c r="E623" s="27"/>
      <c r="F623" s="27"/>
      <c r="G623" s="27"/>
      <c r="H623" s="46"/>
      <c r="I623" s="27"/>
      <c r="J623" s="27"/>
      <c r="K623" s="27"/>
      <c r="L623" s="46"/>
      <c r="M623" s="27"/>
      <c r="N623" s="27"/>
      <c r="O623" s="27"/>
      <c r="P623" s="46"/>
      <c r="Q623" s="27"/>
      <c r="R623" s="27"/>
      <c r="S623" s="27"/>
      <c r="T623" s="27"/>
      <c r="U623" s="27"/>
      <c r="V623" s="46"/>
      <c r="W623" s="27"/>
      <c r="X623" s="27"/>
      <c r="Y623" s="27"/>
      <c r="Z623" s="46"/>
      <c r="AA623" s="27"/>
      <c r="AB623" s="27"/>
      <c r="AC623" s="27"/>
    </row>
    <row r="624" spans="2:29" x14ac:dyDescent="0.75">
      <c r="B624" s="26"/>
      <c r="C624" s="27"/>
      <c r="D624" s="46"/>
      <c r="E624" s="27"/>
      <c r="F624" s="27"/>
      <c r="G624" s="27"/>
      <c r="H624" s="46"/>
      <c r="I624" s="27"/>
      <c r="J624" s="27"/>
      <c r="K624" s="27"/>
      <c r="L624" s="46"/>
      <c r="M624" s="27"/>
      <c r="N624" s="27"/>
      <c r="O624" s="27"/>
      <c r="P624" s="46"/>
      <c r="Q624" s="27"/>
      <c r="R624" s="27"/>
      <c r="S624" s="27"/>
      <c r="T624" s="27"/>
      <c r="U624" s="27"/>
      <c r="V624" s="46"/>
      <c r="W624" s="27"/>
      <c r="X624" s="27"/>
      <c r="Y624" s="27"/>
      <c r="Z624" s="46"/>
      <c r="AA624" s="27"/>
      <c r="AB624" s="27"/>
      <c r="AC624" s="27"/>
    </row>
    <row r="625" spans="2:29" x14ac:dyDescent="0.75">
      <c r="B625" s="26"/>
      <c r="C625" s="27"/>
      <c r="D625" s="46"/>
      <c r="E625" s="27"/>
      <c r="F625" s="27"/>
      <c r="G625" s="27"/>
      <c r="H625" s="46"/>
      <c r="I625" s="27"/>
      <c r="J625" s="27"/>
      <c r="K625" s="27"/>
      <c r="L625" s="46"/>
      <c r="M625" s="27"/>
      <c r="N625" s="27"/>
      <c r="O625" s="27"/>
      <c r="P625" s="46"/>
      <c r="Q625" s="27"/>
      <c r="R625" s="27"/>
      <c r="S625" s="27"/>
      <c r="T625" s="27"/>
      <c r="U625" s="27"/>
      <c r="V625" s="46"/>
      <c r="W625" s="27"/>
      <c r="X625" s="27"/>
      <c r="Y625" s="27"/>
      <c r="Z625" s="46"/>
      <c r="AA625" s="27"/>
      <c r="AB625" s="27"/>
      <c r="AC625" s="27"/>
    </row>
    <row r="626" spans="2:29" x14ac:dyDescent="0.75">
      <c r="B626" s="26"/>
      <c r="C626" s="27"/>
      <c r="D626" s="46"/>
      <c r="E626" s="27"/>
      <c r="F626" s="27"/>
      <c r="G626" s="27"/>
      <c r="H626" s="46"/>
      <c r="I626" s="27"/>
      <c r="J626" s="27"/>
      <c r="K626" s="27"/>
      <c r="L626" s="46"/>
      <c r="M626" s="27"/>
      <c r="N626" s="27"/>
      <c r="O626" s="27"/>
      <c r="P626" s="46"/>
      <c r="Q626" s="27"/>
      <c r="R626" s="27"/>
      <c r="S626" s="27"/>
      <c r="T626" s="27"/>
      <c r="U626" s="27"/>
      <c r="V626" s="46"/>
      <c r="W626" s="27"/>
      <c r="X626" s="27"/>
      <c r="Y626" s="27"/>
      <c r="Z626" s="46"/>
      <c r="AA626" s="27"/>
      <c r="AB626" s="27"/>
      <c r="AC626" s="27"/>
    </row>
    <row r="627" spans="2:29" x14ac:dyDescent="0.75">
      <c r="B627" s="26"/>
      <c r="C627" s="27"/>
      <c r="D627" s="46"/>
      <c r="E627" s="27"/>
      <c r="F627" s="27"/>
      <c r="G627" s="27"/>
      <c r="H627" s="46"/>
      <c r="I627" s="27"/>
      <c r="J627" s="27"/>
      <c r="K627" s="27"/>
      <c r="L627" s="46"/>
      <c r="M627" s="27"/>
      <c r="N627" s="27"/>
      <c r="O627" s="27"/>
      <c r="P627" s="46"/>
      <c r="Q627" s="27"/>
      <c r="R627" s="27"/>
      <c r="S627" s="27"/>
      <c r="T627" s="27"/>
      <c r="U627" s="27"/>
      <c r="V627" s="46"/>
      <c r="W627" s="27"/>
      <c r="X627" s="27"/>
      <c r="Y627" s="27"/>
      <c r="Z627" s="46"/>
      <c r="AA627" s="27"/>
      <c r="AB627" s="27"/>
      <c r="AC627" s="27"/>
    </row>
    <row r="628" spans="2:29" x14ac:dyDescent="0.75">
      <c r="B628" s="26"/>
      <c r="C628" s="27"/>
      <c r="D628" s="46"/>
      <c r="E628" s="27"/>
      <c r="F628" s="27"/>
      <c r="G628" s="27"/>
      <c r="H628" s="46"/>
      <c r="I628" s="27"/>
      <c r="J628" s="27"/>
      <c r="K628" s="27"/>
      <c r="L628" s="46"/>
      <c r="M628" s="27"/>
      <c r="N628" s="27"/>
      <c r="O628" s="27"/>
      <c r="P628" s="46"/>
      <c r="Q628" s="27"/>
      <c r="R628" s="27"/>
      <c r="S628" s="27"/>
      <c r="T628" s="27"/>
      <c r="U628" s="27"/>
      <c r="V628" s="46"/>
      <c r="W628" s="27"/>
      <c r="X628" s="27"/>
      <c r="Y628" s="27"/>
      <c r="Z628" s="46"/>
      <c r="AA628" s="27"/>
      <c r="AB628" s="27"/>
      <c r="AC628" s="27"/>
    </row>
    <row r="629" spans="2:29" x14ac:dyDescent="0.75">
      <c r="B629" s="26"/>
      <c r="C629" s="27"/>
      <c r="D629" s="46"/>
      <c r="E629" s="27"/>
      <c r="F629" s="27"/>
      <c r="G629" s="27"/>
      <c r="H629" s="46"/>
      <c r="I629" s="27"/>
      <c r="J629" s="27"/>
      <c r="K629" s="27"/>
      <c r="L629" s="46"/>
      <c r="M629" s="27"/>
      <c r="N629" s="27"/>
      <c r="O629" s="27"/>
      <c r="P629" s="46"/>
      <c r="Q629" s="27"/>
      <c r="R629" s="27"/>
      <c r="S629" s="27"/>
      <c r="T629" s="27"/>
      <c r="U629" s="27"/>
      <c r="V629" s="46"/>
      <c r="W629" s="27"/>
      <c r="X629" s="27"/>
      <c r="Y629" s="27"/>
      <c r="Z629" s="46"/>
      <c r="AA629" s="27"/>
      <c r="AB629" s="27"/>
      <c r="AC629" s="27"/>
    </row>
    <row r="630" spans="2:29" x14ac:dyDescent="0.75">
      <c r="B630" s="26"/>
      <c r="C630" s="27"/>
      <c r="D630" s="46"/>
      <c r="E630" s="27"/>
      <c r="F630" s="27"/>
      <c r="G630" s="27"/>
      <c r="H630" s="46"/>
      <c r="I630" s="27"/>
      <c r="J630" s="27"/>
      <c r="K630" s="27"/>
      <c r="L630" s="46"/>
      <c r="M630" s="27"/>
      <c r="N630" s="27"/>
      <c r="O630" s="27"/>
      <c r="P630" s="46"/>
      <c r="Q630" s="27"/>
      <c r="R630" s="27"/>
      <c r="S630" s="27"/>
      <c r="T630" s="27"/>
      <c r="U630" s="27"/>
      <c r="V630" s="46"/>
      <c r="W630" s="27"/>
      <c r="X630" s="27"/>
      <c r="Y630" s="27"/>
      <c r="Z630" s="46"/>
      <c r="AA630" s="27"/>
      <c r="AB630" s="27"/>
      <c r="AC630" s="27"/>
    </row>
    <row r="631" spans="2:29" x14ac:dyDescent="0.75">
      <c r="B631" s="26"/>
      <c r="C631" s="27"/>
      <c r="D631" s="46"/>
      <c r="E631" s="27"/>
      <c r="F631" s="27"/>
      <c r="G631" s="27"/>
      <c r="H631" s="46"/>
      <c r="I631" s="27"/>
      <c r="J631" s="27"/>
      <c r="K631" s="27"/>
      <c r="L631" s="46"/>
      <c r="M631" s="27"/>
      <c r="N631" s="27"/>
      <c r="O631" s="27"/>
      <c r="P631" s="46"/>
      <c r="Q631" s="27"/>
      <c r="R631" s="27"/>
      <c r="S631" s="27"/>
      <c r="T631" s="27"/>
      <c r="U631" s="27"/>
      <c r="V631" s="46"/>
      <c r="W631" s="27"/>
      <c r="X631" s="27"/>
      <c r="Y631" s="27"/>
      <c r="Z631" s="46"/>
      <c r="AA631" s="27"/>
      <c r="AB631" s="27"/>
      <c r="AC631" s="27"/>
    </row>
    <row r="632" spans="2:29" x14ac:dyDescent="0.75">
      <c r="B632" s="26"/>
      <c r="C632" s="27"/>
      <c r="D632" s="46"/>
      <c r="E632" s="27"/>
      <c r="F632" s="27"/>
      <c r="G632" s="27"/>
      <c r="H632" s="46"/>
      <c r="I632" s="27"/>
      <c r="J632" s="27"/>
      <c r="K632" s="27"/>
      <c r="L632" s="46"/>
      <c r="M632" s="27"/>
      <c r="N632" s="27"/>
      <c r="O632" s="27"/>
      <c r="P632" s="46"/>
      <c r="Q632" s="27"/>
      <c r="R632" s="27"/>
      <c r="S632" s="27"/>
      <c r="T632" s="27"/>
      <c r="U632" s="27"/>
      <c r="V632" s="46"/>
      <c r="W632" s="27"/>
      <c r="X632" s="27"/>
      <c r="Y632" s="27"/>
      <c r="Z632" s="46"/>
      <c r="AA632" s="27"/>
      <c r="AB632" s="27"/>
      <c r="AC632" s="27"/>
    </row>
    <row r="633" spans="2:29" x14ac:dyDescent="0.75">
      <c r="B633" s="26"/>
      <c r="C633" s="27"/>
      <c r="D633" s="46"/>
      <c r="E633" s="27"/>
      <c r="F633" s="27"/>
      <c r="G633" s="27"/>
      <c r="H633" s="46"/>
      <c r="I633" s="27"/>
      <c r="J633" s="27"/>
      <c r="K633" s="27"/>
      <c r="L633" s="46"/>
      <c r="M633" s="27"/>
      <c r="N633" s="27"/>
      <c r="O633" s="27"/>
      <c r="P633" s="46"/>
      <c r="Q633" s="27"/>
      <c r="R633" s="27"/>
      <c r="S633" s="27"/>
      <c r="T633" s="27"/>
      <c r="U633" s="27"/>
      <c r="V633" s="46"/>
      <c r="W633" s="27"/>
      <c r="X633" s="27"/>
      <c r="Y633" s="27"/>
      <c r="Z633" s="46"/>
      <c r="AA633" s="27"/>
      <c r="AB633" s="27"/>
      <c r="AC633" s="27"/>
    </row>
    <row r="634" spans="2:29" x14ac:dyDescent="0.75">
      <c r="B634" s="26"/>
      <c r="C634" s="27"/>
      <c r="D634" s="46"/>
      <c r="E634" s="27"/>
      <c r="F634" s="27"/>
      <c r="G634" s="27"/>
      <c r="H634" s="46"/>
      <c r="I634" s="27"/>
      <c r="J634" s="27"/>
      <c r="K634" s="27"/>
      <c r="L634" s="46"/>
      <c r="M634" s="27"/>
      <c r="N634" s="27"/>
      <c r="O634" s="27"/>
      <c r="P634" s="46"/>
      <c r="Q634" s="27"/>
      <c r="R634" s="27"/>
      <c r="S634" s="27"/>
      <c r="T634" s="27"/>
      <c r="U634" s="27"/>
      <c r="V634" s="46"/>
      <c r="W634" s="27"/>
      <c r="X634" s="27"/>
      <c r="Y634" s="27"/>
      <c r="Z634" s="46"/>
      <c r="AA634" s="27"/>
      <c r="AB634" s="27"/>
      <c r="AC634" s="27"/>
    </row>
    <row r="635" spans="2:29" x14ac:dyDescent="0.75">
      <c r="B635" s="26"/>
      <c r="C635" s="27"/>
      <c r="D635" s="46"/>
      <c r="E635" s="27"/>
      <c r="F635" s="27"/>
      <c r="G635" s="27"/>
      <c r="H635" s="46"/>
      <c r="I635" s="27"/>
      <c r="J635" s="27"/>
      <c r="K635" s="27"/>
      <c r="L635" s="46"/>
      <c r="M635" s="27"/>
      <c r="N635" s="27"/>
      <c r="O635" s="27"/>
      <c r="P635" s="46"/>
      <c r="Q635" s="27"/>
      <c r="R635" s="27"/>
      <c r="S635" s="27"/>
      <c r="T635" s="27"/>
      <c r="U635" s="27"/>
      <c r="V635" s="46"/>
      <c r="W635" s="27"/>
      <c r="X635" s="27"/>
      <c r="Y635" s="27"/>
      <c r="Z635" s="46"/>
      <c r="AA635" s="27"/>
      <c r="AB635" s="27"/>
      <c r="AC635" s="27"/>
    </row>
    <row r="636" spans="2:29" x14ac:dyDescent="0.75">
      <c r="B636" s="26"/>
      <c r="C636" s="27"/>
      <c r="D636" s="46"/>
      <c r="E636" s="27"/>
      <c r="F636" s="27"/>
      <c r="G636" s="27"/>
      <c r="H636" s="46"/>
      <c r="I636" s="27"/>
      <c r="J636" s="27"/>
      <c r="K636" s="27"/>
      <c r="L636" s="46"/>
      <c r="M636" s="27"/>
      <c r="N636" s="27"/>
      <c r="O636" s="27"/>
      <c r="P636" s="46"/>
      <c r="Q636" s="27"/>
      <c r="R636" s="27"/>
      <c r="S636" s="27"/>
      <c r="T636" s="27"/>
      <c r="U636" s="27"/>
      <c r="V636" s="46"/>
      <c r="W636" s="27"/>
      <c r="X636" s="27"/>
      <c r="Y636" s="27"/>
      <c r="Z636" s="46"/>
      <c r="AA636" s="27"/>
      <c r="AB636" s="27"/>
      <c r="AC636" s="27"/>
    </row>
    <row r="637" spans="2:29" x14ac:dyDescent="0.75">
      <c r="B637" s="26"/>
      <c r="C637" s="27"/>
      <c r="D637" s="46"/>
      <c r="E637" s="27"/>
      <c r="F637" s="27"/>
      <c r="G637" s="27"/>
      <c r="H637" s="46"/>
      <c r="I637" s="27"/>
      <c r="J637" s="27"/>
      <c r="K637" s="27"/>
      <c r="L637" s="46"/>
      <c r="M637" s="27"/>
      <c r="N637" s="27"/>
      <c r="O637" s="27"/>
      <c r="P637" s="46"/>
      <c r="Q637" s="27"/>
      <c r="R637" s="27"/>
      <c r="S637" s="27"/>
      <c r="T637" s="27"/>
      <c r="U637" s="27"/>
      <c r="V637" s="46"/>
      <c r="W637" s="27"/>
      <c r="X637" s="27"/>
      <c r="Y637" s="27"/>
      <c r="Z637" s="46"/>
      <c r="AA637" s="27"/>
      <c r="AB637" s="27"/>
      <c r="AC637" s="27"/>
    </row>
    <row r="638" spans="2:29" x14ac:dyDescent="0.75">
      <c r="B638" s="26"/>
      <c r="C638" s="27"/>
      <c r="D638" s="46"/>
      <c r="E638" s="27"/>
      <c r="F638" s="27"/>
      <c r="G638" s="27"/>
      <c r="H638" s="46"/>
      <c r="I638" s="27"/>
      <c r="J638" s="27"/>
      <c r="K638" s="27"/>
      <c r="L638" s="46"/>
      <c r="M638" s="27"/>
      <c r="N638" s="27"/>
      <c r="O638" s="27"/>
      <c r="P638" s="46"/>
      <c r="Q638" s="27"/>
      <c r="R638" s="27"/>
      <c r="S638" s="27"/>
      <c r="T638" s="27"/>
      <c r="U638" s="27"/>
      <c r="V638" s="46"/>
      <c r="W638" s="27"/>
      <c r="X638" s="27"/>
      <c r="Y638" s="27"/>
      <c r="Z638" s="46"/>
      <c r="AA638" s="27"/>
      <c r="AB638" s="27"/>
      <c r="AC638" s="27"/>
    </row>
    <row r="639" spans="2:29" x14ac:dyDescent="0.75">
      <c r="B639" s="26"/>
      <c r="C639" s="27"/>
      <c r="D639" s="46"/>
      <c r="E639" s="27"/>
      <c r="F639" s="27"/>
      <c r="G639" s="27"/>
      <c r="H639" s="46"/>
      <c r="I639" s="27"/>
      <c r="J639" s="27"/>
      <c r="K639" s="27"/>
      <c r="L639" s="46"/>
      <c r="M639" s="27"/>
      <c r="N639" s="27"/>
      <c r="O639" s="27"/>
      <c r="P639" s="46"/>
      <c r="Q639" s="27"/>
      <c r="R639" s="27"/>
      <c r="S639" s="27"/>
      <c r="T639" s="27"/>
      <c r="U639" s="27"/>
      <c r="V639" s="46"/>
      <c r="W639" s="27"/>
      <c r="X639" s="27"/>
      <c r="Y639" s="27"/>
      <c r="Z639" s="46"/>
      <c r="AA639" s="27"/>
      <c r="AB639" s="27"/>
      <c r="AC639" s="27"/>
    </row>
    <row r="640" spans="2:29" x14ac:dyDescent="0.75">
      <c r="B640" s="26"/>
      <c r="C640" s="27"/>
      <c r="D640" s="46"/>
      <c r="E640" s="27"/>
      <c r="F640" s="27"/>
      <c r="G640" s="27"/>
      <c r="H640" s="46"/>
      <c r="I640" s="27"/>
      <c r="J640" s="27"/>
      <c r="K640" s="27"/>
      <c r="L640" s="46"/>
      <c r="M640" s="27"/>
      <c r="N640" s="27"/>
      <c r="O640" s="27"/>
      <c r="P640" s="46"/>
      <c r="Q640" s="27"/>
      <c r="R640" s="27"/>
      <c r="S640" s="27"/>
      <c r="T640" s="27"/>
      <c r="U640" s="27"/>
      <c r="V640" s="46"/>
      <c r="W640" s="27"/>
      <c r="X640" s="27"/>
      <c r="Y640" s="27"/>
      <c r="Z640" s="46"/>
      <c r="AA640" s="27"/>
      <c r="AB640" s="27"/>
      <c r="AC640" s="27"/>
    </row>
    <row r="641" spans="2:29" x14ac:dyDescent="0.75">
      <c r="B641" s="26"/>
      <c r="C641" s="27"/>
      <c r="D641" s="46"/>
      <c r="E641" s="27"/>
      <c r="F641" s="27"/>
      <c r="G641" s="27"/>
      <c r="H641" s="46"/>
      <c r="I641" s="27"/>
      <c r="J641" s="27"/>
      <c r="K641" s="27"/>
      <c r="L641" s="46"/>
      <c r="M641" s="27"/>
      <c r="N641" s="27"/>
      <c r="O641" s="27"/>
      <c r="P641" s="46"/>
      <c r="Q641" s="27"/>
      <c r="R641" s="27"/>
      <c r="S641" s="27"/>
      <c r="T641" s="27"/>
      <c r="U641" s="27"/>
      <c r="V641" s="46"/>
      <c r="W641" s="27"/>
      <c r="X641" s="27"/>
      <c r="Y641" s="27"/>
      <c r="Z641" s="46"/>
      <c r="AA641" s="27"/>
      <c r="AB641" s="27"/>
      <c r="AC641" s="27"/>
    </row>
    <row r="642" spans="2:29" x14ac:dyDescent="0.75">
      <c r="B642" s="26"/>
      <c r="C642" s="27"/>
      <c r="D642" s="46"/>
      <c r="E642" s="27"/>
      <c r="F642" s="27"/>
      <c r="G642" s="27"/>
      <c r="H642" s="46"/>
      <c r="I642" s="27"/>
      <c r="J642" s="27"/>
      <c r="K642" s="27"/>
      <c r="L642" s="46"/>
      <c r="M642" s="27"/>
      <c r="N642" s="27"/>
      <c r="O642" s="27"/>
      <c r="P642" s="46"/>
      <c r="Q642" s="27"/>
      <c r="R642" s="27"/>
      <c r="S642" s="27"/>
      <c r="T642" s="27"/>
      <c r="U642" s="27"/>
      <c r="V642" s="46"/>
      <c r="W642" s="27"/>
      <c r="X642" s="27"/>
      <c r="Y642" s="27"/>
      <c r="Z642" s="46"/>
      <c r="AA642" s="27"/>
      <c r="AB642" s="27"/>
      <c r="AC642" s="27"/>
    </row>
    <row r="643" spans="2:29" x14ac:dyDescent="0.75">
      <c r="B643" s="26"/>
      <c r="C643" s="27"/>
      <c r="D643" s="46"/>
      <c r="E643" s="27"/>
      <c r="F643" s="27"/>
      <c r="G643" s="27"/>
      <c r="H643" s="46"/>
      <c r="I643" s="27"/>
      <c r="J643" s="27"/>
      <c r="K643" s="27"/>
      <c r="L643" s="46"/>
      <c r="M643" s="27"/>
      <c r="N643" s="27"/>
      <c r="O643" s="27"/>
      <c r="P643" s="46"/>
      <c r="Q643" s="27"/>
      <c r="R643" s="27"/>
      <c r="S643" s="27"/>
      <c r="T643" s="27"/>
      <c r="U643" s="27"/>
      <c r="V643" s="46"/>
      <c r="W643" s="27"/>
      <c r="X643" s="27"/>
      <c r="Y643" s="27"/>
      <c r="Z643" s="46"/>
      <c r="AA643" s="27"/>
      <c r="AB643" s="27"/>
      <c r="AC643" s="27"/>
    </row>
    <row r="644" spans="2:29" x14ac:dyDescent="0.75">
      <c r="B644" s="26"/>
      <c r="C644" s="27"/>
      <c r="D644" s="46"/>
      <c r="E644" s="27"/>
      <c r="F644" s="27"/>
      <c r="G644" s="27"/>
      <c r="H644" s="46"/>
      <c r="I644" s="27"/>
      <c r="J644" s="27"/>
      <c r="K644" s="27"/>
      <c r="L644" s="46"/>
      <c r="M644" s="27"/>
      <c r="N644" s="27"/>
      <c r="O644" s="27"/>
      <c r="P644" s="46"/>
      <c r="Q644" s="27"/>
      <c r="R644" s="27"/>
      <c r="S644" s="27"/>
      <c r="T644" s="27"/>
      <c r="U644" s="27"/>
      <c r="V644" s="46"/>
      <c r="W644" s="27"/>
      <c r="X644" s="27"/>
      <c r="Y644" s="27"/>
      <c r="Z644" s="46"/>
      <c r="AA644" s="27"/>
      <c r="AB644" s="27"/>
      <c r="AC644" s="27"/>
    </row>
    <row r="645" spans="2:29" x14ac:dyDescent="0.75">
      <c r="B645" s="26"/>
      <c r="C645" s="27"/>
      <c r="D645" s="46"/>
      <c r="E645" s="27"/>
      <c r="F645" s="27"/>
      <c r="G645" s="27"/>
      <c r="H645" s="46"/>
      <c r="I645" s="27"/>
      <c r="J645" s="27"/>
      <c r="K645" s="27"/>
      <c r="L645" s="46"/>
      <c r="M645" s="27"/>
      <c r="N645" s="27"/>
      <c r="O645" s="27"/>
      <c r="P645" s="46"/>
      <c r="Q645" s="27"/>
      <c r="R645" s="27"/>
      <c r="S645" s="27"/>
      <c r="T645" s="27"/>
      <c r="U645" s="27"/>
      <c r="V645" s="46"/>
      <c r="W645" s="27"/>
      <c r="X645" s="27"/>
      <c r="Y645" s="27"/>
      <c r="Z645" s="46"/>
      <c r="AA645" s="27"/>
      <c r="AB645" s="27"/>
      <c r="AC645" s="27"/>
    </row>
    <row r="646" spans="2:29" x14ac:dyDescent="0.75">
      <c r="B646" s="26"/>
      <c r="C646" s="27"/>
      <c r="D646" s="46"/>
      <c r="E646" s="27"/>
      <c r="F646" s="27"/>
      <c r="G646" s="27"/>
      <c r="H646" s="46"/>
      <c r="I646" s="27"/>
      <c r="J646" s="27"/>
      <c r="K646" s="27"/>
      <c r="L646" s="46"/>
      <c r="M646" s="27"/>
      <c r="N646" s="27"/>
      <c r="O646" s="27"/>
      <c r="P646" s="46"/>
      <c r="Q646" s="27"/>
      <c r="R646" s="27"/>
      <c r="S646" s="27"/>
      <c r="T646" s="27"/>
      <c r="U646" s="27"/>
      <c r="V646" s="46"/>
      <c r="W646" s="27"/>
      <c r="X646" s="27"/>
      <c r="Y646" s="27"/>
      <c r="Z646" s="46"/>
      <c r="AA646" s="27"/>
      <c r="AB646" s="27"/>
      <c r="AC646" s="27"/>
    </row>
    <row r="647" spans="2:29" x14ac:dyDescent="0.75">
      <c r="B647" s="26"/>
      <c r="C647" s="27"/>
      <c r="D647" s="46"/>
      <c r="E647" s="27"/>
      <c r="F647" s="27"/>
      <c r="G647" s="27"/>
      <c r="H647" s="46"/>
      <c r="I647" s="27"/>
      <c r="J647" s="27"/>
      <c r="K647" s="27"/>
      <c r="L647" s="46"/>
      <c r="M647" s="27"/>
      <c r="N647" s="27"/>
      <c r="O647" s="27"/>
      <c r="P647" s="46"/>
      <c r="Q647" s="27"/>
      <c r="R647" s="27"/>
      <c r="S647" s="27"/>
      <c r="T647" s="27"/>
      <c r="U647" s="27"/>
      <c r="V647" s="46"/>
      <c r="W647" s="27"/>
      <c r="X647" s="27"/>
      <c r="Y647" s="27"/>
      <c r="Z647" s="46"/>
      <c r="AA647" s="27"/>
      <c r="AB647" s="27"/>
      <c r="AC647" s="27"/>
    </row>
    <row r="648" spans="2:29" x14ac:dyDescent="0.75">
      <c r="B648" s="26"/>
      <c r="C648" s="27"/>
      <c r="D648" s="46"/>
      <c r="E648" s="27"/>
      <c r="F648" s="27"/>
      <c r="G648" s="27"/>
      <c r="H648" s="46"/>
      <c r="I648" s="27"/>
      <c r="J648" s="27"/>
      <c r="K648" s="27"/>
      <c r="L648" s="46"/>
      <c r="M648" s="27"/>
      <c r="N648" s="27"/>
      <c r="O648" s="27"/>
      <c r="P648" s="46"/>
      <c r="Q648" s="27"/>
      <c r="R648" s="27"/>
      <c r="S648" s="27"/>
      <c r="T648" s="27"/>
      <c r="U648" s="27"/>
      <c r="V648" s="46"/>
      <c r="W648" s="27"/>
      <c r="X648" s="27"/>
      <c r="Y648" s="27"/>
      <c r="Z648" s="46"/>
      <c r="AA648" s="27"/>
      <c r="AB648" s="27"/>
      <c r="AC648" s="27"/>
    </row>
    <row r="649" spans="2:29" x14ac:dyDescent="0.75">
      <c r="B649" s="26"/>
      <c r="C649" s="27"/>
      <c r="D649" s="46"/>
      <c r="E649" s="27"/>
      <c r="F649" s="27"/>
      <c r="G649" s="27"/>
      <c r="H649" s="46"/>
      <c r="I649" s="27"/>
      <c r="J649" s="27"/>
      <c r="K649" s="27"/>
      <c r="L649" s="46"/>
      <c r="M649" s="27"/>
      <c r="N649" s="27"/>
      <c r="O649" s="27"/>
      <c r="P649" s="46"/>
      <c r="Q649" s="27"/>
      <c r="R649" s="27"/>
      <c r="S649" s="27"/>
      <c r="T649" s="27"/>
      <c r="U649" s="27"/>
      <c r="V649" s="46"/>
      <c r="W649" s="27"/>
      <c r="X649" s="27"/>
      <c r="Y649" s="27"/>
      <c r="Z649" s="46"/>
      <c r="AA649" s="27"/>
      <c r="AB649" s="27"/>
      <c r="AC649" s="27"/>
    </row>
    <row r="650" spans="2:29" x14ac:dyDescent="0.75">
      <c r="B650" s="26"/>
      <c r="C650" s="27"/>
      <c r="D650" s="46"/>
      <c r="E650" s="27"/>
      <c r="F650" s="27"/>
      <c r="G650" s="27"/>
      <c r="H650" s="46"/>
      <c r="I650" s="27"/>
      <c r="J650" s="27"/>
      <c r="K650" s="27"/>
      <c r="L650" s="46"/>
      <c r="M650" s="27"/>
      <c r="N650" s="27"/>
      <c r="O650" s="27"/>
      <c r="P650" s="46"/>
      <c r="Q650" s="27"/>
      <c r="R650" s="27"/>
      <c r="S650" s="27"/>
      <c r="T650" s="27"/>
      <c r="U650" s="27"/>
      <c r="V650" s="46"/>
      <c r="W650" s="27"/>
      <c r="X650" s="27"/>
      <c r="Y650" s="27"/>
      <c r="Z650" s="46"/>
      <c r="AA650" s="27"/>
      <c r="AB650" s="27"/>
      <c r="AC650" s="27"/>
    </row>
    <row r="651" spans="2:29" x14ac:dyDescent="0.75">
      <c r="B651" s="26"/>
      <c r="C651" s="27"/>
      <c r="D651" s="46"/>
      <c r="E651" s="27"/>
      <c r="F651" s="27"/>
      <c r="G651" s="27"/>
      <c r="H651" s="46"/>
      <c r="I651" s="27"/>
      <c r="J651" s="27"/>
      <c r="K651" s="27"/>
      <c r="L651" s="46"/>
      <c r="M651" s="27"/>
      <c r="N651" s="27"/>
      <c r="O651" s="27"/>
      <c r="P651" s="46"/>
      <c r="Q651" s="27"/>
      <c r="R651" s="27"/>
      <c r="S651" s="27"/>
      <c r="T651" s="27"/>
      <c r="U651" s="27"/>
      <c r="V651" s="46"/>
      <c r="W651" s="27"/>
      <c r="X651" s="27"/>
      <c r="Y651" s="27"/>
      <c r="Z651" s="46"/>
      <c r="AA651" s="27"/>
      <c r="AB651" s="27"/>
      <c r="AC651" s="27"/>
    </row>
    <row r="652" spans="2:29" x14ac:dyDescent="0.75">
      <c r="B652" s="26"/>
      <c r="C652" s="27"/>
      <c r="D652" s="46"/>
      <c r="E652" s="27"/>
      <c r="F652" s="27"/>
      <c r="G652" s="27"/>
      <c r="H652" s="46"/>
      <c r="I652" s="27"/>
      <c r="J652" s="27"/>
      <c r="K652" s="27"/>
      <c r="L652" s="46"/>
      <c r="M652" s="27"/>
      <c r="N652" s="27"/>
      <c r="O652" s="27"/>
      <c r="P652" s="46"/>
      <c r="Q652" s="27"/>
      <c r="R652" s="27"/>
      <c r="S652" s="27"/>
      <c r="T652" s="27"/>
      <c r="U652" s="27"/>
      <c r="V652" s="46"/>
      <c r="W652" s="27"/>
      <c r="X652" s="27"/>
      <c r="Y652" s="27"/>
      <c r="Z652" s="46"/>
      <c r="AA652" s="27"/>
      <c r="AB652" s="27"/>
      <c r="AC652" s="27"/>
    </row>
    <row r="653" spans="2:29" x14ac:dyDescent="0.75">
      <c r="B653" s="26"/>
      <c r="C653" s="27"/>
      <c r="D653" s="46"/>
      <c r="E653" s="27"/>
      <c r="F653" s="27"/>
      <c r="G653" s="27"/>
      <c r="H653" s="46"/>
      <c r="I653" s="27"/>
      <c r="J653" s="27"/>
      <c r="K653" s="27"/>
      <c r="L653" s="46"/>
      <c r="M653" s="27"/>
      <c r="N653" s="27"/>
      <c r="O653" s="27"/>
      <c r="P653" s="46"/>
      <c r="Q653" s="27"/>
      <c r="R653" s="27"/>
      <c r="S653" s="27"/>
      <c r="T653" s="27"/>
      <c r="U653" s="27"/>
      <c r="V653" s="46"/>
      <c r="W653" s="27"/>
      <c r="X653" s="27"/>
      <c r="Y653" s="27"/>
      <c r="Z653" s="46"/>
      <c r="AA653" s="27"/>
      <c r="AB653" s="27"/>
      <c r="AC653" s="27"/>
    </row>
    <row r="654" spans="2:29" x14ac:dyDescent="0.75">
      <c r="B654" s="26"/>
      <c r="C654" s="27"/>
      <c r="D654" s="46"/>
      <c r="E654" s="27"/>
      <c r="F654" s="27"/>
      <c r="G654" s="27"/>
      <c r="H654" s="46"/>
      <c r="I654" s="27"/>
      <c r="J654" s="27"/>
      <c r="K654" s="27"/>
      <c r="L654" s="46"/>
      <c r="M654" s="27"/>
      <c r="N654" s="27"/>
      <c r="O654" s="27"/>
      <c r="P654" s="46"/>
      <c r="Q654" s="27"/>
      <c r="R654" s="27"/>
      <c r="S654" s="27"/>
      <c r="T654" s="27"/>
      <c r="U654" s="27"/>
      <c r="V654" s="46"/>
      <c r="W654" s="27"/>
      <c r="X654" s="27"/>
      <c r="Y654" s="27"/>
      <c r="Z654" s="46"/>
      <c r="AA654" s="27"/>
      <c r="AB654" s="27"/>
      <c r="AC654" s="27"/>
    </row>
    <row r="655" spans="2:29" x14ac:dyDescent="0.75">
      <c r="B655" s="26"/>
      <c r="C655" s="27"/>
      <c r="D655" s="46"/>
      <c r="E655" s="27"/>
      <c r="F655" s="27"/>
      <c r="G655" s="27"/>
      <c r="H655" s="46"/>
      <c r="I655" s="27"/>
      <c r="J655" s="27"/>
      <c r="K655" s="27"/>
      <c r="L655" s="46"/>
      <c r="M655" s="27"/>
      <c r="N655" s="27"/>
      <c r="O655" s="27"/>
      <c r="P655" s="46"/>
      <c r="Q655" s="27"/>
      <c r="R655" s="27"/>
      <c r="S655" s="27"/>
      <c r="T655" s="27"/>
      <c r="U655" s="27"/>
      <c r="V655" s="46"/>
      <c r="W655" s="27"/>
      <c r="X655" s="27"/>
      <c r="Y655" s="27"/>
      <c r="Z655" s="46"/>
      <c r="AA655" s="27"/>
      <c r="AB655" s="27"/>
      <c r="AC655" s="27"/>
    </row>
    <row r="656" spans="2:29" x14ac:dyDescent="0.75">
      <c r="B656" s="26"/>
      <c r="C656" s="27"/>
      <c r="D656" s="46"/>
      <c r="E656" s="27"/>
      <c r="F656" s="27"/>
      <c r="G656" s="27"/>
      <c r="H656" s="46"/>
      <c r="I656" s="27"/>
      <c r="J656" s="27"/>
      <c r="K656" s="27"/>
      <c r="L656" s="46"/>
      <c r="M656" s="27"/>
      <c r="N656" s="27"/>
      <c r="O656" s="27"/>
      <c r="P656" s="46"/>
      <c r="Q656" s="27"/>
      <c r="R656" s="27"/>
      <c r="S656" s="27"/>
      <c r="T656" s="27"/>
      <c r="U656" s="27"/>
      <c r="V656" s="46"/>
      <c r="W656" s="27"/>
      <c r="X656" s="27"/>
      <c r="Y656" s="27"/>
      <c r="Z656" s="46"/>
      <c r="AA656" s="27"/>
      <c r="AB656" s="27"/>
      <c r="AC656" s="27"/>
    </row>
    <row r="657" spans="2:29" x14ac:dyDescent="0.75">
      <c r="B657" s="26"/>
      <c r="C657" s="27"/>
      <c r="D657" s="46"/>
      <c r="E657" s="27"/>
      <c r="F657" s="27"/>
      <c r="G657" s="27"/>
      <c r="H657" s="46"/>
      <c r="I657" s="27"/>
      <c r="J657" s="27"/>
      <c r="K657" s="27"/>
      <c r="L657" s="46"/>
      <c r="M657" s="27"/>
      <c r="N657" s="27"/>
      <c r="O657" s="27"/>
      <c r="P657" s="46"/>
      <c r="Q657" s="27"/>
      <c r="R657" s="27"/>
      <c r="S657" s="27"/>
      <c r="T657" s="27"/>
      <c r="U657" s="27"/>
      <c r="V657" s="46"/>
      <c r="W657" s="27"/>
      <c r="X657" s="27"/>
      <c r="Y657" s="27"/>
      <c r="Z657" s="46"/>
      <c r="AA657" s="27"/>
      <c r="AB657" s="27"/>
      <c r="AC657" s="27"/>
    </row>
    <row r="658" spans="2:29" x14ac:dyDescent="0.75">
      <c r="B658" s="26"/>
      <c r="C658" s="27"/>
      <c r="D658" s="46"/>
      <c r="E658" s="27"/>
      <c r="F658" s="27"/>
      <c r="G658" s="27"/>
      <c r="H658" s="46"/>
      <c r="I658" s="27"/>
      <c r="J658" s="27"/>
      <c r="K658" s="27"/>
      <c r="L658" s="46"/>
      <c r="M658" s="27"/>
      <c r="N658" s="27"/>
      <c r="O658" s="27"/>
      <c r="P658" s="46"/>
      <c r="Q658" s="27"/>
      <c r="R658" s="27"/>
      <c r="S658" s="27"/>
      <c r="T658" s="27"/>
      <c r="U658" s="27"/>
      <c r="V658" s="46"/>
      <c r="W658" s="27"/>
      <c r="X658" s="27"/>
      <c r="Y658" s="27"/>
      <c r="Z658" s="46"/>
      <c r="AA658" s="27"/>
      <c r="AB658" s="27"/>
      <c r="AC658" s="27"/>
    </row>
    <row r="659" spans="2:29" x14ac:dyDescent="0.75">
      <c r="B659" s="26"/>
      <c r="C659" s="27"/>
      <c r="D659" s="46"/>
      <c r="E659" s="27"/>
      <c r="F659" s="27"/>
      <c r="G659" s="27"/>
      <c r="H659" s="46"/>
      <c r="I659" s="27"/>
      <c r="J659" s="27"/>
      <c r="K659" s="27"/>
      <c r="L659" s="46"/>
      <c r="M659" s="27"/>
      <c r="N659" s="27"/>
      <c r="O659" s="27"/>
      <c r="P659" s="46"/>
      <c r="Q659" s="27"/>
      <c r="R659" s="27"/>
      <c r="S659" s="27"/>
      <c r="T659" s="27"/>
      <c r="U659" s="27"/>
      <c r="V659" s="46"/>
      <c r="W659" s="27"/>
      <c r="X659" s="27"/>
      <c r="Y659" s="27"/>
      <c r="Z659" s="46"/>
      <c r="AA659" s="27"/>
      <c r="AB659" s="27"/>
      <c r="AC659" s="27"/>
    </row>
    <row r="660" spans="2:29" x14ac:dyDescent="0.75">
      <c r="B660" s="26"/>
      <c r="C660" s="27"/>
      <c r="D660" s="46"/>
      <c r="E660" s="27"/>
      <c r="F660" s="27"/>
      <c r="G660" s="27"/>
      <c r="H660" s="46"/>
      <c r="I660" s="27"/>
      <c r="J660" s="27"/>
      <c r="K660" s="27"/>
      <c r="L660" s="46"/>
      <c r="M660" s="27"/>
      <c r="N660" s="27"/>
      <c r="O660" s="27"/>
      <c r="P660" s="46"/>
      <c r="Q660" s="27"/>
      <c r="R660" s="27"/>
      <c r="S660" s="27"/>
      <c r="T660" s="27"/>
      <c r="U660" s="27"/>
      <c r="V660" s="46"/>
      <c r="W660" s="27"/>
      <c r="X660" s="27"/>
      <c r="Y660" s="27"/>
      <c r="Z660" s="46"/>
      <c r="AA660" s="27"/>
      <c r="AB660" s="27"/>
      <c r="AC660" s="27"/>
    </row>
    <row r="661" spans="2:29" x14ac:dyDescent="0.75">
      <c r="B661" s="26"/>
      <c r="C661" s="27"/>
      <c r="D661" s="46"/>
      <c r="E661" s="27"/>
      <c r="F661" s="27"/>
      <c r="G661" s="27"/>
      <c r="H661" s="46"/>
      <c r="I661" s="27"/>
      <c r="J661" s="27"/>
      <c r="K661" s="27"/>
      <c r="L661" s="46"/>
      <c r="M661" s="27"/>
      <c r="N661" s="27"/>
      <c r="O661" s="27"/>
      <c r="P661" s="46"/>
      <c r="Q661" s="27"/>
      <c r="R661" s="27"/>
      <c r="S661" s="27"/>
      <c r="T661" s="27"/>
      <c r="U661" s="27"/>
      <c r="V661" s="46"/>
      <c r="W661" s="27"/>
      <c r="X661" s="27"/>
      <c r="Y661" s="27"/>
      <c r="Z661" s="46"/>
      <c r="AA661" s="27"/>
      <c r="AB661" s="27"/>
      <c r="AC661" s="27"/>
    </row>
    <row r="662" spans="2:29" x14ac:dyDescent="0.75">
      <c r="B662" s="26"/>
      <c r="C662" s="27"/>
      <c r="D662" s="46"/>
      <c r="E662" s="27"/>
      <c r="F662" s="27"/>
      <c r="G662" s="27"/>
      <c r="H662" s="46"/>
      <c r="I662" s="27"/>
      <c r="J662" s="27"/>
      <c r="K662" s="27"/>
      <c r="L662" s="46"/>
      <c r="M662" s="27"/>
      <c r="N662" s="27"/>
      <c r="O662" s="27"/>
      <c r="P662" s="46"/>
      <c r="Q662" s="27"/>
      <c r="R662" s="27"/>
      <c r="S662" s="27"/>
      <c r="T662" s="27"/>
      <c r="U662" s="27"/>
      <c r="V662" s="46"/>
      <c r="W662" s="27"/>
      <c r="X662" s="27"/>
      <c r="Y662" s="27"/>
      <c r="Z662" s="46"/>
      <c r="AA662" s="27"/>
      <c r="AB662" s="27"/>
      <c r="AC662" s="27"/>
    </row>
    <row r="663" spans="2:29" x14ac:dyDescent="0.75">
      <c r="B663" s="26"/>
      <c r="C663" s="27"/>
      <c r="D663" s="46"/>
      <c r="E663" s="27"/>
      <c r="F663" s="27"/>
      <c r="G663" s="27"/>
      <c r="H663" s="46"/>
      <c r="I663" s="27"/>
      <c r="J663" s="27"/>
      <c r="K663" s="27"/>
      <c r="L663" s="46"/>
      <c r="M663" s="27"/>
      <c r="N663" s="27"/>
      <c r="O663" s="27"/>
      <c r="P663" s="46"/>
      <c r="Q663" s="27"/>
      <c r="R663" s="27"/>
      <c r="S663" s="27"/>
      <c r="T663" s="27"/>
      <c r="U663" s="27"/>
      <c r="V663" s="46"/>
      <c r="W663" s="27"/>
      <c r="X663" s="27"/>
      <c r="Y663" s="27"/>
      <c r="Z663" s="46"/>
      <c r="AA663" s="27"/>
      <c r="AB663" s="27"/>
      <c r="AC663" s="27"/>
    </row>
    <row r="664" spans="2:29" x14ac:dyDescent="0.75">
      <c r="B664" s="26"/>
      <c r="C664" s="27"/>
      <c r="D664" s="46"/>
      <c r="E664" s="27"/>
      <c r="F664" s="27"/>
      <c r="G664" s="27"/>
      <c r="H664" s="46"/>
      <c r="I664" s="27"/>
      <c r="J664" s="27"/>
      <c r="K664" s="27"/>
      <c r="L664" s="46"/>
      <c r="M664" s="27"/>
      <c r="N664" s="27"/>
      <c r="O664" s="27"/>
      <c r="P664" s="46"/>
      <c r="Q664" s="27"/>
      <c r="R664" s="27"/>
      <c r="S664" s="27"/>
      <c r="T664" s="27"/>
      <c r="U664" s="27"/>
      <c r="V664" s="46"/>
      <c r="W664" s="27"/>
      <c r="X664" s="27"/>
      <c r="Y664" s="27"/>
      <c r="Z664" s="46"/>
      <c r="AA664" s="27"/>
      <c r="AB664" s="27"/>
      <c r="AC664" s="27"/>
    </row>
    <row r="665" spans="2:29" x14ac:dyDescent="0.75">
      <c r="B665" s="26"/>
      <c r="C665" s="27"/>
      <c r="D665" s="46"/>
      <c r="E665" s="27"/>
      <c r="F665" s="27"/>
      <c r="G665" s="27"/>
      <c r="H665" s="46"/>
      <c r="I665" s="27"/>
      <c r="J665" s="27"/>
      <c r="K665" s="27"/>
      <c r="L665" s="46"/>
      <c r="M665" s="27"/>
      <c r="N665" s="27"/>
      <c r="O665" s="27"/>
      <c r="P665" s="46"/>
      <c r="Q665" s="27"/>
      <c r="R665" s="27"/>
      <c r="S665" s="27"/>
      <c r="T665" s="27"/>
      <c r="U665" s="27"/>
      <c r="V665" s="46"/>
      <c r="W665" s="27"/>
      <c r="X665" s="27"/>
      <c r="Y665" s="27"/>
      <c r="Z665" s="46"/>
      <c r="AA665" s="27"/>
      <c r="AB665" s="27"/>
      <c r="AC665" s="27"/>
    </row>
    <row r="666" spans="2:29" x14ac:dyDescent="0.75">
      <c r="B666" s="26"/>
      <c r="C666" s="27"/>
      <c r="D666" s="46"/>
      <c r="E666" s="27"/>
      <c r="F666" s="27"/>
      <c r="G666" s="27"/>
      <c r="H666" s="46"/>
      <c r="I666" s="27"/>
      <c r="J666" s="27"/>
      <c r="K666" s="27"/>
      <c r="L666" s="46"/>
      <c r="M666" s="27"/>
      <c r="N666" s="27"/>
      <c r="O666" s="27"/>
      <c r="P666" s="46"/>
      <c r="Q666" s="27"/>
      <c r="R666" s="27"/>
      <c r="S666" s="27"/>
      <c r="T666" s="27"/>
      <c r="U666" s="27"/>
      <c r="V666" s="46"/>
      <c r="W666" s="27"/>
      <c r="X666" s="27"/>
      <c r="Y666" s="27"/>
      <c r="Z666" s="46"/>
      <c r="AA666" s="27"/>
      <c r="AB666" s="27"/>
      <c r="AC666" s="27"/>
    </row>
    <row r="667" spans="2:29" x14ac:dyDescent="0.75">
      <c r="B667" s="26"/>
      <c r="C667" s="27"/>
      <c r="D667" s="46"/>
      <c r="E667" s="27"/>
      <c r="F667" s="27"/>
      <c r="G667" s="27"/>
      <c r="H667" s="46"/>
      <c r="I667" s="27"/>
      <c r="J667" s="27"/>
      <c r="K667" s="27"/>
      <c r="L667" s="46"/>
      <c r="M667" s="27"/>
      <c r="N667" s="27"/>
      <c r="O667" s="27"/>
      <c r="P667" s="46"/>
      <c r="Q667" s="27"/>
      <c r="R667" s="27"/>
      <c r="S667" s="27"/>
      <c r="T667" s="27"/>
      <c r="U667" s="27"/>
      <c r="V667" s="46"/>
      <c r="W667" s="27"/>
      <c r="X667" s="27"/>
      <c r="Y667" s="27"/>
      <c r="Z667" s="46"/>
      <c r="AA667" s="27"/>
      <c r="AB667" s="27"/>
      <c r="AC667" s="27"/>
    </row>
    <row r="668" spans="2:29" x14ac:dyDescent="0.75">
      <c r="B668" s="26"/>
      <c r="C668" s="27"/>
      <c r="D668" s="46"/>
      <c r="E668" s="27"/>
      <c r="F668" s="27"/>
      <c r="G668" s="27"/>
      <c r="H668" s="46"/>
      <c r="I668" s="27"/>
      <c r="J668" s="27"/>
      <c r="K668" s="27"/>
      <c r="L668" s="46"/>
      <c r="M668" s="27"/>
      <c r="N668" s="27"/>
      <c r="O668" s="27"/>
      <c r="P668" s="46"/>
      <c r="Q668" s="27"/>
      <c r="R668" s="27"/>
      <c r="S668" s="27"/>
      <c r="T668" s="27"/>
      <c r="U668" s="27"/>
      <c r="V668" s="46"/>
      <c r="W668" s="27"/>
      <c r="X668" s="27"/>
      <c r="Y668" s="27"/>
      <c r="Z668" s="46"/>
      <c r="AA668" s="27"/>
      <c r="AB668" s="27"/>
      <c r="AC668" s="27"/>
    </row>
    <row r="669" spans="2:29" x14ac:dyDescent="0.75">
      <c r="B669" s="26"/>
      <c r="C669" s="27"/>
      <c r="D669" s="46"/>
      <c r="E669" s="27"/>
      <c r="F669" s="27"/>
      <c r="G669" s="27"/>
      <c r="H669" s="46"/>
      <c r="I669" s="27"/>
      <c r="J669" s="27"/>
      <c r="K669" s="27"/>
      <c r="L669" s="46"/>
      <c r="M669" s="27"/>
      <c r="N669" s="27"/>
      <c r="O669" s="27"/>
      <c r="P669" s="46"/>
      <c r="Q669" s="27"/>
      <c r="R669" s="27"/>
      <c r="S669" s="27"/>
      <c r="T669" s="27"/>
      <c r="U669" s="27"/>
      <c r="V669" s="46"/>
      <c r="W669" s="27"/>
      <c r="X669" s="27"/>
      <c r="Y669" s="27"/>
      <c r="Z669" s="46"/>
      <c r="AA669" s="27"/>
      <c r="AB669" s="27"/>
      <c r="AC669" s="27"/>
    </row>
    <row r="670" spans="2:29" x14ac:dyDescent="0.75">
      <c r="B670" s="26"/>
      <c r="C670" s="27"/>
      <c r="D670" s="46"/>
      <c r="E670" s="27"/>
      <c r="F670" s="27"/>
      <c r="G670" s="27"/>
      <c r="H670" s="46"/>
      <c r="I670" s="27"/>
      <c r="J670" s="27"/>
      <c r="K670" s="27"/>
      <c r="L670" s="46"/>
      <c r="M670" s="27"/>
      <c r="N670" s="27"/>
      <c r="O670" s="27"/>
      <c r="P670" s="46"/>
      <c r="Q670" s="27"/>
      <c r="R670" s="27"/>
      <c r="S670" s="27"/>
      <c r="T670" s="27"/>
      <c r="U670" s="27"/>
      <c r="V670" s="46"/>
      <c r="W670" s="27"/>
      <c r="X670" s="27"/>
      <c r="Y670" s="27"/>
      <c r="Z670" s="46"/>
      <c r="AA670" s="27"/>
      <c r="AB670" s="27"/>
      <c r="AC670" s="27"/>
    </row>
    <row r="671" spans="2:29" x14ac:dyDescent="0.75">
      <c r="B671" s="26"/>
      <c r="C671" s="27"/>
      <c r="D671" s="46"/>
      <c r="E671" s="27"/>
      <c r="F671" s="27"/>
      <c r="G671" s="27"/>
      <c r="H671" s="46"/>
      <c r="I671" s="27"/>
      <c r="J671" s="27"/>
      <c r="K671" s="27"/>
      <c r="L671" s="46"/>
      <c r="M671" s="27"/>
      <c r="N671" s="27"/>
      <c r="O671" s="27"/>
      <c r="P671" s="46"/>
      <c r="Q671" s="27"/>
      <c r="R671" s="27"/>
      <c r="S671" s="27"/>
      <c r="T671" s="27"/>
      <c r="U671" s="27"/>
      <c r="V671" s="46"/>
      <c r="W671" s="27"/>
      <c r="X671" s="27"/>
      <c r="Y671" s="27"/>
      <c r="Z671" s="46"/>
      <c r="AA671" s="27"/>
      <c r="AB671" s="27"/>
      <c r="AC671" s="27"/>
    </row>
    <row r="672" spans="2:29" x14ac:dyDescent="0.75">
      <c r="B672" s="26"/>
      <c r="C672" s="27"/>
      <c r="D672" s="46"/>
      <c r="E672" s="27"/>
      <c r="F672" s="27"/>
      <c r="G672" s="27"/>
      <c r="H672" s="46"/>
      <c r="I672" s="27"/>
      <c r="J672" s="27"/>
      <c r="K672" s="27"/>
      <c r="L672" s="46"/>
      <c r="M672" s="27"/>
      <c r="N672" s="27"/>
      <c r="O672" s="27"/>
      <c r="P672" s="46"/>
      <c r="Q672" s="27"/>
      <c r="R672" s="27"/>
      <c r="S672" s="27"/>
      <c r="T672" s="27"/>
      <c r="U672" s="27"/>
      <c r="V672" s="46"/>
      <c r="W672" s="27"/>
      <c r="X672" s="27"/>
      <c r="Y672" s="27"/>
      <c r="Z672" s="46"/>
      <c r="AA672" s="27"/>
      <c r="AB672" s="27"/>
      <c r="AC672" s="27"/>
    </row>
    <row r="673" spans="2:29" x14ac:dyDescent="0.75">
      <c r="B673" s="26"/>
      <c r="C673" s="27"/>
      <c r="D673" s="46"/>
      <c r="E673" s="27"/>
      <c r="F673" s="27"/>
      <c r="G673" s="27"/>
      <c r="H673" s="46"/>
      <c r="I673" s="27"/>
      <c r="J673" s="27"/>
      <c r="K673" s="27"/>
      <c r="L673" s="46"/>
      <c r="M673" s="27"/>
      <c r="N673" s="27"/>
      <c r="O673" s="27"/>
      <c r="P673" s="46"/>
      <c r="Q673" s="27"/>
      <c r="R673" s="27"/>
      <c r="S673" s="27"/>
      <c r="T673" s="27"/>
      <c r="U673" s="27"/>
      <c r="V673" s="46"/>
      <c r="W673" s="27"/>
      <c r="X673" s="27"/>
      <c r="Y673" s="27"/>
      <c r="Z673" s="46"/>
      <c r="AA673" s="27"/>
      <c r="AB673" s="27"/>
      <c r="AC673" s="27"/>
    </row>
    <row r="674" spans="2:29" x14ac:dyDescent="0.75">
      <c r="B674" s="26"/>
      <c r="C674" s="27"/>
      <c r="D674" s="46"/>
      <c r="E674" s="27"/>
      <c r="F674" s="27"/>
      <c r="G674" s="27"/>
      <c r="H674" s="46"/>
      <c r="I674" s="27"/>
      <c r="J674" s="27"/>
      <c r="K674" s="27"/>
      <c r="L674" s="46"/>
      <c r="M674" s="27"/>
      <c r="N674" s="27"/>
      <c r="O674" s="27"/>
      <c r="P674" s="46"/>
      <c r="Q674" s="27"/>
      <c r="R674" s="27"/>
      <c r="S674" s="27"/>
      <c r="T674" s="27"/>
      <c r="U674" s="27"/>
      <c r="V674" s="46"/>
      <c r="W674" s="27"/>
      <c r="X674" s="27"/>
      <c r="Y674" s="27"/>
      <c r="Z674" s="46"/>
      <c r="AA674" s="27"/>
      <c r="AB674" s="27"/>
      <c r="AC674" s="27"/>
    </row>
    <row r="675" spans="2:29" x14ac:dyDescent="0.75">
      <c r="B675" s="26"/>
      <c r="C675" s="27"/>
      <c r="D675" s="46"/>
      <c r="E675" s="27"/>
      <c r="F675" s="27"/>
      <c r="G675" s="27"/>
      <c r="H675" s="46"/>
      <c r="I675" s="27"/>
      <c r="J675" s="27"/>
      <c r="K675" s="27"/>
      <c r="L675" s="46"/>
      <c r="M675" s="27"/>
      <c r="N675" s="27"/>
      <c r="O675" s="27"/>
      <c r="P675" s="46"/>
      <c r="Q675" s="27"/>
      <c r="R675" s="27"/>
      <c r="S675" s="27"/>
      <c r="T675" s="27"/>
      <c r="U675" s="27"/>
      <c r="V675" s="46"/>
      <c r="W675" s="27"/>
      <c r="X675" s="27"/>
      <c r="Y675" s="27"/>
      <c r="Z675" s="46"/>
      <c r="AA675" s="27"/>
      <c r="AB675" s="27"/>
      <c r="AC675" s="27"/>
    </row>
    <row r="676" spans="2:29" x14ac:dyDescent="0.75">
      <c r="B676" s="26"/>
      <c r="C676" s="27"/>
      <c r="D676" s="46"/>
      <c r="E676" s="27"/>
      <c r="F676" s="27"/>
      <c r="G676" s="27"/>
      <c r="H676" s="46"/>
      <c r="I676" s="27"/>
      <c r="J676" s="27"/>
      <c r="K676" s="27"/>
      <c r="L676" s="46"/>
      <c r="M676" s="27"/>
      <c r="N676" s="27"/>
      <c r="O676" s="27"/>
      <c r="P676" s="46"/>
      <c r="Q676" s="27"/>
      <c r="R676" s="27"/>
      <c r="S676" s="27"/>
      <c r="T676" s="27"/>
      <c r="U676" s="27"/>
      <c r="V676" s="46"/>
      <c r="W676" s="27"/>
      <c r="X676" s="27"/>
      <c r="Y676" s="27"/>
      <c r="Z676" s="46"/>
      <c r="AA676" s="27"/>
      <c r="AB676" s="27"/>
      <c r="AC676" s="27"/>
    </row>
    <row r="677" spans="2:29" x14ac:dyDescent="0.75">
      <c r="B677" s="26"/>
      <c r="C677" s="27"/>
      <c r="D677" s="46"/>
      <c r="E677" s="27"/>
      <c r="F677" s="27"/>
      <c r="G677" s="27"/>
      <c r="H677" s="46"/>
      <c r="I677" s="27"/>
      <c r="J677" s="27"/>
      <c r="K677" s="27"/>
      <c r="L677" s="46"/>
      <c r="M677" s="27"/>
      <c r="N677" s="27"/>
      <c r="O677" s="27"/>
      <c r="P677" s="46"/>
      <c r="Q677" s="27"/>
      <c r="R677" s="27"/>
      <c r="S677" s="27"/>
      <c r="T677" s="27"/>
      <c r="U677" s="27"/>
      <c r="V677" s="46"/>
      <c r="W677" s="27"/>
      <c r="X677" s="27"/>
      <c r="Y677" s="27"/>
      <c r="Z677" s="46"/>
      <c r="AA677" s="27"/>
      <c r="AB677" s="27"/>
      <c r="AC677" s="27"/>
    </row>
    <row r="678" spans="2:29" x14ac:dyDescent="0.75">
      <c r="B678" s="26"/>
      <c r="C678" s="27"/>
      <c r="D678" s="46"/>
      <c r="E678" s="27"/>
      <c r="F678" s="27"/>
      <c r="G678" s="27"/>
      <c r="H678" s="46"/>
      <c r="I678" s="27"/>
      <c r="J678" s="27"/>
      <c r="K678" s="27"/>
      <c r="L678" s="46"/>
      <c r="M678" s="27"/>
      <c r="N678" s="27"/>
      <c r="O678" s="27"/>
      <c r="P678" s="46"/>
      <c r="Q678" s="27"/>
      <c r="R678" s="27"/>
      <c r="S678" s="27"/>
      <c r="T678" s="27"/>
      <c r="U678" s="27"/>
      <c r="V678" s="46"/>
      <c r="W678" s="27"/>
      <c r="X678" s="27"/>
      <c r="Y678" s="27"/>
      <c r="Z678" s="46"/>
      <c r="AA678" s="27"/>
      <c r="AB678" s="27"/>
      <c r="AC678" s="27"/>
    </row>
    <row r="679" spans="2:29" x14ac:dyDescent="0.75">
      <c r="B679" s="26"/>
      <c r="C679" s="27"/>
      <c r="D679" s="46"/>
      <c r="E679" s="27"/>
      <c r="F679" s="27"/>
      <c r="G679" s="27"/>
      <c r="H679" s="46"/>
      <c r="I679" s="27"/>
      <c r="J679" s="27"/>
      <c r="K679" s="27"/>
      <c r="L679" s="46"/>
      <c r="M679" s="27"/>
      <c r="N679" s="27"/>
      <c r="O679" s="27"/>
      <c r="P679" s="46"/>
      <c r="Q679" s="27"/>
      <c r="R679" s="27"/>
      <c r="S679" s="27"/>
      <c r="T679" s="27"/>
      <c r="U679" s="27"/>
      <c r="V679" s="46"/>
      <c r="W679" s="27"/>
      <c r="X679" s="27"/>
      <c r="Y679" s="27"/>
      <c r="Z679" s="46"/>
      <c r="AA679" s="27"/>
      <c r="AB679" s="27"/>
      <c r="AC679" s="27"/>
    </row>
    <row r="680" spans="2:29" x14ac:dyDescent="0.75">
      <c r="B680" s="26"/>
      <c r="C680" s="27"/>
      <c r="D680" s="46"/>
      <c r="E680" s="27"/>
      <c r="F680" s="27"/>
      <c r="G680" s="27"/>
      <c r="H680" s="46"/>
      <c r="I680" s="27"/>
      <c r="J680" s="27"/>
      <c r="K680" s="27"/>
      <c r="L680" s="46"/>
      <c r="M680" s="27"/>
      <c r="N680" s="27"/>
      <c r="O680" s="27"/>
      <c r="P680" s="46"/>
      <c r="Q680" s="27"/>
      <c r="R680" s="27"/>
      <c r="S680" s="27"/>
      <c r="T680" s="27"/>
      <c r="U680" s="27"/>
      <c r="V680" s="46"/>
      <c r="W680" s="27"/>
      <c r="X680" s="27"/>
      <c r="Y680" s="27"/>
      <c r="Z680" s="46"/>
      <c r="AA680" s="27"/>
      <c r="AB680" s="27"/>
      <c r="AC680" s="27"/>
    </row>
    <row r="681" spans="2:29" x14ac:dyDescent="0.75">
      <c r="B681" s="26"/>
      <c r="C681" s="27"/>
      <c r="D681" s="46"/>
      <c r="E681" s="27"/>
      <c r="F681" s="27"/>
      <c r="G681" s="27"/>
      <c r="H681" s="46"/>
      <c r="I681" s="27"/>
      <c r="J681" s="27"/>
      <c r="K681" s="27"/>
      <c r="L681" s="46"/>
      <c r="M681" s="27"/>
      <c r="N681" s="27"/>
      <c r="O681" s="27"/>
      <c r="P681" s="46"/>
      <c r="Q681" s="27"/>
      <c r="R681" s="27"/>
      <c r="S681" s="27"/>
      <c r="T681" s="27"/>
      <c r="U681" s="27"/>
      <c r="V681" s="46"/>
      <c r="W681" s="27"/>
      <c r="X681" s="27"/>
      <c r="Y681" s="27"/>
      <c r="Z681" s="46"/>
      <c r="AA681" s="27"/>
      <c r="AB681" s="27"/>
      <c r="AC681" s="27"/>
    </row>
    <row r="682" spans="2:29" x14ac:dyDescent="0.75">
      <c r="B682" s="26"/>
      <c r="C682" s="27"/>
      <c r="D682" s="46"/>
      <c r="E682" s="27"/>
      <c r="F682" s="27"/>
      <c r="G682" s="27"/>
      <c r="H682" s="46"/>
      <c r="I682" s="27"/>
      <c r="J682" s="27"/>
      <c r="K682" s="27"/>
      <c r="L682" s="46"/>
      <c r="M682" s="27"/>
      <c r="N682" s="27"/>
      <c r="O682" s="27"/>
      <c r="P682" s="46"/>
      <c r="Q682" s="27"/>
      <c r="R682" s="27"/>
      <c r="S682" s="27"/>
      <c r="T682" s="27"/>
      <c r="U682" s="27"/>
      <c r="V682" s="46"/>
      <c r="W682" s="27"/>
      <c r="X682" s="27"/>
      <c r="Y682" s="27"/>
      <c r="Z682" s="46"/>
      <c r="AA682" s="27"/>
      <c r="AB682" s="27"/>
      <c r="AC682" s="27"/>
    </row>
    <row r="683" spans="2:29" x14ac:dyDescent="0.75">
      <c r="B683" s="26"/>
      <c r="C683" s="27"/>
      <c r="D683" s="46"/>
      <c r="E683" s="27"/>
      <c r="F683" s="27"/>
      <c r="G683" s="27"/>
      <c r="H683" s="46"/>
      <c r="I683" s="27"/>
      <c r="J683" s="27"/>
      <c r="K683" s="27"/>
      <c r="L683" s="46"/>
      <c r="M683" s="27"/>
      <c r="N683" s="27"/>
      <c r="O683" s="27"/>
      <c r="P683" s="46"/>
      <c r="Q683" s="27"/>
      <c r="R683" s="27"/>
      <c r="S683" s="27"/>
      <c r="T683" s="27"/>
      <c r="U683" s="27"/>
      <c r="V683" s="46"/>
      <c r="W683" s="27"/>
      <c r="X683" s="27"/>
      <c r="Y683" s="27"/>
      <c r="Z683" s="46"/>
      <c r="AA683" s="27"/>
      <c r="AB683" s="27"/>
      <c r="AC683" s="27"/>
    </row>
    <row r="684" spans="2:29" x14ac:dyDescent="0.75">
      <c r="B684" s="26"/>
      <c r="C684" s="27"/>
      <c r="D684" s="46"/>
      <c r="E684" s="27"/>
      <c r="F684" s="27"/>
      <c r="G684" s="27"/>
      <c r="H684" s="46"/>
      <c r="I684" s="27"/>
      <c r="J684" s="27"/>
      <c r="K684" s="27"/>
      <c r="L684" s="46"/>
      <c r="M684" s="27"/>
      <c r="N684" s="27"/>
      <c r="O684" s="27"/>
      <c r="P684" s="46"/>
      <c r="Q684" s="27"/>
      <c r="R684" s="27"/>
      <c r="S684" s="27"/>
      <c r="T684" s="27"/>
      <c r="U684" s="27"/>
      <c r="V684" s="46"/>
      <c r="W684" s="27"/>
      <c r="X684" s="27"/>
      <c r="Y684" s="27"/>
      <c r="Z684" s="46"/>
      <c r="AA684" s="27"/>
      <c r="AB684" s="27"/>
      <c r="AC684" s="27"/>
    </row>
    <row r="685" spans="2:29" x14ac:dyDescent="0.75">
      <c r="B685" s="26"/>
      <c r="C685" s="27"/>
      <c r="D685" s="46"/>
      <c r="E685" s="27"/>
      <c r="F685" s="27"/>
      <c r="G685" s="27"/>
      <c r="H685" s="46"/>
      <c r="I685" s="27"/>
      <c r="J685" s="27"/>
      <c r="K685" s="27"/>
      <c r="L685" s="46"/>
      <c r="M685" s="27"/>
      <c r="N685" s="27"/>
      <c r="O685" s="27"/>
      <c r="P685" s="46"/>
      <c r="Q685" s="27"/>
      <c r="R685" s="27"/>
      <c r="S685" s="27"/>
      <c r="T685" s="27"/>
      <c r="U685" s="27"/>
      <c r="V685" s="46"/>
      <c r="W685" s="27"/>
      <c r="X685" s="27"/>
      <c r="Y685" s="27"/>
      <c r="Z685" s="46"/>
      <c r="AA685" s="27"/>
      <c r="AB685" s="27"/>
      <c r="AC685" s="27"/>
    </row>
    <row r="686" spans="2:29" x14ac:dyDescent="0.75">
      <c r="B686" s="26"/>
      <c r="C686" s="27"/>
      <c r="D686" s="46"/>
      <c r="E686" s="27"/>
      <c r="F686" s="27"/>
      <c r="G686" s="27"/>
      <c r="H686" s="46"/>
      <c r="I686" s="27"/>
      <c r="J686" s="27"/>
      <c r="K686" s="27"/>
      <c r="L686" s="46"/>
      <c r="M686" s="27"/>
      <c r="N686" s="27"/>
      <c r="O686" s="27"/>
      <c r="P686" s="46"/>
      <c r="Q686" s="27"/>
      <c r="R686" s="27"/>
      <c r="S686" s="27"/>
      <c r="T686" s="27"/>
      <c r="U686" s="27"/>
      <c r="V686" s="46"/>
      <c r="W686" s="27"/>
      <c r="X686" s="27"/>
      <c r="Y686" s="27"/>
      <c r="Z686" s="46"/>
      <c r="AA686" s="27"/>
      <c r="AB686" s="27"/>
      <c r="AC686" s="27"/>
    </row>
    <row r="687" spans="2:29" x14ac:dyDescent="0.75">
      <c r="B687" s="26"/>
      <c r="C687" s="27"/>
      <c r="D687" s="46"/>
      <c r="E687" s="27"/>
      <c r="F687" s="27"/>
      <c r="G687" s="27"/>
      <c r="H687" s="46"/>
      <c r="I687" s="27"/>
      <c r="J687" s="27"/>
      <c r="K687" s="27"/>
      <c r="L687" s="46"/>
      <c r="M687" s="27"/>
      <c r="N687" s="27"/>
      <c r="O687" s="27"/>
      <c r="P687" s="46"/>
      <c r="Q687" s="27"/>
      <c r="R687" s="27"/>
      <c r="S687" s="27"/>
      <c r="T687" s="27"/>
      <c r="U687" s="27"/>
      <c r="V687" s="46"/>
      <c r="W687" s="27"/>
      <c r="X687" s="27"/>
      <c r="Y687" s="27"/>
      <c r="Z687" s="46"/>
      <c r="AA687" s="27"/>
      <c r="AB687" s="27"/>
      <c r="AC687" s="27"/>
    </row>
    <row r="688" spans="2:29" x14ac:dyDescent="0.75">
      <c r="B688" s="26"/>
      <c r="C688" s="27"/>
      <c r="D688" s="46"/>
      <c r="E688" s="27"/>
      <c r="F688" s="27"/>
      <c r="G688" s="27"/>
      <c r="H688" s="46"/>
      <c r="I688" s="27"/>
      <c r="J688" s="27"/>
      <c r="K688" s="27"/>
      <c r="L688" s="46"/>
      <c r="M688" s="27"/>
      <c r="N688" s="27"/>
      <c r="O688" s="27"/>
      <c r="P688" s="46"/>
      <c r="Q688" s="27"/>
      <c r="R688" s="27"/>
      <c r="S688" s="27"/>
      <c r="T688" s="27"/>
      <c r="U688" s="27"/>
      <c r="V688" s="46"/>
      <c r="W688" s="27"/>
      <c r="X688" s="27"/>
      <c r="Y688" s="27"/>
      <c r="Z688" s="46"/>
      <c r="AA688" s="27"/>
      <c r="AB688" s="27"/>
      <c r="AC688" s="27"/>
    </row>
    <row r="689" spans="2:29" x14ac:dyDescent="0.75">
      <c r="B689" s="26"/>
      <c r="C689" s="27"/>
      <c r="D689" s="46"/>
      <c r="E689" s="27"/>
      <c r="F689" s="27"/>
      <c r="G689" s="27"/>
      <c r="H689" s="46"/>
      <c r="I689" s="27"/>
      <c r="J689" s="27"/>
      <c r="K689" s="27"/>
      <c r="L689" s="46"/>
      <c r="M689" s="27"/>
      <c r="N689" s="27"/>
      <c r="O689" s="27"/>
      <c r="P689" s="46"/>
      <c r="Q689" s="27"/>
      <c r="R689" s="27"/>
      <c r="S689" s="27"/>
      <c r="T689" s="27"/>
      <c r="U689" s="27"/>
      <c r="V689" s="46"/>
      <c r="W689" s="27"/>
      <c r="X689" s="27"/>
      <c r="Y689" s="27"/>
      <c r="Z689" s="46"/>
      <c r="AA689" s="27"/>
      <c r="AB689" s="27"/>
      <c r="AC689" s="27"/>
    </row>
    <row r="690" spans="2:29" x14ac:dyDescent="0.75">
      <c r="B690" s="26"/>
      <c r="C690" s="27"/>
      <c r="D690" s="46"/>
      <c r="E690" s="27"/>
      <c r="F690" s="27"/>
      <c r="G690" s="27"/>
      <c r="H690" s="46"/>
      <c r="I690" s="27"/>
      <c r="J690" s="27"/>
      <c r="K690" s="27"/>
      <c r="L690" s="46"/>
      <c r="M690" s="27"/>
      <c r="N690" s="27"/>
      <c r="O690" s="27"/>
      <c r="P690" s="46"/>
      <c r="Q690" s="27"/>
      <c r="R690" s="27"/>
      <c r="S690" s="27"/>
      <c r="T690" s="27"/>
      <c r="U690" s="27"/>
      <c r="V690" s="46"/>
      <c r="W690" s="27"/>
      <c r="X690" s="27"/>
      <c r="Y690" s="27"/>
      <c r="Z690" s="46"/>
      <c r="AA690" s="27"/>
      <c r="AB690" s="27"/>
      <c r="AC690" s="27"/>
    </row>
    <row r="691" spans="2:29" x14ac:dyDescent="0.75">
      <c r="B691" s="26"/>
      <c r="C691" s="27"/>
      <c r="D691" s="46"/>
      <c r="E691" s="27"/>
      <c r="F691" s="27"/>
      <c r="G691" s="27"/>
      <c r="H691" s="46"/>
      <c r="I691" s="27"/>
      <c r="J691" s="27"/>
      <c r="K691" s="27"/>
      <c r="L691" s="46"/>
      <c r="M691" s="27"/>
      <c r="N691" s="27"/>
      <c r="O691" s="27"/>
      <c r="P691" s="46"/>
      <c r="Q691" s="27"/>
      <c r="R691" s="27"/>
      <c r="S691" s="27"/>
      <c r="T691" s="27"/>
      <c r="U691" s="27"/>
      <c r="V691" s="46"/>
      <c r="W691" s="27"/>
      <c r="X691" s="27"/>
      <c r="Y691" s="27"/>
      <c r="Z691" s="46"/>
      <c r="AA691" s="27"/>
      <c r="AB691" s="27"/>
      <c r="AC691" s="27"/>
    </row>
    <row r="692" spans="2:29" x14ac:dyDescent="0.75">
      <c r="B692" s="26"/>
      <c r="C692" s="27"/>
      <c r="D692" s="46"/>
      <c r="E692" s="27"/>
      <c r="F692" s="27"/>
      <c r="G692" s="27"/>
      <c r="H692" s="46"/>
      <c r="I692" s="27"/>
      <c r="J692" s="27"/>
      <c r="K692" s="27"/>
      <c r="L692" s="46"/>
      <c r="M692" s="27"/>
      <c r="N692" s="27"/>
      <c r="O692" s="27"/>
      <c r="P692" s="46"/>
      <c r="Q692" s="27"/>
      <c r="R692" s="27"/>
      <c r="S692" s="27"/>
      <c r="T692" s="27"/>
      <c r="U692" s="27"/>
      <c r="V692" s="46"/>
      <c r="W692" s="27"/>
      <c r="X692" s="27"/>
      <c r="Y692" s="27"/>
      <c r="Z692" s="46"/>
      <c r="AA692" s="27"/>
      <c r="AB692" s="27"/>
      <c r="AC692" s="27"/>
    </row>
    <row r="693" spans="2:29" x14ac:dyDescent="0.75">
      <c r="B693" s="26"/>
      <c r="C693" s="27"/>
      <c r="D693" s="46"/>
      <c r="E693" s="27"/>
      <c r="F693" s="27"/>
      <c r="G693" s="27"/>
      <c r="H693" s="46"/>
      <c r="I693" s="27"/>
      <c r="J693" s="27"/>
      <c r="K693" s="27"/>
      <c r="L693" s="46"/>
      <c r="M693" s="27"/>
      <c r="N693" s="27"/>
      <c r="O693" s="27"/>
      <c r="P693" s="46"/>
      <c r="Q693" s="27"/>
      <c r="R693" s="27"/>
      <c r="S693" s="27"/>
      <c r="T693" s="27"/>
      <c r="U693" s="27"/>
      <c r="V693" s="46"/>
      <c r="W693" s="27"/>
      <c r="X693" s="27"/>
      <c r="Y693" s="27"/>
      <c r="Z693" s="46"/>
      <c r="AA693" s="27"/>
      <c r="AB693" s="27"/>
      <c r="AC693" s="27"/>
    </row>
    <row r="694" spans="2:29" x14ac:dyDescent="0.75">
      <c r="B694" s="26"/>
      <c r="C694" s="27"/>
      <c r="D694" s="46"/>
      <c r="E694" s="27"/>
      <c r="F694" s="27"/>
      <c r="G694" s="27"/>
      <c r="H694" s="46"/>
      <c r="I694" s="27"/>
      <c r="J694" s="27"/>
      <c r="K694" s="27"/>
      <c r="L694" s="46"/>
      <c r="M694" s="27"/>
      <c r="N694" s="27"/>
      <c r="O694" s="27"/>
      <c r="P694" s="46"/>
      <c r="Q694" s="27"/>
      <c r="R694" s="27"/>
      <c r="S694" s="27"/>
      <c r="T694" s="27"/>
      <c r="U694" s="27"/>
      <c r="V694" s="46"/>
      <c r="W694" s="27"/>
      <c r="X694" s="27"/>
      <c r="Y694" s="27"/>
      <c r="Z694" s="46"/>
      <c r="AA694" s="27"/>
      <c r="AB694" s="27"/>
      <c r="AC694" s="27"/>
    </row>
    <row r="695" spans="2:29" x14ac:dyDescent="0.75">
      <c r="B695" s="26"/>
      <c r="C695" s="27"/>
      <c r="D695" s="46"/>
      <c r="E695" s="27"/>
      <c r="F695" s="27"/>
      <c r="G695" s="27"/>
      <c r="H695" s="46"/>
      <c r="I695" s="27"/>
      <c r="J695" s="27"/>
      <c r="K695" s="27"/>
      <c r="L695" s="46"/>
      <c r="M695" s="27"/>
      <c r="N695" s="27"/>
      <c r="O695" s="27"/>
      <c r="P695" s="46"/>
      <c r="Q695" s="27"/>
      <c r="R695" s="27"/>
      <c r="S695" s="27"/>
      <c r="T695" s="27"/>
      <c r="U695" s="27"/>
      <c r="V695" s="46"/>
      <c r="W695" s="27"/>
      <c r="X695" s="27"/>
      <c r="Y695" s="27"/>
      <c r="Z695" s="46"/>
      <c r="AA695" s="27"/>
      <c r="AB695" s="27"/>
      <c r="AC695" s="27"/>
    </row>
    <row r="696" spans="2:29" x14ac:dyDescent="0.75">
      <c r="B696" s="26"/>
      <c r="C696" s="27"/>
      <c r="D696" s="46"/>
      <c r="E696" s="27"/>
      <c r="F696" s="27"/>
      <c r="G696" s="27"/>
      <c r="H696" s="46"/>
      <c r="I696" s="27"/>
      <c r="J696" s="27"/>
      <c r="K696" s="27"/>
      <c r="L696" s="46"/>
      <c r="M696" s="27"/>
      <c r="N696" s="27"/>
      <c r="O696" s="27"/>
      <c r="P696" s="46"/>
      <c r="Q696" s="27"/>
      <c r="R696" s="27"/>
      <c r="S696" s="27"/>
      <c r="T696" s="27"/>
      <c r="U696" s="27"/>
      <c r="V696" s="46"/>
      <c r="W696" s="27"/>
      <c r="X696" s="27"/>
      <c r="Y696" s="27"/>
      <c r="Z696" s="46"/>
      <c r="AA696" s="27"/>
      <c r="AB696" s="27"/>
      <c r="AC696" s="27"/>
    </row>
    <row r="697" spans="2:29" x14ac:dyDescent="0.75">
      <c r="B697" s="26"/>
      <c r="C697" s="27"/>
      <c r="D697" s="46"/>
      <c r="E697" s="27"/>
      <c r="F697" s="27"/>
      <c r="G697" s="27"/>
      <c r="H697" s="46"/>
      <c r="I697" s="27"/>
      <c r="J697" s="27"/>
      <c r="K697" s="27"/>
      <c r="L697" s="46"/>
      <c r="M697" s="27"/>
      <c r="N697" s="27"/>
      <c r="O697" s="27"/>
      <c r="P697" s="46"/>
      <c r="Q697" s="27"/>
      <c r="R697" s="27"/>
      <c r="S697" s="27"/>
      <c r="T697" s="27"/>
      <c r="U697" s="27"/>
      <c r="V697" s="46"/>
      <c r="W697" s="27"/>
      <c r="X697" s="27"/>
      <c r="Y697" s="27"/>
      <c r="Z697" s="46"/>
      <c r="AA697" s="27"/>
      <c r="AB697" s="27"/>
      <c r="AC697" s="27"/>
    </row>
    <row r="698" spans="2:29" x14ac:dyDescent="0.75">
      <c r="B698" s="26"/>
      <c r="C698" s="27"/>
      <c r="D698" s="46"/>
      <c r="E698" s="27"/>
      <c r="F698" s="27"/>
      <c r="G698" s="27"/>
      <c r="H698" s="46"/>
      <c r="I698" s="27"/>
      <c r="J698" s="27"/>
      <c r="K698" s="27"/>
      <c r="L698" s="46"/>
      <c r="M698" s="27"/>
      <c r="N698" s="27"/>
      <c r="O698" s="27"/>
      <c r="P698" s="46"/>
      <c r="Q698" s="27"/>
      <c r="R698" s="27"/>
      <c r="S698" s="27"/>
      <c r="T698" s="27"/>
      <c r="U698" s="27"/>
      <c r="V698" s="46"/>
      <c r="W698" s="27"/>
      <c r="X698" s="27"/>
      <c r="Y698" s="27"/>
      <c r="Z698" s="46"/>
      <c r="AA698" s="27"/>
      <c r="AB698" s="27"/>
      <c r="AC698" s="27"/>
    </row>
    <row r="699" spans="2:29" x14ac:dyDescent="0.75">
      <c r="B699" s="26"/>
      <c r="C699" s="27"/>
      <c r="D699" s="46"/>
      <c r="E699" s="27"/>
      <c r="F699" s="27"/>
      <c r="G699" s="27"/>
      <c r="H699" s="46"/>
      <c r="I699" s="27"/>
      <c r="J699" s="27"/>
      <c r="K699" s="27"/>
      <c r="L699" s="46"/>
      <c r="M699" s="27"/>
      <c r="N699" s="27"/>
      <c r="O699" s="27"/>
      <c r="P699" s="46"/>
      <c r="Q699" s="27"/>
      <c r="R699" s="27"/>
      <c r="S699" s="27"/>
      <c r="T699" s="27"/>
      <c r="U699" s="27"/>
      <c r="V699" s="46"/>
      <c r="W699" s="27"/>
      <c r="X699" s="27"/>
      <c r="Y699" s="27"/>
      <c r="Z699" s="46"/>
      <c r="AA699" s="27"/>
      <c r="AB699" s="27"/>
      <c r="AC699" s="27"/>
    </row>
    <row r="700" spans="2:29" x14ac:dyDescent="0.75">
      <c r="B700" s="26"/>
      <c r="C700" s="27"/>
      <c r="D700" s="46"/>
      <c r="E700" s="27"/>
      <c r="F700" s="27"/>
      <c r="G700" s="27"/>
      <c r="H700" s="46"/>
      <c r="I700" s="27"/>
      <c r="J700" s="27"/>
      <c r="K700" s="27"/>
      <c r="L700" s="46"/>
      <c r="M700" s="27"/>
      <c r="N700" s="27"/>
      <c r="O700" s="27"/>
      <c r="P700" s="46"/>
      <c r="Q700" s="27"/>
      <c r="R700" s="27"/>
      <c r="S700" s="27"/>
      <c r="T700" s="27"/>
      <c r="U700" s="27"/>
      <c r="V700" s="46"/>
      <c r="W700" s="27"/>
      <c r="X700" s="27"/>
      <c r="Y700" s="27"/>
      <c r="Z700" s="46"/>
      <c r="AA700" s="27"/>
      <c r="AB700" s="27"/>
      <c r="AC700" s="27"/>
    </row>
    <row r="701" spans="2:29" x14ac:dyDescent="0.75">
      <c r="B701" s="26"/>
      <c r="C701" s="27"/>
      <c r="D701" s="46"/>
      <c r="E701" s="27"/>
      <c r="F701" s="27"/>
      <c r="G701" s="27"/>
      <c r="H701" s="46"/>
      <c r="I701" s="27"/>
      <c r="J701" s="27"/>
      <c r="K701" s="27"/>
      <c r="L701" s="46"/>
      <c r="M701" s="27"/>
      <c r="N701" s="27"/>
      <c r="O701" s="27"/>
      <c r="P701" s="46"/>
      <c r="Q701" s="27"/>
      <c r="R701" s="27"/>
      <c r="S701" s="27"/>
      <c r="T701" s="27"/>
      <c r="U701" s="27"/>
      <c r="V701" s="46"/>
      <c r="W701" s="27"/>
      <c r="X701" s="27"/>
      <c r="Y701" s="27"/>
      <c r="Z701" s="46"/>
      <c r="AA701" s="27"/>
      <c r="AB701" s="27"/>
      <c r="AC701" s="27"/>
    </row>
    <row r="702" spans="2:29" x14ac:dyDescent="0.75">
      <c r="B702" s="26"/>
      <c r="C702" s="27"/>
      <c r="D702" s="46"/>
      <c r="E702" s="27"/>
      <c r="F702" s="27"/>
      <c r="G702" s="27"/>
      <c r="H702" s="46"/>
      <c r="I702" s="27"/>
      <c r="J702" s="27"/>
      <c r="K702" s="27"/>
      <c r="L702" s="46"/>
      <c r="M702" s="27"/>
      <c r="N702" s="27"/>
      <c r="O702" s="27"/>
      <c r="P702" s="46"/>
      <c r="Q702" s="27"/>
      <c r="R702" s="27"/>
      <c r="S702" s="27"/>
      <c r="T702" s="27"/>
      <c r="U702" s="27"/>
      <c r="V702" s="46"/>
      <c r="W702" s="27"/>
      <c r="X702" s="27"/>
      <c r="Y702" s="27"/>
      <c r="Z702" s="46"/>
      <c r="AA702" s="27"/>
      <c r="AB702" s="27"/>
      <c r="AC702" s="27"/>
    </row>
    <row r="703" spans="2:29" x14ac:dyDescent="0.75">
      <c r="B703" s="26"/>
      <c r="C703" s="27"/>
      <c r="D703" s="46"/>
      <c r="E703" s="27"/>
      <c r="F703" s="27"/>
      <c r="G703" s="27"/>
      <c r="H703" s="46"/>
      <c r="I703" s="27"/>
      <c r="J703" s="27"/>
      <c r="K703" s="27"/>
      <c r="L703" s="46"/>
      <c r="M703" s="27"/>
      <c r="N703" s="27"/>
      <c r="O703" s="27"/>
      <c r="P703" s="46"/>
      <c r="Q703" s="27"/>
      <c r="R703" s="27"/>
      <c r="S703" s="27"/>
      <c r="T703" s="27"/>
      <c r="U703" s="27"/>
      <c r="V703" s="46"/>
      <c r="W703" s="27"/>
      <c r="X703" s="27"/>
      <c r="Y703" s="27"/>
      <c r="Z703" s="46"/>
      <c r="AA703" s="27"/>
      <c r="AB703" s="27"/>
      <c r="AC703" s="27"/>
    </row>
    <row r="704" spans="2:29" x14ac:dyDescent="0.75">
      <c r="B704" s="26"/>
      <c r="C704" s="27"/>
      <c r="D704" s="46"/>
      <c r="E704" s="27"/>
      <c r="F704" s="27"/>
      <c r="G704" s="27"/>
      <c r="H704" s="46"/>
      <c r="I704" s="27"/>
      <c r="J704" s="27"/>
      <c r="K704" s="27"/>
      <c r="L704" s="46"/>
      <c r="M704" s="27"/>
      <c r="N704" s="27"/>
      <c r="O704" s="27"/>
      <c r="P704" s="46"/>
      <c r="Q704" s="27"/>
      <c r="R704" s="27"/>
      <c r="S704" s="27"/>
      <c r="T704" s="27"/>
      <c r="U704" s="27"/>
      <c r="V704" s="46"/>
      <c r="W704" s="27"/>
      <c r="X704" s="27"/>
      <c r="Y704" s="27"/>
      <c r="Z704" s="46"/>
      <c r="AA704" s="27"/>
      <c r="AB704" s="27"/>
      <c r="AC704" s="27"/>
    </row>
    <row r="705" spans="2:29" x14ac:dyDescent="0.75">
      <c r="B705" s="26"/>
      <c r="C705" s="27"/>
      <c r="D705" s="46"/>
      <c r="E705" s="27"/>
      <c r="F705" s="27"/>
      <c r="G705" s="27"/>
      <c r="H705" s="46"/>
      <c r="I705" s="27"/>
      <c r="J705" s="27"/>
      <c r="K705" s="27"/>
      <c r="L705" s="46"/>
      <c r="M705" s="27"/>
      <c r="N705" s="27"/>
      <c r="O705" s="27"/>
      <c r="P705" s="46"/>
      <c r="Q705" s="27"/>
      <c r="R705" s="27"/>
      <c r="S705" s="27"/>
      <c r="T705" s="27"/>
      <c r="U705" s="27"/>
      <c r="V705" s="46"/>
      <c r="W705" s="27"/>
      <c r="X705" s="27"/>
      <c r="Y705" s="27"/>
      <c r="Z705" s="46"/>
      <c r="AA705" s="27"/>
      <c r="AB705" s="27"/>
      <c r="AC705" s="27"/>
    </row>
    <row r="706" spans="2:29" x14ac:dyDescent="0.75">
      <c r="B706" s="26"/>
      <c r="C706" s="27"/>
      <c r="D706" s="46"/>
      <c r="E706" s="27"/>
      <c r="F706" s="27"/>
      <c r="G706" s="27"/>
      <c r="H706" s="46"/>
      <c r="I706" s="27"/>
      <c r="J706" s="27"/>
      <c r="K706" s="27"/>
      <c r="L706" s="46"/>
      <c r="M706" s="27"/>
      <c r="N706" s="27"/>
      <c r="O706" s="27"/>
      <c r="P706" s="46"/>
      <c r="Q706" s="27"/>
      <c r="R706" s="27"/>
      <c r="S706" s="27"/>
      <c r="T706" s="27"/>
      <c r="U706" s="27"/>
      <c r="V706" s="46"/>
      <c r="W706" s="27"/>
      <c r="X706" s="27"/>
      <c r="Y706" s="27"/>
      <c r="Z706" s="46"/>
      <c r="AA706" s="27"/>
      <c r="AB706" s="27"/>
      <c r="AC706" s="27"/>
    </row>
    <row r="707" spans="2:29" x14ac:dyDescent="0.75">
      <c r="B707" s="26"/>
      <c r="C707" s="27"/>
      <c r="D707" s="46"/>
      <c r="E707" s="27"/>
      <c r="F707" s="27"/>
      <c r="G707" s="27"/>
      <c r="H707" s="46"/>
      <c r="I707" s="27"/>
      <c r="J707" s="27"/>
      <c r="K707" s="27"/>
      <c r="L707" s="46"/>
      <c r="M707" s="27"/>
      <c r="N707" s="27"/>
      <c r="O707" s="27"/>
      <c r="P707" s="46"/>
      <c r="Q707" s="27"/>
      <c r="R707" s="27"/>
      <c r="S707" s="27"/>
      <c r="T707" s="27"/>
      <c r="U707" s="27"/>
      <c r="V707" s="46"/>
      <c r="W707" s="27"/>
      <c r="X707" s="27"/>
      <c r="Y707" s="27"/>
      <c r="Z707" s="46"/>
      <c r="AA707" s="27"/>
      <c r="AB707" s="27"/>
      <c r="AC707" s="27"/>
    </row>
    <row r="708" spans="2:29" x14ac:dyDescent="0.75">
      <c r="B708" s="26"/>
      <c r="C708" s="27"/>
      <c r="D708" s="46"/>
      <c r="E708" s="27"/>
      <c r="F708" s="27"/>
      <c r="G708" s="27"/>
      <c r="H708" s="46"/>
      <c r="I708" s="27"/>
      <c r="J708" s="27"/>
      <c r="K708" s="27"/>
      <c r="L708" s="46"/>
      <c r="M708" s="27"/>
      <c r="N708" s="27"/>
      <c r="O708" s="27"/>
      <c r="P708" s="46"/>
      <c r="Q708" s="27"/>
      <c r="R708" s="27"/>
      <c r="S708" s="27"/>
      <c r="T708" s="27"/>
      <c r="U708" s="27"/>
      <c r="V708" s="46"/>
      <c r="W708" s="27"/>
      <c r="X708" s="27"/>
      <c r="Y708" s="27"/>
      <c r="Z708" s="46"/>
      <c r="AA708" s="27"/>
      <c r="AB708" s="27"/>
      <c r="AC708" s="27"/>
    </row>
    <row r="709" spans="2:29" x14ac:dyDescent="0.75">
      <c r="B709" s="26"/>
      <c r="C709" s="27"/>
      <c r="D709" s="46"/>
      <c r="E709" s="27"/>
      <c r="F709" s="27"/>
      <c r="G709" s="27"/>
      <c r="H709" s="46"/>
      <c r="I709" s="27"/>
      <c r="J709" s="27"/>
      <c r="K709" s="27"/>
      <c r="L709" s="46"/>
      <c r="M709" s="27"/>
      <c r="N709" s="27"/>
      <c r="O709" s="27"/>
      <c r="P709" s="46"/>
      <c r="Q709" s="27"/>
      <c r="R709" s="27"/>
      <c r="S709" s="27"/>
      <c r="T709" s="27"/>
      <c r="U709" s="27"/>
      <c r="V709" s="46"/>
      <c r="W709" s="27"/>
      <c r="X709" s="27"/>
      <c r="Y709" s="27"/>
      <c r="Z709" s="46"/>
      <c r="AA709" s="27"/>
      <c r="AB709" s="27"/>
      <c r="AC709" s="27"/>
    </row>
    <row r="710" spans="2:29" x14ac:dyDescent="0.75">
      <c r="B710" s="26"/>
      <c r="C710" s="27"/>
      <c r="D710" s="46"/>
      <c r="E710" s="27"/>
      <c r="F710" s="27"/>
      <c r="G710" s="27"/>
      <c r="H710" s="46"/>
      <c r="I710" s="27"/>
      <c r="J710" s="27"/>
      <c r="K710" s="27"/>
      <c r="L710" s="46"/>
      <c r="M710" s="27"/>
      <c r="N710" s="27"/>
      <c r="O710" s="27"/>
      <c r="P710" s="46"/>
      <c r="Q710" s="27"/>
      <c r="R710" s="27"/>
      <c r="S710" s="27"/>
      <c r="T710" s="27"/>
      <c r="U710" s="27"/>
      <c r="V710" s="46"/>
      <c r="W710" s="27"/>
      <c r="X710" s="27"/>
      <c r="Y710" s="27"/>
      <c r="Z710" s="46"/>
      <c r="AA710" s="27"/>
      <c r="AB710" s="27"/>
      <c r="AC710" s="27"/>
    </row>
    <row r="711" spans="2:29" x14ac:dyDescent="0.75">
      <c r="B711" s="26"/>
      <c r="C711" s="27"/>
      <c r="D711" s="46"/>
      <c r="E711" s="27"/>
      <c r="F711" s="27"/>
      <c r="G711" s="27"/>
      <c r="H711" s="46"/>
      <c r="I711" s="27"/>
      <c r="J711" s="27"/>
      <c r="K711" s="27"/>
      <c r="L711" s="46"/>
      <c r="M711" s="27"/>
      <c r="N711" s="27"/>
      <c r="O711" s="27"/>
      <c r="P711" s="46"/>
      <c r="Q711" s="27"/>
      <c r="R711" s="27"/>
      <c r="S711" s="27"/>
      <c r="T711" s="27"/>
      <c r="U711" s="27"/>
      <c r="V711" s="46"/>
      <c r="W711" s="27"/>
      <c r="X711" s="27"/>
      <c r="Y711" s="27"/>
      <c r="Z711" s="46"/>
      <c r="AA711" s="27"/>
      <c r="AB711" s="27"/>
      <c r="AC711" s="27"/>
    </row>
    <row r="712" spans="2:29" x14ac:dyDescent="0.75">
      <c r="B712" s="26"/>
      <c r="C712" s="27"/>
      <c r="D712" s="46"/>
      <c r="E712" s="27"/>
      <c r="F712" s="27"/>
      <c r="G712" s="27"/>
      <c r="H712" s="46"/>
      <c r="I712" s="27"/>
      <c r="J712" s="27"/>
      <c r="K712" s="27"/>
      <c r="L712" s="46"/>
      <c r="M712" s="27"/>
      <c r="N712" s="27"/>
      <c r="O712" s="27"/>
      <c r="P712" s="46"/>
      <c r="Q712" s="27"/>
      <c r="R712" s="27"/>
      <c r="S712" s="27"/>
      <c r="T712" s="27"/>
      <c r="U712" s="27"/>
      <c r="V712" s="46"/>
      <c r="W712" s="27"/>
      <c r="X712" s="27"/>
      <c r="Y712" s="27"/>
      <c r="Z712" s="46"/>
      <c r="AA712" s="27"/>
      <c r="AB712" s="27"/>
      <c r="AC712" s="27"/>
    </row>
    <row r="713" spans="2:29" x14ac:dyDescent="0.75">
      <c r="B713" s="26"/>
      <c r="C713" s="27"/>
      <c r="D713" s="46"/>
      <c r="E713" s="27"/>
      <c r="F713" s="27"/>
      <c r="G713" s="27"/>
      <c r="H713" s="46"/>
      <c r="I713" s="27"/>
      <c r="J713" s="27"/>
      <c r="K713" s="27"/>
      <c r="L713" s="46"/>
      <c r="M713" s="27"/>
      <c r="N713" s="27"/>
      <c r="O713" s="27"/>
      <c r="P713" s="46"/>
      <c r="Q713" s="27"/>
      <c r="R713" s="27"/>
      <c r="S713" s="27"/>
      <c r="T713" s="27"/>
      <c r="U713" s="27"/>
      <c r="V713" s="46"/>
      <c r="W713" s="27"/>
      <c r="X713" s="27"/>
      <c r="Y713" s="27"/>
      <c r="Z713" s="46"/>
      <c r="AA713" s="27"/>
      <c r="AB713" s="27"/>
      <c r="AC713" s="27"/>
    </row>
    <row r="714" spans="2:29" x14ac:dyDescent="0.75">
      <c r="B714" s="26"/>
      <c r="C714" s="27"/>
      <c r="D714" s="46"/>
      <c r="E714" s="27"/>
      <c r="F714" s="27"/>
      <c r="G714" s="27"/>
      <c r="H714" s="46"/>
      <c r="I714" s="27"/>
      <c r="J714" s="27"/>
      <c r="K714" s="27"/>
      <c r="L714" s="46"/>
      <c r="M714" s="27"/>
      <c r="N714" s="27"/>
      <c r="O714" s="27"/>
      <c r="P714" s="46"/>
      <c r="Q714" s="27"/>
      <c r="R714" s="27"/>
      <c r="S714" s="27"/>
      <c r="T714" s="27"/>
      <c r="U714" s="27"/>
      <c r="V714" s="46"/>
      <c r="W714" s="27"/>
      <c r="X714" s="27"/>
      <c r="Y714" s="27"/>
      <c r="Z714" s="46"/>
      <c r="AA714" s="27"/>
      <c r="AB714" s="27"/>
      <c r="AC714" s="27"/>
    </row>
    <row r="715" spans="2:29" x14ac:dyDescent="0.75">
      <c r="B715" s="26"/>
      <c r="C715" s="27"/>
      <c r="D715" s="46"/>
      <c r="E715" s="27"/>
      <c r="F715" s="27"/>
      <c r="G715" s="27"/>
      <c r="H715" s="46"/>
      <c r="I715" s="27"/>
      <c r="J715" s="27"/>
      <c r="K715" s="27"/>
      <c r="L715" s="46"/>
      <c r="M715" s="27"/>
      <c r="N715" s="27"/>
      <c r="O715" s="27"/>
      <c r="P715" s="46"/>
      <c r="Q715" s="27"/>
      <c r="R715" s="27"/>
      <c r="S715" s="27"/>
      <c r="T715" s="27"/>
      <c r="U715" s="27"/>
      <c r="V715" s="46"/>
      <c r="W715" s="27"/>
      <c r="X715" s="27"/>
      <c r="Y715" s="27"/>
      <c r="Z715" s="46"/>
      <c r="AA715" s="27"/>
      <c r="AB715" s="27"/>
      <c r="AC715" s="27"/>
    </row>
    <row r="716" spans="2:29" x14ac:dyDescent="0.75">
      <c r="B716" s="26"/>
      <c r="C716" s="27"/>
      <c r="D716" s="46"/>
      <c r="E716" s="27"/>
      <c r="F716" s="27"/>
      <c r="G716" s="27"/>
      <c r="H716" s="46"/>
      <c r="I716" s="27"/>
      <c r="J716" s="27"/>
      <c r="K716" s="27"/>
      <c r="L716" s="46"/>
      <c r="M716" s="27"/>
      <c r="N716" s="27"/>
      <c r="O716" s="27"/>
      <c r="P716" s="46"/>
      <c r="Q716" s="27"/>
      <c r="R716" s="27"/>
      <c r="S716" s="27"/>
      <c r="T716" s="27"/>
      <c r="U716" s="27"/>
      <c r="V716" s="46"/>
      <c r="W716" s="27"/>
      <c r="X716" s="27"/>
      <c r="Y716" s="27"/>
      <c r="Z716" s="46"/>
      <c r="AA716" s="27"/>
      <c r="AB716" s="27"/>
      <c r="AC716" s="27"/>
    </row>
    <row r="717" spans="2:29" x14ac:dyDescent="0.75">
      <c r="B717" s="26"/>
      <c r="C717" s="27"/>
      <c r="D717" s="46"/>
      <c r="E717" s="27"/>
      <c r="F717" s="27"/>
      <c r="G717" s="27"/>
      <c r="H717" s="46"/>
      <c r="I717" s="27"/>
      <c r="J717" s="27"/>
      <c r="K717" s="27"/>
      <c r="L717" s="46"/>
      <c r="M717" s="27"/>
      <c r="N717" s="27"/>
      <c r="O717" s="27"/>
      <c r="P717" s="46"/>
      <c r="Q717" s="27"/>
      <c r="R717" s="27"/>
      <c r="S717" s="27"/>
      <c r="T717" s="27"/>
      <c r="U717" s="27"/>
      <c r="V717" s="46"/>
      <c r="W717" s="27"/>
      <c r="X717" s="27"/>
      <c r="Y717" s="27"/>
      <c r="Z717" s="46"/>
      <c r="AA717" s="27"/>
      <c r="AB717" s="27"/>
      <c r="AC717" s="27"/>
    </row>
    <row r="718" spans="2:29" x14ac:dyDescent="0.75">
      <c r="B718" s="26"/>
      <c r="C718" s="27"/>
      <c r="D718" s="46"/>
      <c r="E718" s="27"/>
      <c r="F718" s="27"/>
      <c r="G718" s="27"/>
      <c r="H718" s="46"/>
      <c r="I718" s="27"/>
      <c r="J718" s="27"/>
      <c r="K718" s="27"/>
      <c r="L718" s="46"/>
      <c r="M718" s="27"/>
      <c r="N718" s="27"/>
      <c r="O718" s="27"/>
      <c r="P718" s="46"/>
      <c r="Q718" s="27"/>
      <c r="R718" s="27"/>
      <c r="S718" s="27"/>
      <c r="T718" s="27"/>
      <c r="U718" s="27"/>
      <c r="V718" s="46"/>
      <c r="W718" s="27"/>
      <c r="X718" s="27"/>
      <c r="Y718" s="27"/>
      <c r="Z718" s="46"/>
      <c r="AA718" s="27"/>
      <c r="AB718" s="27"/>
      <c r="AC718" s="27"/>
    </row>
    <row r="719" spans="2:29" x14ac:dyDescent="0.75">
      <c r="B719" s="26"/>
      <c r="C719" s="27"/>
      <c r="D719" s="46"/>
      <c r="E719" s="27"/>
      <c r="F719" s="27"/>
      <c r="G719" s="27"/>
      <c r="H719" s="46"/>
      <c r="I719" s="27"/>
      <c r="J719" s="27"/>
      <c r="K719" s="27"/>
      <c r="L719" s="46"/>
      <c r="M719" s="27"/>
      <c r="N719" s="27"/>
      <c r="O719" s="27"/>
      <c r="P719" s="46"/>
      <c r="Q719" s="27"/>
      <c r="R719" s="27"/>
      <c r="S719" s="27"/>
      <c r="T719" s="27"/>
      <c r="U719" s="27"/>
      <c r="V719" s="46"/>
      <c r="W719" s="27"/>
      <c r="X719" s="27"/>
      <c r="Y719" s="27"/>
      <c r="Z719" s="46"/>
      <c r="AA719" s="27"/>
      <c r="AB719" s="27"/>
      <c r="AC719" s="27"/>
    </row>
    <row r="720" spans="2:29" x14ac:dyDescent="0.75">
      <c r="B720" s="26"/>
      <c r="C720" s="27"/>
      <c r="D720" s="46"/>
      <c r="E720" s="27"/>
      <c r="F720" s="27"/>
      <c r="G720" s="27"/>
      <c r="H720" s="46"/>
      <c r="I720" s="27"/>
      <c r="J720" s="27"/>
      <c r="K720" s="27"/>
      <c r="L720" s="46"/>
      <c r="M720" s="27"/>
      <c r="N720" s="27"/>
      <c r="O720" s="27"/>
      <c r="P720" s="46"/>
      <c r="Q720" s="27"/>
      <c r="R720" s="27"/>
      <c r="S720" s="27"/>
      <c r="T720" s="27"/>
      <c r="U720" s="27"/>
      <c r="V720" s="46"/>
      <c r="W720" s="27"/>
      <c r="X720" s="27"/>
      <c r="Y720" s="27"/>
      <c r="Z720" s="46"/>
      <c r="AA720" s="27"/>
      <c r="AB720" s="27"/>
      <c r="AC720" s="27"/>
    </row>
    <row r="721" spans="2:29" x14ac:dyDescent="0.75">
      <c r="B721" s="26"/>
      <c r="C721" s="27"/>
      <c r="D721" s="46"/>
      <c r="E721" s="27"/>
      <c r="F721" s="27"/>
      <c r="G721" s="27"/>
      <c r="H721" s="46"/>
      <c r="I721" s="27"/>
      <c r="J721" s="27"/>
      <c r="K721" s="27"/>
      <c r="L721" s="46"/>
      <c r="M721" s="27"/>
      <c r="N721" s="27"/>
      <c r="O721" s="27"/>
      <c r="P721" s="46"/>
      <c r="Q721" s="27"/>
      <c r="R721" s="27"/>
      <c r="S721" s="27"/>
      <c r="T721" s="27"/>
      <c r="U721" s="27"/>
      <c r="V721" s="46"/>
      <c r="W721" s="27"/>
      <c r="X721" s="27"/>
      <c r="Y721" s="27"/>
      <c r="Z721" s="46"/>
      <c r="AA721" s="27"/>
      <c r="AB721" s="27"/>
      <c r="AC721" s="27"/>
    </row>
    <row r="722" spans="2:29" x14ac:dyDescent="0.75">
      <c r="B722" s="26"/>
      <c r="C722" s="27"/>
      <c r="D722" s="46"/>
      <c r="E722" s="27"/>
      <c r="F722" s="27"/>
      <c r="G722" s="27"/>
      <c r="H722" s="46"/>
      <c r="I722" s="27"/>
      <c r="J722" s="27"/>
      <c r="K722" s="27"/>
      <c r="L722" s="46"/>
      <c r="M722" s="27"/>
      <c r="N722" s="27"/>
      <c r="O722" s="27"/>
      <c r="P722" s="46"/>
      <c r="Q722" s="27"/>
      <c r="R722" s="27"/>
      <c r="S722" s="27"/>
      <c r="T722" s="27"/>
      <c r="U722" s="27"/>
      <c r="V722" s="46"/>
      <c r="W722" s="27"/>
      <c r="X722" s="27"/>
      <c r="Y722" s="27"/>
      <c r="Z722" s="46"/>
      <c r="AA722" s="27"/>
      <c r="AB722" s="27"/>
      <c r="AC722" s="27"/>
    </row>
    <row r="723" spans="2:29" x14ac:dyDescent="0.75">
      <c r="B723" s="26"/>
      <c r="C723" s="27"/>
      <c r="D723" s="46"/>
      <c r="E723" s="27"/>
      <c r="F723" s="27"/>
      <c r="G723" s="27"/>
      <c r="H723" s="46"/>
      <c r="I723" s="27"/>
      <c r="J723" s="27"/>
      <c r="K723" s="27"/>
      <c r="L723" s="46"/>
      <c r="M723" s="27"/>
      <c r="N723" s="27"/>
      <c r="O723" s="27"/>
      <c r="P723" s="46"/>
      <c r="Q723" s="27"/>
      <c r="R723" s="27"/>
      <c r="S723" s="27"/>
      <c r="T723" s="27"/>
      <c r="U723" s="27"/>
      <c r="V723" s="46"/>
      <c r="W723" s="27"/>
      <c r="X723" s="27"/>
      <c r="Y723" s="27"/>
      <c r="Z723" s="46"/>
      <c r="AA723" s="27"/>
      <c r="AB723" s="27"/>
      <c r="AC723" s="27"/>
    </row>
    <row r="724" spans="2:29" x14ac:dyDescent="0.75">
      <c r="B724" s="26"/>
      <c r="C724" s="27"/>
      <c r="D724" s="46"/>
      <c r="E724" s="27"/>
      <c r="F724" s="27"/>
      <c r="G724" s="27"/>
      <c r="H724" s="46"/>
      <c r="I724" s="27"/>
      <c r="J724" s="27"/>
      <c r="K724" s="27"/>
      <c r="L724" s="46"/>
      <c r="M724" s="27"/>
      <c r="N724" s="27"/>
      <c r="O724" s="27"/>
      <c r="P724" s="46"/>
      <c r="Q724" s="27"/>
      <c r="R724" s="27"/>
      <c r="S724" s="27"/>
      <c r="T724" s="27"/>
      <c r="U724" s="27"/>
      <c r="V724" s="46"/>
      <c r="W724" s="27"/>
      <c r="X724" s="27"/>
      <c r="Y724" s="27"/>
      <c r="Z724" s="46"/>
      <c r="AA724" s="27"/>
      <c r="AB724" s="27"/>
      <c r="AC724" s="27"/>
    </row>
    <row r="725" spans="2:29" x14ac:dyDescent="0.75">
      <c r="B725" s="26"/>
      <c r="C725" s="27"/>
      <c r="D725" s="46"/>
      <c r="E725" s="27"/>
      <c r="F725" s="27"/>
      <c r="G725" s="27"/>
      <c r="H725" s="46"/>
      <c r="I725" s="27"/>
      <c r="J725" s="27"/>
      <c r="K725" s="27"/>
      <c r="L725" s="46"/>
      <c r="M725" s="27"/>
      <c r="N725" s="27"/>
      <c r="O725" s="27"/>
      <c r="P725" s="46"/>
      <c r="Q725" s="27"/>
      <c r="R725" s="27"/>
      <c r="S725" s="27"/>
      <c r="T725" s="27"/>
      <c r="U725" s="27"/>
      <c r="V725" s="46"/>
      <c r="W725" s="27"/>
      <c r="X725" s="27"/>
      <c r="Y725" s="27"/>
      <c r="Z725" s="46"/>
      <c r="AA725" s="27"/>
      <c r="AB725" s="27"/>
      <c r="AC725" s="27"/>
    </row>
    <row r="726" spans="2:29" x14ac:dyDescent="0.75">
      <c r="B726" s="26"/>
      <c r="C726" s="27"/>
      <c r="D726" s="46"/>
      <c r="E726" s="27"/>
      <c r="F726" s="27"/>
      <c r="G726" s="27"/>
      <c r="H726" s="46"/>
      <c r="I726" s="27"/>
      <c r="J726" s="27"/>
      <c r="K726" s="27"/>
      <c r="L726" s="46"/>
      <c r="M726" s="27"/>
      <c r="N726" s="27"/>
      <c r="O726" s="27"/>
      <c r="P726" s="46"/>
      <c r="Q726" s="27"/>
      <c r="R726" s="27"/>
      <c r="S726" s="27"/>
      <c r="T726" s="27"/>
      <c r="U726" s="27"/>
      <c r="V726" s="46"/>
      <c r="W726" s="27"/>
      <c r="X726" s="27"/>
      <c r="Y726" s="27"/>
      <c r="Z726" s="46"/>
      <c r="AA726" s="27"/>
      <c r="AB726" s="27"/>
      <c r="AC726" s="27"/>
    </row>
    <row r="727" spans="2:29" x14ac:dyDescent="0.75">
      <c r="B727" s="26"/>
      <c r="C727" s="27"/>
      <c r="D727" s="46"/>
      <c r="E727" s="27"/>
      <c r="F727" s="27"/>
      <c r="G727" s="27"/>
      <c r="H727" s="46"/>
      <c r="I727" s="27"/>
      <c r="J727" s="27"/>
      <c r="K727" s="27"/>
      <c r="L727" s="46"/>
      <c r="M727" s="27"/>
      <c r="N727" s="27"/>
      <c r="O727" s="27"/>
      <c r="P727" s="46"/>
      <c r="Q727" s="27"/>
      <c r="R727" s="27"/>
      <c r="S727" s="27"/>
      <c r="T727" s="27"/>
      <c r="U727" s="27"/>
      <c r="V727" s="46"/>
      <c r="W727" s="27"/>
      <c r="X727" s="27"/>
      <c r="Y727" s="27"/>
      <c r="Z727" s="46"/>
      <c r="AA727" s="27"/>
      <c r="AB727" s="27"/>
      <c r="AC727" s="27"/>
    </row>
    <row r="728" spans="2:29" x14ac:dyDescent="0.75">
      <c r="B728" s="26"/>
      <c r="C728" s="27"/>
      <c r="D728" s="46"/>
      <c r="E728" s="27"/>
      <c r="F728" s="27"/>
      <c r="G728" s="27"/>
      <c r="H728" s="46"/>
      <c r="I728" s="27"/>
      <c r="J728" s="27"/>
      <c r="K728" s="27"/>
      <c r="L728" s="46"/>
      <c r="M728" s="27"/>
      <c r="N728" s="27"/>
      <c r="O728" s="27"/>
      <c r="P728" s="46"/>
      <c r="Q728" s="27"/>
      <c r="R728" s="27"/>
      <c r="S728" s="27"/>
      <c r="T728" s="27"/>
      <c r="U728" s="27"/>
      <c r="V728" s="46"/>
      <c r="W728" s="27"/>
      <c r="X728" s="27"/>
      <c r="Y728" s="27"/>
      <c r="Z728" s="46"/>
      <c r="AA728" s="27"/>
      <c r="AB728" s="27"/>
      <c r="AC728" s="27"/>
    </row>
    <row r="729" spans="2:29" x14ac:dyDescent="0.75">
      <c r="B729" s="26"/>
      <c r="C729" s="27"/>
      <c r="D729" s="46"/>
      <c r="E729" s="27"/>
      <c r="F729" s="27"/>
      <c r="G729" s="27"/>
      <c r="H729" s="46"/>
      <c r="I729" s="27"/>
      <c r="J729" s="27"/>
      <c r="K729" s="27"/>
      <c r="L729" s="46"/>
      <c r="M729" s="27"/>
      <c r="N729" s="27"/>
      <c r="O729" s="27"/>
      <c r="P729" s="46"/>
      <c r="Q729" s="27"/>
      <c r="R729" s="27"/>
      <c r="S729" s="27"/>
      <c r="T729" s="27"/>
      <c r="U729" s="27"/>
      <c r="V729" s="46"/>
      <c r="W729" s="27"/>
      <c r="X729" s="27"/>
      <c r="Y729" s="27"/>
      <c r="Z729" s="46"/>
      <c r="AA729" s="27"/>
      <c r="AB729" s="27"/>
      <c r="AC729" s="27"/>
    </row>
    <row r="730" spans="2:29" x14ac:dyDescent="0.75">
      <c r="B730" s="26"/>
      <c r="C730" s="27"/>
      <c r="D730" s="46"/>
      <c r="E730" s="27"/>
      <c r="F730" s="27"/>
      <c r="G730" s="27"/>
      <c r="H730" s="46"/>
      <c r="I730" s="27"/>
      <c r="J730" s="27"/>
      <c r="K730" s="27"/>
      <c r="L730" s="46"/>
      <c r="M730" s="27"/>
      <c r="N730" s="27"/>
      <c r="O730" s="27"/>
      <c r="P730" s="46"/>
      <c r="Q730" s="27"/>
      <c r="R730" s="27"/>
      <c r="S730" s="27"/>
      <c r="T730" s="27"/>
      <c r="U730" s="27"/>
      <c r="V730" s="46"/>
      <c r="W730" s="27"/>
      <c r="X730" s="27"/>
      <c r="Y730" s="27"/>
      <c r="Z730" s="46"/>
      <c r="AA730" s="27"/>
      <c r="AB730" s="27"/>
      <c r="AC730" s="27"/>
    </row>
    <row r="731" spans="2:29" x14ac:dyDescent="0.75">
      <c r="B731" s="26"/>
      <c r="C731" s="27"/>
      <c r="D731" s="46"/>
      <c r="E731" s="27"/>
      <c r="F731" s="27"/>
      <c r="G731" s="27"/>
      <c r="H731" s="46"/>
      <c r="I731" s="27"/>
      <c r="J731" s="27"/>
      <c r="K731" s="27"/>
      <c r="L731" s="46"/>
      <c r="M731" s="27"/>
      <c r="N731" s="27"/>
      <c r="O731" s="27"/>
      <c r="P731" s="46"/>
      <c r="Q731" s="27"/>
      <c r="R731" s="27"/>
      <c r="S731" s="27"/>
      <c r="T731" s="27"/>
      <c r="U731" s="27"/>
      <c r="V731" s="46"/>
      <c r="W731" s="27"/>
      <c r="X731" s="27"/>
      <c r="Y731" s="27"/>
      <c r="Z731" s="46"/>
      <c r="AA731" s="27"/>
      <c r="AB731" s="27"/>
      <c r="AC731" s="27"/>
    </row>
    <row r="732" spans="2:29" x14ac:dyDescent="0.75">
      <c r="B732" s="26"/>
      <c r="C732" s="27"/>
      <c r="D732" s="46"/>
      <c r="E732" s="27"/>
      <c r="F732" s="27"/>
      <c r="G732" s="27"/>
      <c r="H732" s="46"/>
      <c r="I732" s="27"/>
      <c r="J732" s="27"/>
      <c r="K732" s="27"/>
      <c r="L732" s="46"/>
      <c r="M732" s="27"/>
      <c r="N732" s="27"/>
      <c r="O732" s="27"/>
      <c r="P732" s="46"/>
      <c r="Q732" s="27"/>
      <c r="R732" s="27"/>
      <c r="S732" s="27"/>
      <c r="T732" s="27"/>
      <c r="U732" s="27"/>
      <c r="V732" s="46"/>
      <c r="W732" s="27"/>
      <c r="X732" s="27"/>
      <c r="Y732" s="27"/>
      <c r="Z732" s="46"/>
      <c r="AA732" s="27"/>
      <c r="AB732" s="27"/>
      <c r="AC732" s="27"/>
    </row>
    <row r="733" spans="2:29" x14ac:dyDescent="0.75">
      <c r="B733" s="26"/>
      <c r="C733" s="27"/>
      <c r="D733" s="46"/>
      <c r="E733" s="27"/>
      <c r="F733" s="27"/>
      <c r="G733" s="27"/>
      <c r="H733" s="46"/>
      <c r="I733" s="27"/>
      <c r="J733" s="27"/>
      <c r="K733" s="27"/>
      <c r="L733" s="46"/>
      <c r="M733" s="27"/>
      <c r="N733" s="27"/>
      <c r="O733" s="27"/>
      <c r="P733" s="46"/>
      <c r="Q733" s="27"/>
      <c r="R733" s="27"/>
      <c r="S733" s="27"/>
      <c r="T733" s="27"/>
      <c r="U733" s="27"/>
      <c r="V733" s="46"/>
      <c r="W733" s="27"/>
      <c r="X733" s="27"/>
      <c r="Y733" s="27"/>
      <c r="Z733" s="46"/>
      <c r="AA733" s="27"/>
      <c r="AB733" s="27"/>
      <c r="AC733" s="27"/>
    </row>
    <row r="734" spans="2:29" x14ac:dyDescent="0.75">
      <c r="B734" s="26"/>
      <c r="C734" s="27"/>
      <c r="D734" s="46"/>
      <c r="E734" s="27"/>
      <c r="F734" s="27"/>
      <c r="G734" s="27"/>
      <c r="H734" s="46"/>
      <c r="I734" s="27"/>
      <c r="J734" s="27"/>
      <c r="K734" s="27"/>
      <c r="L734" s="46"/>
      <c r="M734" s="27"/>
      <c r="N734" s="27"/>
      <c r="O734" s="27"/>
      <c r="P734" s="46"/>
      <c r="Q734" s="27"/>
      <c r="R734" s="27"/>
      <c r="S734" s="27"/>
      <c r="T734" s="27"/>
      <c r="U734" s="27"/>
      <c r="V734" s="46"/>
      <c r="W734" s="27"/>
      <c r="X734" s="27"/>
      <c r="Y734" s="27"/>
      <c r="Z734" s="46"/>
      <c r="AA734" s="27"/>
      <c r="AB734" s="27"/>
      <c r="AC734" s="27"/>
    </row>
    <row r="735" spans="2:29" x14ac:dyDescent="0.75">
      <c r="B735" s="26"/>
      <c r="C735" s="27"/>
      <c r="D735" s="46"/>
      <c r="E735" s="27"/>
      <c r="F735" s="27"/>
      <c r="G735" s="27"/>
      <c r="H735" s="46"/>
      <c r="I735" s="27"/>
      <c r="J735" s="27"/>
      <c r="K735" s="27"/>
      <c r="L735" s="46"/>
      <c r="M735" s="27"/>
      <c r="N735" s="27"/>
      <c r="O735" s="27"/>
      <c r="P735" s="46"/>
      <c r="Q735" s="27"/>
      <c r="R735" s="27"/>
      <c r="S735" s="27"/>
      <c r="T735" s="27"/>
      <c r="U735" s="27"/>
      <c r="V735" s="46"/>
      <c r="W735" s="27"/>
      <c r="X735" s="27"/>
      <c r="Y735" s="27"/>
      <c r="Z735" s="46"/>
      <c r="AA735" s="27"/>
      <c r="AB735" s="27"/>
      <c r="AC735" s="27"/>
    </row>
    <row r="736" spans="2:29" x14ac:dyDescent="0.75">
      <c r="B736" s="26"/>
      <c r="C736" s="27"/>
      <c r="D736" s="46"/>
      <c r="E736" s="27"/>
      <c r="F736" s="27"/>
      <c r="G736" s="27"/>
      <c r="H736" s="46"/>
      <c r="I736" s="27"/>
      <c r="J736" s="27"/>
      <c r="K736" s="27"/>
      <c r="L736" s="46"/>
      <c r="M736" s="27"/>
      <c r="N736" s="27"/>
      <c r="O736" s="27"/>
      <c r="P736" s="46"/>
      <c r="Q736" s="27"/>
      <c r="R736" s="27"/>
      <c r="S736" s="27"/>
      <c r="T736" s="27"/>
      <c r="U736" s="27"/>
      <c r="V736" s="46"/>
      <c r="W736" s="27"/>
      <c r="X736" s="27"/>
      <c r="Y736" s="27"/>
      <c r="Z736" s="46"/>
      <c r="AA736" s="27"/>
      <c r="AB736" s="27"/>
      <c r="AC736" s="27"/>
    </row>
    <row r="737" spans="2:29" x14ac:dyDescent="0.75">
      <c r="B737" s="26"/>
      <c r="C737" s="27"/>
      <c r="D737" s="46"/>
      <c r="E737" s="27"/>
      <c r="F737" s="27"/>
      <c r="G737" s="27"/>
      <c r="H737" s="46"/>
      <c r="I737" s="27"/>
      <c r="J737" s="27"/>
      <c r="K737" s="27"/>
      <c r="L737" s="46"/>
      <c r="M737" s="27"/>
      <c r="N737" s="27"/>
      <c r="O737" s="27"/>
      <c r="P737" s="46"/>
      <c r="Q737" s="27"/>
      <c r="R737" s="27"/>
      <c r="S737" s="27"/>
      <c r="T737" s="27"/>
      <c r="U737" s="27"/>
      <c r="V737" s="46"/>
      <c r="W737" s="27"/>
      <c r="X737" s="27"/>
      <c r="Y737" s="27"/>
      <c r="Z737" s="46"/>
      <c r="AA737" s="27"/>
      <c r="AB737" s="27"/>
      <c r="AC737" s="27"/>
    </row>
    <row r="738" spans="2:29" x14ac:dyDescent="0.75">
      <c r="B738" s="26"/>
      <c r="C738" s="27"/>
      <c r="D738" s="46"/>
      <c r="E738" s="27"/>
      <c r="F738" s="27"/>
      <c r="G738" s="27"/>
      <c r="H738" s="46"/>
      <c r="I738" s="27"/>
      <c r="J738" s="27"/>
      <c r="K738" s="27"/>
      <c r="L738" s="46"/>
      <c r="M738" s="27"/>
      <c r="N738" s="27"/>
      <c r="O738" s="27"/>
      <c r="P738" s="46"/>
      <c r="Q738" s="27"/>
      <c r="R738" s="27"/>
      <c r="S738" s="27"/>
      <c r="T738" s="27"/>
      <c r="U738" s="27"/>
      <c r="V738" s="46"/>
      <c r="W738" s="27"/>
      <c r="X738" s="27"/>
      <c r="Y738" s="27"/>
      <c r="Z738" s="46"/>
      <c r="AA738" s="27"/>
      <c r="AB738" s="27"/>
      <c r="AC738" s="27"/>
    </row>
    <row r="739" spans="2:29" x14ac:dyDescent="0.75">
      <c r="B739" s="26"/>
      <c r="C739" s="27"/>
      <c r="D739" s="46"/>
      <c r="E739" s="27"/>
      <c r="F739" s="27"/>
      <c r="G739" s="27"/>
      <c r="H739" s="46"/>
      <c r="I739" s="27"/>
      <c r="J739" s="27"/>
      <c r="K739" s="27"/>
      <c r="L739" s="46"/>
      <c r="M739" s="27"/>
      <c r="N739" s="27"/>
      <c r="O739" s="27"/>
      <c r="P739" s="46"/>
      <c r="Q739" s="27"/>
      <c r="R739" s="27"/>
      <c r="S739" s="27"/>
      <c r="T739" s="27"/>
      <c r="U739" s="27"/>
      <c r="V739" s="46"/>
      <c r="W739" s="27"/>
      <c r="X739" s="27"/>
      <c r="Y739" s="27"/>
      <c r="Z739" s="46"/>
      <c r="AA739" s="27"/>
      <c r="AB739" s="27"/>
      <c r="AC739" s="27"/>
    </row>
    <row r="740" spans="2:29" x14ac:dyDescent="0.75">
      <c r="B740" s="26"/>
      <c r="C740" s="27"/>
      <c r="D740" s="46"/>
      <c r="E740" s="27"/>
      <c r="F740" s="27"/>
      <c r="G740" s="27"/>
      <c r="H740" s="46"/>
      <c r="I740" s="27"/>
      <c r="J740" s="27"/>
      <c r="K740" s="27"/>
      <c r="L740" s="46"/>
      <c r="M740" s="27"/>
      <c r="N740" s="27"/>
      <c r="O740" s="27"/>
      <c r="P740" s="46"/>
      <c r="Q740" s="27"/>
      <c r="R740" s="27"/>
      <c r="S740" s="27"/>
      <c r="T740" s="27"/>
      <c r="U740" s="27"/>
      <c r="V740" s="46"/>
      <c r="W740" s="27"/>
      <c r="X740" s="27"/>
      <c r="Y740" s="27"/>
      <c r="Z740" s="46"/>
      <c r="AA740" s="27"/>
      <c r="AB740" s="27"/>
      <c r="AC740" s="27"/>
    </row>
    <row r="741" spans="2:29" x14ac:dyDescent="0.75">
      <c r="B741" s="26"/>
      <c r="C741" s="27"/>
      <c r="D741" s="46"/>
      <c r="E741" s="27"/>
      <c r="F741" s="27"/>
      <c r="G741" s="27"/>
      <c r="H741" s="46"/>
      <c r="I741" s="27"/>
      <c r="J741" s="27"/>
      <c r="K741" s="27"/>
      <c r="L741" s="46"/>
      <c r="M741" s="27"/>
      <c r="N741" s="27"/>
      <c r="O741" s="27"/>
      <c r="P741" s="46"/>
      <c r="Q741" s="27"/>
      <c r="R741" s="27"/>
      <c r="S741" s="27"/>
      <c r="T741" s="27"/>
      <c r="U741" s="27"/>
      <c r="V741" s="46"/>
      <c r="W741" s="27"/>
      <c r="X741" s="27"/>
      <c r="Y741" s="27"/>
      <c r="Z741" s="46"/>
      <c r="AA741" s="27"/>
      <c r="AB741" s="27"/>
      <c r="AC741" s="27"/>
    </row>
    <row r="742" spans="2:29" x14ac:dyDescent="0.75">
      <c r="B742" s="26"/>
      <c r="C742" s="27"/>
      <c r="D742" s="46"/>
      <c r="E742" s="27"/>
      <c r="F742" s="27"/>
      <c r="G742" s="27"/>
      <c r="H742" s="46"/>
      <c r="I742" s="27"/>
      <c r="J742" s="27"/>
      <c r="K742" s="27"/>
      <c r="L742" s="46"/>
      <c r="M742" s="27"/>
      <c r="N742" s="27"/>
      <c r="O742" s="27"/>
      <c r="P742" s="46"/>
      <c r="Q742" s="27"/>
      <c r="R742" s="27"/>
      <c r="S742" s="27"/>
      <c r="T742" s="27"/>
      <c r="U742" s="27"/>
      <c r="V742" s="46"/>
      <c r="W742" s="27"/>
      <c r="X742" s="27"/>
      <c r="Y742" s="27"/>
      <c r="Z742" s="46"/>
      <c r="AA742" s="27"/>
      <c r="AB742" s="27"/>
      <c r="AC742" s="27"/>
    </row>
    <row r="743" spans="2:29" x14ac:dyDescent="0.75">
      <c r="B743" s="26"/>
      <c r="C743" s="27"/>
      <c r="D743" s="46"/>
      <c r="E743" s="27"/>
      <c r="F743" s="27"/>
      <c r="G743" s="27"/>
      <c r="H743" s="46"/>
      <c r="I743" s="27"/>
      <c r="J743" s="27"/>
      <c r="K743" s="27"/>
      <c r="L743" s="46"/>
      <c r="M743" s="27"/>
      <c r="N743" s="27"/>
      <c r="O743" s="27"/>
      <c r="P743" s="46"/>
      <c r="Q743" s="27"/>
      <c r="R743" s="27"/>
      <c r="S743" s="27"/>
      <c r="T743" s="27"/>
      <c r="U743" s="27"/>
      <c r="V743" s="46"/>
      <c r="W743" s="27"/>
      <c r="X743" s="27"/>
      <c r="Y743" s="27"/>
      <c r="Z743" s="46"/>
      <c r="AA743" s="27"/>
      <c r="AB743" s="27"/>
      <c r="AC743" s="27"/>
    </row>
    <row r="744" spans="2:29" x14ac:dyDescent="0.75">
      <c r="B744" s="26"/>
      <c r="C744" s="27"/>
      <c r="D744" s="46"/>
      <c r="E744" s="27"/>
      <c r="F744" s="27"/>
      <c r="G744" s="27"/>
      <c r="H744" s="46"/>
      <c r="I744" s="27"/>
      <c r="J744" s="27"/>
      <c r="K744" s="27"/>
      <c r="L744" s="46"/>
      <c r="M744" s="27"/>
      <c r="N744" s="27"/>
      <c r="O744" s="27"/>
      <c r="P744" s="46"/>
      <c r="Q744" s="27"/>
      <c r="R744" s="27"/>
      <c r="S744" s="27"/>
      <c r="T744" s="27"/>
      <c r="U744" s="27"/>
      <c r="V744" s="46"/>
      <c r="W744" s="27"/>
      <c r="X744" s="27"/>
      <c r="Y744" s="27"/>
      <c r="Z744" s="46"/>
      <c r="AA744" s="27"/>
      <c r="AB744" s="27"/>
      <c r="AC744" s="27"/>
    </row>
    <row r="745" spans="2:29" x14ac:dyDescent="0.75">
      <c r="B745" s="26"/>
      <c r="C745" s="27"/>
      <c r="D745" s="46"/>
      <c r="E745" s="27"/>
      <c r="F745" s="27"/>
      <c r="G745" s="27"/>
      <c r="H745" s="46"/>
      <c r="I745" s="27"/>
      <c r="J745" s="27"/>
      <c r="K745" s="27"/>
      <c r="L745" s="46"/>
      <c r="M745" s="27"/>
      <c r="N745" s="27"/>
      <c r="O745" s="27"/>
      <c r="P745" s="46"/>
      <c r="Q745" s="27"/>
      <c r="R745" s="27"/>
      <c r="S745" s="27"/>
      <c r="T745" s="27"/>
      <c r="U745" s="27"/>
      <c r="V745" s="46"/>
      <c r="W745" s="27"/>
      <c r="X745" s="27"/>
      <c r="Y745" s="27"/>
      <c r="Z745" s="46"/>
      <c r="AA745" s="27"/>
      <c r="AB745" s="27"/>
      <c r="AC745" s="27"/>
    </row>
    <row r="746" spans="2:29" x14ac:dyDescent="0.75">
      <c r="B746" s="26"/>
      <c r="C746" s="27"/>
      <c r="D746" s="46"/>
      <c r="E746" s="27"/>
      <c r="F746" s="27"/>
      <c r="G746" s="27"/>
      <c r="H746" s="46"/>
      <c r="I746" s="27"/>
      <c r="J746" s="27"/>
      <c r="K746" s="27"/>
      <c r="L746" s="46"/>
      <c r="M746" s="27"/>
      <c r="N746" s="27"/>
      <c r="O746" s="27"/>
      <c r="P746" s="46"/>
      <c r="Q746" s="27"/>
      <c r="R746" s="27"/>
      <c r="S746" s="27"/>
      <c r="T746" s="27"/>
      <c r="U746" s="27"/>
      <c r="V746" s="46"/>
      <c r="W746" s="27"/>
      <c r="X746" s="27"/>
      <c r="Y746" s="27"/>
      <c r="Z746" s="46"/>
      <c r="AA746" s="27"/>
      <c r="AB746" s="27"/>
      <c r="AC746" s="27"/>
    </row>
    <row r="747" spans="2:29" x14ac:dyDescent="0.75">
      <c r="B747" s="26"/>
      <c r="C747" s="27"/>
      <c r="D747" s="46"/>
      <c r="E747" s="27"/>
      <c r="F747" s="27"/>
      <c r="G747" s="27"/>
      <c r="H747" s="46"/>
      <c r="I747" s="27"/>
      <c r="J747" s="27"/>
      <c r="K747" s="27"/>
      <c r="L747" s="46"/>
      <c r="M747" s="27"/>
      <c r="N747" s="27"/>
      <c r="O747" s="27"/>
      <c r="P747" s="46"/>
      <c r="Q747" s="27"/>
      <c r="R747" s="27"/>
      <c r="S747" s="27"/>
      <c r="T747" s="27"/>
      <c r="U747" s="27"/>
      <c r="V747" s="46"/>
      <c r="W747" s="27"/>
      <c r="X747" s="27"/>
      <c r="Y747" s="27"/>
      <c r="Z747" s="46"/>
      <c r="AA747" s="27"/>
      <c r="AB747" s="27"/>
      <c r="AC747" s="27"/>
    </row>
    <row r="748" spans="2:29" x14ac:dyDescent="0.75">
      <c r="B748" s="26"/>
      <c r="C748" s="27"/>
      <c r="D748" s="46"/>
      <c r="E748" s="27"/>
      <c r="F748" s="27"/>
      <c r="G748" s="27"/>
      <c r="H748" s="46"/>
      <c r="I748" s="27"/>
      <c r="J748" s="27"/>
      <c r="K748" s="27"/>
      <c r="L748" s="46"/>
      <c r="M748" s="27"/>
      <c r="N748" s="27"/>
      <c r="O748" s="27"/>
      <c r="P748" s="46"/>
      <c r="Q748" s="27"/>
      <c r="R748" s="27"/>
      <c r="S748" s="27"/>
      <c r="T748" s="27"/>
      <c r="U748" s="27"/>
      <c r="V748" s="46"/>
      <c r="W748" s="27"/>
      <c r="X748" s="27"/>
      <c r="Y748" s="27"/>
      <c r="Z748" s="46"/>
      <c r="AA748" s="27"/>
      <c r="AB748" s="27"/>
      <c r="AC748" s="27"/>
    </row>
    <row r="749" spans="2:29" x14ac:dyDescent="0.75">
      <c r="B749" s="26"/>
      <c r="C749" s="27"/>
      <c r="D749" s="46"/>
      <c r="E749" s="27"/>
      <c r="F749" s="27"/>
      <c r="G749" s="27"/>
      <c r="H749" s="46"/>
      <c r="I749" s="27"/>
      <c r="J749" s="27"/>
      <c r="K749" s="27"/>
      <c r="L749" s="46"/>
      <c r="M749" s="27"/>
      <c r="N749" s="27"/>
      <c r="O749" s="27"/>
      <c r="P749" s="46"/>
      <c r="Q749" s="27"/>
      <c r="R749" s="27"/>
      <c r="S749" s="27"/>
      <c r="T749" s="27"/>
      <c r="U749" s="27"/>
      <c r="V749" s="46"/>
      <c r="W749" s="27"/>
      <c r="X749" s="27"/>
      <c r="Y749" s="27"/>
      <c r="Z749" s="46"/>
      <c r="AA749" s="27"/>
      <c r="AB749" s="27"/>
      <c r="AC749" s="27"/>
    </row>
    <row r="750" spans="2:29" x14ac:dyDescent="0.75">
      <c r="B750" s="26"/>
      <c r="C750" s="27"/>
      <c r="D750" s="46"/>
      <c r="E750" s="27"/>
      <c r="F750" s="27"/>
      <c r="G750" s="27"/>
      <c r="H750" s="46"/>
      <c r="I750" s="27"/>
      <c r="J750" s="27"/>
      <c r="K750" s="27"/>
      <c r="L750" s="46"/>
      <c r="M750" s="27"/>
      <c r="N750" s="27"/>
      <c r="O750" s="27"/>
      <c r="P750" s="46"/>
      <c r="Q750" s="27"/>
      <c r="R750" s="27"/>
      <c r="S750" s="27"/>
      <c r="T750" s="27"/>
      <c r="U750" s="27"/>
      <c r="V750" s="46"/>
      <c r="W750" s="27"/>
      <c r="X750" s="27"/>
      <c r="Y750" s="27"/>
      <c r="Z750" s="46"/>
      <c r="AA750" s="27"/>
      <c r="AB750" s="27"/>
      <c r="AC750" s="27"/>
    </row>
    <row r="751" spans="2:29" x14ac:dyDescent="0.75">
      <c r="B751" s="26"/>
      <c r="C751" s="27"/>
      <c r="D751" s="46"/>
      <c r="E751" s="27"/>
      <c r="F751" s="27"/>
      <c r="G751" s="27"/>
      <c r="H751" s="46"/>
      <c r="I751" s="27"/>
      <c r="J751" s="27"/>
      <c r="K751" s="27"/>
      <c r="L751" s="46"/>
      <c r="M751" s="27"/>
      <c r="N751" s="27"/>
      <c r="O751" s="27"/>
      <c r="P751" s="46"/>
      <c r="Q751" s="27"/>
      <c r="R751" s="27"/>
      <c r="S751" s="27"/>
      <c r="T751" s="27"/>
      <c r="U751" s="27"/>
      <c r="V751" s="46"/>
      <c r="W751" s="27"/>
      <c r="X751" s="27"/>
      <c r="Y751" s="27"/>
      <c r="Z751" s="46"/>
      <c r="AA751" s="27"/>
      <c r="AB751" s="27"/>
      <c r="AC751" s="27"/>
    </row>
    <row r="752" spans="2:29" x14ac:dyDescent="0.75">
      <c r="B752" s="26"/>
      <c r="C752" s="27"/>
      <c r="D752" s="46"/>
      <c r="E752" s="27"/>
      <c r="F752" s="27"/>
      <c r="G752" s="27"/>
      <c r="H752" s="46"/>
      <c r="I752" s="27"/>
      <c r="J752" s="27"/>
      <c r="K752" s="27"/>
      <c r="L752" s="46"/>
      <c r="M752" s="27"/>
      <c r="N752" s="27"/>
      <c r="O752" s="27"/>
      <c r="P752" s="46"/>
      <c r="Q752" s="27"/>
      <c r="R752" s="27"/>
      <c r="S752" s="27"/>
      <c r="T752" s="27"/>
      <c r="U752" s="27"/>
      <c r="V752" s="46"/>
      <c r="W752" s="27"/>
      <c r="X752" s="27"/>
      <c r="Y752" s="27"/>
      <c r="Z752" s="46"/>
      <c r="AA752" s="27"/>
      <c r="AB752" s="27"/>
      <c r="AC752" s="27"/>
    </row>
    <row r="753" spans="2:29" x14ac:dyDescent="0.75">
      <c r="B753" s="26"/>
      <c r="C753" s="27"/>
      <c r="D753" s="46"/>
      <c r="E753" s="27"/>
      <c r="F753" s="27"/>
      <c r="G753" s="27"/>
      <c r="H753" s="46"/>
      <c r="I753" s="27"/>
      <c r="J753" s="27"/>
      <c r="K753" s="27"/>
      <c r="L753" s="46"/>
      <c r="M753" s="27"/>
      <c r="N753" s="27"/>
      <c r="O753" s="27"/>
      <c r="P753" s="46"/>
      <c r="Q753" s="27"/>
      <c r="R753" s="27"/>
      <c r="S753" s="27"/>
      <c r="T753" s="27"/>
      <c r="U753" s="27"/>
      <c r="V753" s="46"/>
      <c r="W753" s="27"/>
      <c r="X753" s="27"/>
      <c r="Y753" s="27"/>
      <c r="Z753" s="46"/>
      <c r="AA753" s="27"/>
      <c r="AB753" s="27"/>
      <c r="AC753" s="27"/>
    </row>
    <row r="754" spans="2:29" x14ac:dyDescent="0.75">
      <c r="B754" s="26"/>
      <c r="C754" s="27"/>
      <c r="D754" s="46"/>
      <c r="E754" s="27"/>
      <c r="F754" s="27"/>
      <c r="G754" s="27"/>
      <c r="H754" s="46"/>
      <c r="I754" s="27"/>
      <c r="J754" s="27"/>
      <c r="K754" s="27"/>
      <c r="L754" s="46"/>
      <c r="M754" s="27"/>
      <c r="N754" s="27"/>
      <c r="O754" s="27"/>
      <c r="P754" s="46"/>
      <c r="Q754" s="27"/>
      <c r="R754" s="27"/>
      <c r="S754" s="27"/>
      <c r="T754" s="27"/>
      <c r="U754" s="27"/>
      <c r="V754" s="46"/>
      <c r="W754" s="27"/>
      <c r="X754" s="27"/>
      <c r="Y754" s="27"/>
      <c r="Z754" s="46"/>
      <c r="AA754" s="27"/>
      <c r="AB754" s="27"/>
      <c r="AC754" s="27"/>
    </row>
    <row r="755" spans="2:29" x14ac:dyDescent="0.75">
      <c r="B755" s="26"/>
      <c r="C755" s="27"/>
      <c r="D755" s="46"/>
      <c r="E755" s="27"/>
      <c r="F755" s="27"/>
      <c r="G755" s="27"/>
      <c r="H755" s="46"/>
      <c r="I755" s="27"/>
      <c r="J755" s="27"/>
      <c r="K755" s="27"/>
      <c r="L755" s="46"/>
      <c r="M755" s="27"/>
      <c r="N755" s="27"/>
      <c r="O755" s="27"/>
      <c r="P755" s="46"/>
      <c r="Q755" s="27"/>
      <c r="R755" s="27"/>
      <c r="S755" s="27"/>
      <c r="T755" s="27"/>
      <c r="U755" s="27"/>
      <c r="V755" s="46"/>
      <c r="W755" s="27"/>
      <c r="X755" s="27"/>
      <c r="Y755" s="27"/>
      <c r="Z755" s="46"/>
      <c r="AA755" s="27"/>
      <c r="AB755" s="27"/>
      <c r="AC755" s="27"/>
    </row>
    <row r="756" spans="2:29" x14ac:dyDescent="0.75">
      <c r="B756" s="26"/>
      <c r="C756" s="27"/>
      <c r="D756" s="46"/>
      <c r="E756" s="27"/>
      <c r="F756" s="27"/>
      <c r="G756" s="27"/>
      <c r="H756" s="46"/>
      <c r="I756" s="27"/>
      <c r="J756" s="27"/>
      <c r="K756" s="27"/>
      <c r="L756" s="46"/>
      <c r="M756" s="27"/>
      <c r="N756" s="27"/>
      <c r="O756" s="27"/>
      <c r="P756" s="46"/>
      <c r="Q756" s="27"/>
      <c r="R756" s="27"/>
      <c r="S756" s="27"/>
      <c r="T756" s="27"/>
      <c r="U756" s="27"/>
      <c r="V756" s="46"/>
      <c r="W756" s="27"/>
      <c r="X756" s="27"/>
      <c r="Y756" s="27"/>
      <c r="Z756" s="46"/>
      <c r="AA756" s="27"/>
      <c r="AB756" s="27"/>
      <c r="AC756" s="27"/>
    </row>
    <row r="757" spans="2:29" x14ac:dyDescent="0.75">
      <c r="B757" s="26"/>
      <c r="C757" s="27"/>
      <c r="D757" s="46"/>
      <c r="E757" s="27"/>
      <c r="F757" s="27"/>
      <c r="G757" s="27"/>
      <c r="H757" s="46"/>
      <c r="I757" s="27"/>
      <c r="J757" s="27"/>
      <c r="K757" s="27"/>
      <c r="L757" s="46"/>
      <c r="M757" s="27"/>
      <c r="N757" s="27"/>
      <c r="O757" s="27"/>
      <c r="P757" s="46"/>
      <c r="Q757" s="27"/>
      <c r="R757" s="27"/>
      <c r="S757" s="27"/>
      <c r="T757" s="27"/>
      <c r="U757" s="27"/>
      <c r="V757" s="46"/>
      <c r="W757" s="27"/>
      <c r="X757" s="27"/>
      <c r="Y757" s="27"/>
      <c r="Z757" s="46"/>
      <c r="AA757" s="27"/>
      <c r="AB757" s="27"/>
      <c r="AC757" s="27"/>
    </row>
    <row r="758" spans="2:29" x14ac:dyDescent="0.75">
      <c r="B758" s="26"/>
      <c r="C758" s="27"/>
      <c r="D758" s="46"/>
      <c r="E758" s="27"/>
      <c r="F758" s="27"/>
      <c r="G758" s="27"/>
      <c r="H758" s="46"/>
      <c r="I758" s="27"/>
      <c r="J758" s="27"/>
      <c r="K758" s="27"/>
      <c r="L758" s="46"/>
      <c r="M758" s="27"/>
      <c r="N758" s="27"/>
      <c r="O758" s="27"/>
      <c r="P758" s="46"/>
      <c r="Q758" s="27"/>
      <c r="R758" s="27"/>
      <c r="S758" s="27"/>
      <c r="T758" s="27"/>
      <c r="U758" s="27"/>
      <c r="V758" s="46"/>
      <c r="W758" s="27"/>
      <c r="X758" s="27"/>
      <c r="Y758" s="27"/>
      <c r="Z758" s="46"/>
      <c r="AA758" s="27"/>
      <c r="AB758" s="27"/>
      <c r="AC758" s="27"/>
    </row>
    <row r="759" spans="2:29" x14ac:dyDescent="0.75">
      <c r="B759" s="26"/>
      <c r="C759" s="27"/>
      <c r="D759" s="46"/>
      <c r="E759" s="27"/>
      <c r="F759" s="27"/>
      <c r="G759" s="27"/>
      <c r="H759" s="46"/>
      <c r="I759" s="27"/>
      <c r="J759" s="27"/>
      <c r="K759" s="27"/>
      <c r="L759" s="46"/>
      <c r="M759" s="27"/>
      <c r="N759" s="27"/>
      <c r="O759" s="27"/>
      <c r="P759" s="46"/>
      <c r="Q759" s="27"/>
      <c r="R759" s="27"/>
      <c r="S759" s="27"/>
      <c r="T759" s="27"/>
      <c r="U759" s="27"/>
      <c r="V759" s="46"/>
      <c r="W759" s="27"/>
      <c r="X759" s="27"/>
      <c r="Y759" s="27"/>
      <c r="Z759" s="46"/>
      <c r="AA759" s="27"/>
      <c r="AB759" s="27"/>
      <c r="AC759" s="27"/>
    </row>
    <row r="760" spans="2:29" x14ac:dyDescent="0.75">
      <c r="B760" s="26"/>
      <c r="C760" s="27"/>
      <c r="D760" s="46"/>
      <c r="E760" s="27"/>
      <c r="F760" s="27"/>
      <c r="G760" s="27"/>
      <c r="H760" s="46"/>
      <c r="I760" s="27"/>
      <c r="J760" s="27"/>
      <c r="K760" s="27"/>
      <c r="L760" s="46"/>
      <c r="M760" s="27"/>
      <c r="N760" s="27"/>
      <c r="O760" s="27"/>
      <c r="P760" s="46"/>
      <c r="Q760" s="27"/>
      <c r="R760" s="27"/>
      <c r="S760" s="27"/>
      <c r="T760" s="27"/>
      <c r="U760" s="27"/>
      <c r="V760" s="46"/>
      <c r="W760" s="27"/>
      <c r="X760" s="27"/>
      <c r="Y760" s="27"/>
      <c r="Z760" s="46"/>
      <c r="AA760" s="27"/>
      <c r="AB760" s="27"/>
      <c r="AC760" s="27"/>
    </row>
    <row r="761" spans="2:29" x14ac:dyDescent="0.75">
      <c r="B761" s="26"/>
      <c r="C761" s="27"/>
      <c r="D761" s="46"/>
      <c r="E761" s="27"/>
      <c r="F761" s="27"/>
      <c r="G761" s="27"/>
      <c r="H761" s="46"/>
      <c r="I761" s="27"/>
      <c r="J761" s="27"/>
      <c r="K761" s="27"/>
      <c r="L761" s="46"/>
      <c r="M761" s="27"/>
      <c r="N761" s="27"/>
      <c r="O761" s="27"/>
      <c r="P761" s="46"/>
      <c r="Q761" s="27"/>
      <c r="R761" s="27"/>
      <c r="S761" s="27"/>
      <c r="T761" s="27"/>
      <c r="U761" s="27"/>
      <c r="V761" s="46"/>
      <c r="W761" s="27"/>
      <c r="X761" s="27"/>
      <c r="Y761" s="27"/>
      <c r="Z761" s="46"/>
      <c r="AA761" s="27"/>
      <c r="AB761" s="27"/>
      <c r="AC761" s="27"/>
    </row>
    <row r="762" spans="2:29" x14ac:dyDescent="0.75">
      <c r="B762" s="26"/>
      <c r="C762" s="27"/>
      <c r="D762" s="46"/>
      <c r="E762" s="27"/>
      <c r="F762" s="27"/>
      <c r="G762" s="27"/>
      <c r="H762" s="46"/>
      <c r="I762" s="27"/>
      <c r="J762" s="27"/>
      <c r="K762" s="27"/>
      <c r="L762" s="46"/>
      <c r="M762" s="27"/>
      <c r="N762" s="27"/>
      <c r="O762" s="27"/>
      <c r="P762" s="46"/>
      <c r="Q762" s="27"/>
      <c r="R762" s="27"/>
      <c r="S762" s="27"/>
      <c r="T762" s="27"/>
      <c r="U762" s="27"/>
      <c r="V762" s="46"/>
      <c r="W762" s="27"/>
      <c r="X762" s="27"/>
      <c r="Y762" s="27"/>
      <c r="Z762" s="46"/>
      <c r="AA762" s="27"/>
      <c r="AB762" s="27"/>
      <c r="AC762" s="27"/>
    </row>
    <row r="763" spans="2:29" x14ac:dyDescent="0.75">
      <c r="B763" s="26"/>
      <c r="C763" s="27"/>
      <c r="D763" s="46"/>
      <c r="E763" s="27"/>
      <c r="F763" s="27"/>
      <c r="G763" s="27"/>
      <c r="H763" s="46"/>
      <c r="I763" s="27"/>
      <c r="J763" s="27"/>
      <c r="K763" s="27"/>
      <c r="L763" s="46"/>
      <c r="M763" s="27"/>
      <c r="N763" s="27"/>
      <c r="O763" s="27"/>
      <c r="P763" s="46"/>
      <c r="Q763" s="27"/>
      <c r="R763" s="27"/>
      <c r="S763" s="27"/>
      <c r="T763" s="27"/>
      <c r="U763" s="27"/>
      <c r="V763" s="46"/>
      <c r="W763" s="27"/>
      <c r="X763" s="27"/>
      <c r="Y763" s="27"/>
      <c r="Z763" s="46"/>
      <c r="AA763" s="27"/>
      <c r="AB763" s="27"/>
      <c r="AC763" s="27"/>
    </row>
    <row r="764" spans="2:29" x14ac:dyDescent="0.75">
      <c r="B764" s="26"/>
      <c r="C764" s="27"/>
      <c r="D764" s="46"/>
      <c r="E764" s="27"/>
      <c r="F764" s="27"/>
      <c r="G764" s="27"/>
      <c r="H764" s="46"/>
      <c r="I764" s="27"/>
      <c r="J764" s="27"/>
      <c r="K764" s="27"/>
      <c r="L764" s="46"/>
      <c r="M764" s="27"/>
      <c r="N764" s="27"/>
      <c r="O764" s="27"/>
      <c r="P764" s="46"/>
      <c r="Q764" s="27"/>
      <c r="R764" s="27"/>
      <c r="S764" s="27"/>
      <c r="T764" s="27"/>
      <c r="U764" s="27"/>
      <c r="V764" s="46"/>
      <c r="W764" s="27"/>
      <c r="X764" s="27"/>
      <c r="Y764" s="27"/>
      <c r="Z764" s="46"/>
      <c r="AA764" s="27"/>
      <c r="AB764" s="27"/>
      <c r="AC764" s="27"/>
    </row>
    <row r="765" spans="2:29" x14ac:dyDescent="0.75">
      <c r="B765" s="26"/>
      <c r="C765" s="27"/>
      <c r="D765" s="46"/>
      <c r="E765" s="27"/>
      <c r="F765" s="27"/>
      <c r="G765" s="27"/>
      <c r="H765" s="46"/>
      <c r="I765" s="27"/>
      <c r="J765" s="27"/>
      <c r="K765" s="27"/>
      <c r="L765" s="46"/>
      <c r="M765" s="27"/>
      <c r="N765" s="27"/>
      <c r="O765" s="27"/>
      <c r="P765" s="46"/>
      <c r="Q765" s="27"/>
      <c r="R765" s="27"/>
      <c r="S765" s="27"/>
      <c r="T765" s="27"/>
      <c r="U765" s="27"/>
      <c r="V765" s="46"/>
      <c r="W765" s="27"/>
      <c r="X765" s="27"/>
      <c r="Y765" s="27"/>
      <c r="Z765" s="46"/>
      <c r="AA765" s="27"/>
      <c r="AB765" s="27"/>
      <c r="AC765" s="27"/>
    </row>
    <row r="766" spans="2:29" x14ac:dyDescent="0.75">
      <c r="B766" s="26"/>
      <c r="C766" s="27"/>
      <c r="D766" s="46"/>
      <c r="E766" s="27"/>
      <c r="F766" s="27"/>
      <c r="G766" s="27"/>
      <c r="H766" s="46"/>
      <c r="I766" s="27"/>
      <c r="J766" s="27"/>
      <c r="K766" s="27"/>
      <c r="L766" s="46"/>
      <c r="M766" s="27"/>
      <c r="N766" s="27"/>
      <c r="O766" s="27"/>
      <c r="P766" s="46"/>
      <c r="Q766" s="27"/>
      <c r="R766" s="27"/>
      <c r="S766" s="27"/>
      <c r="T766" s="27"/>
      <c r="U766" s="27"/>
      <c r="V766" s="46"/>
      <c r="W766" s="27"/>
      <c r="X766" s="27"/>
      <c r="Y766" s="27"/>
      <c r="Z766" s="46"/>
      <c r="AA766" s="27"/>
      <c r="AB766" s="27"/>
      <c r="AC766" s="27"/>
    </row>
    <row r="767" spans="2:29" x14ac:dyDescent="0.75">
      <c r="B767" s="26"/>
      <c r="C767" s="27"/>
      <c r="D767" s="46"/>
      <c r="E767" s="27"/>
      <c r="F767" s="27"/>
      <c r="G767" s="27"/>
      <c r="H767" s="46"/>
      <c r="I767" s="27"/>
      <c r="J767" s="27"/>
      <c r="K767" s="27"/>
      <c r="L767" s="46"/>
      <c r="M767" s="27"/>
      <c r="N767" s="27"/>
      <c r="O767" s="27"/>
      <c r="P767" s="46"/>
      <c r="Q767" s="27"/>
      <c r="R767" s="27"/>
      <c r="S767" s="27"/>
      <c r="T767" s="27"/>
      <c r="U767" s="27"/>
      <c r="V767" s="46"/>
      <c r="W767" s="27"/>
      <c r="X767" s="27"/>
      <c r="Y767" s="27"/>
      <c r="Z767" s="46"/>
      <c r="AA767" s="27"/>
      <c r="AB767" s="27"/>
      <c r="AC767" s="27"/>
    </row>
    <row r="768" spans="2:29" x14ac:dyDescent="0.75">
      <c r="B768" s="26"/>
      <c r="C768" s="27"/>
      <c r="D768" s="46"/>
      <c r="E768" s="27"/>
      <c r="F768" s="27"/>
      <c r="G768" s="27"/>
      <c r="H768" s="46"/>
      <c r="I768" s="27"/>
      <c r="J768" s="27"/>
      <c r="K768" s="27"/>
      <c r="L768" s="46"/>
      <c r="M768" s="27"/>
      <c r="N768" s="27"/>
      <c r="O768" s="27"/>
      <c r="P768" s="46"/>
      <c r="Q768" s="27"/>
      <c r="R768" s="27"/>
      <c r="S768" s="27"/>
      <c r="T768" s="27"/>
      <c r="U768" s="27"/>
      <c r="V768" s="46"/>
      <c r="W768" s="27"/>
      <c r="X768" s="27"/>
      <c r="Y768" s="27"/>
      <c r="Z768" s="46"/>
      <c r="AA768" s="27"/>
      <c r="AB768" s="27"/>
      <c r="AC768" s="27"/>
    </row>
    <row r="769" spans="2:29" x14ac:dyDescent="0.75">
      <c r="B769" s="26"/>
      <c r="C769" s="27"/>
      <c r="D769" s="46"/>
      <c r="E769" s="27"/>
      <c r="F769" s="27"/>
      <c r="G769" s="27"/>
      <c r="H769" s="46"/>
      <c r="I769" s="27"/>
      <c r="J769" s="27"/>
      <c r="K769" s="27"/>
      <c r="L769" s="46"/>
      <c r="M769" s="27"/>
      <c r="N769" s="27"/>
      <c r="O769" s="27"/>
      <c r="P769" s="46"/>
      <c r="Q769" s="27"/>
      <c r="R769" s="27"/>
      <c r="S769" s="27"/>
      <c r="T769" s="27"/>
      <c r="U769" s="27"/>
      <c r="V769" s="46"/>
      <c r="W769" s="27"/>
      <c r="X769" s="27"/>
      <c r="Y769" s="27"/>
      <c r="Z769" s="46"/>
      <c r="AA769" s="27"/>
      <c r="AB769" s="27"/>
      <c r="AC769" s="27"/>
    </row>
    <row r="770" spans="2:29" x14ac:dyDescent="0.75">
      <c r="B770" s="26"/>
      <c r="C770" s="27"/>
      <c r="D770" s="46"/>
      <c r="E770" s="27"/>
      <c r="F770" s="27"/>
      <c r="G770" s="27"/>
      <c r="H770" s="46"/>
      <c r="I770" s="27"/>
      <c r="J770" s="27"/>
      <c r="K770" s="27"/>
      <c r="L770" s="46"/>
      <c r="M770" s="27"/>
      <c r="N770" s="27"/>
      <c r="O770" s="27"/>
      <c r="P770" s="46"/>
      <c r="Q770" s="27"/>
      <c r="R770" s="27"/>
      <c r="S770" s="27"/>
      <c r="T770" s="27"/>
      <c r="U770" s="27"/>
      <c r="V770" s="46"/>
      <c r="W770" s="27"/>
      <c r="X770" s="27"/>
      <c r="Y770" s="27"/>
      <c r="Z770" s="46"/>
      <c r="AA770" s="27"/>
      <c r="AB770" s="27"/>
      <c r="AC770" s="27"/>
    </row>
    <row r="771" spans="2:29" x14ac:dyDescent="0.75">
      <c r="B771" s="26"/>
      <c r="C771" s="27"/>
      <c r="D771" s="46"/>
      <c r="E771" s="27"/>
      <c r="F771" s="27"/>
      <c r="G771" s="27"/>
      <c r="H771" s="46"/>
      <c r="I771" s="27"/>
      <c r="J771" s="27"/>
      <c r="K771" s="27"/>
      <c r="L771" s="46"/>
      <c r="M771" s="27"/>
      <c r="N771" s="27"/>
      <c r="O771" s="27"/>
      <c r="P771" s="46"/>
      <c r="Q771" s="27"/>
      <c r="R771" s="27"/>
      <c r="S771" s="27"/>
      <c r="T771" s="27"/>
      <c r="U771" s="27"/>
      <c r="V771" s="46"/>
      <c r="W771" s="27"/>
      <c r="X771" s="27"/>
      <c r="Y771" s="27"/>
      <c r="Z771" s="46"/>
      <c r="AA771" s="27"/>
      <c r="AB771" s="27"/>
      <c r="AC771" s="27"/>
    </row>
    <row r="772" spans="2:29" x14ac:dyDescent="0.75">
      <c r="B772" s="26"/>
      <c r="C772" s="27"/>
      <c r="D772" s="46"/>
      <c r="E772" s="27"/>
      <c r="F772" s="27"/>
      <c r="G772" s="27"/>
      <c r="H772" s="46"/>
      <c r="I772" s="27"/>
      <c r="J772" s="27"/>
      <c r="K772" s="27"/>
      <c r="L772" s="46"/>
      <c r="M772" s="27"/>
      <c r="N772" s="27"/>
      <c r="O772" s="27"/>
      <c r="P772" s="46"/>
      <c r="Q772" s="27"/>
      <c r="R772" s="27"/>
      <c r="S772" s="27"/>
      <c r="T772" s="27"/>
      <c r="U772" s="27"/>
      <c r="V772" s="46"/>
      <c r="W772" s="27"/>
      <c r="X772" s="27"/>
      <c r="Y772" s="27"/>
      <c r="Z772" s="46"/>
      <c r="AA772" s="27"/>
      <c r="AB772" s="27"/>
      <c r="AC772" s="27"/>
    </row>
    <row r="773" spans="2:29" x14ac:dyDescent="0.75">
      <c r="B773" s="26"/>
      <c r="C773" s="27"/>
      <c r="D773" s="46"/>
      <c r="E773" s="27"/>
      <c r="F773" s="27"/>
      <c r="G773" s="27"/>
      <c r="H773" s="46"/>
      <c r="I773" s="27"/>
      <c r="J773" s="27"/>
      <c r="K773" s="27"/>
      <c r="L773" s="46"/>
      <c r="M773" s="27"/>
      <c r="N773" s="27"/>
      <c r="O773" s="27"/>
      <c r="P773" s="46"/>
      <c r="Q773" s="27"/>
      <c r="R773" s="27"/>
      <c r="S773" s="27"/>
      <c r="T773" s="27"/>
      <c r="U773" s="27"/>
      <c r="V773" s="46"/>
      <c r="W773" s="27"/>
      <c r="X773" s="27"/>
      <c r="Y773" s="27"/>
      <c r="Z773" s="46"/>
      <c r="AA773" s="27"/>
      <c r="AB773" s="27"/>
      <c r="AC773" s="27"/>
    </row>
    <row r="774" spans="2:29" x14ac:dyDescent="0.75">
      <c r="B774" s="26"/>
      <c r="C774" s="27"/>
      <c r="D774" s="46"/>
      <c r="E774" s="27"/>
      <c r="F774" s="27"/>
      <c r="G774" s="27"/>
      <c r="H774" s="46"/>
      <c r="I774" s="27"/>
      <c r="J774" s="27"/>
      <c r="K774" s="27"/>
      <c r="L774" s="46"/>
      <c r="M774" s="27"/>
      <c r="N774" s="27"/>
      <c r="O774" s="27"/>
      <c r="P774" s="46"/>
      <c r="Q774" s="27"/>
      <c r="R774" s="27"/>
      <c r="S774" s="27"/>
      <c r="T774" s="27"/>
      <c r="U774" s="27"/>
      <c r="V774" s="46"/>
      <c r="W774" s="27"/>
      <c r="X774" s="27"/>
      <c r="Y774" s="27"/>
      <c r="Z774" s="46"/>
      <c r="AA774" s="27"/>
      <c r="AB774" s="27"/>
      <c r="AC774" s="27"/>
    </row>
    <row r="775" spans="2:29" x14ac:dyDescent="0.75">
      <c r="B775" s="26"/>
      <c r="C775" s="27"/>
      <c r="D775" s="46"/>
      <c r="E775" s="27"/>
      <c r="F775" s="27"/>
      <c r="G775" s="27"/>
      <c r="H775" s="46"/>
      <c r="I775" s="27"/>
      <c r="J775" s="27"/>
      <c r="K775" s="27"/>
      <c r="L775" s="46"/>
      <c r="M775" s="27"/>
      <c r="N775" s="27"/>
      <c r="O775" s="27"/>
      <c r="P775" s="46"/>
      <c r="Q775" s="27"/>
      <c r="R775" s="27"/>
      <c r="S775" s="27"/>
      <c r="T775" s="27"/>
      <c r="U775" s="27"/>
      <c r="V775" s="46"/>
      <c r="W775" s="27"/>
      <c r="X775" s="27"/>
      <c r="Y775" s="27"/>
      <c r="Z775" s="46"/>
      <c r="AA775" s="27"/>
      <c r="AB775" s="27"/>
      <c r="AC775" s="27"/>
    </row>
    <row r="776" spans="2:29" x14ac:dyDescent="0.75">
      <c r="B776" s="26"/>
      <c r="C776" s="27"/>
      <c r="D776" s="46"/>
      <c r="E776" s="27"/>
      <c r="F776" s="27"/>
      <c r="G776" s="27"/>
      <c r="H776" s="46"/>
      <c r="I776" s="27"/>
      <c r="J776" s="27"/>
      <c r="K776" s="27"/>
      <c r="L776" s="46"/>
      <c r="M776" s="27"/>
      <c r="N776" s="27"/>
      <c r="O776" s="27"/>
      <c r="P776" s="46"/>
      <c r="Q776" s="27"/>
      <c r="R776" s="27"/>
      <c r="S776" s="27"/>
      <c r="T776" s="27"/>
      <c r="U776" s="27"/>
      <c r="V776" s="46"/>
      <c r="W776" s="27"/>
      <c r="X776" s="27"/>
      <c r="Y776" s="27"/>
      <c r="Z776" s="46"/>
      <c r="AA776" s="27"/>
      <c r="AB776" s="27"/>
      <c r="AC776" s="27"/>
    </row>
    <row r="777" spans="2:29" x14ac:dyDescent="0.75">
      <c r="B777" s="26"/>
      <c r="C777" s="27"/>
      <c r="D777" s="46"/>
      <c r="E777" s="27"/>
      <c r="F777" s="27"/>
      <c r="G777" s="27"/>
      <c r="H777" s="46"/>
      <c r="I777" s="27"/>
      <c r="J777" s="27"/>
      <c r="K777" s="27"/>
      <c r="L777" s="46"/>
      <c r="M777" s="27"/>
      <c r="N777" s="27"/>
      <c r="O777" s="27"/>
      <c r="P777" s="46"/>
      <c r="Q777" s="27"/>
      <c r="R777" s="27"/>
      <c r="S777" s="27"/>
      <c r="T777" s="27"/>
      <c r="U777" s="27"/>
      <c r="V777" s="46"/>
      <c r="W777" s="27"/>
      <c r="X777" s="27"/>
      <c r="Y777" s="27"/>
      <c r="Z777" s="46"/>
      <c r="AA777" s="27"/>
      <c r="AB777" s="27"/>
      <c r="AC777" s="27"/>
    </row>
    <row r="778" spans="2:29" x14ac:dyDescent="0.75">
      <c r="B778" s="26"/>
      <c r="C778" s="27"/>
      <c r="D778" s="46"/>
      <c r="E778" s="27"/>
      <c r="F778" s="27"/>
      <c r="G778" s="27"/>
      <c r="H778" s="46"/>
      <c r="I778" s="27"/>
      <c r="J778" s="27"/>
      <c r="K778" s="27"/>
      <c r="L778" s="46"/>
      <c r="M778" s="27"/>
      <c r="N778" s="27"/>
      <c r="O778" s="27"/>
      <c r="P778" s="46"/>
      <c r="Q778" s="27"/>
      <c r="R778" s="27"/>
      <c r="S778" s="27"/>
      <c r="T778" s="27"/>
      <c r="U778" s="27"/>
      <c r="V778" s="46"/>
      <c r="W778" s="27"/>
      <c r="X778" s="27"/>
      <c r="Y778" s="27"/>
      <c r="Z778" s="46"/>
      <c r="AA778" s="27"/>
      <c r="AB778" s="27"/>
      <c r="AC778" s="27"/>
    </row>
    <row r="779" spans="2:29" x14ac:dyDescent="0.75">
      <c r="B779" s="26"/>
      <c r="C779" s="27"/>
      <c r="D779" s="46"/>
      <c r="E779" s="27"/>
      <c r="F779" s="27"/>
      <c r="G779" s="27"/>
      <c r="H779" s="46"/>
      <c r="I779" s="27"/>
      <c r="J779" s="27"/>
      <c r="K779" s="27"/>
      <c r="L779" s="46"/>
      <c r="M779" s="27"/>
      <c r="N779" s="27"/>
      <c r="O779" s="27"/>
      <c r="P779" s="46"/>
      <c r="Q779" s="27"/>
      <c r="R779" s="27"/>
      <c r="S779" s="27"/>
      <c r="T779" s="27"/>
      <c r="U779" s="27"/>
      <c r="V779" s="46"/>
      <c r="W779" s="27"/>
      <c r="X779" s="27"/>
      <c r="Y779" s="27"/>
      <c r="Z779" s="46"/>
      <c r="AA779" s="27"/>
      <c r="AB779" s="27"/>
      <c r="AC779" s="27"/>
    </row>
    <row r="780" spans="2:29" x14ac:dyDescent="0.75">
      <c r="B780" s="26"/>
      <c r="C780" s="27"/>
      <c r="D780" s="46"/>
      <c r="E780" s="27"/>
      <c r="F780" s="27"/>
      <c r="G780" s="27"/>
      <c r="H780" s="46"/>
      <c r="I780" s="27"/>
      <c r="J780" s="27"/>
      <c r="K780" s="27"/>
      <c r="L780" s="46"/>
      <c r="M780" s="27"/>
      <c r="N780" s="27"/>
      <c r="O780" s="27"/>
      <c r="P780" s="46"/>
      <c r="Q780" s="27"/>
      <c r="R780" s="27"/>
      <c r="S780" s="27"/>
      <c r="T780" s="27"/>
      <c r="U780" s="27"/>
      <c r="V780" s="46"/>
      <c r="W780" s="27"/>
      <c r="X780" s="27"/>
      <c r="Y780" s="27"/>
      <c r="Z780" s="46"/>
      <c r="AA780" s="27"/>
      <c r="AB780" s="27"/>
      <c r="AC780" s="27"/>
    </row>
    <row r="781" spans="2:29" x14ac:dyDescent="0.75">
      <c r="B781" s="26"/>
      <c r="C781" s="27"/>
      <c r="D781" s="46"/>
      <c r="E781" s="27"/>
      <c r="F781" s="27"/>
      <c r="G781" s="27"/>
      <c r="H781" s="46"/>
      <c r="I781" s="27"/>
      <c r="J781" s="27"/>
      <c r="K781" s="27"/>
      <c r="L781" s="46"/>
      <c r="M781" s="27"/>
      <c r="N781" s="27"/>
      <c r="O781" s="27"/>
      <c r="P781" s="46"/>
      <c r="Q781" s="27"/>
      <c r="R781" s="27"/>
      <c r="S781" s="27"/>
      <c r="T781" s="27"/>
      <c r="U781" s="27"/>
      <c r="V781" s="46"/>
      <c r="W781" s="27"/>
      <c r="X781" s="27"/>
      <c r="Y781" s="27"/>
      <c r="Z781" s="46"/>
      <c r="AA781" s="27"/>
      <c r="AB781" s="27"/>
      <c r="AC781" s="27"/>
    </row>
    <row r="782" spans="2:29" x14ac:dyDescent="0.75">
      <c r="B782" s="26"/>
      <c r="C782" s="27"/>
      <c r="D782" s="46"/>
      <c r="E782" s="27"/>
      <c r="F782" s="27"/>
      <c r="G782" s="27"/>
      <c r="H782" s="46"/>
      <c r="I782" s="27"/>
      <c r="J782" s="27"/>
      <c r="K782" s="27"/>
      <c r="L782" s="46"/>
      <c r="M782" s="27"/>
      <c r="N782" s="27"/>
      <c r="O782" s="27"/>
      <c r="P782" s="46"/>
      <c r="Q782" s="27"/>
      <c r="R782" s="27"/>
      <c r="S782" s="27"/>
      <c r="T782" s="27"/>
      <c r="U782" s="27"/>
      <c r="V782" s="46"/>
      <c r="W782" s="27"/>
      <c r="X782" s="27"/>
      <c r="Y782" s="27"/>
      <c r="Z782" s="46"/>
      <c r="AA782" s="27"/>
      <c r="AB782" s="27"/>
      <c r="AC782" s="27"/>
    </row>
    <row r="783" spans="2:29" x14ac:dyDescent="0.75">
      <c r="B783" s="26"/>
      <c r="C783" s="27"/>
      <c r="D783" s="46"/>
      <c r="E783" s="27"/>
      <c r="F783" s="27"/>
      <c r="G783" s="27"/>
      <c r="H783" s="46"/>
      <c r="I783" s="27"/>
      <c r="J783" s="27"/>
      <c r="K783" s="27"/>
      <c r="L783" s="46"/>
      <c r="M783" s="27"/>
      <c r="N783" s="27"/>
      <c r="O783" s="27"/>
      <c r="P783" s="46"/>
      <c r="Q783" s="27"/>
      <c r="R783" s="27"/>
      <c r="S783" s="27"/>
      <c r="T783" s="27"/>
      <c r="U783" s="27"/>
      <c r="V783" s="46"/>
      <c r="W783" s="27"/>
      <c r="X783" s="27"/>
      <c r="Y783" s="27"/>
      <c r="Z783" s="46"/>
      <c r="AA783" s="27"/>
      <c r="AB783" s="27"/>
      <c r="AC783" s="27"/>
    </row>
    <row r="784" spans="2:29" x14ac:dyDescent="0.75">
      <c r="B784" s="26"/>
      <c r="C784" s="27"/>
      <c r="D784" s="46"/>
      <c r="E784" s="27"/>
      <c r="F784" s="27"/>
      <c r="G784" s="27"/>
      <c r="H784" s="46"/>
      <c r="I784" s="27"/>
      <c r="J784" s="27"/>
      <c r="K784" s="27"/>
      <c r="L784" s="46"/>
      <c r="M784" s="27"/>
      <c r="N784" s="27"/>
      <c r="O784" s="27"/>
      <c r="P784" s="46"/>
      <c r="Q784" s="27"/>
      <c r="R784" s="27"/>
      <c r="S784" s="27"/>
      <c r="T784" s="27"/>
      <c r="U784" s="27"/>
      <c r="V784" s="46"/>
      <c r="W784" s="27"/>
      <c r="X784" s="27"/>
      <c r="Y784" s="27"/>
      <c r="Z784" s="46"/>
      <c r="AA784" s="27"/>
      <c r="AB784" s="27"/>
      <c r="AC784" s="27"/>
    </row>
    <row r="785" spans="2:29" x14ac:dyDescent="0.75">
      <c r="B785" s="26"/>
      <c r="C785" s="27"/>
      <c r="D785" s="46"/>
      <c r="E785" s="27"/>
      <c r="F785" s="27"/>
      <c r="G785" s="27"/>
      <c r="H785" s="46"/>
      <c r="I785" s="27"/>
      <c r="J785" s="27"/>
      <c r="K785" s="27"/>
      <c r="L785" s="46"/>
      <c r="M785" s="27"/>
      <c r="N785" s="27"/>
      <c r="O785" s="27"/>
      <c r="P785" s="46"/>
      <c r="Q785" s="27"/>
      <c r="R785" s="27"/>
      <c r="S785" s="27"/>
      <c r="T785" s="27"/>
      <c r="U785" s="27"/>
      <c r="V785" s="46"/>
      <c r="W785" s="27"/>
      <c r="X785" s="27"/>
      <c r="Y785" s="27"/>
      <c r="Z785" s="46"/>
      <c r="AA785" s="27"/>
      <c r="AB785" s="27"/>
      <c r="AC785" s="27"/>
    </row>
    <row r="786" spans="2:29" x14ac:dyDescent="0.75">
      <c r="B786" s="26"/>
      <c r="C786" s="27"/>
      <c r="D786" s="46"/>
      <c r="E786" s="27"/>
      <c r="F786" s="27"/>
      <c r="G786" s="27"/>
      <c r="H786" s="46"/>
      <c r="I786" s="27"/>
      <c r="J786" s="27"/>
      <c r="K786" s="27"/>
      <c r="L786" s="46"/>
      <c r="M786" s="27"/>
      <c r="N786" s="27"/>
      <c r="O786" s="27"/>
      <c r="P786" s="46"/>
      <c r="Q786" s="27"/>
      <c r="R786" s="27"/>
      <c r="S786" s="27"/>
      <c r="T786" s="27"/>
      <c r="U786" s="27"/>
      <c r="V786" s="46"/>
      <c r="W786" s="27"/>
      <c r="X786" s="27"/>
      <c r="Y786" s="27"/>
      <c r="Z786" s="46"/>
      <c r="AA786" s="27"/>
      <c r="AB786" s="27"/>
      <c r="AC786" s="27"/>
    </row>
    <row r="787" spans="2:29" x14ac:dyDescent="0.75">
      <c r="B787" s="26"/>
      <c r="C787" s="27"/>
      <c r="D787" s="46"/>
      <c r="E787" s="27"/>
      <c r="F787" s="27"/>
      <c r="G787" s="27"/>
      <c r="H787" s="46"/>
      <c r="I787" s="27"/>
      <c r="J787" s="27"/>
      <c r="K787" s="27"/>
      <c r="L787" s="46"/>
      <c r="M787" s="27"/>
      <c r="N787" s="27"/>
      <c r="O787" s="27"/>
      <c r="P787" s="46"/>
      <c r="Q787" s="27"/>
      <c r="R787" s="27"/>
      <c r="S787" s="27"/>
      <c r="T787" s="27"/>
      <c r="U787" s="27"/>
      <c r="V787" s="46"/>
      <c r="W787" s="27"/>
      <c r="X787" s="27"/>
      <c r="Y787" s="27"/>
      <c r="Z787" s="46"/>
      <c r="AA787" s="27"/>
      <c r="AB787" s="27"/>
      <c r="AC787" s="27"/>
    </row>
    <row r="788" spans="2:29" x14ac:dyDescent="0.75">
      <c r="B788" s="26"/>
      <c r="C788" s="27"/>
      <c r="D788" s="46"/>
      <c r="E788" s="27"/>
      <c r="F788" s="27"/>
      <c r="G788" s="27"/>
      <c r="H788" s="46"/>
      <c r="I788" s="27"/>
      <c r="J788" s="27"/>
      <c r="K788" s="27"/>
      <c r="L788" s="46"/>
      <c r="M788" s="27"/>
      <c r="N788" s="27"/>
      <c r="O788" s="27"/>
      <c r="P788" s="46"/>
      <c r="Q788" s="27"/>
      <c r="R788" s="27"/>
      <c r="S788" s="27"/>
      <c r="T788" s="27"/>
      <c r="U788" s="27"/>
      <c r="V788" s="46"/>
      <c r="W788" s="27"/>
      <c r="X788" s="27"/>
      <c r="Y788" s="27"/>
      <c r="Z788" s="46"/>
      <c r="AA788" s="27"/>
      <c r="AB788" s="27"/>
      <c r="AC788" s="27"/>
    </row>
    <row r="789" spans="2:29" x14ac:dyDescent="0.75">
      <c r="B789" s="26"/>
      <c r="C789" s="27"/>
      <c r="D789" s="46"/>
      <c r="E789" s="27"/>
      <c r="F789" s="27"/>
      <c r="G789" s="27"/>
      <c r="H789" s="46"/>
      <c r="I789" s="27"/>
      <c r="J789" s="27"/>
      <c r="K789" s="27"/>
      <c r="L789" s="46"/>
      <c r="M789" s="27"/>
      <c r="N789" s="27"/>
      <c r="O789" s="27"/>
      <c r="P789" s="46"/>
      <c r="Q789" s="27"/>
      <c r="R789" s="27"/>
      <c r="S789" s="27"/>
      <c r="T789" s="27"/>
      <c r="U789" s="27"/>
      <c r="V789" s="46"/>
      <c r="W789" s="27"/>
      <c r="X789" s="27"/>
      <c r="Y789" s="27"/>
      <c r="Z789" s="46"/>
      <c r="AA789" s="27"/>
      <c r="AB789" s="27"/>
      <c r="AC789" s="27"/>
    </row>
    <row r="790" spans="2:29" x14ac:dyDescent="0.75">
      <c r="B790" s="26"/>
      <c r="C790" s="27"/>
      <c r="D790" s="46"/>
      <c r="E790" s="27"/>
      <c r="F790" s="27"/>
      <c r="G790" s="27"/>
      <c r="H790" s="46"/>
      <c r="I790" s="27"/>
      <c r="J790" s="27"/>
      <c r="K790" s="27"/>
      <c r="L790" s="46"/>
      <c r="M790" s="27"/>
      <c r="N790" s="27"/>
      <c r="O790" s="27"/>
      <c r="P790" s="46"/>
      <c r="Q790" s="27"/>
      <c r="R790" s="27"/>
      <c r="S790" s="27"/>
      <c r="T790" s="27"/>
      <c r="U790" s="27"/>
      <c r="V790" s="46"/>
      <c r="W790" s="27"/>
      <c r="X790" s="27"/>
      <c r="Y790" s="27"/>
      <c r="Z790" s="46"/>
      <c r="AA790" s="27"/>
      <c r="AB790" s="27"/>
      <c r="AC790" s="27"/>
    </row>
    <row r="791" spans="2:29" x14ac:dyDescent="0.75">
      <c r="B791" s="26"/>
      <c r="C791" s="27"/>
      <c r="D791" s="46"/>
      <c r="E791" s="27"/>
      <c r="F791" s="27"/>
      <c r="G791" s="27"/>
      <c r="H791" s="46"/>
      <c r="I791" s="27"/>
      <c r="J791" s="27"/>
      <c r="K791" s="27"/>
      <c r="L791" s="46"/>
      <c r="M791" s="27"/>
      <c r="N791" s="27"/>
      <c r="O791" s="27"/>
      <c r="P791" s="46"/>
      <c r="Q791" s="27"/>
      <c r="R791" s="27"/>
      <c r="S791" s="27"/>
      <c r="T791" s="27"/>
      <c r="U791" s="27"/>
      <c r="V791" s="46"/>
      <c r="W791" s="27"/>
      <c r="X791" s="27"/>
      <c r="Y791" s="27"/>
      <c r="Z791" s="46"/>
      <c r="AA791" s="27"/>
      <c r="AB791" s="27"/>
      <c r="AC791" s="27"/>
    </row>
    <row r="792" spans="2:29" x14ac:dyDescent="0.75">
      <c r="B792" s="26"/>
      <c r="C792" s="27"/>
      <c r="D792" s="46"/>
      <c r="E792" s="27"/>
      <c r="F792" s="27"/>
      <c r="G792" s="27"/>
      <c r="H792" s="46"/>
      <c r="I792" s="27"/>
      <c r="J792" s="27"/>
      <c r="K792" s="27"/>
      <c r="L792" s="46"/>
      <c r="M792" s="27"/>
      <c r="N792" s="27"/>
      <c r="O792" s="27"/>
      <c r="P792" s="46"/>
      <c r="Q792" s="27"/>
      <c r="R792" s="27"/>
      <c r="S792" s="27"/>
      <c r="T792" s="27"/>
      <c r="U792" s="27"/>
      <c r="V792" s="46"/>
      <c r="W792" s="27"/>
      <c r="X792" s="27"/>
      <c r="Y792" s="27"/>
      <c r="Z792" s="46"/>
      <c r="AA792" s="27"/>
      <c r="AB792" s="27"/>
      <c r="AC792" s="27"/>
    </row>
    <row r="793" spans="2:29" x14ac:dyDescent="0.75">
      <c r="B793" s="26"/>
      <c r="C793" s="27"/>
      <c r="D793" s="46"/>
      <c r="E793" s="27"/>
      <c r="F793" s="27"/>
      <c r="G793" s="27"/>
      <c r="H793" s="46"/>
      <c r="I793" s="27"/>
      <c r="J793" s="27"/>
      <c r="K793" s="27"/>
      <c r="L793" s="46"/>
      <c r="M793" s="27"/>
      <c r="N793" s="27"/>
      <c r="O793" s="27"/>
      <c r="P793" s="46"/>
      <c r="Q793" s="27"/>
      <c r="R793" s="27"/>
      <c r="S793" s="27"/>
      <c r="T793" s="27"/>
      <c r="U793" s="27"/>
      <c r="V793" s="46"/>
      <c r="W793" s="27"/>
      <c r="X793" s="27"/>
      <c r="Y793" s="27"/>
      <c r="Z793" s="46"/>
      <c r="AA793" s="27"/>
      <c r="AB793" s="27"/>
      <c r="AC793" s="27"/>
    </row>
    <row r="794" spans="2:29" x14ac:dyDescent="0.75">
      <c r="B794" s="26"/>
      <c r="C794" s="27"/>
      <c r="D794" s="46"/>
      <c r="E794" s="27"/>
      <c r="F794" s="27"/>
      <c r="G794" s="27"/>
      <c r="H794" s="46"/>
      <c r="I794" s="27"/>
      <c r="J794" s="27"/>
      <c r="K794" s="27"/>
      <c r="L794" s="46"/>
      <c r="M794" s="27"/>
      <c r="N794" s="27"/>
      <c r="O794" s="27"/>
      <c r="P794" s="46"/>
      <c r="Q794" s="27"/>
      <c r="R794" s="27"/>
      <c r="S794" s="27"/>
      <c r="T794" s="27"/>
      <c r="U794" s="27"/>
      <c r="V794" s="46"/>
      <c r="W794" s="27"/>
      <c r="X794" s="27"/>
      <c r="Y794" s="27"/>
      <c r="Z794" s="46"/>
      <c r="AA794" s="27"/>
      <c r="AB794" s="27"/>
      <c r="AC794" s="27"/>
    </row>
    <row r="795" spans="2:29" x14ac:dyDescent="0.75">
      <c r="B795" s="26"/>
      <c r="C795" s="27"/>
      <c r="D795" s="46"/>
      <c r="E795" s="27"/>
      <c r="F795" s="27"/>
      <c r="G795" s="27"/>
      <c r="H795" s="46"/>
      <c r="I795" s="27"/>
      <c r="J795" s="27"/>
      <c r="K795" s="27"/>
      <c r="L795" s="46"/>
      <c r="M795" s="27"/>
      <c r="N795" s="27"/>
      <c r="O795" s="27"/>
      <c r="P795" s="46"/>
      <c r="Q795" s="27"/>
      <c r="R795" s="27"/>
      <c r="S795" s="27"/>
      <c r="T795" s="27"/>
      <c r="U795" s="27"/>
      <c r="V795" s="46"/>
      <c r="W795" s="27"/>
      <c r="X795" s="27"/>
      <c r="Y795" s="27"/>
      <c r="Z795" s="46"/>
      <c r="AA795" s="27"/>
      <c r="AB795" s="27"/>
      <c r="AC795" s="27"/>
    </row>
    <row r="796" spans="2:29" x14ac:dyDescent="0.75">
      <c r="B796" s="26"/>
      <c r="C796" s="27"/>
      <c r="D796" s="46"/>
      <c r="E796" s="27"/>
      <c r="F796" s="27"/>
      <c r="G796" s="27"/>
      <c r="H796" s="46"/>
      <c r="I796" s="27"/>
      <c r="J796" s="27"/>
      <c r="K796" s="27"/>
      <c r="L796" s="46"/>
      <c r="M796" s="27"/>
      <c r="N796" s="27"/>
      <c r="O796" s="27"/>
      <c r="P796" s="46"/>
      <c r="Q796" s="27"/>
      <c r="R796" s="27"/>
      <c r="S796" s="27"/>
      <c r="T796" s="27"/>
      <c r="U796" s="27"/>
      <c r="V796" s="46"/>
      <c r="W796" s="27"/>
      <c r="X796" s="27"/>
      <c r="Y796" s="27"/>
      <c r="Z796" s="46"/>
      <c r="AA796" s="27"/>
      <c r="AB796" s="27"/>
      <c r="AC796" s="27"/>
    </row>
    <row r="797" spans="2:29" x14ac:dyDescent="0.75">
      <c r="B797" s="26"/>
      <c r="C797" s="27"/>
      <c r="D797" s="46"/>
      <c r="E797" s="27"/>
      <c r="F797" s="27"/>
      <c r="G797" s="27"/>
      <c r="H797" s="46"/>
      <c r="I797" s="27"/>
      <c r="J797" s="27"/>
      <c r="K797" s="27"/>
      <c r="L797" s="46"/>
      <c r="M797" s="27"/>
      <c r="N797" s="27"/>
      <c r="O797" s="27"/>
      <c r="P797" s="46"/>
      <c r="Q797" s="27"/>
      <c r="R797" s="27"/>
      <c r="S797" s="27"/>
      <c r="T797" s="27"/>
      <c r="U797" s="27"/>
      <c r="V797" s="46"/>
      <c r="W797" s="27"/>
      <c r="X797" s="27"/>
      <c r="Y797" s="27"/>
      <c r="Z797" s="46"/>
      <c r="AA797" s="27"/>
      <c r="AB797" s="27"/>
      <c r="AC797" s="27"/>
    </row>
    <row r="798" spans="2:29" x14ac:dyDescent="0.75">
      <c r="B798" s="26"/>
      <c r="C798" s="27"/>
      <c r="D798" s="46"/>
      <c r="E798" s="27"/>
      <c r="F798" s="27"/>
      <c r="G798" s="27"/>
      <c r="H798" s="46"/>
      <c r="I798" s="27"/>
      <c r="J798" s="27"/>
      <c r="K798" s="27"/>
      <c r="L798" s="46"/>
      <c r="M798" s="27"/>
      <c r="N798" s="27"/>
      <c r="O798" s="27"/>
      <c r="P798" s="46"/>
      <c r="Q798" s="27"/>
      <c r="R798" s="27"/>
      <c r="S798" s="27"/>
      <c r="T798" s="27"/>
      <c r="U798" s="27"/>
      <c r="V798" s="46"/>
      <c r="W798" s="27"/>
      <c r="X798" s="27"/>
      <c r="Y798" s="27"/>
      <c r="Z798" s="46"/>
      <c r="AA798" s="27"/>
      <c r="AB798" s="27"/>
      <c r="AC798" s="27"/>
    </row>
    <row r="799" spans="2:29" x14ac:dyDescent="0.75">
      <c r="B799" s="26"/>
      <c r="C799" s="27"/>
      <c r="D799" s="46"/>
      <c r="E799" s="27"/>
      <c r="F799" s="27"/>
      <c r="G799" s="27"/>
      <c r="H799" s="46"/>
      <c r="I799" s="27"/>
      <c r="J799" s="27"/>
      <c r="K799" s="27"/>
      <c r="L799" s="46"/>
      <c r="M799" s="27"/>
      <c r="N799" s="27"/>
      <c r="O799" s="27"/>
      <c r="P799" s="46"/>
      <c r="Q799" s="27"/>
      <c r="R799" s="27"/>
      <c r="S799" s="27"/>
      <c r="T799" s="27"/>
      <c r="U799" s="27"/>
      <c r="V799" s="46"/>
      <c r="W799" s="27"/>
      <c r="X799" s="27"/>
      <c r="Y799" s="27"/>
      <c r="Z799" s="46"/>
      <c r="AA799" s="27"/>
      <c r="AB799" s="27"/>
      <c r="AC799" s="27"/>
    </row>
    <row r="800" spans="2:29" x14ac:dyDescent="0.75">
      <c r="B800" s="26"/>
      <c r="C800" s="27"/>
      <c r="D800" s="46"/>
      <c r="E800" s="27"/>
      <c r="F800" s="27"/>
      <c r="G800" s="27"/>
      <c r="H800" s="46"/>
      <c r="I800" s="27"/>
      <c r="J800" s="27"/>
      <c r="K800" s="27"/>
      <c r="L800" s="46"/>
      <c r="M800" s="27"/>
      <c r="N800" s="27"/>
      <c r="O800" s="27"/>
      <c r="P800" s="46"/>
      <c r="Q800" s="27"/>
      <c r="R800" s="27"/>
      <c r="S800" s="27"/>
      <c r="T800" s="27"/>
      <c r="U800" s="27"/>
      <c r="V800" s="46"/>
      <c r="W800" s="27"/>
      <c r="X800" s="27"/>
      <c r="Y800" s="27"/>
      <c r="Z800" s="46"/>
      <c r="AA800" s="27"/>
      <c r="AB800" s="27"/>
      <c r="AC800" s="27"/>
    </row>
    <row r="801" spans="2:29" x14ac:dyDescent="0.75">
      <c r="B801" s="26"/>
      <c r="C801" s="27"/>
      <c r="D801" s="46"/>
      <c r="E801" s="27"/>
      <c r="F801" s="27"/>
      <c r="G801" s="27"/>
      <c r="H801" s="46"/>
      <c r="I801" s="27"/>
      <c r="J801" s="27"/>
      <c r="K801" s="27"/>
      <c r="L801" s="46"/>
      <c r="M801" s="27"/>
      <c r="N801" s="27"/>
      <c r="O801" s="27"/>
      <c r="P801" s="46"/>
      <c r="Q801" s="27"/>
      <c r="R801" s="27"/>
      <c r="S801" s="27"/>
      <c r="T801" s="27"/>
      <c r="U801" s="27"/>
      <c r="V801" s="46"/>
      <c r="W801" s="27"/>
      <c r="X801" s="27"/>
      <c r="Y801" s="27"/>
      <c r="Z801" s="46"/>
      <c r="AA801" s="27"/>
      <c r="AB801" s="27"/>
      <c r="AC801" s="27"/>
    </row>
    <row r="802" spans="2:29" x14ac:dyDescent="0.75">
      <c r="B802" s="26"/>
      <c r="C802" s="27"/>
      <c r="D802" s="46"/>
      <c r="E802" s="27"/>
      <c r="F802" s="27"/>
      <c r="G802" s="27"/>
      <c r="H802" s="46"/>
      <c r="I802" s="27"/>
      <c r="J802" s="27"/>
      <c r="K802" s="27"/>
      <c r="L802" s="46"/>
      <c r="M802" s="27"/>
      <c r="N802" s="27"/>
      <c r="O802" s="27"/>
      <c r="P802" s="46"/>
      <c r="Q802" s="27"/>
      <c r="R802" s="27"/>
      <c r="S802" s="27"/>
      <c r="T802" s="27"/>
      <c r="U802" s="27"/>
      <c r="V802" s="46"/>
      <c r="W802" s="27"/>
      <c r="X802" s="27"/>
      <c r="Y802" s="27"/>
      <c r="Z802" s="46"/>
      <c r="AA802" s="27"/>
      <c r="AB802" s="27"/>
      <c r="AC802" s="27"/>
    </row>
    <row r="803" spans="2:29" x14ac:dyDescent="0.75">
      <c r="B803" s="26"/>
      <c r="C803" s="27"/>
      <c r="D803" s="46"/>
      <c r="E803" s="27"/>
      <c r="F803" s="27"/>
      <c r="G803" s="27"/>
      <c r="H803" s="46"/>
      <c r="I803" s="27"/>
      <c r="J803" s="27"/>
      <c r="K803" s="27"/>
      <c r="L803" s="46"/>
      <c r="M803" s="27"/>
      <c r="N803" s="27"/>
      <c r="O803" s="27"/>
      <c r="P803" s="46"/>
      <c r="Q803" s="27"/>
      <c r="R803" s="27"/>
      <c r="S803" s="27"/>
      <c r="T803" s="27"/>
      <c r="U803" s="27"/>
      <c r="V803" s="46"/>
      <c r="W803" s="27"/>
      <c r="X803" s="27"/>
      <c r="Y803" s="27"/>
      <c r="Z803" s="46"/>
      <c r="AA803" s="27"/>
      <c r="AB803" s="27"/>
      <c r="AC803" s="27"/>
    </row>
    <row r="804" spans="2:29" x14ac:dyDescent="0.75">
      <c r="B804" s="26"/>
      <c r="C804" s="27"/>
      <c r="D804" s="46"/>
      <c r="E804" s="27"/>
      <c r="F804" s="27"/>
      <c r="G804" s="27"/>
      <c r="H804" s="46"/>
      <c r="I804" s="27"/>
      <c r="J804" s="27"/>
      <c r="K804" s="27"/>
      <c r="L804" s="46"/>
      <c r="M804" s="27"/>
      <c r="N804" s="27"/>
      <c r="O804" s="27"/>
      <c r="P804" s="46"/>
      <c r="Q804" s="27"/>
      <c r="R804" s="27"/>
      <c r="S804" s="27"/>
      <c r="T804" s="27"/>
      <c r="U804" s="27"/>
      <c r="V804" s="46"/>
      <c r="W804" s="27"/>
      <c r="X804" s="27"/>
      <c r="Y804" s="27"/>
      <c r="Z804" s="46"/>
      <c r="AA804" s="27"/>
      <c r="AB804" s="27"/>
      <c r="AC804" s="27"/>
    </row>
    <row r="805" spans="2:29" x14ac:dyDescent="0.75">
      <c r="B805" s="26"/>
      <c r="C805" s="27"/>
      <c r="D805" s="46"/>
      <c r="E805" s="27"/>
      <c r="F805" s="27"/>
      <c r="G805" s="27"/>
      <c r="H805" s="46"/>
      <c r="I805" s="27"/>
      <c r="J805" s="27"/>
      <c r="K805" s="27"/>
      <c r="L805" s="46"/>
      <c r="M805" s="27"/>
      <c r="N805" s="27"/>
      <c r="O805" s="27"/>
      <c r="P805" s="46"/>
      <c r="Q805" s="27"/>
      <c r="R805" s="27"/>
      <c r="S805" s="27"/>
      <c r="T805" s="27"/>
      <c r="U805" s="27"/>
      <c r="V805" s="46"/>
      <c r="W805" s="27"/>
      <c r="X805" s="27"/>
      <c r="Y805" s="27"/>
      <c r="Z805" s="46"/>
      <c r="AA805" s="27"/>
      <c r="AB805" s="27"/>
      <c r="AC805" s="27"/>
    </row>
    <row r="806" spans="2:29" x14ac:dyDescent="0.75">
      <c r="B806" s="26"/>
      <c r="C806" s="27"/>
      <c r="D806" s="46"/>
      <c r="E806" s="27"/>
      <c r="F806" s="27"/>
      <c r="G806" s="27"/>
      <c r="H806" s="46"/>
      <c r="I806" s="27"/>
      <c r="J806" s="27"/>
      <c r="K806" s="27"/>
      <c r="L806" s="46"/>
      <c r="M806" s="27"/>
      <c r="N806" s="27"/>
      <c r="O806" s="27"/>
      <c r="P806" s="46"/>
      <c r="Q806" s="27"/>
      <c r="R806" s="27"/>
      <c r="S806" s="27"/>
      <c r="T806" s="27"/>
      <c r="U806" s="27"/>
      <c r="V806" s="46"/>
      <c r="W806" s="27"/>
      <c r="X806" s="27"/>
      <c r="Y806" s="27"/>
      <c r="Z806" s="46"/>
      <c r="AA806" s="27"/>
      <c r="AB806" s="27"/>
      <c r="AC806" s="27"/>
    </row>
    <row r="807" spans="2:29" x14ac:dyDescent="0.75">
      <c r="B807" s="26"/>
      <c r="C807" s="27"/>
      <c r="D807" s="46"/>
      <c r="E807" s="27"/>
      <c r="F807" s="27"/>
      <c r="G807" s="27"/>
      <c r="H807" s="46"/>
      <c r="I807" s="27"/>
      <c r="J807" s="27"/>
      <c r="K807" s="27"/>
      <c r="L807" s="46"/>
      <c r="M807" s="27"/>
      <c r="N807" s="27"/>
      <c r="O807" s="27"/>
      <c r="P807" s="46"/>
      <c r="Q807" s="27"/>
      <c r="R807" s="27"/>
      <c r="S807" s="27"/>
      <c r="T807" s="27"/>
      <c r="U807" s="27"/>
      <c r="V807" s="46"/>
      <c r="W807" s="27"/>
      <c r="X807" s="27"/>
      <c r="Y807" s="27"/>
      <c r="Z807" s="46"/>
      <c r="AA807" s="27"/>
      <c r="AB807" s="27"/>
      <c r="AC807" s="27"/>
    </row>
    <row r="808" spans="2:29" x14ac:dyDescent="0.75">
      <c r="B808" s="26"/>
      <c r="C808" s="27"/>
      <c r="D808" s="46"/>
      <c r="E808" s="27"/>
      <c r="F808" s="27"/>
      <c r="G808" s="27"/>
      <c r="H808" s="46"/>
      <c r="I808" s="27"/>
      <c r="J808" s="27"/>
      <c r="K808" s="27"/>
      <c r="L808" s="46"/>
      <c r="M808" s="27"/>
      <c r="N808" s="27"/>
      <c r="O808" s="27"/>
      <c r="P808" s="46"/>
      <c r="Q808" s="27"/>
      <c r="R808" s="27"/>
      <c r="S808" s="27"/>
      <c r="T808" s="27"/>
      <c r="U808" s="27"/>
      <c r="V808" s="46"/>
      <c r="W808" s="27"/>
      <c r="X808" s="27"/>
      <c r="Y808" s="27"/>
      <c r="Z808" s="46"/>
      <c r="AA808" s="27"/>
      <c r="AB808" s="27"/>
      <c r="AC808" s="27"/>
    </row>
    <row r="809" spans="2:29" x14ac:dyDescent="0.75">
      <c r="B809" s="26"/>
      <c r="C809" s="27"/>
      <c r="D809" s="46"/>
      <c r="E809" s="27"/>
      <c r="F809" s="27"/>
      <c r="G809" s="27"/>
      <c r="H809" s="46"/>
      <c r="I809" s="27"/>
      <c r="J809" s="27"/>
      <c r="K809" s="27"/>
      <c r="L809" s="46"/>
      <c r="M809" s="27"/>
      <c r="N809" s="27"/>
      <c r="O809" s="27"/>
      <c r="P809" s="46"/>
      <c r="Q809" s="27"/>
      <c r="R809" s="27"/>
      <c r="S809" s="27"/>
      <c r="T809" s="27"/>
      <c r="U809" s="27"/>
      <c r="V809" s="46"/>
      <c r="W809" s="27"/>
      <c r="X809" s="27"/>
      <c r="Y809" s="27"/>
      <c r="Z809" s="46"/>
      <c r="AA809" s="27"/>
      <c r="AB809" s="27"/>
      <c r="AC809" s="27"/>
    </row>
    <row r="810" spans="2:29" x14ac:dyDescent="0.75">
      <c r="B810" s="26"/>
      <c r="C810" s="27"/>
      <c r="D810" s="46"/>
      <c r="E810" s="27"/>
      <c r="F810" s="27"/>
      <c r="G810" s="27"/>
      <c r="H810" s="46"/>
      <c r="I810" s="27"/>
      <c r="J810" s="27"/>
      <c r="K810" s="27"/>
      <c r="L810" s="46"/>
      <c r="M810" s="27"/>
      <c r="N810" s="27"/>
      <c r="O810" s="27"/>
      <c r="P810" s="46"/>
      <c r="Q810" s="27"/>
      <c r="R810" s="27"/>
      <c r="S810" s="27"/>
      <c r="T810" s="27"/>
      <c r="U810" s="27"/>
      <c r="V810" s="46"/>
      <c r="W810" s="27"/>
      <c r="X810" s="27"/>
      <c r="Y810" s="27"/>
      <c r="Z810" s="46"/>
      <c r="AA810" s="27"/>
      <c r="AB810" s="27"/>
      <c r="AC810" s="27"/>
    </row>
    <row r="811" spans="2:29" x14ac:dyDescent="0.75">
      <c r="B811" s="26"/>
      <c r="C811" s="27"/>
      <c r="D811" s="46"/>
      <c r="E811" s="27"/>
      <c r="F811" s="27"/>
      <c r="G811" s="27"/>
      <c r="H811" s="46"/>
      <c r="I811" s="27"/>
      <c r="J811" s="27"/>
      <c r="K811" s="27"/>
      <c r="L811" s="46"/>
      <c r="M811" s="27"/>
      <c r="N811" s="27"/>
      <c r="O811" s="27"/>
      <c r="P811" s="46"/>
      <c r="Q811" s="27"/>
      <c r="R811" s="27"/>
      <c r="S811" s="27"/>
      <c r="T811" s="27"/>
      <c r="U811" s="27"/>
      <c r="V811" s="46"/>
      <c r="W811" s="27"/>
      <c r="X811" s="27"/>
      <c r="Y811" s="27"/>
      <c r="Z811" s="46"/>
      <c r="AA811" s="27"/>
      <c r="AB811" s="27"/>
      <c r="AC811" s="27"/>
    </row>
    <row r="812" spans="2:29" x14ac:dyDescent="0.75">
      <c r="B812" s="26"/>
      <c r="C812" s="27"/>
      <c r="D812" s="46"/>
      <c r="E812" s="27"/>
      <c r="F812" s="27"/>
      <c r="G812" s="27"/>
      <c r="H812" s="46"/>
      <c r="I812" s="27"/>
      <c r="J812" s="27"/>
      <c r="K812" s="27"/>
      <c r="L812" s="46"/>
      <c r="M812" s="27"/>
      <c r="N812" s="27"/>
      <c r="O812" s="27"/>
      <c r="P812" s="46"/>
      <c r="Q812" s="27"/>
      <c r="R812" s="27"/>
      <c r="S812" s="27"/>
      <c r="T812" s="27"/>
      <c r="U812" s="27"/>
      <c r="V812" s="46"/>
      <c r="W812" s="27"/>
      <c r="X812" s="27"/>
      <c r="Y812" s="27"/>
      <c r="Z812" s="46"/>
      <c r="AA812" s="27"/>
      <c r="AB812" s="27"/>
      <c r="AC812" s="27"/>
    </row>
    <row r="813" spans="2:29" x14ac:dyDescent="0.75">
      <c r="B813" s="26"/>
      <c r="C813" s="27"/>
      <c r="D813" s="46"/>
      <c r="E813" s="27"/>
      <c r="F813" s="27"/>
      <c r="G813" s="27"/>
      <c r="H813" s="46"/>
      <c r="I813" s="27"/>
      <c r="J813" s="27"/>
      <c r="K813" s="27"/>
      <c r="L813" s="46"/>
      <c r="M813" s="27"/>
      <c r="N813" s="27"/>
      <c r="O813" s="27"/>
      <c r="P813" s="46"/>
      <c r="Q813" s="27"/>
      <c r="R813" s="27"/>
      <c r="S813" s="27"/>
      <c r="T813" s="27"/>
      <c r="U813" s="27"/>
      <c r="V813" s="46"/>
      <c r="W813" s="27"/>
      <c r="X813" s="27"/>
      <c r="Y813" s="27"/>
      <c r="Z813" s="46"/>
      <c r="AA813" s="27"/>
      <c r="AB813" s="27"/>
      <c r="AC813" s="27"/>
    </row>
    <row r="814" spans="2:29" x14ac:dyDescent="0.75">
      <c r="B814" s="26"/>
      <c r="C814" s="27"/>
      <c r="D814" s="46"/>
      <c r="E814" s="27"/>
      <c r="F814" s="27"/>
      <c r="G814" s="27"/>
      <c r="H814" s="46"/>
      <c r="I814" s="27"/>
      <c r="J814" s="27"/>
      <c r="K814" s="27"/>
      <c r="L814" s="46"/>
      <c r="M814" s="27"/>
      <c r="N814" s="27"/>
      <c r="O814" s="27"/>
      <c r="P814" s="46"/>
      <c r="Q814" s="27"/>
      <c r="R814" s="27"/>
      <c r="S814" s="27"/>
      <c r="T814" s="27"/>
      <c r="U814" s="27"/>
      <c r="V814" s="46"/>
      <c r="W814" s="27"/>
      <c r="X814" s="27"/>
      <c r="Y814" s="27"/>
      <c r="Z814" s="46"/>
      <c r="AA814" s="27"/>
      <c r="AB814" s="27"/>
      <c r="AC814" s="27"/>
    </row>
    <row r="815" spans="2:29" x14ac:dyDescent="0.75">
      <c r="B815" s="26"/>
      <c r="C815" s="27"/>
      <c r="D815" s="46"/>
      <c r="E815" s="27"/>
      <c r="F815" s="27"/>
      <c r="G815" s="27"/>
      <c r="H815" s="46"/>
      <c r="I815" s="27"/>
      <c r="J815" s="27"/>
      <c r="K815" s="27"/>
      <c r="L815" s="46"/>
      <c r="M815" s="27"/>
      <c r="N815" s="27"/>
      <c r="O815" s="27"/>
      <c r="P815" s="46"/>
      <c r="Q815" s="27"/>
      <c r="R815" s="27"/>
      <c r="S815" s="27"/>
      <c r="T815" s="27"/>
      <c r="U815" s="27"/>
      <c r="V815" s="46"/>
      <c r="W815" s="27"/>
      <c r="X815" s="27"/>
      <c r="Y815" s="27"/>
      <c r="Z815" s="46"/>
      <c r="AA815" s="27"/>
      <c r="AB815" s="27"/>
      <c r="AC815" s="27"/>
    </row>
    <row r="816" spans="2:29" x14ac:dyDescent="0.75">
      <c r="B816" s="26"/>
      <c r="C816" s="27"/>
      <c r="D816" s="46"/>
      <c r="E816" s="27"/>
      <c r="F816" s="27"/>
      <c r="G816" s="27"/>
      <c r="H816" s="46"/>
      <c r="I816" s="27"/>
      <c r="J816" s="27"/>
      <c r="K816" s="27"/>
      <c r="L816" s="46"/>
      <c r="M816" s="27"/>
      <c r="N816" s="27"/>
      <c r="O816" s="27"/>
      <c r="P816" s="46"/>
      <c r="Q816" s="27"/>
      <c r="R816" s="27"/>
      <c r="S816" s="27"/>
      <c r="T816" s="27"/>
      <c r="U816" s="27"/>
      <c r="V816" s="46"/>
      <c r="W816" s="27"/>
      <c r="X816" s="27"/>
      <c r="Y816" s="27"/>
      <c r="Z816" s="46"/>
      <c r="AA816" s="27"/>
      <c r="AB816" s="27"/>
      <c r="AC816" s="27"/>
    </row>
    <row r="817" spans="2:29" x14ac:dyDescent="0.75">
      <c r="B817" s="26"/>
      <c r="C817" s="27"/>
      <c r="D817" s="46"/>
      <c r="E817" s="27"/>
      <c r="F817" s="27"/>
      <c r="G817" s="27"/>
      <c r="H817" s="46"/>
      <c r="I817" s="27"/>
      <c r="J817" s="27"/>
      <c r="K817" s="27"/>
      <c r="L817" s="46"/>
      <c r="M817" s="27"/>
      <c r="N817" s="27"/>
      <c r="O817" s="27"/>
      <c r="P817" s="46"/>
      <c r="Q817" s="27"/>
      <c r="R817" s="27"/>
      <c r="S817" s="27"/>
      <c r="T817" s="27"/>
      <c r="U817" s="27"/>
      <c r="V817" s="46"/>
      <c r="W817" s="27"/>
      <c r="X817" s="27"/>
      <c r="Y817" s="27"/>
      <c r="Z817" s="46"/>
      <c r="AA817" s="27"/>
      <c r="AB817" s="27"/>
      <c r="AC817" s="27"/>
    </row>
    <row r="818" spans="2:29" x14ac:dyDescent="0.75">
      <c r="B818" s="26"/>
      <c r="C818" s="27"/>
      <c r="D818" s="46"/>
      <c r="E818" s="27"/>
      <c r="F818" s="27"/>
      <c r="G818" s="27"/>
      <c r="H818" s="46"/>
      <c r="I818" s="27"/>
      <c r="J818" s="27"/>
      <c r="K818" s="27"/>
      <c r="L818" s="46"/>
      <c r="M818" s="27"/>
      <c r="N818" s="27"/>
      <c r="O818" s="27"/>
      <c r="P818" s="46"/>
      <c r="Q818" s="27"/>
      <c r="R818" s="27"/>
      <c r="S818" s="27"/>
      <c r="T818" s="27"/>
      <c r="U818" s="27"/>
      <c r="V818" s="46"/>
      <c r="W818" s="27"/>
      <c r="X818" s="27"/>
      <c r="Y818" s="27"/>
      <c r="Z818" s="46"/>
      <c r="AA818" s="27"/>
      <c r="AB818" s="27"/>
      <c r="AC818" s="27"/>
    </row>
    <row r="819" spans="2:29" x14ac:dyDescent="0.75">
      <c r="B819" s="26"/>
      <c r="C819" s="27"/>
      <c r="D819" s="46"/>
      <c r="E819" s="27"/>
      <c r="F819" s="27"/>
      <c r="G819" s="27"/>
      <c r="H819" s="46"/>
      <c r="I819" s="27"/>
      <c r="J819" s="27"/>
      <c r="K819" s="27"/>
      <c r="L819" s="46"/>
      <c r="M819" s="27"/>
      <c r="N819" s="27"/>
      <c r="O819" s="27"/>
      <c r="P819" s="46"/>
      <c r="Q819" s="27"/>
      <c r="R819" s="27"/>
      <c r="S819" s="27"/>
      <c r="T819" s="27"/>
      <c r="U819" s="27"/>
      <c r="V819" s="46"/>
      <c r="W819" s="27"/>
      <c r="X819" s="27"/>
      <c r="Y819" s="27"/>
      <c r="Z819" s="46"/>
      <c r="AA819" s="27"/>
      <c r="AB819" s="27"/>
      <c r="AC819" s="27"/>
    </row>
    <row r="820" spans="2:29" x14ac:dyDescent="0.75">
      <c r="B820" s="26"/>
      <c r="C820" s="27"/>
      <c r="D820" s="46"/>
      <c r="E820" s="27"/>
      <c r="F820" s="27"/>
      <c r="G820" s="27"/>
      <c r="H820" s="46"/>
      <c r="I820" s="27"/>
      <c r="J820" s="27"/>
      <c r="K820" s="27"/>
      <c r="L820" s="46"/>
      <c r="M820" s="27"/>
      <c r="N820" s="27"/>
      <c r="O820" s="27"/>
      <c r="P820" s="46"/>
      <c r="Q820" s="27"/>
      <c r="R820" s="27"/>
      <c r="S820" s="27"/>
      <c r="T820" s="27"/>
      <c r="U820" s="27"/>
      <c r="V820" s="46"/>
      <c r="W820" s="27"/>
      <c r="X820" s="27"/>
      <c r="Y820" s="27"/>
      <c r="Z820" s="46"/>
      <c r="AA820" s="27"/>
      <c r="AB820" s="27"/>
      <c r="AC820" s="27"/>
    </row>
    <row r="821" spans="2:29" x14ac:dyDescent="0.75">
      <c r="B821" s="26"/>
      <c r="C821" s="27"/>
      <c r="D821" s="46"/>
      <c r="E821" s="27"/>
      <c r="F821" s="27"/>
      <c r="G821" s="27"/>
      <c r="H821" s="46"/>
      <c r="I821" s="27"/>
      <c r="J821" s="27"/>
      <c r="K821" s="27"/>
      <c r="L821" s="46"/>
      <c r="M821" s="27"/>
      <c r="N821" s="27"/>
      <c r="O821" s="27"/>
      <c r="P821" s="46"/>
      <c r="Q821" s="27"/>
      <c r="R821" s="27"/>
      <c r="S821" s="27"/>
      <c r="T821" s="27"/>
      <c r="U821" s="27"/>
      <c r="V821" s="46"/>
      <c r="W821" s="27"/>
      <c r="X821" s="27"/>
      <c r="Y821" s="27"/>
      <c r="Z821" s="46"/>
      <c r="AA821" s="27"/>
      <c r="AB821" s="27"/>
      <c r="AC821" s="27"/>
    </row>
    <row r="822" spans="2:29" x14ac:dyDescent="0.75">
      <c r="B822" s="26"/>
      <c r="C822" s="27"/>
      <c r="D822" s="46"/>
      <c r="E822" s="27"/>
      <c r="F822" s="27"/>
      <c r="G822" s="27"/>
      <c r="H822" s="46"/>
      <c r="I822" s="27"/>
      <c r="J822" s="27"/>
      <c r="K822" s="27"/>
      <c r="L822" s="46"/>
      <c r="M822" s="27"/>
      <c r="N822" s="27"/>
      <c r="O822" s="27"/>
      <c r="P822" s="46"/>
      <c r="Q822" s="27"/>
      <c r="R822" s="27"/>
      <c r="S822" s="27"/>
      <c r="T822" s="27"/>
      <c r="U822" s="27"/>
      <c r="V822" s="46"/>
      <c r="W822" s="27"/>
      <c r="X822" s="27"/>
      <c r="Y822" s="27"/>
      <c r="Z822" s="46"/>
      <c r="AA822" s="27"/>
      <c r="AB822" s="27"/>
      <c r="AC822" s="27"/>
    </row>
    <row r="823" spans="2:29" x14ac:dyDescent="0.75">
      <c r="B823" s="26"/>
      <c r="C823" s="27"/>
      <c r="D823" s="46"/>
      <c r="E823" s="27"/>
      <c r="F823" s="27"/>
      <c r="G823" s="27"/>
      <c r="H823" s="46"/>
      <c r="I823" s="27"/>
      <c r="J823" s="27"/>
      <c r="K823" s="27"/>
      <c r="L823" s="46"/>
      <c r="M823" s="27"/>
      <c r="N823" s="27"/>
      <c r="O823" s="27"/>
      <c r="P823" s="46"/>
      <c r="Q823" s="27"/>
      <c r="R823" s="27"/>
      <c r="S823" s="27"/>
      <c r="T823" s="27"/>
      <c r="U823" s="27"/>
      <c r="V823" s="46"/>
      <c r="W823" s="27"/>
      <c r="X823" s="27"/>
      <c r="Y823" s="27"/>
      <c r="Z823" s="46"/>
      <c r="AA823" s="27"/>
      <c r="AB823" s="27"/>
      <c r="AC823" s="27"/>
    </row>
    <row r="824" spans="2:29" x14ac:dyDescent="0.75">
      <c r="B824" s="26"/>
      <c r="C824" s="27"/>
      <c r="D824" s="46"/>
      <c r="E824" s="27"/>
      <c r="F824" s="27"/>
      <c r="G824" s="27"/>
      <c r="H824" s="46"/>
      <c r="I824" s="27"/>
      <c r="J824" s="27"/>
      <c r="K824" s="27"/>
      <c r="L824" s="46"/>
      <c r="M824" s="27"/>
      <c r="N824" s="27"/>
      <c r="O824" s="27"/>
      <c r="P824" s="46"/>
      <c r="Q824" s="27"/>
      <c r="R824" s="27"/>
      <c r="S824" s="27"/>
      <c r="T824" s="27"/>
      <c r="U824" s="27"/>
      <c r="V824" s="46"/>
      <c r="W824" s="27"/>
      <c r="X824" s="27"/>
      <c r="Y824" s="27"/>
      <c r="Z824" s="46"/>
      <c r="AA824" s="27"/>
      <c r="AB824" s="27"/>
      <c r="AC824" s="27"/>
    </row>
    <row r="825" spans="2:29" x14ac:dyDescent="0.75">
      <c r="B825" s="26"/>
      <c r="C825" s="27"/>
      <c r="D825" s="46"/>
      <c r="E825" s="27"/>
      <c r="F825" s="27"/>
      <c r="G825" s="27"/>
      <c r="H825" s="46"/>
      <c r="I825" s="27"/>
      <c r="J825" s="27"/>
      <c r="K825" s="27"/>
      <c r="L825" s="46"/>
      <c r="M825" s="27"/>
      <c r="N825" s="27"/>
      <c r="O825" s="27"/>
      <c r="P825" s="46"/>
      <c r="Q825" s="27"/>
      <c r="R825" s="27"/>
      <c r="S825" s="27"/>
      <c r="T825" s="27"/>
      <c r="U825" s="27"/>
      <c r="V825" s="46"/>
      <c r="W825" s="27"/>
      <c r="X825" s="27"/>
      <c r="Y825" s="27"/>
      <c r="Z825" s="46"/>
      <c r="AA825" s="27"/>
      <c r="AB825" s="27"/>
      <c r="AC825" s="27"/>
    </row>
    <row r="826" spans="2:29" x14ac:dyDescent="0.75">
      <c r="B826" s="26"/>
      <c r="C826" s="27"/>
      <c r="D826" s="46"/>
      <c r="E826" s="27"/>
      <c r="F826" s="27"/>
      <c r="G826" s="27"/>
      <c r="H826" s="46"/>
      <c r="I826" s="27"/>
      <c r="J826" s="27"/>
      <c r="K826" s="27"/>
      <c r="L826" s="46"/>
      <c r="M826" s="27"/>
      <c r="N826" s="27"/>
      <c r="O826" s="27"/>
      <c r="P826" s="46"/>
      <c r="Q826" s="27"/>
      <c r="R826" s="27"/>
      <c r="S826" s="27"/>
      <c r="T826" s="27"/>
      <c r="U826" s="27"/>
      <c r="V826" s="46"/>
      <c r="W826" s="27"/>
      <c r="X826" s="27"/>
      <c r="Y826" s="27"/>
      <c r="Z826" s="46"/>
      <c r="AA826" s="27"/>
      <c r="AB826" s="27"/>
      <c r="AC826" s="27"/>
    </row>
    <row r="827" spans="2:29" x14ac:dyDescent="0.75">
      <c r="B827" s="26"/>
      <c r="C827" s="27"/>
      <c r="D827" s="46"/>
      <c r="E827" s="27"/>
      <c r="F827" s="27"/>
      <c r="G827" s="27"/>
      <c r="H827" s="46"/>
      <c r="I827" s="27"/>
      <c r="J827" s="27"/>
      <c r="K827" s="27"/>
      <c r="L827" s="46"/>
      <c r="M827" s="27"/>
      <c r="N827" s="27"/>
      <c r="O827" s="27"/>
      <c r="P827" s="46"/>
      <c r="Q827" s="27"/>
      <c r="R827" s="27"/>
      <c r="S827" s="27"/>
      <c r="T827" s="27"/>
      <c r="U827" s="27"/>
      <c r="V827" s="46"/>
      <c r="W827" s="27"/>
      <c r="X827" s="27"/>
      <c r="Y827" s="27"/>
      <c r="Z827" s="46"/>
      <c r="AA827" s="27"/>
      <c r="AB827" s="27"/>
      <c r="AC827" s="27"/>
    </row>
    <row r="828" spans="2:29" x14ac:dyDescent="0.75">
      <c r="B828" s="26"/>
      <c r="C828" s="27"/>
      <c r="D828" s="46"/>
      <c r="E828" s="27"/>
      <c r="F828" s="27"/>
      <c r="G828" s="27"/>
      <c r="H828" s="46"/>
      <c r="I828" s="27"/>
      <c r="J828" s="27"/>
      <c r="K828" s="27"/>
      <c r="L828" s="46"/>
      <c r="M828" s="27"/>
      <c r="N828" s="27"/>
      <c r="O828" s="27"/>
      <c r="P828" s="46"/>
      <c r="Q828" s="27"/>
      <c r="R828" s="27"/>
      <c r="S828" s="27"/>
      <c r="T828" s="27"/>
      <c r="U828" s="27"/>
      <c r="V828" s="46"/>
      <c r="W828" s="27"/>
      <c r="X828" s="27"/>
      <c r="Y828" s="27"/>
      <c r="Z828" s="46"/>
      <c r="AA828" s="27"/>
      <c r="AB828" s="27"/>
      <c r="AC828" s="27"/>
    </row>
    <row r="829" spans="2:29" x14ac:dyDescent="0.75">
      <c r="B829" s="26"/>
      <c r="C829" s="27"/>
      <c r="D829" s="46"/>
      <c r="E829" s="27"/>
      <c r="F829" s="27"/>
      <c r="G829" s="27"/>
      <c r="H829" s="46"/>
      <c r="I829" s="27"/>
      <c r="J829" s="27"/>
      <c r="K829" s="27"/>
      <c r="L829" s="46"/>
      <c r="M829" s="27"/>
      <c r="N829" s="27"/>
      <c r="O829" s="27"/>
      <c r="P829" s="46"/>
      <c r="Q829" s="27"/>
      <c r="R829" s="27"/>
      <c r="S829" s="27"/>
      <c r="T829" s="27"/>
      <c r="U829" s="27"/>
      <c r="V829" s="46"/>
      <c r="W829" s="27"/>
      <c r="X829" s="27"/>
      <c r="Y829" s="27"/>
      <c r="Z829" s="46"/>
      <c r="AA829" s="27"/>
      <c r="AB829" s="27"/>
      <c r="AC829" s="27"/>
    </row>
    <row r="830" spans="2:29" x14ac:dyDescent="0.75">
      <c r="B830" s="26"/>
      <c r="C830" s="27"/>
      <c r="D830" s="46"/>
      <c r="E830" s="27"/>
      <c r="F830" s="27"/>
      <c r="G830" s="27"/>
      <c r="H830" s="46"/>
      <c r="I830" s="27"/>
      <c r="J830" s="27"/>
      <c r="K830" s="27"/>
      <c r="L830" s="46"/>
      <c r="M830" s="27"/>
      <c r="N830" s="27"/>
      <c r="O830" s="27"/>
      <c r="P830" s="46"/>
      <c r="Q830" s="27"/>
      <c r="R830" s="27"/>
      <c r="S830" s="27"/>
      <c r="T830" s="27"/>
      <c r="U830" s="27"/>
      <c r="V830" s="46"/>
      <c r="W830" s="27"/>
      <c r="X830" s="27"/>
      <c r="Y830" s="27"/>
      <c r="Z830" s="46"/>
      <c r="AA830" s="27"/>
      <c r="AB830" s="27"/>
      <c r="AC830" s="27"/>
    </row>
    <row r="831" spans="2:29" x14ac:dyDescent="0.75">
      <c r="B831" s="26"/>
      <c r="C831" s="27"/>
      <c r="D831" s="46"/>
      <c r="E831" s="27"/>
      <c r="F831" s="27"/>
      <c r="G831" s="27"/>
      <c r="H831" s="46"/>
      <c r="I831" s="27"/>
      <c r="J831" s="27"/>
      <c r="K831" s="27"/>
      <c r="L831" s="46"/>
      <c r="M831" s="27"/>
      <c r="N831" s="27"/>
      <c r="O831" s="27"/>
      <c r="P831" s="46"/>
      <c r="Q831" s="27"/>
      <c r="R831" s="27"/>
      <c r="S831" s="27"/>
      <c r="T831" s="27"/>
      <c r="U831" s="27"/>
      <c r="V831" s="46"/>
      <c r="W831" s="27"/>
      <c r="X831" s="27"/>
      <c r="Y831" s="27"/>
      <c r="Z831" s="46"/>
      <c r="AA831" s="27"/>
      <c r="AB831" s="27"/>
      <c r="AC831" s="27"/>
    </row>
    <row r="832" spans="2:29" x14ac:dyDescent="0.75">
      <c r="B832" s="26"/>
      <c r="C832" s="27"/>
      <c r="D832" s="46"/>
      <c r="E832" s="27"/>
      <c r="F832" s="27"/>
      <c r="G832" s="27"/>
      <c r="H832" s="46"/>
      <c r="I832" s="27"/>
      <c r="J832" s="27"/>
      <c r="K832" s="27"/>
      <c r="L832" s="46"/>
      <c r="M832" s="27"/>
      <c r="N832" s="27"/>
      <c r="O832" s="27"/>
      <c r="P832" s="46"/>
      <c r="Q832" s="27"/>
      <c r="R832" s="27"/>
      <c r="S832" s="27"/>
      <c r="T832" s="27"/>
      <c r="U832" s="27"/>
      <c r="V832" s="46"/>
      <c r="W832" s="27"/>
      <c r="X832" s="27"/>
      <c r="Y832" s="27"/>
      <c r="Z832" s="46"/>
      <c r="AA832" s="27"/>
      <c r="AB832" s="27"/>
      <c r="AC832" s="27"/>
    </row>
    <row r="833" spans="2:29" x14ac:dyDescent="0.75">
      <c r="B833" s="26"/>
      <c r="C833" s="27"/>
      <c r="D833" s="46"/>
      <c r="E833" s="27"/>
      <c r="F833" s="27"/>
      <c r="G833" s="27"/>
      <c r="H833" s="46"/>
      <c r="I833" s="27"/>
      <c r="J833" s="27"/>
      <c r="K833" s="27"/>
      <c r="L833" s="46"/>
      <c r="M833" s="27"/>
      <c r="N833" s="27"/>
      <c r="O833" s="27"/>
      <c r="P833" s="46"/>
      <c r="Q833" s="27"/>
      <c r="R833" s="27"/>
      <c r="S833" s="27"/>
      <c r="T833" s="27"/>
      <c r="U833" s="27"/>
      <c r="V833" s="46"/>
      <c r="W833" s="27"/>
      <c r="X833" s="27"/>
      <c r="Y833" s="27"/>
      <c r="Z833" s="46"/>
      <c r="AA833" s="27"/>
      <c r="AB833" s="27"/>
      <c r="AC833" s="27"/>
    </row>
    <row r="834" spans="2:29" x14ac:dyDescent="0.75">
      <c r="B834" s="26"/>
      <c r="C834" s="27"/>
      <c r="D834" s="46"/>
      <c r="E834" s="27"/>
      <c r="F834" s="27"/>
      <c r="G834" s="27"/>
      <c r="H834" s="46"/>
      <c r="I834" s="27"/>
      <c r="J834" s="27"/>
      <c r="K834" s="27"/>
      <c r="L834" s="46"/>
      <c r="M834" s="27"/>
      <c r="N834" s="27"/>
      <c r="O834" s="27"/>
      <c r="P834" s="46"/>
      <c r="Q834" s="27"/>
      <c r="R834" s="27"/>
      <c r="S834" s="27"/>
      <c r="T834" s="27"/>
      <c r="U834" s="27"/>
      <c r="V834" s="46"/>
      <c r="W834" s="27"/>
      <c r="X834" s="27"/>
      <c r="Y834" s="27"/>
      <c r="Z834" s="46"/>
      <c r="AA834" s="27"/>
      <c r="AB834" s="27"/>
      <c r="AC834" s="27"/>
    </row>
    <row r="835" spans="2:29" x14ac:dyDescent="0.75">
      <c r="B835" s="26"/>
      <c r="C835" s="27"/>
      <c r="D835" s="46"/>
      <c r="E835" s="27"/>
      <c r="F835" s="27"/>
      <c r="G835" s="27"/>
      <c r="H835" s="46"/>
      <c r="I835" s="27"/>
      <c r="J835" s="27"/>
      <c r="K835" s="27"/>
      <c r="L835" s="46"/>
      <c r="M835" s="27"/>
      <c r="N835" s="27"/>
      <c r="O835" s="27"/>
      <c r="P835" s="46"/>
      <c r="Q835" s="27"/>
      <c r="R835" s="27"/>
      <c r="S835" s="27"/>
      <c r="T835" s="27"/>
      <c r="U835" s="27"/>
      <c r="V835" s="46"/>
      <c r="W835" s="27"/>
      <c r="X835" s="27"/>
      <c r="Y835" s="27"/>
      <c r="Z835" s="46"/>
      <c r="AA835" s="27"/>
      <c r="AB835" s="27"/>
      <c r="AC835" s="27"/>
    </row>
    <row r="836" spans="2:29" x14ac:dyDescent="0.75">
      <c r="B836" s="26"/>
      <c r="C836" s="27"/>
      <c r="D836" s="46"/>
      <c r="E836" s="27"/>
      <c r="F836" s="27"/>
      <c r="G836" s="27"/>
      <c r="H836" s="46"/>
      <c r="I836" s="27"/>
      <c r="J836" s="27"/>
      <c r="K836" s="27"/>
      <c r="L836" s="46"/>
      <c r="M836" s="27"/>
      <c r="N836" s="27"/>
      <c r="O836" s="27"/>
      <c r="P836" s="46"/>
      <c r="Q836" s="27"/>
      <c r="R836" s="27"/>
      <c r="S836" s="27"/>
      <c r="T836" s="27"/>
      <c r="U836" s="27"/>
      <c r="V836" s="46"/>
      <c r="W836" s="27"/>
      <c r="X836" s="27"/>
      <c r="Y836" s="27"/>
      <c r="Z836" s="46"/>
      <c r="AA836" s="27"/>
      <c r="AB836" s="27"/>
      <c r="AC836" s="27"/>
    </row>
    <row r="837" spans="2:29" x14ac:dyDescent="0.75">
      <c r="B837" s="26"/>
      <c r="C837" s="27"/>
      <c r="D837" s="46"/>
      <c r="E837" s="27"/>
      <c r="F837" s="27"/>
      <c r="G837" s="27"/>
      <c r="H837" s="46"/>
      <c r="I837" s="27"/>
      <c r="J837" s="27"/>
      <c r="K837" s="27"/>
      <c r="L837" s="46"/>
      <c r="M837" s="27"/>
      <c r="N837" s="27"/>
      <c r="O837" s="27"/>
      <c r="P837" s="46"/>
      <c r="Q837" s="27"/>
      <c r="R837" s="27"/>
      <c r="S837" s="27"/>
      <c r="T837" s="27"/>
      <c r="U837" s="27"/>
      <c r="V837" s="46"/>
      <c r="W837" s="27"/>
      <c r="X837" s="27"/>
      <c r="Y837" s="27"/>
      <c r="Z837" s="46"/>
      <c r="AA837" s="27"/>
      <c r="AB837" s="27"/>
      <c r="AC837" s="27"/>
    </row>
    <row r="838" spans="2:29" x14ac:dyDescent="0.75">
      <c r="B838" s="26"/>
      <c r="C838" s="27"/>
      <c r="D838" s="46"/>
      <c r="E838" s="27"/>
      <c r="F838" s="27"/>
      <c r="G838" s="27"/>
      <c r="H838" s="46"/>
      <c r="I838" s="27"/>
      <c r="J838" s="27"/>
      <c r="K838" s="27"/>
      <c r="L838" s="46"/>
      <c r="M838" s="27"/>
      <c r="N838" s="27"/>
      <c r="O838" s="27"/>
      <c r="P838" s="46"/>
      <c r="Q838" s="27"/>
      <c r="R838" s="27"/>
      <c r="S838" s="27"/>
      <c r="T838" s="27"/>
      <c r="U838" s="27"/>
      <c r="V838" s="46"/>
      <c r="W838" s="27"/>
      <c r="X838" s="27"/>
      <c r="Y838" s="27"/>
      <c r="Z838" s="46"/>
      <c r="AA838" s="27"/>
      <c r="AB838" s="27"/>
      <c r="AC838" s="27"/>
    </row>
    <row r="839" spans="2:29" x14ac:dyDescent="0.75">
      <c r="B839" s="26"/>
      <c r="C839" s="27"/>
      <c r="D839" s="46"/>
      <c r="E839" s="27"/>
      <c r="F839" s="27"/>
      <c r="G839" s="27"/>
      <c r="H839" s="46"/>
      <c r="I839" s="27"/>
      <c r="J839" s="27"/>
      <c r="K839" s="27"/>
      <c r="L839" s="46"/>
      <c r="M839" s="27"/>
      <c r="N839" s="27"/>
      <c r="O839" s="27"/>
      <c r="P839" s="46"/>
      <c r="Q839" s="27"/>
      <c r="R839" s="27"/>
      <c r="S839" s="27"/>
      <c r="T839" s="27"/>
      <c r="U839" s="27"/>
      <c r="V839" s="46"/>
      <c r="W839" s="27"/>
      <c r="X839" s="27"/>
      <c r="Y839" s="27"/>
      <c r="Z839" s="46"/>
      <c r="AA839" s="27"/>
      <c r="AB839" s="27"/>
      <c r="AC839" s="27"/>
    </row>
    <row r="840" spans="2:29" x14ac:dyDescent="0.75">
      <c r="B840" s="26"/>
      <c r="C840" s="27"/>
      <c r="D840" s="46"/>
      <c r="E840" s="27"/>
      <c r="F840" s="27"/>
      <c r="G840" s="27"/>
      <c r="H840" s="46"/>
      <c r="I840" s="27"/>
      <c r="J840" s="27"/>
      <c r="K840" s="27"/>
      <c r="L840" s="46"/>
      <c r="M840" s="27"/>
      <c r="N840" s="27"/>
      <c r="O840" s="27"/>
      <c r="P840" s="46"/>
      <c r="Q840" s="27"/>
      <c r="R840" s="27"/>
      <c r="S840" s="27"/>
      <c r="T840" s="27"/>
      <c r="U840" s="27"/>
      <c r="V840" s="46"/>
      <c r="W840" s="27"/>
      <c r="X840" s="27"/>
      <c r="Y840" s="27"/>
      <c r="Z840" s="46"/>
      <c r="AA840" s="27"/>
      <c r="AB840" s="27"/>
      <c r="AC840" s="27"/>
    </row>
    <row r="841" spans="2:29" x14ac:dyDescent="0.75">
      <c r="B841" s="26"/>
      <c r="C841" s="27"/>
      <c r="D841" s="46"/>
      <c r="E841" s="27"/>
      <c r="F841" s="27"/>
      <c r="G841" s="27"/>
      <c r="H841" s="46"/>
      <c r="I841" s="27"/>
      <c r="J841" s="27"/>
      <c r="K841" s="27"/>
      <c r="L841" s="46"/>
      <c r="M841" s="27"/>
      <c r="N841" s="27"/>
      <c r="O841" s="27"/>
      <c r="P841" s="46"/>
      <c r="Q841" s="27"/>
      <c r="R841" s="27"/>
      <c r="S841" s="27"/>
      <c r="T841" s="27"/>
      <c r="U841" s="27"/>
      <c r="V841" s="46"/>
      <c r="W841" s="27"/>
      <c r="X841" s="27"/>
      <c r="Y841" s="27"/>
      <c r="Z841" s="46"/>
      <c r="AA841" s="27"/>
      <c r="AB841" s="27"/>
      <c r="AC841" s="27"/>
    </row>
    <row r="842" spans="2:29" x14ac:dyDescent="0.75">
      <c r="B842" s="26"/>
      <c r="C842" s="27"/>
      <c r="D842" s="46"/>
      <c r="E842" s="27"/>
      <c r="F842" s="27"/>
      <c r="G842" s="27"/>
      <c r="H842" s="46"/>
      <c r="I842" s="27"/>
      <c r="J842" s="27"/>
      <c r="K842" s="27"/>
      <c r="L842" s="46"/>
      <c r="M842" s="27"/>
      <c r="N842" s="27"/>
      <c r="O842" s="27"/>
      <c r="P842" s="46"/>
      <c r="Q842" s="27"/>
      <c r="R842" s="27"/>
      <c r="S842" s="27"/>
      <c r="T842" s="27"/>
      <c r="U842" s="27"/>
      <c r="V842" s="46"/>
      <c r="W842" s="27"/>
      <c r="X842" s="27"/>
      <c r="Y842" s="27"/>
      <c r="Z842" s="46"/>
      <c r="AA842" s="27"/>
      <c r="AB842" s="27"/>
      <c r="AC842" s="27"/>
    </row>
    <row r="843" spans="2:29" x14ac:dyDescent="0.75">
      <c r="B843" s="26"/>
      <c r="C843" s="27"/>
      <c r="D843" s="46"/>
      <c r="E843" s="27"/>
      <c r="F843" s="27"/>
      <c r="G843" s="27"/>
      <c r="H843" s="46"/>
      <c r="I843" s="27"/>
      <c r="J843" s="27"/>
      <c r="K843" s="27"/>
      <c r="L843" s="46"/>
      <c r="M843" s="27"/>
      <c r="N843" s="27"/>
      <c r="O843" s="27"/>
      <c r="P843" s="46"/>
      <c r="Q843" s="27"/>
      <c r="R843" s="27"/>
      <c r="S843" s="27"/>
      <c r="T843" s="27"/>
      <c r="U843" s="27"/>
      <c r="V843" s="46"/>
      <c r="W843" s="27"/>
      <c r="X843" s="27"/>
      <c r="Y843" s="27"/>
      <c r="Z843" s="46"/>
      <c r="AA843" s="27"/>
      <c r="AB843" s="27"/>
      <c r="AC843" s="27"/>
    </row>
    <row r="844" spans="2:29" x14ac:dyDescent="0.75">
      <c r="B844" s="26"/>
      <c r="C844" s="27"/>
      <c r="D844" s="46"/>
      <c r="E844" s="27"/>
      <c r="F844" s="27"/>
      <c r="G844" s="27"/>
      <c r="H844" s="46"/>
      <c r="I844" s="27"/>
      <c r="J844" s="27"/>
      <c r="K844" s="27"/>
      <c r="L844" s="46"/>
      <c r="M844" s="27"/>
      <c r="N844" s="27"/>
      <c r="O844" s="27"/>
      <c r="P844" s="46"/>
      <c r="Q844" s="27"/>
      <c r="R844" s="27"/>
      <c r="S844" s="27"/>
      <c r="T844" s="27"/>
      <c r="U844" s="27"/>
      <c r="V844" s="46"/>
      <c r="W844" s="27"/>
      <c r="X844" s="27"/>
      <c r="Y844" s="27"/>
      <c r="Z844" s="46"/>
      <c r="AA844" s="27"/>
      <c r="AB844" s="27"/>
      <c r="AC844" s="27"/>
    </row>
    <row r="845" spans="2:29" x14ac:dyDescent="0.75">
      <c r="B845" s="26"/>
      <c r="C845" s="27"/>
      <c r="D845" s="46"/>
      <c r="E845" s="27"/>
      <c r="F845" s="27"/>
      <c r="G845" s="27"/>
      <c r="H845" s="46"/>
      <c r="I845" s="27"/>
      <c r="J845" s="27"/>
      <c r="K845" s="27"/>
      <c r="L845" s="46"/>
      <c r="M845" s="27"/>
      <c r="N845" s="27"/>
      <c r="O845" s="27"/>
      <c r="P845" s="46"/>
      <c r="Q845" s="27"/>
      <c r="R845" s="27"/>
      <c r="S845" s="27"/>
      <c r="T845" s="27"/>
      <c r="U845" s="27"/>
      <c r="V845" s="46"/>
      <c r="W845" s="27"/>
      <c r="X845" s="27"/>
      <c r="Y845" s="27"/>
      <c r="Z845" s="46"/>
      <c r="AA845" s="27"/>
      <c r="AB845" s="27"/>
      <c r="AC845" s="27"/>
    </row>
    <row r="846" spans="2:29" x14ac:dyDescent="0.75">
      <c r="B846" s="26"/>
      <c r="C846" s="27"/>
      <c r="D846" s="46"/>
      <c r="E846" s="27"/>
      <c r="F846" s="27"/>
      <c r="G846" s="27"/>
      <c r="H846" s="46"/>
      <c r="I846" s="27"/>
      <c r="J846" s="27"/>
      <c r="K846" s="27"/>
      <c r="L846" s="46"/>
      <c r="M846" s="27"/>
      <c r="N846" s="27"/>
      <c r="O846" s="27"/>
      <c r="P846" s="46"/>
      <c r="Q846" s="27"/>
      <c r="R846" s="27"/>
      <c r="S846" s="27"/>
      <c r="T846" s="27"/>
      <c r="U846" s="27"/>
      <c r="V846" s="46"/>
      <c r="W846" s="27"/>
      <c r="X846" s="27"/>
      <c r="Y846" s="27"/>
      <c r="Z846" s="46"/>
      <c r="AA846" s="27"/>
      <c r="AB846" s="27"/>
      <c r="AC846" s="27"/>
    </row>
    <row r="847" spans="2:29" x14ac:dyDescent="0.75">
      <c r="B847" s="26"/>
      <c r="C847" s="27"/>
      <c r="D847" s="46"/>
      <c r="E847" s="27"/>
      <c r="F847" s="27"/>
      <c r="G847" s="27"/>
      <c r="H847" s="46"/>
      <c r="I847" s="27"/>
      <c r="J847" s="27"/>
      <c r="K847" s="27"/>
      <c r="L847" s="46"/>
      <c r="M847" s="27"/>
      <c r="N847" s="27"/>
      <c r="O847" s="27"/>
      <c r="P847" s="46"/>
      <c r="Q847" s="27"/>
      <c r="R847" s="27"/>
      <c r="S847" s="27"/>
      <c r="T847" s="27"/>
      <c r="U847" s="27"/>
      <c r="V847" s="46"/>
      <c r="W847" s="27"/>
      <c r="X847" s="27"/>
      <c r="Y847" s="27"/>
      <c r="Z847" s="46"/>
      <c r="AA847" s="27"/>
      <c r="AB847" s="27"/>
      <c r="AC847" s="27"/>
    </row>
    <row r="848" spans="2:29" x14ac:dyDescent="0.75">
      <c r="B848" s="26"/>
      <c r="C848" s="27"/>
      <c r="D848" s="46"/>
      <c r="E848" s="27"/>
      <c r="F848" s="27"/>
      <c r="G848" s="27"/>
      <c r="H848" s="46"/>
      <c r="I848" s="27"/>
      <c r="J848" s="27"/>
      <c r="K848" s="27"/>
      <c r="L848" s="46"/>
      <c r="M848" s="27"/>
      <c r="N848" s="27"/>
      <c r="O848" s="27"/>
      <c r="P848" s="46"/>
      <c r="Q848" s="27"/>
      <c r="R848" s="27"/>
      <c r="S848" s="27"/>
      <c r="T848" s="27"/>
      <c r="U848" s="27"/>
      <c r="V848" s="46"/>
      <c r="W848" s="27"/>
      <c r="X848" s="27"/>
      <c r="Y848" s="27"/>
      <c r="Z848" s="46"/>
      <c r="AA848" s="27"/>
      <c r="AB848" s="27"/>
      <c r="AC848" s="27"/>
    </row>
    <row r="849" spans="2:29" x14ac:dyDescent="0.75">
      <c r="B849" s="26"/>
      <c r="C849" s="27"/>
      <c r="D849" s="46"/>
      <c r="E849" s="27"/>
      <c r="F849" s="27"/>
      <c r="G849" s="27"/>
      <c r="H849" s="46"/>
      <c r="I849" s="27"/>
      <c r="J849" s="27"/>
      <c r="K849" s="27"/>
      <c r="L849" s="46"/>
      <c r="M849" s="27"/>
      <c r="N849" s="27"/>
      <c r="O849" s="27"/>
      <c r="P849" s="46"/>
      <c r="Q849" s="27"/>
      <c r="R849" s="27"/>
      <c r="S849" s="27"/>
      <c r="T849" s="27"/>
      <c r="U849" s="27"/>
      <c r="V849" s="46"/>
      <c r="W849" s="27"/>
      <c r="X849" s="27"/>
      <c r="Y849" s="27"/>
      <c r="Z849" s="46"/>
      <c r="AA849" s="27"/>
      <c r="AB849" s="27"/>
      <c r="AC849" s="27"/>
    </row>
    <row r="850" spans="2:29" x14ac:dyDescent="0.75">
      <c r="B850" s="26"/>
      <c r="C850" s="27"/>
      <c r="D850" s="46"/>
      <c r="E850" s="27"/>
      <c r="F850" s="27"/>
      <c r="G850" s="27"/>
      <c r="H850" s="46"/>
      <c r="I850" s="27"/>
      <c r="J850" s="27"/>
      <c r="K850" s="27"/>
      <c r="L850" s="46"/>
      <c r="M850" s="27"/>
      <c r="N850" s="27"/>
      <c r="O850" s="27"/>
      <c r="P850" s="46"/>
      <c r="Q850" s="27"/>
      <c r="R850" s="27"/>
      <c r="S850" s="27"/>
      <c r="T850" s="27"/>
      <c r="U850" s="27"/>
      <c r="V850" s="46"/>
      <c r="W850" s="27"/>
      <c r="X850" s="27"/>
      <c r="Y850" s="27"/>
      <c r="Z850" s="46"/>
      <c r="AA850" s="27"/>
      <c r="AB850" s="27"/>
      <c r="AC850" s="27"/>
    </row>
    <row r="851" spans="2:29" x14ac:dyDescent="0.75">
      <c r="B851" s="26"/>
      <c r="C851" s="27"/>
      <c r="D851" s="46"/>
      <c r="E851" s="27"/>
      <c r="F851" s="27"/>
      <c r="G851" s="27"/>
      <c r="H851" s="46"/>
      <c r="I851" s="27"/>
      <c r="J851" s="27"/>
      <c r="K851" s="27"/>
      <c r="L851" s="46"/>
      <c r="M851" s="27"/>
      <c r="N851" s="27"/>
      <c r="O851" s="27"/>
      <c r="P851" s="46"/>
      <c r="Q851" s="27"/>
      <c r="R851" s="27"/>
      <c r="S851" s="27"/>
      <c r="T851" s="27"/>
      <c r="U851" s="27"/>
      <c r="V851" s="46"/>
      <c r="W851" s="27"/>
      <c r="X851" s="27"/>
      <c r="Y851" s="27"/>
      <c r="Z851" s="46"/>
      <c r="AA851" s="27"/>
      <c r="AB851" s="27"/>
      <c r="AC851" s="27"/>
    </row>
    <row r="852" spans="2:29" x14ac:dyDescent="0.75">
      <c r="B852" s="26"/>
      <c r="C852" s="27"/>
      <c r="D852" s="46"/>
      <c r="E852" s="27"/>
      <c r="F852" s="27"/>
      <c r="G852" s="27"/>
      <c r="H852" s="46"/>
      <c r="I852" s="27"/>
      <c r="J852" s="27"/>
      <c r="K852" s="27"/>
      <c r="L852" s="46"/>
      <c r="M852" s="27"/>
      <c r="N852" s="27"/>
      <c r="O852" s="27"/>
      <c r="P852" s="46"/>
      <c r="Q852" s="27"/>
      <c r="R852" s="27"/>
      <c r="S852" s="27"/>
      <c r="T852" s="27"/>
      <c r="U852" s="27"/>
      <c r="V852" s="46"/>
      <c r="W852" s="27"/>
      <c r="X852" s="27"/>
      <c r="Y852" s="27"/>
      <c r="Z852" s="46"/>
      <c r="AA852" s="27"/>
      <c r="AB852" s="27"/>
      <c r="AC852" s="27"/>
    </row>
    <row r="853" spans="2:29" x14ac:dyDescent="0.75">
      <c r="B853" s="26"/>
      <c r="C853" s="27"/>
      <c r="D853" s="46"/>
      <c r="E853" s="27"/>
      <c r="F853" s="27"/>
      <c r="G853" s="27"/>
      <c r="H853" s="46"/>
      <c r="I853" s="27"/>
      <c r="J853" s="27"/>
      <c r="K853" s="27"/>
      <c r="L853" s="46"/>
      <c r="M853" s="27"/>
      <c r="N853" s="27"/>
      <c r="O853" s="27"/>
      <c r="P853" s="46"/>
      <c r="Q853" s="27"/>
      <c r="R853" s="27"/>
      <c r="S853" s="27"/>
      <c r="T853" s="27"/>
      <c r="U853" s="27"/>
      <c r="V853" s="46"/>
      <c r="W853" s="27"/>
      <c r="X853" s="27"/>
      <c r="Y853" s="27"/>
      <c r="Z853" s="46"/>
      <c r="AA853" s="27"/>
      <c r="AB853" s="27"/>
      <c r="AC853" s="27"/>
    </row>
    <row r="854" spans="2:29" x14ac:dyDescent="0.75">
      <c r="B854" s="26"/>
      <c r="C854" s="27"/>
      <c r="D854" s="46"/>
      <c r="E854" s="27"/>
      <c r="F854" s="27"/>
      <c r="G854" s="27"/>
      <c r="H854" s="46"/>
      <c r="I854" s="27"/>
      <c r="J854" s="27"/>
      <c r="K854" s="27"/>
      <c r="L854" s="46"/>
      <c r="M854" s="27"/>
      <c r="N854" s="27"/>
      <c r="O854" s="27"/>
      <c r="P854" s="46"/>
      <c r="Q854" s="27"/>
      <c r="R854" s="27"/>
      <c r="S854" s="27"/>
      <c r="T854" s="27"/>
      <c r="U854" s="27"/>
      <c r="V854" s="46"/>
      <c r="W854" s="27"/>
      <c r="X854" s="27"/>
      <c r="Y854" s="27"/>
      <c r="Z854" s="46"/>
      <c r="AA854" s="27"/>
      <c r="AB854" s="27"/>
      <c r="AC854" s="27"/>
    </row>
    <row r="855" spans="2:29" x14ac:dyDescent="0.75">
      <c r="B855" s="26"/>
      <c r="C855" s="27"/>
      <c r="D855" s="46"/>
      <c r="E855" s="27"/>
      <c r="F855" s="27"/>
      <c r="G855" s="27"/>
      <c r="H855" s="46"/>
      <c r="I855" s="27"/>
      <c r="J855" s="27"/>
      <c r="K855" s="27"/>
      <c r="L855" s="46"/>
      <c r="M855" s="27"/>
      <c r="N855" s="27"/>
      <c r="O855" s="27"/>
      <c r="P855" s="46"/>
      <c r="Q855" s="27"/>
      <c r="R855" s="27"/>
      <c r="S855" s="27"/>
      <c r="T855" s="27"/>
      <c r="U855" s="27"/>
      <c r="V855" s="46"/>
      <c r="W855" s="27"/>
      <c r="X855" s="27"/>
      <c r="Y855" s="27"/>
      <c r="Z855" s="46"/>
      <c r="AA855" s="27"/>
      <c r="AB855" s="27"/>
      <c r="AC855" s="27"/>
    </row>
    <row r="856" spans="2:29" x14ac:dyDescent="0.75">
      <c r="B856" s="26"/>
      <c r="C856" s="27"/>
      <c r="D856" s="46"/>
      <c r="E856" s="27"/>
      <c r="F856" s="27"/>
      <c r="G856" s="27"/>
      <c r="H856" s="46"/>
      <c r="I856" s="27"/>
      <c r="J856" s="27"/>
      <c r="K856" s="27"/>
      <c r="L856" s="46"/>
      <c r="M856" s="27"/>
      <c r="N856" s="27"/>
      <c r="O856" s="27"/>
      <c r="P856" s="46"/>
      <c r="Q856" s="27"/>
      <c r="R856" s="27"/>
      <c r="S856" s="27"/>
      <c r="T856" s="27"/>
      <c r="U856" s="27"/>
      <c r="V856" s="46"/>
      <c r="W856" s="27"/>
      <c r="X856" s="27"/>
      <c r="Y856" s="27"/>
      <c r="Z856" s="46"/>
      <c r="AA856" s="27"/>
      <c r="AB856" s="27"/>
      <c r="AC856" s="27"/>
    </row>
    <row r="857" spans="2:29" x14ac:dyDescent="0.75">
      <c r="B857" s="26"/>
      <c r="C857" s="27"/>
      <c r="D857" s="46"/>
      <c r="E857" s="27"/>
      <c r="F857" s="27"/>
      <c r="G857" s="27"/>
      <c r="H857" s="46"/>
      <c r="I857" s="27"/>
      <c r="J857" s="27"/>
      <c r="K857" s="27"/>
      <c r="L857" s="46"/>
      <c r="M857" s="27"/>
      <c r="N857" s="27"/>
      <c r="O857" s="27"/>
      <c r="P857" s="46"/>
      <c r="Q857" s="27"/>
      <c r="R857" s="27"/>
      <c r="S857" s="27"/>
      <c r="T857" s="27"/>
      <c r="U857" s="27"/>
      <c r="V857" s="46"/>
      <c r="W857" s="27"/>
      <c r="X857" s="27"/>
      <c r="Y857" s="27"/>
      <c r="Z857" s="46"/>
      <c r="AA857" s="27"/>
      <c r="AB857" s="27"/>
      <c r="AC857" s="27"/>
    </row>
    <row r="858" spans="2:29" x14ac:dyDescent="0.75">
      <c r="B858" s="26"/>
      <c r="C858" s="27"/>
      <c r="D858" s="46"/>
      <c r="E858" s="27"/>
      <c r="F858" s="27"/>
      <c r="G858" s="27"/>
      <c r="H858" s="46"/>
      <c r="I858" s="27"/>
      <c r="J858" s="27"/>
      <c r="K858" s="27"/>
      <c r="L858" s="46"/>
      <c r="M858" s="27"/>
      <c r="N858" s="27"/>
      <c r="O858" s="27"/>
      <c r="P858" s="46"/>
      <c r="Q858" s="27"/>
      <c r="R858" s="27"/>
      <c r="S858" s="27"/>
      <c r="T858" s="27"/>
      <c r="U858" s="27"/>
      <c r="V858" s="46"/>
      <c r="W858" s="27"/>
      <c r="X858" s="27"/>
      <c r="Y858" s="27"/>
      <c r="Z858" s="46"/>
      <c r="AA858" s="27"/>
      <c r="AB858" s="27"/>
      <c r="AC858" s="27"/>
    </row>
    <row r="859" spans="2:29" x14ac:dyDescent="0.75">
      <c r="B859" s="26"/>
      <c r="C859" s="27"/>
      <c r="D859" s="46"/>
      <c r="E859" s="27"/>
      <c r="F859" s="27"/>
      <c r="G859" s="27"/>
      <c r="H859" s="46"/>
      <c r="I859" s="27"/>
      <c r="J859" s="27"/>
      <c r="K859" s="27"/>
      <c r="L859" s="46"/>
      <c r="M859" s="27"/>
      <c r="N859" s="27"/>
      <c r="O859" s="27"/>
      <c r="P859" s="46"/>
      <c r="Q859" s="27"/>
      <c r="R859" s="27"/>
      <c r="S859" s="27"/>
      <c r="T859" s="27"/>
      <c r="U859" s="27"/>
      <c r="V859" s="46"/>
      <c r="W859" s="27"/>
      <c r="X859" s="27"/>
      <c r="Y859" s="27"/>
      <c r="Z859" s="46"/>
      <c r="AA859" s="27"/>
      <c r="AB859" s="27"/>
      <c r="AC859" s="27"/>
    </row>
    <row r="860" spans="2:29" x14ac:dyDescent="0.75">
      <c r="B860" s="26"/>
      <c r="C860" s="27"/>
      <c r="D860" s="46"/>
      <c r="E860" s="27"/>
      <c r="F860" s="27"/>
      <c r="G860" s="27"/>
      <c r="H860" s="46"/>
      <c r="I860" s="27"/>
      <c r="J860" s="27"/>
      <c r="K860" s="27"/>
      <c r="L860" s="46"/>
      <c r="M860" s="27"/>
      <c r="N860" s="27"/>
      <c r="O860" s="27"/>
      <c r="P860" s="46"/>
      <c r="Q860" s="27"/>
      <c r="R860" s="27"/>
      <c r="S860" s="27"/>
      <c r="T860" s="27"/>
      <c r="U860" s="27"/>
      <c r="V860" s="46"/>
      <c r="W860" s="27"/>
      <c r="X860" s="27"/>
      <c r="Y860" s="27"/>
      <c r="Z860" s="46"/>
      <c r="AA860" s="27"/>
      <c r="AB860" s="27"/>
      <c r="AC860" s="27"/>
    </row>
    <row r="861" spans="2:29" x14ac:dyDescent="0.75">
      <c r="B861" s="26"/>
      <c r="C861" s="27"/>
      <c r="D861" s="46"/>
      <c r="E861" s="27"/>
      <c r="F861" s="27"/>
      <c r="G861" s="27"/>
      <c r="H861" s="46"/>
      <c r="I861" s="27"/>
      <c r="J861" s="27"/>
      <c r="K861" s="27"/>
      <c r="L861" s="46"/>
      <c r="M861" s="27"/>
      <c r="N861" s="27"/>
      <c r="O861" s="27"/>
      <c r="P861" s="46"/>
      <c r="Q861" s="27"/>
      <c r="R861" s="27"/>
      <c r="S861" s="27"/>
      <c r="T861" s="27"/>
      <c r="U861" s="27"/>
      <c r="V861" s="46"/>
      <c r="W861" s="27"/>
      <c r="X861" s="27"/>
      <c r="Y861" s="27"/>
      <c r="Z861" s="46"/>
      <c r="AA861" s="27"/>
      <c r="AB861" s="27"/>
      <c r="AC861" s="27"/>
    </row>
    <row r="862" spans="2:29" x14ac:dyDescent="0.75">
      <c r="B862" s="26"/>
      <c r="C862" s="27"/>
      <c r="D862" s="46"/>
      <c r="E862" s="27"/>
      <c r="F862" s="27"/>
      <c r="G862" s="27"/>
      <c r="H862" s="46"/>
      <c r="I862" s="27"/>
      <c r="J862" s="27"/>
      <c r="K862" s="27"/>
      <c r="L862" s="46"/>
      <c r="M862" s="27"/>
      <c r="N862" s="27"/>
      <c r="O862" s="27"/>
      <c r="P862" s="46"/>
      <c r="Q862" s="27"/>
      <c r="R862" s="27"/>
      <c r="S862" s="27"/>
      <c r="T862" s="27"/>
      <c r="U862" s="27"/>
      <c r="V862" s="46"/>
      <c r="W862" s="27"/>
      <c r="X862" s="27"/>
      <c r="Y862" s="27"/>
      <c r="Z862" s="46"/>
      <c r="AA862" s="27"/>
      <c r="AB862" s="27"/>
      <c r="AC862" s="27"/>
    </row>
    <row r="863" spans="2:29" x14ac:dyDescent="0.75">
      <c r="B863" s="26"/>
      <c r="C863" s="27"/>
      <c r="D863" s="46"/>
      <c r="E863" s="27"/>
      <c r="F863" s="27"/>
      <c r="G863" s="27"/>
      <c r="H863" s="46"/>
      <c r="I863" s="27"/>
      <c r="J863" s="27"/>
      <c r="K863" s="27"/>
      <c r="L863" s="46"/>
      <c r="M863" s="27"/>
      <c r="N863" s="27"/>
      <c r="O863" s="27"/>
      <c r="P863" s="46"/>
      <c r="Q863" s="27"/>
      <c r="R863" s="27"/>
      <c r="S863" s="27"/>
      <c r="T863" s="27"/>
      <c r="U863" s="27"/>
      <c r="V863" s="46"/>
      <c r="W863" s="27"/>
      <c r="X863" s="27"/>
      <c r="Y863" s="27"/>
      <c r="Z863" s="46"/>
      <c r="AA863" s="27"/>
      <c r="AB863" s="27"/>
      <c r="AC863" s="27"/>
    </row>
    <row r="864" spans="2:29" x14ac:dyDescent="0.75">
      <c r="B864" s="26"/>
      <c r="C864" s="27"/>
      <c r="D864" s="46"/>
      <c r="E864" s="27"/>
      <c r="F864" s="27"/>
      <c r="G864" s="27"/>
      <c r="H864" s="46"/>
      <c r="I864" s="27"/>
      <c r="J864" s="27"/>
      <c r="K864" s="27"/>
      <c r="L864" s="46"/>
      <c r="M864" s="27"/>
      <c r="N864" s="27"/>
      <c r="O864" s="27"/>
      <c r="P864" s="46"/>
      <c r="Q864" s="27"/>
      <c r="R864" s="27"/>
      <c r="S864" s="27"/>
      <c r="T864" s="27"/>
      <c r="U864" s="27"/>
      <c r="V864" s="46"/>
      <c r="W864" s="27"/>
      <c r="X864" s="27"/>
      <c r="Y864" s="27"/>
      <c r="Z864" s="46"/>
      <c r="AA864" s="27"/>
      <c r="AB864" s="27"/>
      <c r="AC864" s="27"/>
    </row>
    <row r="865" spans="2:29" x14ac:dyDescent="0.75">
      <c r="B865" s="26"/>
      <c r="C865" s="27"/>
      <c r="D865" s="46"/>
      <c r="E865" s="27"/>
      <c r="F865" s="27"/>
      <c r="G865" s="27"/>
      <c r="H865" s="46"/>
      <c r="I865" s="27"/>
      <c r="J865" s="27"/>
      <c r="K865" s="27"/>
      <c r="L865" s="46"/>
      <c r="M865" s="27"/>
      <c r="N865" s="27"/>
      <c r="O865" s="27"/>
      <c r="P865" s="46"/>
      <c r="Q865" s="27"/>
      <c r="R865" s="27"/>
      <c r="S865" s="27"/>
      <c r="T865" s="27"/>
      <c r="U865" s="27"/>
      <c r="V865" s="46"/>
      <c r="W865" s="27"/>
      <c r="X865" s="27"/>
      <c r="Y865" s="27"/>
      <c r="Z865" s="46"/>
      <c r="AA865" s="27"/>
      <c r="AB865" s="27"/>
      <c r="AC865" s="27"/>
    </row>
    <row r="866" spans="2:29" x14ac:dyDescent="0.75">
      <c r="B866" s="26"/>
      <c r="C866" s="27"/>
      <c r="D866" s="46"/>
      <c r="E866" s="27"/>
      <c r="F866" s="27"/>
      <c r="G866" s="27"/>
      <c r="H866" s="46"/>
      <c r="I866" s="27"/>
      <c r="J866" s="27"/>
      <c r="K866" s="27"/>
      <c r="L866" s="46"/>
      <c r="M866" s="27"/>
      <c r="N866" s="27"/>
      <c r="O866" s="27"/>
      <c r="P866" s="46"/>
      <c r="Q866" s="27"/>
      <c r="R866" s="27"/>
      <c r="S866" s="27"/>
      <c r="T866" s="27"/>
      <c r="U866" s="27"/>
      <c r="V866" s="46"/>
      <c r="W866" s="27"/>
      <c r="X866" s="27"/>
      <c r="Y866" s="27"/>
      <c r="Z866" s="46"/>
      <c r="AA866" s="27"/>
      <c r="AB866" s="27"/>
      <c r="AC866" s="27"/>
    </row>
    <row r="867" spans="2:29" x14ac:dyDescent="0.75">
      <c r="B867" s="26"/>
      <c r="C867" s="27"/>
      <c r="D867" s="46"/>
      <c r="E867" s="27"/>
      <c r="F867" s="27"/>
      <c r="G867" s="27"/>
      <c r="H867" s="46"/>
      <c r="I867" s="27"/>
      <c r="J867" s="27"/>
      <c r="K867" s="27"/>
      <c r="L867" s="46"/>
      <c r="M867" s="27"/>
      <c r="N867" s="27"/>
      <c r="O867" s="27"/>
      <c r="P867" s="46"/>
      <c r="Q867" s="27"/>
      <c r="R867" s="27"/>
      <c r="S867" s="27"/>
      <c r="T867" s="27"/>
      <c r="U867" s="27"/>
      <c r="V867" s="46"/>
      <c r="W867" s="27"/>
      <c r="X867" s="27"/>
      <c r="Y867" s="27"/>
      <c r="Z867" s="46"/>
      <c r="AA867" s="27"/>
      <c r="AB867" s="27"/>
      <c r="AC867" s="27"/>
    </row>
    <row r="868" spans="2:29" x14ac:dyDescent="0.75">
      <c r="B868" s="26"/>
      <c r="C868" s="27"/>
      <c r="D868" s="46"/>
      <c r="E868" s="27"/>
      <c r="F868" s="27"/>
      <c r="G868" s="27"/>
      <c r="H868" s="46"/>
      <c r="I868" s="27"/>
      <c r="J868" s="27"/>
      <c r="K868" s="27"/>
      <c r="L868" s="46"/>
      <c r="M868" s="27"/>
      <c r="N868" s="27"/>
      <c r="O868" s="27"/>
      <c r="P868" s="46"/>
      <c r="Q868" s="27"/>
      <c r="R868" s="27"/>
      <c r="S868" s="27"/>
      <c r="T868" s="27"/>
      <c r="U868" s="27"/>
      <c r="V868" s="46"/>
      <c r="W868" s="27"/>
      <c r="X868" s="27"/>
      <c r="Y868" s="27"/>
      <c r="Z868" s="46"/>
      <c r="AA868" s="27"/>
      <c r="AB868" s="27"/>
      <c r="AC868" s="27"/>
    </row>
    <row r="869" spans="2:29" x14ac:dyDescent="0.75">
      <c r="B869" s="26"/>
      <c r="C869" s="27"/>
      <c r="D869" s="46"/>
      <c r="E869" s="27"/>
      <c r="F869" s="27"/>
      <c r="G869" s="27"/>
      <c r="H869" s="46"/>
      <c r="I869" s="27"/>
      <c r="J869" s="27"/>
      <c r="K869" s="27"/>
      <c r="L869" s="46"/>
      <c r="M869" s="27"/>
      <c r="N869" s="27"/>
      <c r="O869" s="27"/>
      <c r="P869" s="46"/>
      <c r="Q869" s="27"/>
      <c r="R869" s="27"/>
      <c r="S869" s="27"/>
      <c r="T869" s="27"/>
      <c r="U869" s="27"/>
      <c r="V869" s="46"/>
      <c r="W869" s="27"/>
      <c r="X869" s="27"/>
      <c r="Y869" s="27"/>
      <c r="Z869" s="46"/>
      <c r="AA869" s="27"/>
      <c r="AB869" s="27"/>
      <c r="AC869" s="27"/>
    </row>
    <row r="870" spans="2:29" x14ac:dyDescent="0.75">
      <c r="B870" s="26"/>
      <c r="C870" s="27"/>
      <c r="D870" s="46"/>
      <c r="E870" s="27"/>
      <c r="F870" s="27"/>
      <c r="G870" s="27"/>
      <c r="H870" s="46"/>
      <c r="I870" s="27"/>
      <c r="J870" s="27"/>
      <c r="K870" s="27"/>
      <c r="L870" s="46"/>
      <c r="M870" s="27"/>
      <c r="N870" s="27"/>
      <c r="O870" s="27"/>
      <c r="P870" s="46"/>
      <c r="Q870" s="27"/>
      <c r="R870" s="27"/>
      <c r="S870" s="27"/>
      <c r="T870" s="27"/>
      <c r="U870" s="27"/>
      <c r="V870" s="46"/>
      <c r="W870" s="27"/>
      <c r="X870" s="27"/>
      <c r="Y870" s="27"/>
      <c r="Z870" s="46"/>
      <c r="AA870" s="27"/>
      <c r="AB870" s="27"/>
      <c r="AC870" s="27"/>
    </row>
    <row r="871" spans="2:29" x14ac:dyDescent="0.75">
      <c r="B871" s="26"/>
      <c r="C871" s="27"/>
      <c r="D871" s="46"/>
      <c r="E871" s="27"/>
      <c r="F871" s="27"/>
      <c r="G871" s="27"/>
      <c r="H871" s="46"/>
      <c r="I871" s="27"/>
      <c r="J871" s="27"/>
      <c r="K871" s="27"/>
      <c r="L871" s="46"/>
      <c r="M871" s="27"/>
      <c r="N871" s="27"/>
      <c r="O871" s="27"/>
      <c r="P871" s="46"/>
      <c r="Q871" s="27"/>
      <c r="R871" s="27"/>
      <c r="S871" s="27"/>
      <c r="T871" s="27"/>
      <c r="U871" s="27"/>
      <c r="V871" s="46"/>
      <c r="W871" s="27"/>
      <c r="X871" s="27"/>
      <c r="Y871" s="27"/>
      <c r="Z871" s="46"/>
      <c r="AA871" s="27"/>
      <c r="AB871" s="27"/>
      <c r="AC871" s="27"/>
    </row>
    <row r="872" spans="2:29" x14ac:dyDescent="0.75">
      <c r="B872" s="26"/>
      <c r="C872" s="27"/>
      <c r="D872" s="46"/>
      <c r="E872" s="27"/>
      <c r="F872" s="27"/>
      <c r="G872" s="27"/>
      <c r="H872" s="46"/>
      <c r="I872" s="27"/>
      <c r="J872" s="27"/>
      <c r="K872" s="27"/>
      <c r="L872" s="46"/>
      <c r="M872" s="27"/>
      <c r="N872" s="27"/>
      <c r="O872" s="27"/>
      <c r="P872" s="46"/>
      <c r="Q872" s="27"/>
      <c r="R872" s="27"/>
      <c r="S872" s="27"/>
      <c r="T872" s="27"/>
      <c r="U872" s="27"/>
      <c r="V872" s="46"/>
      <c r="W872" s="27"/>
      <c r="X872" s="27"/>
      <c r="Y872" s="27"/>
      <c r="Z872" s="46"/>
      <c r="AA872" s="27"/>
      <c r="AB872" s="27"/>
      <c r="AC872" s="27"/>
    </row>
    <row r="873" spans="2:29" x14ac:dyDescent="0.75">
      <c r="B873" s="26"/>
      <c r="C873" s="27"/>
      <c r="D873" s="46"/>
      <c r="E873" s="27"/>
      <c r="F873" s="27"/>
      <c r="G873" s="27"/>
      <c r="H873" s="46"/>
      <c r="I873" s="27"/>
      <c r="J873" s="27"/>
      <c r="K873" s="27"/>
      <c r="L873" s="46"/>
      <c r="M873" s="27"/>
      <c r="N873" s="27"/>
      <c r="O873" s="27"/>
      <c r="P873" s="46"/>
      <c r="Q873" s="27"/>
      <c r="R873" s="27"/>
      <c r="S873" s="27"/>
      <c r="T873" s="27"/>
      <c r="U873" s="27"/>
      <c r="V873" s="46"/>
      <c r="W873" s="27"/>
      <c r="X873" s="27"/>
      <c r="Y873" s="27"/>
      <c r="Z873" s="46"/>
      <c r="AA873" s="27"/>
      <c r="AB873" s="27"/>
      <c r="AC873" s="27"/>
    </row>
    <row r="874" spans="2:29" x14ac:dyDescent="0.75">
      <c r="B874" s="26"/>
      <c r="C874" s="27"/>
      <c r="D874" s="46"/>
      <c r="E874" s="27"/>
      <c r="F874" s="27"/>
      <c r="G874" s="27"/>
      <c r="H874" s="46"/>
      <c r="I874" s="27"/>
      <c r="J874" s="27"/>
      <c r="K874" s="27"/>
      <c r="L874" s="46"/>
      <c r="M874" s="27"/>
      <c r="N874" s="27"/>
      <c r="O874" s="27"/>
      <c r="P874" s="46"/>
      <c r="Q874" s="27"/>
      <c r="R874" s="27"/>
      <c r="S874" s="27"/>
      <c r="T874" s="27"/>
      <c r="U874" s="27"/>
      <c r="V874" s="46"/>
      <c r="W874" s="27"/>
      <c r="X874" s="27"/>
      <c r="Y874" s="27"/>
      <c r="Z874" s="46"/>
      <c r="AA874" s="27"/>
      <c r="AB874" s="27"/>
      <c r="AC874" s="27"/>
    </row>
    <row r="875" spans="2:29" x14ac:dyDescent="0.75">
      <c r="B875" s="26"/>
      <c r="C875" s="27"/>
      <c r="D875" s="46"/>
      <c r="E875" s="27"/>
      <c r="F875" s="27"/>
      <c r="G875" s="27"/>
      <c r="H875" s="46"/>
      <c r="I875" s="27"/>
      <c r="J875" s="27"/>
      <c r="K875" s="27"/>
      <c r="L875" s="46"/>
      <c r="M875" s="27"/>
      <c r="N875" s="27"/>
      <c r="O875" s="27"/>
      <c r="P875" s="46"/>
      <c r="Q875" s="27"/>
      <c r="R875" s="27"/>
      <c r="S875" s="27"/>
      <c r="T875" s="27"/>
      <c r="U875" s="27"/>
      <c r="V875" s="46"/>
      <c r="W875" s="27"/>
      <c r="X875" s="27"/>
      <c r="Y875" s="27"/>
      <c r="Z875" s="46"/>
      <c r="AA875" s="27"/>
      <c r="AB875" s="27"/>
      <c r="AC875" s="27"/>
    </row>
    <row r="876" spans="2:29" x14ac:dyDescent="0.75">
      <c r="B876" s="26"/>
      <c r="C876" s="27"/>
      <c r="D876" s="46"/>
      <c r="E876" s="27"/>
      <c r="F876" s="27"/>
      <c r="G876" s="27"/>
      <c r="H876" s="46"/>
      <c r="I876" s="27"/>
      <c r="J876" s="27"/>
      <c r="K876" s="27"/>
      <c r="L876" s="46"/>
      <c r="M876" s="27"/>
      <c r="N876" s="27"/>
      <c r="O876" s="27"/>
      <c r="P876" s="46"/>
      <c r="Q876" s="27"/>
      <c r="R876" s="27"/>
      <c r="S876" s="27"/>
      <c r="T876" s="27"/>
      <c r="U876" s="27"/>
      <c r="V876" s="46"/>
      <c r="W876" s="27"/>
      <c r="X876" s="27"/>
      <c r="Y876" s="27"/>
      <c r="Z876" s="46"/>
      <c r="AA876" s="27"/>
      <c r="AB876" s="27"/>
      <c r="AC876" s="27"/>
    </row>
    <row r="877" spans="2:29" x14ac:dyDescent="0.75">
      <c r="B877" s="26"/>
      <c r="C877" s="27"/>
      <c r="D877" s="46"/>
      <c r="E877" s="27"/>
      <c r="F877" s="27"/>
      <c r="G877" s="27"/>
      <c r="H877" s="46"/>
      <c r="I877" s="27"/>
      <c r="J877" s="27"/>
      <c r="K877" s="27"/>
      <c r="L877" s="46"/>
      <c r="M877" s="27"/>
      <c r="N877" s="27"/>
      <c r="O877" s="27"/>
      <c r="P877" s="46"/>
      <c r="Q877" s="27"/>
      <c r="R877" s="27"/>
      <c r="S877" s="27"/>
      <c r="T877" s="27"/>
      <c r="U877" s="27"/>
      <c r="V877" s="46"/>
      <c r="W877" s="27"/>
      <c r="X877" s="27"/>
      <c r="Y877" s="27"/>
      <c r="Z877" s="46"/>
      <c r="AA877" s="27"/>
      <c r="AB877" s="27"/>
      <c r="AC877" s="27"/>
    </row>
    <row r="878" spans="2:29" x14ac:dyDescent="0.75">
      <c r="B878" s="26"/>
      <c r="C878" s="27"/>
      <c r="D878" s="46"/>
      <c r="E878" s="27"/>
      <c r="F878" s="27"/>
      <c r="G878" s="27"/>
      <c r="H878" s="46"/>
      <c r="I878" s="27"/>
      <c r="J878" s="27"/>
      <c r="K878" s="27"/>
      <c r="L878" s="46"/>
      <c r="M878" s="27"/>
      <c r="N878" s="27"/>
      <c r="O878" s="27"/>
      <c r="P878" s="46"/>
      <c r="Q878" s="27"/>
      <c r="R878" s="27"/>
      <c r="S878" s="27"/>
      <c r="T878" s="27"/>
      <c r="U878" s="27"/>
      <c r="V878" s="46"/>
      <c r="W878" s="27"/>
      <c r="X878" s="27"/>
      <c r="Y878" s="27"/>
      <c r="Z878" s="46"/>
      <c r="AA878" s="27"/>
      <c r="AB878" s="27"/>
      <c r="AC878" s="27"/>
    </row>
    <row r="879" spans="2:29" x14ac:dyDescent="0.75">
      <c r="B879" s="26"/>
      <c r="C879" s="27"/>
      <c r="D879" s="46"/>
      <c r="E879" s="27"/>
      <c r="F879" s="27"/>
      <c r="G879" s="27"/>
      <c r="H879" s="46"/>
      <c r="I879" s="27"/>
      <c r="J879" s="27"/>
      <c r="K879" s="27"/>
      <c r="L879" s="46"/>
      <c r="M879" s="27"/>
      <c r="N879" s="27"/>
      <c r="O879" s="27"/>
      <c r="P879" s="46"/>
      <c r="Q879" s="27"/>
      <c r="R879" s="27"/>
      <c r="S879" s="27"/>
      <c r="T879" s="27"/>
      <c r="U879" s="27"/>
      <c r="V879" s="46"/>
      <c r="W879" s="27"/>
      <c r="X879" s="27"/>
      <c r="Y879" s="27"/>
      <c r="Z879" s="46"/>
      <c r="AA879" s="27"/>
      <c r="AB879" s="27"/>
      <c r="AC879" s="27"/>
    </row>
    <row r="880" spans="2:29" x14ac:dyDescent="0.75">
      <c r="B880" s="26"/>
      <c r="C880" s="27"/>
      <c r="D880" s="46"/>
      <c r="E880" s="27"/>
      <c r="F880" s="27"/>
      <c r="G880" s="27"/>
      <c r="H880" s="46"/>
      <c r="I880" s="27"/>
      <c r="J880" s="27"/>
      <c r="K880" s="27"/>
      <c r="L880" s="46"/>
      <c r="M880" s="27"/>
      <c r="N880" s="27"/>
      <c r="O880" s="27"/>
      <c r="P880" s="46"/>
      <c r="Q880" s="27"/>
      <c r="R880" s="27"/>
      <c r="S880" s="27"/>
      <c r="T880" s="27"/>
      <c r="U880" s="27"/>
      <c r="V880" s="46"/>
      <c r="W880" s="27"/>
      <c r="X880" s="27"/>
      <c r="Y880" s="27"/>
      <c r="Z880" s="46"/>
      <c r="AA880" s="27"/>
      <c r="AB880" s="27"/>
      <c r="AC880" s="27"/>
    </row>
    <row r="881" spans="2:29" x14ac:dyDescent="0.75">
      <c r="B881" s="26"/>
      <c r="C881" s="27"/>
      <c r="D881" s="46"/>
      <c r="E881" s="27"/>
      <c r="F881" s="27"/>
      <c r="G881" s="27"/>
      <c r="H881" s="46"/>
      <c r="I881" s="27"/>
      <c r="J881" s="27"/>
      <c r="K881" s="27"/>
      <c r="L881" s="46"/>
      <c r="M881" s="27"/>
      <c r="N881" s="27"/>
      <c r="O881" s="27"/>
      <c r="P881" s="46"/>
      <c r="Q881" s="27"/>
      <c r="R881" s="27"/>
      <c r="S881" s="27"/>
      <c r="T881" s="27"/>
      <c r="U881" s="27"/>
      <c r="V881" s="46"/>
      <c r="W881" s="27"/>
      <c r="X881" s="27"/>
      <c r="Y881" s="27"/>
      <c r="Z881" s="46"/>
      <c r="AA881" s="27"/>
      <c r="AB881" s="27"/>
      <c r="AC881" s="27"/>
    </row>
    <row r="882" spans="2:29" x14ac:dyDescent="0.75">
      <c r="B882" s="26"/>
      <c r="C882" s="27"/>
      <c r="D882" s="46"/>
      <c r="E882" s="27"/>
      <c r="F882" s="27"/>
      <c r="G882" s="27"/>
      <c r="H882" s="46"/>
      <c r="I882" s="27"/>
      <c r="J882" s="27"/>
      <c r="K882" s="27"/>
      <c r="L882" s="46"/>
      <c r="M882" s="27"/>
      <c r="N882" s="27"/>
      <c r="O882" s="27"/>
      <c r="P882" s="46"/>
      <c r="Q882" s="27"/>
      <c r="R882" s="27"/>
      <c r="S882" s="27"/>
      <c r="T882" s="27"/>
      <c r="U882" s="27"/>
      <c r="V882" s="46"/>
      <c r="W882" s="27"/>
      <c r="X882" s="27"/>
      <c r="Y882" s="27"/>
      <c r="Z882" s="46"/>
      <c r="AA882" s="27"/>
      <c r="AB882" s="27"/>
      <c r="AC882" s="27"/>
    </row>
    <row r="883" spans="2:29" x14ac:dyDescent="0.75">
      <c r="B883" s="26"/>
      <c r="C883" s="27"/>
      <c r="D883" s="46"/>
      <c r="E883" s="27"/>
      <c r="F883" s="27"/>
      <c r="G883" s="27"/>
      <c r="H883" s="46"/>
      <c r="I883" s="27"/>
      <c r="J883" s="27"/>
      <c r="K883" s="27"/>
      <c r="L883" s="46"/>
      <c r="M883" s="27"/>
      <c r="N883" s="27"/>
      <c r="O883" s="27"/>
      <c r="P883" s="46"/>
      <c r="Q883" s="27"/>
      <c r="R883" s="27"/>
      <c r="S883" s="27"/>
      <c r="T883" s="27"/>
      <c r="U883" s="27"/>
      <c r="V883" s="46"/>
      <c r="W883" s="27"/>
      <c r="X883" s="27"/>
      <c r="Y883" s="27"/>
      <c r="Z883" s="46"/>
      <c r="AA883" s="27"/>
      <c r="AB883" s="27"/>
      <c r="AC883" s="27"/>
    </row>
    <row r="884" spans="2:29" x14ac:dyDescent="0.75">
      <c r="B884" s="26"/>
      <c r="C884" s="27"/>
      <c r="D884" s="46"/>
      <c r="E884" s="27"/>
      <c r="F884" s="27"/>
      <c r="G884" s="27"/>
      <c r="H884" s="46"/>
      <c r="I884" s="27"/>
      <c r="J884" s="27"/>
      <c r="K884" s="27"/>
      <c r="L884" s="46"/>
      <c r="M884" s="27"/>
      <c r="N884" s="27"/>
      <c r="O884" s="27"/>
      <c r="P884" s="46"/>
      <c r="Q884" s="27"/>
      <c r="R884" s="27"/>
      <c r="S884" s="27"/>
      <c r="T884" s="27"/>
      <c r="U884" s="27"/>
      <c r="V884" s="46"/>
      <c r="W884" s="27"/>
      <c r="X884" s="27"/>
      <c r="Y884" s="27"/>
      <c r="Z884" s="46"/>
      <c r="AA884" s="27"/>
      <c r="AB884" s="27"/>
      <c r="AC884" s="27"/>
    </row>
    <row r="885" spans="2:29" x14ac:dyDescent="0.75">
      <c r="B885" s="26"/>
      <c r="C885" s="27"/>
      <c r="D885" s="46"/>
      <c r="E885" s="27"/>
      <c r="F885" s="27"/>
      <c r="G885" s="27"/>
      <c r="H885" s="46"/>
      <c r="I885" s="27"/>
      <c r="J885" s="27"/>
      <c r="K885" s="27"/>
      <c r="L885" s="46"/>
      <c r="M885" s="27"/>
      <c r="N885" s="27"/>
      <c r="O885" s="27"/>
      <c r="P885" s="46"/>
      <c r="Q885" s="27"/>
      <c r="R885" s="27"/>
      <c r="S885" s="27"/>
      <c r="T885" s="27"/>
      <c r="U885" s="27"/>
      <c r="V885" s="46"/>
      <c r="W885" s="27"/>
      <c r="X885" s="27"/>
      <c r="Y885" s="27"/>
      <c r="Z885" s="46"/>
      <c r="AA885" s="27"/>
      <c r="AB885" s="27"/>
      <c r="AC885" s="27"/>
    </row>
    <row r="886" spans="2:29" x14ac:dyDescent="0.75">
      <c r="B886" s="26"/>
      <c r="C886" s="27"/>
      <c r="D886" s="46"/>
      <c r="E886" s="27"/>
      <c r="F886" s="27"/>
      <c r="G886" s="27"/>
      <c r="H886" s="46"/>
      <c r="I886" s="27"/>
      <c r="J886" s="27"/>
      <c r="K886" s="27"/>
      <c r="L886" s="46"/>
      <c r="M886" s="27"/>
      <c r="N886" s="27"/>
      <c r="O886" s="27"/>
      <c r="P886" s="46"/>
      <c r="Q886" s="27"/>
      <c r="R886" s="27"/>
      <c r="S886" s="27"/>
      <c r="T886" s="27"/>
      <c r="U886" s="27"/>
      <c r="V886" s="46"/>
      <c r="W886" s="27"/>
      <c r="X886" s="27"/>
      <c r="Y886" s="27"/>
      <c r="Z886" s="46"/>
      <c r="AA886" s="27"/>
      <c r="AB886" s="27"/>
      <c r="AC886" s="27"/>
    </row>
    <row r="887" spans="2:29" x14ac:dyDescent="0.75">
      <c r="B887" s="26"/>
      <c r="C887" s="27"/>
      <c r="D887" s="46"/>
      <c r="E887" s="27"/>
      <c r="F887" s="27"/>
      <c r="G887" s="27"/>
      <c r="H887" s="46"/>
      <c r="I887" s="27"/>
      <c r="J887" s="27"/>
      <c r="K887" s="27"/>
      <c r="L887" s="46"/>
      <c r="M887" s="27"/>
      <c r="N887" s="27"/>
      <c r="O887" s="27"/>
      <c r="P887" s="46"/>
      <c r="Q887" s="27"/>
      <c r="R887" s="27"/>
      <c r="S887" s="27"/>
      <c r="T887" s="27"/>
      <c r="U887" s="27"/>
      <c r="V887" s="46"/>
      <c r="W887" s="27"/>
      <c r="X887" s="27"/>
      <c r="Y887" s="27"/>
      <c r="Z887" s="46"/>
      <c r="AA887" s="27"/>
      <c r="AB887" s="27"/>
      <c r="AC887" s="27"/>
    </row>
    <row r="888" spans="2:29" x14ac:dyDescent="0.75">
      <c r="B888" s="26"/>
      <c r="C888" s="27"/>
      <c r="D888" s="46"/>
      <c r="E888" s="27"/>
      <c r="F888" s="27"/>
      <c r="G888" s="27"/>
      <c r="H888" s="46"/>
      <c r="I888" s="27"/>
      <c r="J888" s="27"/>
      <c r="K888" s="27"/>
      <c r="L888" s="46"/>
      <c r="M888" s="27"/>
      <c r="N888" s="27"/>
      <c r="O888" s="27"/>
      <c r="P888" s="46"/>
      <c r="Q888" s="27"/>
      <c r="R888" s="27"/>
      <c r="S888" s="27"/>
      <c r="T888" s="27"/>
      <c r="U888" s="27"/>
      <c r="V888" s="46"/>
      <c r="W888" s="27"/>
      <c r="X888" s="27"/>
      <c r="Y888" s="27"/>
      <c r="Z888" s="46"/>
      <c r="AA888" s="27"/>
      <c r="AB888" s="27"/>
      <c r="AC888" s="27"/>
    </row>
    <row r="889" spans="2:29" x14ac:dyDescent="0.75">
      <c r="B889" s="26"/>
      <c r="C889" s="27"/>
      <c r="D889" s="46"/>
      <c r="E889" s="27"/>
      <c r="F889" s="27"/>
      <c r="G889" s="27"/>
      <c r="H889" s="46"/>
      <c r="I889" s="27"/>
      <c r="J889" s="27"/>
      <c r="K889" s="27"/>
      <c r="L889" s="46"/>
      <c r="M889" s="27"/>
      <c r="N889" s="27"/>
      <c r="O889" s="27"/>
      <c r="P889" s="46"/>
      <c r="Q889" s="27"/>
      <c r="R889" s="27"/>
      <c r="S889" s="27"/>
      <c r="T889" s="27"/>
      <c r="U889" s="27"/>
      <c r="V889" s="46"/>
      <c r="W889" s="27"/>
      <c r="X889" s="27"/>
      <c r="Y889" s="27"/>
      <c r="Z889" s="46"/>
      <c r="AA889" s="27"/>
      <c r="AB889" s="27"/>
      <c r="AC889" s="27"/>
    </row>
    <row r="890" spans="2:29" x14ac:dyDescent="0.75">
      <c r="B890" s="26"/>
      <c r="C890" s="27"/>
      <c r="D890" s="46"/>
      <c r="E890" s="27"/>
      <c r="F890" s="27"/>
      <c r="G890" s="27"/>
      <c r="H890" s="46"/>
      <c r="I890" s="27"/>
      <c r="J890" s="27"/>
      <c r="K890" s="27"/>
      <c r="L890" s="46"/>
      <c r="M890" s="27"/>
      <c r="N890" s="27"/>
      <c r="O890" s="27"/>
      <c r="P890" s="46"/>
      <c r="Q890" s="27"/>
      <c r="R890" s="27"/>
      <c r="S890" s="27"/>
      <c r="T890" s="27"/>
      <c r="U890" s="27"/>
      <c r="V890" s="46"/>
      <c r="W890" s="27"/>
      <c r="X890" s="27"/>
      <c r="Y890" s="27"/>
      <c r="Z890" s="46"/>
      <c r="AA890" s="27"/>
      <c r="AB890" s="27"/>
      <c r="AC890" s="27"/>
    </row>
    <row r="891" spans="2:29" x14ac:dyDescent="0.75">
      <c r="B891" s="26"/>
      <c r="C891" s="27"/>
      <c r="D891" s="46"/>
      <c r="E891" s="27"/>
      <c r="F891" s="27"/>
      <c r="G891" s="27"/>
      <c r="H891" s="46"/>
      <c r="I891" s="27"/>
      <c r="J891" s="27"/>
      <c r="K891" s="27"/>
      <c r="L891" s="46"/>
      <c r="M891" s="27"/>
      <c r="N891" s="27"/>
      <c r="O891" s="27"/>
      <c r="P891" s="46"/>
      <c r="Q891" s="27"/>
      <c r="R891" s="27"/>
      <c r="S891" s="27"/>
      <c r="T891" s="27"/>
      <c r="U891" s="27"/>
      <c r="V891" s="46"/>
      <c r="W891" s="27"/>
      <c r="X891" s="27"/>
      <c r="Y891" s="27"/>
      <c r="Z891" s="46"/>
      <c r="AA891" s="27"/>
      <c r="AB891" s="27"/>
      <c r="AC891" s="27"/>
    </row>
    <row r="892" spans="2:29" x14ac:dyDescent="0.75">
      <c r="B892" s="26"/>
      <c r="C892" s="27"/>
      <c r="D892" s="46"/>
      <c r="E892" s="27"/>
      <c r="F892" s="27"/>
      <c r="G892" s="27"/>
      <c r="H892" s="46"/>
      <c r="I892" s="27"/>
      <c r="J892" s="27"/>
      <c r="K892" s="27"/>
      <c r="L892" s="46"/>
      <c r="M892" s="27"/>
      <c r="N892" s="27"/>
      <c r="O892" s="27"/>
      <c r="P892" s="46"/>
      <c r="Q892" s="27"/>
      <c r="R892" s="27"/>
      <c r="S892" s="27"/>
      <c r="T892" s="27"/>
      <c r="U892" s="27"/>
      <c r="V892" s="46"/>
      <c r="W892" s="27"/>
      <c r="X892" s="27"/>
      <c r="Y892" s="27"/>
      <c r="Z892" s="46"/>
      <c r="AA892" s="27"/>
      <c r="AB892" s="27"/>
      <c r="AC892" s="27"/>
    </row>
    <row r="893" spans="2:29" x14ac:dyDescent="0.75">
      <c r="B893" s="26"/>
      <c r="C893" s="27"/>
      <c r="D893" s="46"/>
      <c r="E893" s="27"/>
      <c r="F893" s="27"/>
      <c r="G893" s="27"/>
      <c r="H893" s="46"/>
      <c r="I893" s="27"/>
      <c r="J893" s="27"/>
      <c r="K893" s="27"/>
      <c r="L893" s="46"/>
      <c r="M893" s="27"/>
      <c r="N893" s="27"/>
      <c r="O893" s="27"/>
      <c r="P893" s="46"/>
      <c r="Q893" s="27"/>
      <c r="R893" s="27"/>
      <c r="S893" s="27"/>
      <c r="T893" s="27"/>
      <c r="U893" s="27"/>
      <c r="V893" s="46"/>
      <c r="W893" s="27"/>
      <c r="X893" s="27"/>
      <c r="Y893" s="27"/>
      <c r="Z893" s="46"/>
      <c r="AA893" s="27"/>
      <c r="AB893" s="27"/>
      <c r="AC893" s="27"/>
    </row>
    <row r="894" spans="2:29" x14ac:dyDescent="0.75">
      <c r="B894" s="26"/>
      <c r="C894" s="27"/>
      <c r="D894" s="46"/>
      <c r="E894" s="27"/>
      <c r="F894" s="27"/>
      <c r="G894" s="27"/>
      <c r="H894" s="46"/>
      <c r="I894" s="27"/>
      <c r="J894" s="27"/>
      <c r="K894" s="27"/>
      <c r="L894" s="46"/>
      <c r="M894" s="27"/>
      <c r="N894" s="27"/>
      <c r="O894" s="27"/>
      <c r="P894" s="46"/>
      <c r="Q894" s="27"/>
      <c r="R894" s="27"/>
      <c r="S894" s="27"/>
      <c r="T894" s="27"/>
      <c r="U894" s="27"/>
      <c r="V894" s="46"/>
      <c r="W894" s="27"/>
      <c r="X894" s="27"/>
      <c r="Y894" s="27"/>
      <c r="Z894" s="46"/>
      <c r="AA894" s="27"/>
      <c r="AB894" s="27"/>
      <c r="AC894" s="27"/>
    </row>
    <row r="895" spans="2:29" x14ac:dyDescent="0.75">
      <c r="B895" s="26"/>
      <c r="C895" s="27"/>
      <c r="D895" s="46"/>
      <c r="E895" s="27"/>
      <c r="F895" s="27"/>
      <c r="G895" s="27"/>
      <c r="H895" s="46"/>
      <c r="I895" s="27"/>
      <c r="J895" s="27"/>
      <c r="K895" s="27"/>
      <c r="L895" s="46"/>
      <c r="M895" s="27"/>
      <c r="N895" s="27"/>
      <c r="O895" s="27"/>
      <c r="P895" s="46"/>
      <c r="Q895" s="27"/>
      <c r="R895" s="27"/>
      <c r="S895" s="27"/>
      <c r="T895" s="27"/>
      <c r="U895" s="27"/>
      <c r="V895" s="46"/>
      <c r="W895" s="27"/>
      <c r="X895" s="27"/>
      <c r="Y895" s="27"/>
      <c r="Z895" s="46"/>
      <c r="AA895" s="27"/>
      <c r="AB895" s="27"/>
      <c r="AC895" s="27"/>
    </row>
    <row r="896" spans="2:29" x14ac:dyDescent="0.75">
      <c r="B896" s="26"/>
      <c r="C896" s="27"/>
      <c r="D896" s="46"/>
      <c r="E896" s="27"/>
      <c r="F896" s="27"/>
      <c r="G896" s="27"/>
      <c r="H896" s="46"/>
      <c r="I896" s="27"/>
      <c r="J896" s="27"/>
      <c r="K896" s="27"/>
      <c r="L896" s="46"/>
      <c r="M896" s="27"/>
      <c r="N896" s="27"/>
      <c r="O896" s="27"/>
      <c r="P896" s="46"/>
      <c r="Q896" s="27"/>
      <c r="R896" s="27"/>
      <c r="S896" s="27"/>
      <c r="T896" s="27"/>
      <c r="U896" s="27"/>
      <c r="V896" s="46"/>
      <c r="W896" s="27"/>
      <c r="X896" s="27"/>
      <c r="Y896" s="27"/>
      <c r="Z896" s="46"/>
      <c r="AA896" s="27"/>
      <c r="AB896" s="27"/>
      <c r="AC896" s="27"/>
    </row>
    <row r="897" spans="2:29" x14ac:dyDescent="0.75">
      <c r="B897" s="26"/>
      <c r="C897" s="27"/>
      <c r="D897" s="46"/>
      <c r="E897" s="27"/>
      <c r="F897" s="27"/>
      <c r="G897" s="27"/>
      <c r="H897" s="46"/>
      <c r="I897" s="27"/>
      <c r="J897" s="27"/>
      <c r="K897" s="27"/>
      <c r="L897" s="46"/>
      <c r="M897" s="27"/>
      <c r="N897" s="27"/>
      <c r="O897" s="27"/>
      <c r="P897" s="46"/>
      <c r="Q897" s="27"/>
      <c r="R897" s="27"/>
      <c r="S897" s="27"/>
      <c r="T897" s="27"/>
      <c r="U897" s="27"/>
      <c r="V897" s="46"/>
      <c r="W897" s="27"/>
      <c r="X897" s="27"/>
      <c r="Y897" s="27"/>
      <c r="Z897" s="46"/>
      <c r="AA897" s="27"/>
      <c r="AB897" s="27"/>
      <c r="AC897" s="27"/>
    </row>
    <row r="898" spans="2:29" x14ac:dyDescent="0.75">
      <c r="B898" s="26"/>
      <c r="C898" s="27"/>
      <c r="D898" s="46"/>
      <c r="E898" s="27"/>
      <c r="F898" s="27"/>
      <c r="G898" s="27"/>
      <c r="H898" s="46"/>
      <c r="I898" s="27"/>
      <c r="J898" s="27"/>
      <c r="K898" s="27"/>
      <c r="L898" s="46"/>
      <c r="M898" s="27"/>
      <c r="N898" s="27"/>
      <c r="O898" s="27"/>
      <c r="P898" s="46"/>
      <c r="Q898" s="27"/>
      <c r="R898" s="27"/>
      <c r="S898" s="27"/>
      <c r="T898" s="27"/>
      <c r="U898" s="27"/>
      <c r="V898" s="46"/>
      <c r="W898" s="27"/>
      <c r="X898" s="27"/>
      <c r="Y898" s="27"/>
      <c r="Z898" s="46"/>
      <c r="AA898" s="27"/>
      <c r="AB898" s="27"/>
      <c r="AC898" s="27"/>
    </row>
    <row r="899" spans="2:29" x14ac:dyDescent="0.75">
      <c r="B899" s="26"/>
      <c r="C899" s="27"/>
      <c r="D899" s="46"/>
      <c r="E899" s="27"/>
      <c r="F899" s="27"/>
      <c r="G899" s="27"/>
      <c r="H899" s="46"/>
      <c r="I899" s="27"/>
      <c r="J899" s="27"/>
      <c r="K899" s="27"/>
      <c r="L899" s="46"/>
      <c r="M899" s="27"/>
      <c r="N899" s="27"/>
      <c r="O899" s="27"/>
      <c r="P899" s="46"/>
      <c r="Q899" s="27"/>
      <c r="R899" s="27"/>
      <c r="S899" s="27"/>
      <c r="T899" s="27"/>
      <c r="U899" s="27"/>
      <c r="V899" s="46"/>
      <c r="W899" s="27"/>
      <c r="X899" s="27"/>
      <c r="Y899" s="27"/>
      <c r="Z899" s="46"/>
      <c r="AA899" s="27"/>
      <c r="AB899" s="27"/>
      <c r="AC899" s="27"/>
    </row>
    <row r="900" spans="2:29" x14ac:dyDescent="0.75">
      <c r="B900" s="26"/>
      <c r="C900" s="27"/>
      <c r="D900" s="46"/>
      <c r="E900" s="27"/>
      <c r="F900" s="27"/>
      <c r="G900" s="27"/>
      <c r="H900" s="46"/>
      <c r="I900" s="27"/>
      <c r="J900" s="27"/>
      <c r="K900" s="27"/>
      <c r="L900" s="46"/>
      <c r="M900" s="27"/>
      <c r="N900" s="27"/>
      <c r="O900" s="27"/>
      <c r="P900" s="46"/>
      <c r="Q900" s="27"/>
      <c r="R900" s="27"/>
      <c r="S900" s="27"/>
      <c r="T900" s="27"/>
      <c r="U900" s="27"/>
      <c r="V900" s="46"/>
      <c r="W900" s="27"/>
      <c r="X900" s="27"/>
      <c r="Y900" s="27"/>
      <c r="Z900" s="46"/>
      <c r="AA900" s="27"/>
      <c r="AB900" s="27"/>
      <c r="AC900" s="27"/>
    </row>
    <row r="901" spans="2:29" x14ac:dyDescent="0.75">
      <c r="B901" s="26"/>
      <c r="C901" s="27"/>
      <c r="D901" s="46"/>
      <c r="E901" s="27"/>
      <c r="F901" s="27"/>
      <c r="G901" s="27"/>
      <c r="H901" s="46"/>
      <c r="I901" s="27"/>
      <c r="J901" s="27"/>
      <c r="K901" s="27"/>
      <c r="L901" s="46"/>
      <c r="M901" s="27"/>
      <c r="N901" s="27"/>
      <c r="O901" s="27"/>
      <c r="P901" s="46"/>
      <c r="Q901" s="27"/>
      <c r="R901" s="27"/>
      <c r="S901" s="27"/>
      <c r="T901" s="27"/>
      <c r="U901" s="27"/>
      <c r="V901" s="46"/>
      <c r="W901" s="27"/>
      <c r="X901" s="27"/>
      <c r="Y901" s="27"/>
      <c r="Z901" s="46"/>
      <c r="AA901" s="27"/>
      <c r="AB901" s="27"/>
      <c r="AC901" s="27"/>
    </row>
    <row r="902" spans="2:29" x14ac:dyDescent="0.75">
      <c r="B902" s="26"/>
      <c r="C902" s="27"/>
      <c r="D902" s="46"/>
      <c r="E902" s="27"/>
      <c r="F902" s="27"/>
      <c r="G902" s="27"/>
      <c r="H902" s="46"/>
      <c r="I902" s="27"/>
      <c r="J902" s="27"/>
      <c r="K902" s="27"/>
      <c r="L902" s="46"/>
      <c r="M902" s="27"/>
      <c r="N902" s="27"/>
      <c r="O902" s="27"/>
      <c r="P902" s="46"/>
      <c r="Q902" s="27"/>
      <c r="R902" s="27"/>
      <c r="S902" s="27"/>
      <c r="T902" s="27"/>
      <c r="U902" s="27"/>
      <c r="V902" s="46"/>
      <c r="W902" s="27"/>
      <c r="X902" s="27"/>
      <c r="Y902" s="27"/>
      <c r="Z902" s="46"/>
      <c r="AA902" s="27"/>
      <c r="AB902" s="27"/>
      <c r="AC902" s="27"/>
    </row>
    <row r="903" spans="2:29" x14ac:dyDescent="0.75">
      <c r="B903" s="26"/>
      <c r="C903" s="27"/>
      <c r="D903" s="46"/>
      <c r="E903" s="27"/>
      <c r="F903" s="27"/>
      <c r="G903" s="27"/>
      <c r="H903" s="46"/>
      <c r="I903" s="27"/>
      <c r="J903" s="27"/>
      <c r="K903" s="27"/>
      <c r="L903" s="46"/>
      <c r="M903" s="27"/>
      <c r="N903" s="27"/>
      <c r="O903" s="27"/>
      <c r="P903" s="46"/>
      <c r="Q903" s="27"/>
      <c r="R903" s="27"/>
      <c r="S903" s="27"/>
      <c r="T903" s="27"/>
      <c r="U903" s="27"/>
      <c r="V903" s="46"/>
      <c r="W903" s="27"/>
      <c r="X903" s="27"/>
      <c r="Y903" s="27"/>
      <c r="Z903" s="46"/>
      <c r="AA903" s="27"/>
      <c r="AB903" s="27"/>
      <c r="AC903" s="27"/>
    </row>
    <row r="904" spans="2:29" x14ac:dyDescent="0.75">
      <c r="B904" s="26"/>
      <c r="C904" s="27"/>
      <c r="D904" s="46"/>
      <c r="E904" s="27"/>
      <c r="F904" s="27"/>
      <c r="G904" s="27"/>
      <c r="H904" s="46"/>
      <c r="I904" s="27"/>
      <c r="J904" s="27"/>
      <c r="K904" s="27"/>
      <c r="L904" s="46"/>
      <c r="M904" s="27"/>
      <c r="N904" s="27"/>
      <c r="O904" s="27"/>
      <c r="P904" s="46"/>
      <c r="Q904" s="27"/>
      <c r="R904" s="27"/>
      <c r="S904" s="27"/>
      <c r="T904" s="27"/>
      <c r="U904" s="27"/>
      <c r="V904" s="46"/>
      <c r="W904" s="27"/>
      <c r="X904" s="27"/>
      <c r="Y904" s="27"/>
      <c r="Z904" s="46"/>
      <c r="AA904" s="27"/>
      <c r="AB904" s="27"/>
      <c r="AC904" s="27"/>
    </row>
    <row r="905" spans="2:29" x14ac:dyDescent="0.75">
      <c r="B905" s="26"/>
      <c r="C905" s="27"/>
      <c r="D905" s="46"/>
      <c r="E905" s="27"/>
      <c r="F905" s="27"/>
      <c r="G905" s="27"/>
      <c r="H905" s="46"/>
      <c r="I905" s="27"/>
      <c r="J905" s="27"/>
      <c r="K905" s="27"/>
      <c r="L905" s="46"/>
      <c r="M905" s="27"/>
      <c r="N905" s="27"/>
      <c r="O905" s="27"/>
      <c r="P905" s="46"/>
      <c r="Q905" s="27"/>
      <c r="R905" s="27"/>
      <c r="S905" s="27"/>
      <c r="T905" s="27"/>
      <c r="U905" s="27"/>
      <c r="V905" s="46"/>
      <c r="W905" s="27"/>
      <c r="X905" s="27"/>
      <c r="Y905" s="27"/>
      <c r="Z905" s="46"/>
      <c r="AA905" s="27"/>
      <c r="AB905" s="27"/>
      <c r="AC905" s="27"/>
    </row>
    <row r="906" spans="2:29" x14ac:dyDescent="0.75">
      <c r="B906" s="26"/>
      <c r="C906" s="27"/>
      <c r="D906" s="46"/>
      <c r="E906" s="27"/>
      <c r="F906" s="27"/>
      <c r="G906" s="27"/>
      <c r="H906" s="46"/>
      <c r="I906" s="27"/>
      <c r="J906" s="27"/>
      <c r="K906" s="27"/>
      <c r="L906" s="46"/>
      <c r="M906" s="27"/>
      <c r="N906" s="27"/>
      <c r="O906" s="27"/>
      <c r="P906" s="46"/>
      <c r="Q906" s="27"/>
      <c r="R906" s="27"/>
      <c r="S906" s="27"/>
      <c r="T906" s="27"/>
      <c r="U906" s="27"/>
      <c r="V906" s="46"/>
      <c r="W906" s="27"/>
      <c r="X906" s="27"/>
      <c r="Y906" s="27"/>
      <c r="Z906" s="46"/>
      <c r="AA906" s="27"/>
      <c r="AB906" s="27"/>
      <c r="AC906" s="27"/>
    </row>
    <row r="907" spans="2:29" x14ac:dyDescent="0.75">
      <c r="B907" s="26"/>
      <c r="C907" s="27"/>
      <c r="D907" s="46"/>
      <c r="E907" s="27"/>
      <c r="F907" s="27"/>
      <c r="G907" s="27"/>
      <c r="H907" s="46"/>
      <c r="I907" s="27"/>
      <c r="J907" s="27"/>
      <c r="K907" s="27"/>
      <c r="L907" s="46"/>
      <c r="M907" s="27"/>
      <c r="N907" s="27"/>
      <c r="O907" s="27"/>
      <c r="P907" s="46"/>
      <c r="Q907" s="27"/>
      <c r="R907" s="27"/>
      <c r="S907" s="27"/>
      <c r="T907" s="27"/>
      <c r="U907" s="27"/>
      <c r="V907" s="46"/>
      <c r="W907" s="27"/>
      <c r="X907" s="27"/>
      <c r="Y907" s="27"/>
      <c r="Z907" s="46"/>
      <c r="AA907" s="27"/>
      <c r="AB907" s="27"/>
      <c r="AC907" s="27"/>
    </row>
    <row r="908" spans="2:29" x14ac:dyDescent="0.75">
      <c r="B908" s="26"/>
      <c r="C908" s="27"/>
      <c r="D908" s="46"/>
      <c r="E908" s="27"/>
      <c r="F908" s="27"/>
      <c r="G908" s="27"/>
      <c r="H908" s="46"/>
      <c r="I908" s="27"/>
      <c r="J908" s="27"/>
      <c r="K908" s="27"/>
      <c r="L908" s="46"/>
      <c r="M908" s="27"/>
      <c r="N908" s="27"/>
      <c r="O908" s="27"/>
      <c r="P908" s="46"/>
      <c r="Q908" s="27"/>
      <c r="R908" s="27"/>
      <c r="S908" s="27"/>
      <c r="T908" s="27"/>
      <c r="U908" s="27"/>
      <c r="V908" s="46"/>
      <c r="W908" s="27"/>
      <c r="X908" s="27"/>
      <c r="Y908" s="27"/>
      <c r="Z908" s="46"/>
      <c r="AA908" s="27"/>
      <c r="AB908" s="27"/>
      <c r="AC908" s="27"/>
    </row>
    <row r="909" spans="2:29" x14ac:dyDescent="0.75">
      <c r="B909" s="26"/>
      <c r="C909" s="27"/>
      <c r="D909" s="46"/>
      <c r="E909" s="27"/>
      <c r="F909" s="27"/>
      <c r="G909" s="27"/>
      <c r="H909" s="46"/>
      <c r="I909" s="27"/>
      <c r="J909" s="27"/>
      <c r="K909" s="27"/>
      <c r="L909" s="46"/>
      <c r="M909" s="27"/>
      <c r="N909" s="27"/>
      <c r="O909" s="27"/>
      <c r="P909" s="46"/>
      <c r="Q909" s="27"/>
      <c r="R909" s="27"/>
      <c r="S909" s="27"/>
      <c r="T909" s="27"/>
      <c r="U909" s="27"/>
      <c r="V909" s="46"/>
      <c r="W909" s="27"/>
      <c r="X909" s="27"/>
      <c r="Y909" s="27"/>
      <c r="Z909" s="46"/>
      <c r="AA909" s="27"/>
      <c r="AB909" s="27"/>
      <c r="AC909" s="27"/>
    </row>
    <row r="910" spans="2:29" x14ac:dyDescent="0.75">
      <c r="B910" s="26"/>
      <c r="C910" s="27"/>
      <c r="D910" s="46"/>
      <c r="E910" s="27"/>
      <c r="F910" s="27"/>
      <c r="G910" s="27"/>
      <c r="H910" s="46"/>
      <c r="I910" s="27"/>
      <c r="J910" s="27"/>
      <c r="K910" s="27"/>
      <c r="L910" s="46"/>
      <c r="M910" s="27"/>
      <c r="N910" s="27"/>
      <c r="O910" s="27"/>
      <c r="P910" s="46"/>
      <c r="Q910" s="27"/>
      <c r="R910" s="27"/>
      <c r="S910" s="27"/>
      <c r="T910" s="27"/>
      <c r="U910" s="27"/>
      <c r="V910" s="46"/>
      <c r="W910" s="27"/>
      <c r="X910" s="27"/>
      <c r="Y910" s="27"/>
      <c r="Z910" s="46"/>
      <c r="AA910" s="27"/>
      <c r="AB910" s="27"/>
      <c r="AC910" s="27"/>
    </row>
    <row r="911" spans="2:29" x14ac:dyDescent="0.75">
      <c r="B911" s="26"/>
      <c r="C911" s="27"/>
      <c r="D911" s="46"/>
      <c r="E911" s="27"/>
      <c r="F911" s="27"/>
      <c r="G911" s="27"/>
      <c r="H911" s="46"/>
      <c r="I911" s="27"/>
      <c r="J911" s="27"/>
      <c r="K911" s="27"/>
      <c r="L911" s="46"/>
      <c r="M911" s="27"/>
      <c r="N911" s="27"/>
      <c r="O911" s="27"/>
      <c r="P911" s="46"/>
      <c r="Q911" s="27"/>
      <c r="R911" s="27"/>
      <c r="S911" s="27"/>
      <c r="T911" s="27"/>
      <c r="U911" s="27"/>
      <c r="V911" s="46"/>
      <c r="W911" s="27"/>
      <c r="X911" s="27"/>
      <c r="Y911" s="27"/>
      <c r="Z911" s="46"/>
      <c r="AA911" s="27"/>
      <c r="AB911" s="27"/>
      <c r="AC911" s="27"/>
    </row>
    <row r="912" spans="2:29" x14ac:dyDescent="0.75">
      <c r="B912" s="26"/>
      <c r="C912" s="27"/>
      <c r="D912" s="46"/>
      <c r="E912" s="27"/>
      <c r="F912" s="27"/>
      <c r="G912" s="27"/>
      <c r="H912" s="46"/>
      <c r="I912" s="27"/>
      <c r="J912" s="27"/>
      <c r="K912" s="27"/>
      <c r="L912" s="46"/>
      <c r="M912" s="27"/>
      <c r="N912" s="27"/>
      <c r="O912" s="27"/>
      <c r="P912" s="46"/>
      <c r="Q912" s="27"/>
      <c r="R912" s="27"/>
      <c r="S912" s="27"/>
      <c r="T912" s="27"/>
      <c r="U912" s="27"/>
      <c r="V912" s="46"/>
      <c r="W912" s="27"/>
      <c r="X912" s="27"/>
      <c r="Y912" s="27"/>
      <c r="Z912" s="46"/>
      <c r="AA912" s="27"/>
      <c r="AB912" s="27"/>
      <c r="AC912" s="27"/>
    </row>
    <row r="913" spans="2:29" x14ac:dyDescent="0.75">
      <c r="B913" s="26"/>
      <c r="C913" s="27"/>
      <c r="D913" s="46"/>
      <c r="E913" s="27"/>
      <c r="F913" s="27"/>
      <c r="G913" s="27"/>
      <c r="H913" s="46"/>
      <c r="I913" s="27"/>
      <c r="J913" s="27"/>
      <c r="K913" s="27"/>
      <c r="L913" s="46"/>
      <c r="M913" s="27"/>
      <c r="N913" s="27"/>
      <c r="O913" s="27"/>
      <c r="P913" s="46"/>
      <c r="Q913" s="27"/>
      <c r="R913" s="27"/>
      <c r="S913" s="27"/>
      <c r="T913" s="27"/>
      <c r="U913" s="27"/>
      <c r="V913" s="46"/>
      <c r="W913" s="27"/>
      <c r="X913" s="27"/>
      <c r="Y913" s="27"/>
      <c r="Z913" s="46"/>
      <c r="AA913" s="27"/>
      <c r="AB913" s="27"/>
      <c r="AC913" s="27"/>
    </row>
    <row r="914" spans="2:29" x14ac:dyDescent="0.75">
      <c r="B914" s="26"/>
      <c r="C914" s="27"/>
      <c r="D914" s="46"/>
      <c r="E914" s="27"/>
      <c r="F914" s="27"/>
      <c r="G914" s="27"/>
      <c r="H914" s="46"/>
      <c r="I914" s="27"/>
      <c r="J914" s="27"/>
      <c r="K914" s="27"/>
      <c r="L914" s="46"/>
      <c r="M914" s="27"/>
      <c r="N914" s="27"/>
      <c r="O914" s="27"/>
      <c r="P914" s="46"/>
      <c r="Q914" s="27"/>
      <c r="R914" s="27"/>
      <c r="S914" s="27"/>
      <c r="T914" s="27"/>
      <c r="U914" s="27"/>
      <c r="V914" s="46"/>
      <c r="W914" s="27"/>
      <c r="X914" s="27"/>
      <c r="Y914" s="27"/>
      <c r="Z914" s="46"/>
      <c r="AA914" s="27"/>
      <c r="AB914" s="27"/>
      <c r="AC914" s="27"/>
    </row>
    <row r="915" spans="2:29" x14ac:dyDescent="0.75">
      <c r="B915" s="26"/>
      <c r="C915" s="27"/>
      <c r="D915" s="46"/>
      <c r="E915" s="27"/>
      <c r="F915" s="27"/>
      <c r="G915" s="27"/>
      <c r="H915" s="46"/>
      <c r="I915" s="27"/>
      <c r="J915" s="27"/>
      <c r="K915" s="27"/>
      <c r="L915" s="46"/>
      <c r="M915" s="27"/>
      <c r="N915" s="27"/>
      <c r="O915" s="27"/>
      <c r="P915" s="46"/>
      <c r="Q915" s="27"/>
      <c r="R915" s="27"/>
      <c r="S915" s="27"/>
      <c r="T915" s="27"/>
      <c r="U915" s="27"/>
      <c r="V915" s="46"/>
      <c r="W915" s="27"/>
      <c r="X915" s="27"/>
      <c r="Y915" s="27"/>
      <c r="Z915" s="46"/>
      <c r="AA915" s="27"/>
      <c r="AB915" s="27"/>
      <c r="AC915" s="27"/>
    </row>
    <row r="916" spans="2:29" x14ac:dyDescent="0.75">
      <c r="B916" s="26"/>
      <c r="C916" s="27"/>
      <c r="D916" s="46"/>
      <c r="E916" s="27"/>
      <c r="F916" s="27"/>
      <c r="G916" s="27"/>
      <c r="H916" s="46"/>
      <c r="I916" s="27"/>
      <c r="J916" s="27"/>
      <c r="K916" s="27"/>
      <c r="L916" s="46"/>
      <c r="M916" s="27"/>
      <c r="N916" s="27"/>
      <c r="O916" s="27"/>
      <c r="P916" s="46"/>
      <c r="Q916" s="27"/>
      <c r="R916" s="27"/>
      <c r="S916" s="27"/>
      <c r="T916" s="27"/>
      <c r="U916" s="27"/>
      <c r="V916" s="46"/>
      <c r="W916" s="27"/>
      <c r="X916" s="27"/>
      <c r="Y916" s="27"/>
      <c r="Z916" s="46"/>
      <c r="AA916" s="27"/>
      <c r="AB916" s="27"/>
      <c r="AC916" s="27"/>
    </row>
    <row r="917" spans="2:29" x14ac:dyDescent="0.75">
      <c r="B917" s="26"/>
      <c r="C917" s="27"/>
      <c r="D917" s="46"/>
      <c r="E917" s="27"/>
      <c r="F917" s="27"/>
      <c r="G917" s="27"/>
      <c r="H917" s="46"/>
      <c r="I917" s="27"/>
      <c r="J917" s="27"/>
      <c r="K917" s="27"/>
      <c r="L917" s="46"/>
      <c r="M917" s="27"/>
      <c r="N917" s="27"/>
      <c r="O917" s="27"/>
      <c r="P917" s="46"/>
      <c r="Q917" s="27"/>
      <c r="R917" s="27"/>
      <c r="S917" s="27"/>
      <c r="T917" s="27"/>
      <c r="U917" s="27"/>
      <c r="V917" s="46"/>
      <c r="W917" s="27"/>
      <c r="X917" s="27"/>
      <c r="Y917" s="27"/>
      <c r="Z917" s="46"/>
      <c r="AA917" s="27"/>
      <c r="AB917" s="27"/>
      <c r="AC917" s="27"/>
    </row>
    <row r="918" spans="2:29" x14ac:dyDescent="0.75">
      <c r="B918" s="26"/>
      <c r="C918" s="27"/>
      <c r="D918" s="46"/>
      <c r="E918" s="27"/>
      <c r="F918" s="27"/>
      <c r="G918" s="27"/>
      <c r="H918" s="46"/>
      <c r="I918" s="27"/>
      <c r="J918" s="27"/>
      <c r="K918" s="27"/>
      <c r="L918" s="46"/>
      <c r="M918" s="27"/>
      <c r="N918" s="27"/>
      <c r="O918" s="27"/>
      <c r="P918" s="46"/>
      <c r="Q918" s="27"/>
      <c r="R918" s="27"/>
      <c r="S918" s="27"/>
      <c r="T918" s="27"/>
      <c r="U918" s="27"/>
      <c r="V918" s="46"/>
      <c r="W918" s="27"/>
      <c r="X918" s="27"/>
      <c r="Y918" s="27"/>
      <c r="Z918" s="46"/>
      <c r="AA918" s="27"/>
      <c r="AB918" s="27"/>
      <c r="AC918" s="27"/>
    </row>
    <row r="919" spans="2:29" x14ac:dyDescent="0.75">
      <c r="B919" s="26"/>
      <c r="C919" s="27"/>
      <c r="D919" s="46"/>
      <c r="E919" s="27"/>
      <c r="F919" s="27"/>
      <c r="G919" s="27"/>
      <c r="H919" s="46"/>
      <c r="I919" s="27"/>
      <c r="J919" s="27"/>
      <c r="K919" s="27"/>
      <c r="L919" s="46"/>
      <c r="M919" s="27"/>
      <c r="N919" s="27"/>
      <c r="O919" s="27"/>
      <c r="P919" s="46"/>
      <c r="Q919" s="27"/>
      <c r="R919" s="27"/>
      <c r="S919" s="27"/>
      <c r="T919" s="27"/>
      <c r="U919" s="27"/>
      <c r="V919" s="46"/>
      <c r="W919" s="27"/>
      <c r="X919" s="27"/>
      <c r="Y919" s="27"/>
      <c r="Z919" s="46"/>
      <c r="AA919" s="27"/>
      <c r="AB919" s="27"/>
      <c r="AC919" s="27"/>
    </row>
    <row r="920" spans="2:29" x14ac:dyDescent="0.75">
      <c r="B920" s="26"/>
      <c r="C920" s="27"/>
      <c r="D920" s="46"/>
      <c r="E920" s="27"/>
      <c r="F920" s="27"/>
      <c r="G920" s="27"/>
      <c r="H920" s="46"/>
      <c r="I920" s="27"/>
      <c r="J920" s="27"/>
      <c r="K920" s="27"/>
      <c r="L920" s="46"/>
      <c r="M920" s="27"/>
      <c r="N920" s="27"/>
      <c r="O920" s="27"/>
      <c r="P920" s="46"/>
      <c r="Q920" s="27"/>
      <c r="R920" s="27"/>
      <c r="S920" s="27"/>
      <c r="T920" s="27"/>
      <c r="U920" s="27"/>
      <c r="V920" s="46"/>
      <c r="W920" s="27"/>
      <c r="X920" s="27"/>
      <c r="Y920" s="27"/>
      <c r="Z920" s="46"/>
      <c r="AA920" s="27"/>
      <c r="AB920" s="27"/>
      <c r="AC920" s="27"/>
    </row>
    <row r="921" spans="2:29" x14ac:dyDescent="0.75">
      <c r="B921" s="26"/>
      <c r="C921" s="27"/>
      <c r="D921" s="46"/>
      <c r="E921" s="27"/>
      <c r="F921" s="27"/>
      <c r="G921" s="27"/>
      <c r="H921" s="46"/>
      <c r="I921" s="27"/>
      <c r="J921" s="27"/>
      <c r="K921" s="27"/>
      <c r="L921" s="46"/>
      <c r="M921" s="27"/>
      <c r="N921" s="27"/>
      <c r="O921" s="27"/>
      <c r="P921" s="46"/>
      <c r="Q921" s="27"/>
      <c r="R921" s="27"/>
      <c r="S921" s="27"/>
      <c r="T921" s="27"/>
      <c r="U921" s="27"/>
      <c r="V921" s="46"/>
      <c r="W921" s="27"/>
      <c r="X921" s="27"/>
      <c r="Y921" s="27"/>
      <c r="Z921" s="46"/>
      <c r="AA921" s="27"/>
      <c r="AB921" s="27"/>
      <c r="AC921" s="27"/>
    </row>
    <row r="922" spans="2:29" x14ac:dyDescent="0.75">
      <c r="B922" s="26"/>
      <c r="C922" s="27"/>
      <c r="D922" s="46"/>
      <c r="E922" s="27"/>
      <c r="F922" s="27"/>
      <c r="G922" s="27"/>
      <c r="H922" s="46"/>
      <c r="I922" s="27"/>
      <c r="J922" s="27"/>
      <c r="K922" s="27"/>
      <c r="L922" s="46"/>
      <c r="M922" s="27"/>
      <c r="N922" s="27"/>
      <c r="O922" s="27"/>
      <c r="P922" s="46"/>
      <c r="Q922" s="27"/>
      <c r="R922" s="27"/>
      <c r="S922" s="27"/>
      <c r="T922" s="27"/>
      <c r="U922" s="27"/>
      <c r="V922" s="46"/>
      <c r="W922" s="27"/>
      <c r="X922" s="27"/>
      <c r="Y922" s="27"/>
      <c r="Z922" s="46"/>
      <c r="AA922" s="27"/>
      <c r="AB922" s="27"/>
      <c r="AC922" s="27"/>
    </row>
    <row r="923" spans="2:29" x14ac:dyDescent="0.75">
      <c r="B923" s="26"/>
      <c r="C923" s="27"/>
      <c r="D923" s="46"/>
      <c r="E923" s="27"/>
      <c r="F923" s="27"/>
      <c r="G923" s="27"/>
      <c r="H923" s="46"/>
      <c r="I923" s="27"/>
      <c r="J923" s="27"/>
      <c r="K923" s="27"/>
      <c r="L923" s="46"/>
      <c r="M923" s="27"/>
      <c r="N923" s="27"/>
      <c r="O923" s="27"/>
      <c r="P923" s="46"/>
      <c r="Q923" s="27"/>
      <c r="R923" s="27"/>
      <c r="S923" s="27"/>
      <c r="T923" s="27"/>
      <c r="U923" s="27"/>
      <c r="V923" s="46"/>
      <c r="W923" s="27"/>
      <c r="X923" s="27"/>
      <c r="Y923" s="27"/>
      <c r="Z923" s="46"/>
      <c r="AA923" s="27"/>
      <c r="AB923" s="27"/>
      <c r="AC923" s="27"/>
    </row>
    <row r="924" spans="2:29" x14ac:dyDescent="0.75">
      <c r="B924" s="26"/>
      <c r="C924" s="27"/>
      <c r="D924" s="46"/>
      <c r="E924" s="27"/>
      <c r="F924" s="27"/>
      <c r="G924" s="27"/>
      <c r="H924" s="46"/>
      <c r="I924" s="27"/>
      <c r="J924" s="27"/>
      <c r="K924" s="27"/>
      <c r="L924" s="46"/>
      <c r="M924" s="27"/>
      <c r="N924" s="27"/>
      <c r="O924" s="27"/>
      <c r="P924" s="46"/>
      <c r="Q924" s="27"/>
      <c r="R924" s="27"/>
      <c r="S924" s="27"/>
      <c r="T924" s="27"/>
      <c r="U924" s="27"/>
      <c r="V924" s="46"/>
      <c r="W924" s="27"/>
      <c r="X924" s="27"/>
      <c r="Y924" s="27"/>
      <c r="Z924" s="46"/>
      <c r="AA924" s="27"/>
      <c r="AB924" s="27"/>
      <c r="AC924" s="27"/>
    </row>
    <row r="925" spans="2:29" x14ac:dyDescent="0.75">
      <c r="B925" s="26"/>
      <c r="C925" s="27"/>
      <c r="D925" s="46"/>
      <c r="E925" s="27"/>
      <c r="F925" s="27"/>
      <c r="G925" s="27"/>
      <c r="H925" s="46"/>
      <c r="I925" s="27"/>
      <c r="J925" s="27"/>
      <c r="K925" s="27"/>
      <c r="L925" s="46"/>
      <c r="M925" s="27"/>
      <c r="N925" s="27"/>
      <c r="O925" s="27"/>
      <c r="P925" s="46"/>
      <c r="Q925" s="27"/>
      <c r="R925" s="27"/>
      <c r="S925" s="27"/>
      <c r="T925" s="27"/>
      <c r="U925" s="27"/>
      <c r="V925" s="46"/>
      <c r="W925" s="27"/>
      <c r="X925" s="27"/>
      <c r="Y925" s="27"/>
      <c r="Z925" s="46"/>
      <c r="AA925" s="27"/>
      <c r="AB925" s="27"/>
      <c r="AC925" s="27"/>
    </row>
    <row r="926" spans="2:29" x14ac:dyDescent="0.75">
      <c r="B926" s="26"/>
      <c r="C926" s="27"/>
      <c r="D926" s="46"/>
      <c r="E926" s="27"/>
      <c r="F926" s="27"/>
      <c r="G926" s="27"/>
      <c r="H926" s="46"/>
      <c r="I926" s="27"/>
      <c r="J926" s="27"/>
      <c r="K926" s="27"/>
      <c r="L926" s="46"/>
      <c r="M926" s="27"/>
      <c r="N926" s="27"/>
      <c r="O926" s="27"/>
      <c r="P926" s="46"/>
      <c r="Q926" s="27"/>
      <c r="R926" s="27"/>
      <c r="S926" s="27"/>
      <c r="T926" s="27"/>
      <c r="U926" s="27"/>
      <c r="V926" s="46"/>
      <c r="W926" s="27"/>
      <c r="X926" s="27"/>
      <c r="Y926" s="27"/>
      <c r="Z926" s="46"/>
      <c r="AA926" s="27"/>
      <c r="AB926" s="27"/>
      <c r="AC926" s="27"/>
    </row>
    <row r="927" spans="2:29" x14ac:dyDescent="0.75">
      <c r="B927" s="26"/>
      <c r="C927" s="27"/>
      <c r="D927" s="46"/>
      <c r="E927" s="27"/>
      <c r="F927" s="27"/>
      <c r="G927" s="27"/>
      <c r="H927" s="46"/>
      <c r="I927" s="27"/>
      <c r="J927" s="27"/>
      <c r="K927" s="27"/>
      <c r="L927" s="46"/>
      <c r="M927" s="27"/>
      <c r="N927" s="27"/>
      <c r="O927" s="27"/>
      <c r="P927" s="46"/>
      <c r="Q927" s="27"/>
      <c r="R927" s="27"/>
      <c r="S927" s="27"/>
      <c r="T927" s="27"/>
      <c r="U927" s="27"/>
      <c r="V927" s="46"/>
      <c r="W927" s="27"/>
      <c r="X927" s="27"/>
      <c r="Y927" s="27"/>
      <c r="Z927" s="46"/>
      <c r="AA927" s="27"/>
      <c r="AB927" s="27"/>
      <c r="AC927" s="27"/>
    </row>
    <row r="928" spans="2:29" x14ac:dyDescent="0.75">
      <c r="B928" s="26"/>
      <c r="C928" s="27"/>
      <c r="D928" s="46"/>
      <c r="E928" s="27"/>
      <c r="F928" s="27"/>
      <c r="G928" s="27"/>
      <c r="H928" s="46"/>
      <c r="I928" s="27"/>
      <c r="J928" s="27"/>
      <c r="K928" s="27"/>
      <c r="L928" s="46"/>
      <c r="M928" s="27"/>
      <c r="N928" s="27"/>
      <c r="O928" s="27"/>
      <c r="P928" s="46"/>
      <c r="Q928" s="27"/>
      <c r="R928" s="27"/>
      <c r="S928" s="27"/>
      <c r="T928" s="27"/>
      <c r="U928" s="27"/>
      <c r="V928" s="46"/>
      <c r="W928" s="27"/>
      <c r="X928" s="27"/>
      <c r="Y928" s="27"/>
      <c r="Z928" s="46"/>
      <c r="AA928" s="27"/>
      <c r="AB928" s="27"/>
      <c r="AC928" s="27"/>
    </row>
    <row r="929" spans="2:29" x14ac:dyDescent="0.75">
      <c r="B929" s="26"/>
      <c r="C929" s="27"/>
      <c r="D929" s="46"/>
      <c r="E929" s="27"/>
      <c r="F929" s="27"/>
      <c r="G929" s="27"/>
      <c r="H929" s="46"/>
      <c r="I929" s="27"/>
      <c r="J929" s="27"/>
      <c r="K929" s="27"/>
      <c r="L929" s="46"/>
      <c r="M929" s="27"/>
      <c r="N929" s="27"/>
      <c r="O929" s="27"/>
      <c r="P929" s="46"/>
      <c r="Q929" s="27"/>
      <c r="R929" s="27"/>
      <c r="S929" s="27"/>
      <c r="T929" s="27"/>
      <c r="U929" s="27"/>
      <c r="V929" s="46"/>
      <c r="W929" s="27"/>
      <c r="X929" s="27"/>
      <c r="Y929" s="27"/>
      <c r="Z929" s="46"/>
      <c r="AA929" s="27"/>
      <c r="AB929" s="27"/>
      <c r="AC929" s="27"/>
    </row>
    <row r="930" spans="2:29" x14ac:dyDescent="0.75">
      <c r="B930" s="26"/>
      <c r="C930" s="27"/>
      <c r="D930" s="46"/>
      <c r="E930" s="27"/>
      <c r="F930" s="27"/>
      <c r="G930" s="27"/>
      <c r="H930" s="46"/>
      <c r="I930" s="27"/>
      <c r="J930" s="27"/>
      <c r="K930" s="27"/>
      <c r="L930" s="46"/>
      <c r="M930" s="27"/>
      <c r="N930" s="27"/>
      <c r="O930" s="27"/>
      <c r="P930" s="46"/>
      <c r="Q930" s="27"/>
      <c r="R930" s="27"/>
      <c r="S930" s="27"/>
      <c r="T930" s="27"/>
      <c r="U930" s="27"/>
      <c r="V930" s="46"/>
      <c r="W930" s="27"/>
      <c r="X930" s="27"/>
      <c r="Y930" s="27"/>
      <c r="Z930" s="46"/>
      <c r="AA930" s="27"/>
      <c r="AB930" s="27"/>
      <c r="AC930" s="27"/>
    </row>
    <row r="931" spans="2:29" x14ac:dyDescent="0.75">
      <c r="B931" s="26"/>
      <c r="C931" s="27"/>
      <c r="D931" s="46"/>
      <c r="E931" s="27"/>
      <c r="F931" s="27"/>
      <c r="G931" s="27"/>
      <c r="H931" s="46"/>
      <c r="I931" s="27"/>
      <c r="J931" s="27"/>
      <c r="K931" s="27"/>
      <c r="L931" s="46"/>
      <c r="M931" s="27"/>
      <c r="N931" s="27"/>
      <c r="O931" s="27"/>
      <c r="P931" s="46"/>
      <c r="Q931" s="27"/>
      <c r="R931" s="27"/>
      <c r="S931" s="27"/>
      <c r="T931" s="27"/>
      <c r="U931" s="27"/>
      <c r="V931" s="46"/>
      <c r="W931" s="27"/>
      <c r="X931" s="27"/>
      <c r="Y931" s="27"/>
      <c r="Z931" s="46"/>
      <c r="AA931" s="27"/>
      <c r="AB931" s="27"/>
      <c r="AC931" s="27"/>
    </row>
    <row r="932" spans="2:29" x14ac:dyDescent="0.75">
      <c r="B932" s="26"/>
      <c r="C932" s="27"/>
      <c r="D932" s="46"/>
      <c r="E932" s="27"/>
      <c r="F932" s="27"/>
      <c r="G932" s="27"/>
      <c r="H932" s="46"/>
      <c r="I932" s="27"/>
      <c r="J932" s="27"/>
      <c r="K932" s="27"/>
      <c r="L932" s="46"/>
      <c r="M932" s="27"/>
      <c r="N932" s="27"/>
      <c r="O932" s="27"/>
      <c r="P932" s="46"/>
      <c r="Q932" s="27"/>
      <c r="R932" s="27"/>
      <c r="S932" s="27"/>
      <c r="T932" s="27"/>
      <c r="U932" s="27"/>
      <c r="V932" s="46"/>
      <c r="W932" s="27"/>
      <c r="X932" s="27"/>
      <c r="Y932" s="27"/>
      <c r="Z932" s="46"/>
      <c r="AA932" s="27"/>
      <c r="AB932" s="27"/>
      <c r="AC932" s="27"/>
    </row>
    <row r="933" spans="2:29" x14ac:dyDescent="0.75">
      <c r="B933" s="26"/>
      <c r="C933" s="27"/>
      <c r="D933" s="46"/>
      <c r="E933" s="27"/>
      <c r="F933" s="27"/>
      <c r="G933" s="27"/>
      <c r="H933" s="46"/>
      <c r="I933" s="27"/>
      <c r="J933" s="27"/>
      <c r="K933" s="27"/>
      <c r="L933" s="46"/>
      <c r="M933" s="27"/>
      <c r="N933" s="27"/>
      <c r="O933" s="27"/>
      <c r="P933" s="46"/>
      <c r="Q933" s="27"/>
      <c r="R933" s="27"/>
      <c r="S933" s="27"/>
      <c r="T933" s="27"/>
      <c r="U933" s="27"/>
      <c r="V933" s="46"/>
      <c r="W933" s="27"/>
      <c r="X933" s="27"/>
      <c r="Y933" s="27"/>
      <c r="Z933" s="46"/>
      <c r="AA933" s="27"/>
      <c r="AB933" s="27"/>
      <c r="AC933" s="27"/>
    </row>
    <row r="934" spans="2:29" x14ac:dyDescent="0.75">
      <c r="B934" s="26"/>
      <c r="C934" s="27"/>
      <c r="D934" s="46"/>
      <c r="E934" s="27"/>
      <c r="F934" s="27"/>
      <c r="G934" s="27"/>
      <c r="H934" s="46"/>
      <c r="I934" s="27"/>
      <c r="J934" s="27"/>
      <c r="K934" s="27"/>
      <c r="L934" s="46"/>
      <c r="M934" s="27"/>
      <c r="N934" s="27"/>
      <c r="O934" s="27"/>
      <c r="P934" s="46"/>
      <c r="Q934" s="27"/>
      <c r="R934" s="27"/>
      <c r="S934" s="27"/>
      <c r="T934" s="27"/>
      <c r="U934" s="27"/>
      <c r="V934" s="46"/>
      <c r="W934" s="27"/>
      <c r="X934" s="27"/>
      <c r="Y934" s="27"/>
      <c r="Z934" s="46"/>
      <c r="AA934" s="27"/>
      <c r="AB934" s="27"/>
      <c r="AC934" s="27"/>
    </row>
    <row r="935" spans="2:29" x14ac:dyDescent="0.75">
      <c r="B935" s="26"/>
      <c r="C935" s="27"/>
      <c r="D935" s="46"/>
      <c r="E935" s="27"/>
      <c r="F935" s="27"/>
      <c r="G935" s="27"/>
      <c r="H935" s="46"/>
      <c r="I935" s="27"/>
      <c r="J935" s="27"/>
      <c r="K935" s="27"/>
      <c r="L935" s="46"/>
      <c r="M935" s="27"/>
      <c r="N935" s="27"/>
      <c r="O935" s="27"/>
      <c r="P935" s="46"/>
      <c r="Q935" s="27"/>
      <c r="R935" s="27"/>
      <c r="S935" s="27"/>
      <c r="T935" s="27"/>
      <c r="U935" s="27"/>
      <c r="V935" s="46"/>
      <c r="W935" s="27"/>
      <c r="X935" s="27"/>
      <c r="Y935" s="27"/>
      <c r="Z935" s="46"/>
      <c r="AA935" s="27"/>
      <c r="AB935" s="27"/>
      <c r="AC935" s="27"/>
    </row>
    <row r="936" spans="2:29" x14ac:dyDescent="0.75">
      <c r="B936" s="26"/>
      <c r="C936" s="27"/>
      <c r="D936" s="46"/>
      <c r="E936" s="27"/>
      <c r="F936" s="27"/>
      <c r="G936" s="27"/>
      <c r="H936" s="46"/>
      <c r="I936" s="27"/>
      <c r="J936" s="27"/>
      <c r="K936" s="27"/>
      <c r="L936" s="46"/>
      <c r="M936" s="27"/>
      <c r="N936" s="27"/>
      <c r="O936" s="27"/>
      <c r="P936" s="46"/>
      <c r="Q936" s="27"/>
      <c r="R936" s="27"/>
      <c r="S936" s="27"/>
      <c r="T936" s="27"/>
      <c r="U936" s="27"/>
      <c r="V936" s="46"/>
      <c r="W936" s="27"/>
      <c r="X936" s="27"/>
      <c r="Y936" s="27"/>
      <c r="Z936" s="46"/>
      <c r="AA936" s="27"/>
      <c r="AB936" s="27"/>
      <c r="AC936" s="27"/>
    </row>
    <row r="937" spans="2:29" x14ac:dyDescent="0.75">
      <c r="B937" s="26"/>
      <c r="C937" s="27"/>
      <c r="D937" s="46"/>
      <c r="E937" s="27"/>
      <c r="F937" s="27"/>
      <c r="G937" s="27"/>
      <c r="H937" s="46"/>
      <c r="I937" s="27"/>
      <c r="J937" s="27"/>
      <c r="K937" s="27"/>
      <c r="L937" s="46"/>
      <c r="M937" s="27"/>
      <c r="N937" s="27"/>
      <c r="O937" s="27"/>
      <c r="P937" s="46"/>
      <c r="Q937" s="27"/>
      <c r="R937" s="27"/>
      <c r="S937" s="27"/>
      <c r="T937" s="27"/>
      <c r="U937" s="27"/>
      <c r="V937" s="46"/>
      <c r="W937" s="27"/>
      <c r="X937" s="27"/>
      <c r="Y937" s="27"/>
      <c r="Z937" s="46"/>
      <c r="AA937" s="27"/>
      <c r="AB937" s="27"/>
      <c r="AC937" s="27"/>
    </row>
    <row r="938" spans="2:29" x14ac:dyDescent="0.75">
      <c r="B938" s="26"/>
      <c r="C938" s="27"/>
      <c r="D938" s="46"/>
      <c r="E938" s="27"/>
      <c r="F938" s="27"/>
      <c r="G938" s="27"/>
      <c r="H938" s="46"/>
      <c r="I938" s="27"/>
      <c r="J938" s="27"/>
      <c r="K938" s="27"/>
      <c r="L938" s="46"/>
      <c r="M938" s="27"/>
      <c r="N938" s="27"/>
      <c r="O938" s="27"/>
      <c r="P938" s="46"/>
      <c r="Q938" s="27"/>
      <c r="R938" s="27"/>
      <c r="S938" s="27"/>
      <c r="T938" s="27"/>
      <c r="U938" s="27"/>
      <c r="V938" s="46"/>
      <c r="W938" s="27"/>
      <c r="X938" s="27"/>
      <c r="Y938" s="27"/>
      <c r="Z938" s="46"/>
      <c r="AA938" s="27"/>
      <c r="AB938" s="27"/>
      <c r="AC938" s="27"/>
    </row>
    <row r="939" spans="2:29" x14ac:dyDescent="0.75">
      <c r="B939" s="26"/>
      <c r="C939" s="27"/>
      <c r="D939" s="46"/>
      <c r="E939" s="27"/>
      <c r="F939" s="27"/>
      <c r="G939" s="27"/>
      <c r="H939" s="46"/>
      <c r="I939" s="27"/>
      <c r="J939" s="27"/>
      <c r="K939" s="27"/>
      <c r="L939" s="46"/>
      <c r="M939" s="27"/>
      <c r="N939" s="27"/>
      <c r="O939" s="27"/>
      <c r="P939" s="46"/>
      <c r="Q939" s="27"/>
      <c r="R939" s="27"/>
      <c r="S939" s="27"/>
      <c r="T939" s="27"/>
      <c r="U939" s="27"/>
      <c r="V939" s="46"/>
      <c r="W939" s="27"/>
      <c r="X939" s="27"/>
      <c r="Y939" s="27"/>
      <c r="Z939" s="46"/>
      <c r="AA939" s="27"/>
      <c r="AB939" s="27"/>
      <c r="AC939" s="27"/>
    </row>
    <row r="940" spans="2:29" x14ac:dyDescent="0.75">
      <c r="B940" s="26"/>
      <c r="C940" s="27"/>
      <c r="D940" s="46"/>
      <c r="E940" s="27"/>
      <c r="F940" s="27"/>
      <c r="G940" s="27"/>
      <c r="H940" s="46"/>
      <c r="I940" s="27"/>
      <c r="J940" s="27"/>
      <c r="K940" s="27"/>
      <c r="L940" s="46"/>
      <c r="M940" s="27"/>
      <c r="N940" s="27"/>
      <c r="O940" s="27"/>
      <c r="P940" s="46"/>
      <c r="Q940" s="27"/>
      <c r="R940" s="27"/>
      <c r="S940" s="27"/>
      <c r="T940" s="27"/>
      <c r="U940" s="27"/>
      <c r="V940" s="46"/>
      <c r="W940" s="27"/>
      <c r="X940" s="27"/>
      <c r="Y940" s="27"/>
      <c r="Z940" s="46"/>
      <c r="AA940" s="27"/>
      <c r="AB940" s="27"/>
      <c r="AC940" s="27"/>
    </row>
    <row r="941" spans="2:29" x14ac:dyDescent="0.75">
      <c r="B941" s="26"/>
      <c r="C941" s="27"/>
      <c r="D941" s="46"/>
      <c r="E941" s="27"/>
      <c r="F941" s="27"/>
      <c r="G941" s="27"/>
      <c r="H941" s="46"/>
      <c r="I941" s="27"/>
      <c r="J941" s="27"/>
      <c r="K941" s="27"/>
      <c r="L941" s="46"/>
      <c r="M941" s="27"/>
      <c r="N941" s="27"/>
      <c r="O941" s="27"/>
      <c r="P941" s="46"/>
      <c r="Q941" s="27"/>
      <c r="R941" s="27"/>
      <c r="S941" s="27"/>
      <c r="T941" s="27"/>
      <c r="U941" s="27"/>
      <c r="V941" s="46"/>
      <c r="W941" s="27"/>
      <c r="X941" s="27"/>
      <c r="Y941" s="27"/>
      <c r="Z941" s="46"/>
      <c r="AA941" s="27"/>
      <c r="AB941" s="27"/>
      <c r="AC941" s="27"/>
    </row>
    <row r="942" spans="2:29" x14ac:dyDescent="0.75">
      <c r="B942" s="26"/>
      <c r="C942" s="27"/>
      <c r="D942" s="46"/>
      <c r="E942" s="27"/>
      <c r="F942" s="27"/>
      <c r="G942" s="27"/>
      <c r="H942" s="46"/>
      <c r="I942" s="27"/>
      <c r="J942" s="27"/>
      <c r="K942" s="27"/>
      <c r="L942" s="46"/>
      <c r="M942" s="27"/>
      <c r="N942" s="27"/>
      <c r="O942" s="27"/>
      <c r="P942" s="46"/>
      <c r="Q942" s="27"/>
      <c r="R942" s="27"/>
      <c r="S942" s="27"/>
      <c r="T942" s="27"/>
      <c r="U942" s="27"/>
      <c r="V942" s="46"/>
      <c r="W942" s="27"/>
      <c r="X942" s="27"/>
      <c r="Y942" s="27"/>
      <c r="Z942" s="46"/>
      <c r="AA942" s="27"/>
      <c r="AB942" s="27"/>
      <c r="AC942" s="27"/>
    </row>
    <row r="943" spans="2:29" x14ac:dyDescent="0.75">
      <c r="B943" s="26"/>
      <c r="C943" s="27"/>
      <c r="D943" s="46"/>
      <c r="E943" s="27"/>
      <c r="F943" s="27"/>
      <c r="G943" s="27"/>
      <c r="H943" s="46"/>
      <c r="I943" s="27"/>
      <c r="J943" s="27"/>
      <c r="K943" s="27"/>
      <c r="L943" s="46"/>
      <c r="M943" s="27"/>
      <c r="N943" s="27"/>
      <c r="O943" s="27"/>
      <c r="P943" s="46"/>
      <c r="Q943" s="27"/>
      <c r="R943" s="27"/>
      <c r="S943" s="27"/>
      <c r="T943" s="27"/>
      <c r="U943" s="27"/>
      <c r="V943" s="46"/>
      <c r="W943" s="27"/>
      <c r="X943" s="27"/>
      <c r="Y943" s="27"/>
      <c r="Z943" s="46"/>
      <c r="AA943" s="27"/>
      <c r="AB943" s="27"/>
      <c r="AC943" s="27"/>
    </row>
    <row r="944" spans="2:29" x14ac:dyDescent="0.75">
      <c r="B944" s="26"/>
      <c r="C944" s="27"/>
      <c r="D944" s="46"/>
      <c r="E944" s="27"/>
      <c r="F944" s="27"/>
      <c r="G944" s="27"/>
      <c r="H944" s="46"/>
      <c r="I944" s="27"/>
      <c r="J944" s="27"/>
      <c r="K944" s="27"/>
      <c r="L944" s="46"/>
      <c r="M944" s="27"/>
      <c r="N944" s="27"/>
      <c r="O944" s="27"/>
      <c r="P944" s="46"/>
      <c r="Q944" s="27"/>
      <c r="R944" s="27"/>
      <c r="S944" s="27"/>
      <c r="T944" s="27"/>
      <c r="U944" s="27"/>
      <c r="V944" s="46"/>
      <c r="W944" s="27"/>
      <c r="X944" s="27"/>
      <c r="Y944" s="27"/>
      <c r="Z944" s="46"/>
      <c r="AA944" s="27"/>
      <c r="AB944" s="27"/>
      <c r="AC944" s="27"/>
    </row>
    <row r="945" spans="2:29" x14ac:dyDescent="0.75">
      <c r="B945" s="26"/>
      <c r="C945" s="27"/>
      <c r="D945" s="46"/>
      <c r="E945" s="27"/>
      <c r="F945" s="27"/>
      <c r="G945" s="27"/>
      <c r="H945" s="46"/>
      <c r="I945" s="27"/>
      <c r="J945" s="27"/>
      <c r="K945" s="27"/>
      <c r="L945" s="46"/>
      <c r="M945" s="27"/>
      <c r="N945" s="27"/>
      <c r="O945" s="27"/>
      <c r="P945" s="46"/>
      <c r="Q945" s="27"/>
      <c r="R945" s="27"/>
      <c r="S945" s="27"/>
      <c r="T945" s="27"/>
      <c r="U945" s="27"/>
      <c r="V945" s="46"/>
      <c r="W945" s="27"/>
      <c r="X945" s="27"/>
      <c r="Y945" s="27"/>
      <c r="Z945" s="46"/>
      <c r="AA945" s="27"/>
      <c r="AB945" s="27"/>
      <c r="AC945" s="27"/>
    </row>
    <row r="946" spans="2:29" x14ac:dyDescent="0.75">
      <c r="B946" s="26"/>
      <c r="C946" s="27"/>
      <c r="D946" s="46"/>
      <c r="E946" s="27"/>
      <c r="F946" s="27"/>
      <c r="G946" s="27"/>
      <c r="H946" s="46"/>
      <c r="I946" s="27"/>
      <c r="J946" s="27"/>
      <c r="K946" s="27"/>
      <c r="L946" s="46"/>
      <c r="M946" s="27"/>
      <c r="N946" s="27"/>
      <c r="O946" s="27"/>
      <c r="P946" s="46"/>
      <c r="Q946" s="27"/>
      <c r="R946" s="27"/>
      <c r="S946" s="27"/>
      <c r="T946" s="27"/>
      <c r="U946" s="27"/>
      <c r="V946" s="46"/>
      <c r="W946" s="27"/>
      <c r="X946" s="27"/>
      <c r="Y946" s="27"/>
      <c r="Z946" s="46"/>
      <c r="AA946" s="27"/>
      <c r="AB946" s="27"/>
      <c r="AC946" s="27"/>
    </row>
    <row r="947" spans="2:29" x14ac:dyDescent="0.75">
      <c r="B947" s="26"/>
      <c r="C947" s="27"/>
      <c r="D947" s="46"/>
      <c r="E947" s="27"/>
      <c r="F947" s="27"/>
      <c r="G947" s="27"/>
      <c r="H947" s="46"/>
      <c r="I947" s="27"/>
      <c r="J947" s="27"/>
      <c r="K947" s="27"/>
      <c r="L947" s="46"/>
      <c r="M947" s="27"/>
      <c r="N947" s="27"/>
      <c r="O947" s="27"/>
      <c r="P947" s="46"/>
      <c r="Q947" s="27"/>
      <c r="R947" s="27"/>
      <c r="S947" s="27"/>
      <c r="T947" s="27"/>
      <c r="U947" s="27"/>
      <c r="V947" s="46"/>
      <c r="W947" s="27"/>
      <c r="X947" s="27"/>
      <c r="Y947" s="27"/>
      <c r="Z947" s="46"/>
      <c r="AA947" s="27"/>
      <c r="AB947" s="27"/>
      <c r="AC947" s="27"/>
    </row>
    <row r="948" spans="2:29" x14ac:dyDescent="0.75">
      <c r="B948" s="26"/>
      <c r="C948" s="27"/>
      <c r="D948" s="46"/>
      <c r="E948" s="27"/>
      <c r="F948" s="27"/>
      <c r="G948" s="27"/>
      <c r="H948" s="46"/>
      <c r="I948" s="27"/>
      <c r="J948" s="27"/>
      <c r="K948" s="27"/>
      <c r="L948" s="46"/>
      <c r="M948" s="27"/>
      <c r="N948" s="27"/>
      <c r="O948" s="27"/>
      <c r="P948" s="46"/>
      <c r="Q948" s="27"/>
      <c r="R948" s="27"/>
      <c r="S948" s="27"/>
      <c r="T948" s="27"/>
      <c r="U948" s="27"/>
      <c r="V948" s="46"/>
      <c r="W948" s="27"/>
      <c r="X948" s="27"/>
      <c r="Y948" s="27"/>
      <c r="Z948" s="46"/>
      <c r="AA948" s="27"/>
      <c r="AB948" s="27"/>
      <c r="AC948" s="27"/>
    </row>
    <row r="949" spans="2:29" x14ac:dyDescent="0.75">
      <c r="B949" s="26"/>
      <c r="C949" s="27"/>
      <c r="D949" s="46"/>
      <c r="E949" s="27"/>
      <c r="F949" s="27"/>
      <c r="G949" s="27"/>
      <c r="H949" s="46"/>
      <c r="I949" s="27"/>
      <c r="J949" s="27"/>
      <c r="K949" s="27"/>
      <c r="L949" s="46"/>
      <c r="M949" s="27"/>
      <c r="N949" s="27"/>
      <c r="O949" s="27"/>
      <c r="P949" s="46"/>
      <c r="Q949" s="27"/>
      <c r="R949" s="27"/>
      <c r="S949" s="27"/>
      <c r="T949" s="27"/>
      <c r="U949" s="27"/>
      <c r="V949" s="46"/>
      <c r="W949" s="27"/>
      <c r="X949" s="27"/>
      <c r="Y949" s="27"/>
      <c r="Z949" s="46"/>
      <c r="AA949" s="27"/>
      <c r="AB949" s="27"/>
      <c r="AC949" s="27"/>
    </row>
    <row r="950" spans="2:29" x14ac:dyDescent="0.75">
      <c r="B950" s="26"/>
      <c r="C950" s="27"/>
      <c r="D950" s="46"/>
      <c r="E950" s="27"/>
      <c r="F950" s="27"/>
      <c r="G950" s="27"/>
      <c r="H950" s="46"/>
      <c r="I950" s="27"/>
      <c r="J950" s="27"/>
      <c r="K950" s="27"/>
      <c r="L950" s="46"/>
      <c r="M950" s="27"/>
      <c r="N950" s="27"/>
      <c r="O950" s="27"/>
      <c r="P950" s="46"/>
      <c r="Q950" s="27"/>
      <c r="R950" s="27"/>
      <c r="S950" s="27"/>
      <c r="T950" s="27"/>
      <c r="U950" s="27"/>
      <c r="V950" s="46"/>
      <c r="W950" s="27"/>
      <c r="X950" s="27"/>
      <c r="Y950" s="27"/>
      <c r="Z950" s="46"/>
      <c r="AA950" s="27"/>
      <c r="AB950" s="27"/>
      <c r="AC950" s="27"/>
    </row>
    <row r="951" spans="2:29" x14ac:dyDescent="0.75">
      <c r="B951" s="26"/>
      <c r="C951" s="27"/>
      <c r="D951" s="46"/>
      <c r="E951" s="27"/>
      <c r="F951" s="27"/>
      <c r="G951" s="27"/>
      <c r="H951" s="46"/>
      <c r="I951" s="27"/>
      <c r="J951" s="27"/>
      <c r="K951" s="27"/>
      <c r="L951" s="46"/>
      <c r="M951" s="27"/>
      <c r="N951" s="27"/>
      <c r="O951" s="27"/>
      <c r="P951" s="46"/>
      <c r="Q951" s="27"/>
      <c r="R951" s="27"/>
      <c r="S951" s="27"/>
      <c r="T951" s="27"/>
      <c r="U951" s="27"/>
      <c r="V951" s="46"/>
      <c r="W951" s="27"/>
      <c r="X951" s="27"/>
      <c r="Y951" s="27"/>
      <c r="Z951" s="46"/>
      <c r="AA951" s="27"/>
      <c r="AB951" s="27"/>
      <c r="AC951" s="27"/>
    </row>
    <row r="952" spans="2:29" x14ac:dyDescent="0.75">
      <c r="B952" s="26"/>
      <c r="C952" s="27"/>
      <c r="D952" s="46"/>
      <c r="E952" s="27"/>
      <c r="F952" s="27"/>
      <c r="G952" s="27"/>
      <c r="H952" s="46"/>
      <c r="I952" s="27"/>
      <c r="J952" s="27"/>
      <c r="K952" s="27"/>
      <c r="L952" s="46"/>
      <c r="M952" s="27"/>
      <c r="N952" s="27"/>
      <c r="O952" s="27"/>
      <c r="P952" s="46"/>
      <c r="Q952" s="27"/>
      <c r="R952" s="27"/>
      <c r="S952" s="27"/>
      <c r="T952" s="27"/>
      <c r="U952" s="27"/>
      <c r="V952" s="46"/>
      <c r="W952" s="27"/>
      <c r="X952" s="27"/>
      <c r="Y952" s="27"/>
      <c r="Z952" s="46"/>
      <c r="AA952" s="27"/>
      <c r="AB952" s="27"/>
      <c r="AC952" s="27"/>
    </row>
    <row r="953" spans="2:29" x14ac:dyDescent="0.75">
      <c r="B953" s="26"/>
      <c r="C953" s="27"/>
      <c r="D953" s="46"/>
      <c r="E953" s="27"/>
      <c r="F953" s="27"/>
      <c r="G953" s="27"/>
      <c r="H953" s="46"/>
      <c r="I953" s="27"/>
      <c r="J953" s="27"/>
      <c r="K953" s="27"/>
      <c r="L953" s="46"/>
      <c r="M953" s="27"/>
      <c r="N953" s="27"/>
      <c r="O953" s="27"/>
      <c r="P953" s="46"/>
      <c r="Q953" s="27"/>
      <c r="R953" s="27"/>
      <c r="S953" s="27"/>
      <c r="T953" s="27"/>
      <c r="U953" s="27"/>
      <c r="V953" s="46"/>
      <c r="W953" s="27"/>
      <c r="X953" s="27"/>
      <c r="Y953" s="27"/>
      <c r="Z953" s="46"/>
      <c r="AA953" s="27"/>
      <c r="AB953" s="27"/>
      <c r="AC953" s="27"/>
    </row>
    <row r="954" spans="2:29" x14ac:dyDescent="0.75">
      <c r="B954" s="26"/>
      <c r="C954" s="27"/>
      <c r="D954" s="46"/>
      <c r="E954" s="27"/>
      <c r="F954" s="27"/>
      <c r="G954" s="27"/>
      <c r="H954" s="46"/>
      <c r="I954" s="27"/>
      <c r="J954" s="27"/>
      <c r="K954" s="27"/>
      <c r="L954" s="46"/>
      <c r="M954" s="27"/>
      <c r="N954" s="27"/>
      <c r="O954" s="27"/>
      <c r="P954" s="46"/>
      <c r="Q954" s="27"/>
      <c r="R954" s="27"/>
      <c r="S954" s="27"/>
      <c r="T954" s="27"/>
      <c r="U954" s="27"/>
      <c r="V954" s="46"/>
      <c r="W954" s="27"/>
      <c r="X954" s="27"/>
      <c r="Y954" s="27"/>
      <c r="Z954" s="46"/>
      <c r="AA954" s="27"/>
      <c r="AB954" s="27"/>
      <c r="AC954" s="27"/>
    </row>
    <row r="955" spans="2:29" x14ac:dyDescent="0.75">
      <c r="B955" s="26"/>
      <c r="C955" s="27"/>
      <c r="D955" s="46"/>
      <c r="E955" s="27"/>
      <c r="F955" s="27"/>
      <c r="G955" s="27"/>
      <c r="H955" s="46"/>
      <c r="I955" s="27"/>
      <c r="J955" s="27"/>
      <c r="K955" s="27"/>
      <c r="L955" s="46"/>
      <c r="M955" s="27"/>
      <c r="N955" s="27"/>
      <c r="O955" s="27"/>
      <c r="P955" s="46"/>
      <c r="Q955" s="27"/>
      <c r="R955" s="27"/>
      <c r="S955" s="27"/>
      <c r="T955" s="27"/>
      <c r="U955" s="27"/>
      <c r="V955" s="46"/>
      <c r="W955" s="27"/>
      <c r="X955" s="27"/>
      <c r="Y955" s="27"/>
      <c r="Z955" s="46"/>
      <c r="AA955" s="27"/>
      <c r="AB955" s="27"/>
      <c r="AC955" s="27"/>
    </row>
    <row r="956" spans="2:29" x14ac:dyDescent="0.75">
      <c r="B956" s="26"/>
      <c r="C956" s="27"/>
      <c r="D956" s="46"/>
      <c r="E956" s="27"/>
      <c r="F956" s="27"/>
      <c r="G956" s="27"/>
      <c r="H956" s="46"/>
      <c r="I956" s="27"/>
      <c r="J956" s="27"/>
      <c r="K956" s="27"/>
      <c r="L956" s="46"/>
      <c r="M956" s="27"/>
      <c r="N956" s="27"/>
      <c r="O956" s="27"/>
      <c r="P956" s="46"/>
      <c r="Q956" s="27"/>
      <c r="R956" s="27"/>
      <c r="S956" s="27"/>
      <c r="T956" s="27"/>
      <c r="U956" s="27"/>
      <c r="V956" s="46"/>
      <c r="W956" s="27"/>
      <c r="X956" s="27"/>
      <c r="Y956" s="27"/>
      <c r="Z956" s="46"/>
      <c r="AA956" s="27"/>
      <c r="AB956" s="27"/>
      <c r="AC956" s="27"/>
    </row>
    <row r="957" spans="2:29" x14ac:dyDescent="0.75">
      <c r="B957" s="26"/>
      <c r="C957" s="27"/>
      <c r="D957" s="46"/>
      <c r="E957" s="27"/>
      <c r="F957" s="27"/>
      <c r="G957" s="27"/>
      <c r="H957" s="46"/>
      <c r="I957" s="27"/>
      <c r="J957" s="27"/>
      <c r="K957" s="27"/>
      <c r="L957" s="46"/>
      <c r="M957" s="27"/>
      <c r="N957" s="27"/>
      <c r="O957" s="27"/>
      <c r="P957" s="46"/>
      <c r="Q957" s="27"/>
      <c r="R957" s="27"/>
      <c r="S957" s="27"/>
      <c r="T957" s="27"/>
      <c r="U957" s="27"/>
      <c r="V957" s="46"/>
      <c r="W957" s="27"/>
      <c r="X957" s="27"/>
      <c r="Y957" s="27"/>
      <c r="Z957" s="46"/>
      <c r="AA957" s="27"/>
      <c r="AB957" s="27"/>
      <c r="AC957" s="27"/>
    </row>
    <row r="958" spans="2:29" x14ac:dyDescent="0.75">
      <c r="B958" s="26"/>
      <c r="C958" s="27"/>
      <c r="D958" s="46"/>
      <c r="E958" s="27"/>
      <c r="F958" s="27"/>
      <c r="G958" s="27"/>
      <c r="H958" s="46"/>
      <c r="I958" s="27"/>
      <c r="J958" s="27"/>
      <c r="K958" s="27"/>
      <c r="L958" s="46"/>
      <c r="M958" s="27"/>
      <c r="N958" s="27"/>
      <c r="O958" s="27"/>
      <c r="P958" s="46"/>
      <c r="Q958" s="27"/>
      <c r="R958" s="27"/>
      <c r="S958" s="27"/>
      <c r="T958" s="27"/>
      <c r="U958" s="27"/>
      <c r="V958" s="46"/>
      <c r="W958" s="27"/>
      <c r="X958" s="27"/>
      <c r="Y958" s="27"/>
      <c r="Z958" s="46"/>
      <c r="AA958" s="27"/>
      <c r="AB958" s="27"/>
      <c r="AC958" s="27"/>
    </row>
    <row r="959" spans="2:29" x14ac:dyDescent="0.75">
      <c r="B959" s="26"/>
      <c r="C959" s="27"/>
      <c r="D959" s="46"/>
      <c r="E959" s="27"/>
      <c r="F959" s="27"/>
      <c r="G959" s="27"/>
      <c r="H959" s="46"/>
      <c r="I959" s="27"/>
      <c r="J959" s="27"/>
      <c r="K959" s="27"/>
      <c r="L959" s="46"/>
      <c r="M959" s="27"/>
      <c r="N959" s="27"/>
      <c r="O959" s="27"/>
      <c r="P959" s="46"/>
      <c r="Q959" s="27"/>
      <c r="R959" s="27"/>
      <c r="S959" s="27"/>
      <c r="T959" s="27"/>
      <c r="U959" s="27"/>
      <c r="V959" s="46"/>
      <c r="W959" s="27"/>
      <c r="X959" s="27"/>
      <c r="Y959" s="27"/>
      <c r="Z959" s="46"/>
      <c r="AA959" s="27"/>
      <c r="AB959" s="27"/>
      <c r="AC959" s="27"/>
    </row>
    <row r="960" spans="2:29" x14ac:dyDescent="0.75">
      <c r="B960" s="26"/>
      <c r="C960" s="27"/>
      <c r="D960" s="46"/>
      <c r="E960" s="27"/>
      <c r="F960" s="27"/>
      <c r="G960" s="27"/>
      <c r="H960" s="46"/>
      <c r="I960" s="27"/>
      <c r="J960" s="27"/>
      <c r="K960" s="27"/>
      <c r="L960" s="46"/>
      <c r="M960" s="27"/>
      <c r="N960" s="27"/>
      <c r="O960" s="27"/>
      <c r="P960" s="46"/>
      <c r="Q960" s="27"/>
      <c r="R960" s="27"/>
      <c r="S960" s="27"/>
      <c r="T960" s="27"/>
      <c r="U960" s="27"/>
      <c r="V960" s="46"/>
      <c r="W960" s="27"/>
      <c r="X960" s="27"/>
      <c r="Y960" s="27"/>
      <c r="Z960" s="46"/>
      <c r="AA960" s="27"/>
      <c r="AB960" s="27"/>
      <c r="AC960" s="27"/>
    </row>
    <row r="961" spans="2:29" x14ac:dyDescent="0.75">
      <c r="B961" s="26"/>
      <c r="C961" s="27"/>
      <c r="D961" s="46"/>
      <c r="E961" s="27"/>
      <c r="F961" s="27"/>
      <c r="G961" s="27"/>
      <c r="H961" s="46"/>
      <c r="I961" s="27"/>
      <c r="J961" s="27"/>
      <c r="K961" s="27"/>
      <c r="L961" s="46"/>
      <c r="M961" s="27"/>
      <c r="N961" s="27"/>
      <c r="O961" s="27"/>
      <c r="P961" s="46"/>
      <c r="Q961" s="27"/>
      <c r="R961" s="27"/>
      <c r="S961" s="27"/>
      <c r="T961" s="27"/>
      <c r="U961" s="27"/>
      <c r="V961" s="46"/>
      <c r="W961" s="27"/>
      <c r="X961" s="27"/>
      <c r="Y961" s="27"/>
      <c r="Z961" s="46"/>
      <c r="AA961" s="27"/>
      <c r="AB961" s="27"/>
      <c r="AC961" s="27"/>
    </row>
    <row r="962" spans="2:29" x14ac:dyDescent="0.75">
      <c r="B962" s="26"/>
      <c r="C962" s="27"/>
      <c r="D962" s="46"/>
      <c r="E962" s="27"/>
      <c r="F962" s="27"/>
      <c r="G962" s="27"/>
      <c r="H962" s="46"/>
      <c r="I962" s="27"/>
      <c r="J962" s="27"/>
      <c r="K962" s="27"/>
      <c r="L962" s="46"/>
      <c r="M962" s="27"/>
      <c r="N962" s="27"/>
      <c r="O962" s="27"/>
      <c r="P962" s="46"/>
      <c r="Q962" s="27"/>
      <c r="R962" s="27"/>
      <c r="S962" s="27"/>
      <c r="T962" s="27"/>
      <c r="U962" s="27"/>
      <c r="V962" s="46"/>
      <c r="W962" s="27"/>
      <c r="X962" s="27"/>
      <c r="Y962" s="27"/>
      <c r="Z962" s="46"/>
      <c r="AA962" s="27"/>
      <c r="AB962" s="27"/>
      <c r="AC962" s="27"/>
    </row>
    <row r="963" spans="2:29" x14ac:dyDescent="0.75">
      <c r="B963" s="26"/>
      <c r="C963" s="27"/>
      <c r="D963" s="46"/>
      <c r="E963" s="27"/>
      <c r="F963" s="27"/>
      <c r="G963" s="27"/>
      <c r="H963" s="46"/>
      <c r="I963" s="27"/>
      <c r="J963" s="27"/>
      <c r="K963" s="27"/>
      <c r="L963" s="46"/>
      <c r="M963" s="27"/>
      <c r="N963" s="27"/>
      <c r="O963" s="27"/>
      <c r="P963" s="46"/>
      <c r="Q963" s="27"/>
      <c r="R963" s="27"/>
      <c r="S963" s="27"/>
      <c r="T963" s="27"/>
      <c r="U963" s="27"/>
      <c r="V963" s="46"/>
      <c r="W963" s="27"/>
      <c r="X963" s="27"/>
      <c r="Y963" s="27"/>
      <c r="Z963" s="46"/>
      <c r="AA963" s="27"/>
      <c r="AB963" s="27"/>
      <c r="AC963" s="27"/>
    </row>
    <row r="964" spans="2:29" x14ac:dyDescent="0.75">
      <c r="B964" s="26"/>
      <c r="C964" s="27"/>
      <c r="D964" s="46"/>
      <c r="E964" s="27"/>
      <c r="F964" s="27"/>
      <c r="G964" s="27"/>
      <c r="H964" s="46"/>
      <c r="I964" s="27"/>
      <c r="J964" s="27"/>
      <c r="K964" s="27"/>
      <c r="L964" s="46"/>
      <c r="M964" s="27"/>
      <c r="N964" s="27"/>
      <c r="O964" s="27"/>
      <c r="P964" s="46"/>
      <c r="Q964" s="27"/>
      <c r="R964" s="27"/>
      <c r="S964" s="27"/>
      <c r="T964" s="27"/>
      <c r="U964" s="27"/>
      <c r="V964" s="46"/>
      <c r="W964" s="27"/>
      <c r="X964" s="27"/>
      <c r="Y964" s="27"/>
      <c r="Z964" s="46"/>
      <c r="AA964" s="27"/>
      <c r="AB964" s="27"/>
      <c r="AC964" s="27"/>
    </row>
    <row r="965" spans="2:29" x14ac:dyDescent="0.75">
      <c r="B965" s="26"/>
      <c r="C965" s="27"/>
      <c r="D965" s="46"/>
      <c r="E965" s="27"/>
      <c r="F965" s="27"/>
      <c r="G965" s="27"/>
      <c r="H965" s="46"/>
      <c r="I965" s="27"/>
      <c r="J965" s="27"/>
      <c r="K965" s="27"/>
      <c r="L965" s="46"/>
      <c r="M965" s="27"/>
      <c r="N965" s="27"/>
      <c r="O965" s="27"/>
      <c r="P965" s="46"/>
      <c r="Q965" s="27"/>
      <c r="R965" s="27"/>
      <c r="S965" s="27"/>
      <c r="T965" s="27"/>
      <c r="U965" s="27"/>
      <c r="V965" s="46"/>
      <c r="W965" s="27"/>
      <c r="X965" s="27"/>
      <c r="Y965" s="27"/>
      <c r="Z965" s="46"/>
      <c r="AA965" s="27"/>
      <c r="AB965" s="27"/>
      <c r="AC965" s="27"/>
    </row>
    <row r="966" spans="2:29" x14ac:dyDescent="0.75">
      <c r="B966" s="26"/>
      <c r="C966" s="27"/>
      <c r="D966" s="46"/>
      <c r="E966" s="27"/>
      <c r="F966" s="27"/>
      <c r="G966" s="27"/>
      <c r="H966" s="46"/>
      <c r="I966" s="27"/>
      <c r="J966" s="27"/>
      <c r="K966" s="27"/>
      <c r="L966" s="46"/>
      <c r="M966" s="27"/>
      <c r="N966" s="27"/>
      <c r="O966" s="27"/>
      <c r="P966" s="46"/>
      <c r="Q966" s="27"/>
      <c r="R966" s="27"/>
      <c r="S966" s="27"/>
      <c r="T966" s="27"/>
      <c r="U966" s="27"/>
      <c r="V966" s="46"/>
      <c r="W966" s="27"/>
      <c r="X966" s="27"/>
      <c r="Y966" s="27"/>
      <c r="Z966" s="46"/>
      <c r="AA966" s="27"/>
      <c r="AB966" s="27"/>
      <c r="AC966" s="27"/>
    </row>
    <row r="967" spans="2:29" x14ac:dyDescent="0.75">
      <c r="B967" s="26"/>
      <c r="C967" s="27"/>
      <c r="D967" s="46"/>
      <c r="E967" s="27"/>
      <c r="F967" s="27"/>
      <c r="G967" s="27"/>
      <c r="H967" s="46"/>
      <c r="I967" s="27"/>
      <c r="J967" s="27"/>
      <c r="K967" s="27"/>
      <c r="L967" s="46"/>
      <c r="M967" s="27"/>
      <c r="N967" s="27"/>
      <c r="O967" s="27"/>
      <c r="P967" s="46"/>
      <c r="Q967" s="27"/>
      <c r="R967" s="27"/>
      <c r="S967" s="27"/>
      <c r="T967" s="27"/>
      <c r="U967" s="27"/>
      <c r="V967" s="46"/>
      <c r="W967" s="27"/>
      <c r="X967" s="27"/>
      <c r="Y967" s="27"/>
      <c r="Z967" s="46"/>
      <c r="AA967" s="27"/>
      <c r="AB967" s="27"/>
      <c r="AC967" s="27"/>
    </row>
    <row r="968" spans="2:29" x14ac:dyDescent="0.75">
      <c r="B968" s="26"/>
      <c r="C968" s="27"/>
      <c r="D968" s="46"/>
      <c r="E968" s="27"/>
      <c r="F968" s="27"/>
      <c r="G968" s="27"/>
      <c r="H968" s="46"/>
      <c r="I968" s="27"/>
      <c r="J968" s="27"/>
      <c r="K968" s="27"/>
      <c r="L968" s="46"/>
      <c r="M968" s="27"/>
      <c r="N968" s="27"/>
      <c r="O968" s="27"/>
      <c r="P968" s="46"/>
      <c r="Q968" s="27"/>
      <c r="R968" s="27"/>
      <c r="S968" s="27"/>
      <c r="T968" s="27"/>
      <c r="U968" s="27"/>
      <c r="V968" s="46"/>
      <c r="W968" s="27"/>
      <c r="X968" s="27"/>
      <c r="Y968" s="27"/>
      <c r="Z968" s="46"/>
      <c r="AA968" s="27"/>
      <c r="AB968" s="27"/>
      <c r="AC968" s="27"/>
    </row>
    <row r="969" spans="2:29" x14ac:dyDescent="0.75">
      <c r="B969" s="26"/>
      <c r="C969" s="27"/>
      <c r="D969" s="46"/>
      <c r="E969" s="27"/>
      <c r="F969" s="27"/>
      <c r="G969" s="27"/>
      <c r="H969" s="46"/>
      <c r="I969" s="27"/>
      <c r="J969" s="27"/>
      <c r="K969" s="27"/>
      <c r="L969" s="46"/>
      <c r="M969" s="27"/>
      <c r="N969" s="27"/>
      <c r="O969" s="27"/>
      <c r="P969" s="46"/>
      <c r="Q969" s="27"/>
      <c r="R969" s="27"/>
      <c r="S969" s="27"/>
      <c r="T969" s="27"/>
      <c r="U969" s="27"/>
      <c r="V969" s="46"/>
      <c r="W969" s="27"/>
      <c r="X969" s="27"/>
      <c r="Y969" s="27"/>
      <c r="Z969" s="46"/>
      <c r="AA969" s="27"/>
      <c r="AB969" s="27"/>
      <c r="AC969" s="27"/>
    </row>
    <row r="970" spans="2:29" x14ac:dyDescent="0.75">
      <c r="B970" s="26"/>
      <c r="C970" s="27"/>
      <c r="D970" s="46"/>
      <c r="E970" s="27"/>
      <c r="F970" s="27"/>
      <c r="G970" s="27"/>
      <c r="H970" s="46"/>
      <c r="I970" s="27"/>
      <c r="J970" s="27"/>
      <c r="K970" s="27"/>
      <c r="L970" s="46"/>
      <c r="M970" s="27"/>
      <c r="N970" s="27"/>
      <c r="O970" s="27"/>
      <c r="P970" s="46"/>
      <c r="Q970" s="27"/>
      <c r="R970" s="27"/>
      <c r="S970" s="27"/>
      <c r="T970" s="27"/>
      <c r="U970" s="27"/>
      <c r="V970" s="46"/>
      <c r="W970" s="27"/>
      <c r="X970" s="27"/>
      <c r="Y970" s="27"/>
      <c r="Z970" s="46"/>
      <c r="AA970" s="27"/>
      <c r="AB970" s="27"/>
      <c r="AC970" s="27"/>
    </row>
    <row r="971" spans="2:29" x14ac:dyDescent="0.75">
      <c r="B971" s="26"/>
      <c r="C971" s="27"/>
      <c r="D971" s="46"/>
      <c r="E971" s="27"/>
      <c r="F971" s="27"/>
      <c r="G971" s="27"/>
      <c r="H971" s="46"/>
      <c r="I971" s="27"/>
      <c r="J971" s="27"/>
      <c r="K971" s="27"/>
      <c r="L971" s="46"/>
      <c r="M971" s="27"/>
      <c r="N971" s="27"/>
      <c r="O971" s="27"/>
      <c r="P971" s="46"/>
      <c r="Q971" s="27"/>
      <c r="R971" s="27"/>
      <c r="S971" s="27"/>
      <c r="T971" s="27"/>
      <c r="U971" s="27"/>
      <c r="V971" s="46"/>
      <c r="W971" s="27"/>
      <c r="X971" s="27"/>
      <c r="Y971" s="27"/>
      <c r="Z971" s="46"/>
      <c r="AA971" s="27"/>
      <c r="AB971" s="27"/>
      <c r="AC971" s="27"/>
    </row>
    <row r="972" spans="2:29" x14ac:dyDescent="0.75">
      <c r="B972" s="26"/>
      <c r="C972" s="27"/>
      <c r="D972" s="46"/>
      <c r="E972" s="27"/>
      <c r="F972" s="27"/>
      <c r="G972" s="27"/>
      <c r="H972" s="46"/>
      <c r="I972" s="27"/>
      <c r="J972" s="27"/>
      <c r="K972" s="27"/>
      <c r="L972" s="46"/>
      <c r="M972" s="27"/>
      <c r="N972" s="27"/>
      <c r="O972" s="27"/>
      <c r="P972" s="46"/>
      <c r="Q972" s="27"/>
      <c r="R972" s="27"/>
      <c r="S972" s="27"/>
      <c r="T972" s="27"/>
      <c r="U972" s="27"/>
      <c r="V972" s="46"/>
      <c r="W972" s="27"/>
      <c r="X972" s="27"/>
      <c r="Y972" s="27"/>
      <c r="Z972" s="46"/>
      <c r="AA972" s="27"/>
      <c r="AB972" s="27"/>
      <c r="AC972" s="27"/>
    </row>
    <row r="973" spans="2:29" x14ac:dyDescent="0.75">
      <c r="B973" s="26"/>
      <c r="C973" s="27"/>
      <c r="D973" s="46"/>
      <c r="E973" s="27"/>
      <c r="F973" s="27"/>
      <c r="G973" s="27"/>
      <c r="H973" s="46"/>
      <c r="I973" s="27"/>
      <c r="J973" s="27"/>
      <c r="K973" s="27"/>
      <c r="L973" s="46"/>
      <c r="M973" s="27"/>
      <c r="N973" s="27"/>
      <c r="O973" s="27"/>
      <c r="P973" s="46"/>
      <c r="Q973" s="27"/>
      <c r="R973" s="27"/>
      <c r="S973" s="27"/>
      <c r="T973" s="27"/>
      <c r="U973" s="27"/>
      <c r="V973" s="46"/>
      <c r="W973" s="27"/>
      <c r="X973" s="27"/>
      <c r="Y973" s="27"/>
      <c r="Z973" s="46"/>
      <c r="AA973" s="27"/>
      <c r="AB973" s="27"/>
      <c r="AC973" s="27"/>
    </row>
    <row r="974" spans="2:29" x14ac:dyDescent="0.75">
      <c r="B974" s="26"/>
      <c r="C974" s="27"/>
      <c r="D974" s="46"/>
      <c r="E974" s="27"/>
      <c r="F974" s="27"/>
      <c r="G974" s="27"/>
      <c r="H974" s="46"/>
      <c r="I974" s="27"/>
      <c r="J974" s="27"/>
      <c r="K974" s="27"/>
      <c r="L974" s="46"/>
      <c r="M974" s="27"/>
      <c r="N974" s="27"/>
      <c r="O974" s="27"/>
      <c r="P974" s="46"/>
      <c r="Q974" s="27"/>
      <c r="R974" s="27"/>
      <c r="S974" s="27"/>
      <c r="T974" s="27"/>
      <c r="U974" s="27"/>
      <c r="V974" s="46"/>
      <c r="W974" s="27"/>
      <c r="X974" s="27"/>
      <c r="Y974" s="27"/>
      <c r="Z974" s="46"/>
      <c r="AA974" s="27"/>
      <c r="AB974" s="27"/>
      <c r="AC974" s="27"/>
    </row>
    <row r="975" spans="2:29" x14ac:dyDescent="0.75">
      <c r="B975" s="26"/>
      <c r="C975" s="27"/>
      <c r="D975" s="46"/>
      <c r="E975" s="27"/>
      <c r="F975" s="27"/>
      <c r="G975" s="27"/>
      <c r="H975" s="46"/>
      <c r="I975" s="27"/>
      <c r="J975" s="27"/>
      <c r="K975" s="27"/>
      <c r="L975" s="46"/>
      <c r="M975" s="27"/>
      <c r="N975" s="27"/>
      <c r="O975" s="27"/>
      <c r="P975" s="46"/>
      <c r="Q975" s="27"/>
      <c r="R975" s="27"/>
      <c r="S975" s="27"/>
      <c r="T975" s="27"/>
      <c r="U975" s="27"/>
      <c r="V975" s="46"/>
      <c r="W975" s="27"/>
      <c r="X975" s="27"/>
      <c r="Y975" s="27"/>
      <c r="Z975" s="46"/>
      <c r="AA975" s="27"/>
      <c r="AB975" s="27"/>
      <c r="AC975" s="27"/>
    </row>
    <row r="976" spans="2:29" x14ac:dyDescent="0.75">
      <c r="B976" s="26"/>
      <c r="C976" s="27"/>
      <c r="D976" s="46"/>
      <c r="E976" s="27"/>
      <c r="F976" s="27"/>
      <c r="G976" s="27"/>
      <c r="H976" s="46"/>
      <c r="I976" s="27"/>
      <c r="J976" s="27"/>
      <c r="K976" s="27"/>
      <c r="L976" s="46"/>
      <c r="M976" s="27"/>
      <c r="N976" s="27"/>
      <c r="O976" s="27"/>
      <c r="P976" s="46"/>
      <c r="Q976" s="27"/>
      <c r="R976" s="27"/>
      <c r="S976" s="27"/>
      <c r="T976" s="27"/>
      <c r="U976" s="27"/>
      <c r="V976" s="46"/>
      <c r="W976" s="27"/>
      <c r="X976" s="27"/>
      <c r="Y976" s="27"/>
      <c r="Z976" s="46"/>
      <c r="AA976" s="27"/>
      <c r="AB976" s="27"/>
      <c r="AC976" s="27"/>
    </row>
    <row r="977" spans="2:29" x14ac:dyDescent="0.75">
      <c r="B977" s="26"/>
      <c r="C977" s="27"/>
      <c r="D977" s="46"/>
      <c r="E977" s="27"/>
      <c r="F977" s="27"/>
      <c r="G977" s="27"/>
      <c r="H977" s="46"/>
      <c r="I977" s="27"/>
      <c r="J977" s="27"/>
      <c r="K977" s="27"/>
      <c r="L977" s="46"/>
      <c r="M977" s="27"/>
      <c r="N977" s="27"/>
      <c r="O977" s="27"/>
      <c r="P977" s="46"/>
      <c r="Q977" s="27"/>
      <c r="R977" s="27"/>
      <c r="S977" s="27"/>
      <c r="T977" s="27"/>
      <c r="U977" s="27"/>
      <c r="V977" s="46"/>
      <c r="W977" s="27"/>
      <c r="X977" s="27"/>
      <c r="Y977" s="27"/>
      <c r="Z977" s="46"/>
      <c r="AA977" s="27"/>
      <c r="AB977" s="27"/>
      <c r="AC977" s="27"/>
    </row>
    <row r="978" spans="2:29" x14ac:dyDescent="0.75">
      <c r="B978" s="26"/>
      <c r="C978" s="27"/>
      <c r="D978" s="46"/>
      <c r="E978" s="27"/>
      <c r="F978" s="27"/>
      <c r="G978" s="27"/>
      <c r="H978" s="46"/>
      <c r="I978" s="27"/>
      <c r="J978" s="27"/>
      <c r="K978" s="27"/>
      <c r="L978" s="46"/>
      <c r="M978" s="27"/>
      <c r="N978" s="27"/>
      <c r="O978" s="27"/>
      <c r="P978" s="46"/>
      <c r="Q978" s="27"/>
      <c r="R978" s="27"/>
      <c r="S978" s="27"/>
      <c r="T978" s="27"/>
      <c r="U978" s="27"/>
      <c r="V978" s="46"/>
      <c r="W978" s="27"/>
      <c r="X978" s="27"/>
      <c r="Y978" s="27"/>
      <c r="Z978" s="46"/>
      <c r="AA978" s="27"/>
      <c r="AB978" s="27"/>
      <c r="AC978" s="27"/>
    </row>
    <row r="979" spans="2:29" x14ac:dyDescent="0.75">
      <c r="B979" s="26"/>
      <c r="C979" s="27"/>
      <c r="D979" s="46"/>
      <c r="E979" s="27"/>
      <c r="F979" s="27"/>
      <c r="G979" s="27"/>
      <c r="H979" s="46"/>
      <c r="I979" s="27"/>
      <c r="J979" s="27"/>
      <c r="K979" s="27"/>
      <c r="L979" s="46"/>
      <c r="M979" s="27"/>
      <c r="N979" s="27"/>
      <c r="O979" s="27"/>
      <c r="P979" s="46"/>
      <c r="Q979" s="27"/>
      <c r="R979" s="27"/>
      <c r="S979" s="27"/>
      <c r="T979" s="27"/>
      <c r="U979" s="27"/>
      <c r="V979" s="46"/>
      <c r="W979" s="27"/>
      <c r="X979" s="27"/>
      <c r="Y979" s="27"/>
      <c r="Z979" s="46"/>
      <c r="AA979" s="27"/>
      <c r="AB979" s="27"/>
      <c r="AC979" s="27"/>
    </row>
    <row r="980" spans="2:29" x14ac:dyDescent="0.75">
      <c r="B980" s="26"/>
      <c r="C980" s="27"/>
      <c r="D980" s="46"/>
      <c r="E980" s="27"/>
      <c r="F980" s="27"/>
      <c r="G980" s="27"/>
      <c r="H980" s="46"/>
      <c r="I980" s="27"/>
      <c r="J980" s="27"/>
      <c r="K980" s="27"/>
      <c r="L980" s="46"/>
      <c r="M980" s="27"/>
      <c r="N980" s="27"/>
      <c r="O980" s="27"/>
      <c r="P980" s="46"/>
      <c r="Q980" s="27"/>
      <c r="R980" s="27"/>
      <c r="S980" s="27"/>
      <c r="T980" s="27"/>
      <c r="U980" s="27"/>
      <c r="V980" s="46"/>
      <c r="W980" s="27"/>
      <c r="X980" s="27"/>
      <c r="Y980" s="27"/>
      <c r="Z980" s="46"/>
      <c r="AA980" s="27"/>
      <c r="AB980" s="27"/>
      <c r="AC980" s="27"/>
    </row>
    <row r="981" spans="2:29" x14ac:dyDescent="0.75">
      <c r="B981" s="26"/>
      <c r="C981" s="27"/>
      <c r="D981" s="46"/>
      <c r="E981" s="27"/>
      <c r="F981" s="27"/>
      <c r="G981" s="27"/>
      <c r="H981" s="46"/>
      <c r="I981" s="27"/>
      <c r="J981" s="27"/>
      <c r="K981" s="27"/>
      <c r="L981" s="46"/>
      <c r="M981" s="27"/>
      <c r="N981" s="27"/>
      <c r="O981" s="27"/>
      <c r="P981" s="46"/>
      <c r="Q981" s="27"/>
      <c r="R981" s="27"/>
      <c r="S981" s="27"/>
      <c r="T981" s="27"/>
      <c r="U981" s="27"/>
      <c r="V981" s="46"/>
      <c r="W981" s="27"/>
      <c r="X981" s="27"/>
      <c r="Y981" s="27"/>
      <c r="Z981" s="46"/>
      <c r="AA981" s="27"/>
      <c r="AB981" s="27"/>
      <c r="AC981" s="27"/>
    </row>
    <row r="982" spans="2:29" x14ac:dyDescent="0.75">
      <c r="B982" s="26"/>
      <c r="C982" s="27"/>
      <c r="D982" s="46"/>
      <c r="E982" s="27"/>
      <c r="F982" s="27"/>
      <c r="G982" s="27"/>
      <c r="H982" s="46"/>
      <c r="I982" s="27"/>
      <c r="J982" s="27"/>
      <c r="K982" s="27"/>
      <c r="L982" s="46"/>
      <c r="M982" s="27"/>
      <c r="N982" s="27"/>
      <c r="O982" s="27"/>
      <c r="P982" s="46"/>
      <c r="Q982" s="27"/>
      <c r="R982" s="27"/>
      <c r="S982" s="27"/>
      <c r="T982" s="27"/>
      <c r="U982" s="27"/>
      <c r="V982" s="46"/>
      <c r="W982" s="27"/>
      <c r="X982" s="27"/>
      <c r="Y982" s="27"/>
      <c r="Z982" s="46"/>
      <c r="AA982" s="27"/>
      <c r="AB982" s="27"/>
      <c r="AC982" s="27"/>
    </row>
    <row r="983" spans="2:29" x14ac:dyDescent="0.75">
      <c r="B983" s="26"/>
      <c r="C983" s="27"/>
      <c r="D983" s="46"/>
      <c r="E983" s="27"/>
      <c r="F983" s="27"/>
      <c r="G983" s="27"/>
      <c r="H983" s="46"/>
      <c r="I983" s="27"/>
      <c r="J983" s="27"/>
      <c r="K983" s="27"/>
      <c r="L983" s="46"/>
      <c r="M983" s="27"/>
      <c r="N983" s="27"/>
      <c r="O983" s="27"/>
      <c r="P983" s="46"/>
      <c r="Q983" s="27"/>
      <c r="R983" s="27"/>
      <c r="S983" s="27"/>
      <c r="T983" s="27"/>
      <c r="U983" s="27"/>
      <c r="V983" s="46"/>
      <c r="W983" s="27"/>
      <c r="X983" s="27"/>
      <c r="Y983" s="27"/>
      <c r="Z983" s="46"/>
      <c r="AA983" s="27"/>
      <c r="AB983" s="27"/>
      <c r="AC983" s="27"/>
    </row>
    <row r="984" spans="2:29" x14ac:dyDescent="0.75">
      <c r="B984" s="26"/>
      <c r="C984" s="27"/>
      <c r="D984" s="46"/>
      <c r="E984" s="27"/>
      <c r="F984" s="27"/>
      <c r="G984" s="27"/>
      <c r="H984" s="46"/>
      <c r="I984" s="27"/>
      <c r="J984" s="27"/>
      <c r="K984" s="27"/>
      <c r="L984" s="46"/>
      <c r="M984" s="27"/>
      <c r="N984" s="27"/>
      <c r="O984" s="27"/>
      <c r="P984" s="46"/>
      <c r="Q984" s="27"/>
      <c r="R984" s="27"/>
      <c r="S984" s="27"/>
      <c r="T984" s="27"/>
      <c r="U984" s="27"/>
      <c r="V984" s="46"/>
      <c r="W984" s="27"/>
      <c r="X984" s="27"/>
      <c r="Y984" s="27"/>
      <c r="Z984" s="46"/>
      <c r="AA984" s="27"/>
      <c r="AB984" s="27"/>
      <c r="AC984" s="27"/>
    </row>
    <row r="985" spans="2:29" x14ac:dyDescent="0.75">
      <c r="B985" s="26"/>
      <c r="C985" s="27"/>
      <c r="D985" s="46"/>
      <c r="E985" s="27"/>
      <c r="F985" s="27"/>
      <c r="G985" s="27"/>
      <c r="H985" s="46"/>
      <c r="I985" s="27"/>
      <c r="J985" s="27"/>
      <c r="K985" s="27"/>
      <c r="L985" s="46"/>
      <c r="M985" s="27"/>
      <c r="N985" s="27"/>
      <c r="O985" s="27"/>
      <c r="P985" s="46"/>
      <c r="Q985" s="27"/>
      <c r="R985" s="27"/>
      <c r="S985" s="27"/>
      <c r="T985" s="27"/>
      <c r="U985" s="27"/>
      <c r="V985" s="46"/>
      <c r="W985" s="27"/>
      <c r="X985" s="27"/>
      <c r="Y985" s="27"/>
      <c r="Z985" s="46"/>
      <c r="AA985" s="27"/>
      <c r="AB985" s="27"/>
      <c r="AC985" s="27"/>
    </row>
    <row r="986" spans="2:29" x14ac:dyDescent="0.75">
      <c r="B986" s="26"/>
      <c r="C986" s="27"/>
      <c r="D986" s="46"/>
      <c r="E986" s="27"/>
      <c r="F986" s="27"/>
      <c r="G986" s="27"/>
      <c r="H986" s="46"/>
      <c r="I986" s="27"/>
      <c r="J986" s="27"/>
      <c r="K986" s="27"/>
      <c r="L986" s="46"/>
      <c r="M986" s="27"/>
      <c r="N986" s="27"/>
      <c r="O986" s="27"/>
      <c r="P986" s="46"/>
      <c r="Q986" s="27"/>
      <c r="R986" s="27"/>
      <c r="S986" s="27"/>
      <c r="T986" s="27"/>
      <c r="U986" s="27"/>
      <c r="V986" s="46"/>
      <c r="W986" s="27"/>
      <c r="X986" s="27"/>
      <c r="Y986" s="27"/>
      <c r="Z986" s="46"/>
      <c r="AA986" s="27"/>
      <c r="AB986" s="27"/>
      <c r="AC986" s="27"/>
    </row>
    <row r="987" spans="2:29" x14ac:dyDescent="0.75">
      <c r="B987" s="26"/>
      <c r="C987" s="27"/>
      <c r="D987" s="46"/>
      <c r="E987" s="27"/>
      <c r="F987" s="27"/>
      <c r="G987" s="27"/>
      <c r="H987" s="46"/>
      <c r="I987" s="27"/>
      <c r="J987" s="27"/>
      <c r="K987" s="27"/>
      <c r="L987" s="46"/>
      <c r="M987" s="27"/>
      <c r="N987" s="27"/>
      <c r="O987" s="27"/>
      <c r="P987" s="46"/>
      <c r="Q987" s="27"/>
      <c r="R987" s="27"/>
      <c r="S987" s="27"/>
      <c r="T987" s="27"/>
      <c r="U987" s="27"/>
      <c r="V987" s="46"/>
      <c r="W987" s="27"/>
      <c r="X987" s="27"/>
      <c r="Y987" s="27"/>
      <c r="Z987" s="46"/>
      <c r="AA987" s="27"/>
      <c r="AB987" s="27"/>
      <c r="AC987" s="27"/>
    </row>
    <row r="988" spans="2:29" x14ac:dyDescent="0.75">
      <c r="B988" s="26"/>
      <c r="C988" s="27"/>
      <c r="D988" s="46"/>
      <c r="E988" s="27"/>
      <c r="F988" s="27"/>
      <c r="G988" s="27"/>
      <c r="H988" s="46"/>
      <c r="I988" s="27"/>
      <c r="J988" s="27"/>
      <c r="K988" s="27"/>
      <c r="L988" s="46"/>
      <c r="M988" s="27"/>
      <c r="N988" s="27"/>
      <c r="O988" s="27"/>
      <c r="P988" s="46"/>
      <c r="Q988" s="27"/>
      <c r="R988" s="27"/>
      <c r="S988" s="27"/>
      <c r="T988" s="27"/>
      <c r="U988" s="27"/>
      <c r="V988" s="46"/>
      <c r="W988" s="27"/>
      <c r="X988" s="27"/>
      <c r="Y988" s="27"/>
      <c r="Z988" s="46"/>
      <c r="AA988" s="27"/>
      <c r="AB988" s="27"/>
      <c r="AC988" s="27"/>
    </row>
    <row r="989" spans="2:29" x14ac:dyDescent="0.75">
      <c r="B989" s="26"/>
      <c r="C989" s="27"/>
      <c r="D989" s="46"/>
      <c r="E989" s="27"/>
      <c r="F989" s="27"/>
      <c r="G989" s="27"/>
      <c r="H989" s="46"/>
      <c r="I989" s="27"/>
      <c r="J989" s="27"/>
      <c r="K989" s="27"/>
      <c r="L989" s="46"/>
      <c r="M989" s="27"/>
      <c r="N989" s="27"/>
      <c r="O989" s="27"/>
      <c r="P989" s="46"/>
      <c r="Q989" s="27"/>
      <c r="R989" s="27"/>
      <c r="S989" s="27"/>
      <c r="T989" s="27"/>
      <c r="U989" s="27"/>
      <c r="V989" s="46"/>
      <c r="W989" s="27"/>
      <c r="X989" s="27"/>
      <c r="Y989" s="27"/>
      <c r="Z989" s="46"/>
      <c r="AA989" s="27"/>
      <c r="AB989" s="27"/>
      <c r="AC989" s="27"/>
    </row>
    <row r="990" spans="2:29" x14ac:dyDescent="0.75">
      <c r="B990" s="26"/>
      <c r="C990" s="27"/>
      <c r="D990" s="46"/>
      <c r="E990" s="27"/>
      <c r="F990" s="27"/>
      <c r="G990" s="27"/>
      <c r="H990" s="46"/>
      <c r="I990" s="27"/>
      <c r="J990" s="27"/>
      <c r="K990" s="27"/>
      <c r="L990" s="46"/>
      <c r="M990" s="27"/>
      <c r="N990" s="27"/>
      <c r="O990" s="27"/>
      <c r="P990" s="46"/>
      <c r="Q990" s="27"/>
      <c r="R990" s="27"/>
      <c r="S990" s="27"/>
      <c r="T990" s="27"/>
      <c r="U990" s="27"/>
      <c r="V990" s="46"/>
      <c r="W990" s="27"/>
      <c r="X990" s="27"/>
      <c r="Y990" s="27"/>
      <c r="Z990" s="46"/>
      <c r="AA990" s="27"/>
      <c r="AB990" s="27"/>
      <c r="AC990" s="27"/>
    </row>
    <row r="991" spans="2:29" x14ac:dyDescent="0.75">
      <c r="B991" s="26"/>
      <c r="C991" s="27"/>
      <c r="D991" s="46"/>
      <c r="E991" s="27"/>
      <c r="F991" s="27"/>
      <c r="G991" s="27"/>
      <c r="H991" s="46"/>
      <c r="I991" s="27"/>
      <c r="J991" s="27"/>
      <c r="K991" s="27"/>
      <c r="L991" s="46"/>
      <c r="M991" s="27"/>
      <c r="N991" s="27"/>
      <c r="O991" s="27"/>
      <c r="P991" s="46"/>
      <c r="Q991" s="27"/>
      <c r="R991" s="27"/>
      <c r="S991" s="27"/>
      <c r="T991" s="27"/>
      <c r="U991" s="27"/>
      <c r="V991" s="46"/>
      <c r="W991" s="27"/>
      <c r="X991" s="27"/>
      <c r="Y991" s="27"/>
      <c r="Z991" s="46"/>
      <c r="AA991" s="27"/>
      <c r="AB991" s="27"/>
      <c r="AC991" s="27"/>
    </row>
    <row r="992" spans="2:29" x14ac:dyDescent="0.75">
      <c r="B992" s="26"/>
      <c r="C992" s="27"/>
      <c r="D992" s="46"/>
      <c r="E992" s="27"/>
      <c r="F992" s="27"/>
      <c r="G992" s="27"/>
      <c r="H992" s="46"/>
      <c r="I992" s="27"/>
      <c r="J992" s="27"/>
      <c r="K992" s="27"/>
      <c r="L992" s="46"/>
      <c r="M992" s="27"/>
      <c r="N992" s="27"/>
      <c r="O992" s="27"/>
      <c r="P992" s="46"/>
      <c r="Q992" s="27"/>
      <c r="R992" s="27"/>
      <c r="S992" s="27"/>
      <c r="T992" s="27"/>
      <c r="U992" s="27"/>
      <c r="V992" s="46"/>
      <c r="W992" s="27"/>
      <c r="X992" s="27"/>
      <c r="Y992" s="27"/>
      <c r="Z992" s="46"/>
      <c r="AA992" s="27"/>
      <c r="AB992" s="27"/>
      <c r="AC992" s="27"/>
    </row>
    <row r="993" spans="2:29" x14ac:dyDescent="0.75">
      <c r="B993" s="26"/>
      <c r="C993" s="27"/>
      <c r="D993" s="46"/>
      <c r="E993" s="27"/>
      <c r="F993" s="27"/>
      <c r="G993" s="27"/>
      <c r="H993" s="46"/>
      <c r="I993" s="27"/>
      <c r="J993" s="27"/>
      <c r="K993" s="27"/>
      <c r="L993" s="46"/>
      <c r="M993" s="27"/>
      <c r="N993" s="27"/>
      <c r="O993" s="27"/>
      <c r="P993" s="46"/>
      <c r="Q993" s="27"/>
      <c r="R993" s="27"/>
      <c r="S993" s="27"/>
      <c r="T993" s="27"/>
      <c r="U993" s="27"/>
      <c r="V993" s="46"/>
      <c r="W993" s="27"/>
      <c r="X993" s="27"/>
      <c r="Y993" s="27"/>
      <c r="Z993" s="46"/>
      <c r="AA993" s="27"/>
      <c r="AB993" s="27"/>
      <c r="AC993" s="27"/>
    </row>
    <row r="994" spans="2:29" x14ac:dyDescent="0.75">
      <c r="B994" s="26"/>
      <c r="C994" s="27"/>
      <c r="D994" s="46"/>
      <c r="E994" s="27"/>
      <c r="F994" s="27"/>
      <c r="G994" s="27"/>
      <c r="H994" s="46"/>
      <c r="I994" s="27"/>
      <c r="J994" s="27"/>
      <c r="K994" s="27"/>
      <c r="L994" s="46"/>
      <c r="M994" s="27"/>
      <c r="N994" s="27"/>
      <c r="O994" s="27"/>
      <c r="P994" s="46"/>
      <c r="Q994" s="27"/>
      <c r="R994" s="27"/>
      <c r="S994" s="27"/>
      <c r="T994" s="27"/>
      <c r="U994" s="27"/>
      <c r="V994" s="46"/>
      <c r="W994" s="27"/>
      <c r="X994" s="27"/>
      <c r="Y994" s="27"/>
      <c r="Z994" s="46"/>
      <c r="AA994" s="27"/>
      <c r="AB994" s="27"/>
      <c r="AC994" s="27"/>
    </row>
    <row r="995" spans="2:29" x14ac:dyDescent="0.75">
      <c r="B995" s="26"/>
      <c r="C995" s="27"/>
      <c r="D995" s="46"/>
      <c r="E995" s="27"/>
      <c r="F995" s="27"/>
      <c r="G995" s="27"/>
      <c r="H995" s="46"/>
      <c r="I995" s="27"/>
      <c r="J995" s="27"/>
      <c r="K995" s="27"/>
      <c r="L995" s="46"/>
      <c r="M995" s="27"/>
      <c r="N995" s="27"/>
      <c r="O995" s="27"/>
      <c r="P995" s="46"/>
      <c r="Q995" s="27"/>
      <c r="R995" s="27"/>
      <c r="S995" s="27"/>
      <c r="T995" s="27"/>
      <c r="U995" s="27"/>
      <c r="V995" s="46"/>
      <c r="W995" s="27"/>
      <c r="X995" s="27"/>
      <c r="Y995" s="27"/>
      <c r="Z995" s="46"/>
      <c r="AA995" s="27"/>
      <c r="AB995" s="27"/>
      <c r="AC995" s="27"/>
    </row>
    <row r="996" spans="2:29" x14ac:dyDescent="0.75">
      <c r="B996" s="26"/>
      <c r="C996" s="27"/>
      <c r="D996" s="46"/>
      <c r="E996" s="27"/>
      <c r="F996" s="27"/>
      <c r="G996" s="27"/>
      <c r="H996" s="46"/>
      <c r="I996" s="27"/>
      <c r="J996" s="27"/>
      <c r="K996" s="27"/>
      <c r="L996" s="46"/>
      <c r="M996" s="27"/>
      <c r="N996" s="27"/>
      <c r="O996" s="27"/>
      <c r="P996" s="46"/>
      <c r="Q996" s="27"/>
      <c r="R996" s="27"/>
      <c r="S996" s="27"/>
      <c r="T996" s="27"/>
      <c r="U996" s="27"/>
      <c r="V996" s="46"/>
      <c r="W996" s="27"/>
      <c r="X996" s="27"/>
      <c r="Y996" s="27"/>
      <c r="Z996" s="46"/>
      <c r="AA996" s="27"/>
      <c r="AB996" s="27"/>
      <c r="AC996" s="27"/>
    </row>
    <row r="997" spans="2:29" x14ac:dyDescent="0.75">
      <c r="B997" s="26"/>
      <c r="C997" s="27"/>
      <c r="D997" s="46"/>
      <c r="E997" s="27"/>
      <c r="F997" s="27"/>
      <c r="G997" s="27"/>
      <c r="H997" s="46"/>
      <c r="I997" s="27"/>
      <c r="J997" s="27"/>
      <c r="K997" s="27"/>
      <c r="L997" s="46"/>
      <c r="M997" s="27"/>
      <c r="N997" s="27"/>
      <c r="O997" s="27"/>
      <c r="P997" s="46"/>
      <c r="Q997" s="27"/>
      <c r="R997" s="27"/>
      <c r="S997" s="27"/>
      <c r="T997" s="27"/>
      <c r="U997" s="27"/>
      <c r="V997" s="46"/>
      <c r="W997" s="27"/>
      <c r="X997" s="27"/>
      <c r="Y997" s="27"/>
      <c r="Z997" s="46"/>
      <c r="AA997" s="27"/>
      <c r="AB997" s="27"/>
      <c r="AC997" s="27"/>
    </row>
    <row r="998" spans="2:29" x14ac:dyDescent="0.75">
      <c r="B998" s="26"/>
      <c r="C998" s="27"/>
      <c r="D998" s="46"/>
      <c r="E998" s="27"/>
      <c r="F998" s="27"/>
      <c r="G998" s="27"/>
      <c r="H998" s="46"/>
      <c r="I998" s="27"/>
      <c r="J998" s="27"/>
      <c r="K998" s="27"/>
      <c r="L998" s="46"/>
      <c r="M998" s="27"/>
      <c r="N998" s="27"/>
      <c r="O998" s="27"/>
      <c r="P998" s="46"/>
      <c r="Q998" s="27"/>
      <c r="R998" s="27"/>
      <c r="S998" s="27"/>
      <c r="T998" s="27"/>
      <c r="U998" s="27"/>
      <c r="V998" s="46"/>
      <c r="W998" s="27"/>
      <c r="X998" s="27"/>
      <c r="Y998" s="27"/>
      <c r="Z998" s="46"/>
      <c r="AA998" s="27"/>
      <c r="AB998" s="27"/>
      <c r="AC998" s="27"/>
    </row>
    <row r="999" spans="2:29" x14ac:dyDescent="0.75">
      <c r="B999" s="26"/>
      <c r="C999" s="27"/>
      <c r="D999" s="46"/>
      <c r="E999" s="27"/>
      <c r="F999" s="27"/>
      <c r="G999" s="27"/>
      <c r="H999" s="46"/>
      <c r="I999" s="27"/>
      <c r="J999" s="27"/>
      <c r="K999" s="27"/>
      <c r="L999" s="46"/>
      <c r="M999" s="27"/>
      <c r="N999" s="27"/>
      <c r="O999" s="27"/>
      <c r="P999" s="46"/>
      <c r="Q999" s="27"/>
      <c r="R999" s="27"/>
      <c r="S999" s="27"/>
      <c r="T999" s="27"/>
      <c r="U999" s="27"/>
      <c r="V999" s="46"/>
      <c r="W999" s="27"/>
      <c r="X999" s="27"/>
      <c r="Y999" s="27"/>
      <c r="Z999" s="46"/>
      <c r="AA999" s="27"/>
      <c r="AB999" s="27"/>
      <c r="AC999" s="27"/>
    </row>
    <row r="1000" spans="2:29" x14ac:dyDescent="0.75">
      <c r="B1000" s="26"/>
      <c r="C1000" s="27"/>
      <c r="D1000" s="46"/>
      <c r="E1000" s="27"/>
      <c r="F1000" s="27"/>
      <c r="G1000" s="27"/>
      <c r="H1000" s="46"/>
      <c r="I1000" s="27"/>
      <c r="J1000" s="27"/>
      <c r="K1000" s="27"/>
      <c r="L1000" s="46"/>
      <c r="M1000" s="27"/>
      <c r="N1000" s="27"/>
      <c r="O1000" s="27"/>
      <c r="P1000" s="46"/>
      <c r="Q1000" s="27"/>
      <c r="R1000" s="27"/>
      <c r="S1000" s="27"/>
      <c r="T1000" s="27"/>
      <c r="U1000" s="27"/>
      <c r="V1000" s="46"/>
      <c r="W1000" s="27"/>
      <c r="X1000" s="27"/>
      <c r="Y1000" s="27"/>
      <c r="Z1000" s="46"/>
      <c r="AA1000" s="27"/>
      <c r="AB1000" s="27"/>
      <c r="AC1000" s="27"/>
    </row>
    <row r="1001" spans="2:29" x14ac:dyDescent="0.75">
      <c r="B1001" s="26"/>
      <c r="C1001" s="27"/>
      <c r="D1001" s="46"/>
      <c r="E1001" s="27"/>
      <c r="F1001" s="27"/>
      <c r="G1001" s="27"/>
      <c r="H1001" s="46"/>
      <c r="I1001" s="27"/>
      <c r="J1001" s="27"/>
      <c r="K1001" s="27"/>
      <c r="L1001" s="46"/>
      <c r="M1001" s="27"/>
      <c r="N1001" s="27"/>
      <c r="O1001" s="27"/>
      <c r="P1001" s="46"/>
      <c r="Q1001" s="27"/>
      <c r="R1001" s="27"/>
      <c r="S1001" s="27"/>
      <c r="T1001" s="27"/>
      <c r="U1001" s="27"/>
      <c r="V1001" s="46"/>
      <c r="W1001" s="27"/>
      <c r="X1001" s="27"/>
      <c r="Y1001" s="27"/>
      <c r="Z1001" s="46"/>
      <c r="AA1001" s="27"/>
      <c r="AB1001" s="27"/>
      <c r="AC1001" s="27"/>
    </row>
    <row r="1002" spans="2:29" x14ac:dyDescent="0.75">
      <c r="B1002" s="26"/>
      <c r="C1002" s="27"/>
      <c r="D1002" s="46"/>
      <c r="E1002" s="27"/>
      <c r="F1002" s="27"/>
      <c r="G1002" s="27"/>
      <c r="H1002" s="46"/>
      <c r="I1002" s="27"/>
      <c r="J1002" s="27"/>
      <c r="K1002" s="27"/>
      <c r="L1002" s="46"/>
      <c r="M1002" s="27"/>
      <c r="N1002" s="27"/>
      <c r="O1002" s="27"/>
      <c r="P1002" s="46"/>
      <c r="Q1002" s="27"/>
      <c r="R1002" s="27"/>
      <c r="S1002" s="27"/>
      <c r="T1002" s="27"/>
      <c r="U1002" s="27"/>
      <c r="V1002" s="46"/>
      <c r="W1002" s="27"/>
      <c r="X1002" s="27"/>
      <c r="Y1002" s="27"/>
      <c r="Z1002" s="46"/>
      <c r="AA1002" s="27"/>
      <c r="AB1002" s="27"/>
      <c r="AC1002" s="27"/>
    </row>
    <row r="1003" spans="2:29" x14ac:dyDescent="0.75">
      <c r="B1003" s="26"/>
      <c r="C1003" s="27"/>
      <c r="D1003" s="46"/>
      <c r="E1003" s="27"/>
      <c r="F1003" s="27"/>
      <c r="G1003" s="27"/>
      <c r="H1003" s="46"/>
      <c r="I1003" s="27"/>
      <c r="J1003" s="27"/>
      <c r="K1003" s="27"/>
      <c r="L1003" s="46"/>
      <c r="M1003" s="27"/>
      <c r="N1003" s="27"/>
      <c r="O1003" s="27"/>
      <c r="P1003" s="46"/>
      <c r="Q1003" s="27"/>
      <c r="R1003" s="27"/>
      <c r="S1003" s="27"/>
      <c r="T1003" s="27"/>
      <c r="U1003" s="27"/>
      <c r="V1003" s="46"/>
      <c r="W1003" s="27"/>
      <c r="X1003" s="27"/>
      <c r="Y1003" s="27"/>
      <c r="Z1003" s="46"/>
      <c r="AA1003" s="27"/>
      <c r="AB1003" s="27"/>
      <c r="AC1003" s="27"/>
    </row>
    <row r="1004" spans="2:29" x14ac:dyDescent="0.75">
      <c r="B1004" s="26"/>
      <c r="C1004" s="48"/>
      <c r="D1004" s="46"/>
      <c r="E1004" s="27"/>
      <c r="F1004" s="27"/>
      <c r="G1004" s="27"/>
      <c r="H1004" s="46"/>
      <c r="I1004" s="27"/>
      <c r="J1004" s="27"/>
      <c r="K1004" s="27"/>
      <c r="L1004" s="46"/>
      <c r="M1004" s="27"/>
      <c r="N1004" s="27"/>
      <c r="O1004" s="27"/>
      <c r="P1004" s="46"/>
      <c r="Q1004" s="27"/>
      <c r="R1004" s="27"/>
      <c r="S1004" s="27"/>
      <c r="T1004" s="27"/>
      <c r="U1004" s="27"/>
      <c r="V1004" s="46"/>
      <c r="W1004" s="27"/>
      <c r="X1004" s="27"/>
      <c r="Y1004" s="27"/>
      <c r="Z1004" s="46"/>
      <c r="AA1004" s="27"/>
      <c r="AB1004" s="27"/>
      <c r="AC1004" s="27"/>
    </row>
    <row r="1005" spans="2:29" x14ac:dyDescent="0.75"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5332-D1C7-4F4E-B236-FDB42574EFD1}">
  <sheetPr>
    <tabColor theme="9" tint="-0.499984740745262"/>
  </sheetPr>
  <dimension ref="A1:F19"/>
  <sheetViews>
    <sheetView zoomScale="85" zoomScaleNormal="85" workbookViewId="0">
      <pane ySplit="4" topLeftCell="A5" activePane="bottomLeft" state="frozen"/>
      <selection activeCell="D10" sqref="D10"/>
      <selection pane="bottomLeft" activeCell="A10" sqref="A10"/>
    </sheetView>
  </sheetViews>
  <sheetFormatPr defaultColWidth="0" defaultRowHeight="14.75" zeroHeight="1" x14ac:dyDescent="0.75"/>
  <cols>
    <col min="1" max="2" width="2.453125" customWidth="1"/>
    <col min="3" max="3" width="39.453125" customWidth="1"/>
    <col min="4" max="4" width="9.08984375" customWidth="1"/>
    <col min="5" max="5" width="3.54296875" customWidth="1"/>
    <col min="6" max="6" width="0" hidden="1" customWidth="1"/>
    <col min="7" max="16384" width="9.08984375" hidden="1"/>
  </cols>
  <sheetData>
    <row r="1" spans="1:5" ht="18.5" x14ac:dyDescent="0.9">
      <c r="A1" s="23" t="s">
        <v>252</v>
      </c>
      <c r="B1" s="23"/>
      <c r="C1" s="23"/>
      <c r="D1" s="23"/>
      <c r="E1" s="23"/>
    </row>
    <row r="2" spans="1:5" x14ac:dyDescent="0.75"/>
    <row r="3" spans="1:5" x14ac:dyDescent="0.75"/>
    <row r="4" spans="1:5" x14ac:dyDescent="0.75">
      <c r="B4" s="35"/>
      <c r="C4" s="29" t="s">
        <v>260</v>
      </c>
      <c r="D4" s="30"/>
    </row>
    <row r="5" spans="1:5" x14ac:dyDescent="0.75">
      <c r="B5" s="26"/>
      <c r="C5" t="s">
        <v>234</v>
      </c>
      <c r="D5" s="22">
        <v>1</v>
      </c>
    </row>
    <row r="6" spans="1:5" x14ac:dyDescent="0.75">
      <c r="B6" s="26"/>
      <c r="C6" t="s">
        <v>235</v>
      </c>
      <c r="D6" s="22">
        <v>1</v>
      </c>
    </row>
    <row r="7" spans="1:5" x14ac:dyDescent="0.75">
      <c r="B7" s="26"/>
      <c r="C7" t="s">
        <v>236</v>
      </c>
      <c r="D7" s="22">
        <v>1</v>
      </c>
    </row>
    <row r="8" spans="1:5" x14ac:dyDescent="0.75">
      <c r="B8" s="26"/>
      <c r="C8" t="s">
        <v>237</v>
      </c>
      <c r="D8" s="22">
        <v>1</v>
      </c>
    </row>
    <row r="9" spans="1:5" x14ac:dyDescent="0.75">
      <c r="B9" s="26"/>
      <c r="C9" t="s">
        <v>238</v>
      </c>
      <c r="D9" s="22">
        <v>1</v>
      </c>
    </row>
    <row r="10" spans="1:5" x14ac:dyDescent="0.75">
      <c r="B10" s="26"/>
    </row>
    <row r="11" spans="1:5" x14ac:dyDescent="0.75"/>
    <row r="12" spans="1:5" x14ac:dyDescent="0.75">
      <c r="B12" s="35"/>
      <c r="C12" s="29" t="s">
        <v>261</v>
      </c>
      <c r="D12" s="30"/>
    </row>
    <row r="13" spans="1:5" x14ac:dyDescent="0.75">
      <c r="B13" s="26"/>
      <c r="C13" t="s">
        <v>240</v>
      </c>
      <c r="D13">
        <v>1</v>
      </c>
    </row>
    <row r="14" spans="1:5" x14ac:dyDescent="0.75">
      <c r="B14" s="26"/>
    </row>
    <row r="15" spans="1:5" x14ac:dyDescent="0.75"/>
    <row r="16" spans="1:5" x14ac:dyDescent="0.75">
      <c r="B16" s="35"/>
      <c r="C16" s="29" t="s">
        <v>262</v>
      </c>
      <c r="D16" s="30"/>
    </row>
    <row r="17" spans="2:4" x14ac:dyDescent="0.75">
      <c r="B17" s="26"/>
      <c r="C17" t="s">
        <v>239</v>
      </c>
      <c r="D17" s="21">
        <v>1</v>
      </c>
    </row>
    <row r="18" spans="2:4" x14ac:dyDescent="0.75">
      <c r="B18" s="26"/>
    </row>
    <row r="19" spans="2:4" x14ac:dyDescent="0.75"/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C3CB-7A5D-48B2-BE86-A3F75A0D4A76}">
  <sheetPr>
    <tabColor theme="9" tint="-0.499984740745262"/>
  </sheetPr>
  <dimension ref="A1:HA215"/>
  <sheetViews>
    <sheetView workbookViewId="0">
      <selection sqref="A1:XFD1048576"/>
    </sheetView>
  </sheetViews>
  <sheetFormatPr defaultRowHeight="14.75" x14ac:dyDescent="0.75"/>
  <sheetData>
    <row r="1" spans="1:209" ht="18.5" x14ac:dyDescent="0.9">
      <c r="A1" s="23" t="s">
        <v>120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09" x14ac:dyDescent="0.75">
      <c r="D2" s="56"/>
    </row>
    <row r="3" spans="1:209" x14ac:dyDescent="0.75">
      <c r="D3" s="56"/>
    </row>
    <row r="4" spans="1:209" x14ac:dyDescent="0.75">
      <c r="D4" s="56"/>
    </row>
    <row r="5" spans="1:209" x14ac:dyDescent="0.75">
      <c r="C5" s="3"/>
      <c r="D5" s="56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209" x14ac:dyDescent="0.75">
      <c r="A6" s="1" t="s">
        <v>263</v>
      </c>
    </row>
    <row r="7" spans="1:209" x14ac:dyDescent="0.75">
      <c r="B7" t="s">
        <v>463</v>
      </c>
      <c r="C7" t="s">
        <v>285</v>
      </c>
      <c r="D7" t="s">
        <v>464</v>
      </c>
      <c r="E7" t="s">
        <v>697</v>
      </c>
      <c r="F7" t="s">
        <v>353</v>
      </c>
      <c r="G7" t="s">
        <v>560</v>
      </c>
      <c r="H7" t="s">
        <v>465</v>
      </c>
      <c r="I7" t="s">
        <v>557</v>
      </c>
      <c r="J7" t="s">
        <v>288</v>
      </c>
      <c r="K7" t="s">
        <v>698</v>
      </c>
      <c r="L7" t="s">
        <v>699</v>
      </c>
      <c r="M7" t="s">
        <v>289</v>
      </c>
      <c r="N7" t="s">
        <v>700</v>
      </c>
      <c r="O7" t="s">
        <v>701</v>
      </c>
      <c r="P7" t="s">
        <v>702</v>
      </c>
      <c r="Q7" t="s">
        <v>291</v>
      </c>
      <c r="R7" t="s">
        <v>554</v>
      </c>
      <c r="S7" t="s">
        <v>703</v>
      </c>
      <c r="T7" t="s">
        <v>292</v>
      </c>
      <c r="U7" t="s">
        <v>468</v>
      </c>
      <c r="V7" t="s">
        <v>354</v>
      </c>
      <c r="W7" t="s">
        <v>290</v>
      </c>
      <c r="X7" t="s">
        <v>704</v>
      </c>
      <c r="Y7" t="s">
        <v>293</v>
      </c>
      <c r="Z7" t="s">
        <v>294</v>
      </c>
      <c r="AA7" t="s">
        <v>471</v>
      </c>
      <c r="AB7" t="s">
        <v>295</v>
      </c>
      <c r="AC7" t="s">
        <v>296</v>
      </c>
      <c r="AD7" t="s">
        <v>469</v>
      </c>
      <c r="AE7" t="s">
        <v>470</v>
      </c>
      <c r="AF7" t="s">
        <v>297</v>
      </c>
      <c r="AG7" t="s">
        <v>298</v>
      </c>
      <c r="AH7" t="s">
        <v>475</v>
      </c>
      <c r="AI7" t="s">
        <v>476</v>
      </c>
      <c r="AJ7" t="s">
        <v>477</v>
      </c>
      <c r="AK7" t="s">
        <v>479</v>
      </c>
      <c r="AL7" t="s">
        <v>480</v>
      </c>
      <c r="AM7" t="s">
        <v>481</v>
      </c>
      <c r="AN7" t="s">
        <v>486</v>
      </c>
      <c r="AO7" t="s">
        <v>490</v>
      </c>
      <c r="AP7" t="s">
        <v>299</v>
      </c>
      <c r="AQ7" t="s">
        <v>300</v>
      </c>
      <c r="AR7" t="s">
        <v>491</v>
      </c>
      <c r="AS7" t="s">
        <v>301</v>
      </c>
      <c r="AT7" t="s">
        <v>302</v>
      </c>
      <c r="AU7" t="s">
        <v>706</v>
      </c>
      <c r="AV7" t="s">
        <v>495</v>
      </c>
      <c r="AW7" t="s">
        <v>303</v>
      </c>
      <c r="AX7" t="s">
        <v>707</v>
      </c>
      <c r="AY7" t="s">
        <v>708</v>
      </c>
      <c r="AZ7" t="s">
        <v>304</v>
      </c>
      <c r="BA7" t="s">
        <v>709</v>
      </c>
      <c r="BB7" t="s">
        <v>305</v>
      </c>
      <c r="BC7" t="s">
        <v>306</v>
      </c>
      <c r="BD7" t="s">
        <v>498</v>
      </c>
      <c r="BE7" t="s">
        <v>710</v>
      </c>
      <c r="BF7" t="s">
        <v>307</v>
      </c>
      <c r="BG7" t="s">
        <v>308</v>
      </c>
      <c r="BH7" t="s">
        <v>309</v>
      </c>
      <c r="BI7" t="s">
        <v>310</v>
      </c>
      <c r="BJ7" t="s">
        <v>311</v>
      </c>
      <c r="BK7" t="s">
        <v>312</v>
      </c>
      <c r="BL7" t="s">
        <v>711</v>
      </c>
      <c r="BM7" t="s">
        <v>313</v>
      </c>
      <c r="BN7" t="s">
        <v>314</v>
      </c>
      <c r="BO7" t="s">
        <v>712</v>
      </c>
      <c r="BP7" t="s">
        <v>713</v>
      </c>
      <c r="BQ7" t="s">
        <v>714</v>
      </c>
      <c r="BR7" t="s">
        <v>715</v>
      </c>
      <c r="BS7" t="s">
        <v>716</v>
      </c>
      <c r="BT7" t="s">
        <v>316</v>
      </c>
      <c r="BU7" t="s">
        <v>717</v>
      </c>
      <c r="BV7" t="s">
        <v>318</v>
      </c>
      <c r="BW7" t="s">
        <v>319</v>
      </c>
      <c r="BX7" t="s">
        <v>320</v>
      </c>
      <c r="BY7" t="s">
        <v>718</v>
      </c>
      <c r="BZ7" t="s">
        <v>719</v>
      </c>
      <c r="CA7" t="s">
        <v>720</v>
      </c>
      <c r="CB7" t="s">
        <v>321</v>
      </c>
      <c r="CC7" t="s">
        <v>721</v>
      </c>
      <c r="CD7" t="s">
        <v>500</v>
      </c>
      <c r="CE7" t="s">
        <v>322</v>
      </c>
      <c r="CF7" t="s">
        <v>501</v>
      </c>
      <c r="CG7" t="s">
        <v>722</v>
      </c>
      <c r="CH7" t="s">
        <v>356</v>
      </c>
      <c r="CI7" t="s">
        <v>503</v>
      </c>
      <c r="CJ7" t="s">
        <v>504</v>
      </c>
      <c r="CK7" t="s">
        <v>558</v>
      </c>
      <c r="CL7" t="s">
        <v>324</v>
      </c>
      <c r="CM7" t="s">
        <v>723</v>
      </c>
      <c r="CN7" t="s">
        <v>724</v>
      </c>
      <c r="CO7" t="s">
        <v>57</v>
      </c>
      <c r="CP7" t="s">
        <v>725</v>
      </c>
      <c r="CQ7" t="s">
        <v>726</v>
      </c>
      <c r="CR7" t="s">
        <v>727</v>
      </c>
      <c r="CS7" t="s">
        <v>327</v>
      </c>
      <c r="CT7" t="s">
        <v>502</v>
      </c>
      <c r="CU7" t="s">
        <v>728</v>
      </c>
      <c r="CV7" t="s">
        <v>323</v>
      </c>
      <c r="CW7" t="s">
        <v>328</v>
      </c>
      <c r="CX7" t="s">
        <v>507</v>
      </c>
      <c r="CY7" t="s">
        <v>326</v>
      </c>
      <c r="CZ7" t="s">
        <v>325</v>
      </c>
      <c r="DA7" t="s">
        <v>729</v>
      </c>
      <c r="DB7" t="s">
        <v>329</v>
      </c>
      <c r="DC7" t="s">
        <v>330</v>
      </c>
      <c r="DD7" t="s">
        <v>512</v>
      </c>
      <c r="DE7" t="s">
        <v>331</v>
      </c>
      <c r="DF7" t="s">
        <v>332</v>
      </c>
      <c r="DG7" t="s">
        <v>510</v>
      </c>
      <c r="DH7" t="s">
        <v>511</v>
      </c>
      <c r="DI7" t="s">
        <v>333</v>
      </c>
      <c r="DJ7" t="s">
        <v>334</v>
      </c>
      <c r="DK7" t="s">
        <v>516</v>
      </c>
      <c r="DL7" t="s">
        <v>517</v>
      </c>
      <c r="DM7" t="s">
        <v>518</v>
      </c>
      <c r="DN7" t="s">
        <v>519</v>
      </c>
      <c r="DO7" t="s">
        <v>520</v>
      </c>
      <c r="DP7" t="s">
        <v>521</v>
      </c>
      <c r="DQ7" t="s">
        <v>522</v>
      </c>
      <c r="DR7" t="s">
        <v>527</v>
      </c>
      <c r="DS7" t="s">
        <v>531</v>
      </c>
      <c r="DT7" t="s">
        <v>61</v>
      </c>
      <c r="DU7" t="s">
        <v>335</v>
      </c>
      <c r="DV7" t="s">
        <v>532</v>
      </c>
      <c r="DW7" t="s">
        <v>336</v>
      </c>
      <c r="DX7" t="s">
        <v>337</v>
      </c>
      <c r="DY7" t="s">
        <v>731</v>
      </c>
      <c r="DZ7" t="s">
        <v>536</v>
      </c>
      <c r="EA7" t="s">
        <v>338</v>
      </c>
      <c r="EB7" t="s">
        <v>339</v>
      </c>
      <c r="EC7" t="s">
        <v>340</v>
      </c>
      <c r="ED7" t="s">
        <v>64</v>
      </c>
      <c r="EE7" t="s">
        <v>539</v>
      </c>
      <c r="EF7" t="s">
        <v>735</v>
      </c>
      <c r="EG7" t="s">
        <v>341</v>
      </c>
      <c r="EH7" t="s">
        <v>342</v>
      </c>
      <c r="EI7" t="s">
        <v>343</v>
      </c>
      <c r="EJ7" t="s">
        <v>65</v>
      </c>
      <c r="EK7" t="s">
        <v>344</v>
      </c>
      <c r="EL7" t="s">
        <v>66</v>
      </c>
      <c r="EM7" t="s">
        <v>736</v>
      </c>
      <c r="EN7" t="s">
        <v>345</v>
      </c>
      <c r="EO7" t="s">
        <v>346</v>
      </c>
      <c r="EP7" t="s">
        <v>737</v>
      </c>
      <c r="EQ7" t="s">
        <v>738</v>
      </c>
      <c r="ER7" t="s">
        <v>739</v>
      </c>
      <c r="ES7" t="s">
        <v>740</v>
      </c>
      <c r="ET7" t="s">
        <v>741</v>
      </c>
      <c r="EU7" t="s">
        <v>348</v>
      </c>
      <c r="EV7" t="s">
        <v>760</v>
      </c>
      <c r="EW7" t="s">
        <v>349</v>
      </c>
      <c r="EX7" t="s">
        <v>350</v>
      </c>
      <c r="EY7" t="s">
        <v>351</v>
      </c>
      <c r="EZ7" t="s">
        <v>743</v>
      </c>
      <c r="FA7" t="s">
        <v>744</v>
      </c>
      <c r="FB7" t="s">
        <v>745</v>
      </c>
      <c r="FC7" t="s">
        <v>352</v>
      </c>
      <c r="FD7" t="s">
        <v>746</v>
      </c>
      <c r="FE7" t="s">
        <v>747</v>
      </c>
      <c r="FF7" t="s">
        <v>69</v>
      </c>
      <c r="FG7" t="s">
        <v>541</v>
      </c>
      <c r="FH7" t="s">
        <v>542</v>
      </c>
      <c r="FI7" t="s">
        <v>543</v>
      </c>
      <c r="FJ7" t="s">
        <v>544</v>
      </c>
      <c r="FK7" t="s">
        <v>545</v>
      </c>
      <c r="FL7" t="s">
        <v>546</v>
      </c>
      <c r="FM7" t="s">
        <v>547</v>
      </c>
      <c r="FN7" t="s">
        <v>548</v>
      </c>
      <c r="FO7" t="s">
        <v>748</v>
      </c>
      <c r="FP7" t="s">
        <v>749</v>
      </c>
      <c r="FQ7" t="s">
        <v>750</v>
      </c>
      <c r="FR7" t="s">
        <v>751</v>
      </c>
      <c r="FS7" t="s">
        <v>17</v>
      </c>
      <c r="FT7" t="s">
        <v>549</v>
      </c>
      <c r="FU7" t="s">
        <v>550</v>
      </c>
      <c r="FV7" t="s">
        <v>551</v>
      </c>
      <c r="FW7" t="s">
        <v>552</v>
      </c>
      <c r="FX7" t="s">
        <v>75</v>
      </c>
      <c r="FY7" t="s">
        <v>662</v>
      </c>
      <c r="FZ7" t="s">
        <v>663</v>
      </c>
      <c r="GA7" t="s">
        <v>664</v>
      </c>
      <c r="GB7" t="s">
        <v>665</v>
      </c>
      <c r="GC7" t="s">
        <v>666</v>
      </c>
      <c r="GD7" t="s">
        <v>656</v>
      </c>
      <c r="GE7" t="s">
        <v>657</v>
      </c>
      <c r="GF7" t="s">
        <v>658</v>
      </c>
      <c r="GG7" t="s">
        <v>659</v>
      </c>
      <c r="GH7" t="s">
        <v>660</v>
      </c>
      <c r="GI7" t="s">
        <v>752</v>
      </c>
      <c r="GJ7" t="s">
        <v>753</v>
      </c>
      <c r="GK7" t="s">
        <v>754</v>
      </c>
      <c r="GL7" t="s">
        <v>755</v>
      </c>
      <c r="GM7" t="s">
        <v>756</v>
      </c>
      <c r="GN7" t="s">
        <v>80</v>
      </c>
      <c r="GO7" t="s">
        <v>162</v>
      </c>
      <c r="GP7" t="s">
        <v>757</v>
      </c>
      <c r="GQ7" t="s">
        <v>81</v>
      </c>
      <c r="GR7" t="s">
        <v>160</v>
      </c>
      <c r="GS7" t="s">
        <v>82</v>
      </c>
      <c r="GT7" t="s">
        <v>83</v>
      </c>
      <c r="GU7" t="s">
        <v>163</v>
      </c>
      <c r="GV7" t="s">
        <v>758</v>
      </c>
      <c r="GW7" t="s">
        <v>84</v>
      </c>
      <c r="GX7" t="s">
        <v>759</v>
      </c>
      <c r="GY7" t="s">
        <v>85</v>
      </c>
      <c r="GZ7" t="s">
        <v>86</v>
      </c>
      <c r="HA7" t="s">
        <v>87</v>
      </c>
    </row>
    <row r="8" spans="1:209" x14ac:dyDescent="0.75">
      <c r="A8" t="s">
        <v>463</v>
      </c>
      <c r="AC8">
        <v>0</v>
      </c>
      <c r="AF8">
        <v>0</v>
      </c>
      <c r="AI8">
        <v>0</v>
      </c>
      <c r="AP8">
        <v>0</v>
      </c>
      <c r="AQ8">
        <v>0</v>
      </c>
      <c r="BA8">
        <v>0</v>
      </c>
      <c r="BF8">
        <v>0</v>
      </c>
      <c r="BH8">
        <v>0</v>
      </c>
      <c r="BJ8">
        <v>0</v>
      </c>
      <c r="BK8">
        <v>0</v>
      </c>
      <c r="BN8">
        <v>0</v>
      </c>
      <c r="BU8">
        <v>0</v>
      </c>
      <c r="CD8">
        <v>45.202430265810328</v>
      </c>
      <c r="DF8">
        <v>0</v>
      </c>
      <c r="DI8">
        <v>0</v>
      </c>
      <c r="DL8">
        <v>0</v>
      </c>
      <c r="DT8">
        <v>0</v>
      </c>
      <c r="DU8">
        <v>0</v>
      </c>
      <c r="EB8">
        <v>0</v>
      </c>
      <c r="EG8">
        <v>0</v>
      </c>
      <c r="EI8">
        <v>0</v>
      </c>
      <c r="EK8">
        <v>0</v>
      </c>
      <c r="EL8">
        <v>0</v>
      </c>
      <c r="EO8">
        <v>0</v>
      </c>
      <c r="EV8">
        <v>0</v>
      </c>
      <c r="FY8">
        <v>4.7679472509161601E-3</v>
      </c>
      <c r="FZ8">
        <v>1.5962036726824304E-2</v>
      </c>
      <c r="GA8">
        <v>5.191833109574771E-3</v>
      </c>
      <c r="GB8">
        <v>6.6323534710750467E-3</v>
      </c>
      <c r="GC8">
        <v>2.4232899425142671E-3</v>
      </c>
      <c r="GD8">
        <v>8.1359392035574955E-4</v>
      </c>
      <c r="GE8">
        <v>6.7037700591762999E-4</v>
      </c>
      <c r="GG8">
        <v>3.6356509316389589E-3</v>
      </c>
      <c r="GH8">
        <v>7.6222436465328662E-3</v>
      </c>
      <c r="GI8">
        <v>2.389387626951536E-3</v>
      </c>
      <c r="GJ8">
        <v>1.9717889743816667E-4</v>
      </c>
      <c r="GL8">
        <v>1.0246046117758521E-4</v>
      </c>
      <c r="GM8">
        <v>3.9577415871458097E-4</v>
      </c>
      <c r="HA8">
        <v>45.253234392959961</v>
      </c>
    </row>
    <row r="9" spans="1:209" x14ac:dyDescent="0.75">
      <c r="A9" t="s">
        <v>285</v>
      </c>
      <c r="AC9">
        <v>0</v>
      </c>
      <c r="AF9">
        <v>0</v>
      </c>
      <c r="AI9">
        <v>0</v>
      </c>
      <c r="AP9">
        <v>0</v>
      </c>
      <c r="AQ9">
        <v>0</v>
      </c>
      <c r="BA9">
        <v>0</v>
      </c>
      <c r="BF9">
        <v>0</v>
      </c>
      <c r="BH9">
        <v>0</v>
      </c>
      <c r="BJ9">
        <v>0</v>
      </c>
      <c r="BK9">
        <v>0</v>
      </c>
      <c r="BN9">
        <v>0</v>
      </c>
      <c r="BU9">
        <v>0</v>
      </c>
      <c r="CE9">
        <v>84.080549968205531</v>
      </c>
      <c r="DF9">
        <v>0</v>
      </c>
      <c r="DI9">
        <v>0</v>
      </c>
      <c r="DL9">
        <v>0</v>
      </c>
      <c r="DT9">
        <v>0</v>
      </c>
      <c r="DU9">
        <v>0</v>
      </c>
      <c r="EB9">
        <v>0</v>
      </c>
      <c r="EG9">
        <v>0</v>
      </c>
      <c r="EI9">
        <v>0</v>
      </c>
      <c r="EK9">
        <v>0</v>
      </c>
      <c r="EL9">
        <v>0</v>
      </c>
      <c r="EO9">
        <v>0</v>
      </c>
      <c r="EV9">
        <v>0</v>
      </c>
      <c r="FY9">
        <v>1.6270919050745496</v>
      </c>
      <c r="FZ9">
        <v>3.0885065173603286</v>
      </c>
      <c r="GA9">
        <v>3.6447650080951504</v>
      </c>
      <c r="GB9">
        <v>4.2413149273227706</v>
      </c>
      <c r="GC9">
        <v>2.4951482357659183</v>
      </c>
      <c r="GD9">
        <v>5.209569814448007E-2</v>
      </c>
      <c r="GE9">
        <v>7.2606032511482446E-3</v>
      </c>
      <c r="GF9">
        <v>4.4641729055733152E-2</v>
      </c>
      <c r="GG9">
        <v>2.2991045147212449E-2</v>
      </c>
      <c r="GH9">
        <v>8.2198182317267388E-2</v>
      </c>
      <c r="GI9">
        <v>3.5635233981442025E-4</v>
      </c>
      <c r="GJ9">
        <v>7.8276716077865208E-4</v>
      </c>
      <c r="GK9">
        <v>6.1212102645638707E-2</v>
      </c>
      <c r="GL9">
        <v>5.050824120744183E-2</v>
      </c>
      <c r="GM9">
        <v>4.8168648883919453E-2</v>
      </c>
      <c r="HA9">
        <v>99.547591931977706</v>
      </c>
    </row>
    <row r="10" spans="1:209" x14ac:dyDescent="0.75">
      <c r="A10" t="s">
        <v>464</v>
      </c>
      <c r="AC10">
        <v>0</v>
      </c>
      <c r="AF10">
        <v>0</v>
      </c>
      <c r="AI10">
        <v>0</v>
      </c>
      <c r="AP10">
        <v>0</v>
      </c>
      <c r="AQ10">
        <v>0</v>
      </c>
      <c r="BA10">
        <v>0</v>
      </c>
      <c r="BF10">
        <v>0</v>
      </c>
      <c r="BH10">
        <v>0</v>
      </c>
      <c r="BJ10">
        <v>0</v>
      </c>
      <c r="BK10">
        <v>0</v>
      </c>
      <c r="BN10">
        <v>0</v>
      </c>
      <c r="BU10">
        <v>0</v>
      </c>
      <c r="CF10">
        <v>3.2164948876955317</v>
      </c>
      <c r="DF10">
        <v>0</v>
      </c>
      <c r="DI10">
        <v>0</v>
      </c>
      <c r="DL10">
        <v>0</v>
      </c>
      <c r="DT10">
        <v>0</v>
      </c>
      <c r="DU10">
        <v>0</v>
      </c>
      <c r="EB10">
        <v>0</v>
      </c>
      <c r="EG10">
        <v>0</v>
      </c>
      <c r="EI10">
        <v>0</v>
      </c>
      <c r="EK10">
        <v>0</v>
      </c>
      <c r="EL10">
        <v>0</v>
      </c>
      <c r="EO10">
        <v>0</v>
      </c>
      <c r="EV10">
        <v>0</v>
      </c>
      <c r="FY10">
        <v>1.0952673692699845E-2</v>
      </c>
      <c r="FZ10">
        <v>8.8653909950431268E-3</v>
      </c>
      <c r="GA10">
        <v>1.0207375868519645E-2</v>
      </c>
      <c r="GB10">
        <v>7.4899638863661459E-3</v>
      </c>
      <c r="GC10">
        <v>2.1402296762857427E-3</v>
      </c>
      <c r="HA10">
        <v>3.2561505218144466</v>
      </c>
    </row>
    <row r="11" spans="1:209" x14ac:dyDescent="0.75">
      <c r="A11" t="s">
        <v>697</v>
      </c>
      <c r="AC11">
        <v>0</v>
      </c>
      <c r="AF11">
        <v>0</v>
      </c>
      <c r="AI11">
        <v>0</v>
      </c>
      <c r="AP11">
        <v>0</v>
      </c>
      <c r="AQ11">
        <v>0</v>
      </c>
      <c r="BA11">
        <v>0</v>
      </c>
      <c r="BF11">
        <v>0</v>
      </c>
      <c r="BH11">
        <v>0</v>
      </c>
      <c r="BJ11">
        <v>0</v>
      </c>
      <c r="BK11">
        <v>0</v>
      </c>
      <c r="BN11">
        <v>0</v>
      </c>
      <c r="BU11">
        <v>0</v>
      </c>
      <c r="CG11">
        <v>55.758501119764198</v>
      </c>
      <c r="DF11">
        <v>0</v>
      </c>
      <c r="DI11">
        <v>0</v>
      </c>
      <c r="DL11">
        <v>0</v>
      </c>
      <c r="DT11">
        <v>0</v>
      </c>
      <c r="DU11">
        <v>0</v>
      </c>
      <c r="EB11">
        <v>0</v>
      </c>
      <c r="EG11">
        <v>0</v>
      </c>
      <c r="EI11">
        <v>0</v>
      </c>
      <c r="EK11">
        <v>0</v>
      </c>
      <c r="EL11">
        <v>0</v>
      </c>
      <c r="EO11">
        <v>0</v>
      </c>
      <c r="EV11">
        <v>0</v>
      </c>
      <c r="FY11">
        <v>0.2103996169019105</v>
      </c>
      <c r="FZ11">
        <v>0.39037107196470405</v>
      </c>
      <c r="GA11">
        <v>0.81798850147588831</v>
      </c>
      <c r="GB11">
        <v>1.1476267585443507</v>
      </c>
      <c r="GC11">
        <v>0.93070967253034753</v>
      </c>
      <c r="GG11">
        <v>2.4177040476827394E-2</v>
      </c>
      <c r="GH11">
        <v>4.6883304845406724E-2</v>
      </c>
      <c r="GK11">
        <v>0.14160727272336843</v>
      </c>
      <c r="HA11">
        <v>59.468264359227</v>
      </c>
    </row>
    <row r="12" spans="1:209" x14ac:dyDescent="0.75">
      <c r="A12" t="s">
        <v>353</v>
      </c>
      <c r="AC12">
        <v>0</v>
      </c>
      <c r="AF12">
        <v>0</v>
      </c>
      <c r="AI12">
        <v>0</v>
      </c>
      <c r="AP12">
        <v>0</v>
      </c>
      <c r="AQ12">
        <v>0</v>
      </c>
      <c r="BA12">
        <v>0</v>
      </c>
      <c r="BF12">
        <v>0</v>
      </c>
      <c r="BH12">
        <v>0</v>
      </c>
      <c r="BJ12">
        <v>0</v>
      </c>
      <c r="BK12">
        <v>0</v>
      </c>
      <c r="BN12">
        <v>0</v>
      </c>
      <c r="BU12">
        <v>0</v>
      </c>
      <c r="CH12">
        <v>0.29023539639779394</v>
      </c>
      <c r="DF12">
        <v>0</v>
      </c>
      <c r="DI12">
        <v>0</v>
      </c>
      <c r="DL12">
        <v>0</v>
      </c>
      <c r="DT12">
        <v>0</v>
      </c>
      <c r="DU12">
        <v>0</v>
      </c>
      <c r="EB12">
        <v>0</v>
      </c>
      <c r="EG12">
        <v>0</v>
      </c>
      <c r="EI12">
        <v>0</v>
      </c>
      <c r="EK12">
        <v>0</v>
      </c>
      <c r="EL12">
        <v>0</v>
      </c>
      <c r="EO12">
        <v>0</v>
      </c>
      <c r="EV12">
        <v>0</v>
      </c>
      <c r="HA12">
        <v>0.29023539639779394</v>
      </c>
    </row>
    <row r="13" spans="1:209" x14ac:dyDescent="0.75">
      <c r="A13" t="s">
        <v>560</v>
      </c>
      <c r="AC13">
        <v>0</v>
      </c>
      <c r="AF13">
        <v>0</v>
      </c>
      <c r="AI13">
        <v>0</v>
      </c>
      <c r="AP13">
        <v>0</v>
      </c>
      <c r="AQ13">
        <v>0</v>
      </c>
      <c r="BA13">
        <v>0</v>
      </c>
      <c r="BF13">
        <v>0</v>
      </c>
      <c r="BH13">
        <v>0</v>
      </c>
      <c r="BJ13">
        <v>0</v>
      </c>
      <c r="BK13">
        <v>0</v>
      </c>
      <c r="BN13">
        <v>0</v>
      </c>
      <c r="BU13">
        <v>0</v>
      </c>
      <c r="CI13">
        <v>37.433715005881908</v>
      </c>
      <c r="DF13">
        <v>0</v>
      </c>
      <c r="DI13">
        <v>0</v>
      </c>
      <c r="DL13">
        <v>0</v>
      </c>
      <c r="DT13">
        <v>0</v>
      </c>
      <c r="DU13">
        <v>0</v>
      </c>
      <c r="EB13">
        <v>0</v>
      </c>
      <c r="EG13">
        <v>0</v>
      </c>
      <c r="EI13">
        <v>0</v>
      </c>
      <c r="EK13">
        <v>0</v>
      </c>
      <c r="EL13">
        <v>0</v>
      </c>
      <c r="EO13">
        <v>0</v>
      </c>
      <c r="EV13">
        <v>0</v>
      </c>
      <c r="FY13">
        <v>8.5254624859513122</v>
      </c>
      <c r="FZ13">
        <v>19.201213130990055</v>
      </c>
      <c r="GA13">
        <v>29.795230053819637</v>
      </c>
      <c r="GB13">
        <v>37.964301969962392</v>
      </c>
      <c r="GC13">
        <v>34.266692983153192</v>
      </c>
      <c r="GD13">
        <v>0.18014939350660822</v>
      </c>
      <c r="GE13">
        <v>0.38233179393146088</v>
      </c>
      <c r="GF13">
        <v>0.52406670420020685</v>
      </c>
      <c r="GG13">
        <v>0.41925324743541798</v>
      </c>
      <c r="GH13">
        <v>0.99136356698735217</v>
      </c>
      <c r="GI13">
        <v>0.10426636140187359</v>
      </c>
      <c r="GJ13">
        <v>1.3095264450261445E-2</v>
      </c>
      <c r="GK13">
        <v>0.42266447733529205</v>
      </c>
      <c r="GL13">
        <v>0.12970435364175439</v>
      </c>
      <c r="GM13">
        <v>0.25738430188496142</v>
      </c>
      <c r="HA13">
        <v>170.6108950945337</v>
      </c>
    </row>
    <row r="14" spans="1:209" x14ac:dyDescent="0.75">
      <c r="A14" t="s">
        <v>465</v>
      </c>
      <c r="AC14">
        <v>0</v>
      </c>
      <c r="AF14">
        <v>0</v>
      </c>
      <c r="AI14">
        <v>0</v>
      </c>
      <c r="AP14">
        <v>0</v>
      </c>
      <c r="AQ14">
        <v>0</v>
      </c>
      <c r="BA14">
        <v>0</v>
      </c>
      <c r="BF14">
        <v>0</v>
      </c>
      <c r="BH14">
        <v>0</v>
      </c>
      <c r="BJ14">
        <v>0</v>
      </c>
      <c r="BK14">
        <v>0</v>
      </c>
      <c r="BN14">
        <v>0</v>
      </c>
      <c r="BU14">
        <v>0</v>
      </c>
      <c r="CJ14">
        <v>9.7838796516099364</v>
      </c>
      <c r="DF14">
        <v>0</v>
      </c>
      <c r="DI14">
        <v>0</v>
      </c>
      <c r="DL14">
        <v>0</v>
      </c>
      <c r="DT14">
        <v>0</v>
      </c>
      <c r="DU14">
        <v>0</v>
      </c>
      <c r="EB14">
        <v>0</v>
      </c>
      <c r="EG14">
        <v>0</v>
      </c>
      <c r="EI14">
        <v>0</v>
      </c>
      <c r="EK14">
        <v>0</v>
      </c>
      <c r="EL14">
        <v>0</v>
      </c>
      <c r="EO14">
        <v>0</v>
      </c>
      <c r="EV14">
        <v>0</v>
      </c>
      <c r="FY14">
        <v>13.853138987419781</v>
      </c>
      <c r="FZ14">
        <v>29.197973345440168</v>
      </c>
      <c r="GA14">
        <v>35.840552988692423</v>
      </c>
      <c r="GB14">
        <v>37.074413501155057</v>
      </c>
      <c r="GC14">
        <v>20.192480154148047</v>
      </c>
      <c r="GD14">
        <v>0.29399256222990622</v>
      </c>
      <c r="GE14">
        <v>0.60454797869921573</v>
      </c>
      <c r="GF14">
        <v>0.39245116861851226</v>
      </c>
      <c r="GG14">
        <v>0.59164515962720055</v>
      </c>
      <c r="GH14">
        <v>0.88028399337082686</v>
      </c>
      <c r="GI14">
        <v>0.16128131320401085</v>
      </c>
      <c r="GJ14">
        <v>0.42808957901199124</v>
      </c>
      <c r="GK14">
        <v>0.4997539037042204</v>
      </c>
      <c r="GL14">
        <v>0.96374769045671016</v>
      </c>
      <c r="GM14">
        <v>1.0220653307671796</v>
      </c>
      <c r="HA14">
        <v>151.78029730815518</v>
      </c>
    </row>
    <row r="15" spans="1:209" x14ac:dyDescent="0.75">
      <c r="A15" t="s">
        <v>557</v>
      </c>
      <c r="AC15">
        <v>0</v>
      </c>
      <c r="AF15">
        <v>0</v>
      </c>
      <c r="AI15">
        <v>0</v>
      </c>
      <c r="AP15">
        <v>0</v>
      </c>
      <c r="AQ15">
        <v>0</v>
      </c>
      <c r="BA15">
        <v>0</v>
      </c>
      <c r="BF15">
        <v>0</v>
      </c>
      <c r="BH15">
        <v>0</v>
      </c>
      <c r="BJ15">
        <v>0</v>
      </c>
      <c r="BK15">
        <v>0</v>
      </c>
      <c r="BN15">
        <v>0</v>
      </c>
      <c r="BU15">
        <v>0</v>
      </c>
      <c r="CK15">
        <v>108.84129536518533</v>
      </c>
      <c r="DF15">
        <v>0</v>
      </c>
      <c r="DI15">
        <v>0</v>
      </c>
      <c r="DL15">
        <v>0</v>
      </c>
      <c r="DT15">
        <v>0</v>
      </c>
      <c r="DU15">
        <v>0</v>
      </c>
      <c r="EB15">
        <v>0</v>
      </c>
      <c r="EG15">
        <v>0</v>
      </c>
      <c r="EI15">
        <v>0</v>
      </c>
      <c r="EK15">
        <v>0</v>
      </c>
      <c r="EL15">
        <v>0</v>
      </c>
      <c r="EO15">
        <v>0</v>
      </c>
      <c r="EV15">
        <v>0</v>
      </c>
      <c r="FY15">
        <v>1.4873153056206758</v>
      </c>
      <c r="FZ15">
        <v>2.809375018093891</v>
      </c>
      <c r="GA15">
        <v>3.4741482193141549</v>
      </c>
      <c r="GB15">
        <v>4.4240308920676803</v>
      </c>
      <c r="GC15">
        <v>2.4512872825009953</v>
      </c>
      <c r="GD15">
        <v>1.2136017872003007E-2</v>
      </c>
      <c r="GE15">
        <v>3.0754112691639624E-2</v>
      </c>
      <c r="GF15">
        <v>4.453007482209044E-2</v>
      </c>
      <c r="GG15">
        <v>8.7704802311750235E-2</v>
      </c>
      <c r="GH15">
        <v>7.6501970341768227E-2</v>
      </c>
      <c r="GI15">
        <v>5.0172802944643151E-2</v>
      </c>
      <c r="GJ15">
        <v>5.8462495255492943E-2</v>
      </c>
      <c r="GK15">
        <v>8.0846697875082932E-2</v>
      </c>
      <c r="GL15">
        <v>0.13885985562291597</v>
      </c>
      <c r="GM15">
        <v>0.19771384422053295</v>
      </c>
      <c r="HA15">
        <v>124.26513475674065</v>
      </c>
    </row>
    <row r="16" spans="1:209" x14ac:dyDescent="0.75">
      <c r="A16" t="s">
        <v>288</v>
      </c>
      <c r="AC16">
        <v>0</v>
      </c>
      <c r="AF16">
        <v>0</v>
      </c>
      <c r="AI16">
        <v>0</v>
      </c>
      <c r="AP16">
        <v>0</v>
      </c>
      <c r="AQ16">
        <v>0</v>
      </c>
      <c r="BA16">
        <v>0</v>
      </c>
      <c r="BF16">
        <v>0</v>
      </c>
      <c r="BH16">
        <v>0</v>
      </c>
      <c r="BJ16">
        <v>0</v>
      </c>
      <c r="BK16">
        <v>0</v>
      </c>
      <c r="BN16">
        <v>0</v>
      </c>
      <c r="BU16">
        <v>0</v>
      </c>
      <c r="CL16">
        <v>7.9914833439694899</v>
      </c>
      <c r="DF16">
        <v>0</v>
      </c>
      <c r="DI16">
        <v>0</v>
      </c>
      <c r="DL16">
        <v>0</v>
      </c>
      <c r="DT16">
        <v>0</v>
      </c>
      <c r="DU16">
        <v>0</v>
      </c>
      <c r="EB16">
        <v>0</v>
      </c>
      <c r="EG16">
        <v>0</v>
      </c>
      <c r="EI16">
        <v>0</v>
      </c>
      <c r="EK16">
        <v>0</v>
      </c>
      <c r="EL16">
        <v>0</v>
      </c>
      <c r="EO16">
        <v>0</v>
      </c>
      <c r="EV16">
        <v>0</v>
      </c>
      <c r="FY16">
        <v>0.99489119305147333</v>
      </c>
      <c r="FZ16">
        <v>2.2192269942740541</v>
      </c>
      <c r="GA16">
        <v>3.2394358505150853</v>
      </c>
      <c r="GB16">
        <v>4.0589505841300788</v>
      </c>
      <c r="GC16">
        <v>2.3243346178673376</v>
      </c>
      <c r="GD16">
        <v>1.0167810360345609E-2</v>
      </c>
      <c r="GE16">
        <v>3.7109373585433508E-2</v>
      </c>
      <c r="GF16">
        <v>1.5803524453081023E-2</v>
      </c>
      <c r="GG16">
        <v>6.2176518572454105E-2</v>
      </c>
      <c r="GH16">
        <v>7.9008185359431479E-2</v>
      </c>
      <c r="GI16">
        <v>5.6954743302367113E-2</v>
      </c>
      <c r="GJ16">
        <v>5.4339129531311897E-2</v>
      </c>
      <c r="GK16">
        <v>6.3392084538413551E-2</v>
      </c>
      <c r="GL16">
        <v>9.2079900945489512E-2</v>
      </c>
      <c r="GM16">
        <v>0.15170264807294778</v>
      </c>
      <c r="HA16">
        <v>21.451056502528793</v>
      </c>
    </row>
    <row r="17" spans="1:209" x14ac:dyDescent="0.75">
      <c r="A17" t="s">
        <v>698</v>
      </c>
      <c r="AC17">
        <v>0</v>
      </c>
      <c r="AF17">
        <v>0</v>
      </c>
      <c r="AI17">
        <v>0</v>
      </c>
      <c r="AP17">
        <v>0</v>
      </c>
      <c r="AQ17">
        <v>0</v>
      </c>
      <c r="BA17">
        <v>0</v>
      </c>
      <c r="BF17">
        <v>0</v>
      </c>
      <c r="BH17">
        <v>0</v>
      </c>
      <c r="BJ17">
        <v>0</v>
      </c>
      <c r="BK17">
        <v>0</v>
      </c>
      <c r="BN17">
        <v>0</v>
      </c>
      <c r="BU17">
        <v>0</v>
      </c>
      <c r="CM17">
        <v>138.20273516710427</v>
      </c>
      <c r="DF17">
        <v>0</v>
      </c>
      <c r="DI17">
        <v>0</v>
      </c>
      <c r="DL17">
        <v>0</v>
      </c>
      <c r="DT17">
        <v>0</v>
      </c>
      <c r="DU17">
        <v>0</v>
      </c>
      <c r="EB17">
        <v>0</v>
      </c>
      <c r="EG17">
        <v>0</v>
      </c>
      <c r="EI17">
        <v>0</v>
      </c>
      <c r="EK17">
        <v>0</v>
      </c>
      <c r="EL17">
        <v>0</v>
      </c>
      <c r="EO17">
        <v>0</v>
      </c>
      <c r="EV17">
        <v>0</v>
      </c>
      <c r="FY17">
        <v>8.9546238596906296</v>
      </c>
      <c r="FZ17">
        <v>15.650925970464264</v>
      </c>
      <c r="GA17">
        <v>18.979239128012715</v>
      </c>
      <c r="GB17">
        <v>22.961959504717814</v>
      </c>
      <c r="GC17">
        <v>16.389704709942613</v>
      </c>
      <c r="GD17">
        <v>0.15786309473811541</v>
      </c>
      <c r="GE17">
        <v>0.25056422162977388</v>
      </c>
      <c r="GF17">
        <v>0.36893816616684327</v>
      </c>
      <c r="GG17">
        <v>0.60401124865878242</v>
      </c>
      <c r="GH17">
        <v>0.94766794029086332</v>
      </c>
      <c r="GI17">
        <v>0.1721975386877144</v>
      </c>
      <c r="GJ17">
        <v>0.22045591837781647</v>
      </c>
      <c r="GK17">
        <v>0.36689997921697093</v>
      </c>
      <c r="GL17">
        <v>0.86823953365283746</v>
      </c>
      <c r="GM17">
        <v>1.5151931585942278</v>
      </c>
      <c r="HA17">
        <v>226.61121913994629</v>
      </c>
    </row>
    <row r="18" spans="1:209" x14ac:dyDescent="0.75">
      <c r="A18" t="s">
        <v>699</v>
      </c>
      <c r="AC18">
        <v>0</v>
      </c>
      <c r="AF18">
        <v>0</v>
      </c>
      <c r="AI18">
        <v>0</v>
      </c>
      <c r="AP18">
        <v>0</v>
      </c>
      <c r="AQ18">
        <v>0</v>
      </c>
      <c r="BA18">
        <v>0</v>
      </c>
      <c r="BF18">
        <v>0</v>
      </c>
      <c r="BH18">
        <v>0</v>
      </c>
      <c r="BJ18">
        <v>0</v>
      </c>
      <c r="BK18">
        <v>0</v>
      </c>
      <c r="BN18">
        <v>0</v>
      </c>
      <c r="BU18">
        <v>0</v>
      </c>
      <c r="CN18">
        <v>19.92990739422558</v>
      </c>
      <c r="DF18">
        <v>0</v>
      </c>
      <c r="DI18">
        <v>0</v>
      </c>
      <c r="DL18">
        <v>0</v>
      </c>
      <c r="DT18">
        <v>0</v>
      </c>
      <c r="DU18">
        <v>0</v>
      </c>
      <c r="EB18">
        <v>0</v>
      </c>
      <c r="EG18">
        <v>0</v>
      </c>
      <c r="EI18">
        <v>0</v>
      </c>
      <c r="EK18">
        <v>0</v>
      </c>
      <c r="EL18">
        <v>0</v>
      </c>
      <c r="EO18">
        <v>0</v>
      </c>
      <c r="EV18">
        <v>0</v>
      </c>
      <c r="FY18">
        <v>6.5473043226670496E-2</v>
      </c>
      <c r="FZ18">
        <v>0.18707687342042317</v>
      </c>
      <c r="GA18">
        <v>0.27994897586807671</v>
      </c>
      <c r="GB18">
        <v>0.38910577955355319</v>
      </c>
      <c r="GC18">
        <v>0.41790437457123386</v>
      </c>
      <c r="GG18">
        <v>7.3238012613762657E-3</v>
      </c>
      <c r="GJ18">
        <v>1.1728884255899526E-3</v>
      </c>
      <c r="GK18">
        <v>2.2738930713913936E-3</v>
      </c>
      <c r="GL18">
        <v>1.1703827044798379E-3</v>
      </c>
      <c r="GM18">
        <v>3.1403121783430267E-3</v>
      </c>
      <c r="HA18">
        <v>21.284497718506714</v>
      </c>
    </row>
    <row r="19" spans="1:209" x14ac:dyDescent="0.75">
      <c r="A19" t="s">
        <v>289</v>
      </c>
      <c r="AC19">
        <v>0</v>
      </c>
      <c r="AF19">
        <v>0</v>
      </c>
      <c r="AI19">
        <v>0</v>
      </c>
      <c r="AP19">
        <v>0</v>
      </c>
      <c r="AQ19">
        <v>0</v>
      </c>
      <c r="BA19">
        <v>0</v>
      </c>
      <c r="BF19">
        <v>0</v>
      </c>
      <c r="BH19">
        <v>0</v>
      </c>
      <c r="BJ19">
        <v>0</v>
      </c>
      <c r="BK19">
        <v>0</v>
      </c>
      <c r="BN19">
        <v>0</v>
      </c>
      <c r="BU19">
        <v>0</v>
      </c>
      <c r="CO19">
        <v>133.87356396684245</v>
      </c>
      <c r="DF19">
        <v>0</v>
      </c>
      <c r="DI19">
        <v>0</v>
      </c>
      <c r="DL19">
        <v>0</v>
      </c>
      <c r="DT19">
        <v>0</v>
      </c>
      <c r="DU19">
        <v>0</v>
      </c>
      <c r="EB19">
        <v>0</v>
      </c>
      <c r="EG19">
        <v>0</v>
      </c>
      <c r="EI19">
        <v>0</v>
      </c>
      <c r="EK19">
        <v>0</v>
      </c>
      <c r="EL19">
        <v>0</v>
      </c>
      <c r="EO19">
        <v>0</v>
      </c>
      <c r="EV19">
        <v>0</v>
      </c>
      <c r="FY19">
        <v>2.3051402648793196</v>
      </c>
      <c r="FZ19">
        <v>2.8800730667875798</v>
      </c>
      <c r="GA19">
        <v>3.1756033608091081</v>
      </c>
      <c r="GB19">
        <v>3.5271280544417958</v>
      </c>
      <c r="GC19">
        <v>2.3073850228974875</v>
      </c>
      <c r="GD19">
        <v>0.12019354485186827</v>
      </c>
      <c r="GE19">
        <v>0.13937250803764711</v>
      </c>
      <c r="GF19">
        <v>0.16269855639568065</v>
      </c>
      <c r="GG19">
        <v>0.20822210000086991</v>
      </c>
      <c r="GH19">
        <v>0.33427922898786289</v>
      </c>
      <c r="GI19">
        <v>4.6263491616016492E-2</v>
      </c>
      <c r="GJ19">
        <v>3.7399197607552857E-2</v>
      </c>
      <c r="GK19">
        <v>5.7063697468534742E-2</v>
      </c>
      <c r="GL19">
        <v>0.12035303774886627</v>
      </c>
      <c r="GM19">
        <v>0.18382511908222951</v>
      </c>
      <c r="HA19">
        <v>149.47856421845484</v>
      </c>
    </row>
    <row r="20" spans="1:209" x14ac:dyDescent="0.75">
      <c r="A20" t="s">
        <v>700</v>
      </c>
      <c r="AC20">
        <v>0</v>
      </c>
      <c r="AF20">
        <v>0</v>
      </c>
      <c r="AI20">
        <v>0</v>
      </c>
      <c r="AP20">
        <v>0</v>
      </c>
      <c r="AQ20">
        <v>0</v>
      </c>
      <c r="BA20">
        <v>0</v>
      </c>
      <c r="BF20">
        <v>0</v>
      </c>
      <c r="BH20">
        <v>0</v>
      </c>
      <c r="BJ20">
        <v>0</v>
      </c>
      <c r="BK20">
        <v>0</v>
      </c>
      <c r="BN20">
        <v>0</v>
      </c>
      <c r="BU20">
        <v>0</v>
      </c>
      <c r="CP20">
        <v>77.015073640300685</v>
      </c>
      <c r="DF20">
        <v>0</v>
      </c>
      <c r="DI20">
        <v>0</v>
      </c>
      <c r="DL20">
        <v>0</v>
      </c>
      <c r="DT20">
        <v>0</v>
      </c>
      <c r="DU20">
        <v>0</v>
      </c>
      <c r="EB20">
        <v>0</v>
      </c>
      <c r="EG20">
        <v>0</v>
      </c>
      <c r="EI20">
        <v>0</v>
      </c>
      <c r="EK20">
        <v>0</v>
      </c>
      <c r="EL20">
        <v>0</v>
      </c>
      <c r="EO20">
        <v>0</v>
      </c>
      <c r="EV20">
        <v>0</v>
      </c>
      <c r="FY20">
        <v>0.77029244801652608</v>
      </c>
      <c r="FZ20">
        <v>0.75125158973111272</v>
      </c>
      <c r="GA20">
        <v>0.77262456420819403</v>
      </c>
      <c r="GB20">
        <v>0.56744343229504435</v>
      </c>
      <c r="GC20">
        <v>0.26630307356951005</v>
      </c>
      <c r="GD20">
        <v>8.8198581267617121E-3</v>
      </c>
      <c r="GE20">
        <v>1.2136642253123203E-2</v>
      </c>
      <c r="GF20">
        <v>3.2475955566432201E-2</v>
      </c>
      <c r="GG20">
        <v>1.1580102741412942E-2</v>
      </c>
      <c r="GH20">
        <v>7.236993793748152E-3</v>
      </c>
      <c r="GI20">
        <v>4.9286870084036469E-3</v>
      </c>
      <c r="GJ20">
        <v>7.432140556188827E-3</v>
      </c>
      <c r="GK20">
        <v>6.6419374489928046E-2</v>
      </c>
      <c r="GL20">
        <v>6.9398458430705058E-3</v>
      </c>
      <c r="GM20">
        <v>2.7308602465805697E-2</v>
      </c>
      <c r="HA20">
        <v>80.32826695096594</v>
      </c>
    </row>
    <row r="21" spans="1:209" x14ac:dyDescent="0.75">
      <c r="A21" t="s">
        <v>701</v>
      </c>
      <c r="AC21">
        <v>0</v>
      </c>
      <c r="AF21">
        <v>0</v>
      </c>
      <c r="AI21">
        <v>0</v>
      </c>
      <c r="AP21">
        <v>0</v>
      </c>
      <c r="AQ21">
        <v>0</v>
      </c>
      <c r="BA21">
        <v>0</v>
      </c>
      <c r="BF21">
        <v>0</v>
      </c>
      <c r="BH21">
        <v>0</v>
      </c>
      <c r="BJ21">
        <v>0</v>
      </c>
      <c r="BK21">
        <v>0</v>
      </c>
      <c r="BN21">
        <v>0</v>
      </c>
      <c r="BU21">
        <v>0</v>
      </c>
      <c r="CQ21">
        <v>0.77970949834303838</v>
      </c>
      <c r="DF21">
        <v>0</v>
      </c>
      <c r="DI21">
        <v>0</v>
      </c>
      <c r="DL21">
        <v>0</v>
      </c>
      <c r="DT21">
        <v>0</v>
      </c>
      <c r="DU21">
        <v>0</v>
      </c>
      <c r="EB21">
        <v>0</v>
      </c>
      <c r="EG21">
        <v>0</v>
      </c>
      <c r="EI21">
        <v>0</v>
      </c>
      <c r="EK21">
        <v>0</v>
      </c>
      <c r="EL21">
        <v>0</v>
      </c>
      <c r="EO21">
        <v>0</v>
      </c>
      <c r="EV21">
        <v>0</v>
      </c>
      <c r="FY21">
        <v>7.4808962038500519</v>
      </c>
      <c r="FZ21">
        <v>15.155644277899512</v>
      </c>
      <c r="GA21">
        <v>27.884929168565861</v>
      </c>
      <c r="GB21">
        <v>45.924513732577438</v>
      </c>
      <c r="GC21">
        <v>39.064270671913228</v>
      </c>
      <c r="GD21">
        <v>0.18084142651307258</v>
      </c>
      <c r="GE21">
        <v>0.21709891852324828</v>
      </c>
      <c r="GF21">
        <v>1.2088359312758046</v>
      </c>
      <c r="GG21">
        <v>1.6831991907849344</v>
      </c>
      <c r="GH21">
        <v>4.0701906598572579</v>
      </c>
      <c r="GI21">
        <v>0.1236579746251472</v>
      </c>
      <c r="GJ21">
        <v>0.40300722059009475</v>
      </c>
      <c r="GK21">
        <v>0.66263088197254805</v>
      </c>
      <c r="GL21">
        <v>1.8139547141613066</v>
      </c>
      <c r="GM21">
        <v>3.0976588167723431</v>
      </c>
      <c r="HA21">
        <v>149.75103928822489</v>
      </c>
    </row>
    <row r="22" spans="1:209" x14ac:dyDescent="0.75">
      <c r="A22" t="s">
        <v>702</v>
      </c>
      <c r="AC22">
        <v>0</v>
      </c>
      <c r="AF22">
        <v>0</v>
      </c>
      <c r="AI22">
        <v>0</v>
      </c>
      <c r="AP22">
        <v>0</v>
      </c>
      <c r="AQ22">
        <v>0</v>
      </c>
      <c r="BA22">
        <v>0</v>
      </c>
      <c r="BF22">
        <v>0</v>
      </c>
      <c r="BH22">
        <v>0</v>
      </c>
      <c r="BJ22">
        <v>0</v>
      </c>
      <c r="BK22">
        <v>0</v>
      </c>
      <c r="BN22">
        <v>0</v>
      </c>
      <c r="BU22">
        <v>0</v>
      </c>
      <c r="CR22">
        <v>25.210579104692656</v>
      </c>
      <c r="DF22">
        <v>0</v>
      </c>
      <c r="DI22">
        <v>0</v>
      </c>
      <c r="DL22">
        <v>0</v>
      </c>
      <c r="DT22">
        <v>0</v>
      </c>
      <c r="DU22">
        <v>0</v>
      </c>
      <c r="EB22">
        <v>0</v>
      </c>
      <c r="EG22">
        <v>0</v>
      </c>
      <c r="EI22">
        <v>0</v>
      </c>
      <c r="EK22">
        <v>0</v>
      </c>
      <c r="EL22">
        <v>0</v>
      </c>
      <c r="EO22">
        <v>0</v>
      </c>
      <c r="EV22">
        <v>0</v>
      </c>
      <c r="FY22">
        <v>8.3813025713176392E-2</v>
      </c>
      <c r="FZ22">
        <v>0.23824848087882733</v>
      </c>
      <c r="GA22">
        <v>0.32934280769593999</v>
      </c>
      <c r="GB22">
        <v>0.73499185653479338</v>
      </c>
      <c r="GC22">
        <v>0.58137886698804631</v>
      </c>
      <c r="GD22">
        <v>1.5060607806908306E-3</v>
      </c>
      <c r="GE22">
        <v>1.7402573095930973E-2</v>
      </c>
      <c r="GF22">
        <v>9.5786407293157582E-3</v>
      </c>
      <c r="GG22">
        <v>1.072436248536889E-2</v>
      </c>
      <c r="GH22">
        <v>6.809948704152223E-2</v>
      </c>
      <c r="GI22">
        <v>1.9577624136954998E-3</v>
      </c>
      <c r="GJ22">
        <v>5.2846282933694741E-3</v>
      </c>
      <c r="GK22">
        <v>2.5586096753009276E-2</v>
      </c>
      <c r="GL22">
        <v>6.737240070691515E-2</v>
      </c>
      <c r="GM22">
        <v>8.8958983644740919E-2</v>
      </c>
      <c r="HA22">
        <v>27.474825138448004</v>
      </c>
    </row>
    <row r="23" spans="1:209" x14ac:dyDescent="0.75">
      <c r="A23" t="s">
        <v>291</v>
      </c>
      <c r="AC23">
        <v>0</v>
      </c>
      <c r="AF23">
        <v>0</v>
      </c>
      <c r="AI23">
        <v>0</v>
      </c>
      <c r="AP23">
        <v>0</v>
      </c>
      <c r="AQ23">
        <v>0</v>
      </c>
      <c r="BA23">
        <v>0</v>
      </c>
      <c r="BF23">
        <v>0</v>
      </c>
      <c r="BH23">
        <v>0</v>
      </c>
      <c r="BJ23">
        <v>0</v>
      </c>
      <c r="BK23">
        <v>0</v>
      </c>
      <c r="BN23">
        <v>0</v>
      </c>
      <c r="BU23">
        <v>0</v>
      </c>
      <c r="CS23">
        <v>21.805808385536071</v>
      </c>
      <c r="DF23">
        <v>0</v>
      </c>
      <c r="DI23">
        <v>0</v>
      </c>
      <c r="DL23">
        <v>0</v>
      </c>
      <c r="DT23">
        <v>0</v>
      </c>
      <c r="DU23">
        <v>0</v>
      </c>
      <c r="EB23">
        <v>0</v>
      </c>
      <c r="EG23">
        <v>0</v>
      </c>
      <c r="EI23">
        <v>0</v>
      </c>
      <c r="EK23">
        <v>0</v>
      </c>
      <c r="EL23">
        <v>0</v>
      </c>
      <c r="EO23">
        <v>0</v>
      </c>
      <c r="EV23">
        <v>0</v>
      </c>
      <c r="FY23">
        <v>0.36320860257083659</v>
      </c>
      <c r="FZ23">
        <v>0.46060565501013623</v>
      </c>
      <c r="GA23">
        <v>0.78997213818374079</v>
      </c>
      <c r="GB23">
        <v>0.87803730957183601</v>
      </c>
      <c r="GC23">
        <v>0.86265947372660645</v>
      </c>
      <c r="GD23">
        <v>5.8715802565293242E-3</v>
      </c>
      <c r="GE23">
        <v>1.5146879758303922E-2</v>
      </c>
      <c r="GF23">
        <v>3.5607590604776425E-2</v>
      </c>
      <c r="GG23">
        <v>4.6624936932262148E-2</v>
      </c>
      <c r="GH23">
        <v>0.13139107429233252</v>
      </c>
      <c r="GI23">
        <v>6.0513552808927383E-3</v>
      </c>
      <c r="GJ23">
        <v>1.4485432243352759E-2</v>
      </c>
      <c r="GK23">
        <v>2.713822672041051E-2</v>
      </c>
      <c r="GL23">
        <v>0.12515953088227746</v>
      </c>
      <c r="GM23">
        <v>0.11588056102635488</v>
      </c>
      <c r="HA23">
        <v>25.683648732596723</v>
      </c>
    </row>
    <row r="24" spans="1:209" x14ac:dyDescent="0.75">
      <c r="A24" t="s">
        <v>554</v>
      </c>
      <c r="AC24">
        <v>0</v>
      </c>
      <c r="AF24">
        <v>0</v>
      </c>
      <c r="AI24">
        <v>0</v>
      </c>
      <c r="AP24">
        <v>0</v>
      </c>
      <c r="AQ24">
        <v>0</v>
      </c>
      <c r="BA24">
        <v>0</v>
      </c>
      <c r="BF24">
        <v>0</v>
      </c>
      <c r="BH24">
        <v>0</v>
      </c>
      <c r="BJ24">
        <v>0</v>
      </c>
      <c r="BK24">
        <v>0</v>
      </c>
      <c r="BN24">
        <v>0</v>
      </c>
      <c r="BU24">
        <v>0</v>
      </c>
      <c r="CT24">
        <v>11.169554564394941</v>
      </c>
      <c r="DF24">
        <v>0</v>
      </c>
      <c r="DI24">
        <v>0</v>
      </c>
      <c r="DL24">
        <v>0</v>
      </c>
      <c r="DT24">
        <v>0</v>
      </c>
      <c r="DU24">
        <v>0</v>
      </c>
      <c r="EB24">
        <v>0</v>
      </c>
      <c r="EG24">
        <v>0</v>
      </c>
      <c r="EI24">
        <v>0</v>
      </c>
      <c r="EK24">
        <v>0</v>
      </c>
      <c r="EL24">
        <v>0</v>
      </c>
      <c r="EO24">
        <v>0</v>
      </c>
      <c r="EV24">
        <v>0</v>
      </c>
      <c r="FY24">
        <v>5.862074221831404E-3</v>
      </c>
      <c r="FZ24">
        <v>1.5614793427430124E-2</v>
      </c>
      <c r="GA24">
        <v>2.4039238045648739E-2</v>
      </c>
      <c r="GB24">
        <v>4.2031793570319088E-2</v>
      </c>
      <c r="GC24">
        <v>3.2385468987447173E-2</v>
      </c>
      <c r="GG24">
        <v>4.9308948131085645E-4</v>
      </c>
      <c r="GM24">
        <v>7.6606368421436484E-3</v>
      </c>
      <c r="HA24">
        <v>11.29764165897107</v>
      </c>
    </row>
    <row r="25" spans="1:209" x14ac:dyDescent="0.75">
      <c r="A25" t="s">
        <v>703</v>
      </c>
      <c r="AC25">
        <v>0</v>
      </c>
      <c r="AF25">
        <v>0</v>
      </c>
      <c r="AI25">
        <v>0</v>
      </c>
      <c r="AP25">
        <v>0</v>
      </c>
      <c r="AQ25">
        <v>0</v>
      </c>
      <c r="BA25">
        <v>0</v>
      </c>
      <c r="BF25">
        <v>0</v>
      </c>
      <c r="BH25">
        <v>0</v>
      </c>
      <c r="BJ25">
        <v>0</v>
      </c>
      <c r="BK25">
        <v>0</v>
      </c>
      <c r="BN25">
        <v>0</v>
      </c>
      <c r="BU25">
        <v>0</v>
      </c>
      <c r="CU25">
        <v>3.575493896279156</v>
      </c>
      <c r="DF25">
        <v>0</v>
      </c>
      <c r="DI25">
        <v>0</v>
      </c>
      <c r="DL25">
        <v>0</v>
      </c>
      <c r="DT25">
        <v>0</v>
      </c>
      <c r="DU25">
        <v>0</v>
      </c>
      <c r="EB25">
        <v>0</v>
      </c>
      <c r="EG25">
        <v>0</v>
      </c>
      <c r="EI25">
        <v>0</v>
      </c>
      <c r="EK25">
        <v>0</v>
      </c>
      <c r="EL25">
        <v>0</v>
      </c>
      <c r="EO25">
        <v>0</v>
      </c>
      <c r="EV25">
        <v>0</v>
      </c>
      <c r="FY25">
        <v>3.9742789040950272E-2</v>
      </c>
      <c r="FZ25">
        <v>4.2774186866803218E-2</v>
      </c>
      <c r="GA25">
        <v>4.8081026344091213E-2</v>
      </c>
      <c r="GB25">
        <v>3.3927989213536749E-2</v>
      </c>
      <c r="GC25">
        <v>1.783900008891243E-2</v>
      </c>
      <c r="GD25">
        <v>7.9743715218663473E-4</v>
      </c>
      <c r="GE25">
        <v>5.6649636291503742E-4</v>
      </c>
      <c r="GF25">
        <v>5.4826550822842845E-4</v>
      </c>
      <c r="GH25">
        <v>1.572655003898484E-3</v>
      </c>
      <c r="HA25">
        <v>3.7613437418606783</v>
      </c>
    </row>
    <row r="26" spans="1:209" x14ac:dyDescent="0.75">
      <c r="A26" t="s">
        <v>292</v>
      </c>
      <c r="AC26">
        <v>0</v>
      </c>
      <c r="AF26">
        <v>0</v>
      </c>
      <c r="AI26">
        <v>0</v>
      </c>
      <c r="AP26">
        <v>0</v>
      </c>
      <c r="AQ26">
        <v>0</v>
      </c>
      <c r="BA26">
        <v>0</v>
      </c>
      <c r="BF26">
        <v>0</v>
      </c>
      <c r="BH26">
        <v>0</v>
      </c>
      <c r="BJ26">
        <v>0</v>
      </c>
      <c r="BK26">
        <v>0</v>
      </c>
      <c r="BN26">
        <v>0</v>
      </c>
      <c r="BU26">
        <v>0</v>
      </c>
      <c r="CW26">
        <v>80.51142851610247</v>
      </c>
      <c r="DF26">
        <v>0</v>
      </c>
      <c r="DI26">
        <v>0</v>
      </c>
      <c r="DL26">
        <v>0</v>
      </c>
      <c r="DT26">
        <v>0</v>
      </c>
      <c r="DU26">
        <v>0</v>
      </c>
      <c r="EB26">
        <v>0</v>
      </c>
      <c r="EG26">
        <v>0</v>
      </c>
      <c r="EI26">
        <v>0</v>
      </c>
      <c r="EK26">
        <v>0</v>
      </c>
      <c r="EL26">
        <v>0</v>
      </c>
      <c r="EO26">
        <v>0</v>
      </c>
      <c r="EV26">
        <v>0</v>
      </c>
      <c r="HA26">
        <v>80.51142851610247</v>
      </c>
    </row>
    <row r="27" spans="1:209" x14ac:dyDescent="0.75">
      <c r="A27" t="s">
        <v>468</v>
      </c>
      <c r="AC27">
        <v>0</v>
      </c>
      <c r="AF27">
        <v>0</v>
      </c>
      <c r="AI27">
        <v>0</v>
      </c>
      <c r="AP27">
        <v>0</v>
      </c>
      <c r="AQ27">
        <v>0</v>
      </c>
      <c r="BA27">
        <v>0</v>
      </c>
      <c r="BF27">
        <v>0</v>
      </c>
      <c r="BH27">
        <v>0</v>
      </c>
      <c r="BJ27">
        <v>0</v>
      </c>
      <c r="BK27">
        <v>0</v>
      </c>
      <c r="BN27">
        <v>0</v>
      </c>
      <c r="BU27">
        <v>0</v>
      </c>
      <c r="CX27">
        <v>24.732342106772116</v>
      </c>
      <c r="DF27">
        <v>0</v>
      </c>
      <c r="DI27">
        <v>0</v>
      </c>
      <c r="DL27">
        <v>0</v>
      </c>
      <c r="DT27">
        <v>0</v>
      </c>
      <c r="DU27">
        <v>0</v>
      </c>
      <c r="EB27">
        <v>0</v>
      </c>
      <c r="EG27">
        <v>0</v>
      </c>
      <c r="EI27">
        <v>0</v>
      </c>
      <c r="EK27">
        <v>0</v>
      </c>
      <c r="EL27">
        <v>0</v>
      </c>
      <c r="EO27">
        <v>0</v>
      </c>
      <c r="EV27">
        <v>0</v>
      </c>
      <c r="HA27">
        <v>24.732342106772116</v>
      </c>
    </row>
    <row r="28" spans="1:209" x14ac:dyDescent="0.75">
      <c r="A28" t="s">
        <v>354</v>
      </c>
      <c r="AC28">
        <v>0</v>
      </c>
      <c r="AF28">
        <v>0</v>
      </c>
      <c r="AI28">
        <v>0</v>
      </c>
      <c r="AP28">
        <v>0</v>
      </c>
      <c r="AQ28">
        <v>0</v>
      </c>
      <c r="BA28">
        <v>0</v>
      </c>
      <c r="BF28">
        <v>0</v>
      </c>
      <c r="BH28">
        <v>0</v>
      </c>
      <c r="BJ28">
        <v>0</v>
      </c>
      <c r="BK28">
        <v>0</v>
      </c>
      <c r="BN28">
        <v>0</v>
      </c>
      <c r="BU28">
        <v>0</v>
      </c>
      <c r="CY28">
        <v>4.1841433039002238</v>
      </c>
      <c r="DF28">
        <v>0</v>
      </c>
      <c r="DI28">
        <v>0</v>
      </c>
      <c r="DL28">
        <v>0</v>
      </c>
      <c r="DT28">
        <v>0</v>
      </c>
      <c r="DU28">
        <v>0</v>
      </c>
      <c r="EB28">
        <v>0</v>
      </c>
      <c r="EG28">
        <v>0</v>
      </c>
      <c r="EI28">
        <v>0</v>
      </c>
      <c r="EK28">
        <v>0</v>
      </c>
      <c r="EL28">
        <v>0</v>
      </c>
      <c r="EO28">
        <v>0</v>
      </c>
      <c r="EV28">
        <v>0</v>
      </c>
      <c r="HA28">
        <v>4.1841433039002238</v>
      </c>
    </row>
    <row r="29" spans="1:209" x14ac:dyDescent="0.75">
      <c r="A29" t="s">
        <v>290</v>
      </c>
      <c r="AC29">
        <v>0</v>
      </c>
      <c r="AF29">
        <v>0</v>
      </c>
      <c r="AI29">
        <v>0</v>
      </c>
      <c r="AP29">
        <v>0</v>
      </c>
      <c r="AQ29">
        <v>0</v>
      </c>
      <c r="BA29">
        <v>0</v>
      </c>
      <c r="BF29">
        <v>0</v>
      </c>
      <c r="BH29">
        <v>0</v>
      </c>
      <c r="BJ29">
        <v>0</v>
      </c>
      <c r="BK29">
        <v>0</v>
      </c>
      <c r="BN29">
        <v>0</v>
      </c>
      <c r="BU29">
        <v>0</v>
      </c>
      <c r="CZ29">
        <v>7.4772431177999499</v>
      </c>
      <c r="DF29">
        <v>0</v>
      </c>
      <c r="DI29">
        <v>0</v>
      </c>
      <c r="DL29">
        <v>0</v>
      </c>
      <c r="DT29">
        <v>0</v>
      </c>
      <c r="DU29">
        <v>0</v>
      </c>
      <c r="EB29">
        <v>0</v>
      </c>
      <c r="EG29">
        <v>0</v>
      </c>
      <c r="EI29">
        <v>0</v>
      </c>
      <c r="EK29">
        <v>0</v>
      </c>
      <c r="EL29">
        <v>0</v>
      </c>
      <c r="EO29">
        <v>0</v>
      </c>
      <c r="EV29">
        <v>0</v>
      </c>
      <c r="FY29">
        <v>1.565228144938741E-2</v>
      </c>
      <c r="FZ29">
        <v>2.9692843635575325E-2</v>
      </c>
      <c r="GA29">
        <v>3.2165055866820398E-2</v>
      </c>
      <c r="GB29">
        <v>0.17683454766183379</v>
      </c>
      <c r="GC29">
        <v>0.13759364768425725</v>
      </c>
      <c r="HA29">
        <v>7.8691814940978242</v>
      </c>
    </row>
    <row r="30" spans="1:209" x14ac:dyDescent="0.75">
      <c r="A30" t="s">
        <v>704</v>
      </c>
      <c r="AC30">
        <v>0</v>
      </c>
      <c r="AF30">
        <v>0</v>
      </c>
      <c r="AI30">
        <v>0</v>
      </c>
      <c r="AP30">
        <v>0</v>
      </c>
      <c r="AQ30">
        <v>0</v>
      </c>
      <c r="BA30">
        <v>0</v>
      </c>
      <c r="BF30">
        <v>0</v>
      </c>
      <c r="BH30">
        <v>0</v>
      </c>
      <c r="BJ30">
        <v>0</v>
      </c>
      <c r="BK30">
        <v>0</v>
      </c>
      <c r="BN30">
        <v>0</v>
      </c>
      <c r="BU30">
        <v>0</v>
      </c>
      <c r="DA30">
        <v>5.5853341662188365</v>
      </c>
      <c r="DF30">
        <v>0</v>
      </c>
      <c r="DI30">
        <v>0</v>
      </c>
      <c r="DL30">
        <v>0</v>
      </c>
      <c r="DT30">
        <v>0</v>
      </c>
      <c r="DU30">
        <v>0</v>
      </c>
      <c r="EB30">
        <v>0</v>
      </c>
      <c r="EG30">
        <v>0</v>
      </c>
      <c r="EI30">
        <v>0</v>
      </c>
      <c r="EK30">
        <v>0</v>
      </c>
      <c r="EL30">
        <v>0</v>
      </c>
      <c r="EO30">
        <v>0</v>
      </c>
      <c r="EV30">
        <v>0</v>
      </c>
      <c r="HA30">
        <v>5.5853341662188365</v>
      </c>
    </row>
    <row r="31" spans="1:209" x14ac:dyDescent="0.75">
      <c r="A31" t="s">
        <v>293</v>
      </c>
      <c r="AC31">
        <v>0</v>
      </c>
      <c r="AF31">
        <v>0</v>
      </c>
      <c r="AI31">
        <v>0</v>
      </c>
      <c r="AP31">
        <v>0</v>
      </c>
      <c r="AQ31">
        <v>0</v>
      </c>
      <c r="BA31">
        <v>0</v>
      </c>
      <c r="BF31">
        <v>0</v>
      </c>
      <c r="BH31">
        <v>0</v>
      </c>
      <c r="BJ31">
        <v>0</v>
      </c>
      <c r="BK31">
        <v>0</v>
      </c>
      <c r="BN31">
        <v>0</v>
      </c>
      <c r="BU31">
        <v>0</v>
      </c>
      <c r="DB31">
        <v>30.080226405274811</v>
      </c>
      <c r="DF31">
        <v>0</v>
      </c>
      <c r="DI31">
        <v>0</v>
      </c>
      <c r="DL31">
        <v>0</v>
      </c>
      <c r="DT31">
        <v>0</v>
      </c>
      <c r="DU31">
        <v>0</v>
      </c>
      <c r="EB31">
        <v>0</v>
      </c>
      <c r="EG31">
        <v>0</v>
      </c>
      <c r="EI31">
        <v>0</v>
      </c>
      <c r="EK31">
        <v>0</v>
      </c>
      <c r="EL31">
        <v>0</v>
      </c>
      <c r="EO31">
        <v>0</v>
      </c>
      <c r="EV31">
        <v>0</v>
      </c>
      <c r="FY31">
        <v>2.7638107528689484E-3</v>
      </c>
      <c r="FZ31">
        <v>1.3684569975904335E-3</v>
      </c>
      <c r="GA31">
        <v>5.2435599302910387E-3</v>
      </c>
      <c r="GB31">
        <v>1.6852035596369462E-2</v>
      </c>
      <c r="GC31">
        <v>5.5866368777785058E-2</v>
      </c>
      <c r="GH31">
        <v>8.5353794846735609E-3</v>
      </c>
      <c r="HA31">
        <v>30.170856016814387</v>
      </c>
    </row>
    <row r="32" spans="1:209" x14ac:dyDescent="0.75">
      <c r="A32" t="s">
        <v>294</v>
      </c>
      <c r="AC32">
        <v>0</v>
      </c>
      <c r="AF32">
        <v>0</v>
      </c>
      <c r="AI32">
        <v>0</v>
      </c>
      <c r="AP32">
        <v>0</v>
      </c>
      <c r="AQ32">
        <v>0</v>
      </c>
      <c r="BA32">
        <v>0</v>
      </c>
      <c r="BF32">
        <v>0</v>
      </c>
      <c r="BH32">
        <v>0</v>
      </c>
      <c r="BJ32">
        <v>0</v>
      </c>
      <c r="BK32">
        <v>0</v>
      </c>
      <c r="BN32">
        <v>0</v>
      </c>
      <c r="BU32">
        <v>0</v>
      </c>
      <c r="DC32">
        <v>87.792114191970128</v>
      </c>
      <c r="DF32">
        <v>0</v>
      </c>
      <c r="DI32">
        <v>0</v>
      </c>
      <c r="DL32">
        <v>0</v>
      </c>
      <c r="DT32">
        <v>0</v>
      </c>
      <c r="DU32">
        <v>0</v>
      </c>
      <c r="EB32">
        <v>0</v>
      </c>
      <c r="EG32">
        <v>0</v>
      </c>
      <c r="EI32">
        <v>0</v>
      </c>
      <c r="EK32">
        <v>0</v>
      </c>
      <c r="EL32">
        <v>0</v>
      </c>
      <c r="EO32">
        <v>0</v>
      </c>
      <c r="EV32">
        <v>0</v>
      </c>
      <c r="HA32">
        <v>87.792114191970128</v>
      </c>
    </row>
    <row r="33" spans="1:209" x14ac:dyDescent="0.75">
      <c r="A33" t="s">
        <v>471</v>
      </c>
      <c r="AC33">
        <v>0</v>
      </c>
      <c r="AF33">
        <v>0</v>
      </c>
      <c r="AI33">
        <v>0</v>
      </c>
      <c r="AP33">
        <v>0</v>
      </c>
      <c r="AQ33">
        <v>0</v>
      </c>
      <c r="BA33">
        <v>0</v>
      </c>
      <c r="BF33">
        <v>0</v>
      </c>
      <c r="BH33">
        <v>0</v>
      </c>
      <c r="BJ33">
        <v>0</v>
      </c>
      <c r="BK33">
        <v>0</v>
      </c>
      <c r="BN33">
        <v>0</v>
      </c>
      <c r="BU33">
        <v>0</v>
      </c>
      <c r="DD33">
        <v>37.586456127127605</v>
      </c>
      <c r="DF33">
        <v>0</v>
      </c>
      <c r="DI33">
        <v>0</v>
      </c>
      <c r="DL33">
        <v>0</v>
      </c>
      <c r="DT33">
        <v>0</v>
      </c>
      <c r="DU33">
        <v>0</v>
      </c>
      <c r="EB33">
        <v>0</v>
      </c>
      <c r="EG33">
        <v>0</v>
      </c>
      <c r="EI33">
        <v>0</v>
      </c>
      <c r="EK33">
        <v>0</v>
      </c>
      <c r="EL33">
        <v>0</v>
      </c>
      <c r="EO33">
        <v>0</v>
      </c>
      <c r="EV33">
        <v>0</v>
      </c>
      <c r="GA33">
        <v>3.5691415066693114E-4</v>
      </c>
      <c r="GB33">
        <v>3.3293035777147554E-3</v>
      </c>
      <c r="GC33">
        <v>1.4188954483615988E-3</v>
      </c>
      <c r="GH33">
        <v>4.705889932583333E-4</v>
      </c>
      <c r="GL33">
        <v>9.8825840133328022E-5</v>
      </c>
      <c r="GM33">
        <v>1.3915950391787436E-4</v>
      </c>
      <c r="HA33">
        <v>37.592269814641654</v>
      </c>
    </row>
    <row r="34" spans="1:209" x14ac:dyDescent="0.75">
      <c r="A34" t="s">
        <v>295</v>
      </c>
      <c r="AC34">
        <v>0</v>
      </c>
      <c r="AF34">
        <v>0</v>
      </c>
      <c r="AI34">
        <v>0</v>
      </c>
      <c r="AP34">
        <v>0</v>
      </c>
      <c r="AQ34">
        <v>0</v>
      </c>
      <c r="BA34">
        <v>0</v>
      </c>
      <c r="BF34">
        <v>0</v>
      </c>
      <c r="BH34">
        <v>0</v>
      </c>
      <c r="BJ34">
        <v>0</v>
      </c>
      <c r="BK34">
        <v>0</v>
      </c>
      <c r="BN34">
        <v>0</v>
      </c>
      <c r="BU34">
        <v>0</v>
      </c>
      <c r="DE34">
        <v>13.43207615687345</v>
      </c>
      <c r="DF34">
        <v>0</v>
      </c>
      <c r="DI34">
        <v>0</v>
      </c>
      <c r="DL34">
        <v>0</v>
      </c>
      <c r="DT34">
        <v>0</v>
      </c>
      <c r="DU34">
        <v>0</v>
      </c>
      <c r="EB34">
        <v>0</v>
      </c>
      <c r="EG34">
        <v>0</v>
      </c>
      <c r="EI34">
        <v>0</v>
      </c>
      <c r="EK34">
        <v>0</v>
      </c>
      <c r="EL34">
        <v>0</v>
      </c>
      <c r="EO34">
        <v>0</v>
      </c>
      <c r="EV34">
        <v>0</v>
      </c>
      <c r="FY34">
        <v>1.5002496277973217E-3</v>
      </c>
      <c r="FZ34">
        <v>8.2693566671682706E-3</v>
      </c>
      <c r="GA34">
        <v>2.6675583695781242E-3</v>
      </c>
      <c r="GB34">
        <v>7.7041618354685227E-3</v>
      </c>
      <c r="GC34">
        <v>1.7649564933033615E-2</v>
      </c>
      <c r="GG34">
        <v>1.2247134761359155E-3</v>
      </c>
      <c r="GH34">
        <v>4.2473666891428936E-3</v>
      </c>
      <c r="GL34">
        <v>1.451515511452879E-3</v>
      </c>
      <c r="GM34">
        <v>1.4589039649621483E-2</v>
      </c>
      <c r="HA34">
        <v>13.49137968363285</v>
      </c>
    </row>
    <row r="35" spans="1:209" x14ac:dyDescent="0.75">
      <c r="A35" t="s">
        <v>296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6.6188328277666804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1.9770953202558673E-3</v>
      </c>
      <c r="FZ35">
        <v>6.2156559495476259E-3</v>
      </c>
      <c r="GA35">
        <v>7.9042317803814273E-3</v>
      </c>
      <c r="GB35">
        <v>7.9200952474217327E-3</v>
      </c>
      <c r="GC35">
        <v>1.1640984200007025E-2</v>
      </c>
      <c r="GD35">
        <v>0</v>
      </c>
      <c r="GE35">
        <v>0</v>
      </c>
      <c r="GF35">
        <v>2.6453634455479746E-4</v>
      </c>
      <c r="GG35">
        <v>0</v>
      </c>
      <c r="GH35">
        <v>0</v>
      </c>
      <c r="GI35">
        <v>4.8100839406424723E-5</v>
      </c>
      <c r="GJ35">
        <v>0</v>
      </c>
      <c r="GK35">
        <v>0</v>
      </c>
      <c r="GL35">
        <v>0</v>
      </c>
      <c r="GM35">
        <v>6.3164184487228103E-4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6.6554351692931277</v>
      </c>
    </row>
    <row r="36" spans="1:209" x14ac:dyDescent="0.75">
      <c r="A36" t="s">
        <v>469</v>
      </c>
      <c r="AC36">
        <v>0</v>
      </c>
      <c r="AF36">
        <v>0</v>
      </c>
      <c r="AI36">
        <v>0</v>
      </c>
      <c r="AP36">
        <v>0</v>
      </c>
      <c r="AQ36">
        <v>0</v>
      </c>
      <c r="BA36">
        <v>0</v>
      </c>
      <c r="BF36">
        <v>0</v>
      </c>
      <c r="BH36">
        <v>0</v>
      </c>
      <c r="BJ36">
        <v>0</v>
      </c>
      <c r="BK36">
        <v>0</v>
      </c>
      <c r="BN36">
        <v>0</v>
      </c>
      <c r="BU36">
        <v>0</v>
      </c>
      <c r="DF36">
        <v>0</v>
      </c>
      <c r="DG36">
        <v>24.787400759650332</v>
      </c>
      <c r="DI36">
        <v>0</v>
      </c>
      <c r="DL36">
        <v>0</v>
      </c>
      <c r="DT36">
        <v>0</v>
      </c>
      <c r="DU36">
        <v>0</v>
      </c>
      <c r="EB36">
        <v>0</v>
      </c>
      <c r="EG36">
        <v>0</v>
      </c>
      <c r="EI36">
        <v>0</v>
      </c>
      <c r="EK36">
        <v>0</v>
      </c>
      <c r="EL36">
        <v>0</v>
      </c>
      <c r="EO36">
        <v>0</v>
      </c>
      <c r="EV36">
        <v>0</v>
      </c>
      <c r="FY36">
        <v>8.7158443992464751E-2</v>
      </c>
      <c r="FZ36">
        <v>0.50387980831291845</v>
      </c>
      <c r="GA36">
        <v>1.5375933189506554</v>
      </c>
      <c r="GB36">
        <v>2.6592689718707323</v>
      </c>
      <c r="GC36">
        <v>3.3538671747323452</v>
      </c>
      <c r="GE36">
        <v>1.3119758160558445E-2</v>
      </c>
      <c r="GF36">
        <v>5.4914643119808031E-2</v>
      </c>
      <c r="GG36">
        <v>0.17198718892042733</v>
      </c>
      <c r="GH36">
        <v>0.62368299866373933</v>
      </c>
      <c r="GJ36">
        <v>4.0169226827699488E-2</v>
      </c>
      <c r="GK36">
        <v>4.5257908222106999E-2</v>
      </c>
      <c r="GL36">
        <v>7.5136118389096368E-2</v>
      </c>
      <c r="GM36">
        <v>0.46384504188552889</v>
      </c>
      <c r="HA36">
        <v>34.417281361698407</v>
      </c>
    </row>
    <row r="37" spans="1:209" x14ac:dyDescent="0.75">
      <c r="A37" t="s">
        <v>470</v>
      </c>
      <c r="AC37">
        <v>0</v>
      </c>
      <c r="AF37">
        <v>0</v>
      </c>
      <c r="AI37">
        <v>0</v>
      </c>
      <c r="AP37">
        <v>0</v>
      </c>
      <c r="AQ37">
        <v>0</v>
      </c>
      <c r="BA37">
        <v>0</v>
      </c>
      <c r="BF37">
        <v>0</v>
      </c>
      <c r="BH37">
        <v>0</v>
      </c>
      <c r="BJ37">
        <v>0</v>
      </c>
      <c r="BK37">
        <v>0</v>
      </c>
      <c r="BN37">
        <v>0</v>
      </c>
      <c r="BU37">
        <v>0</v>
      </c>
      <c r="DF37">
        <v>0</v>
      </c>
      <c r="DH37">
        <v>14.672131963309404</v>
      </c>
      <c r="DI37">
        <v>0</v>
      </c>
      <c r="DL37">
        <v>0</v>
      </c>
      <c r="DT37">
        <v>0</v>
      </c>
      <c r="DU37">
        <v>0</v>
      </c>
      <c r="EB37">
        <v>0</v>
      </c>
      <c r="EG37">
        <v>0</v>
      </c>
      <c r="EI37">
        <v>0</v>
      </c>
      <c r="EK37">
        <v>0</v>
      </c>
      <c r="EL37">
        <v>0</v>
      </c>
      <c r="EO37">
        <v>0</v>
      </c>
      <c r="EV37">
        <v>0</v>
      </c>
      <c r="FY37">
        <v>1.7128014098803518E-2</v>
      </c>
      <c r="FZ37">
        <v>2.5574233190515477E-2</v>
      </c>
      <c r="GA37">
        <v>5.5832875535585774E-2</v>
      </c>
      <c r="GB37">
        <v>0.10450799793092955</v>
      </c>
      <c r="GC37">
        <v>0.23065795507840481</v>
      </c>
      <c r="GD37">
        <v>8.9986617905988718E-4</v>
      </c>
      <c r="GE37">
        <v>9.438117694923131E-4</v>
      </c>
      <c r="GF37">
        <v>6.9251370655414469E-3</v>
      </c>
      <c r="GG37">
        <v>4.0138180447899883E-3</v>
      </c>
      <c r="GH37">
        <v>5.849171770510149E-2</v>
      </c>
      <c r="GI37">
        <v>1.1159831542653146E-3</v>
      </c>
      <c r="GL37">
        <v>4.5066797712842329E-4</v>
      </c>
      <c r="GM37">
        <v>5.2126306469775091E-2</v>
      </c>
      <c r="HA37">
        <v>15.230800347508795</v>
      </c>
    </row>
    <row r="38" spans="1:209" x14ac:dyDescent="0.75">
      <c r="A38" t="s">
        <v>297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59.979488545906833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29.974147027820319</v>
      </c>
      <c r="FZ38">
        <v>43.702635252995819</v>
      </c>
      <c r="GA38">
        <v>54.701086835383791</v>
      </c>
      <c r="GB38">
        <v>64.399466385408431</v>
      </c>
      <c r="GC38">
        <v>60.62878936904918</v>
      </c>
      <c r="GD38">
        <v>2.6391034927430757</v>
      </c>
      <c r="GE38">
        <v>1.5593806006007813</v>
      </c>
      <c r="GF38">
        <v>3.7777835982984573</v>
      </c>
      <c r="GG38">
        <v>4.0464975796205511</v>
      </c>
      <c r="GH38">
        <v>45.648508147392967</v>
      </c>
      <c r="GI38">
        <v>1.0702985539883902</v>
      </c>
      <c r="GJ38">
        <v>1.1608234138714861</v>
      </c>
      <c r="GK38">
        <v>0.91181569482549618</v>
      </c>
      <c r="GL38">
        <v>2.4715120474757417</v>
      </c>
      <c r="GM38">
        <v>2.174170988852326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378.8455075342336</v>
      </c>
    </row>
    <row r="39" spans="1:209" x14ac:dyDescent="0.75">
      <c r="A39" t="s">
        <v>298</v>
      </c>
      <c r="AC39">
        <v>0</v>
      </c>
      <c r="AF39">
        <v>0</v>
      </c>
      <c r="AI39">
        <v>0</v>
      </c>
      <c r="AP39">
        <v>0</v>
      </c>
      <c r="AQ39">
        <v>0</v>
      </c>
      <c r="BA39">
        <v>0</v>
      </c>
      <c r="BF39">
        <v>0</v>
      </c>
      <c r="BH39">
        <v>0</v>
      </c>
      <c r="BJ39">
        <v>0</v>
      </c>
      <c r="BK39">
        <v>0</v>
      </c>
      <c r="BN39">
        <v>0</v>
      </c>
      <c r="BU39">
        <v>0</v>
      </c>
      <c r="DF39">
        <v>0</v>
      </c>
      <c r="DI39">
        <v>0</v>
      </c>
      <c r="DJ39">
        <v>29.24448465286412</v>
      </c>
      <c r="DL39">
        <v>0</v>
      </c>
      <c r="DT39">
        <v>0</v>
      </c>
      <c r="DU39">
        <v>0</v>
      </c>
      <c r="EB39">
        <v>0</v>
      </c>
      <c r="EG39">
        <v>0</v>
      </c>
      <c r="EI39">
        <v>0</v>
      </c>
      <c r="EK39">
        <v>0</v>
      </c>
      <c r="EL39">
        <v>0</v>
      </c>
      <c r="EO39">
        <v>0</v>
      </c>
      <c r="EV39">
        <v>0</v>
      </c>
      <c r="FY39">
        <v>7.3491166546591102E-2</v>
      </c>
      <c r="FZ39">
        <v>0.14295124339620627</v>
      </c>
      <c r="GA39">
        <v>0.16060783913967699</v>
      </c>
      <c r="GB39">
        <v>0.21487526917310379</v>
      </c>
      <c r="GC39">
        <v>0.26836086031406864</v>
      </c>
      <c r="HA39">
        <v>30.104771031433764</v>
      </c>
    </row>
    <row r="40" spans="1:209" x14ac:dyDescent="0.75">
      <c r="A40" t="s">
        <v>475</v>
      </c>
      <c r="AC40">
        <v>0</v>
      </c>
      <c r="AF40">
        <v>0</v>
      </c>
      <c r="AI40">
        <v>0</v>
      </c>
      <c r="AP40">
        <v>0</v>
      </c>
      <c r="AQ40">
        <v>0</v>
      </c>
      <c r="BA40">
        <v>0</v>
      </c>
      <c r="BF40">
        <v>0</v>
      </c>
      <c r="BH40">
        <v>0</v>
      </c>
      <c r="BJ40">
        <v>0</v>
      </c>
      <c r="BK40">
        <v>0</v>
      </c>
      <c r="BN40">
        <v>0</v>
      </c>
      <c r="BU40">
        <v>0</v>
      </c>
      <c r="DF40">
        <v>0</v>
      </c>
      <c r="DI40">
        <v>0</v>
      </c>
      <c r="DK40">
        <v>6.9272568879912372E-2</v>
      </c>
      <c r="DL40">
        <v>0</v>
      </c>
      <c r="DT40">
        <v>0</v>
      </c>
      <c r="DU40">
        <v>0</v>
      </c>
      <c r="EB40">
        <v>0</v>
      </c>
      <c r="EG40">
        <v>0</v>
      </c>
      <c r="EI40">
        <v>0</v>
      </c>
      <c r="EK40">
        <v>0</v>
      </c>
      <c r="EL40">
        <v>0</v>
      </c>
      <c r="EO40">
        <v>0</v>
      </c>
      <c r="EV40">
        <v>0</v>
      </c>
      <c r="HA40">
        <v>6.9272568879912372E-2</v>
      </c>
    </row>
    <row r="41" spans="1:209" x14ac:dyDescent="0.75">
      <c r="A41" t="s">
        <v>476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237.98617889554296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0.47252355390123407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238.45870244944422</v>
      </c>
    </row>
    <row r="42" spans="1:209" x14ac:dyDescent="0.75">
      <c r="A42" t="s">
        <v>477</v>
      </c>
      <c r="AC42">
        <v>0</v>
      </c>
      <c r="AF42">
        <v>0</v>
      </c>
      <c r="AI42">
        <v>0</v>
      </c>
      <c r="AP42">
        <v>0</v>
      </c>
      <c r="AQ42">
        <v>0</v>
      </c>
      <c r="BA42">
        <v>0</v>
      </c>
      <c r="BF42">
        <v>0</v>
      </c>
      <c r="BH42">
        <v>0</v>
      </c>
      <c r="BJ42">
        <v>0</v>
      </c>
      <c r="BK42">
        <v>0</v>
      </c>
      <c r="BN42">
        <v>0</v>
      </c>
      <c r="BU42">
        <v>0</v>
      </c>
      <c r="DF42">
        <v>0</v>
      </c>
      <c r="DI42">
        <v>0</v>
      </c>
      <c r="DL42">
        <v>0</v>
      </c>
      <c r="DM42">
        <v>90.511621332187673</v>
      </c>
      <c r="DN42">
        <v>0.7082522302710621</v>
      </c>
      <c r="DT42">
        <v>0</v>
      </c>
      <c r="DU42">
        <v>0</v>
      </c>
      <c r="EB42">
        <v>0</v>
      </c>
      <c r="EG42">
        <v>0</v>
      </c>
      <c r="EI42">
        <v>0</v>
      </c>
      <c r="EK42">
        <v>0</v>
      </c>
      <c r="EL42">
        <v>0</v>
      </c>
      <c r="EO42">
        <v>0</v>
      </c>
      <c r="EV42">
        <v>0</v>
      </c>
      <c r="FC42">
        <v>2.455174637260011</v>
      </c>
      <c r="FY42">
        <v>3.5999063985930474E-2</v>
      </c>
      <c r="GA42">
        <v>9.4456247956361625E-3</v>
      </c>
      <c r="GB42">
        <v>4.2781834332340167E-2</v>
      </c>
      <c r="GC42">
        <v>5.0895346787515623E-2</v>
      </c>
      <c r="GH42">
        <v>1.9156330123729996E-5</v>
      </c>
      <c r="HA42">
        <v>93.814189225950287</v>
      </c>
    </row>
    <row r="43" spans="1:209" x14ac:dyDescent="0.75">
      <c r="A43" t="s">
        <v>479</v>
      </c>
      <c r="AC43">
        <v>0</v>
      </c>
      <c r="AF43">
        <v>0</v>
      </c>
      <c r="AI43">
        <v>0</v>
      </c>
      <c r="AP43">
        <v>0</v>
      </c>
      <c r="AQ43">
        <v>0</v>
      </c>
      <c r="BA43">
        <v>0</v>
      </c>
      <c r="BF43">
        <v>0</v>
      </c>
      <c r="BH43">
        <v>0</v>
      </c>
      <c r="BJ43">
        <v>0</v>
      </c>
      <c r="BK43">
        <v>0</v>
      </c>
      <c r="BN43">
        <v>0</v>
      </c>
      <c r="BU43">
        <v>0</v>
      </c>
      <c r="DF43">
        <v>0</v>
      </c>
      <c r="DI43">
        <v>0</v>
      </c>
      <c r="DL43">
        <v>0</v>
      </c>
      <c r="DO43">
        <v>10.344067739419589</v>
      </c>
      <c r="DR43">
        <v>0.34255197958186279</v>
      </c>
      <c r="DT43">
        <v>3.0127482572605664</v>
      </c>
      <c r="DU43">
        <v>2.9209304055552678</v>
      </c>
      <c r="EB43">
        <v>0</v>
      </c>
      <c r="EG43">
        <v>0</v>
      </c>
      <c r="EI43">
        <v>0</v>
      </c>
      <c r="EJ43">
        <v>0.76874389979589597</v>
      </c>
      <c r="EK43">
        <v>0.3959059675152824</v>
      </c>
      <c r="EL43">
        <v>0</v>
      </c>
      <c r="EN43">
        <v>0.93952671648442732</v>
      </c>
      <c r="EO43">
        <v>0</v>
      </c>
      <c r="EV43">
        <v>0</v>
      </c>
      <c r="HA43">
        <v>18.724474965612895</v>
      </c>
    </row>
    <row r="44" spans="1:209" x14ac:dyDescent="0.75">
      <c r="A44" t="s">
        <v>480</v>
      </c>
      <c r="AC44">
        <v>0</v>
      </c>
      <c r="AF44">
        <v>0</v>
      </c>
      <c r="AI44">
        <v>0</v>
      </c>
      <c r="AP44">
        <v>0</v>
      </c>
      <c r="AQ44">
        <v>0</v>
      </c>
      <c r="BA44">
        <v>0</v>
      </c>
      <c r="BF44">
        <v>0</v>
      </c>
      <c r="BH44">
        <v>0</v>
      </c>
      <c r="BJ44">
        <v>0</v>
      </c>
      <c r="BK44">
        <v>0</v>
      </c>
      <c r="BN44">
        <v>0</v>
      </c>
      <c r="BU44">
        <v>0</v>
      </c>
      <c r="DF44">
        <v>0</v>
      </c>
      <c r="DI44">
        <v>0</v>
      </c>
      <c r="DL44">
        <v>0</v>
      </c>
      <c r="DP44">
        <v>14.650536834169062</v>
      </c>
      <c r="DT44">
        <v>1.5980673808020096</v>
      </c>
      <c r="DU44">
        <v>0</v>
      </c>
      <c r="EB44">
        <v>0</v>
      </c>
      <c r="EG44">
        <v>0</v>
      </c>
      <c r="EI44">
        <v>0</v>
      </c>
      <c r="EK44">
        <v>0</v>
      </c>
      <c r="EL44">
        <v>0</v>
      </c>
      <c r="EO44">
        <v>0</v>
      </c>
      <c r="EV44">
        <v>0</v>
      </c>
      <c r="FY44">
        <v>1.293718050380039E-8</v>
      </c>
      <c r="FZ44">
        <v>3.115003656102535E-3</v>
      </c>
      <c r="GA44">
        <v>4.1160168516872965E-2</v>
      </c>
      <c r="GB44">
        <v>7.9826774528909308E-2</v>
      </c>
      <c r="GC44">
        <v>6.7701504145860791E-2</v>
      </c>
      <c r="GG44">
        <v>1.0616946304445022E-2</v>
      </c>
      <c r="GL44">
        <v>4.2947748677714387E-4</v>
      </c>
      <c r="GM44">
        <v>2.5322310210590848E-3</v>
      </c>
      <c r="HA44">
        <v>16.453986333568281</v>
      </c>
    </row>
    <row r="45" spans="1:209" x14ac:dyDescent="0.75">
      <c r="A45" t="s">
        <v>481</v>
      </c>
      <c r="AC45">
        <v>0</v>
      </c>
      <c r="AF45">
        <v>0</v>
      </c>
      <c r="AI45">
        <v>0</v>
      </c>
      <c r="AP45">
        <v>0</v>
      </c>
      <c r="AQ45">
        <v>0</v>
      </c>
      <c r="BA45">
        <v>0</v>
      </c>
      <c r="BF45">
        <v>0</v>
      </c>
      <c r="BH45">
        <v>0</v>
      </c>
      <c r="BJ45">
        <v>0</v>
      </c>
      <c r="BK45">
        <v>0</v>
      </c>
      <c r="BN45">
        <v>0</v>
      </c>
      <c r="BU45">
        <v>0</v>
      </c>
      <c r="DF45">
        <v>0</v>
      </c>
      <c r="DI45">
        <v>0</v>
      </c>
      <c r="DL45">
        <v>0</v>
      </c>
      <c r="DO45">
        <v>0.53216812880822695</v>
      </c>
      <c r="DQ45">
        <v>2.1194383792268447</v>
      </c>
      <c r="DT45">
        <v>0</v>
      </c>
      <c r="DU45">
        <v>0</v>
      </c>
      <c r="EB45">
        <v>0</v>
      </c>
      <c r="EG45">
        <v>0</v>
      </c>
      <c r="EI45">
        <v>0</v>
      </c>
      <c r="EK45">
        <v>2.6055356563749359</v>
      </c>
      <c r="EL45">
        <v>0</v>
      </c>
      <c r="EO45">
        <v>0</v>
      </c>
      <c r="EV45">
        <v>0</v>
      </c>
      <c r="FY45">
        <v>0.12408468920856386</v>
      </c>
      <c r="FZ45">
        <v>0.23005809729329318</v>
      </c>
      <c r="GA45">
        <v>0.42075650273993631</v>
      </c>
      <c r="GB45">
        <v>0.84410256826261354</v>
      </c>
      <c r="GC45">
        <v>0.85775864024766602</v>
      </c>
      <c r="GE45">
        <v>1.1075984951782433E-2</v>
      </c>
      <c r="GF45">
        <v>4.0404645037401085E-2</v>
      </c>
      <c r="GG45">
        <v>2.3274658358372564E-2</v>
      </c>
      <c r="GH45">
        <v>1.6908192360657555E-2</v>
      </c>
      <c r="GK45">
        <v>1.3852098359034852E-3</v>
      </c>
      <c r="GL45">
        <v>4.9568030996485726E-2</v>
      </c>
      <c r="GM45">
        <v>2.2603246672519766E-2</v>
      </c>
      <c r="HA45">
        <v>7.8991226303752047</v>
      </c>
    </row>
    <row r="46" spans="1:209" x14ac:dyDescent="0.75">
      <c r="A46" t="s">
        <v>486</v>
      </c>
      <c r="AC46">
        <v>0</v>
      </c>
      <c r="AF46">
        <v>0</v>
      </c>
      <c r="AI46">
        <v>0</v>
      </c>
      <c r="AP46">
        <v>0</v>
      </c>
      <c r="AQ46">
        <v>0</v>
      </c>
      <c r="BA46">
        <v>0</v>
      </c>
      <c r="BF46">
        <v>0</v>
      </c>
      <c r="BH46">
        <v>0</v>
      </c>
      <c r="BJ46">
        <v>0</v>
      </c>
      <c r="BK46">
        <v>0</v>
      </c>
      <c r="BN46">
        <v>0</v>
      </c>
      <c r="BU46">
        <v>0</v>
      </c>
      <c r="DF46">
        <v>0</v>
      </c>
      <c r="DI46">
        <v>0</v>
      </c>
      <c r="DL46">
        <v>0</v>
      </c>
      <c r="DQ46">
        <v>2.0691614591978285</v>
      </c>
      <c r="DR46">
        <v>323.83634330929999</v>
      </c>
      <c r="DS46">
        <v>4.3773867803145601</v>
      </c>
      <c r="DT46">
        <v>0</v>
      </c>
      <c r="DU46">
        <v>0</v>
      </c>
      <c r="EB46">
        <v>0</v>
      </c>
      <c r="EG46">
        <v>0</v>
      </c>
      <c r="EI46">
        <v>0</v>
      </c>
      <c r="EK46">
        <v>1.1262034488210291</v>
      </c>
      <c r="EL46">
        <v>3.553334385259169</v>
      </c>
      <c r="EO46">
        <v>0</v>
      </c>
      <c r="EV46">
        <v>1.6724013530704765E-3</v>
      </c>
      <c r="FC46">
        <v>2.38184822205099E-2</v>
      </c>
      <c r="FY46">
        <v>2.4009700719514497</v>
      </c>
      <c r="FZ46">
        <v>5.5818094168646537</v>
      </c>
      <c r="GA46">
        <v>9.3611733494480305</v>
      </c>
      <c r="GB46">
        <v>12.8524701436183</v>
      </c>
      <c r="GC46">
        <v>10.206173386270784</v>
      </c>
      <c r="GD46">
        <v>3.262603272725717E-2</v>
      </c>
      <c r="GE46">
        <v>2.4641643933353555E-2</v>
      </c>
      <c r="GF46">
        <v>0.1532994190104196</v>
      </c>
      <c r="GG46">
        <v>0.51439683386011226</v>
      </c>
      <c r="GH46">
        <v>0.25388842765900355</v>
      </c>
      <c r="GI46">
        <v>0.14223685488175716</v>
      </c>
      <c r="GJ46">
        <v>5.0423107390244221E-2</v>
      </c>
      <c r="GK46">
        <v>0.18800107315561293</v>
      </c>
      <c r="GL46">
        <v>0.36851033606508082</v>
      </c>
      <c r="GM46">
        <v>0.36814445631628101</v>
      </c>
      <c r="HA46">
        <v>377.4866848196184</v>
      </c>
    </row>
    <row r="47" spans="1:209" x14ac:dyDescent="0.75">
      <c r="A47" t="s">
        <v>490</v>
      </c>
      <c r="AC47">
        <v>0</v>
      </c>
      <c r="AF47">
        <v>0</v>
      </c>
      <c r="AI47">
        <v>0</v>
      </c>
      <c r="AP47">
        <v>0</v>
      </c>
      <c r="AQ47">
        <v>0</v>
      </c>
      <c r="BA47">
        <v>0</v>
      </c>
      <c r="BF47">
        <v>0</v>
      </c>
      <c r="BH47">
        <v>0</v>
      </c>
      <c r="BJ47">
        <v>0</v>
      </c>
      <c r="BK47">
        <v>0</v>
      </c>
      <c r="BN47">
        <v>0</v>
      </c>
      <c r="BU47">
        <v>0</v>
      </c>
      <c r="DF47">
        <v>0</v>
      </c>
      <c r="DI47">
        <v>0</v>
      </c>
      <c r="DL47">
        <v>0</v>
      </c>
      <c r="DS47">
        <v>4.1785587198355989</v>
      </c>
      <c r="DT47">
        <v>0</v>
      </c>
      <c r="DU47">
        <v>0</v>
      </c>
      <c r="EB47">
        <v>0</v>
      </c>
      <c r="EG47">
        <v>0</v>
      </c>
      <c r="EI47">
        <v>0</v>
      </c>
      <c r="EK47">
        <v>0</v>
      </c>
      <c r="EL47">
        <v>0</v>
      </c>
      <c r="EO47">
        <v>0</v>
      </c>
      <c r="EV47">
        <v>0</v>
      </c>
      <c r="HA47">
        <v>4.1785587198355989</v>
      </c>
    </row>
    <row r="48" spans="1:209" x14ac:dyDescent="0.75">
      <c r="A48" t="s">
        <v>299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136.82489144451881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0.47292187128381075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5.3418578992199093</v>
      </c>
      <c r="EI48">
        <v>0</v>
      </c>
      <c r="EJ48">
        <v>0</v>
      </c>
      <c r="EK48">
        <v>4.8374878493327298</v>
      </c>
      <c r="EL48">
        <v>0</v>
      </c>
      <c r="EM48">
        <v>0</v>
      </c>
      <c r="EN48">
        <v>2.8122688491677671E-2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3.2276427557699026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0.29176586637623458</v>
      </c>
      <c r="FZ48">
        <v>0.53140682904712533</v>
      </c>
      <c r="GA48">
        <v>1.0131115203603915</v>
      </c>
      <c r="GB48">
        <v>1.7706365089846552</v>
      </c>
      <c r="GC48">
        <v>1.3639466442170154</v>
      </c>
      <c r="GD48">
        <v>9.5551433578801321E-3</v>
      </c>
      <c r="GE48">
        <v>1.2209999038429608E-2</v>
      </c>
      <c r="GF48">
        <v>9.9807878124428206E-4</v>
      </c>
      <c r="GG48">
        <v>3.3746388099600691E-2</v>
      </c>
      <c r="GH48">
        <v>3.9480382100022353E-2</v>
      </c>
      <c r="GI48">
        <v>2.3913354268136311E-5</v>
      </c>
      <c r="GJ48">
        <v>4.1884365655880558E-3</v>
      </c>
      <c r="GK48">
        <v>2.2561699551217299E-2</v>
      </c>
      <c r="GL48">
        <v>9.1905449254432534E-3</v>
      </c>
      <c r="GM48">
        <v>0.10536759575512801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176.53268317804378</v>
      </c>
    </row>
    <row r="49" spans="1:209" x14ac:dyDescent="0.75">
      <c r="A49" t="s">
        <v>300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10.00175052137827</v>
      </c>
      <c r="DP49">
        <v>0</v>
      </c>
      <c r="DQ49">
        <v>5.6995897269151232</v>
      </c>
      <c r="DR49">
        <v>0</v>
      </c>
      <c r="DS49">
        <v>0</v>
      </c>
      <c r="DT49">
        <v>0</v>
      </c>
      <c r="DU49">
        <v>246.0372025218862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0.12863850465921031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2.4664835874407345E-2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1.4927655553384604</v>
      </c>
      <c r="FZ49">
        <v>1.8783715730492827</v>
      </c>
      <c r="GA49">
        <v>8.2931361456428476</v>
      </c>
      <c r="GB49">
        <v>7.8805727910314065</v>
      </c>
      <c r="GC49">
        <v>23.301347236579293</v>
      </c>
      <c r="GD49">
        <v>1.2953209646375457E-2</v>
      </c>
      <c r="GE49">
        <v>8.8963995733099627E-2</v>
      </c>
      <c r="GF49">
        <v>1.8828395688053039E-2</v>
      </c>
      <c r="GG49">
        <v>0.42929641756222381</v>
      </c>
      <c r="GH49">
        <v>0.81459386610940787</v>
      </c>
      <c r="GI49">
        <v>0.10286067503602847</v>
      </c>
      <c r="GJ49">
        <v>5.5262849579170534E-2</v>
      </c>
      <c r="GK49">
        <v>4.4417616119633345E-2</v>
      </c>
      <c r="GL49">
        <v>0.19224783876052506</v>
      </c>
      <c r="GM49">
        <v>0.42166524226758001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306.91912951885661</v>
      </c>
    </row>
    <row r="50" spans="1:209" x14ac:dyDescent="0.75">
      <c r="A50" t="s">
        <v>491</v>
      </c>
      <c r="AC50">
        <v>0</v>
      </c>
      <c r="AF50">
        <v>0</v>
      </c>
      <c r="AI50">
        <v>0</v>
      </c>
      <c r="AP50">
        <v>0</v>
      </c>
      <c r="AQ50">
        <v>0</v>
      </c>
      <c r="BA50">
        <v>0</v>
      </c>
      <c r="BF50">
        <v>0</v>
      </c>
      <c r="BH50">
        <v>0</v>
      </c>
      <c r="BJ50">
        <v>0</v>
      </c>
      <c r="BK50">
        <v>0</v>
      </c>
      <c r="BN50">
        <v>0</v>
      </c>
      <c r="BU50">
        <v>0</v>
      </c>
      <c r="DF50">
        <v>0</v>
      </c>
      <c r="DI50">
        <v>0</v>
      </c>
      <c r="DL50">
        <v>0</v>
      </c>
      <c r="DT50">
        <v>0</v>
      </c>
      <c r="DU50">
        <v>0</v>
      </c>
      <c r="DV50">
        <v>1.2525275872130592</v>
      </c>
      <c r="EB50">
        <v>0</v>
      </c>
      <c r="EG50">
        <v>0</v>
      </c>
      <c r="EI50">
        <v>0</v>
      </c>
      <c r="EK50">
        <v>0</v>
      </c>
      <c r="EL50">
        <v>0</v>
      </c>
      <c r="EO50">
        <v>0</v>
      </c>
      <c r="EV50">
        <v>0</v>
      </c>
      <c r="FY50">
        <v>0.40443217929041048</v>
      </c>
      <c r="FZ50">
        <v>0.37301588847974587</v>
      </c>
      <c r="GA50">
        <v>0.2975200296515958</v>
      </c>
      <c r="GB50">
        <v>0.94042524069376754</v>
      </c>
      <c r="GC50">
        <v>3.9211509791502448</v>
      </c>
      <c r="GF50">
        <v>3.5492286294533403E-2</v>
      </c>
      <c r="GG50">
        <v>0.33575308361990003</v>
      </c>
      <c r="GH50">
        <v>0.23052668651266398</v>
      </c>
      <c r="GK50">
        <v>2.4941708416273841E-3</v>
      </c>
      <c r="GL50">
        <v>5.1419347456488927E-2</v>
      </c>
      <c r="HA50">
        <v>7.8447574792040369</v>
      </c>
    </row>
    <row r="51" spans="1:209" x14ac:dyDescent="0.75">
      <c r="A51" t="s">
        <v>301</v>
      </c>
      <c r="AC51">
        <v>0</v>
      </c>
      <c r="AF51">
        <v>0</v>
      </c>
      <c r="AI51">
        <v>0</v>
      </c>
      <c r="AP51">
        <v>0</v>
      </c>
      <c r="AQ51">
        <v>0</v>
      </c>
      <c r="BA51">
        <v>0</v>
      </c>
      <c r="BF51">
        <v>0</v>
      </c>
      <c r="BH51">
        <v>0</v>
      </c>
      <c r="BJ51">
        <v>0</v>
      </c>
      <c r="BK51">
        <v>0</v>
      </c>
      <c r="BN51">
        <v>0</v>
      </c>
      <c r="BU51">
        <v>0</v>
      </c>
      <c r="DF51">
        <v>0</v>
      </c>
      <c r="DI51">
        <v>0</v>
      </c>
      <c r="DL51">
        <v>0</v>
      </c>
      <c r="DT51">
        <v>0</v>
      </c>
      <c r="DU51">
        <v>0</v>
      </c>
      <c r="DW51">
        <v>59.135641485548831</v>
      </c>
      <c r="DX51">
        <v>3.5139188978506453</v>
      </c>
      <c r="EB51">
        <v>0</v>
      </c>
      <c r="EG51">
        <v>0</v>
      </c>
      <c r="EI51">
        <v>0</v>
      </c>
      <c r="EK51">
        <v>0</v>
      </c>
      <c r="EL51">
        <v>0</v>
      </c>
      <c r="EO51">
        <v>0</v>
      </c>
      <c r="EU51">
        <v>7.1747760974313532E-4</v>
      </c>
      <c r="EV51">
        <v>6.9795854784977589</v>
      </c>
      <c r="EX51">
        <v>1.4214515234305086E-2</v>
      </c>
      <c r="FB51">
        <v>3.7018649683596659E-3</v>
      </c>
      <c r="FC51">
        <v>3.5200570025658386E-2</v>
      </c>
      <c r="HA51">
        <v>69.682980289735298</v>
      </c>
    </row>
    <row r="52" spans="1:209" x14ac:dyDescent="0.75">
      <c r="A52" t="s">
        <v>302</v>
      </c>
      <c r="AC52">
        <v>0</v>
      </c>
      <c r="AF52">
        <v>0</v>
      </c>
      <c r="AI52">
        <v>0</v>
      </c>
      <c r="AP52">
        <v>0</v>
      </c>
      <c r="AQ52">
        <v>0</v>
      </c>
      <c r="BA52">
        <v>0</v>
      </c>
      <c r="BF52">
        <v>0</v>
      </c>
      <c r="BH52">
        <v>0</v>
      </c>
      <c r="BJ52">
        <v>0</v>
      </c>
      <c r="BK52">
        <v>0</v>
      </c>
      <c r="BN52">
        <v>0</v>
      </c>
      <c r="BU52">
        <v>0</v>
      </c>
      <c r="DF52">
        <v>0</v>
      </c>
      <c r="DI52">
        <v>0</v>
      </c>
      <c r="DL52">
        <v>0</v>
      </c>
      <c r="DT52">
        <v>0</v>
      </c>
      <c r="DU52">
        <v>0</v>
      </c>
      <c r="DX52">
        <v>30.826636231458931</v>
      </c>
      <c r="EA52">
        <v>6.6391600051057958E-2</v>
      </c>
      <c r="EB52">
        <v>0</v>
      </c>
      <c r="EF52">
        <v>0.24144349731347317</v>
      </c>
      <c r="EG52">
        <v>0</v>
      </c>
      <c r="EI52">
        <v>0</v>
      </c>
      <c r="EK52">
        <v>0.36760351271088026</v>
      </c>
      <c r="EL52">
        <v>0</v>
      </c>
      <c r="EO52">
        <v>0</v>
      </c>
      <c r="EV52">
        <v>0</v>
      </c>
      <c r="HA52">
        <v>31.502074841534341</v>
      </c>
    </row>
    <row r="53" spans="1:209" x14ac:dyDescent="0.75">
      <c r="A53" t="s">
        <v>706</v>
      </c>
      <c r="AC53">
        <v>0</v>
      </c>
      <c r="AF53">
        <v>0</v>
      </c>
      <c r="AI53">
        <v>0</v>
      </c>
      <c r="AP53">
        <v>0</v>
      </c>
      <c r="AQ53">
        <v>0</v>
      </c>
      <c r="BA53">
        <v>0</v>
      </c>
      <c r="BF53">
        <v>0</v>
      </c>
      <c r="BH53">
        <v>0</v>
      </c>
      <c r="BJ53">
        <v>0</v>
      </c>
      <c r="BK53">
        <v>0</v>
      </c>
      <c r="BN53">
        <v>0</v>
      </c>
      <c r="BU53">
        <v>0</v>
      </c>
      <c r="DF53">
        <v>0</v>
      </c>
      <c r="DI53">
        <v>0</v>
      </c>
      <c r="DL53">
        <v>0</v>
      </c>
      <c r="DT53">
        <v>0</v>
      </c>
      <c r="DU53">
        <v>0</v>
      </c>
      <c r="DY53">
        <v>25.596489855707052</v>
      </c>
      <c r="EB53">
        <v>0</v>
      </c>
      <c r="EG53">
        <v>0</v>
      </c>
      <c r="EI53">
        <v>0</v>
      </c>
      <c r="EK53">
        <v>0.1971652756270908</v>
      </c>
      <c r="EL53">
        <v>0</v>
      </c>
      <c r="EO53">
        <v>0</v>
      </c>
      <c r="EV53">
        <v>0</v>
      </c>
      <c r="HA53">
        <v>25.793655131334145</v>
      </c>
    </row>
    <row r="54" spans="1:209" x14ac:dyDescent="0.75">
      <c r="A54" t="s">
        <v>495</v>
      </c>
      <c r="AC54">
        <v>0</v>
      </c>
      <c r="AF54">
        <v>0</v>
      </c>
      <c r="AI54">
        <v>0</v>
      </c>
      <c r="AP54">
        <v>0</v>
      </c>
      <c r="AQ54">
        <v>0</v>
      </c>
      <c r="BA54">
        <v>0</v>
      </c>
      <c r="BF54">
        <v>0</v>
      </c>
      <c r="BH54">
        <v>0</v>
      </c>
      <c r="BJ54">
        <v>0</v>
      </c>
      <c r="BK54">
        <v>0</v>
      </c>
      <c r="BN54">
        <v>0</v>
      </c>
      <c r="BU54">
        <v>0</v>
      </c>
      <c r="DF54">
        <v>0</v>
      </c>
      <c r="DI54">
        <v>0</v>
      </c>
      <c r="DL54">
        <v>0</v>
      </c>
      <c r="DT54">
        <v>0</v>
      </c>
      <c r="DU54">
        <v>0</v>
      </c>
      <c r="DZ54">
        <v>0.2538225879654763</v>
      </c>
      <c r="EB54">
        <v>0</v>
      </c>
      <c r="EG54">
        <v>0</v>
      </c>
      <c r="EI54">
        <v>0</v>
      </c>
      <c r="EK54">
        <v>0</v>
      </c>
      <c r="EL54">
        <v>0</v>
      </c>
      <c r="EO54">
        <v>0</v>
      </c>
      <c r="EV54">
        <v>0</v>
      </c>
      <c r="HA54">
        <v>0.2538225879654763</v>
      </c>
    </row>
    <row r="55" spans="1:209" x14ac:dyDescent="0.75">
      <c r="A55" t="s">
        <v>303</v>
      </c>
      <c r="AC55">
        <v>0</v>
      </c>
      <c r="AF55">
        <v>0</v>
      </c>
      <c r="AI55">
        <v>0</v>
      </c>
      <c r="AP55">
        <v>0</v>
      </c>
      <c r="AQ55">
        <v>0</v>
      </c>
      <c r="BA55">
        <v>0</v>
      </c>
      <c r="BF55">
        <v>0</v>
      </c>
      <c r="BH55">
        <v>0</v>
      </c>
      <c r="BJ55">
        <v>0</v>
      </c>
      <c r="BK55">
        <v>0</v>
      </c>
      <c r="BN55">
        <v>0</v>
      </c>
      <c r="BU55">
        <v>0</v>
      </c>
      <c r="DF55">
        <v>0</v>
      </c>
      <c r="DI55">
        <v>0</v>
      </c>
      <c r="DL55">
        <v>0</v>
      </c>
      <c r="DT55">
        <v>0</v>
      </c>
      <c r="DU55">
        <v>4.5445764588888755</v>
      </c>
      <c r="EA55">
        <v>61.931145469250744</v>
      </c>
      <c r="EB55">
        <v>0</v>
      </c>
      <c r="EG55">
        <v>0</v>
      </c>
      <c r="EI55">
        <v>0</v>
      </c>
      <c r="EK55">
        <v>1.5759838581282732</v>
      </c>
      <c r="EL55">
        <v>0</v>
      </c>
      <c r="EO55">
        <v>0</v>
      </c>
      <c r="EV55">
        <v>0</v>
      </c>
      <c r="HA55">
        <v>68.051705786267888</v>
      </c>
    </row>
    <row r="56" spans="1:209" x14ac:dyDescent="0.75">
      <c r="A56" t="s">
        <v>707</v>
      </c>
      <c r="AC56">
        <v>0</v>
      </c>
      <c r="AF56">
        <v>0</v>
      </c>
      <c r="AI56">
        <v>0</v>
      </c>
      <c r="AP56">
        <v>0</v>
      </c>
      <c r="AQ56">
        <v>0</v>
      </c>
      <c r="BA56">
        <v>0</v>
      </c>
      <c r="BF56">
        <v>0</v>
      </c>
      <c r="BH56">
        <v>0</v>
      </c>
      <c r="BJ56">
        <v>0</v>
      </c>
      <c r="BK56">
        <v>0</v>
      </c>
      <c r="BN56">
        <v>0</v>
      </c>
      <c r="BU56">
        <v>0</v>
      </c>
      <c r="DF56">
        <v>0</v>
      </c>
      <c r="DI56">
        <v>0</v>
      </c>
      <c r="DL56">
        <v>0</v>
      </c>
      <c r="DT56">
        <v>0</v>
      </c>
      <c r="DU56">
        <v>0</v>
      </c>
      <c r="EB56">
        <v>7.0214214086533175</v>
      </c>
      <c r="EG56">
        <v>0</v>
      </c>
      <c r="EI56">
        <v>0</v>
      </c>
      <c r="EK56">
        <v>0</v>
      </c>
      <c r="EL56">
        <v>0</v>
      </c>
      <c r="EO56">
        <v>0</v>
      </c>
      <c r="EV56">
        <v>0</v>
      </c>
      <c r="HA56">
        <v>7.0214214086533175</v>
      </c>
    </row>
    <row r="57" spans="1:209" x14ac:dyDescent="0.75">
      <c r="A57" t="s">
        <v>708</v>
      </c>
      <c r="AC57">
        <v>0</v>
      </c>
      <c r="AF57">
        <v>0</v>
      </c>
      <c r="AI57">
        <v>0</v>
      </c>
      <c r="AP57">
        <v>0</v>
      </c>
      <c r="AQ57">
        <v>0</v>
      </c>
      <c r="BA57">
        <v>0</v>
      </c>
      <c r="BF57">
        <v>0</v>
      </c>
      <c r="BH57">
        <v>0</v>
      </c>
      <c r="BJ57">
        <v>0</v>
      </c>
      <c r="BK57">
        <v>0</v>
      </c>
      <c r="BN57">
        <v>0</v>
      </c>
      <c r="BU57">
        <v>0</v>
      </c>
      <c r="DF57">
        <v>0</v>
      </c>
      <c r="DI57">
        <v>0</v>
      </c>
      <c r="DL57">
        <v>0</v>
      </c>
      <c r="DT57">
        <v>0</v>
      </c>
      <c r="DU57">
        <v>0</v>
      </c>
      <c r="EB57">
        <v>13.790587973925534</v>
      </c>
      <c r="EG57">
        <v>0</v>
      </c>
      <c r="EI57">
        <v>0</v>
      </c>
      <c r="EK57">
        <v>0</v>
      </c>
      <c r="EL57">
        <v>0</v>
      </c>
      <c r="EO57">
        <v>0</v>
      </c>
      <c r="EP57">
        <v>3.19447142577441E-4</v>
      </c>
      <c r="EV57">
        <v>4.5681744449795648E-3</v>
      </c>
      <c r="FB57">
        <v>3.0397479409834975E-3</v>
      </c>
      <c r="FC57">
        <v>5.3250026950330169E-3</v>
      </c>
      <c r="HA57">
        <v>13.803840346149109</v>
      </c>
    </row>
    <row r="58" spans="1:209" x14ac:dyDescent="0.75">
      <c r="A58" t="s">
        <v>304</v>
      </c>
      <c r="AC58">
        <v>0</v>
      </c>
      <c r="AF58">
        <v>0</v>
      </c>
      <c r="AI58">
        <v>0</v>
      </c>
      <c r="AP58">
        <v>0</v>
      </c>
      <c r="AQ58">
        <v>0</v>
      </c>
      <c r="BA58">
        <v>0</v>
      </c>
      <c r="BF58">
        <v>0</v>
      </c>
      <c r="BH58">
        <v>0</v>
      </c>
      <c r="BJ58">
        <v>0</v>
      </c>
      <c r="BK58">
        <v>0</v>
      </c>
      <c r="BN58">
        <v>0</v>
      </c>
      <c r="BU58">
        <v>0</v>
      </c>
      <c r="DF58">
        <v>0</v>
      </c>
      <c r="DI58">
        <v>0</v>
      </c>
      <c r="DL58">
        <v>0</v>
      </c>
      <c r="DT58">
        <v>0</v>
      </c>
      <c r="DU58">
        <v>0</v>
      </c>
      <c r="EB58">
        <v>7.9263896365068787</v>
      </c>
      <c r="EG58">
        <v>0</v>
      </c>
      <c r="EI58">
        <v>0</v>
      </c>
      <c r="EK58">
        <v>0</v>
      </c>
      <c r="EL58">
        <v>0</v>
      </c>
      <c r="EO58">
        <v>0</v>
      </c>
      <c r="EU58">
        <v>1.562259263152135E-2</v>
      </c>
      <c r="EV58">
        <v>0</v>
      </c>
      <c r="HA58">
        <v>7.9420122291383999</v>
      </c>
    </row>
    <row r="59" spans="1:209" x14ac:dyDescent="0.75">
      <c r="A59" t="s">
        <v>709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73.876126749055942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2.5724369883693379E-2</v>
      </c>
      <c r="EM59">
        <v>0</v>
      </c>
      <c r="EN59">
        <v>0</v>
      </c>
      <c r="EO59">
        <v>0</v>
      </c>
      <c r="EP59">
        <v>2.6892086750896021E-3</v>
      </c>
      <c r="EQ59">
        <v>0</v>
      </c>
      <c r="ER59">
        <v>0</v>
      </c>
      <c r="ES59">
        <v>0</v>
      </c>
      <c r="ET59">
        <v>0</v>
      </c>
      <c r="EU59">
        <v>4.0672246223336803E-2</v>
      </c>
      <c r="EV59">
        <v>5.8931786355444493E-3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4.7906144083566804E-3</v>
      </c>
      <c r="FC59">
        <v>6.4264595649313506E-3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73.962322826446893</v>
      </c>
    </row>
    <row r="60" spans="1:209" x14ac:dyDescent="0.75">
      <c r="A60" t="s">
        <v>305</v>
      </c>
      <c r="AC60">
        <v>0</v>
      </c>
      <c r="AF60">
        <v>0</v>
      </c>
      <c r="AI60">
        <v>0</v>
      </c>
      <c r="AP60">
        <v>0</v>
      </c>
      <c r="AQ60">
        <v>0</v>
      </c>
      <c r="BA60">
        <v>0</v>
      </c>
      <c r="BF60">
        <v>0</v>
      </c>
      <c r="BH60">
        <v>0</v>
      </c>
      <c r="BJ60">
        <v>0</v>
      </c>
      <c r="BK60">
        <v>0</v>
      </c>
      <c r="BN60">
        <v>0</v>
      </c>
      <c r="BU60">
        <v>0</v>
      </c>
      <c r="DF60">
        <v>0</v>
      </c>
      <c r="DI60">
        <v>0</v>
      </c>
      <c r="DL60">
        <v>0.40276183870062282</v>
      </c>
      <c r="DT60">
        <v>0</v>
      </c>
      <c r="DU60">
        <v>0</v>
      </c>
      <c r="EB60">
        <v>0</v>
      </c>
      <c r="EC60">
        <v>116.28228522369977</v>
      </c>
      <c r="EG60">
        <v>0</v>
      </c>
      <c r="EI60">
        <v>0</v>
      </c>
      <c r="EK60">
        <v>3.5232520416919568</v>
      </c>
      <c r="EL60">
        <v>2.8812705849401499</v>
      </c>
      <c r="EO60">
        <v>0</v>
      </c>
      <c r="EV60">
        <v>0</v>
      </c>
      <c r="HA60">
        <v>123.08956968903252</v>
      </c>
    </row>
    <row r="61" spans="1:209" x14ac:dyDescent="0.75">
      <c r="A61" t="s">
        <v>306</v>
      </c>
      <c r="AC61">
        <v>0</v>
      </c>
      <c r="AF61">
        <v>0</v>
      </c>
      <c r="AI61">
        <v>0</v>
      </c>
      <c r="AP61">
        <v>0</v>
      </c>
      <c r="AQ61">
        <v>0</v>
      </c>
      <c r="BA61">
        <v>0</v>
      </c>
      <c r="BF61">
        <v>0</v>
      </c>
      <c r="BH61">
        <v>0</v>
      </c>
      <c r="BJ61">
        <v>0</v>
      </c>
      <c r="BK61">
        <v>0</v>
      </c>
      <c r="BN61">
        <v>0</v>
      </c>
      <c r="BU61">
        <v>0</v>
      </c>
      <c r="DF61">
        <v>0</v>
      </c>
      <c r="DI61">
        <v>0</v>
      </c>
      <c r="DL61">
        <v>0</v>
      </c>
      <c r="DT61">
        <v>0</v>
      </c>
      <c r="DU61">
        <v>0</v>
      </c>
      <c r="EB61">
        <v>1.0521867518357699</v>
      </c>
      <c r="ED61">
        <v>12.04663068829413</v>
      </c>
      <c r="EG61">
        <v>0</v>
      </c>
      <c r="EI61">
        <v>0</v>
      </c>
      <c r="EK61">
        <v>0</v>
      </c>
      <c r="EL61">
        <v>0</v>
      </c>
      <c r="EO61">
        <v>0</v>
      </c>
      <c r="EV61">
        <v>0</v>
      </c>
      <c r="HA61">
        <v>13.098817440129899</v>
      </c>
    </row>
    <row r="62" spans="1:209" x14ac:dyDescent="0.75">
      <c r="A62" t="s">
        <v>498</v>
      </c>
      <c r="AC62">
        <v>0</v>
      </c>
      <c r="AF62">
        <v>0</v>
      </c>
      <c r="AI62">
        <v>0</v>
      </c>
      <c r="AP62">
        <v>0</v>
      </c>
      <c r="AQ62">
        <v>0</v>
      </c>
      <c r="BA62">
        <v>0</v>
      </c>
      <c r="BF62">
        <v>0</v>
      </c>
      <c r="BH62">
        <v>0</v>
      </c>
      <c r="BJ62">
        <v>0</v>
      </c>
      <c r="BK62">
        <v>0</v>
      </c>
      <c r="BN62">
        <v>0</v>
      </c>
      <c r="BU62">
        <v>0</v>
      </c>
      <c r="DF62">
        <v>0</v>
      </c>
      <c r="DI62">
        <v>0</v>
      </c>
      <c r="DL62">
        <v>0</v>
      </c>
      <c r="DT62">
        <v>0</v>
      </c>
      <c r="DU62">
        <v>0</v>
      </c>
      <c r="EB62">
        <v>0</v>
      </c>
      <c r="EE62">
        <v>8.7609995893287582</v>
      </c>
      <c r="EG62">
        <v>0</v>
      </c>
      <c r="EI62">
        <v>0</v>
      </c>
      <c r="EK62">
        <v>0</v>
      </c>
      <c r="EL62">
        <v>0</v>
      </c>
      <c r="EO62">
        <v>0</v>
      </c>
      <c r="EV62">
        <v>0</v>
      </c>
      <c r="HA62">
        <v>8.7609995893287582</v>
      </c>
    </row>
    <row r="63" spans="1:209" x14ac:dyDescent="0.75">
      <c r="A63" t="s">
        <v>710</v>
      </c>
      <c r="AC63">
        <v>0</v>
      </c>
      <c r="AF63">
        <v>0</v>
      </c>
      <c r="AI63">
        <v>0</v>
      </c>
      <c r="AP63">
        <v>0</v>
      </c>
      <c r="AQ63">
        <v>0</v>
      </c>
      <c r="BA63">
        <v>0</v>
      </c>
      <c r="BF63">
        <v>0</v>
      </c>
      <c r="BH63">
        <v>0</v>
      </c>
      <c r="BJ63">
        <v>0</v>
      </c>
      <c r="BK63">
        <v>0</v>
      </c>
      <c r="BN63">
        <v>0</v>
      </c>
      <c r="BU63">
        <v>0</v>
      </c>
      <c r="DF63">
        <v>0</v>
      </c>
      <c r="DI63">
        <v>0</v>
      </c>
      <c r="DL63">
        <v>0</v>
      </c>
      <c r="DT63">
        <v>0</v>
      </c>
      <c r="DU63">
        <v>2.7852129641813713E-2</v>
      </c>
      <c r="DX63">
        <v>1.6175160875280922E-2</v>
      </c>
      <c r="EA63">
        <v>0.38616248911331535</v>
      </c>
      <c r="EB63">
        <v>10.557161243658097</v>
      </c>
      <c r="EC63">
        <v>0.17033969307201582</v>
      </c>
      <c r="EF63">
        <v>27.241224979377201</v>
      </c>
      <c r="EG63">
        <v>0</v>
      </c>
      <c r="EI63">
        <v>0</v>
      </c>
      <c r="EK63">
        <v>0</v>
      </c>
      <c r="EL63">
        <v>0</v>
      </c>
      <c r="EO63">
        <v>0</v>
      </c>
      <c r="EV63">
        <v>0</v>
      </c>
      <c r="HA63">
        <v>38.398915695737728</v>
      </c>
    </row>
    <row r="64" spans="1:209" x14ac:dyDescent="0.75">
      <c r="A64" t="s">
        <v>307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0.91857317458301291</v>
      </c>
      <c r="EC64">
        <v>0</v>
      </c>
      <c r="ED64">
        <v>0</v>
      </c>
      <c r="EE64">
        <v>0</v>
      </c>
      <c r="EF64">
        <v>0</v>
      </c>
      <c r="EG64">
        <v>45.250325485581932</v>
      </c>
      <c r="EH64">
        <v>0</v>
      </c>
      <c r="EI64">
        <v>0</v>
      </c>
      <c r="EJ64">
        <v>0</v>
      </c>
      <c r="EK64">
        <v>0.40851131569196553</v>
      </c>
      <c r="EL64">
        <v>0</v>
      </c>
      <c r="EM64">
        <v>0</v>
      </c>
      <c r="EN64">
        <v>0.45799791536422507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4.2538469623167215E-2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1.2959942249693011E-2</v>
      </c>
      <c r="FC64">
        <v>5.7411117083488762E-2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47.148317420177484</v>
      </c>
    </row>
    <row r="65" spans="1:209" x14ac:dyDescent="0.75">
      <c r="A65" t="s">
        <v>308</v>
      </c>
      <c r="AC65">
        <v>0</v>
      </c>
      <c r="AF65">
        <v>0</v>
      </c>
      <c r="AI65">
        <v>0</v>
      </c>
      <c r="AP65">
        <v>0</v>
      </c>
      <c r="AQ65">
        <v>0</v>
      </c>
      <c r="BA65">
        <v>0</v>
      </c>
      <c r="BF65">
        <v>0</v>
      </c>
      <c r="BH65">
        <v>0</v>
      </c>
      <c r="BJ65">
        <v>0</v>
      </c>
      <c r="BK65">
        <v>0</v>
      </c>
      <c r="BN65">
        <v>0</v>
      </c>
      <c r="BU65">
        <v>0</v>
      </c>
      <c r="DF65">
        <v>0</v>
      </c>
      <c r="DI65">
        <v>0</v>
      </c>
      <c r="DL65">
        <v>0</v>
      </c>
      <c r="DT65">
        <v>0</v>
      </c>
      <c r="DU65">
        <v>0</v>
      </c>
      <c r="EB65">
        <v>0</v>
      </c>
      <c r="EG65">
        <v>0</v>
      </c>
      <c r="EH65">
        <v>157.8094711628211</v>
      </c>
      <c r="EI65">
        <v>0</v>
      </c>
      <c r="EK65">
        <v>0</v>
      </c>
      <c r="EL65">
        <v>0</v>
      </c>
      <c r="EO65">
        <v>0</v>
      </c>
      <c r="EP65">
        <v>0.16186953905602813</v>
      </c>
      <c r="EV65">
        <v>3.4171972997308666</v>
      </c>
      <c r="FB65">
        <v>0.45024462539812093</v>
      </c>
      <c r="FC65">
        <v>0.68590253992830508</v>
      </c>
      <c r="HA65">
        <v>162.5246851669344</v>
      </c>
    </row>
    <row r="66" spans="1:209" x14ac:dyDescent="0.75">
      <c r="A66" t="s">
        <v>309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0.34551403744449832</v>
      </c>
      <c r="EI66">
        <v>52.22505463429237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1.0567552819926369E-2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0.63156670296577122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2.1186795458078406E-2</v>
      </c>
      <c r="FC66">
        <v>2.9613505611982609E-2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53.263503228592626</v>
      </c>
    </row>
    <row r="67" spans="1:209" x14ac:dyDescent="0.75">
      <c r="A67" t="s">
        <v>310</v>
      </c>
      <c r="AC67">
        <v>0</v>
      </c>
      <c r="AF67">
        <v>0</v>
      </c>
      <c r="AI67">
        <v>0</v>
      </c>
      <c r="AP67">
        <v>0</v>
      </c>
      <c r="AQ67">
        <v>0</v>
      </c>
      <c r="BA67">
        <v>0</v>
      </c>
      <c r="BF67">
        <v>0</v>
      </c>
      <c r="BH67">
        <v>0</v>
      </c>
      <c r="BJ67">
        <v>0</v>
      </c>
      <c r="BK67">
        <v>0</v>
      </c>
      <c r="BN67">
        <v>0</v>
      </c>
      <c r="BU67">
        <v>0</v>
      </c>
      <c r="DF67">
        <v>0</v>
      </c>
      <c r="DI67">
        <v>0</v>
      </c>
      <c r="DL67">
        <v>0</v>
      </c>
      <c r="DT67">
        <v>0</v>
      </c>
      <c r="DU67">
        <v>0</v>
      </c>
      <c r="EB67">
        <v>3.3773631671811253</v>
      </c>
      <c r="EG67">
        <v>0</v>
      </c>
      <c r="EI67">
        <v>5.1454741257532879</v>
      </c>
      <c r="EJ67">
        <v>1275.9989316188944</v>
      </c>
      <c r="EK67">
        <v>9.0343028486613708</v>
      </c>
      <c r="EL67">
        <v>0</v>
      </c>
      <c r="EN67">
        <v>0.52729832799088028</v>
      </c>
      <c r="EO67">
        <v>0</v>
      </c>
      <c r="EU67">
        <v>0.16931996298246932</v>
      </c>
      <c r="EV67">
        <v>4.4174890731888992</v>
      </c>
      <c r="FB67">
        <v>1.1595271616306442</v>
      </c>
      <c r="FC67">
        <v>2.3132926695622635</v>
      </c>
      <c r="HA67">
        <v>1302.1429989558451</v>
      </c>
    </row>
    <row r="68" spans="1:209" x14ac:dyDescent="0.75">
      <c r="A68" t="s">
        <v>311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2.1858980652191731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1.0231149710200254</v>
      </c>
      <c r="DS68">
        <v>5.456105397483161E-2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3.2433976363556112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9.0617097868144398</v>
      </c>
      <c r="EK68">
        <v>1050.7531782003175</v>
      </c>
      <c r="EL68">
        <v>17.953245194128325</v>
      </c>
      <c r="EM68">
        <v>0</v>
      </c>
      <c r="EN68">
        <v>4.7355495123801896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9.2780468418918982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0.25590725134686504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1098.544608513449</v>
      </c>
    </row>
    <row r="69" spans="1:209" x14ac:dyDescent="0.75">
      <c r="A69" t="s">
        <v>312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1.0162280444834151</v>
      </c>
      <c r="EK69">
        <v>14.891634377908067</v>
      </c>
      <c r="EL69">
        <v>513.58936036563261</v>
      </c>
      <c r="EM69">
        <v>0</v>
      </c>
      <c r="EN69">
        <v>0</v>
      </c>
      <c r="EO69">
        <v>0</v>
      </c>
      <c r="EP69">
        <v>1.0694577892663963</v>
      </c>
      <c r="EQ69">
        <v>0</v>
      </c>
      <c r="ER69">
        <v>0</v>
      </c>
      <c r="ES69">
        <v>0</v>
      </c>
      <c r="ET69">
        <v>0</v>
      </c>
      <c r="EU69">
        <v>3.1737519360037347</v>
      </c>
      <c r="EV69">
        <v>27.793517263644357</v>
      </c>
      <c r="EW69">
        <v>0</v>
      </c>
      <c r="EX69">
        <v>0</v>
      </c>
      <c r="EY69">
        <v>2.8640648200341717E-2</v>
      </c>
      <c r="EZ69">
        <v>0</v>
      </c>
      <c r="FA69">
        <v>0</v>
      </c>
      <c r="FB69">
        <v>3.3540109063173476</v>
      </c>
      <c r="FC69">
        <v>5.2337281510099505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570.15032948246608</v>
      </c>
    </row>
    <row r="70" spans="1:209" x14ac:dyDescent="0.75">
      <c r="A70" t="s">
        <v>711</v>
      </c>
      <c r="AC70">
        <v>0</v>
      </c>
      <c r="AF70">
        <v>0</v>
      </c>
      <c r="AI70">
        <v>0</v>
      </c>
      <c r="AP70">
        <v>0</v>
      </c>
      <c r="AQ70">
        <v>0</v>
      </c>
      <c r="BA70">
        <v>0</v>
      </c>
      <c r="BF70">
        <v>0</v>
      </c>
      <c r="BH70">
        <v>0</v>
      </c>
      <c r="BJ70">
        <v>0</v>
      </c>
      <c r="BK70">
        <v>0</v>
      </c>
      <c r="BN70">
        <v>0</v>
      </c>
      <c r="BU70">
        <v>0</v>
      </c>
      <c r="DF70">
        <v>0</v>
      </c>
      <c r="DI70">
        <v>0</v>
      </c>
      <c r="DL70">
        <v>0</v>
      </c>
      <c r="DT70">
        <v>0</v>
      </c>
      <c r="DU70">
        <v>0</v>
      </c>
      <c r="EB70">
        <v>0</v>
      </c>
      <c r="EG70">
        <v>0</v>
      </c>
      <c r="EI70">
        <v>0</v>
      </c>
      <c r="EK70">
        <v>3.1045872171839694E-2</v>
      </c>
      <c r="EL70">
        <v>0</v>
      </c>
      <c r="EM70">
        <v>10.24644030316594</v>
      </c>
      <c r="EO70">
        <v>0</v>
      </c>
      <c r="EV70">
        <v>3.0162654847303836</v>
      </c>
      <c r="FB70">
        <v>0.75861850444332568</v>
      </c>
      <c r="FC70">
        <v>1.9221698889320005</v>
      </c>
      <c r="HA70">
        <v>15.974540053443489</v>
      </c>
    </row>
    <row r="71" spans="1:209" x14ac:dyDescent="0.75">
      <c r="A71" t="s">
        <v>313</v>
      </c>
      <c r="AC71">
        <v>0</v>
      </c>
      <c r="AF71">
        <v>0</v>
      </c>
      <c r="AI71">
        <v>0</v>
      </c>
      <c r="AP71">
        <v>0</v>
      </c>
      <c r="AQ71">
        <v>0</v>
      </c>
      <c r="BA71">
        <v>0</v>
      </c>
      <c r="BF71">
        <v>0</v>
      </c>
      <c r="BH71">
        <v>0</v>
      </c>
      <c r="BJ71">
        <v>0</v>
      </c>
      <c r="BK71">
        <v>0</v>
      </c>
      <c r="BN71">
        <v>0</v>
      </c>
      <c r="BU71">
        <v>0</v>
      </c>
      <c r="DF71">
        <v>0</v>
      </c>
      <c r="DI71">
        <v>0</v>
      </c>
      <c r="DL71">
        <v>0</v>
      </c>
      <c r="DT71">
        <v>1.488777450511499</v>
      </c>
      <c r="DU71">
        <v>0</v>
      </c>
      <c r="EB71">
        <v>0</v>
      </c>
      <c r="EF71">
        <v>7.4088380086375416E-2</v>
      </c>
      <c r="EG71">
        <v>0</v>
      </c>
      <c r="EI71">
        <v>0</v>
      </c>
      <c r="EJ71">
        <v>1.3428046348846472</v>
      </c>
      <c r="EK71">
        <v>2.6147252063127957</v>
      </c>
      <c r="EL71">
        <v>0</v>
      </c>
      <c r="EN71">
        <v>502.94457920645368</v>
      </c>
      <c r="EO71">
        <v>0</v>
      </c>
      <c r="EP71">
        <v>3.3090809736879667E-2</v>
      </c>
      <c r="EU71">
        <v>3.3884237446410332</v>
      </c>
      <c r="EV71">
        <v>1.3779356937162865</v>
      </c>
      <c r="EY71">
        <v>1.6297511281384066E-3</v>
      </c>
      <c r="FB71">
        <v>0.22667536258909635</v>
      </c>
      <c r="FC71">
        <v>0.38880157738381849</v>
      </c>
      <c r="HA71">
        <v>513.88153181744428</v>
      </c>
    </row>
    <row r="72" spans="1:209" x14ac:dyDescent="0.75">
      <c r="A72" t="s">
        <v>314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0.51480650752441248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155.32112799989687</v>
      </c>
      <c r="EP72">
        <v>12.051361475765683</v>
      </c>
      <c r="EQ72">
        <v>0</v>
      </c>
      <c r="ER72">
        <v>0</v>
      </c>
      <c r="ES72">
        <v>22.599982840725566</v>
      </c>
      <c r="ET72">
        <v>0</v>
      </c>
      <c r="EU72">
        <v>3.8786753929683933</v>
      </c>
      <c r="EV72">
        <v>9.0441888388501379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8.9280115298520393</v>
      </c>
      <c r="FC72">
        <v>8.9778033606055949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221.31595794618872</v>
      </c>
    </row>
    <row r="73" spans="1:209" x14ac:dyDescent="0.75">
      <c r="A73" t="s">
        <v>712</v>
      </c>
      <c r="AC73">
        <v>0</v>
      </c>
      <c r="AF73">
        <v>0</v>
      </c>
      <c r="AI73">
        <v>0</v>
      </c>
      <c r="AP73">
        <v>0</v>
      </c>
      <c r="AQ73">
        <v>0</v>
      </c>
      <c r="BA73">
        <v>0</v>
      </c>
      <c r="BF73">
        <v>0</v>
      </c>
      <c r="BH73">
        <v>0</v>
      </c>
      <c r="BJ73">
        <v>0</v>
      </c>
      <c r="BK73">
        <v>0</v>
      </c>
      <c r="BN73">
        <v>0</v>
      </c>
      <c r="BU73">
        <v>0</v>
      </c>
      <c r="DF73">
        <v>0</v>
      </c>
      <c r="DI73">
        <v>0</v>
      </c>
      <c r="DL73">
        <v>0</v>
      </c>
      <c r="DT73">
        <v>0</v>
      </c>
      <c r="DU73">
        <v>0</v>
      </c>
      <c r="EB73">
        <v>0</v>
      </c>
      <c r="EG73">
        <v>0</v>
      </c>
      <c r="EI73">
        <v>0</v>
      </c>
      <c r="EK73">
        <v>0</v>
      </c>
      <c r="EL73">
        <v>0</v>
      </c>
      <c r="EO73">
        <v>0</v>
      </c>
      <c r="EP73">
        <v>14.082543460498343</v>
      </c>
      <c r="EV73">
        <v>7.987831528856792</v>
      </c>
      <c r="FB73">
        <v>6.5436085813051479</v>
      </c>
      <c r="FC73">
        <v>8.6791450442426967</v>
      </c>
      <c r="HA73">
        <v>37.293128614902976</v>
      </c>
    </row>
    <row r="74" spans="1:209" x14ac:dyDescent="0.75">
      <c r="A74" t="s">
        <v>713</v>
      </c>
      <c r="AC74">
        <v>0</v>
      </c>
      <c r="AF74">
        <v>0</v>
      </c>
      <c r="AI74">
        <v>0</v>
      </c>
      <c r="AP74">
        <v>0</v>
      </c>
      <c r="AQ74">
        <v>0</v>
      </c>
      <c r="BA74">
        <v>0</v>
      </c>
      <c r="BF74">
        <v>0</v>
      </c>
      <c r="BH74">
        <v>0</v>
      </c>
      <c r="BJ74">
        <v>0</v>
      </c>
      <c r="BK74">
        <v>0</v>
      </c>
      <c r="BN74">
        <v>0</v>
      </c>
      <c r="BU74">
        <v>0</v>
      </c>
      <c r="DF74">
        <v>0</v>
      </c>
      <c r="DI74">
        <v>0</v>
      </c>
      <c r="DL74">
        <v>0</v>
      </c>
      <c r="DT74">
        <v>0</v>
      </c>
      <c r="DU74">
        <v>0</v>
      </c>
      <c r="EB74">
        <v>0</v>
      </c>
      <c r="EG74">
        <v>0</v>
      </c>
      <c r="EI74">
        <v>0</v>
      </c>
      <c r="EK74">
        <v>0</v>
      </c>
      <c r="EL74">
        <v>0</v>
      </c>
      <c r="EO74">
        <v>0</v>
      </c>
      <c r="EQ74">
        <v>115.83920325053096</v>
      </c>
      <c r="EV74">
        <v>0</v>
      </c>
      <c r="HA74">
        <v>115.83920325053096</v>
      </c>
    </row>
    <row r="75" spans="1:209" x14ac:dyDescent="0.75">
      <c r="A75" t="s">
        <v>714</v>
      </c>
      <c r="AC75">
        <v>0</v>
      </c>
      <c r="AF75">
        <v>0</v>
      </c>
      <c r="AI75">
        <v>0</v>
      </c>
      <c r="AP75">
        <v>0</v>
      </c>
      <c r="AQ75">
        <v>0</v>
      </c>
      <c r="BA75">
        <v>0</v>
      </c>
      <c r="BF75">
        <v>0</v>
      </c>
      <c r="BH75">
        <v>0</v>
      </c>
      <c r="BJ75">
        <v>0</v>
      </c>
      <c r="BK75">
        <v>0</v>
      </c>
      <c r="BN75">
        <v>0</v>
      </c>
      <c r="BU75">
        <v>0</v>
      </c>
      <c r="DF75">
        <v>0</v>
      </c>
      <c r="DI75">
        <v>0</v>
      </c>
      <c r="DL75">
        <v>0</v>
      </c>
      <c r="DT75">
        <v>0</v>
      </c>
      <c r="DU75">
        <v>0</v>
      </c>
      <c r="EB75">
        <v>0</v>
      </c>
      <c r="EG75">
        <v>0</v>
      </c>
      <c r="EI75">
        <v>0</v>
      </c>
      <c r="EK75">
        <v>0</v>
      </c>
      <c r="EL75">
        <v>0</v>
      </c>
      <c r="EO75">
        <v>0</v>
      </c>
      <c r="ER75">
        <v>48.713410552473896</v>
      </c>
      <c r="EV75">
        <v>0</v>
      </c>
      <c r="HA75">
        <v>48.713410552473896</v>
      </c>
    </row>
    <row r="76" spans="1:209" x14ac:dyDescent="0.75">
      <c r="A76" t="s">
        <v>715</v>
      </c>
      <c r="AC76">
        <v>0</v>
      </c>
      <c r="AF76">
        <v>0</v>
      </c>
      <c r="AI76">
        <v>0</v>
      </c>
      <c r="AP76">
        <v>0</v>
      </c>
      <c r="AQ76">
        <v>0</v>
      </c>
      <c r="BA76">
        <v>0</v>
      </c>
      <c r="BF76">
        <v>0</v>
      </c>
      <c r="BH76">
        <v>0</v>
      </c>
      <c r="BJ76">
        <v>0</v>
      </c>
      <c r="BK76">
        <v>0</v>
      </c>
      <c r="BN76">
        <v>0</v>
      </c>
      <c r="BU76">
        <v>0</v>
      </c>
      <c r="DF76">
        <v>0</v>
      </c>
      <c r="DI76">
        <v>0</v>
      </c>
      <c r="DL76">
        <v>0</v>
      </c>
      <c r="DT76">
        <v>0</v>
      </c>
      <c r="DU76">
        <v>0</v>
      </c>
      <c r="EB76">
        <v>0</v>
      </c>
      <c r="EG76">
        <v>0</v>
      </c>
      <c r="EI76">
        <v>0</v>
      </c>
      <c r="EK76">
        <v>9.4628025382778489</v>
      </c>
      <c r="EL76">
        <v>0</v>
      </c>
      <c r="EO76">
        <v>0</v>
      </c>
      <c r="ES76">
        <v>132.7379692533911</v>
      </c>
      <c r="EV76">
        <v>0</v>
      </c>
      <c r="HA76">
        <v>142.20077179166896</v>
      </c>
    </row>
    <row r="77" spans="1:209" x14ac:dyDescent="0.75">
      <c r="A77" t="s">
        <v>716</v>
      </c>
      <c r="AC77">
        <v>0</v>
      </c>
      <c r="AF77">
        <v>0</v>
      </c>
      <c r="AI77">
        <v>0</v>
      </c>
      <c r="AP77">
        <v>0</v>
      </c>
      <c r="AQ77">
        <v>0</v>
      </c>
      <c r="BA77">
        <v>0</v>
      </c>
      <c r="BF77">
        <v>0</v>
      </c>
      <c r="BH77">
        <v>0</v>
      </c>
      <c r="BJ77">
        <v>0</v>
      </c>
      <c r="BK77">
        <v>0</v>
      </c>
      <c r="BN77">
        <v>0</v>
      </c>
      <c r="BU77">
        <v>0</v>
      </c>
      <c r="DF77">
        <v>0</v>
      </c>
      <c r="DI77">
        <v>0</v>
      </c>
      <c r="DL77">
        <v>0</v>
      </c>
      <c r="DT77">
        <v>0</v>
      </c>
      <c r="DU77">
        <v>0</v>
      </c>
      <c r="EB77">
        <v>0</v>
      </c>
      <c r="EG77">
        <v>0</v>
      </c>
      <c r="EI77">
        <v>0</v>
      </c>
      <c r="EK77">
        <v>0</v>
      </c>
      <c r="EL77">
        <v>0</v>
      </c>
      <c r="EO77">
        <v>0</v>
      </c>
      <c r="ET77">
        <v>413.66780587225668</v>
      </c>
      <c r="EV77">
        <v>0</v>
      </c>
      <c r="HA77">
        <v>413.66780587225668</v>
      </c>
    </row>
    <row r="78" spans="1:209" x14ac:dyDescent="0.75">
      <c r="A78" t="s">
        <v>316</v>
      </c>
      <c r="AC78">
        <v>0</v>
      </c>
      <c r="AF78">
        <v>0</v>
      </c>
      <c r="AI78">
        <v>0</v>
      </c>
      <c r="AP78">
        <v>0</v>
      </c>
      <c r="AQ78">
        <v>0</v>
      </c>
      <c r="BA78">
        <v>0</v>
      </c>
      <c r="BF78">
        <v>0</v>
      </c>
      <c r="BH78">
        <v>0</v>
      </c>
      <c r="BJ78">
        <v>0</v>
      </c>
      <c r="BK78">
        <v>0</v>
      </c>
      <c r="BN78">
        <v>0</v>
      </c>
      <c r="BU78">
        <v>0</v>
      </c>
      <c r="DF78">
        <v>0</v>
      </c>
      <c r="DI78">
        <v>0</v>
      </c>
      <c r="DL78">
        <v>0</v>
      </c>
      <c r="DT78">
        <v>0</v>
      </c>
      <c r="DU78">
        <v>0</v>
      </c>
      <c r="EB78">
        <v>0</v>
      </c>
      <c r="EG78">
        <v>0</v>
      </c>
      <c r="EI78">
        <v>0</v>
      </c>
      <c r="EK78">
        <v>0</v>
      </c>
      <c r="EL78">
        <v>0</v>
      </c>
      <c r="EN78">
        <v>0.6487196424268532</v>
      </c>
      <c r="EO78">
        <v>1.030345127656098</v>
      </c>
      <c r="EP78">
        <v>0.16446666406934693</v>
      </c>
      <c r="EU78">
        <v>157.74288348073165</v>
      </c>
      <c r="EV78">
        <v>0.50553325733885091</v>
      </c>
      <c r="EY78">
        <v>3.2923090643115063</v>
      </c>
      <c r="FB78">
        <v>0.2930435240656255</v>
      </c>
      <c r="FC78">
        <v>0.39366788353551602</v>
      </c>
      <c r="HA78">
        <v>164.07096864413549</v>
      </c>
    </row>
    <row r="79" spans="1:209" x14ac:dyDescent="0.75">
      <c r="A79" t="s">
        <v>717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2.3278473997311644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0.19423092125668198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0.66298096330055589</v>
      </c>
      <c r="EK79">
        <v>4.2633488935096295</v>
      </c>
      <c r="EL79">
        <v>26.133573856185318</v>
      </c>
      <c r="EM79">
        <v>0</v>
      </c>
      <c r="EN79">
        <v>0</v>
      </c>
      <c r="EO79">
        <v>1.0185199816840202</v>
      </c>
      <c r="EP79">
        <v>3.3241994772361489</v>
      </c>
      <c r="EQ79">
        <v>0</v>
      </c>
      <c r="ER79">
        <v>0</v>
      </c>
      <c r="ES79">
        <v>0</v>
      </c>
      <c r="ET79">
        <v>0</v>
      </c>
      <c r="EU79">
        <v>3.8893880157883665</v>
      </c>
      <c r="EV79">
        <v>424.96172597035138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10.724175371840779</v>
      </c>
      <c r="FC79">
        <v>23.16366827447554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500.66365912535957</v>
      </c>
    </row>
    <row r="80" spans="1:209" x14ac:dyDescent="0.75">
      <c r="A80" t="s">
        <v>318</v>
      </c>
      <c r="AC80">
        <v>0</v>
      </c>
      <c r="AF80">
        <v>0</v>
      </c>
      <c r="AI80">
        <v>0</v>
      </c>
      <c r="AP80">
        <v>0</v>
      </c>
      <c r="AQ80">
        <v>0</v>
      </c>
      <c r="BA80">
        <v>0</v>
      </c>
      <c r="BF80">
        <v>0</v>
      </c>
      <c r="BH80">
        <v>0</v>
      </c>
      <c r="BJ80">
        <v>0</v>
      </c>
      <c r="BK80">
        <v>0</v>
      </c>
      <c r="BN80">
        <v>0</v>
      </c>
      <c r="BU80">
        <v>0</v>
      </c>
      <c r="DF80">
        <v>0</v>
      </c>
      <c r="DI80">
        <v>0</v>
      </c>
      <c r="DL80">
        <v>0</v>
      </c>
      <c r="DT80">
        <v>0</v>
      </c>
      <c r="DU80">
        <v>0</v>
      </c>
      <c r="EB80">
        <v>0</v>
      </c>
      <c r="EG80">
        <v>0</v>
      </c>
      <c r="EI80">
        <v>0</v>
      </c>
      <c r="EK80">
        <v>0</v>
      </c>
      <c r="EL80">
        <v>0</v>
      </c>
      <c r="EO80">
        <v>0</v>
      </c>
      <c r="EV80">
        <v>0</v>
      </c>
      <c r="EW80">
        <v>1108.7884628283491</v>
      </c>
      <c r="HA80">
        <v>1108.7884628283491</v>
      </c>
    </row>
    <row r="81" spans="1:209" x14ac:dyDescent="0.75">
      <c r="A81" t="s">
        <v>319</v>
      </c>
      <c r="AC81">
        <v>0</v>
      </c>
      <c r="AF81">
        <v>0</v>
      </c>
      <c r="AI81">
        <v>0</v>
      </c>
      <c r="AP81">
        <v>0</v>
      </c>
      <c r="AQ81">
        <v>0</v>
      </c>
      <c r="BA81">
        <v>0</v>
      </c>
      <c r="BF81">
        <v>0</v>
      </c>
      <c r="BH81">
        <v>0</v>
      </c>
      <c r="BJ81">
        <v>0</v>
      </c>
      <c r="BK81">
        <v>0</v>
      </c>
      <c r="BN81">
        <v>0</v>
      </c>
      <c r="BU81">
        <v>0</v>
      </c>
      <c r="DF81">
        <v>0</v>
      </c>
      <c r="DI81">
        <v>0</v>
      </c>
      <c r="DL81">
        <v>0</v>
      </c>
      <c r="DT81">
        <v>0</v>
      </c>
      <c r="DU81">
        <v>0</v>
      </c>
      <c r="DW81">
        <v>1.0890876857534568</v>
      </c>
      <c r="EB81">
        <v>0</v>
      </c>
      <c r="EG81">
        <v>0</v>
      </c>
      <c r="EI81">
        <v>0</v>
      </c>
      <c r="EK81">
        <v>0</v>
      </c>
      <c r="EL81">
        <v>0</v>
      </c>
      <c r="EN81">
        <v>3.1825454429070441</v>
      </c>
      <c r="EO81">
        <v>0</v>
      </c>
      <c r="ET81">
        <v>0.29435885365998082</v>
      </c>
      <c r="EV81">
        <v>0.69210597919575445</v>
      </c>
      <c r="EX81">
        <v>358.33247477667658</v>
      </c>
      <c r="FC81">
        <v>2.5523087138726761</v>
      </c>
      <c r="HA81">
        <v>366.14288145206547</v>
      </c>
    </row>
    <row r="82" spans="1:209" x14ac:dyDescent="0.75">
      <c r="A82" t="s">
        <v>320</v>
      </c>
      <c r="AC82">
        <v>0</v>
      </c>
      <c r="AF82">
        <v>0</v>
      </c>
      <c r="AI82">
        <v>0</v>
      </c>
      <c r="AP82">
        <v>0</v>
      </c>
      <c r="AQ82">
        <v>0</v>
      </c>
      <c r="BA82">
        <v>0</v>
      </c>
      <c r="BF82">
        <v>0</v>
      </c>
      <c r="BH82">
        <v>0</v>
      </c>
      <c r="BJ82">
        <v>0</v>
      </c>
      <c r="BK82">
        <v>0</v>
      </c>
      <c r="BN82">
        <v>0</v>
      </c>
      <c r="BU82">
        <v>0</v>
      </c>
      <c r="DF82">
        <v>0</v>
      </c>
      <c r="DI82">
        <v>0</v>
      </c>
      <c r="DL82">
        <v>0</v>
      </c>
      <c r="DT82">
        <v>0</v>
      </c>
      <c r="DU82">
        <v>0</v>
      </c>
      <c r="EB82">
        <v>0</v>
      </c>
      <c r="EG82">
        <v>0</v>
      </c>
      <c r="EI82">
        <v>0</v>
      </c>
      <c r="EK82">
        <v>0</v>
      </c>
      <c r="EL82">
        <v>0</v>
      </c>
      <c r="EO82">
        <v>0</v>
      </c>
      <c r="EU82">
        <v>5.5183638204353465E-2</v>
      </c>
      <c r="EV82">
        <v>2.1211944928115473E-2</v>
      </c>
      <c r="EY82">
        <v>208.38296809729394</v>
      </c>
      <c r="FC82">
        <v>1.5568476707112606</v>
      </c>
      <c r="HA82">
        <v>210.01621135113766</v>
      </c>
    </row>
    <row r="83" spans="1:209" x14ac:dyDescent="0.75">
      <c r="A83" t="s">
        <v>718</v>
      </c>
      <c r="AC83">
        <v>0</v>
      </c>
      <c r="AF83">
        <v>0</v>
      </c>
      <c r="AI83">
        <v>0</v>
      </c>
      <c r="AP83">
        <v>0</v>
      </c>
      <c r="AQ83">
        <v>0</v>
      </c>
      <c r="BA83">
        <v>0</v>
      </c>
      <c r="BF83">
        <v>0</v>
      </c>
      <c r="BH83">
        <v>0</v>
      </c>
      <c r="BJ83">
        <v>0</v>
      </c>
      <c r="BK83">
        <v>0</v>
      </c>
      <c r="BN83">
        <v>0</v>
      </c>
      <c r="BU83">
        <v>0</v>
      </c>
      <c r="DF83">
        <v>0</v>
      </c>
      <c r="DI83">
        <v>0</v>
      </c>
      <c r="DL83">
        <v>0</v>
      </c>
      <c r="DT83">
        <v>0</v>
      </c>
      <c r="DU83">
        <v>0</v>
      </c>
      <c r="EB83">
        <v>0</v>
      </c>
      <c r="EG83">
        <v>0</v>
      </c>
      <c r="EI83">
        <v>0</v>
      </c>
      <c r="EK83">
        <v>0</v>
      </c>
      <c r="EL83">
        <v>0</v>
      </c>
      <c r="EO83">
        <v>0</v>
      </c>
      <c r="EV83">
        <v>0</v>
      </c>
      <c r="EZ83">
        <v>97.524764515061406</v>
      </c>
      <c r="FC83">
        <v>1.8358809982390882</v>
      </c>
      <c r="HA83">
        <v>99.360645513300497</v>
      </c>
    </row>
    <row r="84" spans="1:209" x14ac:dyDescent="0.75">
      <c r="A84" t="s">
        <v>719</v>
      </c>
      <c r="AC84">
        <v>0</v>
      </c>
      <c r="AF84">
        <v>0</v>
      </c>
      <c r="AI84">
        <v>0</v>
      </c>
      <c r="AP84">
        <v>0</v>
      </c>
      <c r="AQ84">
        <v>0</v>
      </c>
      <c r="BA84">
        <v>0</v>
      </c>
      <c r="BF84">
        <v>0</v>
      </c>
      <c r="BH84">
        <v>0</v>
      </c>
      <c r="BJ84">
        <v>0</v>
      </c>
      <c r="BK84">
        <v>0</v>
      </c>
      <c r="BN84">
        <v>0</v>
      </c>
      <c r="BU84">
        <v>0</v>
      </c>
      <c r="DF84">
        <v>0</v>
      </c>
      <c r="DI84">
        <v>0</v>
      </c>
      <c r="DL84">
        <v>0</v>
      </c>
      <c r="DT84">
        <v>0</v>
      </c>
      <c r="DU84">
        <v>0</v>
      </c>
      <c r="EB84">
        <v>0</v>
      </c>
      <c r="EG84">
        <v>0</v>
      </c>
      <c r="EI84">
        <v>0</v>
      </c>
      <c r="EK84">
        <v>0</v>
      </c>
      <c r="EL84">
        <v>0</v>
      </c>
      <c r="EO84">
        <v>0</v>
      </c>
      <c r="EV84">
        <v>0</v>
      </c>
      <c r="FA84">
        <v>15.045919196184148</v>
      </c>
      <c r="FB84">
        <v>8.6352071689371514E-3</v>
      </c>
      <c r="HA84">
        <v>15.054554403353086</v>
      </c>
    </row>
    <row r="85" spans="1:209" x14ac:dyDescent="0.75">
      <c r="A85" t="s">
        <v>720</v>
      </c>
      <c r="AC85">
        <v>0</v>
      </c>
      <c r="AF85">
        <v>0</v>
      </c>
      <c r="AI85">
        <v>0</v>
      </c>
      <c r="AP85">
        <v>0</v>
      </c>
      <c r="AQ85">
        <v>0</v>
      </c>
      <c r="BA85">
        <v>0</v>
      </c>
      <c r="BF85">
        <v>0</v>
      </c>
      <c r="BH85">
        <v>0</v>
      </c>
      <c r="BJ85">
        <v>0</v>
      </c>
      <c r="BK85">
        <v>0</v>
      </c>
      <c r="BN85">
        <v>0</v>
      </c>
      <c r="BU85">
        <v>0</v>
      </c>
      <c r="DF85">
        <v>0</v>
      </c>
      <c r="DI85">
        <v>0</v>
      </c>
      <c r="DL85">
        <v>0</v>
      </c>
      <c r="DT85">
        <v>0</v>
      </c>
      <c r="DU85">
        <v>0</v>
      </c>
      <c r="EB85">
        <v>0</v>
      </c>
      <c r="EG85">
        <v>0</v>
      </c>
      <c r="EI85">
        <v>0</v>
      </c>
      <c r="EK85">
        <v>0</v>
      </c>
      <c r="EL85">
        <v>0</v>
      </c>
      <c r="EO85">
        <v>0</v>
      </c>
      <c r="EP85">
        <v>6.6862431897572083</v>
      </c>
      <c r="EV85">
        <v>16.664734611538989</v>
      </c>
      <c r="EY85">
        <v>0.14475615228299396</v>
      </c>
      <c r="FB85">
        <v>13.16179906831397</v>
      </c>
      <c r="FC85">
        <v>18.338473806787558</v>
      </c>
      <c r="HA85">
        <v>54.99600682868072</v>
      </c>
    </row>
    <row r="86" spans="1:209" x14ac:dyDescent="0.75">
      <c r="A86" t="s">
        <v>321</v>
      </c>
      <c r="AC86">
        <v>0</v>
      </c>
      <c r="AF86">
        <v>0</v>
      </c>
      <c r="AI86">
        <v>0</v>
      </c>
      <c r="AP86">
        <v>0</v>
      </c>
      <c r="AQ86">
        <v>0</v>
      </c>
      <c r="BA86">
        <v>0</v>
      </c>
      <c r="BF86">
        <v>0</v>
      </c>
      <c r="BH86">
        <v>0</v>
      </c>
      <c r="BJ86">
        <v>0</v>
      </c>
      <c r="BK86">
        <v>0</v>
      </c>
      <c r="BN86">
        <v>0</v>
      </c>
      <c r="BU86">
        <v>0</v>
      </c>
      <c r="DF86">
        <v>0</v>
      </c>
      <c r="DI86">
        <v>0</v>
      </c>
      <c r="DL86">
        <v>0</v>
      </c>
      <c r="DT86">
        <v>0</v>
      </c>
      <c r="DU86">
        <v>0</v>
      </c>
      <c r="DX86">
        <v>6.3644529155712624</v>
      </c>
      <c r="EB86">
        <v>0</v>
      </c>
      <c r="EG86">
        <v>0</v>
      </c>
      <c r="EI86">
        <v>8.1914710443951613E-2</v>
      </c>
      <c r="EK86">
        <v>0</v>
      </c>
      <c r="EL86">
        <v>3.5721565301353637</v>
      </c>
      <c r="EN86">
        <v>4.6008671689168521</v>
      </c>
      <c r="EO86">
        <v>0</v>
      </c>
      <c r="EP86">
        <v>6.6139112065975141</v>
      </c>
      <c r="EU86">
        <v>15.864880010953689</v>
      </c>
      <c r="EV86">
        <v>24.856420333923836</v>
      </c>
      <c r="EX86">
        <v>0.5230509745849562</v>
      </c>
      <c r="EY86">
        <v>0.10783551319028122</v>
      </c>
      <c r="FB86">
        <v>17.67333818195322</v>
      </c>
      <c r="FC86">
        <v>328.89933318729157</v>
      </c>
      <c r="HA86">
        <v>409.15816073356251</v>
      </c>
    </row>
    <row r="87" spans="1:209" x14ac:dyDescent="0.75">
      <c r="A87" t="s">
        <v>721</v>
      </c>
      <c r="AC87">
        <v>0</v>
      </c>
      <c r="AF87">
        <v>0</v>
      </c>
      <c r="AI87">
        <v>0</v>
      </c>
      <c r="AP87">
        <v>0</v>
      </c>
      <c r="AQ87">
        <v>0</v>
      </c>
      <c r="BA87">
        <v>0</v>
      </c>
      <c r="BF87">
        <v>0</v>
      </c>
      <c r="BH87">
        <v>0</v>
      </c>
      <c r="BJ87">
        <v>0</v>
      </c>
      <c r="BK87">
        <v>0</v>
      </c>
      <c r="BN87">
        <v>0</v>
      </c>
      <c r="BU87">
        <v>0</v>
      </c>
      <c r="DF87">
        <v>0</v>
      </c>
      <c r="DI87">
        <v>0</v>
      </c>
      <c r="DL87">
        <v>0</v>
      </c>
      <c r="DT87">
        <v>0</v>
      </c>
      <c r="DU87">
        <v>0</v>
      </c>
      <c r="EB87">
        <v>0</v>
      </c>
      <c r="EG87">
        <v>0</v>
      </c>
      <c r="EI87">
        <v>0</v>
      </c>
      <c r="EK87">
        <v>0</v>
      </c>
      <c r="EL87">
        <v>0</v>
      </c>
      <c r="EO87">
        <v>0</v>
      </c>
      <c r="EV87">
        <v>0</v>
      </c>
      <c r="FD87">
        <v>25.412118496649594</v>
      </c>
      <c r="HA87">
        <v>25.412118496649594</v>
      </c>
    </row>
    <row r="88" spans="1:209" x14ac:dyDescent="0.75">
      <c r="A88" t="s">
        <v>500</v>
      </c>
      <c r="B88">
        <v>0.34006942952063873</v>
      </c>
      <c r="Z88">
        <v>0.37907488647379556</v>
      </c>
      <c r="AA88">
        <v>0.2179783754992799</v>
      </c>
      <c r="AB88">
        <v>6.0072948511285397E-2</v>
      </c>
      <c r="AC88">
        <v>1.0715595742484674E-2</v>
      </c>
      <c r="AF88">
        <v>0</v>
      </c>
      <c r="AI88">
        <v>0</v>
      </c>
      <c r="AK88">
        <v>1.0672731390619189E-2</v>
      </c>
      <c r="AL88">
        <v>0.18035094204350174</v>
      </c>
      <c r="AN88">
        <v>31.071596134141178</v>
      </c>
      <c r="AP88">
        <v>1.0566703079988062</v>
      </c>
      <c r="AQ88">
        <v>5.973300821048424</v>
      </c>
      <c r="BA88">
        <v>0</v>
      </c>
      <c r="BF88">
        <v>0</v>
      </c>
      <c r="BH88">
        <v>0</v>
      </c>
      <c r="BJ88">
        <v>0</v>
      </c>
      <c r="BK88">
        <v>0</v>
      </c>
      <c r="BM88">
        <v>0.12387872777879184</v>
      </c>
      <c r="BN88">
        <v>0</v>
      </c>
      <c r="BU88">
        <v>0</v>
      </c>
      <c r="DF88">
        <v>0</v>
      </c>
      <c r="DI88">
        <v>0</v>
      </c>
      <c r="DL88">
        <v>0</v>
      </c>
      <c r="DT88">
        <v>0</v>
      </c>
      <c r="DU88">
        <v>0</v>
      </c>
      <c r="EB88">
        <v>0</v>
      </c>
      <c r="EG88">
        <v>0</v>
      </c>
      <c r="EI88">
        <v>0</v>
      </c>
      <c r="EK88">
        <v>0</v>
      </c>
      <c r="EL88">
        <v>0</v>
      </c>
      <c r="EO88">
        <v>0</v>
      </c>
      <c r="EV88">
        <v>0</v>
      </c>
      <c r="FY88">
        <v>0.33690834856877738</v>
      </c>
      <c r="FZ88">
        <v>0.64619657325867097</v>
      </c>
      <c r="GA88">
        <v>0.76495275634775894</v>
      </c>
      <c r="GB88">
        <v>1.5279687284010706</v>
      </c>
      <c r="GC88">
        <v>1.4516947552948563</v>
      </c>
      <c r="GD88">
        <v>1.5641131240809771E-2</v>
      </c>
      <c r="GE88">
        <v>1.8243480302740381E-2</v>
      </c>
      <c r="GF88">
        <v>3.0468579697818715E-2</v>
      </c>
      <c r="GG88">
        <v>0.11386414759924712</v>
      </c>
      <c r="GH88">
        <v>0.39059986055511681</v>
      </c>
      <c r="GI88">
        <v>5.269709671262955E-3</v>
      </c>
      <c r="GJ88">
        <v>1.1043743885004439E-2</v>
      </c>
      <c r="GK88">
        <v>2.8907459067634814E-2</v>
      </c>
      <c r="GL88">
        <v>7.1947473780651319E-2</v>
      </c>
      <c r="GM88">
        <v>0.12900366289374871</v>
      </c>
      <c r="GY88">
        <v>0.25126743726346912</v>
      </c>
      <c r="GZ88">
        <v>1.57626928228853</v>
      </c>
      <c r="HA88">
        <v>46.794628030265983</v>
      </c>
    </row>
    <row r="89" spans="1:209" x14ac:dyDescent="0.75">
      <c r="A89" t="s">
        <v>322</v>
      </c>
      <c r="C89">
        <v>0.73832042695978861</v>
      </c>
      <c r="Z89">
        <v>0.70175627212913672</v>
      </c>
      <c r="AA89">
        <v>0.40287350668659705</v>
      </c>
      <c r="AB89">
        <v>0.11121101725217664</v>
      </c>
      <c r="AC89">
        <v>1.9839054965011805E-2</v>
      </c>
      <c r="AF89">
        <v>0</v>
      </c>
      <c r="AI89">
        <v>0</v>
      </c>
      <c r="AK89">
        <v>1.9755264727293741E-2</v>
      </c>
      <c r="AL89">
        <v>0.33378294625724741</v>
      </c>
      <c r="AN89">
        <v>56.052970999339223</v>
      </c>
      <c r="AP89">
        <v>1.9551126158627907</v>
      </c>
      <c r="AQ89">
        <v>10.998189792453383</v>
      </c>
      <c r="BA89">
        <v>0</v>
      </c>
      <c r="BF89">
        <v>0</v>
      </c>
      <c r="BH89">
        <v>0</v>
      </c>
      <c r="BJ89">
        <v>0</v>
      </c>
      <c r="BK89">
        <v>0</v>
      </c>
      <c r="BM89">
        <v>0.22927836869776694</v>
      </c>
      <c r="BN89">
        <v>0</v>
      </c>
      <c r="BU89">
        <v>0</v>
      </c>
      <c r="DF89">
        <v>0</v>
      </c>
      <c r="DI89">
        <v>0</v>
      </c>
      <c r="DL89">
        <v>0</v>
      </c>
      <c r="DT89">
        <v>0</v>
      </c>
      <c r="DU89">
        <v>0</v>
      </c>
      <c r="EB89">
        <v>0</v>
      </c>
      <c r="EG89">
        <v>0</v>
      </c>
      <c r="EI89">
        <v>0</v>
      </c>
      <c r="EK89">
        <v>0</v>
      </c>
      <c r="EL89">
        <v>0</v>
      </c>
      <c r="EO89">
        <v>0</v>
      </c>
      <c r="EV89">
        <v>0</v>
      </c>
      <c r="FY89">
        <v>3.2089036733950183</v>
      </c>
      <c r="FZ89">
        <v>5.3838270856804744</v>
      </c>
      <c r="GA89">
        <v>5.5620234425084876</v>
      </c>
      <c r="GB89">
        <v>6.1824356357959793</v>
      </c>
      <c r="GC89">
        <v>3.2496426702389409</v>
      </c>
      <c r="GD89">
        <v>9.070376777781898E-2</v>
      </c>
      <c r="GE89">
        <v>0.15357069362908002</v>
      </c>
      <c r="GF89">
        <v>0.18543285251819316</v>
      </c>
      <c r="GG89">
        <v>0.18802748422529497</v>
      </c>
      <c r="GH89">
        <v>0.60613245107356839</v>
      </c>
      <c r="GI89">
        <v>2.6221796259843968E-2</v>
      </c>
      <c r="GJ89">
        <v>2.3142265316485826E-2</v>
      </c>
      <c r="GK89">
        <v>4.2941519773451488E-2</v>
      </c>
      <c r="GL89">
        <v>0.15266130441223366</v>
      </c>
      <c r="GM89">
        <v>0.3831983478953449</v>
      </c>
      <c r="GY89">
        <v>5.3549653749771293</v>
      </c>
      <c r="GZ89">
        <v>9.4091010399525778</v>
      </c>
      <c r="HA89">
        <v>111.76602167076034</v>
      </c>
    </row>
    <row r="90" spans="1:209" x14ac:dyDescent="0.75">
      <c r="A90" t="s">
        <v>501</v>
      </c>
      <c r="D90">
        <v>2.4489910267414487E-2</v>
      </c>
      <c r="Z90">
        <v>0.54755374271856405</v>
      </c>
      <c r="AA90">
        <v>0.31461586479551512</v>
      </c>
      <c r="AB90">
        <v>8.6786619975653095E-2</v>
      </c>
      <c r="AC90">
        <v>1.5481726724917589E-2</v>
      </c>
      <c r="AF90">
        <v>0</v>
      </c>
      <c r="AI90">
        <v>0</v>
      </c>
      <c r="AK90">
        <v>1.5417990739027268E-2</v>
      </c>
      <c r="AL90">
        <v>0.26049667339933585</v>
      </c>
      <c r="AN90">
        <v>43.585789581486004</v>
      </c>
      <c r="AP90">
        <v>1.5257221178266847</v>
      </c>
      <c r="AQ90">
        <v>8.5799060519933601</v>
      </c>
      <c r="BA90">
        <v>0</v>
      </c>
      <c r="BF90">
        <v>0</v>
      </c>
      <c r="BH90">
        <v>0</v>
      </c>
      <c r="BJ90">
        <v>0</v>
      </c>
      <c r="BK90">
        <v>0</v>
      </c>
      <c r="BM90">
        <v>0.17893831790005724</v>
      </c>
      <c r="BN90">
        <v>0</v>
      </c>
      <c r="BU90">
        <v>0</v>
      </c>
      <c r="DF90">
        <v>0</v>
      </c>
      <c r="DI90">
        <v>0</v>
      </c>
      <c r="DL90">
        <v>0</v>
      </c>
      <c r="DT90">
        <v>0</v>
      </c>
      <c r="DU90">
        <v>0</v>
      </c>
      <c r="EB90">
        <v>0</v>
      </c>
      <c r="EG90">
        <v>0</v>
      </c>
      <c r="EI90">
        <v>0</v>
      </c>
      <c r="EK90">
        <v>0</v>
      </c>
      <c r="EL90">
        <v>0</v>
      </c>
      <c r="EO90">
        <v>0</v>
      </c>
      <c r="EV90">
        <v>0</v>
      </c>
      <c r="FY90">
        <v>3.3383730624323753E-2</v>
      </c>
      <c r="FZ90">
        <v>6.3583267570811813E-2</v>
      </c>
      <c r="GA90">
        <v>0.11817926868282889</v>
      </c>
      <c r="GB90">
        <v>0.12131085380315576</v>
      </c>
      <c r="GC90">
        <v>0.19376052136885152</v>
      </c>
      <c r="GE90">
        <v>2.8468358212407389E-3</v>
      </c>
      <c r="GF90">
        <v>6.0719321751092088E-3</v>
      </c>
      <c r="GG90">
        <v>2.5083218014766224E-2</v>
      </c>
      <c r="GH90">
        <v>8.5657348430027688E-2</v>
      </c>
      <c r="GL90">
        <v>3.8847348637995821E-3</v>
      </c>
      <c r="GM90">
        <v>3.3944376473871683E-2</v>
      </c>
      <c r="GY90">
        <v>4.7887247504346462</v>
      </c>
      <c r="GZ90">
        <v>0.27955262717359769</v>
      </c>
      <c r="HA90">
        <v>60.891182063263571</v>
      </c>
    </row>
    <row r="91" spans="1:209" x14ac:dyDescent="0.75">
      <c r="A91" t="s">
        <v>722</v>
      </c>
      <c r="E91">
        <v>0.45083807672931481</v>
      </c>
      <c r="Z91">
        <v>6.8887433409184837E-2</v>
      </c>
      <c r="AA91">
        <v>3.9678113629805729E-2</v>
      </c>
      <c r="AB91">
        <v>1.091882857619599E-2</v>
      </c>
      <c r="AC91">
        <v>1.9475689102194933E-3</v>
      </c>
      <c r="AF91">
        <v>0</v>
      </c>
      <c r="AI91">
        <v>0</v>
      </c>
      <c r="AK91">
        <v>1.9401966515237221E-3</v>
      </c>
      <c r="AL91">
        <v>3.2786885615152736E-2</v>
      </c>
      <c r="AN91">
        <v>5.6706376297446557</v>
      </c>
      <c r="AP91">
        <v>0.19209416774056015</v>
      </c>
      <c r="AQ91">
        <v>1.0872093284218247</v>
      </c>
      <c r="BA91">
        <v>0</v>
      </c>
      <c r="BF91">
        <v>0</v>
      </c>
      <c r="BH91">
        <v>0</v>
      </c>
      <c r="BJ91">
        <v>0</v>
      </c>
      <c r="BK91">
        <v>0</v>
      </c>
      <c r="BM91">
        <v>2.2520317310210633E-2</v>
      </c>
      <c r="BN91">
        <v>0</v>
      </c>
      <c r="BU91">
        <v>0</v>
      </c>
      <c r="DF91">
        <v>0</v>
      </c>
      <c r="DI91">
        <v>0</v>
      </c>
      <c r="DL91">
        <v>0</v>
      </c>
      <c r="DT91">
        <v>0</v>
      </c>
      <c r="DU91">
        <v>0</v>
      </c>
      <c r="EB91">
        <v>0</v>
      </c>
      <c r="EG91">
        <v>0</v>
      </c>
      <c r="EI91">
        <v>0</v>
      </c>
      <c r="EK91">
        <v>0</v>
      </c>
      <c r="EL91">
        <v>0</v>
      </c>
      <c r="EO91">
        <v>0</v>
      </c>
      <c r="EV91">
        <v>0</v>
      </c>
      <c r="FY91">
        <v>3.939205751542771</v>
      </c>
      <c r="FZ91">
        <v>7.4894400714777092</v>
      </c>
      <c r="GA91">
        <v>11.076717388842114</v>
      </c>
      <c r="GB91">
        <v>16.109038603401629</v>
      </c>
      <c r="GC91">
        <v>15.933444984471633</v>
      </c>
      <c r="GD91">
        <v>0.47536457194642046</v>
      </c>
      <c r="GE91">
        <v>0.67030651169494704</v>
      </c>
      <c r="GF91">
        <v>1.2666544574909462</v>
      </c>
      <c r="GG91">
        <v>1.5357031883700505</v>
      </c>
      <c r="GH91">
        <v>5.4024993774990655</v>
      </c>
      <c r="GI91">
        <v>0.49691445696366304</v>
      </c>
      <c r="GJ91">
        <v>0.7753582301090397</v>
      </c>
      <c r="GK91">
        <v>1.003945018587171</v>
      </c>
      <c r="GL91">
        <v>2.0333767422142461</v>
      </c>
      <c r="GM91">
        <v>4.4834302166982445</v>
      </c>
      <c r="GY91">
        <v>-1.908265751016371</v>
      </c>
      <c r="GZ91">
        <v>4.7525814712656604</v>
      </c>
      <c r="HA91">
        <v>83.115173838297579</v>
      </c>
    </row>
    <row r="92" spans="1:209" x14ac:dyDescent="0.75">
      <c r="A92" t="s">
        <v>356</v>
      </c>
      <c r="F92">
        <v>2.1894899818842013E-3</v>
      </c>
      <c r="Z92">
        <v>3.7152844887377648E-2</v>
      </c>
      <c r="AA92">
        <v>2.1393730775331864E-2</v>
      </c>
      <c r="AB92">
        <v>5.8838008937206259E-3</v>
      </c>
      <c r="AC92">
        <v>1.0493346616971056E-3</v>
      </c>
      <c r="AF92">
        <v>0</v>
      </c>
      <c r="AI92">
        <v>0</v>
      </c>
      <c r="AK92">
        <v>1.0453855377787389E-3</v>
      </c>
      <c r="AL92">
        <v>1.7673950638807681E-2</v>
      </c>
      <c r="AN92">
        <v>3.3660137964049524</v>
      </c>
      <c r="AP92">
        <v>0.10366649644532272</v>
      </c>
      <c r="AQ92">
        <v>0.59549478904645892</v>
      </c>
      <c r="BA92">
        <v>0</v>
      </c>
      <c r="BF92">
        <v>0</v>
      </c>
      <c r="BH92">
        <v>0</v>
      </c>
      <c r="BJ92">
        <v>0</v>
      </c>
      <c r="BK92">
        <v>0</v>
      </c>
      <c r="BM92">
        <v>1.2137814624538683E-2</v>
      </c>
      <c r="BN92">
        <v>0</v>
      </c>
      <c r="BU92">
        <v>0</v>
      </c>
      <c r="DF92">
        <v>0</v>
      </c>
      <c r="DI92">
        <v>0</v>
      </c>
      <c r="DL92">
        <v>0</v>
      </c>
      <c r="DT92">
        <v>0</v>
      </c>
      <c r="DU92">
        <v>0</v>
      </c>
      <c r="EB92">
        <v>0</v>
      </c>
      <c r="EG92">
        <v>0</v>
      </c>
      <c r="EI92">
        <v>0</v>
      </c>
      <c r="EK92">
        <v>0</v>
      </c>
      <c r="EL92">
        <v>0</v>
      </c>
      <c r="EO92">
        <v>0</v>
      </c>
      <c r="EV92">
        <v>0</v>
      </c>
      <c r="FY92">
        <v>5.4203765961310262E-4</v>
      </c>
      <c r="FZ92">
        <v>1.3634533936221851E-3</v>
      </c>
      <c r="GA92">
        <v>2.3411181904533781E-2</v>
      </c>
      <c r="GB92">
        <v>1.7370068928599297E-2</v>
      </c>
      <c r="GC92">
        <v>2.9167247577465808E-2</v>
      </c>
      <c r="GD92">
        <v>2.8056083872275255E-3</v>
      </c>
      <c r="GE92">
        <v>5.140623991923282E-4</v>
      </c>
      <c r="GF92">
        <v>3.7796994850347971E-3</v>
      </c>
      <c r="GG92">
        <v>6.3839317272569862E-3</v>
      </c>
      <c r="GH92">
        <v>7.99250078785705E-3</v>
      </c>
      <c r="GL92">
        <v>3.5015144222083974E-4</v>
      </c>
      <c r="GM92">
        <v>1.4480452801495897E-2</v>
      </c>
      <c r="GY92">
        <v>9.6108636544519725E-3</v>
      </c>
      <c r="GZ92">
        <v>0.21506959104678317</v>
      </c>
      <c r="HA92">
        <v>4.4965422850932244</v>
      </c>
    </row>
    <row r="93" spans="1:209" x14ac:dyDescent="0.75">
      <c r="A93" t="s">
        <v>503</v>
      </c>
      <c r="G93">
        <v>1.9455680597841267</v>
      </c>
      <c r="AC93">
        <v>0</v>
      </c>
      <c r="AF93">
        <v>0</v>
      </c>
      <c r="AI93">
        <v>0</v>
      </c>
      <c r="AP93">
        <v>0</v>
      </c>
      <c r="AQ93">
        <v>0</v>
      </c>
      <c r="BA93">
        <v>0</v>
      </c>
      <c r="BF93">
        <v>0</v>
      </c>
      <c r="BH93">
        <v>0</v>
      </c>
      <c r="BJ93">
        <v>5.5957828667581345E-2</v>
      </c>
      <c r="BK93">
        <v>0</v>
      </c>
      <c r="BM93">
        <v>0.21055187210340803</v>
      </c>
      <c r="BN93">
        <v>0</v>
      </c>
      <c r="BU93">
        <v>0</v>
      </c>
      <c r="DF93">
        <v>0</v>
      </c>
      <c r="DI93">
        <v>0</v>
      </c>
      <c r="DL93">
        <v>0</v>
      </c>
      <c r="DT93">
        <v>0</v>
      </c>
      <c r="DU93">
        <v>0</v>
      </c>
      <c r="EB93">
        <v>0</v>
      </c>
      <c r="EG93">
        <v>0</v>
      </c>
      <c r="EI93">
        <v>0</v>
      </c>
      <c r="EK93">
        <v>0</v>
      </c>
      <c r="EL93">
        <v>0</v>
      </c>
      <c r="EO93">
        <v>0</v>
      </c>
      <c r="EV93">
        <v>0</v>
      </c>
      <c r="FY93">
        <v>6.7288323336359923</v>
      </c>
      <c r="FZ93">
        <v>7.9491036882359207</v>
      </c>
      <c r="GA93">
        <v>8.666710655529112</v>
      </c>
      <c r="GB93">
        <v>8.1118416835694109</v>
      </c>
      <c r="GC93">
        <v>5.3691041548295457</v>
      </c>
      <c r="GD93">
        <v>0.39393293904454513</v>
      </c>
      <c r="GE93">
        <v>0.45292374457836998</v>
      </c>
      <c r="GF93">
        <v>0.45184507339582575</v>
      </c>
      <c r="GG93">
        <v>0.65216087257201971</v>
      </c>
      <c r="GH93">
        <v>1.7560705601714208</v>
      </c>
      <c r="GI93">
        <v>0.20089698708823317</v>
      </c>
      <c r="GJ93">
        <v>0.28659011358834058</v>
      </c>
      <c r="GK93">
        <v>0.42443666468805824</v>
      </c>
      <c r="GL93">
        <v>0.72451156529602501</v>
      </c>
      <c r="GM93">
        <v>2.5030241462415148</v>
      </c>
      <c r="GY93">
        <v>-5.596231565769072E-2</v>
      </c>
      <c r="GZ93">
        <v>5.1921126381780933</v>
      </c>
      <c r="HA93">
        <v>52.020213265539859</v>
      </c>
    </row>
    <row r="94" spans="1:209" x14ac:dyDescent="0.75">
      <c r="A94" t="s">
        <v>504</v>
      </c>
      <c r="H94">
        <v>1.7319849974409685</v>
      </c>
      <c r="AC94">
        <v>0</v>
      </c>
      <c r="AF94">
        <v>0</v>
      </c>
      <c r="AI94">
        <v>0</v>
      </c>
      <c r="AP94">
        <v>0</v>
      </c>
      <c r="AQ94">
        <v>0</v>
      </c>
      <c r="BA94">
        <v>0</v>
      </c>
      <c r="BF94">
        <v>0</v>
      </c>
      <c r="BH94">
        <v>0</v>
      </c>
      <c r="BJ94">
        <v>5.6473053841676148E-2</v>
      </c>
      <c r="BK94">
        <v>0</v>
      </c>
      <c r="BM94">
        <v>0.21249080139622423</v>
      </c>
      <c r="BN94">
        <v>0</v>
      </c>
      <c r="BU94">
        <v>0</v>
      </c>
      <c r="DF94">
        <v>0</v>
      </c>
      <c r="DI94">
        <v>0</v>
      </c>
      <c r="DL94">
        <v>0</v>
      </c>
      <c r="DT94">
        <v>0</v>
      </c>
      <c r="DU94">
        <v>0</v>
      </c>
      <c r="EB94">
        <v>0</v>
      </c>
      <c r="EG94">
        <v>0</v>
      </c>
      <c r="EI94">
        <v>0</v>
      </c>
      <c r="EK94">
        <v>0</v>
      </c>
      <c r="EL94">
        <v>0</v>
      </c>
      <c r="EO94">
        <v>0</v>
      </c>
      <c r="EV94">
        <v>0</v>
      </c>
      <c r="FY94">
        <v>1.6971244523843907</v>
      </c>
      <c r="FZ94">
        <v>2.3682273212442109</v>
      </c>
      <c r="GA94">
        <v>2.2174691939598445</v>
      </c>
      <c r="GB94">
        <v>2.7860954778767248</v>
      </c>
      <c r="GC94">
        <v>1.9698165592466241</v>
      </c>
      <c r="GD94">
        <v>2.8363335345114829E-2</v>
      </c>
      <c r="GE94">
        <v>7.8980194510073667E-2</v>
      </c>
      <c r="GF94">
        <v>9.4056174971652862E-2</v>
      </c>
      <c r="GG94">
        <v>0.12062405848615083</v>
      </c>
      <c r="GH94">
        <v>0.49096060073600994</v>
      </c>
      <c r="GI94">
        <v>4.1253713807760828E-2</v>
      </c>
      <c r="GJ94">
        <v>4.3682218825174264E-2</v>
      </c>
      <c r="GK94">
        <v>0.119069147953601</v>
      </c>
      <c r="GL94">
        <v>0.17802370084356237</v>
      </c>
      <c r="GM94">
        <v>0.74836271087449624</v>
      </c>
      <c r="GY94">
        <v>1.883887626510659E-2</v>
      </c>
      <c r="GZ94">
        <v>8.0893735802824093E-2</v>
      </c>
      <c r="HA94">
        <v>15.082790325812189</v>
      </c>
    </row>
    <row r="95" spans="1:209" x14ac:dyDescent="0.75">
      <c r="A95" t="s">
        <v>558</v>
      </c>
      <c r="I95">
        <v>1.4350022152256385</v>
      </c>
      <c r="AC95">
        <v>0</v>
      </c>
      <c r="AF95">
        <v>0</v>
      </c>
      <c r="AI95">
        <v>0</v>
      </c>
      <c r="AN95">
        <v>55.891468767459934</v>
      </c>
      <c r="AP95">
        <v>1.4525036560148852</v>
      </c>
      <c r="AQ95">
        <v>0</v>
      </c>
      <c r="AT95">
        <v>3.2289364435607419E-2</v>
      </c>
      <c r="AZ95">
        <v>5.9145168722097546E-2</v>
      </c>
      <c r="BA95">
        <v>0</v>
      </c>
      <c r="BF95">
        <v>0</v>
      </c>
      <c r="BH95">
        <v>0</v>
      </c>
      <c r="BJ95">
        <v>4.0967161336120084</v>
      </c>
      <c r="BK95">
        <v>0</v>
      </c>
      <c r="BM95">
        <v>15.471819711776165</v>
      </c>
      <c r="BN95">
        <v>0</v>
      </c>
      <c r="BU95">
        <v>0</v>
      </c>
      <c r="DF95">
        <v>0</v>
      </c>
      <c r="DI95">
        <v>0</v>
      </c>
      <c r="DL95">
        <v>0</v>
      </c>
      <c r="DT95">
        <v>0</v>
      </c>
      <c r="DU95">
        <v>0</v>
      </c>
      <c r="EB95">
        <v>0</v>
      </c>
      <c r="EG95">
        <v>0</v>
      </c>
      <c r="EI95">
        <v>0</v>
      </c>
      <c r="EK95">
        <v>0</v>
      </c>
      <c r="EL95">
        <v>0</v>
      </c>
      <c r="EO95">
        <v>0</v>
      </c>
      <c r="EV95">
        <v>0</v>
      </c>
      <c r="FY95">
        <v>5.7560973731657645</v>
      </c>
      <c r="FZ95">
        <v>7.6480189327358907</v>
      </c>
      <c r="GA95">
        <v>7.8397958468078928</v>
      </c>
      <c r="GB95">
        <v>8.3812910401608693</v>
      </c>
      <c r="GC95">
        <v>6.5782412782579689</v>
      </c>
      <c r="GD95">
        <v>0.70636948258503285</v>
      </c>
      <c r="GE95">
        <v>0.78031718084485757</v>
      </c>
      <c r="GF95">
        <v>1.0792427786267615</v>
      </c>
      <c r="GG95">
        <v>0.81096136326956292</v>
      </c>
      <c r="GH95">
        <v>2.1147804635908178</v>
      </c>
      <c r="GI95">
        <v>0.75981337965067863</v>
      </c>
      <c r="GJ95">
        <v>0.72844597233567721</v>
      </c>
      <c r="GK95">
        <v>0.91815160585144073</v>
      </c>
      <c r="GL95">
        <v>1.6586428815589507</v>
      </c>
      <c r="GM95">
        <v>4.0023827049915957</v>
      </c>
      <c r="GY95">
        <v>-2.4814927647465765E-3</v>
      </c>
      <c r="GZ95">
        <v>9.4850345520036128E-2</v>
      </c>
      <c r="HA95">
        <v>128.29386615443536</v>
      </c>
    </row>
    <row r="96" spans="1:209" x14ac:dyDescent="0.75">
      <c r="A96" t="s">
        <v>324</v>
      </c>
      <c r="J96">
        <v>0.2438727942353103</v>
      </c>
      <c r="AC96">
        <v>0</v>
      </c>
      <c r="AF96">
        <v>0</v>
      </c>
      <c r="AI96">
        <v>0</v>
      </c>
      <c r="AN96">
        <v>0.31304043099672474</v>
      </c>
      <c r="AP96">
        <v>8.2960235885442719E-3</v>
      </c>
      <c r="AQ96">
        <v>0</v>
      </c>
      <c r="AT96">
        <v>1.8456363773379389E-4</v>
      </c>
      <c r="AZ96">
        <v>3.380439638019483E-4</v>
      </c>
      <c r="BA96">
        <v>0</v>
      </c>
      <c r="BF96">
        <v>0</v>
      </c>
      <c r="BH96">
        <v>0</v>
      </c>
      <c r="BJ96">
        <v>2.3389892075681758E-2</v>
      </c>
      <c r="BK96">
        <v>0</v>
      </c>
      <c r="BM96">
        <v>8.8003430294250437E-2</v>
      </c>
      <c r="BN96">
        <v>0</v>
      </c>
      <c r="BU96">
        <v>0</v>
      </c>
      <c r="DF96">
        <v>0</v>
      </c>
      <c r="DI96">
        <v>0</v>
      </c>
      <c r="DL96">
        <v>0</v>
      </c>
      <c r="DT96">
        <v>0</v>
      </c>
      <c r="DU96">
        <v>0</v>
      </c>
      <c r="EB96">
        <v>0</v>
      </c>
      <c r="EG96">
        <v>0</v>
      </c>
      <c r="EI96">
        <v>0</v>
      </c>
      <c r="EK96">
        <v>0</v>
      </c>
      <c r="EL96">
        <v>0</v>
      </c>
      <c r="EO96">
        <v>0</v>
      </c>
      <c r="EV96">
        <v>0</v>
      </c>
      <c r="FY96">
        <v>0.8647337180614969</v>
      </c>
      <c r="FZ96">
        <v>0.92641649932827874</v>
      </c>
      <c r="GA96">
        <v>1.7673310743737607</v>
      </c>
      <c r="GB96">
        <v>1.5825794758828309</v>
      </c>
      <c r="GC96">
        <v>1.2794222735034109</v>
      </c>
      <c r="GD96">
        <v>0.12318106334933962</v>
      </c>
      <c r="GE96">
        <v>0.10481812053395297</v>
      </c>
      <c r="GF96">
        <v>0.20413843725916836</v>
      </c>
      <c r="GG96">
        <v>0.29846565315939105</v>
      </c>
      <c r="GH96">
        <v>0.43404644009580556</v>
      </c>
      <c r="GI96">
        <v>3.7248826236307743E-2</v>
      </c>
      <c r="GJ96">
        <v>4.5601263922539336E-3</v>
      </c>
      <c r="GK96">
        <v>4.8270851259955352E-2</v>
      </c>
      <c r="GL96">
        <v>2.3864647526730398E-2</v>
      </c>
      <c r="GM96">
        <v>0.21383206074859112</v>
      </c>
      <c r="GZ96">
        <v>4.1034495040227437E-2</v>
      </c>
      <c r="HA96">
        <v>8.6310689415435515</v>
      </c>
    </row>
    <row r="97" spans="1:209" x14ac:dyDescent="0.75">
      <c r="A97" t="s">
        <v>723</v>
      </c>
      <c r="K97">
        <v>1.5697764796640261</v>
      </c>
      <c r="AC97">
        <v>0</v>
      </c>
      <c r="AF97">
        <v>0</v>
      </c>
      <c r="AI97">
        <v>0</v>
      </c>
      <c r="AK97">
        <v>0.51330728196945064</v>
      </c>
      <c r="AP97">
        <v>0.61587636369704002</v>
      </c>
      <c r="AQ97">
        <v>0</v>
      </c>
      <c r="AT97">
        <v>1.4643524825172309E-2</v>
      </c>
      <c r="AZ97">
        <v>2.6236326338958921E-2</v>
      </c>
      <c r="BA97">
        <v>0</v>
      </c>
      <c r="BF97">
        <v>0</v>
      </c>
      <c r="BH97">
        <v>0</v>
      </c>
      <c r="BJ97">
        <v>0.61704440306827413</v>
      </c>
      <c r="BK97">
        <v>0</v>
      </c>
      <c r="BM97">
        <v>3.2931578296389241</v>
      </c>
      <c r="BN97">
        <v>0</v>
      </c>
      <c r="BU97">
        <v>0</v>
      </c>
      <c r="DF97">
        <v>0</v>
      </c>
      <c r="DI97">
        <v>0</v>
      </c>
      <c r="DL97">
        <v>0</v>
      </c>
      <c r="DT97">
        <v>0</v>
      </c>
      <c r="DU97">
        <v>0</v>
      </c>
      <c r="EB97">
        <v>0</v>
      </c>
      <c r="EG97">
        <v>0</v>
      </c>
      <c r="EI97">
        <v>0</v>
      </c>
      <c r="EK97">
        <v>0</v>
      </c>
      <c r="EL97">
        <v>0</v>
      </c>
      <c r="EO97">
        <v>0</v>
      </c>
      <c r="EV97">
        <v>0</v>
      </c>
      <c r="FY97">
        <v>15.12632208693616</v>
      </c>
      <c r="FZ97">
        <v>21.358067223365566</v>
      </c>
      <c r="GA97">
        <v>23.965250024192809</v>
      </c>
      <c r="GB97">
        <v>24.425194208014748</v>
      </c>
      <c r="GC97">
        <v>16.703442445989257</v>
      </c>
      <c r="GD97">
        <v>1.1086674825242895</v>
      </c>
      <c r="GE97">
        <v>1.5543037552824233</v>
      </c>
      <c r="GF97">
        <v>2.045765293517444</v>
      </c>
      <c r="GG97">
        <v>2.6529409614123178</v>
      </c>
      <c r="GH97">
        <v>7.1751795521285455</v>
      </c>
      <c r="GI97">
        <v>0.8888703211440927</v>
      </c>
      <c r="GJ97">
        <v>1.0630124768950364</v>
      </c>
      <c r="GK97">
        <v>1.4761178779420283</v>
      </c>
      <c r="GL97">
        <v>2.7173945445058298</v>
      </c>
      <c r="GM97">
        <v>9.1128358841952437</v>
      </c>
      <c r="GY97">
        <v>-0.89446130368555277</v>
      </c>
      <c r="GZ97">
        <v>12.575760389575624</v>
      </c>
      <c r="HA97">
        <v>149.70470543313772</v>
      </c>
    </row>
    <row r="98" spans="1:209" x14ac:dyDescent="0.75">
      <c r="A98" t="s">
        <v>724</v>
      </c>
      <c r="L98">
        <v>0.15353518589262288</v>
      </c>
      <c r="AC98">
        <v>0</v>
      </c>
      <c r="AF98">
        <v>0</v>
      </c>
      <c r="AI98">
        <v>0</v>
      </c>
      <c r="AK98">
        <v>0.17061028319643071</v>
      </c>
      <c r="AP98">
        <v>0.20471153629019387</v>
      </c>
      <c r="AQ98">
        <v>0</v>
      </c>
      <c r="AT98">
        <v>4.8620712148042082E-3</v>
      </c>
      <c r="AZ98">
        <v>8.7112391474894711E-3</v>
      </c>
      <c r="BA98">
        <v>0</v>
      </c>
      <c r="BF98">
        <v>0</v>
      </c>
      <c r="BH98">
        <v>0</v>
      </c>
      <c r="BJ98">
        <v>0.205121891514737</v>
      </c>
      <c r="BK98">
        <v>0</v>
      </c>
      <c r="BM98">
        <v>1.1004674028949202</v>
      </c>
      <c r="BN98">
        <v>0</v>
      </c>
      <c r="BU98">
        <v>0</v>
      </c>
      <c r="DF98">
        <v>0</v>
      </c>
      <c r="DI98">
        <v>0</v>
      </c>
      <c r="DL98">
        <v>0</v>
      </c>
      <c r="DT98">
        <v>0</v>
      </c>
      <c r="DU98">
        <v>0</v>
      </c>
      <c r="EB98">
        <v>0</v>
      </c>
      <c r="EG98">
        <v>0</v>
      </c>
      <c r="EI98">
        <v>0</v>
      </c>
      <c r="EK98">
        <v>0</v>
      </c>
      <c r="EL98">
        <v>0</v>
      </c>
      <c r="EO98">
        <v>0</v>
      </c>
      <c r="EV98">
        <v>0</v>
      </c>
      <c r="FY98">
        <v>0.69142723971500109</v>
      </c>
      <c r="FZ98">
        <v>1.3762115973251647</v>
      </c>
      <c r="GA98">
        <v>2.1378467991072703</v>
      </c>
      <c r="GB98">
        <v>3.2421940756347127</v>
      </c>
      <c r="GC98">
        <v>3.8606095721171578</v>
      </c>
      <c r="GD98">
        <v>0.11642340212999973</v>
      </c>
      <c r="GE98">
        <v>0.15652807158265322</v>
      </c>
      <c r="GF98">
        <v>0.27772850745825928</v>
      </c>
      <c r="GG98">
        <v>0.42695534865358398</v>
      </c>
      <c r="GH98">
        <v>1.6585193077678757</v>
      </c>
      <c r="GI98">
        <v>0.12961754269451747</v>
      </c>
      <c r="GJ98">
        <v>0.1662560407226876</v>
      </c>
      <c r="GK98">
        <v>0.28491166845602345</v>
      </c>
      <c r="GL98">
        <v>0.71083594578960907</v>
      </c>
      <c r="GM98">
        <v>3.6768978182012155</v>
      </c>
      <c r="GY98">
        <v>-1.4514211225735473E-3</v>
      </c>
      <c r="GZ98">
        <v>0.37780803942610774</v>
      </c>
      <c r="HA98">
        <v>21.137339165810459</v>
      </c>
    </row>
    <row r="99" spans="1:209" x14ac:dyDescent="0.75">
      <c r="A99" t="s">
        <v>57</v>
      </c>
      <c r="M99">
        <v>1.0372226377708365</v>
      </c>
      <c r="AC99">
        <v>0</v>
      </c>
      <c r="AF99">
        <v>0</v>
      </c>
      <c r="AI99">
        <v>0</v>
      </c>
      <c r="AK99">
        <v>0.41154044294420988</v>
      </c>
      <c r="AP99">
        <v>0.49375282935268439</v>
      </c>
      <c r="AQ99">
        <v>0</v>
      </c>
      <c r="AT99">
        <v>1.1740042306421417E-2</v>
      </c>
      <c r="AZ99">
        <v>2.1034130234310291E-2</v>
      </c>
      <c r="BA99">
        <v>0</v>
      </c>
      <c r="BF99">
        <v>0</v>
      </c>
      <c r="BH99">
        <v>0</v>
      </c>
      <c r="BJ99">
        <v>0.4947047204343758</v>
      </c>
      <c r="BK99">
        <v>0</v>
      </c>
      <c r="BM99">
        <v>2.6403185095544051</v>
      </c>
      <c r="BN99">
        <v>0</v>
      </c>
      <c r="BU99">
        <v>0</v>
      </c>
      <c r="DF99">
        <v>0</v>
      </c>
      <c r="DI99">
        <v>0</v>
      </c>
      <c r="DL99">
        <v>0</v>
      </c>
      <c r="DT99">
        <v>0</v>
      </c>
      <c r="DU99">
        <v>0</v>
      </c>
      <c r="EB99">
        <v>0</v>
      </c>
      <c r="EG99">
        <v>0</v>
      </c>
      <c r="EI99">
        <v>0</v>
      </c>
      <c r="EK99">
        <v>0</v>
      </c>
      <c r="EL99">
        <v>0</v>
      </c>
      <c r="EO99">
        <v>0</v>
      </c>
      <c r="EV99">
        <v>0</v>
      </c>
      <c r="FY99">
        <v>13.737970079857396</v>
      </c>
      <c r="FZ99">
        <v>16.915494318747214</v>
      </c>
      <c r="GA99">
        <v>19.232422468626787</v>
      </c>
      <c r="GB99">
        <v>21.713859603487712</v>
      </c>
      <c r="GC99">
        <v>20.045403185228821</v>
      </c>
      <c r="GD99">
        <v>1.0312652446422883</v>
      </c>
      <c r="GE99">
        <v>1.4497217742532236</v>
      </c>
      <c r="GF99">
        <v>2.01089942859402</v>
      </c>
      <c r="GG99">
        <v>2.9831295569523446</v>
      </c>
      <c r="GH99">
        <v>9.9052893059106033</v>
      </c>
      <c r="GI99">
        <v>0.94340905709442302</v>
      </c>
      <c r="GJ99">
        <v>1.0376242402644462</v>
      </c>
      <c r="GK99">
        <v>1.7257100195689237</v>
      </c>
      <c r="GL99">
        <v>4.2253495967586989</v>
      </c>
      <c r="GM99">
        <v>19.888272615978369</v>
      </c>
      <c r="GY99">
        <v>-8.4155134893058189E-2</v>
      </c>
      <c r="GZ99">
        <v>3.1250394992632846</v>
      </c>
      <c r="HA99">
        <v>144.99701817293277</v>
      </c>
    </row>
    <row r="100" spans="1:209" x14ac:dyDescent="0.75">
      <c r="A100" t="s">
        <v>725</v>
      </c>
      <c r="N100">
        <v>0.22201172744453865</v>
      </c>
      <c r="AC100">
        <v>0</v>
      </c>
      <c r="AF100">
        <v>0</v>
      </c>
      <c r="AI100">
        <v>0</v>
      </c>
      <c r="AK100">
        <v>5.1522807559571868</v>
      </c>
      <c r="AP100">
        <v>0</v>
      </c>
      <c r="AQ100">
        <v>54.299371042590984</v>
      </c>
      <c r="AT100">
        <v>2.7846882198864244E-2</v>
      </c>
      <c r="AZ100">
        <v>5.4094914330218881E-2</v>
      </c>
      <c r="BA100">
        <v>0</v>
      </c>
      <c r="BF100">
        <v>0</v>
      </c>
      <c r="BH100">
        <v>0</v>
      </c>
      <c r="BJ100">
        <v>0</v>
      </c>
      <c r="BK100">
        <v>0</v>
      </c>
      <c r="BM100">
        <v>7.3676882787567619</v>
      </c>
      <c r="BN100">
        <v>0</v>
      </c>
      <c r="BU100">
        <v>0</v>
      </c>
      <c r="DF100">
        <v>0</v>
      </c>
      <c r="DI100">
        <v>0</v>
      </c>
      <c r="DL100">
        <v>0</v>
      </c>
      <c r="DT100">
        <v>0</v>
      </c>
      <c r="DU100">
        <v>0</v>
      </c>
      <c r="EB100">
        <v>0</v>
      </c>
      <c r="EG100">
        <v>0</v>
      </c>
      <c r="EI100">
        <v>0</v>
      </c>
      <c r="EK100">
        <v>0</v>
      </c>
      <c r="EL100">
        <v>0</v>
      </c>
      <c r="EO100">
        <v>0</v>
      </c>
      <c r="EV100">
        <v>0</v>
      </c>
      <c r="FY100">
        <v>7.0717420824537372E-2</v>
      </c>
      <c r="FZ100">
        <v>0.11287956994120218</v>
      </c>
      <c r="GA100">
        <v>0.20394245515939224</v>
      </c>
      <c r="GB100">
        <v>0.24680193669149614</v>
      </c>
      <c r="GC100">
        <v>0.39900532871359662</v>
      </c>
      <c r="GD100">
        <v>1.0003720939551002E-2</v>
      </c>
      <c r="GE100">
        <v>9.7077365052669791E-3</v>
      </c>
      <c r="GF100">
        <v>3.8304048309958101E-2</v>
      </c>
      <c r="GG100">
        <v>7.8996103994373901E-2</v>
      </c>
      <c r="GH100">
        <v>0.48037089752129286</v>
      </c>
      <c r="GI100">
        <v>2.5993040219904435E-3</v>
      </c>
      <c r="GJ100">
        <v>6.9881597775064731E-3</v>
      </c>
      <c r="GK100">
        <v>1.469700593082672E-2</v>
      </c>
      <c r="GL100">
        <v>6.9432450636643703E-2</v>
      </c>
      <c r="GM100">
        <v>1.2661782994756843</v>
      </c>
      <c r="GY100">
        <v>7.9927544200737604</v>
      </c>
      <c r="HA100">
        <v>78.126672459795628</v>
      </c>
    </row>
    <row r="101" spans="1:209" x14ac:dyDescent="0.75">
      <c r="A101" t="s">
        <v>726</v>
      </c>
      <c r="O101">
        <v>0.40421268440353009</v>
      </c>
      <c r="AC101">
        <v>0</v>
      </c>
      <c r="AF101">
        <v>0</v>
      </c>
      <c r="AI101">
        <v>0</v>
      </c>
      <c r="AK101">
        <v>1.1839818859368254</v>
      </c>
      <c r="AP101">
        <v>0</v>
      </c>
      <c r="AQ101">
        <v>1.0435528958110267</v>
      </c>
      <c r="AT101">
        <v>6.4246083243827195E-3</v>
      </c>
      <c r="AZ101">
        <v>1.2479453173545027E-2</v>
      </c>
      <c r="BA101">
        <v>0</v>
      </c>
      <c r="BF101">
        <v>0</v>
      </c>
      <c r="BH101">
        <v>0</v>
      </c>
      <c r="BJ101">
        <v>0</v>
      </c>
      <c r="BK101">
        <v>0</v>
      </c>
      <c r="BM101">
        <v>1.6884484776397826</v>
      </c>
      <c r="BN101">
        <v>0</v>
      </c>
      <c r="BU101">
        <v>0</v>
      </c>
      <c r="DF101">
        <v>0</v>
      </c>
      <c r="DI101">
        <v>0</v>
      </c>
      <c r="DL101">
        <v>0</v>
      </c>
      <c r="DT101">
        <v>0</v>
      </c>
      <c r="DU101">
        <v>0</v>
      </c>
      <c r="EB101">
        <v>0</v>
      </c>
      <c r="EG101">
        <v>0</v>
      </c>
      <c r="EI101">
        <v>0</v>
      </c>
      <c r="EK101">
        <v>0</v>
      </c>
      <c r="EL101">
        <v>0</v>
      </c>
      <c r="EO101">
        <v>0</v>
      </c>
      <c r="EV101">
        <v>0</v>
      </c>
      <c r="FY101">
        <v>5.2325451580452959E-2</v>
      </c>
      <c r="FZ101">
        <v>0.1273121884243906</v>
      </c>
      <c r="GA101">
        <v>0.21984722742887727</v>
      </c>
      <c r="GB101">
        <v>0.29581923337373389</v>
      </c>
      <c r="GC101">
        <v>0.96234689318296696</v>
      </c>
      <c r="GD101">
        <v>1.5127062501684361E-2</v>
      </c>
      <c r="GE101">
        <v>4.1362577621915232E-2</v>
      </c>
      <c r="GF101">
        <v>1.763441478386157E-2</v>
      </c>
      <c r="GG101">
        <v>6.5368680952824887E-2</v>
      </c>
      <c r="GH101">
        <v>0.90712350990624202</v>
      </c>
      <c r="GI101">
        <v>9.1036083412429566E-3</v>
      </c>
      <c r="GJ101">
        <v>2.9635079742181365E-3</v>
      </c>
      <c r="GK101">
        <v>1.9520079102350731E-2</v>
      </c>
      <c r="GL101">
        <v>6.7937422630655581E-2</v>
      </c>
      <c r="GM101">
        <v>1.4688032872675931</v>
      </c>
      <c r="HA101">
        <v>8.6116951503621024</v>
      </c>
    </row>
    <row r="102" spans="1:209" x14ac:dyDescent="0.75">
      <c r="A102" t="s">
        <v>727</v>
      </c>
      <c r="P102">
        <v>7.3302003768824509E-2</v>
      </c>
      <c r="AC102">
        <v>0</v>
      </c>
      <c r="AF102">
        <v>0</v>
      </c>
      <c r="AI102">
        <v>0</v>
      </c>
      <c r="AK102">
        <v>0.13728796300815133</v>
      </c>
      <c r="AP102">
        <v>0</v>
      </c>
      <c r="AQ102">
        <v>0.12099032911663722</v>
      </c>
      <c r="AT102">
        <v>7.4498481238943716E-4</v>
      </c>
      <c r="AZ102">
        <v>1.4470728478611292E-3</v>
      </c>
      <c r="BA102">
        <v>0</v>
      </c>
      <c r="BF102">
        <v>0</v>
      </c>
      <c r="BH102">
        <v>0</v>
      </c>
      <c r="BJ102">
        <v>0</v>
      </c>
      <c r="BK102">
        <v>0</v>
      </c>
      <c r="BM102">
        <v>0.19572630555177903</v>
      </c>
      <c r="BN102">
        <v>0</v>
      </c>
      <c r="BU102">
        <v>0</v>
      </c>
      <c r="DF102">
        <v>0</v>
      </c>
      <c r="DI102">
        <v>0</v>
      </c>
      <c r="DL102">
        <v>0</v>
      </c>
      <c r="DT102">
        <v>0</v>
      </c>
      <c r="DU102">
        <v>0</v>
      </c>
      <c r="EB102">
        <v>0</v>
      </c>
      <c r="EG102">
        <v>0</v>
      </c>
      <c r="EI102">
        <v>0</v>
      </c>
      <c r="EK102">
        <v>0</v>
      </c>
      <c r="EL102">
        <v>0</v>
      </c>
      <c r="EO102">
        <v>0</v>
      </c>
      <c r="EV102">
        <v>0</v>
      </c>
      <c r="FY102">
        <v>0.97948937872731934</v>
      </c>
      <c r="FZ102">
        <v>1.930773787676803</v>
      </c>
      <c r="GA102">
        <v>3.2024121116758355</v>
      </c>
      <c r="GB102">
        <v>4.4109238352889379</v>
      </c>
      <c r="GC102">
        <v>5.1489387596092833</v>
      </c>
      <c r="GD102">
        <v>8.1020818424477573E-2</v>
      </c>
      <c r="GE102">
        <v>0.1668983461602718</v>
      </c>
      <c r="GF102">
        <v>0.27258131437045335</v>
      </c>
      <c r="GG102">
        <v>0.57829005149016943</v>
      </c>
      <c r="GH102">
        <v>2.4156648351336925</v>
      </c>
      <c r="GI102">
        <v>0.11836410690342188</v>
      </c>
      <c r="GJ102">
        <v>0.13181098836557487</v>
      </c>
      <c r="GK102">
        <v>0.35146148420674289</v>
      </c>
      <c r="GL102">
        <v>0.88595289910228936</v>
      </c>
      <c r="GM102">
        <v>5.6610996474785136</v>
      </c>
      <c r="GY102">
        <v>-3.7393398624008577E-3</v>
      </c>
      <c r="GZ102">
        <v>0.62818561125467021</v>
      </c>
      <c r="HA102">
        <v>27.489627295111696</v>
      </c>
    </row>
    <row r="103" spans="1:209" x14ac:dyDescent="0.75">
      <c r="A103" t="s">
        <v>327</v>
      </c>
      <c r="Q103">
        <v>6.8544732695774491E-2</v>
      </c>
      <c r="AC103">
        <v>0</v>
      </c>
      <c r="AF103">
        <v>0</v>
      </c>
      <c r="AI103">
        <v>0</v>
      </c>
      <c r="AK103">
        <v>0.26352778774247015</v>
      </c>
      <c r="AP103">
        <v>0</v>
      </c>
      <c r="AQ103">
        <v>0.23225460133696571</v>
      </c>
      <c r="AT103">
        <v>1.4303852762699899E-3</v>
      </c>
      <c r="AZ103">
        <v>2.778408759856995E-3</v>
      </c>
      <c r="BA103">
        <v>0</v>
      </c>
      <c r="BF103">
        <v>0</v>
      </c>
      <c r="BH103">
        <v>0</v>
      </c>
      <c r="BJ103">
        <v>0</v>
      </c>
      <c r="BK103">
        <v>0</v>
      </c>
      <c r="BM103">
        <v>0.37567288851214004</v>
      </c>
      <c r="BN103">
        <v>0</v>
      </c>
      <c r="BU103">
        <v>0</v>
      </c>
      <c r="DF103">
        <v>0</v>
      </c>
      <c r="DI103">
        <v>0</v>
      </c>
      <c r="DL103">
        <v>0</v>
      </c>
      <c r="DT103">
        <v>0</v>
      </c>
      <c r="DU103">
        <v>0</v>
      </c>
      <c r="EB103">
        <v>0</v>
      </c>
      <c r="EG103">
        <v>0</v>
      </c>
      <c r="EI103">
        <v>0</v>
      </c>
      <c r="EK103">
        <v>0</v>
      </c>
      <c r="EL103">
        <v>0</v>
      </c>
      <c r="EO103">
        <v>0</v>
      </c>
      <c r="EV103">
        <v>0</v>
      </c>
      <c r="FY103">
        <v>1.5734396027966799</v>
      </c>
      <c r="FZ103">
        <v>2.528487200099748</v>
      </c>
      <c r="GA103">
        <v>3.3574798548364972</v>
      </c>
      <c r="GB103">
        <v>4.3392794003187367</v>
      </c>
      <c r="GC103">
        <v>5.2980656986273944</v>
      </c>
      <c r="GD103">
        <v>0.15031297624651535</v>
      </c>
      <c r="GE103">
        <v>0.20900524112969365</v>
      </c>
      <c r="GF103">
        <v>0.36328095630603618</v>
      </c>
      <c r="GG103">
        <v>0.5489156464365974</v>
      </c>
      <c r="GH103">
        <v>2.669656917236876</v>
      </c>
      <c r="GI103">
        <v>0.10716977156486598</v>
      </c>
      <c r="GJ103">
        <v>0.13933494606338565</v>
      </c>
      <c r="GK103">
        <v>0.26741342278137209</v>
      </c>
      <c r="GL103">
        <v>0.63032534743219593</v>
      </c>
      <c r="GM103">
        <v>5.4462587632181645</v>
      </c>
      <c r="GY103">
        <v>3.0377488673432047E-2</v>
      </c>
      <c r="GZ103">
        <v>1.3891900354782414</v>
      </c>
      <c r="HA103">
        <v>29.99220207356991</v>
      </c>
    </row>
    <row r="104" spans="1:209" x14ac:dyDescent="0.75">
      <c r="A104" t="s">
        <v>502</v>
      </c>
      <c r="R104">
        <v>1.2723777405699979</v>
      </c>
      <c r="AC104">
        <v>0</v>
      </c>
      <c r="AF104">
        <v>0</v>
      </c>
      <c r="AI104">
        <v>0</v>
      </c>
      <c r="AK104">
        <v>0.73308878931365862</v>
      </c>
      <c r="AL104">
        <v>3.7650052844571475</v>
      </c>
      <c r="AN104">
        <v>7.0841863261232492</v>
      </c>
      <c r="AP104">
        <v>0.88043134428701086</v>
      </c>
      <c r="AQ104">
        <v>0</v>
      </c>
      <c r="AT104">
        <v>2.1916070706363724E-2</v>
      </c>
      <c r="AZ104">
        <v>4.2522114154661839E-2</v>
      </c>
      <c r="BA104">
        <v>0</v>
      </c>
      <c r="BF104">
        <v>0</v>
      </c>
      <c r="BH104">
        <v>0</v>
      </c>
      <c r="BJ104">
        <v>0</v>
      </c>
      <c r="BK104">
        <v>0</v>
      </c>
      <c r="BM104">
        <v>6.8074086944382318E-3</v>
      </c>
      <c r="BN104">
        <v>0</v>
      </c>
      <c r="BU104">
        <v>0</v>
      </c>
      <c r="DF104">
        <v>0</v>
      </c>
      <c r="DI104">
        <v>0</v>
      </c>
      <c r="DL104">
        <v>0</v>
      </c>
      <c r="DT104">
        <v>0</v>
      </c>
      <c r="DU104">
        <v>0</v>
      </c>
      <c r="EB104">
        <v>0</v>
      </c>
      <c r="EG104">
        <v>0</v>
      </c>
      <c r="EI104">
        <v>0</v>
      </c>
      <c r="EK104">
        <v>0</v>
      </c>
      <c r="EL104">
        <v>0</v>
      </c>
      <c r="EO104">
        <v>0</v>
      </c>
      <c r="EV104">
        <v>0</v>
      </c>
      <c r="FY104">
        <v>4.55707545428727E-3</v>
      </c>
      <c r="FZ104">
        <v>1.1811469230183941E-2</v>
      </c>
      <c r="GA104">
        <v>3.1376283232036041E-2</v>
      </c>
      <c r="GB104">
        <v>6.0233184642724327E-2</v>
      </c>
      <c r="GC104">
        <v>0.17455406454605193</v>
      </c>
      <c r="GD104">
        <v>4.725060730559871E-3</v>
      </c>
      <c r="GE104">
        <v>6.6303595854022785E-3</v>
      </c>
      <c r="GF104">
        <v>9.8580300486504849E-3</v>
      </c>
      <c r="GG104">
        <v>2.2301378342941339E-2</v>
      </c>
      <c r="GH104">
        <v>0.23985463965817713</v>
      </c>
      <c r="GI104">
        <v>3.6189741648492229E-3</v>
      </c>
      <c r="GJ104">
        <v>1.0368892390928038E-2</v>
      </c>
      <c r="GK104">
        <v>1.8436744445261746E-2</v>
      </c>
      <c r="GL104">
        <v>5.4927523424712438E-2</v>
      </c>
      <c r="GM104">
        <v>0.59683873983872293</v>
      </c>
      <c r="GY104">
        <v>-0.61063719870060063</v>
      </c>
      <c r="GZ104">
        <v>0.48012130304147688</v>
      </c>
      <c r="HA104">
        <v>14.925911602382898</v>
      </c>
    </row>
    <row r="105" spans="1:209" x14ac:dyDescent="0.75">
      <c r="A105" t="s">
        <v>728</v>
      </c>
      <c r="S105">
        <v>0.41705977659857285</v>
      </c>
      <c r="AC105">
        <v>0</v>
      </c>
      <c r="AF105">
        <v>0</v>
      </c>
      <c r="AI105">
        <v>0</v>
      </c>
      <c r="AK105">
        <v>0.14815878822917858</v>
      </c>
      <c r="AL105">
        <v>0.75210560742015764</v>
      </c>
      <c r="AN105">
        <v>1.3962320846024747</v>
      </c>
      <c r="AP105">
        <v>0.17779258518389179</v>
      </c>
      <c r="AQ105">
        <v>0</v>
      </c>
      <c r="AT105">
        <v>4.4406274238766082E-3</v>
      </c>
      <c r="AZ105">
        <v>8.6148232571677062E-3</v>
      </c>
      <c r="BA105">
        <v>0</v>
      </c>
      <c r="BF105">
        <v>0</v>
      </c>
      <c r="BH105">
        <v>0</v>
      </c>
      <c r="BJ105">
        <v>0</v>
      </c>
      <c r="BK105">
        <v>0</v>
      </c>
      <c r="BM105">
        <v>1.3793897800407895E-3</v>
      </c>
      <c r="BN105">
        <v>0</v>
      </c>
      <c r="BU105">
        <v>0</v>
      </c>
      <c r="DF105">
        <v>0</v>
      </c>
      <c r="DI105">
        <v>0</v>
      </c>
      <c r="DL105">
        <v>0</v>
      </c>
      <c r="DT105">
        <v>0</v>
      </c>
      <c r="DU105">
        <v>0</v>
      </c>
      <c r="EB105">
        <v>0</v>
      </c>
      <c r="EG105">
        <v>0</v>
      </c>
      <c r="EI105">
        <v>0</v>
      </c>
      <c r="EK105">
        <v>0</v>
      </c>
      <c r="EL105">
        <v>0</v>
      </c>
      <c r="EO105">
        <v>0</v>
      </c>
      <c r="EV105">
        <v>0</v>
      </c>
      <c r="FY105">
        <v>1.4890153433572834E-2</v>
      </c>
      <c r="FZ105">
        <v>2.2796547778409872E-2</v>
      </c>
      <c r="GA105">
        <v>3.470903218676185E-2</v>
      </c>
      <c r="GB105">
        <v>6.5911650871585223E-2</v>
      </c>
      <c r="GC105">
        <v>0.11318725503715785</v>
      </c>
      <c r="GD105">
        <v>4.8192321271189366E-4</v>
      </c>
      <c r="GE105">
        <v>2.0350736086604385E-3</v>
      </c>
      <c r="GF105">
        <v>3.7651156191116121E-3</v>
      </c>
      <c r="GG105">
        <v>6.5994938464197673E-3</v>
      </c>
      <c r="GH105">
        <v>9.0547767347801081E-2</v>
      </c>
      <c r="GI105">
        <v>8.8393219561760461E-4</v>
      </c>
      <c r="GJ105">
        <v>5.5337783639302653E-4</v>
      </c>
      <c r="GK105">
        <v>3.893049629828906E-3</v>
      </c>
      <c r="GL105">
        <v>2.3202160457927796E-2</v>
      </c>
      <c r="GM105">
        <v>0.33132231403074541</v>
      </c>
      <c r="GY105">
        <v>0.17420184789949761</v>
      </c>
      <c r="GZ105">
        <v>8.8700279074975394E-2</v>
      </c>
      <c r="HA105">
        <v>3.883464656562539</v>
      </c>
    </row>
    <row r="106" spans="1:209" x14ac:dyDescent="0.75">
      <c r="A106" t="s">
        <v>323</v>
      </c>
      <c r="AC106">
        <v>0</v>
      </c>
      <c r="AF106">
        <v>0</v>
      </c>
      <c r="AI106">
        <v>0</v>
      </c>
      <c r="AK106">
        <v>0.33515613330485189</v>
      </c>
      <c r="AL106">
        <v>1.7364466486315828</v>
      </c>
      <c r="AN106">
        <v>3.2985695461195172</v>
      </c>
      <c r="AP106">
        <v>0.40261990489152522</v>
      </c>
      <c r="AQ106">
        <v>0</v>
      </c>
      <c r="AT106">
        <v>9.9981581108669979E-3</v>
      </c>
      <c r="AZ106">
        <v>1.9399338743949949E-2</v>
      </c>
      <c r="BA106">
        <v>0</v>
      </c>
      <c r="BF106">
        <v>0</v>
      </c>
      <c r="BH106">
        <v>0</v>
      </c>
      <c r="BJ106">
        <v>0</v>
      </c>
      <c r="BK106">
        <v>0</v>
      </c>
      <c r="BM106">
        <v>3.1054124240175161E-3</v>
      </c>
      <c r="BN106">
        <v>0</v>
      </c>
      <c r="BU106">
        <v>0</v>
      </c>
      <c r="DF106">
        <v>0</v>
      </c>
      <c r="DI106">
        <v>0</v>
      </c>
      <c r="DL106">
        <v>0</v>
      </c>
      <c r="DT106">
        <v>0</v>
      </c>
      <c r="DU106">
        <v>0</v>
      </c>
      <c r="EB106">
        <v>0</v>
      </c>
      <c r="EG106">
        <v>0</v>
      </c>
      <c r="EI106">
        <v>0</v>
      </c>
      <c r="EK106">
        <v>0</v>
      </c>
      <c r="EL106">
        <v>0</v>
      </c>
      <c r="EO106">
        <v>0</v>
      </c>
      <c r="EV106">
        <v>0</v>
      </c>
      <c r="GY106">
        <v>4.7963480214002131E-2</v>
      </c>
      <c r="GZ106">
        <v>9.8377528342550452E-2</v>
      </c>
      <c r="HA106">
        <v>5.9516361507828641</v>
      </c>
    </row>
    <row r="107" spans="1:209" x14ac:dyDescent="0.75">
      <c r="A107" t="s">
        <v>328</v>
      </c>
      <c r="AC107">
        <v>0</v>
      </c>
      <c r="AF107">
        <v>0</v>
      </c>
      <c r="AI107">
        <v>0</v>
      </c>
      <c r="AP107">
        <v>7.3616466350249476</v>
      </c>
      <c r="AQ107">
        <v>0</v>
      </c>
      <c r="BA107">
        <v>0</v>
      </c>
      <c r="BF107">
        <v>0</v>
      </c>
      <c r="BH107">
        <v>0</v>
      </c>
      <c r="BJ107">
        <v>0</v>
      </c>
      <c r="BK107">
        <v>0</v>
      </c>
      <c r="BN107">
        <v>0</v>
      </c>
      <c r="BU107">
        <v>0</v>
      </c>
      <c r="DF107">
        <v>0</v>
      </c>
      <c r="DI107">
        <v>0</v>
      </c>
      <c r="DL107">
        <v>0</v>
      </c>
      <c r="DT107">
        <v>0</v>
      </c>
      <c r="DU107">
        <v>0</v>
      </c>
      <c r="EB107">
        <v>0</v>
      </c>
      <c r="EG107">
        <v>0</v>
      </c>
      <c r="EI107">
        <v>0</v>
      </c>
      <c r="EK107">
        <v>0</v>
      </c>
      <c r="EL107">
        <v>0</v>
      </c>
      <c r="EO107">
        <v>0</v>
      </c>
      <c r="EV107">
        <v>0</v>
      </c>
      <c r="GY107">
        <v>26.304866676082913</v>
      </c>
      <c r="GZ107">
        <v>48.425587897559261</v>
      </c>
      <c r="HA107">
        <v>82.092101208667117</v>
      </c>
    </row>
    <row r="108" spans="1:209" x14ac:dyDescent="0.75">
      <c r="A108" t="s">
        <v>507</v>
      </c>
      <c r="AC108">
        <v>0</v>
      </c>
      <c r="AF108">
        <v>0</v>
      </c>
      <c r="AI108">
        <v>0</v>
      </c>
      <c r="AP108">
        <v>2.2782495433394279</v>
      </c>
      <c r="AQ108">
        <v>0</v>
      </c>
      <c r="BA108">
        <v>0</v>
      </c>
      <c r="BF108">
        <v>0</v>
      </c>
      <c r="BH108">
        <v>0</v>
      </c>
      <c r="BJ108">
        <v>0</v>
      </c>
      <c r="BK108">
        <v>0</v>
      </c>
      <c r="BN108">
        <v>0</v>
      </c>
      <c r="BU108">
        <v>0</v>
      </c>
      <c r="DF108">
        <v>0</v>
      </c>
      <c r="DI108">
        <v>0</v>
      </c>
      <c r="DL108">
        <v>0</v>
      </c>
      <c r="DT108">
        <v>0</v>
      </c>
      <c r="DU108">
        <v>0</v>
      </c>
      <c r="EB108">
        <v>0</v>
      </c>
      <c r="EG108">
        <v>0</v>
      </c>
      <c r="EI108">
        <v>0</v>
      </c>
      <c r="EK108">
        <v>0</v>
      </c>
      <c r="EL108">
        <v>0</v>
      </c>
      <c r="EO108">
        <v>0</v>
      </c>
      <c r="EV108">
        <v>0</v>
      </c>
      <c r="FY108">
        <v>2.1071695919835501E-15</v>
      </c>
      <c r="FZ108">
        <v>3.2619820479132079E-15</v>
      </c>
      <c r="GA108">
        <v>4.2820289430072436E-15</v>
      </c>
      <c r="GB108">
        <v>5.8097180643116325E-15</v>
      </c>
      <c r="GC108">
        <v>8.0004236145707107E-15</v>
      </c>
      <c r="GD108">
        <v>1.4768898629572191E-16</v>
      </c>
      <c r="GE108">
        <v>1.9537119434822669E-16</v>
      </c>
      <c r="GF108">
        <v>3.245956393764151E-16</v>
      </c>
      <c r="GG108">
        <v>6.2139405664875842E-16</v>
      </c>
      <c r="GH108">
        <v>4.211904827673237E-15</v>
      </c>
      <c r="GI108">
        <v>9.7305508041436413E-17</v>
      </c>
      <c r="GJ108">
        <v>1.5874470300555187E-16</v>
      </c>
      <c r="GK108">
        <v>2.6754997254804053E-16</v>
      </c>
      <c r="GL108">
        <v>7.0802144629312086E-16</v>
      </c>
      <c r="GM108">
        <v>-2.9389810591098984E-14</v>
      </c>
      <c r="GY108">
        <v>2.4040045932100726</v>
      </c>
      <c r="GZ108">
        <v>20.591569118912652</v>
      </c>
      <c r="HA108">
        <v>25.273823255462155</v>
      </c>
    </row>
    <row r="109" spans="1:209" x14ac:dyDescent="0.75">
      <c r="A109" t="s">
        <v>326</v>
      </c>
      <c r="V109">
        <v>3.9771086499897183E-2</v>
      </c>
      <c r="AC109">
        <v>0</v>
      </c>
      <c r="AF109">
        <v>0</v>
      </c>
      <c r="AI109">
        <v>0</v>
      </c>
      <c r="AP109">
        <v>0</v>
      </c>
      <c r="AQ109">
        <v>0</v>
      </c>
      <c r="BA109">
        <v>0</v>
      </c>
      <c r="BF109">
        <v>0</v>
      </c>
      <c r="BH109">
        <v>0</v>
      </c>
      <c r="BJ109">
        <v>0</v>
      </c>
      <c r="BK109">
        <v>0</v>
      </c>
      <c r="BN109">
        <v>0</v>
      </c>
      <c r="BU109">
        <v>0</v>
      </c>
      <c r="DF109">
        <v>0</v>
      </c>
      <c r="DI109">
        <v>0</v>
      </c>
      <c r="DL109">
        <v>0</v>
      </c>
      <c r="DT109">
        <v>0</v>
      </c>
      <c r="DU109">
        <v>0</v>
      </c>
      <c r="EB109">
        <v>0</v>
      </c>
      <c r="EG109">
        <v>0</v>
      </c>
      <c r="EI109">
        <v>0</v>
      </c>
      <c r="EK109">
        <v>0</v>
      </c>
      <c r="EL109">
        <v>0</v>
      </c>
      <c r="EO109">
        <v>0</v>
      </c>
      <c r="EV109">
        <v>0</v>
      </c>
      <c r="FY109">
        <v>0.62396477765680658</v>
      </c>
      <c r="FZ109">
        <v>1.0634362596129983</v>
      </c>
      <c r="GA109">
        <v>0.86833944112743888</v>
      </c>
      <c r="GB109">
        <v>1.0261810630375343</v>
      </c>
      <c r="GC109">
        <v>0.63924166908248536</v>
      </c>
      <c r="GD109">
        <v>2.0139242939106964E-2</v>
      </c>
      <c r="GE109">
        <v>2.7918404275740293E-2</v>
      </c>
      <c r="GF109">
        <v>4.4613516018681326E-2</v>
      </c>
      <c r="GG109">
        <v>4.3943017970169515E-2</v>
      </c>
      <c r="GH109">
        <v>2.8495461279140065E-2</v>
      </c>
      <c r="GI109">
        <v>1.3965091795627185E-2</v>
      </c>
      <c r="GJ109">
        <v>1.0087315283660426E-2</v>
      </c>
      <c r="GK109">
        <v>5.3136952813484718E-2</v>
      </c>
      <c r="GL109">
        <v>0.15701961185907934</v>
      </c>
      <c r="GM109">
        <v>4.2183320426700539E-2</v>
      </c>
      <c r="GY109">
        <v>-4.9108793848456955E-2</v>
      </c>
      <c r="GZ109">
        <v>2.1022339320432692E-3</v>
      </c>
      <c r="HA109">
        <v>4.6554296717621373</v>
      </c>
    </row>
    <row r="110" spans="1:209" x14ac:dyDescent="0.75">
      <c r="A110" t="s">
        <v>325</v>
      </c>
      <c r="W110">
        <v>9.1188121643464834E-2</v>
      </c>
      <c r="AC110">
        <v>0</v>
      </c>
      <c r="AF110">
        <v>0</v>
      </c>
      <c r="AI110">
        <v>0</v>
      </c>
      <c r="AP110">
        <v>0</v>
      </c>
      <c r="AQ110">
        <v>0</v>
      </c>
      <c r="BA110">
        <v>0</v>
      </c>
      <c r="BF110">
        <v>0</v>
      </c>
      <c r="BH110">
        <v>0</v>
      </c>
      <c r="BJ110">
        <v>0</v>
      </c>
      <c r="BK110">
        <v>0</v>
      </c>
      <c r="BN110">
        <v>0</v>
      </c>
      <c r="BU110">
        <v>0</v>
      </c>
      <c r="DF110">
        <v>0</v>
      </c>
      <c r="DI110">
        <v>0</v>
      </c>
      <c r="DL110">
        <v>0</v>
      </c>
      <c r="DT110">
        <v>0</v>
      </c>
      <c r="DU110">
        <v>0</v>
      </c>
      <c r="EB110">
        <v>0</v>
      </c>
      <c r="EG110">
        <v>0</v>
      </c>
      <c r="EI110">
        <v>0</v>
      </c>
      <c r="EK110">
        <v>0</v>
      </c>
      <c r="EL110">
        <v>0</v>
      </c>
      <c r="EO110">
        <v>0</v>
      </c>
      <c r="EV110">
        <v>0</v>
      </c>
      <c r="FY110">
        <v>2.9358308599751835E-2</v>
      </c>
      <c r="FZ110">
        <v>7.2397459427131772E-2</v>
      </c>
      <c r="GA110">
        <v>0.2372810122497564</v>
      </c>
      <c r="GB110">
        <v>0.71095247236131087</v>
      </c>
      <c r="GC110">
        <v>1.5434462582704229</v>
      </c>
      <c r="GE110">
        <v>3.5294287868487956E-3</v>
      </c>
      <c r="GF110">
        <v>2.9887019078136665E-2</v>
      </c>
      <c r="GG110">
        <v>0.10303364143463263</v>
      </c>
      <c r="GH110">
        <v>1.1269270581444328</v>
      </c>
      <c r="GJ110">
        <v>3.9816468879395302E-3</v>
      </c>
      <c r="GL110">
        <v>0.13597900054540923</v>
      </c>
      <c r="GM110">
        <v>2.3188229680468315</v>
      </c>
      <c r="GZ110">
        <v>1.2169483986049414</v>
      </c>
      <c r="HA110">
        <v>7.6237327940810111</v>
      </c>
    </row>
    <row r="111" spans="1:209" x14ac:dyDescent="0.75">
      <c r="A111" t="s">
        <v>729</v>
      </c>
      <c r="X111">
        <v>5.2967722868581625E-2</v>
      </c>
      <c r="AC111">
        <v>0</v>
      </c>
      <c r="AF111">
        <v>0</v>
      </c>
      <c r="AI111">
        <v>0</v>
      </c>
      <c r="AP111">
        <v>0</v>
      </c>
      <c r="AQ111">
        <v>0</v>
      </c>
      <c r="BA111">
        <v>0</v>
      </c>
      <c r="BF111">
        <v>0</v>
      </c>
      <c r="BH111">
        <v>0</v>
      </c>
      <c r="BJ111">
        <v>0</v>
      </c>
      <c r="BK111">
        <v>0</v>
      </c>
      <c r="BN111">
        <v>0</v>
      </c>
      <c r="BU111">
        <v>0</v>
      </c>
      <c r="DF111">
        <v>0</v>
      </c>
      <c r="DI111">
        <v>0</v>
      </c>
      <c r="DL111">
        <v>0</v>
      </c>
      <c r="DT111">
        <v>0</v>
      </c>
      <c r="DU111">
        <v>0</v>
      </c>
      <c r="EB111">
        <v>0</v>
      </c>
      <c r="EG111">
        <v>0</v>
      </c>
      <c r="EI111">
        <v>0</v>
      </c>
      <c r="EK111">
        <v>0</v>
      </c>
      <c r="EL111">
        <v>0</v>
      </c>
      <c r="EO111">
        <v>0</v>
      </c>
      <c r="EV111">
        <v>0</v>
      </c>
      <c r="GZ111">
        <v>5.5988265867549716</v>
      </c>
      <c r="HA111">
        <v>5.6517943096235532</v>
      </c>
    </row>
    <row r="112" spans="1:209" x14ac:dyDescent="0.75">
      <c r="A112" t="s">
        <v>329</v>
      </c>
      <c r="T112">
        <v>1.711028926373799</v>
      </c>
      <c r="U112">
        <v>0.78684624238871437</v>
      </c>
      <c r="Y112">
        <v>0.27326685138275997</v>
      </c>
      <c r="Z112">
        <v>0.49854232349175603</v>
      </c>
      <c r="AA112">
        <v>0.28681954586011738</v>
      </c>
      <c r="AB112">
        <v>7.918088929777034E-2</v>
      </c>
      <c r="AC112">
        <v>1.4129273106020799E-2</v>
      </c>
      <c r="AF112">
        <v>0</v>
      </c>
      <c r="AI112">
        <v>0</v>
      </c>
      <c r="AP112">
        <v>0</v>
      </c>
      <c r="AQ112">
        <v>0</v>
      </c>
      <c r="BA112">
        <v>0</v>
      </c>
      <c r="BF112">
        <v>0</v>
      </c>
      <c r="BH112">
        <v>0</v>
      </c>
      <c r="BJ112">
        <v>0</v>
      </c>
      <c r="BK112">
        <v>0</v>
      </c>
      <c r="BM112">
        <v>4.9889760608051503E-2</v>
      </c>
      <c r="BN112">
        <v>0</v>
      </c>
      <c r="BU112">
        <v>0</v>
      </c>
      <c r="BV112">
        <v>19.307302368454362</v>
      </c>
      <c r="BX112">
        <v>5.5794607552586244E-3</v>
      </c>
      <c r="DF112">
        <v>0</v>
      </c>
      <c r="DI112">
        <v>0</v>
      </c>
      <c r="DL112">
        <v>0</v>
      </c>
      <c r="DT112">
        <v>0</v>
      </c>
      <c r="DU112">
        <v>0</v>
      </c>
      <c r="EB112">
        <v>0</v>
      </c>
      <c r="EG112">
        <v>0</v>
      </c>
      <c r="EI112">
        <v>0</v>
      </c>
      <c r="EK112">
        <v>0</v>
      </c>
      <c r="EL112">
        <v>0</v>
      </c>
      <c r="EO112">
        <v>0</v>
      </c>
      <c r="EV112">
        <v>0</v>
      </c>
      <c r="FY112">
        <v>1.2669097170416109E-2</v>
      </c>
      <c r="FZ112">
        <v>4.9209248219136154E-3</v>
      </c>
      <c r="GA112">
        <v>1.7743010946098495E-2</v>
      </c>
      <c r="GB112">
        <v>2.0362577054504581E-2</v>
      </c>
      <c r="GC112">
        <v>6.9569094325980102E-2</v>
      </c>
      <c r="GF112">
        <v>2.3040003798722963E-2</v>
      </c>
      <c r="GH112">
        <v>0.17357875489881255</v>
      </c>
      <c r="GK112">
        <v>2.0469073264337881E-3</v>
      </c>
      <c r="GL112">
        <v>1.2170751099484732E-2</v>
      </c>
      <c r="GM112">
        <v>1.4942729911137467</v>
      </c>
      <c r="GY112">
        <v>5.5465359938868053</v>
      </c>
      <c r="GZ112">
        <v>1.9948442152453616</v>
      </c>
      <c r="HA112">
        <v>32.384339963406894</v>
      </c>
    </row>
    <row r="113" spans="1:209" x14ac:dyDescent="0.75">
      <c r="A113" t="s">
        <v>330</v>
      </c>
      <c r="AC113">
        <v>0</v>
      </c>
      <c r="AF113">
        <v>0</v>
      </c>
      <c r="AI113">
        <v>0</v>
      </c>
      <c r="AJ113">
        <v>42.287658261338144</v>
      </c>
      <c r="AP113">
        <v>0.21316521595129664</v>
      </c>
      <c r="AQ113">
        <v>0</v>
      </c>
      <c r="BA113">
        <v>0</v>
      </c>
      <c r="BF113">
        <v>0</v>
      </c>
      <c r="BH113">
        <v>0</v>
      </c>
      <c r="BJ113">
        <v>0</v>
      </c>
      <c r="BK113">
        <v>0</v>
      </c>
      <c r="BM113">
        <v>7.6818236629279921</v>
      </c>
      <c r="BN113">
        <v>0</v>
      </c>
      <c r="BU113">
        <v>0</v>
      </c>
      <c r="DF113">
        <v>0</v>
      </c>
      <c r="DI113">
        <v>0</v>
      </c>
      <c r="DL113">
        <v>0</v>
      </c>
      <c r="DT113">
        <v>0</v>
      </c>
      <c r="DU113">
        <v>0</v>
      </c>
      <c r="EB113">
        <v>0</v>
      </c>
      <c r="EG113">
        <v>0</v>
      </c>
      <c r="EI113">
        <v>0</v>
      </c>
      <c r="EK113">
        <v>0</v>
      </c>
      <c r="EL113">
        <v>0</v>
      </c>
      <c r="EO113">
        <v>0</v>
      </c>
      <c r="EV113">
        <v>0</v>
      </c>
      <c r="GW113">
        <v>17.234521209330584</v>
      </c>
      <c r="GX113">
        <v>9.2284903258301281</v>
      </c>
      <c r="GZ113">
        <v>12.601048088591419</v>
      </c>
      <c r="HA113">
        <v>89.24670676396957</v>
      </c>
    </row>
    <row r="114" spans="1:209" x14ac:dyDescent="0.75">
      <c r="A114" t="s">
        <v>512</v>
      </c>
      <c r="AC114">
        <v>0</v>
      </c>
      <c r="AF114">
        <v>0</v>
      </c>
      <c r="AI114">
        <v>0</v>
      </c>
      <c r="AJ114">
        <v>4.9638669161515203</v>
      </c>
      <c r="AP114">
        <v>2.2355715115448475E-2</v>
      </c>
      <c r="AQ114">
        <v>0</v>
      </c>
      <c r="BA114">
        <v>0</v>
      </c>
      <c r="BF114">
        <v>0</v>
      </c>
      <c r="BH114">
        <v>0</v>
      </c>
      <c r="BJ114">
        <v>0</v>
      </c>
      <c r="BK114">
        <v>0</v>
      </c>
      <c r="BM114">
        <v>0.82445944282955308</v>
      </c>
      <c r="BN114">
        <v>0</v>
      </c>
      <c r="BU114">
        <v>0</v>
      </c>
      <c r="DF114">
        <v>0</v>
      </c>
      <c r="DI114">
        <v>0</v>
      </c>
      <c r="DL114">
        <v>0</v>
      </c>
      <c r="DT114">
        <v>0</v>
      </c>
      <c r="DU114">
        <v>0</v>
      </c>
      <c r="EB114">
        <v>0</v>
      </c>
      <c r="EG114">
        <v>0</v>
      </c>
      <c r="EI114">
        <v>0</v>
      </c>
      <c r="EK114">
        <v>0</v>
      </c>
      <c r="EL114">
        <v>0</v>
      </c>
      <c r="EO114">
        <v>0</v>
      </c>
      <c r="EV114">
        <v>0</v>
      </c>
      <c r="FY114">
        <v>2.3373752331777528E-3</v>
      </c>
      <c r="FZ114">
        <v>7.7608068677916002E-3</v>
      </c>
      <c r="GA114">
        <v>1.5372608317477726E-2</v>
      </c>
      <c r="GB114">
        <v>2.478506661376018E-2</v>
      </c>
      <c r="GC114">
        <v>3.3127058031431358E-2</v>
      </c>
      <c r="GD114">
        <v>2.162138290999999E-4</v>
      </c>
      <c r="GE114">
        <v>1.1607519092729E-4</v>
      </c>
      <c r="GF114">
        <v>6.5660166638237022E-4</v>
      </c>
      <c r="GG114">
        <v>1.256379707138278E-3</v>
      </c>
      <c r="GH114">
        <v>6.2865519706849062E-3</v>
      </c>
      <c r="GI114">
        <v>1.7901420412981246E-5</v>
      </c>
      <c r="GJ114">
        <v>3.9115950172789331E-4</v>
      </c>
      <c r="GK114">
        <v>7.8547870327172532E-5</v>
      </c>
      <c r="GL114">
        <v>6.2682669438036932E-4</v>
      </c>
      <c r="GM114">
        <v>5.3026149658863576E-3</v>
      </c>
      <c r="GW114">
        <v>16.718557887156958</v>
      </c>
      <c r="GX114">
        <v>7.9301403532805761</v>
      </c>
      <c r="GZ114">
        <v>7.60658704170263</v>
      </c>
      <c r="HA114">
        <v>38.164299144117294</v>
      </c>
    </row>
    <row r="115" spans="1:209" x14ac:dyDescent="0.75">
      <c r="A115" t="s">
        <v>331</v>
      </c>
      <c r="AC115">
        <v>0</v>
      </c>
      <c r="AF115">
        <v>0</v>
      </c>
      <c r="AI115">
        <v>0</v>
      </c>
      <c r="AJ115">
        <v>10.558862376351291</v>
      </c>
      <c r="AP115">
        <v>5.2856385319079865E-2</v>
      </c>
      <c r="AQ115">
        <v>0</v>
      </c>
      <c r="BA115">
        <v>0</v>
      </c>
      <c r="BF115">
        <v>0</v>
      </c>
      <c r="BH115">
        <v>0</v>
      </c>
      <c r="BJ115">
        <v>0</v>
      </c>
      <c r="BK115">
        <v>0</v>
      </c>
      <c r="BM115">
        <v>1.9149487253393065</v>
      </c>
      <c r="BN115">
        <v>0</v>
      </c>
      <c r="BU115">
        <v>0</v>
      </c>
      <c r="DF115">
        <v>0</v>
      </c>
      <c r="DI115">
        <v>0</v>
      </c>
      <c r="DL115">
        <v>0</v>
      </c>
      <c r="DT115">
        <v>0</v>
      </c>
      <c r="DU115">
        <v>0</v>
      </c>
      <c r="EB115">
        <v>0</v>
      </c>
      <c r="EG115">
        <v>0</v>
      </c>
      <c r="EI115">
        <v>0</v>
      </c>
      <c r="EK115">
        <v>0</v>
      </c>
      <c r="EL115">
        <v>0</v>
      </c>
      <c r="EO115">
        <v>0</v>
      </c>
      <c r="EV115">
        <v>0</v>
      </c>
      <c r="FY115">
        <v>6.9913465415890632E-4</v>
      </c>
      <c r="FZ115">
        <v>4.9121805844509429E-3</v>
      </c>
      <c r="GA115">
        <v>7.6501656594612742E-3</v>
      </c>
      <c r="GB115">
        <v>3.0657094898614394E-3</v>
      </c>
      <c r="GC115">
        <v>1.8460717528265159E-2</v>
      </c>
      <c r="GD115">
        <v>2.9401831554491773E-4</v>
      </c>
      <c r="GE115">
        <v>5.7213520635260491E-4</v>
      </c>
      <c r="GG115">
        <v>3.116057253205282E-3</v>
      </c>
      <c r="GH115">
        <v>1.3630472619654034E-2</v>
      </c>
      <c r="GJ115">
        <v>1.808456214512609E-4</v>
      </c>
      <c r="GL115">
        <v>1.0858777717390128E-3</v>
      </c>
      <c r="GM115">
        <v>2.9185661712058955E-2</v>
      </c>
      <c r="GY115">
        <v>-4.6734982036021645E-2</v>
      </c>
      <c r="GZ115">
        <v>1.9263440374625411</v>
      </c>
      <c r="HA115">
        <v>14.489129518852403</v>
      </c>
    </row>
    <row r="116" spans="1:209" x14ac:dyDescent="0.75">
      <c r="A116" t="s">
        <v>332</v>
      </c>
      <c r="B116">
        <v>1.0974264940095037E-2</v>
      </c>
      <c r="C116">
        <v>2.381874399264346E-2</v>
      </c>
      <c r="D116">
        <v>7.9055998017639277E-4</v>
      </c>
      <c r="E116">
        <v>1.454612742061125E-2</v>
      </c>
      <c r="F116">
        <v>7.0678947620655817E-5</v>
      </c>
      <c r="G116">
        <v>2.2298102049133822E-2</v>
      </c>
      <c r="H116">
        <v>1.9851647460242559E-2</v>
      </c>
      <c r="I116">
        <v>1.644723192312034E-2</v>
      </c>
      <c r="J116">
        <v>2.7968799843361421E-3</v>
      </c>
      <c r="K116">
        <v>3.2226737830840485E-2</v>
      </c>
      <c r="L116">
        <v>3.154071479645791E-3</v>
      </c>
      <c r="M116">
        <v>2.1300930237519347E-2</v>
      </c>
      <c r="N116">
        <v>7.2004172865495243E-3</v>
      </c>
      <c r="O116">
        <v>1.3108057403738167E-2</v>
      </c>
      <c r="P116">
        <v>2.3779871479609744E-3</v>
      </c>
      <c r="Q116">
        <v>2.2236652682673321E-3</v>
      </c>
      <c r="R116">
        <v>2.7558540099425766E-2</v>
      </c>
      <c r="S116">
        <v>9.05407912404004E-3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1.9201275515352303</v>
      </c>
      <c r="AK116">
        <v>7.5087275289584237E-3</v>
      </c>
      <c r="AL116">
        <v>0</v>
      </c>
      <c r="AM116">
        <v>5.3687022880795549E-2</v>
      </c>
      <c r="AN116">
        <v>0</v>
      </c>
      <c r="AO116">
        <v>0</v>
      </c>
      <c r="AP116">
        <v>0.14544992192073525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0.36336593640884424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7.2831810595326729E-2</v>
      </c>
      <c r="FZ116">
        <v>0.14242471286121913</v>
      </c>
      <c r="GA116">
        <v>0.22218338766677137</v>
      </c>
      <c r="GB116">
        <v>0.32570792469480564</v>
      </c>
      <c r="GC116">
        <v>0.32317118774841153</v>
      </c>
      <c r="GD116">
        <v>4.7824369663122309E-3</v>
      </c>
      <c r="GE116">
        <v>8.1180680749672624E-3</v>
      </c>
      <c r="GF116">
        <v>1.3249129077928508E-2</v>
      </c>
      <c r="GG116">
        <v>2.0399617527930278E-2</v>
      </c>
      <c r="GH116">
        <v>9.9375531760812888E-2</v>
      </c>
      <c r="GI116">
        <v>4.2331439917747968E-3</v>
      </c>
      <c r="GJ116">
        <v>9.0364417633846915E-3</v>
      </c>
      <c r="GK116">
        <v>1.4309799094425183E-2</v>
      </c>
      <c r="GL116">
        <v>2.6988631041447768E-2</v>
      </c>
      <c r="GM116">
        <v>0.14748288932182552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7.2265142538381899E-2</v>
      </c>
      <c r="GZ116">
        <v>3.9418589627841798</v>
      </c>
      <c r="HA116">
        <v>8.1683567003604356</v>
      </c>
    </row>
    <row r="117" spans="1:209" x14ac:dyDescent="0.75">
      <c r="A117" t="s">
        <v>510</v>
      </c>
      <c r="AC117">
        <v>0</v>
      </c>
      <c r="AF117">
        <v>0</v>
      </c>
      <c r="AI117">
        <v>0</v>
      </c>
      <c r="AK117">
        <v>9.1951916414672236E-2</v>
      </c>
      <c r="AM117">
        <v>0.65719482919918926</v>
      </c>
      <c r="AP117">
        <v>1.6577978352673668</v>
      </c>
      <c r="AQ117">
        <v>0</v>
      </c>
      <c r="BA117">
        <v>0</v>
      </c>
      <c r="BF117">
        <v>0</v>
      </c>
      <c r="BH117">
        <v>0</v>
      </c>
      <c r="BJ117">
        <v>0</v>
      </c>
      <c r="BK117">
        <v>0</v>
      </c>
      <c r="BM117">
        <v>6.4779805381425595E-2</v>
      </c>
      <c r="BN117">
        <v>0</v>
      </c>
      <c r="BU117">
        <v>0</v>
      </c>
      <c r="DF117">
        <v>0</v>
      </c>
      <c r="DI117">
        <v>0</v>
      </c>
      <c r="DL117">
        <v>0</v>
      </c>
      <c r="DT117">
        <v>0</v>
      </c>
      <c r="DU117">
        <v>0</v>
      </c>
      <c r="EB117">
        <v>0</v>
      </c>
      <c r="EG117">
        <v>0</v>
      </c>
      <c r="EI117">
        <v>0</v>
      </c>
      <c r="EK117">
        <v>0</v>
      </c>
      <c r="EL117">
        <v>0</v>
      </c>
      <c r="EO117">
        <v>0</v>
      </c>
      <c r="EV117">
        <v>0</v>
      </c>
      <c r="FY117">
        <v>0.15157965765619658</v>
      </c>
      <c r="FZ117">
        <v>0.46133314789312002</v>
      </c>
      <c r="GA117">
        <v>0.94241755338339062</v>
      </c>
      <c r="GB117">
        <v>2.2153203728678141</v>
      </c>
      <c r="GC117">
        <v>4.3779897709530822</v>
      </c>
      <c r="GD117">
        <v>1.8782043400460621E-2</v>
      </c>
      <c r="GE117">
        <v>6.7010110792498065E-2</v>
      </c>
      <c r="GF117">
        <v>0.11279213959307863</v>
      </c>
      <c r="GG117">
        <v>0.54976870445633097</v>
      </c>
      <c r="GH117">
        <v>3.2578034454450431</v>
      </c>
      <c r="GI117">
        <v>5.4130671729792926E-2</v>
      </c>
      <c r="GJ117">
        <v>5.2163989676378253E-2</v>
      </c>
      <c r="GK117">
        <v>0.18343013349252812</v>
      </c>
      <c r="GL117">
        <v>0.32604992795283982</v>
      </c>
      <c r="GM117">
        <v>9.8449244159119118</v>
      </c>
      <c r="HA117">
        <v>25.08722047146712</v>
      </c>
    </row>
    <row r="118" spans="1:209" x14ac:dyDescent="0.75">
      <c r="A118" t="s">
        <v>511</v>
      </c>
      <c r="B118">
        <v>0.38223366662092489</v>
      </c>
      <c r="C118">
        <v>0.82717316482658365</v>
      </c>
      <c r="D118">
        <v>2.7604807569803245E-2</v>
      </c>
      <c r="E118">
        <v>0.50608732388939148</v>
      </c>
      <c r="F118">
        <v>2.4682531638101904E-3</v>
      </c>
      <c r="G118">
        <v>0.77444024356715879</v>
      </c>
      <c r="H118">
        <v>0.68989077984349789</v>
      </c>
      <c r="I118">
        <v>0.5719898716942281</v>
      </c>
      <c r="J118">
        <v>9.761829943107718E-2</v>
      </c>
      <c r="K118">
        <v>1.1164818661208162</v>
      </c>
      <c r="L118">
        <v>0.11001750140529458</v>
      </c>
      <c r="M118">
        <v>0.73998499329058021</v>
      </c>
      <c r="N118">
        <v>0.25098052220432482</v>
      </c>
      <c r="O118">
        <v>0.45630489972732108</v>
      </c>
      <c r="P118">
        <v>8.3009839724036721E-2</v>
      </c>
      <c r="Q118">
        <v>7.762505895025254E-2</v>
      </c>
      <c r="R118">
        <v>0.95604715775045357</v>
      </c>
      <c r="S118">
        <v>0.31701455368441867</v>
      </c>
      <c r="AC118">
        <v>0</v>
      </c>
      <c r="AF118">
        <v>0</v>
      </c>
      <c r="AI118">
        <v>0</v>
      </c>
      <c r="AK118">
        <v>0.16811458212619557</v>
      </c>
      <c r="AM118">
        <v>1.1926099782441504</v>
      </c>
      <c r="AP118">
        <v>2.9670777676022553</v>
      </c>
      <c r="AQ118">
        <v>0</v>
      </c>
      <c r="BA118">
        <v>0</v>
      </c>
      <c r="BF118">
        <v>0</v>
      </c>
      <c r="BH118">
        <v>0</v>
      </c>
      <c r="BJ118">
        <v>0</v>
      </c>
      <c r="BK118">
        <v>0</v>
      </c>
      <c r="BM118">
        <v>0.11848024187358465</v>
      </c>
      <c r="BN118">
        <v>0</v>
      </c>
      <c r="BU118">
        <v>0</v>
      </c>
      <c r="DF118">
        <v>0</v>
      </c>
      <c r="DI118">
        <v>0</v>
      </c>
      <c r="DL118">
        <v>0</v>
      </c>
      <c r="DT118">
        <v>0</v>
      </c>
      <c r="DU118">
        <v>0</v>
      </c>
      <c r="EB118">
        <v>0</v>
      </c>
      <c r="EG118">
        <v>0</v>
      </c>
      <c r="EI118">
        <v>0</v>
      </c>
      <c r="EK118">
        <v>0</v>
      </c>
      <c r="EL118">
        <v>0</v>
      </c>
      <c r="EO118">
        <v>0</v>
      </c>
      <c r="EV118">
        <v>0</v>
      </c>
      <c r="FY118">
        <v>1.9147616011365134E-2</v>
      </c>
      <c r="FZ118">
        <v>3.7964657921538157E-2</v>
      </c>
      <c r="GA118">
        <v>9.3462825028003543E-2</v>
      </c>
      <c r="GB118">
        <v>0.1823216847034852</v>
      </c>
      <c r="GC118">
        <v>0.67729765171844647</v>
      </c>
      <c r="GD118">
        <v>2.063215864545801E-3</v>
      </c>
      <c r="GE118">
        <v>1.3651800832666894E-2</v>
      </c>
      <c r="GF118">
        <v>6.3403633022882985E-3</v>
      </c>
      <c r="GG118">
        <v>6.3525371620083648E-2</v>
      </c>
      <c r="GH118">
        <v>0.60134219478986917</v>
      </c>
      <c r="GI118">
        <v>1.1898893311621181E-3</v>
      </c>
      <c r="GJ118">
        <v>3.6501716211572942E-3</v>
      </c>
      <c r="GK118">
        <v>1.4118771452629957E-2</v>
      </c>
      <c r="GL118">
        <v>5.3760028844386305E-2</v>
      </c>
      <c r="GM118">
        <v>1.5611230162482392</v>
      </c>
      <c r="GY118">
        <v>1.1800483786415801E-2</v>
      </c>
      <c r="GZ118">
        <v>0.8062015590813213</v>
      </c>
      <c r="HA118">
        <v>16.582216675467759</v>
      </c>
    </row>
    <row r="119" spans="1:209" x14ac:dyDescent="0.75">
      <c r="A119" t="s">
        <v>333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0.50293064770185758</v>
      </c>
      <c r="AJ119">
        <v>0</v>
      </c>
      <c r="AK119">
        <v>5.37370561622472E-2</v>
      </c>
      <c r="AL119">
        <v>0</v>
      </c>
      <c r="AM119">
        <v>0</v>
      </c>
      <c r="AN119">
        <v>0</v>
      </c>
      <c r="AO119">
        <v>0</v>
      </c>
      <c r="AP119">
        <v>0.7898905225154913</v>
      </c>
      <c r="AQ119">
        <v>0.11685380515440554</v>
      </c>
      <c r="AR119">
        <v>0</v>
      </c>
      <c r="AS119">
        <v>0</v>
      </c>
      <c r="AT119">
        <v>7.7200566678584925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3.045727591832654E-5</v>
      </c>
      <c r="BA119">
        <v>1.6703418637925682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0.89460847262697429</v>
      </c>
      <c r="BH119">
        <v>0</v>
      </c>
      <c r="BI119">
        <v>18.553101992766127</v>
      </c>
      <c r="BJ119">
        <v>0</v>
      </c>
      <c r="BK119">
        <v>0</v>
      </c>
      <c r="BL119">
        <v>0</v>
      </c>
      <c r="BM119">
        <v>13.551815436681474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0.34196662210223083</v>
      </c>
      <c r="FZ119">
        <v>0.67643180930101665</v>
      </c>
      <c r="GA119">
        <v>1.16317103157152</v>
      </c>
      <c r="GB119">
        <v>2.3594792391544748</v>
      </c>
      <c r="GC119">
        <v>4.1479476503226431</v>
      </c>
      <c r="GD119">
        <v>0.17429591470971384</v>
      </c>
      <c r="GE119">
        <v>0.32071264664823201</v>
      </c>
      <c r="GF119">
        <v>0.53423097379277029</v>
      </c>
      <c r="GG119">
        <v>1.1509908875408661</v>
      </c>
      <c r="GH119">
        <v>4.0565153656262529</v>
      </c>
      <c r="GI119">
        <v>0.34506877268643077</v>
      </c>
      <c r="GJ119">
        <v>0.58225580588870174</v>
      </c>
      <c r="GK119">
        <v>1.3382988232856903</v>
      </c>
      <c r="GL119">
        <v>3.4897307386156942</v>
      </c>
      <c r="GM119">
        <v>17.485206243475325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1.8434577329098947</v>
      </c>
      <c r="GX119">
        <v>0.95911177401361647</v>
      </c>
      <c r="GY119">
        <v>-4.1670165195386921E-4</v>
      </c>
      <c r="GZ119">
        <v>9.7013065571622717E-2</v>
      </c>
      <c r="HA119">
        <v>84.918835318100292</v>
      </c>
    </row>
    <row r="120" spans="1:209" x14ac:dyDescent="0.75">
      <c r="A120" t="s">
        <v>334</v>
      </c>
      <c r="AC120">
        <v>0</v>
      </c>
      <c r="AF120">
        <v>0</v>
      </c>
      <c r="AI120">
        <v>0</v>
      </c>
      <c r="AP120">
        <v>0</v>
      </c>
      <c r="AQ120">
        <v>0</v>
      </c>
      <c r="BA120">
        <v>0</v>
      </c>
      <c r="BF120">
        <v>0</v>
      </c>
      <c r="BH120">
        <v>0</v>
      </c>
      <c r="BJ120">
        <v>0</v>
      </c>
      <c r="BK120">
        <v>0</v>
      </c>
      <c r="BM120">
        <v>0.8726678361880259</v>
      </c>
      <c r="BN120">
        <v>0</v>
      </c>
      <c r="BU120">
        <v>0</v>
      </c>
      <c r="DF120">
        <v>0</v>
      </c>
      <c r="DI120">
        <v>0</v>
      </c>
      <c r="DL120">
        <v>0</v>
      </c>
      <c r="DT120">
        <v>0</v>
      </c>
      <c r="DU120">
        <v>0</v>
      </c>
      <c r="EB120">
        <v>0</v>
      </c>
      <c r="EG120">
        <v>0</v>
      </c>
      <c r="EI120">
        <v>0</v>
      </c>
      <c r="EK120">
        <v>0</v>
      </c>
      <c r="EL120">
        <v>0</v>
      </c>
      <c r="EO120">
        <v>0</v>
      </c>
      <c r="EV120">
        <v>0</v>
      </c>
      <c r="FY120">
        <v>1.2454867139464669</v>
      </c>
      <c r="FZ120">
        <v>1.7264567745468262</v>
      </c>
      <c r="GA120">
        <v>2.3171021746324238</v>
      </c>
      <c r="GB120">
        <v>3.9338899236379845</v>
      </c>
      <c r="GC120">
        <v>6.4123702151205224</v>
      </c>
      <c r="GD120">
        <v>7.2365869918969636E-2</v>
      </c>
      <c r="GE120">
        <v>0.1372142015200683</v>
      </c>
      <c r="GF120">
        <v>0.41501216774845495</v>
      </c>
      <c r="GG120">
        <v>0.87094144352595282</v>
      </c>
      <c r="GH120">
        <v>4.9738725821152725</v>
      </c>
      <c r="GI120">
        <v>2.7305100351309508E-2</v>
      </c>
      <c r="GJ120">
        <v>3.139948048673312E-2</v>
      </c>
      <c r="GK120">
        <v>0.11082519535594018</v>
      </c>
      <c r="GL120">
        <v>0.42090613071339544</v>
      </c>
      <c r="GM120">
        <v>8.1406084232474001</v>
      </c>
      <c r="GY120">
        <v>-4.8326907389715762E-2</v>
      </c>
      <c r="HA120">
        <v>31.66009732566603</v>
      </c>
    </row>
    <row r="121" spans="1:209" x14ac:dyDescent="0.75">
      <c r="A121" t="s">
        <v>516</v>
      </c>
      <c r="AC121">
        <v>0</v>
      </c>
      <c r="AF121">
        <v>0</v>
      </c>
      <c r="AI121">
        <v>0.17347611844381203</v>
      </c>
      <c r="AP121">
        <v>0.19227664102785355</v>
      </c>
      <c r="AQ121">
        <v>0</v>
      </c>
      <c r="BA121">
        <v>0</v>
      </c>
      <c r="BB121">
        <v>0.11225741021653371</v>
      </c>
      <c r="BF121">
        <v>0</v>
      </c>
      <c r="BH121">
        <v>0</v>
      </c>
      <c r="BJ121">
        <v>0</v>
      </c>
      <c r="BK121">
        <v>0</v>
      </c>
      <c r="BM121">
        <v>2.3974414610698025</v>
      </c>
      <c r="BN121">
        <v>0</v>
      </c>
      <c r="BU121">
        <v>0</v>
      </c>
      <c r="DF121">
        <v>0</v>
      </c>
      <c r="DI121">
        <v>0</v>
      </c>
      <c r="DL121">
        <v>0</v>
      </c>
      <c r="DT121">
        <v>0</v>
      </c>
      <c r="DU121">
        <v>0</v>
      </c>
      <c r="EB121">
        <v>0</v>
      </c>
      <c r="EG121">
        <v>0</v>
      </c>
      <c r="EI121">
        <v>0</v>
      </c>
      <c r="EK121">
        <v>0</v>
      </c>
      <c r="EL121">
        <v>0</v>
      </c>
      <c r="EO121">
        <v>0</v>
      </c>
      <c r="EV121">
        <v>0</v>
      </c>
      <c r="GY121">
        <v>0.2878922627448473</v>
      </c>
      <c r="GZ121">
        <v>3.6068146513179916E-3</v>
      </c>
      <c r="HA121">
        <v>3.1669507081541672</v>
      </c>
    </row>
    <row r="122" spans="1:209" x14ac:dyDescent="0.75">
      <c r="A122" t="s">
        <v>517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1.3946341246147775</v>
      </c>
      <c r="AJ122">
        <v>0</v>
      </c>
      <c r="AK122">
        <v>0.22237156687220608</v>
      </c>
      <c r="AL122">
        <v>0</v>
      </c>
      <c r="AM122">
        <v>0</v>
      </c>
      <c r="AN122">
        <v>0</v>
      </c>
      <c r="AO122">
        <v>0</v>
      </c>
      <c r="AP122">
        <v>0.60253258854974634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3.7553456702247003</v>
      </c>
      <c r="BA122">
        <v>7.5027689542260525</v>
      </c>
      <c r="BB122">
        <v>45.769777855388185</v>
      </c>
      <c r="BC122">
        <v>0</v>
      </c>
      <c r="BD122">
        <v>0</v>
      </c>
      <c r="BE122">
        <v>2.9183011695285282E-2</v>
      </c>
      <c r="BF122">
        <v>0</v>
      </c>
      <c r="BG122">
        <v>0</v>
      </c>
      <c r="BH122">
        <v>0</v>
      </c>
      <c r="BI122">
        <v>83.833125194012283</v>
      </c>
      <c r="BJ122">
        <v>4.1594078081259882</v>
      </c>
      <c r="BK122">
        <v>8.6040728823234783E-2</v>
      </c>
      <c r="BL122">
        <v>0</v>
      </c>
      <c r="BM122">
        <v>0.41923448021809812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0.15518780296787657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-0.55870524328130255</v>
      </c>
      <c r="GZ122">
        <v>235.65526220226192</v>
      </c>
      <c r="HA122">
        <v>383.02616674469903</v>
      </c>
    </row>
    <row r="123" spans="1:209" x14ac:dyDescent="0.75">
      <c r="A123" t="s">
        <v>518</v>
      </c>
      <c r="AC123">
        <v>0</v>
      </c>
      <c r="AF123">
        <v>0</v>
      </c>
      <c r="AI123">
        <v>0</v>
      </c>
      <c r="AP123">
        <v>0</v>
      </c>
      <c r="AQ123">
        <v>0</v>
      </c>
      <c r="BA123">
        <v>0</v>
      </c>
      <c r="BF123">
        <v>0</v>
      </c>
      <c r="BH123">
        <v>0</v>
      </c>
      <c r="BJ123">
        <v>0</v>
      </c>
      <c r="BK123">
        <v>0</v>
      </c>
      <c r="BM123">
        <v>10.038725397618256</v>
      </c>
      <c r="BN123">
        <v>0</v>
      </c>
      <c r="BU123">
        <v>0</v>
      </c>
      <c r="DF123">
        <v>0</v>
      </c>
      <c r="DI123">
        <v>0</v>
      </c>
      <c r="DL123">
        <v>0</v>
      </c>
      <c r="DT123">
        <v>0</v>
      </c>
      <c r="DU123">
        <v>0</v>
      </c>
      <c r="EB123">
        <v>0</v>
      </c>
      <c r="EG123">
        <v>0</v>
      </c>
      <c r="EI123">
        <v>0</v>
      </c>
      <c r="EK123">
        <v>0</v>
      </c>
      <c r="EL123">
        <v>0</v>
      </c>
      <c r="EO123">
        <v>0</v>
      </c>
      <c r="EV123">
        <v>0</v>
      </c>
      <c r="FY123">
        <v>0.6393707714097786</v>
      </c>
      <c r="FZ123">
        <v>2.0313520680143009</v>
      </c>
      <c r="GA123">
        <v>4.5551820933565992</v>
      </c>
      <c r="GB123">
        <v>9.2335516899689694</v>
      </c>
      <c r="GC123">
        <v>19.361437934506277</v>
      </c>
      <c r="GD123">
        <v>0.12117880488008002</v>
      </c>
      <c r="GE123">
        <v>0.26333888081866458</v>
      </c>
      <c r="GF123">
        <v>0.50232605107514894</v>
      </c>
      <c r="GG123">
        <v>1.5104597420355219</v>
      </c>
      <c r="GH123">
        <v>11.597359387888165</v>
      </c>
      <c r="GI123">
        <v>0.19785956054743256</v>
      </c>
      <c r="GJ123">
        <v>0.33882843438565663</v>
      </c>
      <c r="GK123">
        <v>0.78131764325479813</v>
      </c>
      <c r="GL123">
        <v>1.5870615571954589</v>
      </c>
      <c r="GM123">
        <v>24.374221681977513</v>
      </c>
      <c r="GY123">
        <v>1.9811270394018293E-2</v>
      </c>
      <c r="GZ123">
        <v>10.749944430010641</v>
      </c>
      <c r="HA123">
        <v>97.903327399337272</v>
      </c>
    </row>
    <row r="124" spans="1:209" x14ac:dyDescent="0.75">
      <c r="A124" t="s">
        <v>519</v>
      </c>
      <c r="AC124">
        <v>0</v>
      </c>
      <c r="AF124">
        <v>0</v>
      </c>
      <c r="AI124">
        <v>0</v>
      </c>
      <c r="AP124">
        <v>0</v>
      </c>
      <c r="AQ124">
        <v>0</v>
      </c>
      <c r="BA124">
        <v>0</v>
      </c>
      <c r="BF124">
        <v>0</v>
      </c>
      <c r="BH124">
        <v>0</v>
      </c>
      <c r="BJ124">
        <v>0</v>
      </c>
      <c r="BK124">
        <v>0</v>
      </c>
      <c r="BN124">
        <v>0</v>
      </c>
      <c r="BU124">
        <v>0</v>
      </c>
      <c r="DF124">
        <v>0</v>
      </c>
      <c r="DI124">
        <v>0</v>
      </c>
      <c r="DL124">
        <v>0</v>
      </c>
      <c r="DT124">
        <v>0</v>
      </c>
      <c r="DU124">
        <v>0</v>
      </c>
      <c r="EB124">
        <v>0</v>
      </c>
      <c r="EG124">
        <v>0</v>
      </c>
      <c r="EI124">
        <v>0</v>
      </c>
      <c r="EK124">
        <v>0</v>
      </c>
      <c r="EL124">
        <v>0</v>
      </c>
      <c r="EO124">
        <v>0</v>
      </c>
      <c r="EV124">
        <v>0</v>
      </c>
      <c r="FY124">
        <v>0.72643474568526178</v>
      </c>
      <c r="FZ124">
        <v>1.0368329893062369</v>
      </c>
      <c r="GA124">
        <v>1.4744549662637465</v>
      </c>
      <c r="GB124">
        <v>1.8691717213828944</v>
      </c>
      <c r="GC124">
        <v>2.0352396515342228</v>
      </c>
      <c r="GD124">
        <v>8.4608518353197548E-2</v>
      </c>
      <c r="GE124">
        <v>9.8046713531370996E-2</v>
      </c>
      <c r="GF124">
        <v>0.21169661866007239</v>
      </c>
      <c r="GG124">
        <v>0.30193518926762369</v>
      </c>
      <c r="GH124">
        <v>0.71924764698467192</v>
      </c>
      <c r="GI124">
        <v>5.5352979710875314E-2</v>
      </c>
      <c r="GJ124">
        <v>7.0773437123693189E-2</v>
      </c>
      <c r="GK124">
        <v>0.13430267971561741</v>
      </c>
      <c r="GL124">
        <v>0.32415689113733087</v>
      </c>
      <c r="GM124">
        <v>1.3318994479564992</v>
      </c>
      <c r="GY124">
        <v>-0.27365834523948862</v>
      </c>
      <c r="GZ124">
        <v>17.346088056226922</v>
      </c>
      <c r="HA124">
        <v>27.546583907600748</v>
      </c>
    </row>
    <row r="125" spans="1:209" x14ac:dyDescent="0.75">
      <c r="A125" t="s">
        <v>520</v>
      </c>
      <c r="AC125">
        <v>0</v>
      </c>
      <c r="AF125">
        <v>0</v>
      </c>
      <c r="AI125">
        <v>0</v>
      </c>
      <c r="AP125">
        <v>0</v>
      </c>
      <c r="AQ125">
        <v>0</v>
      </c>
      <c r="BA125">
        <v>0</v>
      </c>
      <c r="BF125">
        <v>0</v>
      </c>
      <c r="BH125">
        <v>0</v>
      </c>
      <c r="BJ125">
        <v>0</v>
      </c>
      <c r="BK125">
        <v>0</v>
      </c>
      <c r="BM125">
        <v>0.11747783312801816</v>
      </c>
      <c r="BN125">
        <v>0</v>
      </c>
      <c r="BU125">
        <v>0</v>
      </c>
      <c r="DF125">
        <v>0</v>
      </c>
      <c r="DI125">
        <v>0</v>
      </c>
      <c r="DL125">
        <v>0</v>
      </c>
      <c r="DT125">
        <v>0</v>
      </c>
      <c r="DU125">
        <v>0</v>
      </c>
      <c r="EB125">
        <v>0</v>
      </c>
      <c r="EG125">
        <v>0</v>
      </c>
      <c r="EI125">
        <v>0</v>
      </c>
      <c r="EK125">
        <v>0</v>
      </c>
      <c r="EL125">
        <v>0</v>
      </c>
      <c r="EO125">
        <v>0</v>
      </c>
      <c r="EV125">
        <v>0</v>
      </c>
      <c r="FY125">
        <v>3.8484401624629336E-2</v>
      </c>
      <c r="FZ125">
        <v>0.11829665725717832</v>
      </c>
      <c r="GA125">
        <v>0.24099991507755633</v>
      </c>
      <c r="GB125">
        <v>0.59239253478282805</v>
      </c>
      <c r="GC125">
        <v>2.2861571127568396</v>
      </c>
      <c r="GE125">
        <v>4.7865168268781217E-3</v>
      </c>
      <c r="GF125">
        <v>6.7362987705506611E-2</v>
      </c>
      <c r="GG125">
        <v>0.1670532702968599</v>
      </c>
      <c r="GH125">
        <v>5.9845511660085808</v>
      </c>
      <c r="GI125">
        <v>1.2294942531712909E-2</v>
      </c>
      <c r="GJ125">
        <v>1.8447931545951358E-2</v>
      </c>
      <c r="GK125">
        <v>0.11983317958599092</v>
      </c>
      <c r="GL125">
        <v>0.83974012191809755</v>
      </c>
      <c r="GM125">
        <v>13.183413139442091</v>
      </c>
      <c r="GY125">
        <v>0.19068210400247843</v>
      </c>
      <c r="GZ125">
        <v>2.2472610019647883</v>
      </c>
      <c r="HA125">
        <v>26.229234816455985</v>
      </c>
    </row>
    <row r="126" spans="1:209" x14ac:dyDescent="0.75">
      <c r="A126" t="s">
        <v>521</v>
      </c>
      <c r="AC126">
        <v>0</v>
      </c>
      <c r="AF126">
        <v>0</v>
      </c>
      <c r="AI126">
        <v>0</v>
      </c>
      <c r="AP126">
        <v>9.0282391269396882</v>
      </c>
      <c r="AQ126">
        <v>0</v>
      </c>
      <c r="BA126">
        <v>0</v>
      </c>
      <c r="BF126">
        <v>0</v>
      </c>
      <c r="BH126">
        <v>0</v>
      </c>
      <c r="BJ126">
        <v>0</v>
      </c>
      <c r="BK126">
        <v>0</v>
      </c>
      <c r="BM126">
        <v>6.2366193485062835</v>
      </c>
      <c r="BN126">
        <v>0</v>
      </c>
      <c r="BU126">
        <v>0</v>
      </c>
      <c r="DF126">
        <v>0</v>
      </c>
      <c r="DI126">
        <v>0</v>
      </c>
      <c r="DL126">
        <v>0</v>
      </c>
      <c r="DT126">
        <v>0</v>
      </c>
      <c r="DU126">
        <v>0</v>
      </c>
      <c r="EB126">
        <v>0</v>
      </c>
      <c r="EG126">
        <v>0</v>
      </c>
      <c r="EI126">
        <v>0</v>
      </c>
      <c r="EK126">
        <v>0</v>
      </c>
      <c r="EL126">
        <v>0</v>
      </c>
      <c r="EO126">
        <v>0</v>
      </c>
      <c r="EV126">
        <v>0</v>
      </c>
      <c r="FY126">
        <v>3.7524213682186875</v>
      </c>
      <c r="FZ126">
        <v>6.4542843765833702</v>
      </c>
      <c r="GA126">
        <v>9.7099847410791202</v>
      </c>
      <c r="GB126">
        <v>13.778790387003919</v>
      </c>
      <c r="GC126">
        <v>16.194102834644923</v>
      </c>
      <c r="GD126">
        <v>0.40932699383877147</v>
      </c>
      <c r="GE126">
        <v>0.57313196311184922</v>
      </c>
      <c r="GF126">
        <v>1.0116500160538036</v>
      </c>
      <c r="GG126">
        <v>1.6427012564108707</v>
      </c>
      <c r="GH126">
        <v>7.2107320875995002</v>
      </c>
      <c r="GI126">
        <v>0.37408193718352889</v>
      </c>
      <c r="GJ126">
        <v>0.55341876987815231</v>
      </c>
      <c r="GK126">
        <v>0.8593039426844058</v>
      </c>
      <c r="GL126">
        <v>2.09641693023999</v>
      </c>
      <c r="GM126">
        <v>13.124564293012753</v>
      </c>
      <c r="GY126">
        <v>-1.4786752244488364</v>
      </c>
      <c r="GZ126">
        <v>24.607155334923192</v>
      </c>
      <c r="HA126">
        <v>116.13825048346399</v>
      </c>
    </row>
    <row r="127" spans="1:209" x14ac:dyDescent="0.75">
      <c r="A127" t="s">
        <v>522</v>
      </c>
      <c r="AC127">
        <v>0</v>
      </c>
      <c r="AF127">
        <v>0</v>
      </c>
      <c r="AI127">
        <v>0</v>
      </c>
      <c r="AP127">
        <v>0</v>
      </c>
      <c r="AQ127">
        <v>0</v>
      </c>
      <c r="BA127">
        <v>0</v>
      </c>
      <c r="BF127">
        <v>0</v>
      </c>
      <c r="BH127">
        <v>0</v>
      </c>
      <c r="BJ127">
        <v>0</v>
      </c>
      <c r="BK127">
        <v>0</v>
      </c>
      <c r="BM127">
        <v>2.117163115676314</v>
      </c>
      <c r="BN127">
        <v>0</v>
      </c>
      <c r="BU127">
        <v>0</v>
      </c>
      <c r="DF127">
        <v>0</v>
      </c>
      <c r="DI127">
        <v>0</v>
      </c>
      <c r="DL127">
        <v>0</v>
      </c>
      <c r="DT127">
        <v>0</v>
      </c>
      <c r="DU127">
        <v>0</v>
      </c>
      <c r="EB127">
        <v>0</v>
      </c>
      <c r="EG127">
        <v>0</v>
      </c>
      <c r="EI127">
        <v>0</v>
      </c>
      <c r="EK127">
        <v>0</v>
      </c>
      <c r="EL127">
        <v>0</v>
      </c>
      <c r="EO127">
        <v>0</v>
      </c>
      <c r="EV127">
        <v>0</v>
      </c>
      <c r="FY127">
        <v>0.21503103216560332</v>
      </c>
      <c r="FZ127">
        <v>0.45184761446299604</v>
      </c>
      <c r="GA127">
        <v>1.0719996230360451</v>
      </c>
      <c r="GB127">
        <v>1.7281144392391006</v>
      </c>
      <c r="GC127">
        <v>2.826947727932819</v>
      </c>
      <c r="GD127">
        <v>2.4390078739314732E-3</v>
      </c>
      <c r="GE127">
        <v>3.9563624467142781E-2</v>
      </c>
      <c r="GF127">
        <v>7.0893701947121621E-2</v>
      </c>
      <c r="GG127">
        <v>0.1321480906082457</v>
      </c>
      <c r="GH127">
        <v>1.4389482644866203</v>
      </c>
      <c r="GI127">
        <v>7.7012438766211298E-3</v>
      </c>
      <c r="GJ127">
        <v>1.0826449353980128E-2</v>
      </c>
      <c r="GK127">
        <v>4.8057893290695652E-2</v>
      </c>
      <c r="GL127">
        <v>0.15281214398173593</v>
      </c>
      <c r="GM127">
        <v>3.1537689343960404</v>
      </c>
      <c r="GY127">
        <v>-0.34975183164088058</v>
      </c>
      <c r="GZ127">
        <v>5.7021032216883407</v>
      </c>
      <c r="HA127">
        <v>18.820614296842475</v>
      </c>
    </row>
    <row r="128" spans="1:209" x14ac:dyDescent="0.75">
      <c r="A128" t="s">
        <v>527</v>
      </c>
      <c r="AC128">
        <v>0</v>
      </c>
      <c r="AF128">
        <v>0</v>
      </c>
      <c r="AI128">
        <v>0</v>
      </c>
      <c r="AN128">
        <v>23.892441309805015</v>
      </c>
      <c r="AP128">
        <v>26.336266828651993</v>
      </c>
      <c r="AQ128">
        <v>0.59995173405219748</v>
      </c>
      <c r="BA128">
        <v>0</v>
      </c>
      <c r="BF128">
        <v>0</v>
      </c>
      <c r="BH128">
        <v>0</v>
      </c>
      <c r="BJ128">
        <v>0.45136216784863303</v>
      </c>
      <c r="BK128">
        <v>0</v>
      </c>
      <c r="BM128">
        <v>7.3609888817334896</v>
      </c>
      <c r="BN128">
        <v>0</v>
      </c>
      <c r="BU128">
        <v>0</v>
      </c>
      <c r="DF128">
        <v>0</v>
      </c>
      <c r="DI128">
        <v>0</v>
      </c>
      <c r="DL128">
        <v>0</v>
      </c>
      <c r="DT128">
        <v>0</v>
      </c>
      <c r="DU128">
        <v>0</v>
      </c>
      <c r="EB128">
        <v>0</v>
      </c>
      <c r="EG128">
        <v>0</v>
      </c>
      <c r="EI128">
        <v>0</v>
      </c>
      <c r="EK128">
        <v>0</v>
      </c>
      <c r="EL128">
        <v>0</v>
      </c>
      <c r="EO128">
        <v>0</v>
      </c>
      <c r="EV128">
        <v>0</v>
      </c>
      <c r="FY128">
        <v>17.652364230232212</v>
      </c>
      <c r="FZ128">
        <v>27.656258765121116</v>
      </c>
      <c r="GA128">
        <v>36.471837556035418</v>
      </c>
      <c r="GB128">
        <v>50.814424679928159</v>
      </c>
      <c r="GC128">
        <v>63.333019934541149</v>
      </c>
      <c r="GD128">
        <v>1.6687491452698189</v>
      </c>
      <c r="GE128">
        <v>2.5781283993503101</v>
      </c>
      <c r="GF128">
        <v>3.599562909596651</v>
      </c>
      <c r="GG128">
        <v>6.3500904240280169</v>
      </c>
      <c r="GH128">
        <v>27.288059548530061</v>
      </c>
      <c r="GI128">
        <v>1.9132578552218682</v>
      </c>
      <c r="GJ128">
        <v>2.6227437918689747</v>
      </c>
      <c r="GK128">
        <v>4.3643963068590121</v>
      </c>
      <c r="GL128">
        <v>10.351030425102115</v>
      </c>
      <c r="GM128">
        <v>53.78226657273639</v>
      </c>
      <c r="GY128">
        <v>6.0724157173555628</v>
      </c>
      <c r="GZ128">
        <v>42.622653534242986</v>
      </c>
      <c r="HA128">
        <v>417.78227071811108</v>
      </c>
    </row>
    <row r="129" spans="1:209" x14ac:dyDescent="0.75">
      <c r="A129" t="s">
        <v>531</v>
      </c>
      <c r="Z129">
        <v>4.4822088330798593</v>
      </c>
      <c r="AA129">
        <v>2.5362718964172606</v>
      </c>
      <c r="AB129">
        <v>0.71869588776029281</v>
      </c>
      <c r="AC129">
        <v>0.19319558070739881</v>
      </c>
      <c r="AD129">
        <v>0.53160389375039507</v>
      </c>
      <c r="AE129">
        <v>0.23061269701315976</v>
      </c>
      <c r="AF129">
        <v>0</v>
      </c>
      <c r="AG129">
        <v>0.97626606927441661</v>
      </c>
      <c r="AI129">
        <v>0</v>
      </c>
      <c r="AP129">
        <v>0</v>
      </c>
      <c r="AQ129">
        <v>0</v>
      </c>
      <c r="BA129">
        <v>0</v>
      </c>
      <c r="BF129">
        <v>0</v>
      </c>
      <c r="BH129">
        <v>0</v>
      </c>
      <c r="BJ129">
        <v>0</v>
      </c>
      <c r="BK129">
        <v>0</v>
      </c>
      <c r="BN129">
        <v>0</v>
      </c>
      <c r="BU129">
        <v>0</v>
      </c>
      <c r="DF129">
        <v>0</v>
      </c>
      <c r="DI129">
        <v>0</v>
      </c>
      <c r="DL129">
        <v>0</v>
      </c>
      <c r="DT129">
        <v>0</v>
      </c>
      <c r="DU129">
        <v>0</v>
      </c>
      <c r="EB129">
        <v>0</v>
      </c>
      <c r="EG129">
        <v>0</v>
      </c>
      <c r="EI129">
        <v>0</v>
      </c>
      <c r="EK129">
        <v>0</v>
      </c>
      <c r="EL129">
        <v>0</v>
      </c>
      <c r="EO129">
        <v>0</v>
      </c>
      <c r="EV129">
        <v>0</v>
      </c>
      <c r="GY129">
        <v>-3.0359018234370132E-13</v>
      </c>
      <c r="HA129">
        <v>9.6688548580024776</v>
      </c>
    </row>
    <row r="130" spans="1:209" x14ac:dyDescent="0.75">
      <c r="A130" t="s">
        <v>61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0.12492978252552688</v>
      </c>
      <c r="AL130">
        <v>0</v>
      </c>
      <c r="AM130">
        <v>5.5120047117952028E-2</v>
      </c>
      <c r="AN130">
        <v>0</v>
      </c>
      <c r="AO130">
        <v>0</v>
      </c>
      <c r="AP130">
        <v>5.3654481747996137</v>
      </c>
      <c r="AQ130">
        <v>15.877826384017631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7.0407926335845847E-3</v>
      </c>
      <c r="BG130">
        <v>0</v>
      </c>
      <c r="BH130">
        <v>0</v>
      </c>
      <c r="BI130">
        <v>9.9290784923712655E-2</v>
      </c>
      <c r="BJ130">
        <v>0.39337763955822314</v>
      </c>
      <c r="BK130">
        <v>0</v>
      </c>
      <c r="BL130">
        <v>0</v>
      </c>
      <c r="BM130">
        <v>27.657758111672791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0.24294557914250445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8.2174096267798351</v>
      </c>
      <c r="FZ130">
        <v>13.604567570707882</v>
      </c>
      <c r="GA130">
        <v>19.167869995119528</v>
      </c>
      <c r="GB130">
        <v>27.218840208377546</v>
      </c>
      <c r="GC130">
        <v>37.308816170169429</v>
      </c>
      <c r="GD130">
        <v>0.56457960030751075</v>
      </c>
      <c r="GE130">
        <v>0.85116193246896321</v>
      </c>
      <c r="GF130">
        <v>1.4781778013056661</v>
      </c>
      <c r="GG130">
        <v>2.9113204763324165</v>
      </c>
      <c r="GH130">
        <v>20.426595196591492</v>
      </c>
      <c r="GI130">
        <v>0.44890374396920707</v>
      </c>
      <c r="GJ130">
        <v>0.69151529950536383</v>
      </c>
      <c r="GK130">
        <v>1.3470315139302209</v>
      </c>
      <c r="GL130">
        <v>3.5101186063787928</v>
      </c>
      <c r="GM130">
        <v>48.166796367097689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11.203453554290565</v>
      </c>
      <c r="GZ130">
        <v>76.084118603199812</v>
      </c>
      <c r="HA130">
        <v>343.61658268183618</v>
      </c>
    </row>
    <row r="131" spans="1:209" x14ac:dyDescent="0.75">
      <c r="A131" t="s">
        <v>335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157.86636714458126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5.9384099196234983</v>
      </c>
      <c r="FZ131">
        <v>11.19632568369452</v>
      </c>
      <c r="GA131">
        <v>15.843911702205824</v>
      </c>
      <c r="GB131">
        <v>33.62437340102499</v>
      </c>
      <c r="GC131">
        <v>54.920977277292891</v>
      </c>
      <c r="GD131">
        <v>0.4799209218721463</v>
      </c>
      <c r="GE131">
        <v>1.2805768029972517</v>
      </c>
      <c r="GF131">
        <v>2.1354403555924923</v>
      </c>
      <c r="GG131">
        <v>9.526658493023044</v>
      </c>
      <c r="GH131">
        <v>59.082848456906305</v>
      </c>
      <c r="GI131">
        <v>0.15817458502239098</v>
      </c>
      <c r="GJ131">
        <v>1.2901764512429499</v>
      </c>
      <c r="GK131">
        <v>0.59036475966513946</v>
      </c>
      <c r="GL131">
        <v>1.6541168634105075</v>
      </c>
      <c r="GM131">
        <v>80.420341874387148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0.42638170112771628</v>
      </c>
      <c r="GZ131">
        <v>5.164187249606524</v>
      </c>
      <c r="HA131">
        <v>441.59955364327652</v>
      </c>
    </row>
    <row r="132" spans="1:209" x14ac:dyDescent="0.75">
      <c r="A132" t="s">
        <v>532</v>
      </c>
      <c r="AC132">
        <v>0</v>
      </c>
      <c r="AF132">
        <v>0</v>
      </c>
      <c r="AI132">
        <v>0</v>
      </c>
      <c r="AP132">
        <v>0</v>
      </c>
      <c r="AQ132">
        <v>0</v>
      </c>
      <c r="BA132">
        <v>0</v>
      </c>
      <c r="BF132">
        <v>0</v>
      </c>
      <c r="BH132">
        <v>0</v>
      </c>
      <c r="BJ132">
        <v>0</v>
      </c>
      <c r="BK132">
        <v>0</v>
      </c>
      <c r="BM132">
        <v>1.8111088234756345</v>
      </c>
      <c r="BN132">
        <v>0</v>
      </c>
      <c r="BU132">
        <v>0</v>
      </c>
      <c r="DF132">
        <v>0</v>
      </c>
      <c r="DI132">
        <v>0</v>
      </c>
      <c r="DL132">
        <v>0</v>
      </c>
      <c r="DT132">
        <v>0</v>
      </c>
      <c r="DU132">
        <v>0</v>
      </c>
      <c r="EB132">
        <v>0</v>
      </c>
      <c r="EG132">
        <v>0</v>
      </c>
      <c r="EI132">
        <v>0</v>
      </c>
      <c r="EK132">
        <v>0</v>
      </c>
      <c r="EL132">
        <v>0</v>
      </c>
      <c r="EO132">
        <v>0</v>
      </c>
      <c r="EV132">
        <v>0</v>
      </c>
      <c r="FY132">
        <v>0.55954405914689087</v>
      </c>
      <c r="FZ132">
        <v>1.3539781950476795</v>
      </c>
      <c r="GA132">
        <v>1.6150343083212999</v>
      </c>
      <c r="GB132">
        <v>1.9979419975469914</v>
      </c>
      <c r="GC132">
        <v>1.7126446223912644</v>
      </c>
      <c r="GD132">
        <v>4.1371153283921318E-2</v>
      </c>
      <c r="GE132">
        <v>0.1102472685982506</v>
      </c>
      <c r="GF132">
        <v>0.15502897056818138</v>
      </c>
      <c r="GG132">
        <v>9.3799210286085899E-2</v>
      </c>
      <c r="GH132">
        <v>0.59948684623736592</v>
      </c>
      <c r="GI132">
        <v>0.20959082912585408</v>
      </c>
      <c r="GJ132">
        <v>0.40220230551712827</v>
      </c>
      <c r="GK132">
        <v>0.26514784882998554</v>
      </c>
      <c r="GL132">
        <v>2.3088811464591652</v>
      </c>
      <c r="GM132">
        <v>2.1545483598401183</v>
      </c>
      <c r="GY132">
        <v>0.67797458576784086</v>
      </c>
      <c r="GZ132">
        <v>4.5621307915357422E-2</v>
      </c>
      <c r="HA132">
        <v>16.114151838359014</v>
      </c>
    </row>
    <row r="133" spans="1:209" x14ac:dyDescent="0.75">
      <c r="A133" t="s">
        <v>336</v>
      </c>
      <c r="AC133">
        <v>0</v>
      </c>
      <c r="AF133">
        <v>0</v>
      </c>
      <c r="AI133">
        <v>0.21879675727401421</v>
      </c>
      <c r="AP133">
        <v>0</v>
      </c>
      <c r="AQ133">
        <v>0</v>
      </c>
      <c r="AS133">
        <v>23.88044300775654</v>
      </c>
      <c r="BA133">
        <v>0</v>
      </c>
      <c r="BE133">
        <v>4.9438644008165058</v>
      </c>
      <c r="BF133">
        <v>0</v>
      </c>
      <c r="BG133">
        <v>7.6106045064411446E-2</v>
      </c>
      <c r="BH133">
        <v>0</v>
      </c>
      <c r="BI133">
        <v>14.332295661512561</v>
      </c>
      <c r="BJ133">
        <v>7.6114699525177754</v>
      </c>
      <c r="BK133">
        <v>1.2260388405415599</v>
      </c>
      <c r="BM133">
        <v>7.1564752714715247</v>
      </c>
      <c r="BN133">
        <v>1.4776670932679903</v>
      </c>
      <c r="BR133">
        <v>2.2716716884061707</v>
      </c>
      <c r="BU133">
        <v>1.6371016034567354</v>
      </c>
      <c r="BV133">
        <v>5.943677487351156</v>
      </c>
      <c r="BW133">
        <v>1.5434715466600724</v>
      </c>
      <c r="BX133">
        <v>1.3208680771188301E-2</v>
      </c>
      <c r="DF133">
        <v>0</v>
      </c>
      <c r="DI133">
        <v>0</v>
      </c>
      <c r="DL133">
        <v>0</v>
      </c>
      <c r="DT133">
        <v>0</v>
      </c>
      <c r="DU133">
        <v>0</v>
      </c>
      <c r="EB133">
        <v>0</v>
      </c>
      <c r="EG133">
        <v>0</v>
      </c>
      <c r="EI133">
        <v>0</v>
      </c>
      <c r="EK133">
        <v>0</v>
      </c>
      <c r="EL133">
        <v>0</v>
      </c>
      <c r="EO133">
        <v>0</v>
      </c>
      <c r="EV133">
        <v>0</v>
      </c>
      <c r="FY133">
        <v>11.424356169519392</v>
      </c>
      <c r="FZ133">
        <v>19.724133700254981</v>
      </c>
      <c r="GA133">
        <v>28.852115082949826</v>
      </c>
      <c r="GB133">
        <v>40.040453524193381</v>
      </c>
      <c r="GC133">
        <v>51.598895534683422</v>
      </c>
      <c r="GD133">
        <v>0.77295041238459117</v>
      </c>
      <c r="GE133">
        <v>1.0664744708608553</v>
      </c>
      <c r="GF133">
        <v>2.098485980600211</v>
      </c>
      <c r="GG133">
        <v>4.079846583707635</v>
      </c>
      <c r="GH133">
        <v>25.329793593418344</v>
      </c>
      <c r="GI133">
        <v>0.77365205373336798</v>
      </c>
      <c r="GJ133">
        <v>1.2761495584837033</v>
      </c>
      <c r="GK133">
        <v>2.072984193601259</v>
      </c>
      <c r="GL133">
        <v>6.3543881089778509</v>
      </c>
      <c r="GM133">
        <v>80.499195328415283</v>
      </c>
      <c r="GY133">
        <v>-1.8287337154220689</v>
      </c>
      <c r="GZ133">
        <v>24.725250298908065</v>
      </c>
      <c r="HA133">
        <v>371.19267891613839</v>
      </c>
    </row>
    <row r="134" spans="1:209" x14ac:dyDescent="0.75">
      <c r="A134" t="s">
        <v>337</v>
      </c>
      <c r="AC134">
        <v>0</v>
      </c>
      <c r="AF134">
        <v>0</v>
      </c>
      <c r="AI134">
        <v>0.3926079631077537</v>
      </c>
      <c r="AJ134">
        <v>0.49689055467671178</v>
      </c>
      <c r="AK134">
        <v>0.68013493568287176</v>
      </c>
      <c r="AM134">
        <v>0.31402092239425744</v>
      </c>
      <c r="AN134">
        <v>1.8752077944007199</v>
      </c>
      <c r="AP134">
        <v>3.2919883478983754</v>
      </c>
      <c r="AQ134">
        <v>3.377263008551791</v>
      </c>
      <c r="AS134">
        <v>8.9896391657419888E-2</v>
      </c>
      <c r="AT134">
        <v>2.8522936919147153</v>
      </c>
      <c r="AU134">
        <v>10.50242176182198</v>
      </c>
      <c r="AW134">
        <v>3.1523599009732863</v>
      </c>
      <c r="AX134">
        <v>3.4791289807310964E-2</v>
      </c>
      <c r="AZ134">
        <v>1.2232538155999976E-3</v>
      </c>
      <c r="BA134">
        <v>0.11510643701720275</v>
      </c>
      <c r="BB134">
        <v>5.6729486224318136E-2</v>
      </c>
      <c r="BC134">
        <v>9.0941919570183896E-2</v>
      </c>
      <c r="BD134">
        <v>0.10909408117528598</v>
      </c>
      <c r="BE134">
        <v>6.2154147217213511</v>
      </c>
      <c r="BF134">
        <v>0</v>
      </c>
      <c r="BH134">
        <v>0.42547028432903589</v>
      </c>
      <c r="BI134">
        <v>22.454908999882541</v>
      </c>
      <c r="BJ134">
        <v>8.8630057635742183</v>
      </c>
      <c r="BK134">
        <v>0.52089748820427217</v>
      </c>
      <c r="BL134">
        <v>2.5882340603111932E-2</v>
      </c>
      <c r="BM134">
        <v>0.48054850956149198</v>
      </c>
      <c r="BN134">
        <v>0.21076550462971816</v>
      </c>
      <c r="BO134">
        <v>1.3008319224470577E-3</v>
      </c>
      <c r="BR134">
        <v>5.962868462656768E-4</v>
      </c>
      <c r="BU134">
        <v>0.38805276809048828</v>
      </c>
      <c r="BV134">
        <v>1.1077345953984985E-2</v>
      </c>
      <c r="BW134">
        <v>1.6021727024431612E-2</v>
      </c>
      <c r="BX134">
        <v>2.9923527896897298E-2</v>
      </c>
      <c r="BY134">
        <v>3.4027987198187171E-2</v>
      </c>
      <c r="BZ134">
        <v>4.5022307567216979E-2</v>
      </c>
      <c r="CB134">
        <v>1.196618866862412</v>
      </c>
      <c r="DF134">
        <v>0</v>
      </c>
      <c r="DI134">
        <v>0</v>
      </c>
      <c r="DL134">
        <v>0</v>
      </c>
      <c r="DT134">
        <v>0</v>
      </c>
      <c r="DU134">
        <v>0</v>
      </c>
      <c r="EB134">
        <v>0</v>
      </c>
      <c r="EG134">
        <v>0</v>
      </c>
      <c r="EI134">
        <v>0</v>
      </c>
      <c r="EK134">
        <v>0</v>
      </c>
      <c r="EL134">
        <v>0</v>
      </c>
      <c r="EO134">
        <v>0</v>
      </c>
      <c r="EV134">
        <v>0</v>
      </c>
      <c r="FY134">
        <v>0.3376523819406041</v>
      </c>
      <c r="FZ134">
        <v>0.82476773702476569</v>
      </c>
      <c r="GA134">
        <v>1.4160469635242583</v>
      </c>
      <c r="GB134">
        <v>2.2712181526997499</v>
      </c>
      <c r="GC134">
        <v>3.5721569367463872</v>
      </c>
      <c r="GD134">
        <v>5.1724693686585707E-2</v>
      </c>
      <c r="GE134">
        <v>6.5504421023154763E-2</v>
      </c>
      <c r="GF134">
        <v>0.1610881210400775</v>
      </c>
      <c r="GG134">
        <v>0.42856263165401859</v>
      </c>
      <c r="GH134">
        <v>3.2319318962394989</v>
      </c>
      <c r="GI134">
        <v>7.9947286544610516E-2</v>
      </c>
      <c r="GJ134">
        <v>0.10176343211802467</v>
      </c>
      <c r="GK134">
        <v>0.36834931045305791</v>
      </c>
      <c r="GL134">
        <v>0.53629607903191145</v>
      </c>
      <c r="GM134">
        <v>9.0567884481418481</v>
      </c>
      <c r="GY134">
        <v>0.30228940922171033</v>
      </c>
      <c r="GZ134">
        <v>2.2357168042462905</v>
      </c>
      <c r="HA134">
        <v>93.394311707894389</v>
      </c>
    </row>
    <row r="135" spans="1:209" x14ac:dyDescent="0.75">
      <c r="A135" t="s">
        <v>731</v>
      </c>
      <c r="AC135">
        <v>0</v>
      </c>
      <c r="AF135">
        <v>0</v>
      </c>
      <c r="AI135">
        <v>0.15189515807050408</v>
      </c>
      <c r="AJ135">
        <v>5.0077882415701457E-2</v>
      </c>
      <c r="AK135">
        <v>3.5877847069892095E-3</v>
      </c>
      <c r="AL135">
        <v>1.1400657072146558E-3</v>
      </c>
      <c r="AM135">
        <v>1.4135279364565923E-3</v>
      </c>
      <c r="AN135">
        <v>3.3686235333688669E-2</v>
      </c>
      <c r="AP135">
        <v>5.1455618982539059E-2</v>
      </c>
      <c r="AQ135">
        <v>0.11661508872450664</v>
      </c>
      <c r="AS135">
        <v>1.7333037838202697E-2</v>
      </c>
      <c r="AT135">
        <v>1.531636799765162E-2</v>
      </c>
      <c r="AU135">
        <v>7.7934848078748883E-2</v>
      </c>
      <c r="AV135">
        <v>2.8556343574572755E-4</v>
      </c>
      <c r="AW135">
        <v>5.7051256049491468E-2</v>
      </c>
      <c r="AX135">
        <v>2.5106716567463235E-3</v>
      </c>
      <c r="AY135">
        <v>1.3900861464895588E-2</v>
      </c>
      <c r="AZ135">
        <v>7.9593155037755506E-3</v>
      </c>
      <c r="BA135">
        <v>1.5443166565143787E-2</v>
      </c>
      <c r="BB135">
        <v>7.5819940645216424E-2</v>
      </c>
      <c r="BC135">
        <v>3.6756528636916419E-2</v>
      </c>
      <c r="BD135">
        <v>6.2360695153980156E-2</v>
      </c>
      <c r="BE135">
        <v>6.4434514390095704E-2</v>
      </c>
      <c r="BF135">
        <v>3.345793561281199E-2</v>
      </c>
      <c r="BG135">
        <v>0.16638126016019408</v>
      </c>
      <c r="BH135">
        <v>5.7141278856412646E-2</v>
      </c>
      <c r="BI135">
        <v>0.40472522837374492</v>
      </c>
      <c r="BJ135">
        <v>1.686762583063917</v>
      </c>
      <c r="BK135">
        <v>1.1746750695193406</v>
      </c>
      <c r="BL135">
        <v>6.7394891624477232E-2</v>
      </c>
      <c r="BM135">
        <v>0.69809113202894202</v>
      </c>
      <c r="BN135">
        <v>0.13611019704830421</v>
      </c>
      <c r="BO135">
        <v>5.1020480287314748E-2</v>
      </c>
      <c r="BP135">
        <v>1.4618225973773193</v>
      </c>
      <c r="BR135">
        <v>5.3425108419372565E-5</v>
      </c>
      <c r="BT135">
        <v>0.15145151804505524</v>
      </c>
      <c r="BU135">
        <v>1.1022144167766426</v>
      </c>
      <c r="BV135">
        <v>9.5247861671981102</v>
      </c>
      <c r="BW135">
        <v>6.676714639520851</v>
      </c>
      <c r="BX135">
        <v>1.8790569735720712</v>
      </c>
      <c r="BY135">
        <v>2.7786222540327659</v>
      </c>
      <c r="BZ135">
        <v>1.701145181929636E-2</v>
      </c>
      <c r="CA135">
        <v>3.1379521724893687E-2</v>
      </c>
      <c r="CB135">
        <v>2.6568123197401441</v>
      </c>
      <c r="DF135">
        <v>0</v>
      </c>
      <c r="DI135">
        <v>0</v>
      </c>
      <c r="DL135">
        <v>0</v>
      </c>
      <c r="DT135">
        <v>0</v>
      </c>
      <c r="DU135">
        <v>0</v>
      </c>
      <c r="EB135">
        <v>0</v>
      </c>
      <c r="EG135">
        <v>0</v>
      </c>
      <c r="EI135">
        <v>0</v>
      </c>
      <c r="EK135">
        <v>0</v>
      </c>
      <c r="EL135">
        <v>0</v>
      </c>
      <c r="EO135">
        <v>0</v>
      </c>
      <c r="EV135">
        <v>0</v>
      </c>
      <c r="FY135">
        <v>5.6788641302683018E-2</v>
      </c>
      <c r="FZ135">
        <v>9.8756529474204852E-2</v>
      </c>
      <c r="GA135">
        <v>0.31422918074706957</v>
      </c>
      <c r="GB135">
        <v>0.33015458751886301</v>
      </c>
      <c r="GC135">
        <v>0.62758894975017643</v>
      </c>
      <c r="GE135">
        <v>2.6263927871882076E-4</v>
      </c>
      <c r="GF135">
        <v>3.7232211121804143E-3</v>
      </c>
      <c r="GG135">
        <v>8.9554074232872597E-3</v>
      </c>
      <c r="GH135">
        <v>0.23313819663284666</v>
      </c>
      <c r="GJ135">
        <v>1.6101715419993372E-2</v>
      </c>
      <c r="GK135">
        <v>5.0109245287179097E-2</v>
      </c>
      <c r="GL135">
        <v>3.4971716721591946E-2</v>
      </c>
      <c r="GM135">
        <v>1.9164815587777091</v>
      </c>
      <c r="GY135">
        <v>0.32643052437584902</v>
      </c>
      <c r="GZ135">
        <v>2.7296368659528314</v>
      </c>
      <c r="HA135">
        <v>38.359992450560426</v>
      </c>
    </row>
    <row r="136" spans="1:209" x14ac:dyDescent="0.75">
      <c r="A136" t="s">
        <v>536</v>
      </c>
      <c r="B136">
        <v>6.800617419964336E-2</v>
      </c>
      <c r="C136">
        <v>0.14766736842619305</v>
      </c>
      <c r="D136">
        <v>4.8974376966673611E-3</v>
      </c>
      <c r="E136">
        <v>9.0147850418695649E-2</v>
      </c>
      <c r="F136">
        <v>4.3783465790616413E-4</v>
      </c>
      <c r="G136">
        <v>2.9144379237997325E-2</v>
      </c>
      <c r="H136">
        <v>2.5944741552043959E-2</v>
      </c>
      <c r="I136">
        <v>2.1493030855627329E-2</v>
      </c>
      <c r="J136">
        <v>3.6533344416256885E-3</v>
      </c>
      <c r="K136">
        <v>1.2318988002417623E-2</v>
      </c>
      <c r="L136">
        <v>1.2045563538739977E-3</v>
      </c>
      <c r="M136">
        <v>8.1396236310310611E-3</v>
      </c>
      <c r="N136">
        <v>1.9106970721631866E-2</v>
      </c>
      <c r="O136">
        <v>3.4790268527388847E-2</v>
      </c>
      <c r="P136">
        <v>6.3093224679506323E-3</v>
      </c>
      <c r="Q136">
        <v>5.8998408769127507E-3</v>
      </c>
      <c r="R136">
        <v>3.5296848277127237E-2</v>
      </c>
      <c r="S136">
        <v>1.1589978514946593E-2</v>
      </c>
      <c r="T136">
        <v>0.44893583196228037</v>
      </c>
      <c r="U136">
        <v>4.6592927548233097E-2</v>
      </c>
      <c r="V136">
        <v>9.2680471364920639E-3</v>
      </c>
      <c r="W136">
        <v>2.1208505745239831E-2</v>
      </c>
      <c r="X136">
        <v>1.2343748478157722E-2</v>
      </c>
      <c r="Y136">
        <v>6.372589560043905E-2</v>
      </c>
      <c r="Z136">
        <v>4.2085985868440437E-2</v>
      </c>
      <c r="AA136">
        <v>2.4244844419562879E-2</v>
      </c>
      <c r="AB136">
        <v>6.6711001091749305E-3</v>
      </c>
      <c r="AC136">
        <v>1.0947999012693822E-2</v>
      </c>
      <c r="AD136">
        <v>8.0443532723229766E-2</v>
      </c>
      <c r="AE136">
        <v>3.483487792986345E-2</v>
      </c>
      <c r="AF136">
        <v>0.52964716393100708</v>
      </c>
      <c r="AG136">
        <v>0.18257696741443274</v>
      </c>
      <c r="AI136">
        <v>12.59361815605698</v>
      </c>
      <c r="AJ136">
        <v>1.3090499957883985</v>
      </c>
      <c r="AK136">
        <v>0.14806246104899778</v>
      </c>
      <c r="AL136">
        <v>0.35910684587925662</v>
      </c>
      <c r="AM136">
        <v>0.28316033865123835</v>
      </c>
      <c r="AN136">
        <v>1.4024102032398429</v>
      </c>
      <c r="AP136">
        <v>1.594053651950345</v>
      </c>
      <c r="AQ136">
        <v>5.8220687830144557</v>
      </c>
      <c r="AS136">
        <v>0.17663533917255927</v>
      </c>
      <c r="AT136">
        <v>0.10342343586466315</v>
      </c>
      <c r="AU136">
        <v>0.1960417900387165</v>
      </c>
      <c r="AV136">
        <v>2.3549249807660144E-3</v>
      </c>
      <c r="AW136">
        <v>2.00885902765445</v>
      </c>
      <c r="AX136">
        <v>3.6388366811280715E-2</v>
      </c>
      <c r="AY136">
        <v>0.1695362290483961</v>
      </c>
      <c r="AZ136">
        <v>1.9348987560255135E-2</v>
      </c>
      <c r="BA136">
        <v>7.3252715492277414</v>
      </c>
      <c r="BB136">
        <v>1.9144477433086557</v>
      </c>
      <c r="BC136">
        <v>0.21666550701213097</v>
      </c>
      <c r="BD136">
        <v>0.78957379726562771</v>
      </c>
      <c r="BE136">
        <v>0.43290618932182084</v>
      </c>
      <c r="BF136">
        <v>0.36975265624454645</v>
      </c>
      <c r="BG136">
        <v>39.288960955791914</v>
      </c>
      <c r="BH136">
        <v>3.6842786080591954</v>
      </c>
      <c r="BI136">
        <v>21.214797562033553</v>
      </c>
      <c r="BJ136">
        <v>30.132736554305019</v>
      </c>
      <c r="BK136">
        <v>121.1791338861325</v>
      </c>
      <c r="BL136">
        <v>0.79528506902446194</v>
      </c>
      <c r="BM136">
        <v>4.1196587360458885</v>
      </c>
      <c r="BN136">
        <v>3.489526552801923</v>
      </c>
      <c r="BO136">
        <v>0.79945675607619204</v>
      </c>
      <c r="BP136">
        <v>0.88176627000900298</v>
      </c>
      <c r="BQ136">
        <v>0.22561180550475524</v>
      </c>
      <c r="BR136">
        <v>0.33841615116848855</v>
      </c>
      <c r="BT136">
        <v>0.326824594886783</v>
      </c>
      <c r="BU136">
        <v>3.265737886540764</v>
      </c>
      <c r="BV136">
        <v>52.248901396639887</v>
      </c>
      <c r="BW136">
        <v>3.8428871049504938</v>
      </c>
      <c r="BX136">
        <v>2.2302069983039288</v>
      </c>
      <c r="BY136">
        <v>2.6518393065665178</v>
      </c>
      <c r="BZ136">
        <v>3.6455684385674807E-2</v>
      </c>
      <c r="CA136">
        <v>3.7371498989335464E-2</v>
      </c>
      <c r="CB136">
        <v>6.0201341188483548</v>
      </c>
      <c r="DF136">
        <v>0</v>
      </c>
      <c r="DI136">
        <v>0</v>
      </c>
      <c r="DL136">
        <v>0</v>
      </c>
      <c r="DT136">
        <v>0</v>
      </c>
      <c r="DU136">
        <v>0</v>
      </c>
      <c r="EB136">
        <v>0</v>
      </c>
      <c r="EG136">
        <v>0</v>
      </c>
      <c r="EI136">
        <v>0</v>
      </c>
      <c r="EK136">
        <v>0</v>
      </c>
      <c r="EL136">
        <v>0</v>
      </c>
      <c r="EO136">
        <v>0</v>
      </c>
      <c r="EV136">
        <v>0</v>
      </c>
      <c r="FY136">
        <v>0.3283119793733521</v>
      </c>
      <c r="FZ136">
        <v>0.43928200461595612</v>
      </c>
      <c r="GA136">
        <v>1.0370237014972683</v>
      </c>
      <c r="GB136">
        <v>1.7981581284231107</v>
      </c>
      <c r="GC136">
        <v>7.7185758194623713</v>
      </c>
      <c r="GD136">
        <v>3.025819786825525E-2</v>
      </c>
      <c r="GE136">
        <v>6.4727460143472068E-2</v>
      </c>
      <c r="GF136">
        <v>9.3992931086943232E-2</v>
      </c>
      <c r="GG136">
        <v>4.8121717521757888E-2</v>
      </c>
      <c r="GH136">
        <v>4.3139085648614941</v>
      </c>
      <c r="GI136">
        <v>1.9726497006098905E-2</v>
      </c>
      <c r="GJ136">
        <v>5.6403428758902766E-2</v>
      </c>
      <c r="GK136">
        <v>2.4968689230928084E-2</v>
      </c>
      <c r="GL136">
        <v>9.2978554903561522E-2</v>
      </c>
      <c r="GM136">
        <v>53.546536642296424</v>
      </c>
      <c r="GY136">
        <v>15.94514880207325</v>
      </c>
      <c r="GZ136">
        <v>116.35414560026797</v>
      </c>
      <c r="HA136">
        <v>538.03456817233564</v>
      </c>
    </row>
    <row r="137" spans="1:209" x14ac:dyDescent="0.75">
      <c r="A137" t="s">
        <v>338</v>
      </c>
      <c r="B137">
        <v>2.2202354118404601</v>
      </c>
      <c r="C137">
        <v>4.8271062586762739</v>
      </c>
      <c r="D137">
        <v>0.15992110969394138</v>
      </c>
      <c r="E137">
        <v>2.93941310963393</v>
      </c>
      <c r="F137">
        <v>1.4292019569267796E-2</v>
      </c>
      <c r="G137">
        <v>8.2238653472916319</v>
      </c>
      <c r="H137">
        <v>7.321329419210123</v>
      </c>
      <c r="I137">
        <v>6.0572596374212315</v>
      </c>
      <c r="J137">
        <v>1.0324119477481111</v>
      </c>
      <c r="K137">
        <v>8.378266617788702</v>
      </c>
      <c r="L137">
        <v>0.81701904909527223</v>
      </c>
      <c r="M137">
        <v>5.5372240981783634</v>
      </c>
      <c r="N137">
        <v>1.3108410736928222</v>
      </c>
      <c r="O137">
        <v>2.388630976713586</v>
      </c>
      <c r="P137">
        <v>0.43351711898146134</v>
      </c>
      <c r="Q137">
        <v>0.40536215786350749</v>
      </c>
      <c r="R137">
        <v>0.47986057774273405</v>
      </c>
      <c r="S137">
        <v>0.15791610938661424</v>
      </c>
      <c r="T137">
        <v>3.6714386529305543</v>
      </c>
      <c r="U137">
        <v>1.2511584734457288</v>
      </c>
      <c r="V137">
        <v>0.25388417026816928</v>
      </c>
      <c r="W137">
        <v>0.56953739431060169</v>
      </c>
      <c r="X137">
        <v>0.33825501925837081</v>
      </c>
      <c r="Y137">
        <v>1.7580698855344201</v>
      </c>
      <c r="Z137">
        <v>5.8471425996436477E-3</v>
      </c>
      <c r="AA137">
        <v>3.3690725595681651E-3</v>
      </c>
      <c r="AB137">
        <v>9.2685965607267832E-4</v>
      </c>
      <c r="AC137">
        <v>1.4941252984140793E-3</v>
      </c>
      <c r="AD137">
        <v>1.0955199529147235E-2</v>
      </c>
      <c r="AE137">
        <v>4.7435189785638319E-3</v>
      </c>
      <c r="AF137">
        <v>0</v>
      </c>
      <c r="AG137">
        <v>1.6958271021604725E-2</v>
      </c>
      <c r="AI137">
        <v>13.44698553915971</v>
      </c>
      <c r="AJ137">
        <v>0.10660693792261221</v>
      </c>
      <c r="AK137">
        <v>0.15938798167016011</v>
      </c>
      <c r="AL137">
        <v>0.12683302461378354</v>
      </c>
      <c r="AM137">
        <v>6.6461839737426739E-2</v>
      </c>
      <c r="AN137">
        <v>0.16236611357325748</v>
      </c>
      <c r="AO137">
        <v>0.18261207996006706</v>
      </c>
      <c r="AP137">
        <v>0.21313204130785907</v>
      </c>
      <c r="AQ137">
        <v>8.5489315906118701</v>
      </c>
      <c r="AR137">
        <v>0.41756379622718953</v>
      </c>
      <c r="AS137">
        <v>2.186514194020269</v>
      </c>
      <c r="AT137">
        <v>0.3080474740421289</v>
      </c>
      <c r="AU137">
        <v>0.11151548752145091</v>
      </c>
      <c r="AW137">
        <v>3.1652566463672138</v>
      </c>
      <c r="BA137">
        <v>2.746992470105885</v>
      </c>
      <c r="BE137">
        <v>0.21076576953703258</v>
      </c>
      <c r="BF137">
        <v>0</v>
      </c>
      <c r="BH137">
        <v>0.25024193809077511</v>
      </c>
      <c r="BI137">
        <v>29.815460042606741</v>
      </c>
      <c r="BJ137">
        <v>3.6376055272349307E-2</v>
      </c>
      <c r="BK137">
        <v>0</v>
      </c>
      <c r="BM137">
        <v>1.2123996927960246</v>
      </c>
      <c r="BN137">
        <v>0</v>
      </c>
      <c r="BU137">
        <v>2.4104470567131293E-2</v>
      </c>
      <c r="BV137">
        <v>2.0866192997232864</v>
      </c>
      <c r="BX137">
        <v>1.5300246925910466</v>
      </c>
      <c r="DF137">
        <v>0</v>
      </c>
      <c r="DI137">
        <v>0</v>
      </c>
      <c r="DL137">
        <v>0</v>
      </c>
      <c r="DT137">
        <v>0</v>
      </c>
      <c r="DU137">
        <v>0</v>
      </c>
      <c r="EB137">
        <v>0</v>
      </c>
      <c r="EG137">
        <v>0</v>
      </c>
      <c r="EI137">
        <v>0</v>
      </c>
      <c r="EK137">
        <v>0</v>
      </c>
      <c r="EL137">
        <v>0</v>
      </c>
      <c r="EO137">
        <v>0</v>
      </c>
      <c r="EV137">
        <v>0</v>
      </c>
      <c r="FY137">
        <v>9.1468301753916332</v>
      </c>
      <c r="FZ137">
        <v>14.260161618698183</v>
      </c>
      <c r="GA137">
        <v>18.255558063665795</v>
      </c>
      <c r="GB137">
        <v>22.431569871643227</v>
      </c>
      <c r="GC137">
        <v>20.884152689710014</v>
      </c>
      <c r="GD137">
        <v>0.69551665002303753</v>
      </c>
      <c r="GE137">
        <v>0.84646578282233964</v>
      </c>
      <c r="GF137">
        <v>1.3340420569327902</v>
      </c>
      <c r="GG137">
        <v>1.8520424558225042</v>
      </c>
      <c r="GH137">
        <v>7.2328595556537474</v>
      </c>
      <c r="GI137">
        <v>0.9670781830409968</v>
      </c>
      <c r="GJ137">
        <v>1.1510214285371081</v>
      </c>
      <c r="GK137">
        <v>1.751121906107233</v>
      </c>
      <c r="GL137">
        <v>3.6368502567304377</v>
      </c>
      <c r="GM137">
        <v>24.873689809243388</v>
      </c>
      <c r="GY137">
        <v>9.4319830931961981</v>
      </c>
      <c r="GZ137">
        <v>10.14252898544761</v>
      </c>
      <c r="HA137">
        <v>276.59978158661045</v>
      </c>
    </row>
    <row r="138" spans="1:209" x14ac:dyDescent="0.75">
      <c r="A138" t="s">
        <v>339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0.35150426566059867</v>
      </c>
      <c r="AL138">
        <v>0</v>
      </c>
      <c r="AM138">
        <v>8.091210055886211E-2</v>
      </c>
      <c r="AN138">
        <v>0</v>
      </c>
      <c r="AO138">
        <v>0</v>
      </c>
      <c r="AP138">
        <v>0.30831496281893317</v>
      </c>
      <c r="AQ138">
        <v>6.1067821305114638</v>
      </c>
      <c r="AR138">
        <v>0</v>
      </c>
      <c r="AS138">
        <v>0.16592395859086656</v>
      </c>
      <c r="AT138">
        <v>2.0745121427385005</v>
      </c>
      <c r="AU138">
        <v>0.35685727816827051</v>
      </c>
      <c r="AV138">
        <v>0</v>
      </c>
      <c r="AW138">
        <v>18.777175186953524</v>
      </c>
      <c r="AX138">
        <v>2.9371830320558547E-2</v>
      </c>
      <c r="AY138">
        <v>7.0384416111948047</v>
      </c>
      <c r="AZ138">
        <v>0</v>
      </c>
      <c r="BA138">
        <v>1.9124029150284547</v>
      </c>
      <c r="BB138">
        <v>7.0049113722558849E-3</v>
      </c>
      <c r="BC138">
        <v>1.7418567946212908</v>
      </c>
      <c r="BD138">
        <v>0</v>
      </c>
      <c r="BE138">
        <v>0.473259446222353</v>
      </c>
      <c r="BF138">
        <v>2.8892417804226813</v>
      </c>
      <c r="BG138">
        <v>5.214877231559778</v>
      </c>
      <c r="BH138">
        <v>0.56985624515480282</v>
      </c>
      <c r="BI138">
        <v>221.80549084533294</v>
      </c>
      <c r="BJ138">
        <v>15.233883480007634</v>
      </c>
      <c r="BK138">
        <v>24.519091229542006</v>
      </c>
      <c r="BL138">
        <v>0</v>
      </c>
      <c r="BM138">
        <v>0.73128176141747703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0.35784428281839054</v>
      </c>
      <c r="BV138">
        <v>0.11265553102078629</v>
      </c>
      <c r="BW138">
        <v>1.1450621447675441E-2</v>
      </c>
      <c r="BX138">
        <v>52.09342663136654</v>
      </c>
      <c r="BY138">
        <v>0</v>
      </c>
      <c r="BZ138">
        <v>0</v>
      </c>
      <c r="CA138">
        <v>0</v>
      </c>
      <c r="CB138">
        <v>1.7600957700247E-4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3.2107525434592286</v>
      </c>
      <c r="FZ138">
        <v>5.1855118527473518</v>
      </c>
      <c r="GA138">
        <v>5.9562168969751133</v>
      </c>
      <c r="GB138">
        <v>6.7018519568668129</v>
      </c>
      <c r="GC138">
        <v>9.7540991907961594</v>
      </c>
      <c r="GD138">
        <v>0.4230425759905479</v>
      </c>
      <c r="GE138">
        <v>0.64114202031193335</v>
      </c>
      <c r="GF138">
        <v>0.85327308831540882</v>
      </c>
      <c r="GG138">
        <v>0.87489513350484716</v>
      </c>
      <c r="GH138">
        <v>4.0160684184464728</v>
      </c>
      <c r="GI138">
        <v>0.34632757160883032</v>
      </c>
      <c r="GJ138">
        <v>0.84128335322273129</v>
      </c>
      <c r="GK138">
        <v>1.6499304496612051</v>
      </c>
      <c r="GL138">
        <v>1.9011052173461056</v>
      </c>
      <c r="GM138">
        <v>17.188123033719357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-2.4213993590374381</v>
      </c>
      <c r="GZ138">
        <v>17.539158291377415</v>
      </c>
      <c r="HA138">
        <v>437.6249774197405</v>
      </c>
    </row>
    <row r="139" spans="1:209" x14ac:dyDescent="0.75">
      <c r="A139" t="s">
        <v>340</v>
      </c>
      <c r="AC139">
        <v>0</v>
      </c>
      <c r="AF139">
        <v>0</v>
      </c>
      <c r="AI139">
        <v>0.20386226443152919</v>
      </c>
      <c r="AP139">
        <v>0</v>
      </c>
      <c r="AQ139">
        <v>0</v>
      </c>
      <c r="BA139">
        <v>6.0621022216813456</v>
      </c>
      <c r="BB139">
        <v>40.217117143518088</v>
      </c>
      <c r="BD139">
        <v>0.63523596095671231</v>
      </c>
      <c r="BE139">
        <v>3.5218875212746983E-2</v>
      </c>
      <c r="BF139">
        <v>0.32474060444598024</v>
      </c>
      <c r="BG139">
        <v>5.391786353607535</v>
      </c>
      <c r="BH139">
        <v>0</v>
      </c>
      <c r="BI139">
        <v>190.66242118210712</v>
      </c>
      <c r="BJ139">
        <v>7.285497234132389E-2</v>
      </c>
      <c r="BK139">
        <v>0</v>
      </c>
      <c r="BN139">
        <v>0</v>
      </c>
      <c r="BU139">
        <v>8.2709019170113834E-2</v>
      </c>
      <c r="DF139">
        <v>0</v>
      </c>
      <c r="DI139">
        <v>0</v>
      </c>
      <c r="DL139">
        <v>0</v>
      </c>
      <c r="DT139">
        <v>0</v>
      </c>
      <c r="DU139">
        <v>0</v>
      </c>
      <c r="EB139">
        <v>0</v>
      </c>
      <c r="EG139">
        <v>0</v>
      </c>
      <c r="EI139">
        <v>0</v>
      </c>
      <c r="EK139">
        <v>0</v>
      </c>
      <c r="EL139">
        <v>0</v>
      </c>
      <c r="EO139">
        <v>0</v>
      </c>
      <c r="EV139">
        <v>0</v>
      </c>
      <c r="FY139">
        <v>0.190138362722332</v>
      </c>
      <c r="FZ139">
        <v>0.3317508336249862</v>
      </c>
      <c r="GA139">
        <v>0.43831151726959061</v>
      </c>
      <c r="GB139">
        <v>0.69954326144611745</v>
      </c>
      <c r="GC139">
        <v>0.85660184162746411</v>
      </c>
      <c r="GD139">
        <v>1.0055743075185386E-2</v>
      </c>
      <c r="GE139">
        <v>1.4784536687837167E-2</v>
      </c>
      <c r="GF139">
        <v>2.7524503216611623E-2</v>
      </c>
      <c r="GG139">
        <v>5.1484987579320296E-2</v>
      </c>
      <c r="GH139">
        <v>0.40645332303941323</v>
      </c>
      <c r="GI139">
        <v>1.0379319039014456E-2</v>
      </c>
      <c r="GJ139">
        <v>1.4645388635429359E-2</v>
      </c>
      <c r="GK139">
        <v>3.0280639895918688E-2</v>
      </c>
      <c r="GL139">
        <v>0.13688368138830281</v>
      </c>
      <c r="GM139">
        <v>1.1059712893146827</v>
      </c>
      <c r="GY139">
        <v>-1.5842085773280594</v>
      </c>
      <c r="GZ139">
        <v>85.579942259984321</v>
      </c>
      <c r="HA139">
        <v>332.00859150869098</v>
      </c>
    </row>
    <row r="140" spans="1:209" x14ac:dyDescent="0.75">
      <c r="A140" t="s">
        <v>64</v>
      </c>
      <c r="AC140">
        <v>0</v>
      </c>
      <c r="AF140">
        <v>0</v>
      </c>
      <c r="AI140">
        <v>0.14634436388294761</v>
      </c>
      <c r="AJ140">
        <v>0.1563377336708337</v>
      </c>
      <c r="AK140">
        <v>3.4799967456896591E-2</v>
      </c>
      <c r="AN140">
        <v>0.31496059875420451</v>
      </c>
      <c r="AP140">
        <v>0.37473862411630626</v>
      </c>
      <c r="AQ140">
        <v>1.7943034925340229</v>
      </c>
      <c r="AR140">
        <v>0.47291937143645213</v>
      </c>
      <c r="AS140">
        <v>0.12445894465192354</v>
      </c>
      <c r="AT140">
        <v>7.7153913562359719E-2</v>
      </c>
      <c r="AU140">
        <v>6.4324667475620392E-2</v>
      </c>
      <c r="AV140">
        <v>1.6774443622037095E-3</v>
      </c>
      <c r="AW140">
        <v>0.48520642292132615</v>
      </c>
      <c r="AX140">
        <v>5.2065051135888785E-4</v>
      </c>
      <c r="AY140">
        <v>1.0801647590042212E-2</v>
      </c>
      <c r="AZ140">
        <v>6.5962434857938547E-5</v>
      </c>
      <c r="BA140">
        <v>0.12413333105357721</v>
      </c>
      <c r="BB140">
        <v>0.36418433568947756</v>
      </c>
      <c r="BE140">
        <v>4.5917639996303106E-2</v>
      </c>
      <c r="BF140">
        <v>4.1665523566986142E-2</v>
      </c>
      <c r="BG140">
        <v>0.42391881837522921</v>
      </c>
      <c r="BH140">
        <v>1.4404407926867695</v>
      </c>
      <c r="BI140">
        <v>10.949131757115866</v>
      </c>
      <c r="BJ140">
        <v>6.612105246240656</v>
      </c>
      <c r="BK140">
        <v>0.22485969800087544</v>
      </c>
      <c r="BL140">
        <v>2.0282554791736851E-2</v>
      </c>
      <c r="BM140">
        <v>1.3255942879986191</v>
      </c>
      <c r="BN140">
        <v>6.7958654390112117E-2</v>
      </c>
      <c r="BO140">
        <v>1.6106947549198388E-2</v>
      </c>
      <c r="BT140">
        <v>2.5259021448647917E-2</v>
      </c>
      <c r="BU140">
        <v>0.64827124511287981</v>
      </c>
      <c r="BV140">
        <v>5.6851812347870272</v>
      </c>
      <c r="BW140">
        <v>0.76103973806385961</v>
      </c>
      <c r="BX140">
        <v>0.48150030338958139</v>
      </c>
      <c r="BY140">
        <v>0.22403057275795929</v>
      </c>
      <c r="BZ140">
        <v>0.15924279512623973</v>
      </c>
      <c r="CA140">
        <v>3.7592387386853554E-2</v>
      </c>
      <c r="CB140">
        <v>2.0828108545082706</v>
      </c>
      <c r="DF140">
        <v>0</v>
      </c>
      <c r="DI140">
        <v>0</v>
      </c>
      <c r="DL140">
        <v>0</v>
      </c>
      <c r="DT140">
        <v>0</v>
      </c>
      <c r="DU140">
        <v>0</v>
      </c>
      <c r="EB140">
        <v>0</v>
      </c>
      <c r="EG140">
        <v>0</v>
      </c>
      <c r="EI140">
        <v>0</v>
      </c>
      <c r="EK140">
        <v>0</v>
      </c>
      <c r="EL140">
        <v>0</v>
      </c>
      <c r="EO140">
        <v>0</v>
      </c>
      <c r="EV140">
        <v>0</v>
      </c>
      <c r="FY140">
        <v>1.6242525702822601</v>
      </c>
      <c r="FZ140">
        <v>2.946106718167099</v>
      </c>
      <c r="GA140">
        <v>4.1983506490532871</v>
      </c>
      <c r="GB140">
        <v>6.6663791794814538</v>
      </c>
      <c r="GC140">
        <v>12.281276517754511</v>
      </c>
      <c r="GD140">
        <v>0.11427466042438886</v>
      </c>
      <c r="GE140">
        <v>9.3032190447796273E-2</v>
      </c>
      <c r="GF140">
        <v>0.258729187372639</v>
      </c>
      <c r="GG140">
        <v>0.65764552602967297</v>
      </c>
      <c r="GH140">
        <v>8.0849336487146264</v>
      </c>
      <c r="GI140">
        <v>5.401464967115277E-2</v>
      </c>
      <c r="GJ140">
        <v>7.975955276749111E-2</v>
      </c>
      <c r="GK140">
        <v>0.18051627654082686</v>
      </c>
      <c r="GL140">
        <v>0.58740349599770103</v>
      </c>
      <c r="GM140">
        <v>18.612564780460808</v>
      </c>
      <c r="GW140">
        <v>255.79965317285897</v>
      </c>
      <c r="GX140">
        <v>134.90937899989092</v>
      </c>
      <c r="GZ140">
        <v>10.50342522250291</v>
      </c>
      <c r="HA140">
        <v>493.47153854381662</v>
      </c>
    </row>
    <row r="141" spans="1:209" x14ac:dyDescent="0.75">
      <c r="A141" t="s">
        <v>539</v>
      </c>
      <c r="AC141">
        <v>0</v>
      </c>
      <c r="AF141">
        <v>0</v>
      </c>
      <c r="AI141">
        <v>3.1033633273926574E-2</v>
      </c>
      <c r="AK141">
        <v>7.3081859764061952E-2</v>
      </c>
      <c r="AN141">
        <v>7.3013985837183507E-2</v>
      </c>
      <c r="AP141">
        <v>6.2726608620583921E-2</v>
      </c>
      <c r="AQ141">
        <v>3.3291458139279216E-2</v>
      </c>
      <c r="AS141">
        <v>0.19857084563762523</v>
      </c>
      <c r="AT141">
        <v>9.0093974567115548E-4</v>
      </c>
      <c r="AU141">
        <v>4.3229575319440475E-3</v>
      </c>
      <c r="AW141">
        <v>0.5324452473019764</v>
      </c>
      <c r="AX141">
        <v>1.6101608632586039E-2</v>
      </c>
      <c r="AY141">
        <v>4.0305057170511837E-4</v>
      </c>
      <c r="BA141">
        <v>5.4498786727143278E-3</v>
      </c>
      <c r="BB141">
        <v>0.26535481524702209</v>
      </c>
      <c r="BC141">
        <v>4.1964110868735485E-2</v>
      </c>
      <c r="BD141">
        <v>0.18883260764249582</v>
      </c>
      <c r="BE141">
        <v>3.0857006938728921E-3</v>
      </c>
      <c r="BF141">
        <v>0</v>
      </c>
      <c r="BG141">
        <v>5.0005448743670182E-2</v>
      </c>
      <c r="BH141">
        <v>1.2405162197226001</v>
      </c>
      <c r="BI141">
        <v>2.2462458093572217</v>
      </c>
      <c r="BJ141">
        <v>5.2073784514986308</v>
      </c>
      <c r="BK141">
        <v>1.4979701100833489</v>
      </c>
      <c r="BM141">
        <v>0.39424274861906267</v>
      </c>
      <c r="BN141">
        <v>5.0831261617035828E-2</v>
      </c>
      <c r="BO141">
        <v>1.4875350926139898E-2</v>
      </c>
      <c r="BT141">
        <v>0.15595800986047459</v>
      </c>
      <c r="BU141">
        <v>1.4962822952957437</v>
      </c>
      <c r="BV141">
        <v>1.4861682171063115</v>
      </c>
      <c r="BW141">
        <v>0.29554692422372647</v>
      </c>
      <c r="BX141">
        <v>0.23762323670773888</v>
      </c>
      <c r="BY141">
        <v>0.14547535197502223</v>
      </c>
      <c r="CB141">
        <v>0.14841079163904738</v>
      </c>
      <c r="DF141">
        <v>0</v>
      </c>
      <c r="DI141">
        <v>0</v>
      </c>
      <c r="DL141">
        <v>0</v>
      </c>
      <c r="DT141">
        <v>0</v>
      </c>
      <c r="DU141">
        <v>0</v>
      </c>
      <c r="EB141">
        <v>0</v>
      </c>
      <c r="EG141">
        <v>0</v>
      </c>
      <c r="EI141">
        <v>0</v>
      </c>
      <c r="EK141">
        <v>0</v>
      </c>
      <c r="EL141">
        <v>0</v>
      </c>
      <c r="EO141">
        <v>0</v>
      </c>
      <c r="EV141">
        <v>0</v>
      </c>
      <c r="FY141">
        <v>0.42411210117552134</v>
      </c>
      <c r="FZ141">
        <v>1.4020877092373893</v>
      </c>
      <c r="GA141">
        <v>3.649495458405132</v>
      </c>
      <c r="GB141">
        <v>9.0942591971768554</v>
      </c>
      <c r="GC141">
        <v>23.385049500556725</v>
      </c>
      <c r="GD141">
        <v>3.0716089574291072E-2</v>
      </c>
      <c r="GE141">
        <v>0.13699077897129108</v>
      </c>
      <c r="GF141">
        <v>0.23211090300275911</v>
      </c>
      <c r="GG141">
        <v>0.48997822460061052</v>
      </c>
      <c r="GH141">
        <v>13.381613703272675</v>
      </c>
      <c r="GI141">
        <v>0.10545645020447685</v>
      </c>
      <c r="GJ141">
        <v>0.25758977155917362</v>
      </c>
      <c r="GK141">
        <v>0.38862699342638651</v>
      </c>
      <c r="GL141">
        <v>1.353348850021443</v>
      </c>
      <c r="GM141">
        <v>52.259802883317064</v>
      </c>
      <c r="GW141">
        <v>58.062909321197438</v>
      </c>
      <c r="GX141">
        <v>30.564297062523099</v>
      </c>
      <c r="GZ141">
        <v>14.646226814356854</v>
      </c>
      <c r="HA141">
        <v>226.06278134813635</v>
      </c>
    </row>
    <row r="142" spans="1:209" x14ac:dyDescent="0.75">
      <c r="A142" t="s">
        <v>735</v>
      </c>
      <c r="AC142">
        <v>0</v>
      </c>
      <c r="AF142">
        <v>0</v>
      </c>
      <c r="AI142">
        <v>0</v>
      </c>
      <c r="AP142">
        <v>0</v>
      </c>
      <c r="AQ142">
        <v>0</v>
      </c>
      <c r="BA142">
        <v>0</v>
      </c>
      <c r="BF142">
        <v>0</v>
      </c>
      <c r="BH142">
        <v>0</v>
      </c>
      <c r="BJ142">
        <v>0</v>
      </c>
      <c r="BK142">
        <v>0</v>
      </c>
      <c r="BN142">
        <v>0</v>
      </c>
      <c r="BU142">
        <v>0</v>
      </c>
      <c r="DF142">
        <v>0</v>
      </c>
      <c r="DI142">
        <v>0</v>
      </c>
      <c r="DL142">
        <v>0</v>
      </c>
      <c r="DT142">
        <v>0</v>
      </c>
      <c r="DU142">
        <v>0</v>
      </c>
      <c r="EB142">
        <v>0</v>
      </c>
      <c r="EG142">
        <v>0</v>
      </c>
      <c r="EI142">
        <v>0</v>
      </c>
      <c r="EK142">
        <v>0</v>
      </c>
      <c r="EL142">
        <v>0</v>
      </c>
      <c r="EO142">
        <v>0</v>
      </c>
      <c r="EV142">
        <v>0</v>
      </c>
      <c r="FY142">
        <v>0.46409044851634979</v>
      </c>
      <c r="FZ142">
        <v>0.97212580235171975</v>
      </c>
      <c r="GA142">
        <v>1.5907709347716257</v>
      </c>
      <c r="GB142">
        <v>2.5676652071672827</v>
      </c>
      <c r="GC142">
        <v>3.7413600220610661</v>
      </c>
      <c r="GD142">
        <v>4.758029647176748E-2</v>
      </c>
      <c r="GE142">
        <v>5.264548434633376E-2</v>
      </c>
      <c r="GF142">
        <v>0.11557108662278602</v>
      </c>
      <c r="GG142">
        <v>0.28843382727553912</v>
      </c>
      <c r="GH142">
        <v>1.7639613811496249</v>
      </c>
      <c r="GI142">
        <v>1.3739768540355421E-2</v>
      </c>
      <c r="GJ142">
        <v>7.3261638580575342E-2</v>
      </c>
      <c r="GK142">
        <v>0.14293771085944382</v>
      </c>
      <c r="GL142">
        <v>0.40254731314163705</v>
      </c>
      <c r="GM142">
        <v>5.505390723328965</v>
      </c>
      <c r="GW142">
        <v>17.666076853470827</v>
      </c>
      <c r="GX142">
        <v>9.3063866855911304</v>
      </c>
      <c r="GZ142">
        <v>2.8874555417627379</v>
      </c>
      <c r="HA142">
        <v>47.60200072600977</v>
      </c>
    </row>
    <row r="143" spans="1:209" x14ac:dyDescent="0.75">
      <c r="A143" t="s">
        <v>341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0.18841786922306764</v>
      </c>
      <c r="AJ143">
        <v>5.4227244094039633E-3</v>
      </c>
      <c r="AK143">
        <v>2.1656975999688505E-3</v>
      </c>
      <c r="AL143">
        <v>0</v>
      </c>
      <c r="AM143">
        <v>1.2910405458767324E-2</v>
      </c>
      <c r="AN143">
        <v>4.8454188698045735E-2</v>
      </c>
      <c r="AO143">
        <v>0</v>
      </c>
      <c r="AP143">
        <v>0.10694569381751338</v>
      </c>
      <c r="AQ143">
        <v>0.24991801572739003</v>
      </c>
      <c r="AR143">
        <v>1.3242090217537918E-2</v>
      </c>
      <c r="AS143">
        <v>0.56908698609203179</v>
      </c>
      <c r="AT143">
        <v>8.6342762793749969E-3</v>
      </c>
      <c r="AU143">
        <v>1.7222542387967589E-2</v>
      </c>
      <c r="AV143">
        <v>2.1436975096579768E-3</v>
      </c>
      <c r="AW143">
        <v>6.6095822841243865E-2</v>
      </c>
      <c r="AX143">
        <v>3.1531127255191561E-2</v>
      </c>
      <c r="AY143">
        <v>5.6414519836272018E-3</v>
      </c>
      <c r="AZ143">
        <v>1.5305612090045096E-3</v>
      </c>
      <c r="BA143">
        <v>1.7221941128039403E-2</v>
      </c>
      <c r="BB143">
        <v>9.5961436654820848E-2</v>
      </c>
      <c r="BC143">
        <v>4.1104680742547174E-2</v>
      </c>
      <c r="BD143">
        <v>0</v>
      </c>
      <c r="BE143">
        <v>8.5716269189974124E-4</v>
      </c>
      <c r="BF143">
        <v>1.2981894389857409E-3</v>
      </c>
      <c r="BG143">
        <v>6.4980912581995325</v>
      </c>
      <c r="BH143">
        <v>1.4476379174247433E-2</v>
      </c>
      <c r="BI143">
        <v>0.30549713716384386</v>
      </c>
      <c r="BJ143">
        <v>0.71596650913092907</v>
      </c>
      <c r="BK143">
        <v>1.5826182837315861</v>
      </c>
      <c r="BL143">
        <v>6.384302704488338E-3</v>
      </c>
      <c r="BM143">
        <v>0.59443268182241094</v>
      </c>
      <c r="BN143">
        <v>3.4214072942238363</v>
      </c>
      <c r="BO143">
        <v>1.2840397951277234E-2</v>
      </c>
      <c r="BP143">
        <v>0</v>
      </c>
      <c r="BQ143">
        <v>0</v>
      </c>
      <c r="BR143">
        <v>1.4345248791493236E-4</v>
      </c>
      <c r="BS143">
        <v>0</v>
      </c>
      <c r="BT143">
        <v>0.26022629151300108</v>
      </c>
      <c r="BU143">
        <v>0.36776971161704031</v>
      </c>
      <c r="BV143">
        <v>10.325891619991705</v>
      </c>
      <c r="BW143">
        <v>1.8749262089389787</v>
      </c>
      <c r="BX143">
        <v>8.3813832286201961</v>
      </c>
      <c r="BY143">
        <v>0.94956257039147107</v>
      </c>
      <c r="BZ143">
        <v>0</v>
      </c>
      <c r="CA143">
        <v>1.6981299167518098E-2</v>
      </c>
      <c r="CB143">
        <v>0.26160475559911522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1.3618299067420321</v>
      </c>
      <c r="FZ143">
        <v>2.2893254934964493</v>
      </c>
      <c r="GA143">
        <v>3.4288315172779003</v>
      </c>
      <c r="GB143">
        <v>5.0374826329386853</v>
      </c>
      <c r="GC143">
        <v>8.6040038398983185</v>
      </c>
      <c r="GD143">
        <v>0.10000469101901875</v>
      </c>
      <c r="GE143">
        <v>0.16667162180636894</v>
      </c>
      <c r="GF143">
        <v>0.2921196632160471</v>
      </c>
      <c r="GG143">
        <v>0.69187951717801199</v>
      </c>
      <c r="GH143">
        <v>6.3146888157435583</v>
      </c>
      <c r="GI143">
        <v>0.10212307590667939</v>
      </c>
      <c r="GJ143">
        <v>0.1458967501643067</v>
      </c>
      <c r="GK143">
        <v>0.21696091615518254</v>
      </c>
      <c r="GL143">
        <v>0.87067572410967009</v>
      </c>
      <c r="GM143">
        <v>17.881556860942002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27.499372085246506</v>
      </c>
      <c r="GX143">
        <v>14.47844353291525</v>
      </c>
      <c r="GY143">
        <v>0</v>
      </c>
      <c r="GZ143">
        <v>22.602674873173012</v>
      </c>
      <c r="HA143">
        <v>149.16055146172417</v>
      </c>
    </row>
    <row r="144" spans="1:209" x14ac:dyDescent="0.75">
      <c r="A144" t="s">
        <v>342</v>
      </c>
      <c r="AC144">
        <v>0</v>
      </c>
      <c r="AF144">
        <v>0</v>
      </c>
      <c r="AI144">
        <v>2.6637616480579496</v>
      </c>
      <c r="AJ144">
        <v>0.54363646169369961</v>
      </c>
      <c r="AK144">
        <v>0.30715740888060045</v>
      </c>
      <c r="AL144">
        <v>3.6765501542729757E-3</v>
      </c>
      <c r="AM144">
        <v>0.14435636522416845</v>
      </c>
      <c r="AN144">
        <v>10.829796815199572</v>
      </c>
      <c r="AP144">
        <v>4.5342826926158617</v>
      </c>
      <c r="AQ144">
        <v>3.3858626563072241</v>
      </c>
      <c r="AR144">
        <v>0.16516445576069161</v>
      </c>
      <c r="AS144">
        <v>0.70730338065166498</v>
      </c>
      <c r="AT144">
        <v>0.24753273518772043</v>
      </c>
      <c r="AU144">
        <v>0.36306466172605123</v>
      </c>
      <c r="AV144">
        <v>2.8873898607484471E-3</v>
      </c>
      <c r="AW144">
        <v>3.1913295680179488</v>
      </c>
      <c r="AX144">
        <v>0.35564648980083624</v>
      </c>
      <c r="AY144">
        <v>0.90885007107989535</v>
      </c>
      <c r="AZ144">
        <v>2.6898295559648427E-2</v>
      </c>
      <c r="BA144">
        <v>8.7547362846205115</v>
      </c>
      <c r="BB144">
        <v>2.8480353706183092</v>
      </c>
      <c r="BC144">
        <v>0.40820282255598056</v>
      </c>
      <c r="BD144">
        <v>0.63822218635318739</v>
      </c>
      <c r="BE144">
        <v>3.1878524102716951E-2</v>
      </c>
      <c r="BF144">
        <v>2.1377671818554034</v>
      </c>
      <c r="BG144">
        <v>6.2257371925918905</v>
      </c>
      <c r="BH144">
        <v>7.4460570601259937</v>
      </c>
      <c r="BI144">
        <v>15.387730280985785</v>
      </c>
      <c r="BJ144">
        <v>15.881046190963374</v>
      </c>
      <c r="BK144">
        <v>0.91423779465747024</v>
      </c>
      <c r="BL144">
        <v>0.21141441680248341</v>
      </c>
      <c r="BM144">
        <v>13.049389382779756</v>
      </c>
      <c r="BN144">
        <v>2.8968041802494406</v>
      </c>
      <c r="BO144">
        <v>4.768760370126611E-2</v>
      </c>
      <c r="BP144">
        <v>2.6207200874445657</v>
      </c>
      <c r="BQ144">
        <v>0.53685534645465105</v>
      </c>
      <c r="BR144">
        <v>0.53796524111843769</v>
      </c>
      <c r="BT144">
        <v>2.8915826033093732</v>
      </c>
      <c r="BU144">
        <v>1.2938832095017017</v>
      </c>
      <c r="BV144">
        <v>9.2105813643888208</v>
      </c>
      <c r="BW144">
        <v>8.2750509283048714</v>
      </c>
      <c r="BX144">
        <v>2.5995101507720646</v>
      </c>
      <c r="BY144">
        <v>0.9077661009585748</v>
      </c>
      <c r="BZ144">
        <v>3.1303666590235869E-3</v>
      </c>
      <c r="CA144">
        <v>0.20129630864733392</v>
      </c>
      <c r="CB144">
        <v>4.23220714197085</v>
      </c>
      <c r="CC144">
        <v>0.5355960501966025</v>
      </c>
      <c r="DF144">
        <v>0</v>
      </c>
      <c r="DI144">
        <v>0</v>
      </c>
      <c r="DL144">
        <v>0</v>
      </c>
      <c r="DT144">
        <v>0</v>
      </c>
      <c r="DU144">
        <v>0</v>
      </c>
      <c r="EB144">
        <v>0</v>
      </c>
      <c r="EG144">
        <v>0</v>
      </c>
      <c r="EI144">
        <v>0</v>
      </c>
      <c r="EK144">
        <v>0</v>
      </c>
      <c r="EL144">
        <v>0</v>
      </c>
      <c r="EO144">
        <v>0</v>
      </c>
      <c r="EV144">
        <v>0</v>
      </c>
      <c r="FY144">
        <v>0.19126172055341037</v>
      </c>
      <c r="FZ144">
        <v>0.44142945205174483</v>
      </c>
      <c r="GA144">
        <v>0.93960703098243492</v>
      </c>
      <c r="GB144">
        <v>1.5317715858667882</v>
      </c>
      <c r="GC144">
        <v>2.645053032074554</v>
      </c>
      <c r="GD144">
        <v>3.7564552364859914E-2</v>
      </c>
      <c r="GE144">
        <v>8.5265245320163996E-2</v>
      </c>
      <c r="GF144">
        <v>0.23175019295050375</v>
      </c>
      <c r="GG144">
        <v>0.50581276058194258</v>
      </c>
      <c r="GH144">
        <v>2.824585062902361</v>
      </c>
      <c r="GI144">
        <v>9.6267722936593456E-2</v>
      </c>
      <c r="GJ144">
        <v>0.14540920555544834</v>
      </c>
      <c r="GK144">
        <v>0.31197927507356077</v>
      </c>
      <c r="GL144">
        <v>0.99553828001181355</v>
      </c>
      <c r="GM144">
        <v>11.10468945750012</v>
      </c>
      <c r="GZ144">
        <v>1.3261801670351849</v>
      </c>
      <c r="HA144">
        <v>162.52046376223046</v>
      </c>
    </row>
    <row r="145" spans="1:209" x14ac:dyDescent="0.75">
      <c r="A145" t="s">
        <v>343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0.13991876064508774</v>
      </c>
      <c r="AJ145">
        <v>0.97845104118726001</v>
      </c>
      <c r="AK145">
        <v>0</v>
      </c>
      <c r="AL145">
        <v>1.4228113037384544E-5</v>
      </c>
      <c r="AM145">
        <v>4.3493030430719309E-2</v>
      </c>
      <c r="AN145">
        <v>0.44950955460879488</v>
      </c>
      <c r="AO145">
        <v>0</v>
      </c>
      <c r="AP145">
        <v>0.59319989108154214</v>
      </c>
      <c r="AQ145">
        <v>2.0888265586797705</v>
      </c>
      <c r="AR145">
        <v>4.7523526393754177E-3</v>
      </c>
      <c r="AS145">
        <v>0.10392501039802891</v>
      </c>
      <c r="AT145">
        <v>3.1203315357120728E-2</v>
      </c>
      <c r="AU145">
        <v>5.6002493460803403E-2</v>
      </c>
      <c r="AV145">
        <v>8.3925426093617533E-4</v>
      </c>
      <c r="AW145">
        <v>0.558325694474756</v>
      </c>
      <c r="AX145">
        <v>1.6696852581651194E-2</v>
      </c>
      <c r="AY145">
        <v>0.12797955662326563</v>
      </c>
      <c r="AZ145">
        <v>1.6566199764515739E-2</v>
      </c>
      <c r="BA145">
        <v>6.4099559433694903E-3</v>
      </c>
      <c r="BB145">
        <v>9.6888748438206829E-2</v>
      </c>
      <c r="BC145">
        <v>0.10116893384443468</v>
      </c>
      <c r="BD145">
        <v>1.1922730640911641E-2</v>
      </c>
      <c r="BE145">
        <v>0.13221413491940193</v>
      </c>
      <c r="BF145">
        <v>2.0739073058449208E-4</v>
      </c>
      <c r="BG145">
        <v>0</v>
      </c>
      <c r="BH145">
        <v>0.40092799940840967</v>
      </c>
      <c r="BI145">
        <v>1.3992837881682345</v>
      </c>
      <c r="BJ145">
        <v>1.8005805895161424</v>
      </c>
      <c r="BK145">
        <v>0.27534197420259737</v>
      </c>
      <c r="BL145">
        <v>0.22115363573469027</v>
      </c>
      <c r="BM145">
        <v>7.9550200616793134</v>
      </c>
      <c r="BN145">
        <v>0.25238783952574417</v>
      </c>
      <c r="BO145">
        <v>4.692917367655253E-3</v>
      </c>
      <c r="BP145">
        <v>0</v>
      </c>
      <c r="BQ145">
        <v>0</v>
      </c>
      <c r="BR145">
        <v>5.5468845929228545E-6</v>
      </c>
      <c r="BS145">
        <v>0</v>
      </c>
      <c r="BT145">
        <v>1.9920274489218026</v>
      </c>
      <c r="BU145">
        <v>0.37814975361652781</v>
      </c>
      <c r="BV145">
        <v>0</v>
      </c>
      <c r="BW145">
        <v>7.6740967143230137</v>
      </c>
      <c r="BX145">
        <v>0.79274609141941732</v>
      </c>
      <c r="BY145">
        <v>0.18361026841213271</v>
      </c>
      <c r="BZ145">
        <v>0</v>
      </c>
      <c r="CA145">
        <v>1.4705983641916881E-2</v>
      </c>
      <c r="CB145">
        <v>1.5802852064475421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0.38075787000047023</v>
      </c>
      <c r="FZ145">
        <v>0.72717252947424804</v>
      </c>
      <c r="GA145">
        <v>1.1315618226809367</v>
      </c>
      <c r="GB145">
        <v>1.9214087359468444</v>
      </c>
      <c r="GC145">
        <v>3.7367092910505146</v>
      </c>
      <c r="GD145">
        <v>7.7132360712814207E-2</v>
      </c>
      <c r="GE145">
        <v>0.17889937987060286</v>
      </c>
      <c r="GF145">
        <v>0.3804559495501974</v>
      </c>
      <c r="GG145">
        <v>0.54988384107333221</v>
      </c>
      <c r="GH145">
        <v>2.7085597704352438</v>
      </c>
      <c r="GI145">
        <v>0.16485819092869106</v>
      </c>
      <c r="GJ145">
        <v>0.22611660058608191</v>
      </c>
      <c r="GK145">
        <v>0.40557075355650035</v>
      </c>
      <c r="GL145">
        <v>1.0795559693122181</v>
      </c>
      <c r="GM145">
        <v>11.076323130154572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55.228497703426562</v>
      </c>
    </row>
    <row r="146" spans="1:209" x14ac:dyDescent="0.75">
      <c r="A146" t="s">
        <v>65</v>
      </c>
      <c r="AC146">
        <v>0</v>
      </c>
      <c r="AF146">
        <v>0</v>
      </c>
      <c r="AI146">
        <v>24.637050160824643</v>
      </c>
      <c r="AK146">
        <v>6.1555339759147218E-2</v>
      </c>
      <c r="AM146">
        <v>5.3684849548774609E-2</v>
      </c>
      <c r="AN146">
        <v>0.47664971589461791</v>
      </c>
      <c r="AP146">
        <v>0.80301045067613441</v>
      </c>
      <c r="AQ146">
        <v>0.86734702324238611</v>
      </c>
      <c r="AS146">
        <v>5.1752419490398249E-4</v>
      </c>
      <c r="AT146">
        <v>0.16016496615620718</v>
      </c>
      <c r="AU146">
        <v>8.4565428943439991E-2</v>
      </c>
      <c r="AW146">
        <v>0.67531804066083723</v>
      </c>
      <c r="AX146">
        <v>5.8983960922951481E-2</v>
      </c>
      <c r="AY146">
        <v>2.7425698760227605E-2</v>
      </c>
      <c r="AZ146">
        <v>2.5111517191770983E-4</v>
      </c>
      <c r="BA146">
        <v>0.52269569588529485</v>
      </c>
      <c r="BB146">
        <v>0.25035855747007923</v>
      </c>
      <c r="BC146">
        <v>1.317290405743674E-2</v>
      </c>
      <c r="BD146">
        <v>1.3597193091101089E-2</v>
      </c>
      <c r="BE146">
        <v>2.65015157427325E-2</v>
      </c>
      <c r="BF146">
        <v>0.84922499361958748</v>
      </c>
      <c r="BG146">
        <v>0.31337961816820231</v>
      </c>
      <c r="BH146">
        <v>0.13437019044128407</v>
      </c>
      <c r="BI146">
        <v>10.97620827614408</v>
      </c>
      <c r="BJ146">
        <v>4.5216474187043927</v>
      </c>
      <c r="BK146">
        <v>1.0714032713553092</v>
      </c>
      <c r="BL146">
        <v>7.8244924613186467E-2</v>
      </c>
      <c r="BM146">
        <v>3.5158620927301181</v>
      </c>
      <c r="BN146">
        <v>0.18897664562820179</v>
      </c>
      <c r="BT146">
        <v>3.6250813984040131</v>
      </c>
      <c r="BU146">
        <v>0.27764655378396996</v>
      </c>
      <c r="BV146">
        <v>63.695006851059361</v>
      </c>
      <c r="BW146">
        <v>5.4779763303606526</v>
      </c>
      <c r="BX146">
        <v>1.3007752551265352</v>
      </c>
      <c r="BY146">
        <v>0.84737405752755379</v>
      </c>
      <c r="BZ146">
        <v>0.1112592444318601</v>
      </c>
      <c r="CB146">
        <v>4.6710551600389749</v>
      </c>
      <c r="DF146">
        <v>0</v>
      </c>
      <c r="DI146">
        <v>0</v>
      </c>
      <c r="DL146">
        <v>0</v>
      </c>
      <c r="DT146">
        <v>0</v>
      </c>
      <c r="DU146">
        <v>0</v>
      </c>
      <c r="EB146">
        <v>0</v>
      </c>
      <c r="EG146">
        <v>0</v>
      </c>
      <c r="EI146">
        <v>0</v>
      </c>
      <c r="EK146">
        <v>0</v>
      </c>
      <c r="EL146">
        <v>0</v>
      </c>
      <c r="EO146">
        <v>0</v>
      </c>
      <c r="EV146">
        <v>0</v>
      </c>
      <c r="FY146">
        <v>1.3048550586374259</v>
      </c>
      <c r="FZ146">
        <v>3.3964309791864569</v>
      </c>
      <c r="GA146">
        <v>5.0111553822565513</v>
      </c>
      <c r="GB146">
        <v>9.5556878884535159</v>
      </c>
      <c r="GC146">
        <v>18.846947797056561</v>
      </c>
      <c r="GD146">
        <v>7.5228522659375796E-2</v>
      </c>
      <c r="GE146">
        <v>7.1969618472647046E-3</v>
      </c>
      <c r="GF146">
        <v>0.31270312886322721</v>
      </c>
      <c r="GG146">
        <v>0.76758869127747242</v>
      </c>
      <c r="GH146">
        <v>5.588232447972084</v>
      </c>
      <c r="GI146">
        <v>9.8454726136119622E-2</v>
      </c>
      <c r="GJ146">
        <v>0.25515692203490209</v>
      </c>
      <c r="GK146">
        <v>0.1909447178743264</v>
      </c>
      <c r="GL146">
        <v>0.7266450826452745</v>
      </c>
      <c r="GM146">
        <v>16.51368149709209</v>
      </c>
      <c r="GW146">
        <v>749.94783871637276</v>
      </c>
      <c r="GX146">
        <v>395.43881514501334</v>
      </c>
      <c r="GZ146">
        <v>35.802820127863491</v>
      </c>
      <c r="HA146">
        <v>1374.2287262163823</v>
      </c>
    </row>
    <row r="147" spans="1:209" x14ac:dyDescent="0.75">
      <c r="A147" t="s">
        <v>344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4.2398454702058622E-2</v>
      </c>
      <c r="AG147">
        <v>2.8373288507918582E-2</v>
      </c>
      <c r="AH147">
        <v>0</v>
      </c>
      <c r="AI147">
        <v>2.1060739184015742</v>
      </c>
      <c r="AJ147">
        <v>1.8758020931999454E-2</v>
      </c>
      <c r="AK147">
        <v>2.5995975774252424E-2</v>
      </c>
      <c r="AL147">
        <v>0</v>
      </c>
      <c r="AM147">
        <v>4.8582042874200398E-2</v>
      </c>
      <c r="AN147">
        <v>0.65652421312094167</v>
      </c>
      <c r="AO147">
        <v>0</v>
      </c>
      <c r="AP147">
        <v>0.28956006138425722</v>
      </c>
      <c r="AQ147">
        <v>0.86406433168119501</v>
      </c>
      <c r="AR147">
        <v>0.11807779797067662</v>
      </c>
      <c r="AS147">
        <v>5.4871185570277807E-2</v>
      </c>
      <c r="AT147">
        <v>1.5235815530240471E-2</v>
      </c>
      <c r="AU147">
        <v>7.9134965744964827E-2</v>
      </c>
      <c r="AV147">
        <v>0</v>
      </c>
      <c r="AW147">
        <v>0.94517109628051121</v>
      </c>
      <c r="AX147">
        <v>1.9305684864894042E-2</v>
      </c>
      <c r="AY147">
        <v>6.4959952604327076E-2</v>
      </c>
      <c r="AZ147">
        <v>5.4215106930230669E-2</v>
      </c>
      <c r="BA147">
        <v>1.20092783813116E-2</v>
      </c>
      <c r="BB147">
        <v>0.38203131821977881</v>
      </c>
      <c r="BC147">
        <v>5.9593963454854154E-2</v>
      </c>
      <c r="BD147">
        <v>6.4953349089420895E-2</v>
      </c>
      <c r="BE147">
        <v>0.36548690283516821</v>
      </c>
      <c r="BF147">
        <v>1.6710384850131478E-3</v>
      </c>
      <c r="BG147">
        <v>0.84076079214638821</v>
      </c>
      <c r="BH147">
        <v>0.53354335662720365</v>
      </c>
      <c r="BI147">
        <v>1.1987875965812149</v>
      </c>
      <c r="BJ147">
        <v>7.9836780443256794</v>
      </c>
      <c r="BK147">
        <v>12.423637741676259</v>
      </c>
      <c r="BL147">
        <v>0.15865809423748434</v>
      </c>
      <c r="BM147">
        <v>1.3559019500909157</v>
      </c>
      <c r="BN147">
        <v>0.70038731051710013</v>
      </c>
      <c r="BO147">
        <v>8.0705396755822736E-2</v>
      </c>
      <c r="BP147">
        <v>0</v>
      </c>
      <c r="BQ147">
        <v>0</v>
      </c>
      <c r="BR147">
        <v>0</v>
      </c>
      <c r="BS147">
        <v>0</v>
      </c>
      <c r="BT147">
        <v>4.0943044362098571E-2</v>
      </c>
      <c r="BU147">
        <v>1.2867661923406217</v>
      </c>
      <c r="BV147">
        <v>1.4433144888040161</v>
      </c>
      <c r="BW147">
        <v>0.86180028232089345</v>
      </c>
      <c r="BX147">
        <v>0.92213036773057477</v>
      </c>
      <c r="BY147">
        <v>1.0249221371814725</v>
      </c>
      <c r="BZ147">
        <v>6.4944357064451695E-3</v>
      </c>
      <c r="CA147">
        <v>2.5478039171907642E-2</v>
      </c>
      <c r="CB147">
        <v>3.9807922576791559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1057.4010485097169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4.8810905673720963E-2</v>
      </c>
      <c r="FZ147">
        <v>0.15115165097230407</v>
      </c>
      <c r="GA147">
        <v>0.35939292522611993</v>
      </c>
      <c r="GB147">
        <v>0.65800629578919156</v>
      </c>
      <c r="GC147">
        <v>1.6767207606875001</v>
      </c>
      <c r="GD147">
        <v>3.0623179997912205E-3</v>
      </c>
      <c r="GE147">
        <v>1.7726494786739874E-2</v>
      </c>
      <c r="GF147">
        <v>4.0578112096612162E-2</v>
      </c>
      <c r="GG147">
        <v>2.1128222854529585E-2</v>
      </c>
      <c r="GH147">
        <v>1.2091174968991216</v>
      </c>
      <c r="GI147">
        <v>0</v>
      </c>
      <c r="GJ147">
        <v>3.0558875516583237E-2</v>
      </c>
      <c r="GK147">
        <v>4.0913749419868176E-3</v>
      </c>
      <c r="GL147">
        <v>7.6254971254682113E-2</v>
      </c>
      <c r="GM147">
        <v>3.4079232182346315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0.16563225157952138</v>
      </c>
      <c r="HA147">
        <v>1106.4569536758252</v>
      </c>
    </row>
    <row r="148" spans="1:209" x14ac:dyDescent="0.75">
      <c r="A148" t="s">
        <v>66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1.0844366612283032</v>
      </c>
      <c r="AJ148">
        <v>1.3056406253103354</v>
      </c>
      <c r="AK148">
        <v>5.9582301412499865E-2</v>
      </c>
      <c r="AL148">
        <v>0</v>
      </c>
      <c r="AM148">
        <v>3.2486941894906023E-2</v>
      </c>
      <c r="AN148">
        <v>3.2337095138306142</v>
      </c>
      <c r="AO148">
        <v>0</v>
      </c>
      <c r="AP148">
        <v>1.1004856509239991</v>
      </c>
      <c r="AQ148">
        <v>2.6147955422860205</v>
      </c>
      <c r="AR148">
        <v>2.0024858355198811E-2</v>
      </c>
      <c r="AS148">
        <v>1.7394734370630576</v>
      </c>
      <c r="AT148">
        <v>0.30614701472407618</v>
      </c>
      <c r="AU148">
        <v>0.41078750984057322</v>
      </c>
      <c r="AV148">
        <v>2.802786808914087E-3</v>
      </c>
      <c r="AW148">
        <v>0.89812910455896022</v>
      </c>
      <c r="AX148">
        <v>9.5087263853471146E-2</v>
      </c>
      <c r="AY148">
        <v>0.58494754481181932</v>
      </c>
      <c r="AZ148">
        <v>0.24571106633698192</v>
      </c>
      <c r="BA148">
        <v>0.18157178557272904</v>
      </c>
      <c r="BB148">
        <v>0.93743092111796467</v>
      </c>
      <c r="BC148">
        <v>0.73624911505022406</v>
      </c>
      <c r="BD148">
        <v>0.88672992386610228</v>
      </c>
      <c r="BE148">
        <v>0.14301605656407457</v>
      </c>
      <c r="BF148">
        <v>5.6801922023784722E-3</v>
      </c>
      <c r="BG148">
        <v>0.75686748004042725</v>
      </c>
      <c r="BH148">
        <v>0.36329414905396207</v>
      </c>
      <c r="BI148">
        <v>12.69663015135621</v>
      </c>
      <c r="BJ148">
        <v>110.8099048684783</v>
      </c>
      <c r="BK148">
        <v>52.016584440804685</v>
      </c>
      <c r="BL148">
        <v>0.1624907650665382</v>
      </c>
      <c r="BM148">
        <v>3.7728013150991999</v>
      </c>
      <c r="BN148">
        <v>15.839114756441557</v>
      </c>
      <c r="BO148">
        <v>0.18281913879863496</v>
      </c>
      <c r="BP148">
        <v>1.3497067257345883</v>
      </c>
      <c r="BQ148">
        <v>8.6860899941965559E-3</v>
      </c>
      <c r="BR148">
        <v>1.4013202419490281E-4</v>
      </c>
      <c r="BS148">
        <v>0</v>
      </c>
      <c r="BT148">
        <v>0.55477695568950924</v>
      </c>
      <c r="BU148">
        <v>13.61909860278428</v>
      </c>
      <c r="BV148">
        <v>23.322211124909433</v>
      </c>
      <c r="BW148">
        <v>8.8143593561990521</v>
      </c>
      <c r="BX148">
        <v>3.0193513821858731</v>
      </c>
      <c r="BY148">
        <v>5.3252691384042699</v>
      </c>
      <c r="BZ148">
        <v>0.14515560712888073</v>
      </c>
      <c r="CA148">
        <v>7.3445588475710311E-2</v>
      </c>
      <c r="CB148">
        <v>16.430030997865295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1.9831135007166261</v>
      </c>
      <c r="FZ148">
        <v>4.412596559877441</v>
      </c>
      <c r="GA148">
        <v>8.7360657406251896</v>
      </c>
      <c r="GB148">
        <v>17.389574624895925</v>
      </c>
      <c r="GC148">
        <v>44.820817231500399</v>
      </c>
      <c r="GD148">
        <v>0.2530256117791857</v>
      </c>
      <c r="GE148">
        <v>0.3854132474942209</v>
      </c>
      <c r="GF148">
        <v>0.84995138627236211</v>
      </c>
      <c r="GG148">
        <v>3.505588930601065</v>
      </c>
      <c r="GH148">
        <v>29.317814662894357</v>
      </c>
      <c r="GI148">
        <v>0.86306436164035027</v>
      </c>
      <c r="GJ148">
        <v>1.7381616652116889</v>
      </c>
      <c r="GK148">
        <v>3.4048698438996978</v>
      </c>
      <c r="GL148">
        <v>15.814874576002818</v>
      </c>
      <c r="GM148">
        <v>157.00389366039585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96.545856868138699</v>
      </c>
      <c r="HA148">
        <v>672.91234705609384</v>
      </c>
    </row>
    <row r="149" spans="1:209" x14ac:dyDescent="0.75">
      <c r="A149" t="s">
        <v>736</v>
      </c>
      <c r="AC149">
        <v>0</v>
      </c>
      <c r="AF149">
        <v>0</v>
      </c>
      <c r="AI149">
        <v>2.4756425906713272E-2</v>
      </c>
      <c r="AK149">
        <v>7.5508841704682852E-3</v>
      </c>
      <c r="AL149">
        <v>4.448649146549715E-4</v>
      </c>
      <c r="AM149">
        <v>1.5865893418667658E-4</v>
      </c>
      <c r="AN149">
        <v>8.9959112148784437E-3</v>
      </c>
      <c r="AP149">
        <v>3.8191459476288409E-2</v>
      </c>
      <c r="AQ149">
        <v>3.2948997910447697E-2</v>
      </c>
      <c r="AR149">
        <v>4.8870025755037337E-3</v>
      </c>
      <c r="AS149">
        <v>2.1527383778399575E-2</v>
      </c>
      <c r="AT149">
        <v>9.3867825273604349E-2</v>
      </c>
      <c r="AU149">
        <v>1.7738103391557165E-3</v>
      </c>
      <c r="AW149">
        <v>9.0803416492439004E-2</v>
      </c>
      <c r="AX149">
        <v>1.2412098591785177E-3</v>
      </c>
      <c r="AY149">
        <v>2.7630928991072517E-3</v>
      </c>
      <c r="AZ149">
        <v>3.7270175669896575E-3</v>
      </c>
      <c r="BA149">
        <v>9.1951194405272263E-5</v>
      </c>
      <c r="BB149">
        <v>1.6820830866999686E-2</v>
      </c>
      <c r="BC149">
        <v>8.1141867954630902E-3</v>
      </c>
      <c r="BE149">
        <v>6.6392996215974675E-3</v>
      </c>
      <c r="BF149">
        <v>6.4675667032736339E-3</v>
      </c>
      <c r="BG149">
        <v>1.0304509572782153E-2</v>
      </c>
      <c r="BH149">
        <v>3.842814567864079E-4</v>
      </c>
      <c r="BI149">
        <v>0.22355158549910553</v>
      </c>
      <c r="BJ149">
        <v>0.69485201442980926</v>
      </c>
      <c r="BK149">
        <v>0.31718083144647991</v>
      </c>
      <c r="BL149">
        <v>1.3819773738829901E-2</v>
      </c>
      <c r="BM149">
        <v>0.33187928668628502</v>
      </c>
      <c r="BN149">
        <v>0.35590146203638434</v>
      </c>
      <c r="BO149">
        <v>2.2552975017517636E-2</v>
      </c>
      <c r="BP149">
        <v>0.17847797649759031</v>
      </c>
      <c r="BQ149">
        <v>1.0790082342901665E-2</v>
      </c>
      <c r="BR149">
        <v>2.9204279849442201E-4</v>
      </c>
      <c r="BT149">
        <v>1.1966856724010759E-2</v>
      </c>
      <c r="BU149">
        <v>1.6154578502254964</v>
      </c>
      <c r="BV149">
        <v>1.3844434669433254</v>
      </c>
      <c r="BW149">
        <v>0.17070921663036395</v>
      </c>
      <c r="BX149">
        <v>1.7651041071919671E-2</v>
      </c>
      <c r="BY149">
        <v>9.7156317760153668E-2</v>
      </c>
      <c r="CB149">
        <v>0.10526388715241265</v>
      </c>
      <c r="DF149">
        <v>0</v>
      </c>
      <c r="DI149">
        <v>0</v>
      </c>
      <c r="DL149">
        <v>0</v>
      </c>
      <c r="DT149">
        <v>0</v>
      </c>
      <c r="DU149">
        <v>0</v>
      </c>
      <c r="EB149">
        <v>0</v>
      </c>
      <c r="EG149">
        <v>0</v>
      </c>
      <c r="EI149">
        <v>0</v>
      </c>
      <c r="EK149">
        <v>0</v>
      </c>
      <c r="EL149">
        <v>0</v>
      </c>
      <c r="EO149">
        <v>0</v>
      </c>
      <c r="EV149">
        <v>0</v>
      </c>
      <c r="FY149">
        <v>2.061051828947482E-2</v>
      </c>
      <c r="FZ149">
        <v>5.225603332267964E-2</v>
      </c>
      <c r="GA149">
        <v>8.7177765089111403E-2</v>
      </c>
      <c r="GB149">
        <v>0.13894165521332213</v>
      </c>
      <c r="GC149">
        <v>0.1926571993067073</v>
      </c>
      <c r="GD149">
        <v>1.8728589115224314E-3</v>
      </c>
      <c r="GE149">
        <v>3.8921313994191376E-3</v>
      </c>
      <c r="GF149">
        <v>8.9817266985683254E-3</v>
      </c>
      <c r="GG149">
        <v>1.6581694852898302E-2</v>
      </c>
      <c r="GH149">
        <v>8.88870264186256E-2</v>
      </c>
      <c r="GI149">
        <v>4.1238558526090615E-3</v>
      </c>
      <c r="GJ149">
        <v>6.7915904606170177E-3</v>
      </c>
      <c r="GK149">
        <v>1.3221992913133277E-2</v>
      </c>
      <c r="GL149">
        <v>3.8433576959678778E-2</v>
      </c>
      <c r="GM149">
        <v>0.40893921318759446</v>
      </c>
      <c r="GZ149">
        <v>4.283835020751634</v>
      </c>
      <c r="HA149">
        <v>11.301611114151999</v>
      </c>
    </row>
    <row r="150" spans="1:209" x14ac:dyDescent="0.75">
      <c r="A150" t="s">
        <v>345</v>
      </c>
      <c r="AC150">
        <v>0</v>
      </c>
      <c r="AF150">
        <v>0</v>
      </c>
      <c r="AI150">
        <v>0.75908891811417023</v>
      </c>
      <c r="AJ150">
        <v>0.1735697364862179</v>
      </c>
      <c r="AK150">
        <v>7.3934381332295494E-4</v>
      </c>
      <c r="AL150">
        <v>2.1149759803335135E-2</v>
      </c>
      <c r="AN150">
        <v>0.4711731689904512</v>
      </c>
      <c r="AP150">
        <v>0.81502302975552476</v>
      </c>
      <c r="AQ150">
        <v>0.30022549578464108</v>
      </c>
      <c r="AS150">
        <v>0.3151510321911854</v>
      </c>
      <c r="AT150">
        <v>5.869994440405623E-2</v>
      </c>
      <c r="AU150">
        <v>6.9158922453876309E-2</v>
      </c>
      <c r="AV150">
        <v>4.2492099613731805E-4</v>
      </c>
      <c r="AW150">
        <v>1.1140064825535612</v>
      </c>
      <c r="AX150">
        <v>3.5786269948770023E-2</v>
      </c>
      <c r="AY150">
        <v>3.7829332783587792E-2</v>
      </c>
      <c r="AZ150">
        <v>2.7466557353344124E-2</v>
      </c>
      <c r="BA150">
        <v>0.16459842005384878</v>
      </c>
      <c r="BB150">
        <v>0.88325738406739718</v>
      </c>
      <c r="BC150">
        <v>0.18281623546940393</v>
      </c>
      <c r="BD150">
        <v>4.4678719730554942E-2</v>
      </c>
      <c r="BE150">
        <v>2.6760842124302483E-3</v>
      </c>
      <c r="BF150">
        <v>1.3541537101263539</v>
      </c>
      <c r="BG150">
        <v>1.15577229164156</v>
      </c>
      <c r="BH150">
        <v>0.19819296700941841</v>
      </c>
      <c r="BI150">
        <v>7.6113973671440229</v>
      </c>
      <c r="BJ150">
        <v>11.808310464652546</v>
      </c>
      <c r="BK150">
        <v>12.973095828152287</v>
      </c>
      <c r="BL150">
        <v>2.4864513355107296</v>
      </c>
      <c r="BM150">
        <v>2.2956304485838652</v>
      </c>
      <c r="BN150">
        <v>1.8479816906255289</v>
      </c>
      <c r="BO150">
        <v>0.47596499274504023</v>
      </c>
      <c r="BP150">
        <v>1.3847546356052614</v>
      </c>
      <c r="BQ150">
        <v>0.30983079833841604</v>
      </c>
      <c r="BR150">
        <v>1.4359971012600956E-2</v>
      </c>
      <c r="BT150">
        <v>0.76680612726714437</v>
      </c>
      <c r="BU150">
        <v>3.1358171115028455</v>
      </c>
      <c r="BV150">
        <v>78.000626979155072</v>
      </c>
      <c r="BW150">
        <v>15.910146146356048</v>
      </c>
      <c r="BX150">
        <v>6.1484044018652613</v>
      </c>
      <c r="BY150">
        <v>2.5855560127085422</v>
      </c>
      <c r="BZ150">
        <v>0.16483583365797871</v>
      </c>
      <c r="CA150">
        <v>1.4179318911977939E-2</v>
      </c>
      <c r="CB150">
        <v>4.4746521224835352</v>
      </c>
      <c r="CC150">
        <v>5.9543476980413693E-2</v>
      </c>
      <c r="DF150">
        <v>0</v>
      </c>
      <c r="DI150">
        <v>0</v>
      </c>
      <c r="DL150">
        <v>0</v>
      </c>
      <c r="DT150">
        <v>0</v>
      </c>
      <c r="DU150">
        <v>0</v>
      </c>
      <c r="EB150">
        <v>0</v>
      </c>
      <c r="EG150">
        <v>0</v>
      </c>
      <c r="EI150">
        <v>0</v>
      </c>
      <c r="EK150">
        <v>0</v>
      </c>
      <c r="EL150">
        <v>0</v>
      </c>
      <c r="EO150">
        <v>0</v>
      </c>
      <c r="EV150">
        <v>0</v>
      </c>
      <c r="FY150">
        <v>7.7995045499001892</v>
      </c>
      <c r="FZ150">
        <v>20.160324880202424</v>
      </c>
      <c r="GA150">
        <v>30.981549882753139</v>
      </c>
      <c r="GB150">
        <v>52.160261769818476</v>
      </c>
      <c r="GC150">
        <v>80.876059225421997</v>
      </c>
      <c r="GD150">
        <v>0.41457685967006552</v>
      </c>
      <c r="GE150">
        <v>0.95367470089158612</v>
      </c>
      <c r="GF150">
        <v>1.2967282228875079</v>
      </c>
      <c r="GG150">
        <v>2.7572574858365373</v>
      </c>
      <c r="GH150">
        <v>28.170898941581317</v>
      </c>
      <c r="GI150">
        <v>0.64017851889771171</v>
      </c>
      <c r="GJ150">
        <v>1.4048159665515891</v>
      </c>
      <c r="GK150">
        <v>2.2917331400632595</v>
      </c>
      <c r="GL150">
        <v>11.392846008536951</v>
      </c>
      <c r="GM150">
        <v>114.72652456403492</v>
      </c>
      <c r="GZ150">
        <v>8.8340426305740536</v>
      </c>
      <c r="HA150">
        <v>525.51496113862402</v>
      </c>
    </row>
    <row r="151" spans="1:209" x14ac:dyDescent="0.75">
      <c r="A151" t="s">
        <v>346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0.42045948723155174</v>
      </c>
      <c r="U151">
        <v>2.2535360215553867E-2</v>
      </c>
      <c r="V151">
        <v>8.4654499754990009E-3</v>
      </c>
      <c r="W151">
        <v>1.9373159123552863E-2</v>
      </c>
      <c r="X151">
        <v>1.1274793709298538E-2</v>
      </c>
      <c r="Y151">
        <v>5.8206505075295005E-2</v>
      </c>
      <c r="Z151">
        <v>2.5833663240415809E-5</v>
      </c>
      <c r="AA151">
        <v>1.4885599648965474E-5</v>
      </c>
      <c r="AB151">
        <v>4.0950389103406238E-6</v>
      </c>
      <c r="AC151">
        <v>3.6303750559439907E-3</v>
      </c>
      <c r="AD151">
        <v>2.9923782702281684E-2</v>
      </c>
      <c r="AE151">
        <v>1.2957084943000852E-2</v>
      </c>
      <c r="AF151">
        <v>0.1224309250261532</v>
      </c>
      <c r="AG151">
        <v>4.559767197416055E-2</v>
      </c>
      <c r="AH151">
        <v>0</v>
      </c>
      <c r="AI151">
        <v>0.11021245080322993</v>
      </c>
      <c r="AJ151">
        <v>0.1117149131019694</v>
      </c>
      <c r="AK151">
        <v>1.3749417397185004E-2</v>
      </c>
      <c r="AL151">
        <v>1.0778296991577675E-3</v>
      </c>
      <c r="AM151">
        <v>8.0059817314250502E-4</v>
      </c>
      <c r="AN151">
        <v>5.7583259537007332E-2</v>
      </c>
      <c r="AO151">
        <v>0</v>
      </c>
      <c r="AP151">
        <v>0.26814406566712845</v>
      </c>
      <c r="AQ151">
        <v>0.27378138992616491</v>
      </c>
      <c r="AR151">
        <v>4.969286230740973E-3</v>
      </c>
      <c r="AS151">
        <v>8.1306289607754476E-2</v>
      </c>
      <c r="AT151">
        <v>1.9592919602265946E-2</v>
      </c>
      <c r="AU151">
        <v>4.8484611615829135E-2</v>
      </c>
      <c r="AV151">
        <v>4.6408961346766409E-4</v>
      </c>
      <c r="AW151">
        <v>8.1566709073463139E-2</v>
      </c>
      <c r="AX151">
        <v>1.0172785298593039E-2</v>
      </c>
      <c r="AY151">
        <v>3.9733228317369055E-3</v>
      </c>
      <c r="AZ151">
        <v>9.1236803837354656E-3</v>
      </c>
      <c r="BA151">
        <v>5.1410275411865186E-2</v>
      </c>
      <c r="BB151">
        <v>3.7449056155674461E-2</v>
      </c>
      <c r="BC151">
        <v>2.1916431368996861E-2</v>
      </c>
      <c r="BD151">
        <v>7.6062654079544281E-2</v>
      </c>
      <c r="BE151">
        <v>3.9305563883806661E-3</v>
      </c>
      <c r="BF151">
        <v>9.1285118388044303E-2</v>
      </c>
      <c r="BG151">
        <v>1.8083438458069947E-2</v>
      </c>
      <c r="BH151">
        <v>0.30912279259670478</v>
      </c>
      <c r="BI151">
        <v>0.53051901633928966</v>
      </c>
      <c r="BJ151">
        <v>3.6449091112026784</v>
      </c>
      <c r="BK151">
        <v>0.50916285884895585</v>
      </c>
      <c r="BL151">
        <v>0.78489757084484435</v>
      </c>
      <c r="BM151">
        <v>1.173406827214079</v>
      </c>
      <c r="BN151">
        <v>11.58898714797308</v>
      </c>
      <c r="BO151">
        <v>5.9826599168447861E-2</v>
      </c>
      <c r="BP151">
        <v>8.3609571548325015</v>
      </c>
      <c r="BQ151">
        <v>2.587905387369353E-2</v>
      </c>
      <c r="BR151">
        <v>0.17786038166917637</v>
      </c>
      <c r="BS151">
        <v>0</v>
      </c>
      <c r="BT151">
        <v>0.1486541250781824</v>
      </c>
      <c r="BU151">
        <v>0.87008447336125916</v>
      </c>
      <c r="BV151">
        <v>17.952884991621477</v>
      </c>
      <c r="BW151">
        <v>21.848912980735516</v>
      </c>
      <c r="BX151">
        <v>1.6726757346897898</v>
      </c>
      <c r="BY151">
        <v>1.7816885593219984</v>
      </c>
      <c r="BZ151">
        <v>2.5771337565748235E-2</v>
      </c>
      <c r="CA151">
        <v>7.0826637363481368E-2</v>
      </c>
      <c r="CB151">
        <v>1.0196890969069434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2.0148437356848135</v>
      </c>
      <c r="FZ151">
        <v>5.1053658058984448</v>
      </c>
      <c r="GA151">
        <v>8.5251340666902191</v>
      </c>
      <c r="GB151">
        <v>13.669559789811888</v>
      </c>
      <c r="GC151">
        <v>20.046035754343798</v>
      </c>
      <c r="GD151">
        <v>0.18316389467550831</v>
      </c>
      <c r="GE151">
        <v>0.38853342541108271</v>
      </c>
      <c r="GF151">
        <v>0.88410864277631696</v>
      </c>
      <c r="GG151">
        <v>1.6516536526292533</v>
      </c>
      <c r="GH151">
        <v>10.507185361300467</v>
      </c>
      <c r="GI151">
        <v>0.40329393945478387</v>
      </c>
      <c r="GJ151">
        <v>0.66426452696861937</v>
      </c>
      <c r="GK151">
        <v>1.3241317937850055</v>
      </c>
      <c r="GL151">
        <v>3.8207966215042477</v>
      </c>
      <c r="GM151">
        <v>52.414674740194968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16.826708753465578</v>
      </c>
      <c r="HA151">
        <v>213.13792551395011</v>
      </c>
    </row>
    <row r="152" spans="1:209" x14ac:dyDescent="0.75">
      <c r="A152" t="s">
        <v>737</v>
      </c>
      <c r="T152">
        <v>4.4873677295145784E-2</v>
      </c>
      <c r="U152">
        <v>1.5431460165381376E-3</v>
      </c>
      <c r="V152">
        <v>3.1027535281126923E-4</v>
      </c>
      <c r="W152">
        <v>7.1052357836495609E-4</v>
      </c>
      <c r="X152">
        <v>4.132384092266548E-4</v>
      </c>
      <c r="Y152">
        <v>2.1328644243575057E-3</v>
      </c>
      <c r="AC152">
        <v>0</v>
      </c>
      <c r="AF152">
        <v>0</v>
      </c>
      <c r="AI152">
        <v>5.975394349302849E-2</v>
      </c>
      <c r="AL152">
        <v>4.2612440515460426E-3</v>
      </c>
      <c r="AN152">
        <v>1.0391597185863868E-2</v>
      </c>
      <c r="AP152">
        <v>2.4624149506188915E-2</v>
      </c>
      <c r="AQ152">
        <v>0.17998425681900737</v>
      </c>
      <c r="AS152">
        <v>2.3525415410377555E-3</v>
      </c>
      <c r="AT152">
        <v>4.6957384373806175E-3</v>
      </c>
      <c r="AU152">
        <v>1.7623305621148142E-2</v>
      </c>
      <c r="AW152">
        <v>2.9437505771765833E-4</v>
      </c>
      <c r="AX152">
        <v>1.4854986636837434E-3</v>
      </c>
      <c r="AY152">
        <v>1.8918392310272033E-2</v>
      </c>
      <c r="BA152">
        <v>3.6916601501100342E-2</v>
      </c>
      <c r="BB152">
        <v>2.3786653799224129E-4</v>
      </c>
      <c r="BD152">
        <v>8.4582570040365335E-3</v>
      </c>
      <c r="BF152">
        <v>0</v>
      </c>
      <c r="BH152">
        <v>6.2021007794296645E-2</v>
      </c>
      <c r="BI152">
        <v>6.3834615045265483E-2</v>
      </c>
      <c r="BJ152">
        <v>5.1246172700922621</v>
      </c>
      <c r="BK152">
        <v>1.8594921479268594</v>
      </c>
      <c r="BM152">
        <v>0.36881358210227821</v>
      </c>
      <c r="BN152">
        <v>17.495859949778279</v>
      </c>
      <c r="BO152">
        <v>8.2070134577611498</v>
      </c>
      <c r="BP152">
        <v>8.6585082183049451</v>
      </c>
      <c r="BQ152">
        <v>1.4203918862298314E-2</v>
      </c>
      <c r="BR152">
        <v>2.4784584315094462</v>
      </c>
      <c r="BU152">
        <v>1.0741988626344834</v>
      </c>
      <c r="BV152">
        <v>1.1442832669647569</v>
      </c>
      <c r="BW152">
        <v>9.0253257761573974E-2</v>
      </c>
      <c r="BX152">
        <v>0.13412625479009119</v>
      </c>
      <c r="BY152">
        <v>0.11839268812609982</v>
      </c>
      <c r="BZ152">
        <v>7.0995366011077886E-3</v>
      </c>
      <c r="CA152">
        <v>8.1089184116828906E-3</v>
      </c>
      <c r="CB152">
        <v>8.5202452260543918E-2</v>
      </c>
      <c r="DF152">
        <v>0</v>
      </c>
      <c r="DI152">
        <v>0</v>
      </c>
      <c r="DL152">
        <v>0</v>
      </c>
      <c r="DT152">
        <v>0</v>
      </c>
      <c r="DU152">
        <v>0</v>
      </c>
      <c r="EB152">
        <v>0</v>
      </c>
      <c r="EG152">
        <v>0</v>
      </c>
      <c r="EI152">
        <v>0</v>
      </c>
      <c r="EK152">
        <v>0</v>
      </c>
      <c r="EL152">
        <v>0</v>
      </c>
      <c r="EO152">
        <v>0</v>
      </c>
      <c r="EV152">
        <v>0</v>
      </c>
      <c r="GW152">
        <v>8.1880631597239004E-2</v>
      </c>
      <c r="GX152">
        <v>4.3110024423262394E-2</v>
      </c>
      <c r="GZ152">
        <v>1.0260132243072033</v>
      </c>
      <c r="HA152">
        <v>48.565473209861572</v>
      </c>
    </row>
    <row r="153" spans="1:209" x14ac:dyDescent="0.75">
      <c r="A153" t="s">
        <v>738</v>
      </c>
      <c r="AC153">
        <v>0</v>
      </c>
      <c r="AF153">
        <v>0</v>
      </c>
      <c r="AI153">
        <v>1.207940240370724</v>
      </c>
      <c r="AJ153">
        <v>2.0245751844828005E-2</v>
      </c>
      <c r="AK153">
        <v>3.1874717807389812E-2</v>
      </c>
      <c r="AL153">
        <v>0.10158598034748292</v>
      </c>
      <c r="AM153">
        <v>1.6897327410967177E-2</v>
      </c>
      <c r="AN153">
        <v>0.7941380362209568</v>
      </c>
      <c r="AO153">
        <v>2.9981404361742511E-2</v>
      </c>
      <c r="AP153">
        <v>1.0857994705815532</v>
      </c>
      <c r="AQ153">
        <v>1.2007538162388101</v>
      </c>
      <c r="AR153">
        <v>0.26530058300773429</v>
      </c>
      <c r="AS153">
        <v>0.27812930876952224</v>
      </c>
      <c r="AT153">
        <v>8.848829895652438E-2</v>
      </c>
      <c r="AU153">
        <v>4.9955112458809167E-2</v>
      </c>
      <c r="AV153">
        <v>1.6591428118951418E-3</v>
      </c>
      <c r="AW153">
        <v>0.22845759520257808</v>
      </c>
      <c r="AX153">
        <v>4.4396104170055635E-2</v>
      </c>
      <c r="AY153">
        <v>8.1803731297167739E-2</v>
      </c>
      <c r="AZ153">
        <v>2.956738897033948E-3</v>
      </c>
      <c r="BA153">
        <v>0.32412670214324946</v>
      </c>
      <c r="BB153">
        <v>0.39508308181320378</v>
      </c>
      <c r="BC153">
        <v>0.1562730062149873</v>
      </c>
      <c r="BD153">
        <v>0.10180935178766905</v>
      </c>
      <c r="BE153">
        <v>8.7737724420698104E-2</v>
      </c>
      <c r="BF153">
        <v>1.2743360080812668E-2</v>
      </c>
      <c r="BG153">
        <v>0.86356068245738138</v>
      </c>
      <c r="BH153">
        <v>0.10425786505803096</v>
      </c>
      <c r="BI153">
        <v>2.7968613884050657</v>
      </c>
      <c r="BJ153">
        <v>16.605066627358497</v>
      </c>
      <c r="BK153">
        <v>1.588912262153904</v>
      </c>
      <c r="BL153">
        <v>4.0993869150011866E-2</v>
      </c>
      <c r="BM153">
        <v>0.87293078871478713</v>
      </c>
      <c r="BN153">
        <v>1.2433740879614479</v>
      </c>
      <c r="BO153">
        <v>0.32861709942428646</v>
      </c>
      <c r="BP153">
        <v>0.52757070110423332</v>
      </c>
      <c r="BR153">
        <v>1.0345767169783326</v>
      </c>
      <c r="BT153">
        <v>0.34775847923644754</v>
      </c>
      <c r="BU153">
        <v>1.1271784511557297</v>
      </c>
      <c r="BV153">
        <v>0.93571670678481134</v>
      </c>
      <c r="BW153">
        <v>0.32272900614351674</v>
      </c>
      <c r="BX153">
        <v>0.24926360735414288</v>
      </c>
      <c r="BY153">
        <v>5.0883050754093898E-2</v>
      </c>
      <c r="BZ153">
        <v>6.9850290504959939E-3</v>
      </c>
      <c r="CA153">
        <v>0.20894459366250184</v>
      </c>
      <c r="CB153">
        <v>1.0666544594756646</v>
      </c>
      <c r="DF153">
        <v>0</v>
      </c>
      <c r="DI153">
        <v>0</v>
      </c>
      <c r="DL153">
        <v>0</v>
      </c>
      <c r="DT153">
        <v>0</v>
      </c>
      <c r="DU153">
        <v>0</v>
      </c>
      <c r="EB153">
        <v>0</v>
      </c>
      <c r="EG153">
        <v>0</v>
      </c>
      <c r="EI153">
        <v>0</v>
      </c>
      <c r="EK153">
        <v>0</v>
      </c>
      <c r="EL153">
        <v>0</v>
      </c>
      <c r="EO153">
        <v>0</v>
      </c>
      <c r="EV153">
        <v>0</v>
      </c>
      <c r="FY153">
        <v>4.5272682417143812</v>
      </c>
      <c r="FZ153">
        <v>5.8098654183957565</v>
      </c>
      <c r="GA153">
        <v>7.1052301451486723</v>
      </c>
      <c r="GB153">
        <v>7.6143902419690805</v>
      </c>
      <c r="GC153">
        <v>6.3879545249649112</v>
      </c>
      <c r="GD153">
        <v>0.30444362694471983</v>
      </c>
      <c r="GE153">
        <v>0.31866992462444654</v>
      </c>
      <c r="GF153">
        <v>0.51541572144294834</v>
      </c>
      <c r="GG153">
        <v>0.6848434302642159</v>
      </c>
      <c r="GH153">
        <v>3.255222250652356</v>
      </c>
      <c r="GI153">
        <v>0.12795650527581412</v>
      </c>
      <c r="GJ153">
        <v>0.23616980925803258</v>
      </c>
      <c r="GK153">
        <v>0.31780580808797387</v>
      </c>
      <c r="GL153">
        <v>0.89264519140839527</v>
      </c>
      <c r="GM153">
        <v>10.291596904597927</v>
      </c>
      <c r="GN153">
        <v>23.112958214597963</v>
      </c>
      <c r="GZ153">
        <v>23.107168998931378</v>
      </c>
      <c r="HA153">
        <v>131.54057701787875</v>
      </c>
    </row>
    <row r="154" spans="1:209" x14ac:dyDescent="0.75">
      <c r="A154" t="s">
        <v>739</v>
      </c>
      <c r="AC154">
        <v>0</v>
      </c>
      <c r="AF154">
        <v>0</v>
      </c>
      <c r="AI154">
        <v>0.34678545907793423</v>
      </c>
      <c r="AJ154">
        <v>2.3415834833293868E-2</v>
      </c>
      <c r="AK154">
        <v>2.1630266992644486E-2</v>
      </c>
      <c r="AL154">
        <v>4.2118811607580534E-3</v>
      </c>
      <c r="AM154">
        <v>1.6721375472085319E-2</v>
      </c>
      <c r="AN154">
        <v>0.25035709296394409</v>
      </c>
      <c r="AP154">
        <v>0.57646351855689515</v>
      </c>
      <c r="AQ154">
        <v>0.66654434047859845</v>
      </c>
      <c r="AS154">
        <v>2.6529898515658044E-2</v>
      </c>
      <c r="AT154">
        <v>0.12233604365613793</v>
      </c>
      <c r="AU154">
        <v>2.4295329705526465E-2</v>
      </c>
      <c r="AW154">
        <v>0.20653838346779466</v>
      </c>
      <c r="AX154">
        <v>1.2096358309156664E-2</v>
      </c>
      <c r="AY154">
        <v>1.2090704843264721E-2</v>
      </c>
      <c r="AZ154">
        <v>1.1173218573885372E-2</v>
      </c>
      <c r="BA154">
        <v>0.21142556603142271</v>
      </c>
      <c r="BB154">
        <v>1.0288007015441913</v>
      </c>
      <c r="BC154">
        <v>7.7515499684845862E-2</v>
      </c>
      <c r="BD154">
        <v>7.380737024620658E-2</v>
      </c>
      <c r="BE154">
        <v>6.7556465778969468E-2</v>
      </c>
      <c r="BF154">
        <v>0</v>
      </c>
      <c r="BG154">
        <v>1.2554211412812506</v>
      </c>
      <c r="BH154">
        <v>0.23542938439604272</v>
      </c>
      <c r="BI154">
        <v>4.0274368764850959</v>
      </c>
      <c r="BJ154">
        <v>4.8239708773889172</v>
      </c>
      <c r="BK154">
        <v>8.6012697106601941</v>
      </c>
      <c r="BL154">
        <v>4.3255898426463442E-2</v>
      </c>
      <c r="BM154">
        <v>1.4128282671636294</v>
      </c>
      <c r="BN154">
        <v>0.12438317207104704</v>
      </c>
      <c r="BO154">
        <v>5.8995443872001049E-2</v>
      </c>
      <c r="BP154">
        <v>0.17820724753169112</v>
      </c>
      <c r="BQ154">
        <v>3.8034138420226717E-2</v>
      </c>
      <c r="BR154">
        <v>4.4670019462456659E-4</v>
      </c>
      <c r="BT154">
        <v>0.13147458090064709</v>
      </c>
      <c r="BU154">
        <v>1.8290561387617206</v>
      </c>
      <c r="BV154">
        <v>4.2768614971507368</v>
      </c>
      <c r="BW154">
        <v>0.54893802199927455</v>
      </c>
      <c r="BX154">
        <v>0.44333105888709584</v>
      </c>
      <c r="BY154">
        <v>0.97226958859648915</v>
      </c>
      <c r="BZ154">
        <v>0.14679585313271265</v>
      </c>
      <c r="CA154">
        <v>2.1024858689815545E-2</v>
      </c>
      <c r="CB154">
        <v>0.67857612127933298</v>
      </c>
      <c r="DF154">
        <v>0</v>
      </c>
      <c r="DI154">
        <v>0</v>
      </c>
      <c r="DL154">
        <v>0</v>
      </c>
      <c r="DT154">
        <v>0</v>
      </c>
      <c r="DU154">
        <v>0</v>
      </c>
      <c r="EB154">
        <v>0</v>
      </c>
      <c r="EG154">
        <v>0</v>
      </c>
      <c r="EI154">
        <v>0</v>
      </c>
      <c r="EK154">
        <v>0</v>
      </c>
      <c r="EL154">
        <v>0</v>
      </c>
      <c r="EO154">
        <v>0</v>
      </c>
      <c r="EV154">
        <v>0</v>
      </c>
      <c r="FY154">
        <v>2.2973688542529684</v>
      </c>
      <c r="FZ154">
        <v>2.9484369691764756</v>
      </c>
      <c r="GA154">
        <v>3.605909907384155</v>
      </c>
      <c r="GB154">
        <v>3.8638999726156955</v>
      </c>
      <c r="GC154">
        <v>3.2404481006927512</v>
      </c>
      <c r="GD154">
        <v>0.15444515769744041</v>
      </c>
      <c r="GE154">
        <v>0.161667367339625</v>
      </c>
      <c r="GF154">
        <v>0.26148104514355525</v>
      </c>
      <c r="GG154">
        <v>0.34743118930683758</v>
      </c>
      <c r="GH154">
        <v>1.6511427541967385</v>
      </c>
      <c r="GI154">
        <v>6.4914632418718726E-2</v>
      </c>
      <c r="GJ154">
        <v>0.11981018590367168</v>
      </c>
      <c r="GK154">
        <v>0.16122811419902941</v>
      </c>
      <c r="GL154">
        <v>0.45284024171910969</v>
      </c>
      <c r="GM154">
        <v>5.2178996581755239</v>
      </c>
      <c r="GZ154">
        <v>0.97285105497517832</v>
      </c>
      <c r="HA154">
        <v>59.150077092379711</v>
      </c>
    </row>
    <row r="155" spans="1:209" x14ac:dyDescent="0.75">
      <c r="A155" t="s">
        <v>740</v>
      </c>
      <c r="AC155">
        <v>0</v>
      </c>
      <c r="AF155">
        <v>0</v>
      </c>
      <c r="AI155">
        <v>0.67361232114175096</v>
      </c>
      <c r="AJ155">
        <v>0.38877666965011176</v>
      </c>
      <c r="AK155">
        <v>1.1616537688723798E-2</v>
      </c>
      <c r="AL155">
        <v>5.208576677105916E-2</v>
      </c>
      <c r="AM155">
        <v>9.247726558745617E-3</v>
      </c>
      <c r="AN155">
        <v>0.86949185369332471</v>
      </c>
      <c r="AP155">
        <v>0.57034880465782467</v>
      </c>
      <c r="AQ155">
        <v>0.35804045216415409</v>
      </c>
      <c r="AR155">
        <v>0.18760087668901568</v>
      </c>
      <c r="AS155">
        <v>1.1328406947640381</v>
      </c>
      <c r="AT155">
        <v>0.13793969074904355</v>
      </c>
      <c r="AU155">
        <v>0.10415317559619881</v>
      </c>
      <c r="AV155">
        <v>9.4401247227666775E-3</v>
      </c>
      <c r="AW155">
        <v>1.6721163603876459</v>
      </c>
      <c r="AX155">
        <v>7.5150894942676655E-2</v>
      </c>
      <c r="AY155">
        <v>5.2945214324110021E-2</v>
      </c>
      <c r="AZ155">
        <v>0.12963519319823069</v>
      </c>
      <c r="BA155">
        <v>7.7034622777006401E-2</v>
      </c>
      <c r="BB155">
        <v>1.2995950985299347</v>
      </c>
      <c r="BC155">
        <v>8.5499079453619994E-2</v>
      </c>
      <c r="BD155">
        <v>0.10068757455035879</v>
      </c>
      <c r="BE155">
        <v>1.9482007101932357E-2</v>
      </c>
      <c r="BF155">
        <v>0.12470193856045238</v>
      </c>
      <c r="BG155">
        <v>0.68333937461256322</v>
      </c>
      <c r="BH155">
        <v>0.19851327594835472</v>
      </c>
      <c r="BI155">
        <v>4.3938202079141719</v>
      </c>
      <c r="BJ155">
        <v>12.665823548109739</v>
      </c>
      <c r="BK155">
        <v>6.6069152776031572</v>
      </c>
      <c r="BL155">
        <v>0.13784898649606805</v>
      </c>
      <c r="BM155">
        <v>2.2146834544971683</v>
      </c>
      <c r="BN155">
        <v>1.4043096685596539</v>
      </c>
      <c r="BO155">
        <v>1.4977861532601353</v>
      </c>
      <c r="BP155">
        <v>5.5974198777097772</v>
      </c>
      <c r="BQ155">
        <v>0.24269699578504977</v>
      </c>
      <c r="BR155">
        <v>35.47376809053258</v>
      </c>
      <c r="BT155">
        <v>1.1109610785247688</v>
      </c>
      <c r="BU155">
        <v>2.7176031916392756</v>
      </c>
      <c r="BV155">
        <v>8.1309115390834608E-4</v>
      </c>
      <c r="BW155">
        <v>2.9110026083208056</v>
      </c>
      <c r="BX155">
        <v>0.26895885845421263</v>
      </c>
      <c r="BY155">
        <v>1.3383896745879382</v>
      </c>
      <c r="BZ155">
        <v>9.384360639509913E-2</v>
      </c>
      <c r="CA155">
        <v>4.73969103408554E-2</v>
      </c>
      <c r="CB155">
        <v>2.2211501076877354</v>
      </c>
      <c r="DF155">
        <v>0</v>
      </c>
      <c r="DI155">
        <v>0</v>
      </c>
      <c r="DL155">
        <v>0</v>
      </c>
      <c r="DT155">
        <v>0</v>
      </c>
      <c r="DU155">
        <v>0</v>
      </c>
      <c r="EB155">
        <v>0</v>
      </c>
      <c r="EG155">
        <v>0</v>
      </c>
      <c r="EI155">
        <v>0</v>
      </c>
      <c r="EK155">
        <v>0</v>
      </c>
      <c r="EL155">
        <v>0</v>
      </c>
      <c r="EO155">
        <v>0</v>
      </c>
      <c r="EV155">
        <v>0</v>
      </c>
      <c r="FY155">
        <v>6.6122119905772552</v>
      </c>
      <c r="FZ155">
        <v>8.4849123673556868</v>
      </c>
      <c r="GA155">
        <v>10.376459169310639</v>
      </c>
      <c r="GB155">
        <v>11.121134930843736</v>
      </c>
      <c r="GC155">
        <v>9.332838519513567</v>
      </c>
      <c r="GD155">
        <v>0.44477090329539182</v>
      </c>
      <c r="GE155">
        <v>0.46554061273931852</v>
      </c>
      <c r="GF155">
        <v>0.75296184940235622</v>
      </c>
      <c r="GG155">
        <v>1.0004866935564856</v>
      </c>
      <c r="GH155">
        <v>4.7563019538062719</v>
      </c>
      <c r="GI155">
        <v>0.18693036730088053</v>
      </c>
      <c r="GJ155">
        <v>0.34502616691224564</v>
      </c>
      <c r="GK155">
        <v>0.46428058080507761</v>
      </c>
      <c r="GL155">
        <v>1.3040958733707657</v>
      </c>
      <c r="GM155">
        <v>15.043550732936952</v>
      </c>
      <c r="GZ155">
        <v>9.2589185817961445E-5</v>
      </c>
      <c r="HA155">
        <v>160.66068201771816</v>
      </c>
    </row>
    <row r="156" spans="1:209" x14ac:dyDescent="0.75">
      <c r="A156" t="s">
        <v>741</v>
      </c>
      <c r="AC156">
        <v>0</v>
      </c>
      <c r="AF156">
        <v>0</v>
      </c>
      <c r="AI156">
        <v>0</v>
      </c>
      <c r="AP156">
        <v>0</v>
      </c>
      <c r="AQ156">
        <v>0</v>
      </c>
      <c r="BA156">
        <v>0</v>
      </c>
      <c r="BF156">
        <v>0</v>
      </c>
      <c r="BH156">
        <v>0</v>
      </c>
      <c r="BJ156">
        <v>0</v>
      </c>
      <c r="BK156">
        <v>0</v>
      </c>
      <c r="BN156">
        <v>0</v>
      </c>
      <c r="BU156">
        <v>0</v>
      </c>
      <c r="BV156">
        <v>3.1798432842953717</v>
      </c>
      <c r="BW156">
        <v>0.66757227708385891</v>
      </c>
      <c r="CB156">
        <v>1.2779975333554022E-2</v>
      </c>
      <c r="DF156">
        <v>0</v>
      </c>
      <c r="DI156">
        <v>0</v>
      </c>
      <c r="DL156">
        <v>0</v>
      </c>
      <c r="DT156">
        <v>0</v>
      </c>
      <c r="DU156">
        <v>0</v>
      </c>
      <c r="EB156">
        <v>0</v>
      </c>
      <c r="EG156">
        <v>0</v>
      </c>
      <c r="EI156">
        <v>0</v>
      </c>
      <c r="EK156">
        <v>0</v>
      </c>
      <c r="EL156">
        <v>0</v>
      </c>
      <c r="EO156">
        <v>0</v>
      </c>
      <c r="EV156">
        <v>0</v>
      </c>
      <c r="FY156">
        <v>11.744496498872453</v>
      </c>
      <c r="FZ156">
        <v>15.855699642791759</v>
      </c>
      <c r="GA156">
        <v>21.07617341113253</v>
      </c>
      <c r="GB156">
        <v>28.85192979849246</v>
      </c>
      <c r="GC156">
        <v>42.145646481062442</v>
      </c>
      <c r="GD156">
        <v>1.3384599609481165</v>
      </c>
      <c r="GE156">
        <v>2.0973058990018463</v>
      </c>
      <c r="GF156">
        <v>3.3607137420096018</v>
      </c>
      <c r="GG156">
        <v>6.9719047214168066</v>
      </c>
      <c r="GH156">
        <v>41.888056839621058</v>
      </c>
      <c r="GI156">
        <v>2.2071235475451498</v>
      </c>
      <c r="GJ156">
        <v>3.2956809327072083</v>
      </c>
      <c r="GK156">
        <v>6.1341429832923868</v>
      </c>
      <c r="GL156">
        <v>15.011170568998677</v>
      </c>
      <c r="GM156">
        <v>207.90270817873528</v>
      </c>
      <c r="GZ156">
        <v>0.3620298025850025</v>
      </c>
      <c r="HA156">
        <v>414.10343854592554</v>
      </c>
    </row>
    <row r="157" spans="1:209" x14ac:dyDescent="0.75">
      <c r="A157" t="s">
        <v>348</v>
      </c>
      <c r="AC157">
        <v>0</v>
      </c>
      <c r="AF157">
        <v>0</v>
      </c>
      <c r="AI157">
        <v>1.3100779668263036</v>
      </c>
      <c r="AJ157">
        <v>1.4568014609375965</v>
      </c>
      <c r="AL157">
        <v>3.8296282892822262E-2</v>
      </c>
      <c r="AM157">
        <v>4.824752430962074E-3</v>
      </c>
      <c r="AN157">
        <v>0.12485158745290288</v>
      </c>
      <c r="AP157">
        <v>2.003479353198566</v>
      </c>
      <c r="AQ157">
        <v>0.33026892721238016</v>
      </c>
      <c r="AS157">
        <v>1.1030374572092592</v>
      </c>
      <c r="AT157">
        <v>0.22410010034766839</v>
      </c>
      <c r="AU157">
        <v>0.88055415579718721</v>
      </c>
      <c r="AW157">
        <v>0.68156679817871546</v>
      </c>
      <c r="AY157">
        <v>4.8768870506097718E-2</v>
      </c>
      <c r="AZ157">
        <v>7.5052481682797809E-2</v>
      </c>
      <c r="BA157">
        <v>3.9699574175696688E-2</v>
      </c>
      <c r="BB157">
        <v>0.43246372618167783</v>
      </c>
      <c r="BC157">
        <v>1.0106135177348525E-2</v>
      </c>
      <c r="BD157">
        <v>4.4350836929118349E-2</v>
      </c>
      <c r="BE157">
        <v>0.15495379811677124</v>
      </c>
      <c r="BF157">
        <v>0.11251742005697013</v>
      </c>
      <c r="BG157">
        <v>0.72360051057068342</v>
      </c>
      <c r="BH157">
        <v>0.73593672093511031</v>
      </c>
      <c r="BI157">
        <v>4.2776058542175308</v>
      </c>
      <c r="BJ157">
        <v>102.56300516077562</v>
      </c>
      <c r="BK157">
        <v>4.2210502438525079</v>
      </c>
      <c r="BM157">
        <v>11.849198003650329</v>
      </c>
      <c r="BN157">
        <v>6.5292775281604962</v>
      </c>
      <c r="BO157">
        <v>1.1217492627720504</v>
      </c>
      <c r="BP157">
        <v>15.14415172914353</v>
      </c>
      <c r="BR157">
        <v>2.3644875508596888E-3</v>
      </c>
      <c r="BT157">
        <v>1.4832197444280371</v>
      </c>
      <c r="BU157">
        <v>3.5203190820432324</v>
      </c>
      <c r="BV157">
        <v>12.641893275973366</v>
      </c>
      <c r="BW157">
        <v>0.14001015302936748</v>
      </c>
      <c r="BX157">
        <v>0.69887964002047598</v>
      </c>
      <c r="BY157">
        <v>3.6744164956926562</v>
      </c>
      <c r="BZ157">
        <v>1.3437702007230372</v>
      </c>
      <c r="CA157">
        <v>1.008037509255451</v>
      </c>
      <c r="CB157">
        <v>10.128936599088002</v>
      </c>
      <c r="DF157">
        <v>0</v>
      </c>
      <c r="DI157">
        <v>0</v>
      </c>
      <c r="DL157">
        <v>0</v>
      </c>
      <c r="DT157">
        <v>0</v>
      </c>
      <c r="DU157">
        <v>0</v>
      </c>
      <c r="EB157">
        <v>0</v>
      </c>
      <c r="EG157">
        <v>0</v>
      </c>
      <c r="EI157">
        <v>0</v>
      </c>
      <c r="EK157">
        <v>0</v>
      </c>
      <c r="EL157">
        <v>0</v>
      </c>
      <c r="EO157">
        <v>0</v>
      </c>
      <c r="EV157">
        <v>0</v>
      </c>
      <c r="FY157">
        <v>1.8113290927649404E-13</v>
      </c>
      <c r="FZ157">
        <v>2.4478092246026857E-13</v>
      </c>
      <c r="GA157">
        <v>3.2569048910391838E-13</v>
      </c>
      <c r="GB157">
        <v>4.4619022699109858E-13</v>
      </c>
      <c r="GC157">
        <v>6.5084320846064343E-13</v>
      </c>
      <c r="GD157">
        <v>2.0581526739011619E-14</v>
      </c>
      <c r="GE157">
        <v>3.2262524687245403E-14</v>
      </c>
      <c r="GF157">
        <v>5.1707564652444392E-14</v>
      </c>
      <c r="GG157">
        <v>1.0729398974219457E-13</v>
      </c>
      <c r="GH157">
        <v>6.4459640601562712E-13</v>
      </c>
      <c r="GI157">
        <v>3.3949004129520528E-14</v>
      </c>
      <c r="GJ157">
        <v>5.0664770584983176E-14</v>
      </c>
      <c r="GK157">
        <v>9.4387333945277138E-14</v>
      </c>
      <c r="GL157">
        <v>2.310134451287709E-13</v>
      </c>
      <c r="GM157">
        <v>3.3938647658044033E-12</v>
      </c>
      <c r="GZ157">
        <v>1.4387175496492197</v>
      </c>
      <c r="HA157">
        <v>192.32191143684895</v>
      </c>
    </row>
    <row r="158" spans="1:209" x14ac:dyDescent="0.75">
      <c r="A158" t="s">
        <v>67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0.12396612892889214</v>
      </c>
      <c r="AA158">
        <v>7.1382477957657953E-2</v>
      </c>
      <c r="AB158">
        <v>1.9648805756613728E-2</v>
      </c>
      <c r="AC158">
        <v>3.2075898215306063E-2</v>
      </c>
      <c r="AD158">
        <v>0.23549821187990497</v>
      </c>
      <c r="AE158">
        <v>0.10200038133002658</v>
      </c>
      <c r="AF158">
        <v>0</v>
      </c>
      <c r="AG158">
        <v>0</v>
      </c>
      <c r="AH158">
        <v>0</v>
      </c>
      <c r="AI158">
        <v>4.4469654834714731</v>
      </c>
      <c r="AJ158">
        <v>8.8229745509390931E-2</v>
      </c>
      <c r="AK158">
        <v>0.10454956500108521</v>
      </c>
      <c r="AL158">
        <v>6.5714918758892515E-2</v>
      </c>
      <c r="AM158">
        <v>7.4179838884444751E-2</v>
      </c>
      <c r="AN158">
        <v>1.4457742504400763</v>
      </c>
      <c r="AO158">
        <v>0</v>
      </c>
      <c r="AP158">
        <v>3.0233997513322439</v>
      </c>
      <c r="AQ158">
        <v>5.7455350082183863</v>
      </c>
      <c r="AR158">
        <v>1.4588811662530553E-2</v>
      </c>
      <c r="AS158">
        <v>0.44873564447239256</v>
      </c>
      <c r="AT158">
        <v>0.34127766522274833</v>
      </c>
      <c r="AU158">
        <v>0.67400677880330373</v>
      </c>
      <c r="AV158">
        <v>7.5445495267749216E-3</v>
      </c>
      <c r="AW158">
        <v>2.2102495667962745</v>
      </c>
      <c r="AX158">
        <v>0.46852090366254551</v>
      </c>
      <c r="AY158">
        <v>0.37889790610647345</v>
      </c>
      <c r="AZ158">
        <v>0.72844327151650834</v>
      </c>
      <c r="BA158">
        <v>1.7618813583093811</v>
      </c>
      <c r="BB158">
        <v>1.0271724238546727</v>
      </c>
      <c r="BC158">
        <v>0.36254839348824186</v>
      </c>
      <c r="BD158">
        <v>0.24380181200014922</v>
      </c>
      <c r="BE158">
        <v>0.28588905671032117</v>
      </c>
      <c r="BF158">
        <v>0.11101429420050629</v>
      </c>
      <c r="BG158">
        <v>2.3634469972175145</v>
      </c>
      <c r="BH158">
        <v>1.4636202391815778</v>
      </c>
      <c r="BI158">
        <v>103.09891714152178</v>
      </c>
      <c r="BJ158">
        <v>46.039385443572016</v>
      </c>
      <c r="BK158">
        <v>22.094737627538841</v>
      </c>
      <c r="BL158">
        <v>0.2469559839737937</v>
      </c>
      <c r="BM158">
        <v>8.1452954812426963</v>
      </c>
      <c r="BN158">
        <v>21.48190651675073</v>
      </c>
      <c r="BO158">
        <v>1.1255845241690918</v>
      </c>
      <c r="BP158">
        <v>11.554353015569024</v>
      </c>
      <c r="BQ158">
        <v>6.8933133852723047</v>
      </c>
      <c r="BR158">
        <v>6.6782288729345551E-2</v>
      </c>
      <c r="BS158">
        <v>0</v>
      </c>
      <c r="BT158">
        <v>3.0746575056573846</v>
      </c>
      <c r="BU158">
        <v>12.058261655291036</v>
      </c>
      <c r="BV158">
        <v>329.48199182856649</v>
      </c>
      <c r="BW158">
        <v>35.492674514439933</v>
      </c>
      <c r="BX158">
        <v>20.776733306294165</v>
      </c>
      <c r="BY158">
        <v>8.8865057056269823</v>
      </c>
      <c r="BZ158">
        <v>0.26845247369555375</v>
      </c>
      <c r="CA158">
        <v>0.65095042780538159</v>
      </c>
      <c r="CB158">
        <v>35.953586641518896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0.97435636801217995</v>
      </c>
      <c r="FZ158">
        <v>1.6728942758576499</v>
      </c>
      <c r="GA158">
        <v>2.6753555091688241</v>
      </c>
      <c r="GB158">
        <v>4.5065878066490699</v>
      </c>
      <c r="GC158">
        <v>7.8442123207903904</v>
      </c>
      <c r="GD158">
        <v>7.6965969338125953E-2</v>
      </c>
      <c r="GE158">
        <v>0.1472690740880146</v>
      </c>
      <c r="GF158">
        <v>0.15473036361852227</v>
      </c>
      <c r="GG158">
        <v>0.45186019018966334</v>
      </c>
      <c r="GH158">
        <v>6.2757729931630095</v>
      </c>
      <c r="GI158">
        <v>4.1508171683626277E-2</v>
      </c>
      <c r="GJ158">
        <v>6.0950074937101806E-2</v>
      </c>
      <c r="GK158">
        <v>0.43544567243769883</v>
      </c>
      <c r="GL158">
        <v>1.3095439875781114</v>
      </c>
      <c r="GM158">
        <v>12.83124472116606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42.04329494332768</v>
      </c>
      <c r="HA158">
        <v>777.36359804765755</v>
      </c>
    </row>
    <row r="159" spans="1:209" x14ac:dyDescent="0.75">
      <c r="A159" t="s">
        <v>349</v>
      </c>
      <c r="AC159">
        <v>0</v>
      </c>
      <c r="AF159">
        <v>0</v>
      </c>
      <c r="AI159">
        <v>0</v>
      </c>
      <c r="AP159">
        <v>0</v>
      </c>
      <c r="AQ159">
        <v>0</v>
      </c>
      <c r="BA159">
        <v>0</v>
      </c>
      <c r="BF159">
        <v>0</v>
      </c>
      <c r="BH159">
        <v>0</v>
      </c>
      <c r="BI159">
        <v>10.748883516887414</v>
      </c>
      <c r="BJ159">
        <v>0</v>
      </c>
      <c r="BK159">
        <v>11.396414407144233</v>
      </c>
      <c r="BN159">
        <v>11.528000469531255</v>
      </c>
      <c r="BU159">
        <v>0</v>
      </c>
      <c r="DF159">
        <v>0</v>
      </c>
      <c r="DI159">
        <v>0</v>
      </c>
      <c r="DL159">
        <v>0</v>
      </c>
      <c r="DT159">
        <v>0</v>
      </c>
      <c r="DU159">
        <v>0</v>
      </c>
      <c r="EB159">
        <v>0</v>
      </c>
      <c r="EG159">
        <v>0</v>
      </c>
      <c r="EI159">
        <v>0</v>
      </c>
      <c r="EK159">
        <v>0</v>
      </c>
      <c r="EL159">
        <v>0</v>
      </c>
      <c r="EO159">
        <v>0</v>
      </c>
      <c r="EV159">
        <v>0</v>
      </c>
      <c r="FY159">
        <v>1.222635961496076</v>
      </c>
      <c r="FZ159">
        <v>1.7209536764261864</v>
      </c>
      <c r="GA159">
        <v>2.4322985389470881</v>
      </c>
      <c r="GB159">
        <v>4.3087942410790019</v>
      </c>
      <c r="GC159">
        <v>7.0264298699217695</v>
      </c>
      <c r="GD159">
        <v>0.15147624824676412</v>
      </c>
      <c r="GE159">
        <v>7.5296672459812364E-2</v>
      </c>
      <c r="GF159">
        <v>0.10928860778171738</v>
      </c>
      <c r="GG159">
        <v>0.62104511737653401</v>
      </c>
      <c r="GH159">
        <v>4.0060933275340282</v>
      </c>
      <c r="GI159">
        <v>2.2101458956356734E-2</v>
      </c>
      <c r="GJ159">
        <v>3.6894395444283294E-2</v>
      </c>
      <c r="GK159">
        <v>0.19975634187231742</v>
      </c>
      <c r="GL159">
        <v>0.40344880096416175</v>
      </c>
      <c r="GM159">
        <v>20.244522500809524</v>
      </c>
      <c r="GN159">
        <v>886.06494742340283</v>
      </c>
      <c r="GZ159">
        <v>146.46918125206741</v>
      </c>
      <c r="HA159">
        <v>1108.7884628283487</v>
      </c>
    </row>
    <row r="160" spans="1:209" x14ac:dyDescent="0.75">
      <c r="A160" t="s">
        <v>350</v>
      </c>
      <c r="AC160">
        <v>0</v>
      </c>
      <c r="AF160">
        <v>0</v>
      </c>
      <c r="AI160">
        <v>2.1077884829239404E-2</v>
      </c>
      <c r="AK160">
        <v>8.3585134874297473E-3</v>
      </c>
      <c r="AM160">
        <v>1.8269346263902538E-3</v>
      </c>
      <c r="AN160">
        <v>1.9561935383619872E-4</v>
      </c>
      <c r="AP160">
        <v>5.2753881493217657E-2</v>
      </c>
      <c r="AQ160">
        <v>7.2112024167145759E-3</v>
      </c>
      <c r="AS160">
        <v>8.8051777464114203E-2</v>
      </c>
      <c r="AT160">
        <v>4.7553300381118226E-4</v>
      </c>
      <c r="AU160">
        <v>7.2189647932969808E-2</v>
      </c>
      <c r="AV160">
        <v>1.1274849831525004E-4</v>
      </c>
      <c r="AW160">
        <v>7.3784461604987526E-4</v>
      </c>
      <c r="AX160">
        <v>3.5203198395595471E-2</v>
      </c>
      <c r="AY160">
        <v>1.9142609462577679E-2</v>
      </c>
      <c r="AZ160">
        <v>1.010689263837988E-4</v>
      </c>
      <c r="BA160">
        <v>1.5342536255574843E-2</v>
      </c>
      <c r="BB160">
        <v>4.1402720024999512E-3</v>
      </c>
      <c r="BD160">
        <v>8.5331767662692379E-4</v>
      </c>
      <c r="BE160">
        <v>3.638395980848288E-3</v>
      </c>
      <c r="BF160">
        <v>3.1742266838327413E-2</v>
      </c>
      <c r="BG160">
        <v>0.13306163239980823</v>
      </c>
      <c r="BH160">
        <v>5.1806575668850052E-2</v>
      </c>
      <c r="BI160">
        <v>0.16503867813208919</v>
      </c>
      <c r="BJ160">
        <v>0.27734586235039826</v>
      </c>
      <c r="BK160">
        <v>2.8743157534103214</v>
      </c>
      <c r="BL160">
        <v>6.6504858541892797E-4</v>
      </c>
      <c r="BM160">
        <v>0.1626796047078321</v>
      </c>
      <c r="BN160">
        <v>0.16889523657011524</v>
      </c>
      <c r="BO160">
        <v>6.8930382142678853E-2</v>
      </c>
      <c r="BP160">
        <v>0.33490302510989273</v>
      </c>
      <c r="BQ160">
        <v>1.137803600248047E-2</v>
      </c>
      <c r="BR160">
        <v>2.2958770119475648E-2</v>
      </c>
      <c r="BT160">
        <v>3.7568800699036364E-4</v>
      </c>
      <c r="BU160">
        <v>0.8780511399154951</v>
      </c>
      <c r="BW160">
        <v>4.1308838207382479</v>
      </c>
      <c r="BX160">
        <v>1.3426782907914108</v>
      </c>
      <c r="BY160">
        <v>5.6475610780053511</v>
      </c>
      <c r="BZ160">
        <v>2.0159565304845702E-4</v>
      </c>
      <c r="CB160">
        <v>1.0542684425436659</v>
      </c>
      <c r="DF160">
        <v>0</v>
      </c>
      <c r="DI160">
        <v>0</v>
      </c>
      <c r="DL160">
        <v>0</v>
      </c>
      <c r="DT160">
        <v>0</v>
      </c>
      <c r="DU160">
        <v>0</v>
      </c>
      <c r="EB160">
        <v>0</v>
      </c>
      <c r="EG160">
        <v>0</v>
      </c>
      <c r="EI160">
        <v>0</v>
      </c>
      <c r="EK160">
        <v>0</v>
      </c>
      <c r="EL160">
        <v>0</v>
      </c>
      <c r="EO160">
        <v>0</v>
      </c>
      <c r="EV160">
        <v>0</v>
      </c>
      <c r="FY160">
        <v>3.6549866830666966</v>
      </c>
      <c r="FZ160">
        <v>6.7077083156482233</v>
      </c>
      <c r="GA160">
        <v>12.038586757039512</v>
      </c>
      <c r="GB160">
        <v>18.897695508886336</v>
      </c>
      <c r="GC160">
        <v>35.525485599189537</v>
      </c>
      <c r="GD160">
        <v>0.39646484890407768</v>
      </c>
      <c r="GE160">
        <v>0.82048649641405502</v>
      </c>
      <c r="GF160">
        <v>1.0975699824648377</v>
      </c>
      <c r="GG160">
        <v>3.6448413672527087</v>
      </c>
      <c r="GH160">
        <v>26.119319152080195</v>
      </c>
      <c r="GI160">
        <v>0.23212968402210113</v>
      </c>
      <c r="GJ160">
        <v>0.63300416897311018</v>
      </c>
      <c r="GK160">
        <v>1.5749748573801343</v>
      </c>
      <c r="GL160">
        <v>5.2049163398185261</v>
      </c>
      <c r="GM160">
        <v>93.500552694333606</v>
      </c>
      <c r="GN160">
        <v>131.46378485320332</v>
      </c>
      <c r="HA160">
        <v>359.20166122279107</v>
      </c>
    </row>
    <row r="161" spans="1:209" x14ac:dyDescent="0.75">
      <c r="A161" t="s">
        <v>351</v>
      </c>
      <c r="AC161">
        <v>0</v>
      </c>
      <c r="AF161">
        <v>0</v>
      </c>
      <c r="AI161">
        <v>0</v>
      </c>
      <c r="AP161">
        <v>0</v>
      </c>
      <c r="AQ161">
        <v>0</v>
      </c>
      <c r="BA161">
        <v>0</v>
      </c>
      <c r="BF161">
        <v>0</v>
      </c>
      <c r="BH161">
        <v>0</v>
      </c>
      <c r="BJ161">
        <v>0</v>
      </c>
      <c r="BK161">
        <v>0</v>
      </c>
      <c r="BN161">
        <v>0</v>
      </c>
      <c r="BU161">
        <v>0</v>
      </c>
      <c r="BV161">
        <v>0.18601199268495092</v>
      </c>
      <c r="DF161">
        <v>0</v>
      </c>
      <c r="DI161">
        <v>0</v>
      </c>
      <c r="DL161">
        <v>0</v>
      </c>
      <c r="DT161">
        <v>0</v>
      </c>
      <c r="DU161">
        <v>0</v>
      </c>
      <c r="EB161">
        <v>0</v>
      </c>
      <c r="EG161">
        <v>0</v>
      </c>
      <c r="EI161">
        <v>0</v>
      </c>
      <c r="EK161">
        <v>0</v>
      </c>
      <c r="EL161">
        <v>0</v>
      </c>
      <c r="EO161">
        <v>0</v>
      </c>
      <c r="EV161">
        <v>0</v>
      </c>
      <c r="FY161">
        <v>12.086539765372958</v>
      </c>
      <c r="FZ161">
        <v>16.615446992287982</v>
      </c>
      <c r="GA161">
        <v>19.401748658101237</v>
      </c>
      <c r="GB161">
        <v>20.955047812954433</v>
      </c>
      <c r="GC161">
        <v>39.03624017283542</v>
      </c>
      <c r="GD161">
        <v>0.80686808397333776</v>
      </c>
      <c r="GE161">
        <v>1.2146138227002863</v>
      </c>
      <c r="GF161">
        <v>2.4687119282146712</v>
      </c>
      <c r="GG161">
        <v>2.1983369711087932</v>
      </c>
      <c r="GH161">
        <v>13.822885893795799</v>
      </c>
      <c r="GI161">
        <v>1.1294060836692819</v>
      </c>
      <c r="GJ161">
        <v>0.61994397505315668</v>
      </c>
      <c r="GK161">
        <v>2.6703365145502831</v>
      </c>
      <c r="GL161">
        <v>2.3434731872573358</v>
      </c>
      <c r="GM161">
        <v>54.650448778657392</v>
      </c>
      <c r="GN161">
        <v>22.270327268357978</v>
      </c>
      <c r="GZ161">
        <v>2.1181534514900052E-2</v>
      </c>
      <c r="HA161">
        <v>212.49756943609023</v>
      </c>
    </row>
    <row r="162" spans="1:209" x14ac:dyDescent="0.75">
      <c r="A162" t="s">
        <v>743</v>
      </c>
      <c r="AC162">
        <v>0</v>
      </c>
      <c r="AF162">
        <v>0</v>
      </c>
      <c r="AI162">
        <v>0</v>
      </c>
      <c r="AP162">
        <v>0</v>
      </c>
      <c r="AQ162">
        <v>0</v>
      </c>
      <c r="BA162">
        <v>0</v>
      </c>
      <c r="BF162">
        <v>0</v>
      </c>
      <c r="BH162">
        <v>0</v>
      </c>
      <c r="BJ162">
        <v>0</v>
      </c>
      <c r="BK162">
        <v>0</v>
      </c>
      <c r="BN162">
        <v>0</v>
      </c>
      <c r="BU162">
        <v>0</v>
      </c>
      <c r="DF162">
        <v>0</v>
      </c>
      <c r="DI162">
        <v>0</v>
      </c>
      <c r="DL162">
        <v>0</v>
      </c>
      <c r="DT162">
        <v>0</v>
      </c>
      <c r="DU162">
        <v>0</v>
      </c>
      <c r="EB162">
        <v>0</v>
      </c>
      <c r="EG162">
        <v>0</v>
      </c>
      <c r="EI162">
        <v>0</v>
      </c>
      <c r="EK162">
        <v>0</v>
      </c>
      <c r="EL162">
        <v>0</v>
      </c>
      <c r="EO162">
        <v>0</v>
      </c>
      <c r="EV162">
        <v>0</v>
      </c>
      <c r="FZ162">
        <v>3.2071160359206083E-2</v>
      </c>
      <c r="GA162">
        <v>2.743722204174941E-2</v>
      </c>
      <c r="GB162">
        <v>2.6223899046404046E-2</v>
      </c>
      <c r="GC162">
        <v>2.2140948326485138E-2</v>
      </c>
      <c r="GD162">
        <v>0.30802525058551361</v>
      </c>
      <c r="GF162">
        <v>6.3441942792579475E-2</v>
      </c>
      <c r="GH162">
        <v>9.3127687242093388E-2</v>
      </c>
      <c r="GJ162">
        <v>0.2270517218509395</v>
      </c>
      <c r="GK162">
        <v>2.5908671534669251E-3</v>
      </c>
      <c r="GM162">
        <v>6.2844568496482882</v>
      </c>
      <c r="GN162">
        <v>90.711287252664022</v>
      </c>
      <c r="HA162">
        <v>97.797854801710741</v>
      </c>
    </row>
    <row r="163" spans="1:209" x14ac:dyDescent="0.75">
      <c r="A163" t="s">
        <v>744</v>
      </c>
      <c r="AC163">
        <v>0</v>
      </c>
      <c r="AF163">
        <v>0</v>
      </c>
      <c r="AI163">
        <v>0</v>
      </c>
      <c r="AP163">
        <v>0</v>
      </c>
      <c r="AQ163">
        <v>0</v>
      </c>
      <c r="BA163">
        <v>0</v>
      </c>
      <c r="BF163">
        <v>0</v>
      </c>
      <c r="BH163">
        <v>0</v>
      </c>
      <c r="BJ163">
        <v>0</v>
      </c>
      <c r="BK163">
        <v>0</v>
      </c>
      <c r="BN163">
        <v>0</v>
      </c>
      <c r="BU163">
        <v>0</v>
      </c>
      <c r="BV163">
        <v>6.4367803649513792E-4</v>
      </c>
      <c r="DF163">
        <v>0</v>
      </c>
      <c r="DI163">
        <v>0</v>
      </c>
      <c r="DL163">
        <v>0</v>
      </c>
      <c r="DT163">
        <v>0</v>
      </c>
      <c r="DU163">
        <v>0</v>
      </c>
      <c r="EB163">
        <v>0</v>
      </c>
      <c r="EG163">
        <v>0</v>
      </c>
      <c r="EI163">
        <v>0</v>
      </c>
      <c r="EK163">
        <v>0</v>
      </c>
      <c r="EL163">
        <v>0</v>
      </c>
      <c r="EO163">
        <v>0</v>
      </c>
      <c r="EV163">
        <v>0</v>
      </c>
      <c r="FY163">
        <v>0.47801140799683461</v>
      </c>
      <c r="FZ163">
        <v>0.48083901883104818</v>
      </c>
      <c r="GA163">
        <v>0.49578933658758134</v>
      </c>
      <c r="GB163">
        <v>1.4094577573499689</v>
      </c>
      <c r="GC163">
        <v>0.80232216441955084</v>
      </c>
      <c r="GD163">
        <v>3.2974541364791402E-2</v>
      </c>
      <c r="GF163">
        <v>3.200047812110101E-2</v>
      </c>
      <c r="GG163">
        <v>0.2225384450081348</v>
      </c>
      <c r="GH163">
        <v>2.747109420851388</v>
      </c>
      <c r="GI163">
        <v>1.3630908249923666E-2</v>
      </c>
      <c r="GK163">
        <v>8.9952046507778586E-4</v>
      </c>
      <c r="GL163">
        <v>9.0294034577478338E-2</v>
      </c>
      <c r="GM163">
        <v>8.4372742285918427</v>
      </c>
      <c r="GZ163">
        <v>7.3297580976907221E-5</v>
      </c>
      <c r="HA163">
        <v>15.243858238032194</v>
      </c>
    </row>
    <row r="164" spans="1:209" x14ac:dyDescent="0.75">
      <c r="A164" t="s">
        <v>745</v>
      </c>
      <c r="AC164">
        <v>0</v>
      </c>
      <c r="AF164">
        <v>0</v>
      </c>
      <c r="AI164">
        <v>8.0657213910324183E-2</v>
      </c>
      <c r="AK164">
        <v>1.0438107714930689E-3</v>
      </c>
      <c r="AN164">
        <v>2.4233589777353841E-2</v>
      </c>
      <c r="AP164">
        <v>5.8533255532692334E-2</v>
      </c>
      <c r="AQ164">
        <v>0.34648639664274833</v>
      </c>
      <c r="AS164">
        <v>3.1821529715121803E-2</v>
      </c>
      <c r="AT164">
        <v>1.3783737853554299E-2</v>
      </c>
      <c r="AU164">
        <v>6.9172814630733583E-3</v>
      </c>
      <c r="AV164">
        <v>4.8690017731306881E-4</v>
      </c>
      <c r="AW164">
        <v>1.5043829490973109E-2</v>
      </c>
      <c r="AX164">
        <v>1.610616744617065E-2</v>
      </c>
      <c r="AY164">
        <v>1.5664051287408772E-3</v>
      </c>
      <c r="AZ164">
        <v>3.3913364254505154E-2</v>
      </c>
      <c r="BA164">
        <v>0.12073128384335254</v>
      </c>
      <c r="BB164">
        <v>2.4242560890312763E-3</v>
      </c>
      <c r="BC164">
        <v>1.4641646100918131E-2</v>
      </c>
      <c r="BE164">
        <v>2.5355038839300617E-3</v>
      </c>
      <c r="BF164">
        <v>0.78398722365259021</v>
      </c>
      <c r="BG164">
        <v>0.52587992758853852</v>
      </c>
      <c r="BH164">
        <v>3.5462042714079392E-2</v>
      </c>
      <c r="BI164">
        <v>0.50763684505352358</v>
      </c>
      <c r="BJ164">
        <v>1.1068445188878984</v>
      </c>
      <c r="BK164">
        <v>0.38944838745081101</v>
      </c>
      <c r="BL164">
        <v>9.4957902840648992E-2</v>
      </c>
      <c r="BM164">
        <v>1.4634884589425423</v>
      </c>
      <c r="BN164">
        <v>0.22000162014319979</v>
      </c>
      <c r="BO164">
        <v>5.9721748919513214E-2</v>
      </c>
      <c r="BP164">
        <v>0.10146139509878233</v>
      </c>
      <c r="BQ164">
        <v>8.4080031887884613E-3</v>
      </c>
      <c r="BR164">
        <v>1.2843450338333646E-3</v>
      </c>
      <c r="BT164">
        <v>0.18804537213165004</v>
      </c>
      <c r="BU164">
        <v>0.71113319973930189</v>
      </c>
      <c r="BV164">
        <v>1.3650158667923595</v>
      </c>
      <c r="BW164">
        <v>2.7715771750642522</v>
      </c>
      <c r="BX164">
        <v>0.43721082281654827</v>
      </c>
      <c r="BY164">
        <v>0.40907604508398021</v>
      </c>
      <c r="BZ164">
        <v>3.1683555306937929E-2</v>
      </c>
      <c r="CA164">
        <v>8.9900538792799991E-3</v>
      </c>
      <c r="CB164">
        <v>1.9226446879188739</v>
      </c>
      <c r="DF164">
        <v>0</v>
      </c>
      <c r="DI164">
        <v>0</v>
      </c>
      <c r="DL164">
        <v>0</v>
      </c>
      <c r="DT164">
        <v>0</v>
      </c>
      <c r="DU164">
        <v>0</v>
      </c>
      <c r="EB164">
        <v>0</v>
      </c>
      <c r="EG164">
        <v>0</v>
      </c>
      <c r="EI164">
        <v>0</v>
      </c>
      <c r="EK164">
        <v>0</v>
      </c>
      <c r="EL164">
        <v>0</v>
      </c>
      <c r="EO164">
        <v>0</v>
      </c>
      <c r="EV164">
        <v>0</v>
      </c>
      <c r="FY164">
        <v>1.6681895441539525</v>
      </c>
      <c r="FZ164">
        <v>1.6780560219126144</v>
      </c>
      <c r="GA164">
        <v>1.7302454648171328</v>
      </c>
      <c r="GB164">
        <v>4.9170398471931911</v>
      </c>
      <c r="GC164">
        <v>2.8002750198081729</v>
      </c>
      <c r="GD164">
        <v>0.11510874075268944</v>
      </c>
      <c r="GF164">
        <v>0.11170640474379431</v>
      </c>
      <c r="GG164">
        <v>0.77680184455919654</v>
      </c>
      <c r="GH164">
        <v>9.5894984695045569</v>
      </c>
      <c r="GI164">
        <v>4.7582764508863604E-2</v>
      </c>
      <c r="GK164">
        <v>3.1400518691896925E-3</v>
      </c>
      <c r="GL164">
        <v>0.31519673724629066</v>
      </c>
      <c r="GM164">
        <v>29.458024363430805</v>
      </c>
      <c r="GZ164">
        <v>0.43522535812979918</v>
      </c>
      <c r="HA164">
        <v>67.560976002959478</v>
      </c>
    </row>
    <row r="165" spans="1:209" x14ac:dyDescent="0.75">
      <c r="A165" t="s">
        <v>352</v>
      </c>
      <c r="AC165">
        <v>0</v>
      </c>
      <c r="AF165">
        <v>0</v>
      </c>
      <c r="AI165">
        <v>0</v>
      </c>
      <c r="AP165">
        <v>0</v>
      </c>
      <c r="AQ165">
        <v>0</v>
      </c>
      <c r="BA165">
        <v>0</v>
      </c>
      <c r="BF165">
        <v>0</v>
      </c>
      <c r="BH165">
        <v>0</v>
      </c>
      <c r="BJ165">
        <v>0</v>
      </c>
      <c r="BK165">
        <v>0</v>
      </c>
      <c r="BN165">
        <v>0</v>
      </c>
      <c r="BU165">
        <v>0</v>
      </c>
      <c r="BV165">
        <v>6.6116053462945938</v>
      </c>
      <c r="BW165">
        <v>1.4913916200231785</v>
      </c>
      <c r="BX165">
        <v>6.538813454743668E-2</v>
      </c>
      <c r="DF165">
        <v>0</v>
      </c>
      <c r="DI165">
        <v>0</v>
      </c>
      <c r="DL165">
        <v>0</v>
      </c>
      <c r="DT165">
        <v>0</v>
      </c>
      <c r="DU165">
        <v>0</v>
      </c>
      <c r="EB165">
        <v>0</v>
      </c>
      <c r="EG165">
        <v>0</v>
      </c>
      <c r="EI165">
        <v>0</v>
      </c>
      <c r="EK165">
        <v>0</v>
      </c>
      <c r="EL165">
        <v>0</v>
      </c>
      <c r="EO165">
        <v>0</v>
      </c>
      <c r="EV165">
        <v>0</v>
      </c>
      <c r="FY165">
        <v>9.4463793921004982</v>
      </c>
      <c r="FZ165">
        <v>18.022042280399347</v>
      </c>
      <c r="GA165">
        <v>24.07334647320992</v>
      </c>
      <c r="GB165">
        <v>38.102833644112131</v>
      </c>
      <c r="GC165">
        <v>77.798261528324744</v>
      </c>
      <c r="GD165">
        <v>0.71563889922991508</v>
      </c>
      <c r="GE165">
        <v>0.89376234417284817</v>
      </c>
      <c r="GF165">
        <v>2.0433103208672905</v>
      </c>
      <c r="GG165">
        <v>3.1682685087104154</v>
      </c>
      <c r="GH165">
        <v>42.095092202292079</v>
      </c>
      <c r="GI165">
        <v>0.77839593501104687</v>
      </c>
      <c r="GJ165">
        <v>1.3553533079874966</v>
      </c>
      <c r="GK165">
        <v>2.3742478732497676</v>
      </c>
      <c r="GL165">
        <v>5.8621071055176186</v>
      </c>
      <c r="GM165">
        <v>186.53591618341929</v>
      </c>
      <c r="GZ165">
        <v>0.7525613367504177</v>
      </c>
      <c r="HA165">
        <v>422.18590243622003</v>
      </c>
    </row>
    <row r="166" spans="1:209" x14ac:dyDescent="0.75">
      <c r="A166" t="s">
        <v>746</v>
      </c>
      <c r="AC166">
        <v>0</v>
      </c>
      <c r="AF166">
        <v>0</v>
      </c>
      <c r="AI166">
        <v>0</v>
      </c>
      <c r="AP166">
        <v>0</v>
      </c>
      <c r="AQ166">
        <v>0</v>
      </c>
      <c r="BA166">
        <v>0</v>
      </c>
      <c r="BF166">
        <v>0</v>
      </c>
      <c r="BH166">
        <v>0</v>
      </c>
      <c r="BJ166">
        <v>0</v>
      </c>
      <c r="BK166">
        <v>0</v>
      </c>
      <c r="BN166">
        <v>0</v>
      </c>
      <c r="BU166">
        <v>0</v>
      </c>
      <c r="DF166">
        <v>0</v>
      </c>
      <c r="DI166">
        <v>0</v>
      </c>
      <c r="DL166">
        <v>0</v>
      </c>
      <c r="DT166">
        <v>0</v>
      </c>
      <c r="DU166">
        <v>0</v>
      </c>
      <c r="EB166">
        <v>0</v>
      </c>
      <c r="EG166">
        <v>0</v>
      </c>
      <c r="EI166">
        <v>0</v>
      </c>
      <c r="EK166">
        <v>0</v>
      </c>
      <c r="EL166">
        <v>0</v>
      </c>
      <c r="EO166">
        <v>0</v>
      </c>
      <c r="EV166">
        <v>0</v>
      </c>
      <c r="FZ166">
        <v>0.16115949674614335</v>
      </c>
      <c r="GA166">
        <v>0.31841838747043077</v>
      </c>
      <c r="GB166">
        <v>0.9422195969211361</v>
      </c>
      <c r="GC166">
        <v>3.7296266408141272</v>
      </c>
      <c r="GD166">
        <v>8.5173520651942187E-3</v>
      </c>
      <c r="GE166">
        <v>1.5401865308699417E-2</v>
      </c>
      <c r="GF166">
        <v>5.2124814460556806E-2</v>
      </c>
      <c r="GG166">
        <v>0.21151416557216848</v>
      </c>
      <c r="GH166">
        <v>3.2236872101203655</v>
      </c>
      <c r="GJ166">
        <v>1.1382898261358179E-2</v>
      </c>
      <c r="GK166">
        <v>3.9947143471621406E-2</v>
      </c>
      <c r="GL166">
        <v>0.11670659986926489</v>
      </c>
      <c r="GM166">
        <v>16.581412325568525</v>
      </c>
      <c r="HA166">
        <v>25.41211849664959</v>
      </c>
    </row>
    <row r="167" spans="1:209" x14ac:dyDescent="0.75">
      <c r="A167" t="s">
        <v>747</v>
      </c>
      <c r="AC167">
        <v>0</v>
      </c>
      <c r="AF167">
        <v>0</v>
      </c>
      <c r="AI167">
        <v>4.5489006580545261</v>
      </c>
      <c r="AJ167">
        <v>4.7826667552240067</v>
      </c>
      <c r="AK167">
        <v>0.76072405074030813</v>
      </c>
      <c r="AL167">
        <v>0.51682261339269975</v>
      </c>
      <c r="AM167">
        <v>0.22391462665190767</v>
      </c>
      <c r="AN167">
        <v>17.219931526935977</v>
      </c>
      <c r="AO167">
        <v>1.6100145710606764E-2</v>
      </c>
      <c r="AP167">
        <v>7.1897326385975768</v>
      </c>
      <c r="AQ167">
        <v>9.6132372813087699</v>
      </c>
      <c r="AR167">
        <v>0.11552050932832413</v>
      </c>
      <c r="AS167">
        <v>2.1405892810851785</v>
      </c>
      <c r="AT167">
        <v>1.0335946307138828</v>
      </c>
      <c r="AU167">
        <v>0.82891751133594893</v>
      </c>
      <c r="AV167">
        <v>2.2936776778743765E-3</v>
      </c>
      <c r="AW167">
        <v>2.5495147778674538</v>
      </c>
      <c r="AX167">
        <v>9.2829280418229076E-2</v>
      </c>
      <c r="AY167">
        <v>0.60147965292443606</v>
      </c>
      <c r="AZ167">
        <v>0.30086195598559562</v>
      </c>
      <c r="BA167">
        <v>2.4508999717921602</v>
      </c>
      <c r="BB167">
        <v>5.3668024421611955</v>
      </c>
      <c r="BC167">
        <v>0.28120856570592156</v>
      </c>
      <c r="BD167">
        <v>0.25691600068464637</v>
      </c>
      <c r="BE167">
        <v>0.80337626779534432</v>
      </c>
      <c r="BF167">
        <v>0.603426130143351</v>
      </c>
      <c r="BG167">
        <v>4.680469011761673</v>
      </c>
      <c r="BH167">
        <v>1.2792944552560777</v>
      </c>
      <c r="BI167">
        <v>47.354532510247374</v>
      </c>
      <c r="BJ167">
        <v>28.478772675070683</v>
      </c>
      <c r="BK167">
        <v>18.601647358505105</v>
      </c>
      <c r="BL167">
        <v>0.36951842979393634</v>
      </c>
      <c r="BM167">
        <v>22.541856076933691</v>
      </c>
      <c r="BN167">
        <v>6.6735103714969686</v>
      </c>
      <c r="BO167">
        <v>0.97629113144869006</v>
      </c>
      <c r="BP167">
        <v>3.5154231995070844</v>
      </c>
      <c r="BQ167">
        <v>0.57692140393592251</v>
      </c>
      <c r="BR167">
        <v>2.9315976876760717</v>
      </c>
      <c r="BT167">
        <v>1.1514578274625706</v>
      </c>
      <c r="BU167">
        <v>3.6923574664426138</v>
      </c>
      <c r="BW167">
        <v>3.4476763697968735</v>
      </c>
      <c r="BX167">
        <v>1.1964353377677417</v>
      </c>
      <c r="BY167">
        <v>4.9548448507012462E-2</v>
      </c>
      <c r="BZ167">
        <v>0.17853330137535292</v>
      </c>
      <c r="CA167">
        <v>0.16601917461674204</v>
      </c>
      <c r="CB167">
        <v>5.3664332909387653</v>
      </c>
      <c r="DF167">
        <v>0</v>
      </c>
      <c r="DI167">
        <v>0</v>
      </c>
      <c r="DL167">
        <v>0</v>
      </c>
      <c r="DT167">
        <v>0</v>
      </c>
      <c r="DU167">
        <v>0</v>
      </c>
      <c r="EB167">
        <v>0</v>
      </c>
      <c r="EG167">
        <v>0</v>
      </c>
      <c r="EI167">
        <v>0</v>
      </c>
      <c r="EK167">
        <v>0</v>
      </c>
      <c r="EL167">
        <v>0</v>
      </c>
      <c r="EO167">
        <v>0</v>
      </c>
      <c r="EV167">
        <v>0</v>
      </c>
      <c r="FY167">
        <v>-10.996569499513376</v>
      </c>
      <c r="FZ167">
        <v>-17.213161971321519</v>
      </c>
      <c r="GA167">
        <v>-22.958735542987771</v>
      </c>
      <c r="GB167">
        <v>-31.155183877130096</v>
      </c>
      <c r="GC167">
        <v>-39.792428882069572</v>
      </c>
      <c r="GD167">
        <v>-0.96844749709411115</v>
      </c>
      <c r="GE167">
        <v>-1.4166067921115895</v>
      </c>
      <c r="GF167">
        <v>-2.2313978387595355</v>
      </c>
      <c r="GG167">
        <v>-3.8368837262702891</v>
      </c>
      <c r="GH167">
        <v>-20.507770511527312</v>
      </c>
      <c r="GI167">
        <v>-1.0445761427530995</v>
      </c>
      <c r="GJ167">
        <v>-1.4722149703335365</v>
      </c>
      <c r="GK167">
        <v>-2.5218108556445746</v>
      </c>
      <c r="GL167">
        <v>-6.5086361791993559</v>
      </c>
      <c r="GM167">
        <v>-65.688319148453033</v>
      </c>
      <c r="GZ167">
        <v>316.05534385600868</v>
      </c>
      <c r="HA167">
        <v>303.27115690161679</v>
      </c>
    </row>
    <row r="168" spans="1:209" x14ac:dyDescent="0.75">
      <c r="A168" t="s">
        <v>69</v>
      </c>
      <c r="AC168">
        <v>0</v>
      </c>
      <c r="AF168">
        <v>0</v>
      </c>
      <c r="AI168">
        <v>0</v>
      </c>
      <c r="AP168">
        <v>0</v>
      </c>
      <c r="AQ168">
        <v>0</v>
      </c>
      <c r="BA168">
        <v>0</v>
      </c>
      <c r="BF168">
        <v>0</v>
      </c>
      <c r="BH168">
        <v>0</v>
      </c>
      <c r="BJ168">
        <v>0</v>
      </c>
      <c r="BK168">
        <v>0</v>
      </c>
      <c r="BN168">
        <v>0</v>
      </c>
      <c r="BU168">
        <v>0</v>
      </c>
      <c r="CD168">
        <v>0.52383662899702055</v>
      </c>
      <c r="CE168">
        <v>1.1549749439541743</v>
      </c>
      <c r="CF168">
        <v>0.71543076777466019</v>
      </c>
      <c r="CG168">
        <v>0.8229195556845792</v>
      </c>
      <c r="CH168">
        <v>4.62514242385135E-2</v>
      </c>
      <c r="CI168">
        <v>9.5065863362150171</v>
      </c>
      <c r="CJ168">
        <v>4.6469358127180636</v>
      </c>
      <c r="CK168">
        <v>8.8067267957803175</v>
      </c>
      <c r="CL168">
        <v>0.57213166142638161</v>
      </c>
      <c r="CM168">
        <v>9.6218230552297079</v>
      </c>
      <c r="CN168">
        <v>1.1358549854535971</v>
      </c>
      <c r="CO168">
        <v>8.785664945125859</v>
      </c>
      <c r="CP168">
        <v>1.0847306038411613</v>
      </c>
      <c r="CQ168">
        <v>7.831985652019064</v>
      </c>
      <c r="CR168">
        <v>1.8105313232238027</v>
      </c>
      <c r="CS168">
        <v>1.7582471982096821</v>
      </c>
      <c r="CT168">
        <v>0.99499505464627513</v>
      </c>
      <c r="CU168">
        <v>0.27854055617767565</v>
      </c>
      <c r="CV168">
        <v>6.3563087401005469E-2</v>
      </c>
      <c r="CW168">
        <v>0.14969882294894712</v>
      </c>
      <c r="CX168">
        <v>0.29673674270995859</v>
      </c>
      <c r="CY168">
        <v>4.9598798564040189E-2</v>
      </c>
      <c r="CZ168">
        <v>6.1554875147637154E-2</v>
      </c>
      <c r="DA168">
        <v>6.4733156223136898E-2</v>
      </c>
      <c r="DB168">
        <v>0.42041890987160535</v>
      </c>
      <c r="DC168">
        <v>1.0569370873075248</v>
      </c>
      <c r="DD168">
        <v>0.3753615532732244</v>
      </c>
      <c r="DE168">
        <v>0.18413671140957963</v>
      </c>
      <c r="DF168">
        <v>0.18612090225542943</v>
      </c>
      <c r="DG168">
        <v>0.29981971181679262</v>
      </c>
      <c r="DH168">
        <v>1.3819731605214305</v>
      </c>
      <c r="DI168">
        <v>22.982260595931599</v>
      </c>
      <c r="DJ168">
        <v>2.1983502554127612</v>
      </c>
      <c r="DK168">
        <v>6.7060970410427717E-2</v>
      </c>
      <c r="DL168">
        <v>126.73344119524909</v>
      </c>
      <c r="DM168">
        <v>6.4466208350596412</v>
      </c>
      <c r="DN168">
        <v>1.6955581286219421</v>
      </c>
      <c r="DO168">
        <v>1.6400228357105313</v>
      </c>
      <c r="DP168">
        <v>4.707564902561753</v>
      </c>
      <c r="DQ168">
        <v>0.809485017777136</v>
      </c>
      <c r="DR168">
        <v>26.569941617650841</v>
      </c>
      <c r="DS168">
        <v>0.63889903305734297</v>
      </c>
      <c r="DT168">
        <v>22.396048311742383</v>
      </c>
      <c r="DU168">
        <v>49.176648945382318</v>
      </c>
      <c r="DV168">
        <v>1.7723898668879645</v>
      </c>
      <c r="DW168">
        <v>209.8946630021814</v>
      </c>
      <c r="DX168">
        <v>6.8494117796910077</v>
      </c>
      <c r="DY168">
        <v>3.567005667588599</v>
      </c>
      <c r="DZ168">
        <v>81.661543288015835</v>
      </c>
      <c r="EA168">
        <v>57.290998587735714</v>
      </c>
      <c r="EB168">
        <v>93.061174669539099</v>
      </c>
      <c r="EC168">
        <v>49.470309627779372</v>
      </c>
      <c r="ED168">
        <v>129.03054401319434</v>
      </c>
      <c r="EE168">
        <v>71.854746217440962</v>
      </c>
      <c r="EF168">
        <v>5.8061909389178021</v>
      </c>
      <c r="EG168">
        <v>16.391347386010555</v>
      </c>
      <c r="EI168">
        <v>0</v>
      </c>
      <c r="EK168">
        <v>0</v>
      </c>
      <c r="EL168">
        <v>0</v>
      </c>
      <c r="EO168">
        <v>0</v>
      </c>
      <c r="EV168">
        <v>0</v>
      </c>
      <c r="HA168">
        <v>1057.401048509716</v>
      </c>
    </row>
    <row r="169" spans="1:209" x14ac:dyDescent="0.75">
      <c r="A169" t="s">
        <v>541</v>
      </c>
      <c r="B169">
        <v>8.7838613899291911</v>
      </c>
      <c r="C169">
        <v>20.478504951450084</v>
      </c>
      <c r="D169">
        <v>0.72432016638213126</v>
      </c>
      <c r="E169">
        <v>12.696165093085812</v>
      </c>
      <c r="F169">
        <v>6.1203299820686605E-2</v>
      </c>
      <c r="G169">
        <v>35.124293635303324</v>
      </c>
      <c r="H169">
        <v>31.128001768737594</v>
      </c>
      <c r="I169">
        <v>24.21667720531309</v>
      </c>
      <c r="J169">
        <v>4.6211699818979026</v>
      </c>
      <c r="K169">
        <v>52.960053112746486</v>
      </c>
      <c r="L169">
        <v>4.9022310637985562</v>
      </c>
      <c r="M169">
        <v>38.542521817293306</v>
      </c>
      <c r="N169">
        <v>17.756822407864096</v>
      </c>
      <c r="O169">
        <v>30.033415360280454</v>
      </c>
      <c r="P169">
        <v>5.3602116691321999</v>
      </c>
      <c r="Q169">
        <v>6.476766522463107</v>
      </c>
      <c r="R169">
        <v>2.0070968034513106</v>
      </c>
      <c r="S169">
        <v>0.64724988806243666</v>
      </c>
      <c r="T169">
        <v>25.638885995407293</v>
      </c>
      <c r="U169">
        <v>7.6257253809239849</v>
      </c>
      <c r="V169">
        <v>0.98605052594761211</v>
      </c>
      <c r="W169">
        <v>1.6719516631919138</v>
      </c>
      <c r="X169">
        <v>1.2613017214582243</v>
      </c>
      <c r="Y169">
        <v>7.2641258010937051</v>
      </c>
      <c r="Z169">
        <v>16.058870853219819</v>
      </c>
      <c r="AA169">
        <v>7.6525662647647748</v>
      </c>
      <c r="AB169">
        <v>2.6146107602365882</v>
      </c>
      <c r="AC169">
        <v>1.3591747622545316</v>
      </c>
      <c r="AD169">
        <v>3.7263143475643394</v>
      </c>
      <c r="AE169">
        <v>1.9730130013902427</v>
      </c>
      <c r="AF169">
        <v>89.339956143368241</v>
      </c>
      <c r="AG169">
        <v>9.8498095292623891</v>
      </c>
      <c r="AH169">
        <v>1.1967473103763979E-2</v>
      </c>
      <c r="AI169">
        <v>28.617573922261393</v>
      </c>
      <c r="AJ169">
        <v>2.4472168544527908</v>
      </c>
      <c r="AK169">
        <v>0.7253315233581531</v>
      </c>
      <c r="AL169">
        <v>1.0502189975305694</v>
      </c>
      <c r="AM169">
        <v>0.36220043643339583</v>
      </c>
      <c r="AN169">
        <v>14.965688636876127</v>
      </c>
      <c r="AO169">
        <v>0.48895658830431193</v>
      </c>
      <c r="AP169">
        <v>7.5959770684419512</v>
      </c>
      <c r="AQ169">
        <v>3.8598531919704842</v>
      </c>
      <c r="AR169">
        <v>0.37282884779941183</v>
      </c>
      <c r="AS169">
        <v>2.8695793316907565</v>
      </c>
      <c r="AT169">
        <v>1.8673035377399141</v>
      </c>
      <c r="AU169">
        <v>8.5411675899308273E-2</v>
      </c>
      <c r="AV169">
        <v>2.7459016600883345E-3</v>
      </c>
      <c r="AW169">
        <v>0.31010638233359644</v>
      </c>
      <c r="AX169">
        <v>6.9548905397323418E-2</v>
      </c>
      <c r="AY169">
        <v>4.5155521743714254E-2</v>
      </c>
      <c r="AZ169">
        <v>0.1699244542134544</v>
      </c>
      <c r="BA169">
        <v>2.4187917154520542</v>
      </c>
      <c r="BB169">
        <v>1.2055464662584456</v>
      </c>
      <c r="BC169">
        <v>0.52456978155120559</v>
      </c>
      <c r="BD169">
        <v>0.27502047313025457</v>
      </c>
      <c r="BE169">
        <v>0.61980487760554814</v>
      </c>
      <c r="BF169">
        <v>0.81554733460019668</v>
      </c>
      <c r="BG169">
        <v>1.9315129144817826</v>
      </c>
      <c r="BH169">
        <v>0.88768852363984574</v>
      </c>
      <c r="BI169">
        <v>55.031786817564772</v>
      </c>
      <c r="BJ169">
        <v>34.302292325149118</v>
      </c>
      <c r="BK169">
        <v>18.010175039561524</v>
      </c>
      <c r="BL169">
        <v>0.30717162073508791</v>
      </c>
      <c r="BM169">
        <v>2.3515362999620986</v>
      </c>
      <c r="BN169">
        <v>0.27690704655902482</v>
      </c>
      <c r="BO169">
        <v>4.0815897525576836E-2</v>
      </c>
      <c r="BP169">
        <v>6.7238952712639105E-2</v>
      </c>
      <c r="BQ169">
        <v>2.9682116143357393E-2</v>
      </c>
      <c r="BR169">
        <v>0.11596157463198249</v>
      </c>
      <c r="BU169">
        <v>11.061051253489877</v>
      </c>
      <c r="BV169">
        <v>10.458910790998928</v>
      </c>
      <c r="BW169">
        <v>1.6507509244951173</v>
      </c>
      <c r="BX169">
        <v>0.74623097633164182</v>
      </c>
      <c r="BY169">
        <v>1.7456711463947304E-2</v>
      </c>
      <c r="BZ169">
        <v>0.3845667620289831</v>
      </c>
      <c r="CA169">
        <v>6.9330718590603066E-2</v>
      </c>
      <c r="CB169">
        <v>9.0518421890636223</v>
      </c>
      <c r="CC169">
        <v>2.3122288396513326</v>
      </c>
      <c r="DF169">
        <v>0</v>
      </c>
      <c r="DI169">
        <v>0</v>
      </c>
      <c r="DL169">
        <v>0</v>
      </c>
      <c r="DT169">
        <v>0</v>
      </c>
      <c r="DU169">
        <v>0</v>
      </c>
      <c r="EB169">
        <v>0</v>
      </c>
      <c r="EG169">
        <v>0</v>
      </c>
      <c r="EI169">
        <v>0</v>
      </c>
      <c r="EK169">
        <v>0</v>
      </c>
      <c r="EL169">
        <v>0</v>
      </c>
      <c r="EO169">
        <v>0</v>
      </c>
      <c r="EV169">
        <v>0</v>
      </c>
      <c r="GZ169">
        <v>1.1445362658742457</v>
      </c>
      <c r="HA169">
        <v>695.56946734755854</v>
      </c>
    </row>
    <row r="170" spans="1:209" x14ac:dyDescent="0.75">
      <c r="A170" t="s">
        <v>542</v>
      </c>
      <c r="B170">
        <v>6.4492706788222431</v>
      </c>
      <c r="C170">
        <v>15.035690531378913</v>
      </c>
      <c r="D170">
        <v>0.53180903064837459</v>
      </c>
      <c r="E170">
        <v>9.3217551636461859</v>
      </c>
      <c r="F170">
        <v>4.4936575095921756E-2</v>
      </c>
      <c r="G170">
        <v>28.363093431852366</v>
      </c>
      <c r="H170">
        <v>25.13606199972612</v>
      </c>
      <c r="I170">
        <v>19.555122882042635</v>
      </c>
      <c r="J170">
        <v>3.7316245366227943</v>
      </c>
      <c r="K170">
        <v>39.655078815968565</v>
      </c>
      <c r="L170">
        <v>3.6706602010984986</v>
      </c>
      <c r="M170">
        <v>28.859614947461129</v>
      </c>
      <c r="N170">
        <v>15.381612236651764</v>
      </c>
      <c r="O170">
        <v>26.016048288546386</v>
      </c>
      <c r="P170">
        <v>4.6432123668958214</v>
      </c>
      <c r="Q170">
        <v>5.6104132207648929</v>
      </c>
      <c r="R170">
        <v>1.5240093289558956</v>
      </c>
      <c r="S170">
        <v>0.49146352377056224</v>
      </c>
      <c r="T170">
        <v>23.461648747129647</v>
      </c>
      <c r="U170">
        <v>6.9781538231169069</v>
      </c>
      <c r="V170">
        <v>0.8583473451942214</v>
      </c>
      <c r="W170">
        <v>1.4554175811778722</v>
      </c>
      <c r="X170">
        <v>1.0979508205851181</v>
      </c>
      <c r="Y170">
        <v>6.3233505103945307</v>
      </c>
      <c r="Z170">
        <v>10.599847316932637</v>
      </c>
      <c r="AA170">
        <v>5.5617334669506295</v>
      </c>
      <c r="AB170">
        <v>1.4037692585082533</v>
      </c>
      <c r="AC170">
        <v>0.98782127473652837</v>
      </c>
      <c r="AD170">
        <v>2.54032947171941</v>
      </c>
      <c r="AE170">
        <v>2.0364230150610916</v>
      </c>
      <c r="AF170">
        <v>112.44873100286136</v>
      </c>
      <c r="AG170">
        <v>8.1887879657728799</v>
      </c>
      <c r="AH170">
        <v>1.8705643546936164E-2</v>
      </c>
      <c r="AI170">
        <v>44.730423233585796</v>
      </c>
      <c r="AJ170">
        <v>4.4145590591335617</v>
      </c>
      <c r="AK170">
        <v>1.3084328188937175</v>
      </c>
      <c r="AL170">
        <v>1.8945005961310408</v>
      </c>
      <c r="AM170">
        <v>0.65337700456329662</v>
      </c>
      <c r="AN170">
        <v>26.996756020163392</v>
      </c>
      <c r="AO170">
        <v>0.88203369983102564</v>
      </c>
      <c r="AP170">
        <v>13.702459313912875</v>
      </c>
      <c r="AQ170">
        <v>11.705710429193996</v>
      </c>
      <c r="AR170">
        <v>1.1306716382552326</v>
      </c>
      <c r="AS170">
        <v>5.1477605358727656</v>
      </c>
      <c r="AT170">
        <v>1.4925045571381532</v>
      </c>
      <c r="AU170">
        <v>6.8268127241282034E-2</v>
      </c>
      <c r="AV170">
        <v>3.0672321789980885E-3</v>
      </c>
      <c r="AW170">
        <v>0.34639560790960472</v>
      </c>
      <c r="AX170">
        <v>7.7687647649370556E-2</v>
      </c>
      <c r="AY170">
        <v>5.0439704875415194E-2</v>
      </c>
      <c r="AZ170">
        <v>0.18980932985976923</v>
      </c>
      <c r="BA170">
        <v>2.7018432203030396</v>
      </c>
      <c r="BB170">
        <v>1.5753949594787744</v>
      </c>
      <c r="BC170">
        <v>0.68550206307310113</v>
      </c>
      <c r="BD170">
        <v>0.35939375150554087</v>
      </c>
      <c r="BE170">
        <v>3.711555659148952</v>
      </c>
      <c r="BF170">
        <v>4.883713301407079</v>
      </c>
      <c r="BG170">
        <v>2.3489491571350962</v>
      </c>
      <c r="BH170">
        <v>1.0795346972669595</v>
      </c>
      <c r="BI170">
        <v>102.38681373486703</v>
      </c>
      <c r="BJ170">
        <v>31.503473090515204</v>
      </c>
      <c r="BK170">
        <v>19.607914633117588</v>
      </c>
      <c r="BL170">
        <v>0.33442178678773193</v>
      </c>
      <c r="BM170">
        <v>7.6278159359071225</v>
      </c>
      <c r="BN170">
        <v>0.32855540202911349</v>
      </c>
      <c r="BO170">
        <v>4.8428827606004941E-2</v>
      </c>
      <c r="BP170">
        <v>0.17851955912061063</v>
      </c>
      <c r="BQ170">
        <v>7.8806080016217805E-2</v>
      </c>
      <c r="BR170">
        <v>0.30787822152295358</v>
      </c>
      <c r="BU170">
        <v>12.74047486499598</v>
      </c>
      <c r="BV170">
        <v>9.7232526514728228</v>
      </c>
      <c r="BW170">
        <v>3.4433660283270551</v>
      </c>
      <c r="BX170">
        <v>0.26087204057390412</v>
      </c>
      <c r="BY170">
        <v>6.1026251733697981E-3</v>
      </c>
      <c r="BZ170">
        <v>0.49656164318801438</v>
      </c>
      <c r="CA170">
        <v>8.9521453609558363E-2</v>
      </c>
      <c r="CB170">
        <v>11.687951417239931</v>
      </c>
      <c r="CC170">
        <v>3.1464709812357086</v>
      </c>
      <c r="DF170">
        <v>0</v>
      </c>
      <c r="DI170">
        <v>0</v>
      </c>
      <c r="DL170">
        <v>0</v>
      </c>
      <c r="DT170">
        <v>0</v>
      </c>
      <c r="DU170">
        <v>0</v>
      </c>
      <c r="EB170">
        <v>0</v>
      </c>
      <c r="EG170">
        <v>0</v>
      </c>
      <c r="EI170">
        <v>0</v>
      </c>
      <c r="EK170">
        <v>0</v>
      </c>
      <c r="EL170">
        <v>0</v>
      </c>
      <c r="EO170">
        <v>0</v>
      </c>
      <c r="EV170">
        <v>0</v>
      </c>
      <c r="GZ170">
        <v>1.2429251212579713</v>
      </c>
      <c r="HA170">
        <v>755.36336446790824</v>
      </c>
    </row>
    <row r="171" spans="1:209" x14ac:dyDescent="0.75">
      <c r="A171" t="s">
        <v>543</v>
      </c>
      <c r="B171">
        <v>0.70400390957553594</v>
      </c>
      <c r="C171">
        <v>1.6412995274051163</v>
      </c>
      <c r="D171">
        <v>5.8052399312910126E-2</v>
      </c>
      <c r="E171">
        <v>1.0175649939554561</v>
      </c>
      <c r="F171">
        <v>4.9052871442264879E-3</v>
      </c>
      <c r="G171">
        <v>2.0208285670659687</v>
      </c>
      <c r="H171">
        <v>1.7909073378978908</v>
      </c>
      <c r="I171">
        <v>1.3932736585120895</v>
      </c>
      <c r="J171">
        <v>0.26587274351051476</v>
      </c>
      <c r="K171">
        <v>3.2761506070940705</v>
      </c>
      <c r="L171">
        <v>0.30325587554808553</v>
      </c>
      <c r="M171">
        <v>2.3842707631324265</v>
      </c>
      <c r="N171">
        <v>1.1085444913571314</v>
      </c>
      <c r="O171">
        <v>1.8749625574638102</v>
      </c>
      <c r="P171">
        <v>0.33463380901377504</v>
      </c>
      <c r="Q171">
        <v>0.40433945248576675</v>
      </c>
      <c r="R171">
        <v>0.12380589180010512</v>
      </c>
      <c r="S171">
        <v>3.9925004848443087E-2</v>
      </c>
      <c r="T171">
        <v>1.1288628431571197</v>
      </c>
      <c r="U171">
        <v>0.33575554086816739</v>
      </c>
      <c r="V171">
        <v>3.1184314806928234E-2</v>
      </c>
      <c r="W171">
        <v>5.2876263066578354E-2</v>
      </c>
      <c r="X171">
        <v>3.9889264204462774E-2</v>
      </c>
      <c r="Y171">
        <v>0.22973141823613916</v>
      </c>
      <c r="Z171">
        <v>1.0139732531560262</v>
      </c>
      <c r="AA171">
        <v>0.46664817331333452</v>
      </c>
      <c r="AB171">
        <v>0.14025326787874845</v>
      </c>
      <c r="AC171">
        <v>8.2881532557256277E-2</v>
      </c>
      <c r="AD171">
        <v>0.34559011227861841</v>
      </c>
      <c r="AE171">
        <v>9.2528145647733914E-2</v>
      </c>
      <c r="AF171">
        <v>5.730377016904141</v>
      </c>
      <c r="AG171">
        <v>0.6981468427237465</v>
      </c>
      <c r="AH171">
        <v>5.1989963287525512E-4</v>
      </c>
      <c r="AI171">
        <v>1.243225369880689</v>
      </c>
      <c r="AJ171">
        <v>0.92906775485746662</v>
      </c>
      <c r="AK171">
        <v>0.27536674108285697</v>
      </c>
      <c r="AL171">
        <v>0.39870786455602514</v>
      </c>
      <c r="AM171">
        <v>0.13750671325807556</v>
      </c>
      <c r="AN171">
        <v>5.681612856032503</v>
      </c>
      <c r="AO171">
        <v>0.18562874756770642</v>
      </c>
      <c r="AP171">
        <v>2.883756438701131</v>
      </c>
      <c r="AQ171">
        <v>0.10099986928525381</v>
      </c>
      <c r="AR171">
        <v>9.7557246404723699E-3</v>
      </c>
      <c r="AT171">
        <v>7.0177698142776884E-2</v>
      </c>
      <c r="AU171">
        <v>3.2099734660092608E-3</v>
      </c>
      <c r="AV171">
        <v>5.3544922078769327E-4</v>
      </c>
      <c r="AW171">
        <v>6.0470563529384763E-2</v>
      </c>
      <c r="AX171">
        <v>1.3561995953065495E-2</v>
      </c>
      <c r="AY171">
        <v>8.80530038033326E-3</v>
      </c>
      <c r="AZ171">
        <v>3.3135169377639426E-2</v>
      </c>
      <c r="BA171">
        <v>0.4716629725351732</v>
      </c>
      <c r="BB171">
        <v>8.8144304781102217E-2</v>
      </c>
      <c r="BC171">
        <v>3.8354256760844904E-2</v>
      </c>
      <c r="BD171">
        <v>2.010829867045472E-2</v>
      </c>
      <c r="BF171">
        <v>0</v>
      </c>
      <c r="BG171">
        <v>3.1789462115833351</v>
      </c>
      <c r="BH171">
        <v>1.4609863843690634</v>
      </c>
      <c r="BI171">
        <v>15.793450583731882</v>
      </c>
      <c r="BJ171">
        <v>14.401055845743851</v>
      </c>
      <c r="BK171">
        <v>4.5254917745182635</v>
      </c>
      <c r="BL171">
        <v>7.718429387546516E-2</v>
      </c>
      <c r="BM171">
        <v>2.5161999150665029</v>
      </c>
      <c r="BN171">
        <v>0</v>
      </c>
      <c r="BP171">
        <v>0.65350700560416153</v>
      </c>
      <c r="BQ171">
        <v>0.28848561820615981</v>
      </c>
      <c r="BR171">
        <v>1.127050591147079</v>
      </c>
      <c r="BU171">
        <v>13.996441026971546</v>
      </c>
      <c r="BV171">
        <v>20.489712151385721</v>
      </c>
      <c r="BW171">
        <v>22.728752434910454</v>
      </c>
      <c r="BX171">
        <v>4.1405803797595793</v>
      </c>
      <c r="BY171">
        <v>9.6861319451071751E-2</v>
      </c>
      <c r="BZ171">
        <v>0.22206549690132132</v>
      </c>
      <c r="CA171">
        <v>4.0034558351113095E-2</v>
      </c>
      <c r="CB171">
        <v>5.2269255485872304</v>
      </c>
      <c r="CC171">
        <v>0.13584568992882734</v>
      </c>
      <c r="DF171">
        <v>0</v>
      </c>
      <c r="DI171">
        <v>0</v>
      </c>
      <c r="DL171">
        <v>0</v>
      </c>
      <c r="DT171">
        <v>0</v>
      </c>
      <c r="DU171">
        <v>0</v>
      </c>
      <c r="EB171">
        <v>0</v>
      </c>
      <c r="EG171">
        <v>0</v>
      </c>
      <c r="EI171">
        <v>0</v>
      </c>
      <c r="EK171">
        <v>0</v>
      </c>
      <c r="EL171">
        <v>0</v>
      </c>
      <c r="EO171">
        <v>0</v>
      </c>
      <c r="EV171">
        <v>0</v>
      </c>
      <c r="GZ171">
        <v>0.25198867410097781</v>
      </c>
      <c r="HA171">
        <v>153.14117433242853</v>
      </c>
    </row>
    <row r="172" spans="1:209" x14ac:dyDescent="0.75">
      <c r="A172" t="s">
        <v>544</v>
      </c>
      <c r="B172">
        <v>0.18817245120542189</v>
      </c>
      <c r="C172">
        <v>0.43870119332197205</v>
      </c>
      <c r="D172">
        <v>1.5516763654981058E-2</v>
      </c>
      <c r="E172">
        <v>0.27198385771589795</v>
      </c>
      <c r="F172">
        <v>1.3111289486333522E-3</v>
      </c>
      <c r="G172">
        <v>0.89810287572122682</v>
      </c>
      <c r="H172">
        <v>0.79592057264491201</v>
      </c>
      <c r="I172">
        <v>0.61920298424576559</v>
      </c>
      <c r="J172">
        <v>0.11815998616318579</v>
      </c>
      <c r="K172">
        <v>1.2600068742884185</v>
      </c>
      <c r="L172">
        <v>0.11663214964279855</v>
      </c>
      <c r="M172">
        <v>0.91699006303512409</v>
      </c>
      <c r="N172">
        <v>0.49711743666810426</v>
      </c>
      <c r="O172">
        <v>0.84081116065444617</v>
      </c>
      <c r="P172">
        <v>0.15006371206243208</v>
      </c>
      <c r="Q172">
        <v>0.18132262054491874</v>
      </c>
      <c r="R172">
        <v>5.5011362989539014E-2</v>
      </c>
      <c r="S172">
        <v>1.7740100266172815E-2</v>
      </c>
      <c r="T172">
        <v>0.1892081750634009</v>
      </c>
      <c r="U172">
        <v>5.6275829734480004E-2</v>
      </c>
      <c r="V172">
        <v>2.7062651386835796E-2</v>
      </c>
      <c r="W172">
        <v>4.5887552215561629E-2</v>
      </c>
      <c r="X172">
        <v>3.4617058541332089E-2</v>
      </c>
      <c r="Y172">
        <v>0.19936757702775434</v>
      </c>
      <c r="Z172">
        <v>0.56869622298892342</v>
      </c>
      <c r="AA172">
        <v>0.21522611443878623</v>
      </c>
      <c r="AB172">
        <v>0.20516882999852648</v>
      </c>
      <c r="AC172">
        <v>3.8226379596373955E-2</v>
      </c>
      <c r="AD172">
        <v>0.13207786827216672</v>
      </c>
      <c r="AE172">
        <v>3.992269212180756E-2</v>
      </c>
      <c r="AF172">
        <v>0</v>
      </c>
      <c r="AI172">
        <v>0</v>
      </c>
      <c r="AJ172">
        <v>0.52699768984089834</v>
      </c>
      <c r="AK172">
        <v>0.15619704338134707</v>
      </c>
      <c r="AL172">
        <v>0.22616017232742988</v>
      </c>
      <c r="AM172">
        <v>7.7998315887884861E-2</v>
      </c>
      <c r="AN172">
        <v>3.2227970823923755</v>
      </c>
      <c r="AO172">
        <v>0.10529471141881204</v>
      </c>
      <c r="AP172">
        <v>1.6357611953634779</v>
      </c>
      <c r="AQ172">
        <v>0</v>
      </c>
      <c r="BA172">
        <v>0</v>
      </c>
      <c r="BF172">
        <v>0</v>
      </c>
      <c r="BG172">
        <v>3.8465171686663409</v>
      </c>
      <c r="BH172">
        <v>1.7677899645443702</v>
      </c>
      <c r="BI172">
        <v>3.7377006176356269</v>
      </c>
      <c r="BJ172">
        <v>4.9176094103962207</v>
      </c>
      <c r="BK172">
        <v>10.427966565607147</v>
      </c>
      <c r="BL172">
        <v>0.1778536512772749</v>
      </c>
      <c r="BM172">
        <v>0.15393514241526998</v>
      </c>
      <c r="BN172">
        <v>2.459618605520919</v>
      </c>
      <c r="BO172">
        <v>0.36254599585837849</v>
      </c>
      <c r="BP172">
        <v>2.6440487187800037</v>
      </c>
      <c r="BQ172">
        <v>1.1671948772749268</v>
      </c>
      <c r="BR172">
        <v>4.5599766275921052</v>
      </c>
      <c r="BU172">
        <v>8.5700807927348386</v>
      </c>
      <c r="BV172">
        <v>39.204414876039493</v>
      </c>
      <c r="BW172">
        <v>58.491439826061359</v>
      </c>
      <c r="BX172">
        <v>14.872237290226504</v>
      </c>
      <c r="BY172">
        <v>0.34790884248077703</v>
      </c>
      <c r="BZ172">
        <v>1.1926791491354012</v>
      </c>
      <c r="CA172">
        <v>0.21501936886411024</v>
      </c>
      <c r="CB172">
        <v>28.073001897513667</v>
      </c>
      <c r="CC172">
        <v>5.439762599145409E-2</v>
      </c>
      <c r="DF172">
        <v>0</v>
      </c>
      <c r="DI172">
        <v>0</v>
      </c>
      <c r="DL172">
        <v>0</v>
      </c>
      <c r="DT172">
        <v>0</v>
      </c>
      <c r="DU172">
        <v>0</v>
      </c>
      <c r="EB172">
        <v>0</v>
      </c>
      <c r="EG172">
        <v>0</v>
      </c>
      <c r="EI172">
        <v>0</v>
      </c>
      <c r="EK172">
        <v>0</v>
      </c>
      <c r="EL172">
        <v>0</v>
      </c>
      <c r="EO172">
        <v>0</v>
      </c>
      <c r="EV172">
        <v>0</v>
      </c>
      <c r="GZ172">
        <v>0.33347538204121752</v>
      </c>
      <c r="HA172">
        <v>202.66312285242955</v>
      </c>
    </row>
    <row r="173" spans="1:209" x14ac:dyDescent="0.75">
      <c r="A173" t="s">
        <v>545</v>
      </c>
      <c r="B173">
        <v>0.1823315471783378</v>
      </c>
      <c r="C173">
        <v>0.43387829804214045</v>
      </c>
      <c r="D173">
        <v>9.3707687406696643E-3</v>
      </c>
      <c r="E173">
        <v>0.39781644900069851</v>
      </c>
      <c r="F173">
        <v>3.0636118525939588E-4</v>
      </c>
      <c r="G173">
        <v>1.8876999996831187</v>
      </c>
      <c r="H173">
        <v>0.34443798035079753</v>
      </c>
      <c r="I173">
        <v>0.40808172637435247</v>
      </c>
      <c r="J173">
        <v>6.5233669619161092E-2</v>
      </c>
      <c r="K173">
        <v>1.1961377554848329</v>
      </c>
      <c r="L173">
        <v>0.11072012426114311</v>
      </c>
      <c r="M173">
        <v>1.5968137717379498</v>
      </c>
      <c r="N173">
        <v>0.22537211926896164</v>
      </c>
      <c r="O173">
        <v>1.0307327657703644</v>
      </c>
      <c r="P173">
        <v>0.13433052435503967</v>
      </c>
      <c r="Q173">
        <v>0.14135679718873198</v>
      </c>
      <c r="R173">
        <v>4.2581768131503848E-2</v>
      </c>
      <c r="S173">
        <v>1.5540905128511685E-2</v>
      </c>
      <c r="T173">
        <v>0.12990296622985301</v>
      </c>
      <c r="U173">
        <v>1.9467875933525426E-2</v>
      </c>
      <c r="V173">
        <v>2.4067001612862401E-2</v>
      </c>
      <c r="W173">
        <v>4.0808115117627969E-2</v>
      </c>
      <c r="X173">
        <v>0.12662767064178165</v>
      </c>
      <c r="Y173">
        <v>0.49658736097379508</v>
      </c>
      <c r="Z173">
        <v>0.65091855141168842</v>
      </c>
      <c r="AA173">
        <v>0.30085669706780849</v>
      </c>
      <c r="AB173">
        <v>9.4251512393226641E-2</v>
      </c>
      <c r="AC173">
        <v>9.6511011580047323E-2</v>
      </c>
      <c r="AD173">
        <v>0.28080782245542735</v>
      </c>
      <c r="AE173">
        <v>0.12343996305149825</v>
      </c>
      <c r="AF173">
        <v>7.9988747191928091</v>
      </c>
      <c r="AI173">
        <v>0</v>
      </c>
      <c r="AJ173">
        <v>0.24234000064790723</v>
      </c>
      <c r="AK173">
        <v>4.3149426224635343E-2</v>
      </c>
      <c r="AL173">
        <v>4.2040024085460322E-2</v>
      </c>
      <c r="AM173">
        <v>5.6811968529084302E-2</v>
      </c>
      <c r="AN173">
        <v>0.70886296913785141</v>
      </c>
      <c r="AO173">
        <v>2.908496559678676E-2</v>
      </c>
      <c r="AP173">
        <v>0.50104759476461214</v>
      </c>
      <c r="AQ173">
        <v>0.62802088379960619</v>
      </c>
      <c r="AR173">
        <v>4.3775373394658659E-3</v>
      </c>
      <c r="AV173">
        <v>5.5519007133050452E-5</v>
      </c>
      <c r="AW173">
        <v>6.2699981951391355E-3</v>
      </c>
      <c r="AX173">
        <v>1.4061997306653851E-3</v>
      </c>
      <c r="AY173">
        <v>9.1299326928745059E-4</v>
      </c>
      <c r="AZ173">
        <v>4.0895345801348444E-3</v>
      </c>
      <c r="BA173">
        <v>5.8212529846111125E-2</v>
      </c>
      <c r="BB173">
        <v>0.52539211609714875</v>
      </c>
      <c r="BC173">
        <v>4.7300914370477599E-2</v>
      </c>
      <c r="BD173">
        <v>2.4798835745349863E-2</v>
      </c>
      <c r="BF173">
        <v>0</v>
      </c>
      <c r="BG173">
        <v>1.2769975834697995</v>
      </c>
      <c r="BH173">
        <v>1.1007590957877358</v>
      </c>
      <c r="BI173">
        <v>6.642337838924786</v>
      </c>
      <c r="BJ173">
        <v>10.982380514028236</v>
      </c>
      <c r="BK173">
        <v>5.7606755814254536</v>
      </c>
      <c r="BL173">
        <v>0.17741162231678831</v>
      </c>
      <c r="BM173">
        <v>1.2624591392598572</v>
      </c>
      <c r="BN173">
        <v>0</v>
      </c>
      <c r="BP173">
        <v>3.9540137103744634E-2</v>
      </c>
      <c r="BQ173">
        <v>6.1203513659936218E-2</v>
      </c>
      <c r="BR173">
        <v>7.3255817665375061E-2</v>
      </c>
      <c r="BU173">
        <v>1.5093709219548923</v>
      </c>
      <c r="BV173">
        <v>8.9800748958181664</v>
      </c>
      <c r="BW173">
        <v>4.684664380019006E-2</v>
      </c>
      <c r="BX173">
        <v>1.2935171543176116</v>
      </c>
      <c r="BY173">
        <v>0.6198785480383967</v>
      </c>
      <c r="BZ173">
        <v>1.2658494688020761E-2</v>
      </c>
      <c r="CA173">
        <v>0.23685100738581222</v>
      </c>
      <c r="CB173">
        <v>1.0474586695317214</v>
      </c>
      <c r="CC173">
        <v>1.0868632186941842</v>
      </c>
      <c r="DF173">
        <v>0</v>
      </c>
      <c r="DI173">
        <v>0</v>
      </c>
      <c r="DL173">
        <v>0</v>
      </c>
      <c r="DT173">
        <v>0</v>
      </c>
      <c r="DU173">
        <v>0</v>
      </c>
      <c r="EB173">
        <v>0</v>
      </c>
      <c r="EG173">
        <v>0</v>
      </c>
      <c r="EI173">
        <v>0</v>
      </c>
      <c r="EK173">
        <v>0</v>
      </c>
      <c r="EL173">
        <v>0</v>
      </c>
      <c r="EO173">
        <v>0</v>
      </c>
      <c r="EV173">
        <v>0</v>
      </c>
      <c r="GZ173">
        <v>0.10505585415667988</v>
      </c>
      <c r="HA173">
        <v>63.845634862157773</v>
      </c>
    </row>
    <row r="174" spans="1:209" x14ac:dyDescent="0.75">
      <c r="A174" t="s">
        <v>546</v>
      </c>
      <c r="B174">
        <v>0.32633771694491387</v>
      </c>
      <c r="C174">
        <v>0.77655707641490868</v>
      </c>
      <c r="D174">
        <v>1.6771838577434167E-2</v>
      </c>
      <c r="E174">
        <v>0.71201343782292259</v>
      </c>
      <c r="F174">
        <v>5.4832644874285919E-4</v>
      </c>
      <c r="G174">
        <v>2.0065188874095607</v>
      </c>
      <c r="H174">
        <v>0.36611819316156924</v>
      </c>
      <c r="I174">
        <v>0.43376791424182409</v>
      </c>
      <c r="J174">
        <v>6.9339720404648211E-2</v>
      </c>
      <c r="K174">
        <v>1.7864619450978156</v>
      </c>
      <c r="L174">
        <v>0.165363301711733</v>
      </c>
      <c r="M174">
        <v>2.3848816940501036</v>
      </c>
      <c r="N174">
        <v>0.50042511847071358</v>
      </c>
      <c r="O174">
        <v>2.2886795762288314</v>
      </c>
      <c r="P174">
        <v>0.29827278006992447</v>
      </c>
      <c r="Q174">
        <v>0.31387419264310906</v>
      </c>
      <c r="R174">
        <v>5.1685702231073001E-2</v>
      </c>
      <c r="S174">
        <v>1.8863533153273094E-2</v>
      </c>
      <c r="T174">
        <v>0.27132477288359352</v>
      </c>
      <c r="U174">
        <v>4.0662020040739294E-2</v>
      </c>
      <c r="V174">
        <v>9.0255927365131255E-3</v>
      </c>
      <c r="W174">
        <v>1.5303835239683969E-2</v>
      </c>
      <c r="X174">
        <v>4.7487834287393456E-2</v>
      </c>
      <c r="Y174">
        <v>0.18622989894403563</v>
      </c>
      <c r="Z174">
        <v>0.92631036314590021</v>
      </c>
      <c r="AA174">
        <v>0.40226768656833201</v>
      </c>
      <c r="AB174">
        <v>0.23330962292608939</v>
      </c>
      <c r="AC174">
        <v>0.12904237045427966</v>
      </c>
      <c r="AD174">
        <v>0.54029313819238833</v>
      </c>
      <c r="AE174">
        <v>6.1322912641200926E-2</v>
      </c>
      <c r="AF174">
        <v>2.901066201864932</v>
      </c>
      <c r="AH174">
        <v>2.0139657309705373E-4</v>
      </c>
      <c r="AI174">
        <v>0.39909217267130975</v>
      </c>
      <c r="AJ174">
        <v>0.34024369195982057</v>
      </c>
      <c r="AK174">
        <v>6.0581497257434357E-2</v>
      </c>
      <c r="AL174">
        <v>5.9023904294275745E-2</v>
      </c>
      <c r="AM174">
        <v>7.976361256153075E-2</v>
      </c>
      <c r="AN174">
        <v>0.99523872686407755</v>
      </c>
      <c r="AO174">
        <v>4.083509139522052E-2</v>
      </c>
      <c r="AP174">
        <v>0.70346737242930635</v>
      </c>
      <c r="AQ174">
        <v>0.71365961723446925</v>
      </c>
      <c r="AR174">
        <v>4.9744709176098986E-3</v>
      </c>
      <c r="AS174">
        <v>1.1605123088786102</v>
      </c>
      <c r="AV174">
        <v>3.3390865030274129E-4</v>
      </c>
      <c r="AW174">
        <v>3.7709727584325066E-2</v>
      </c>
      <c r="AX174">
        <v>8.4573244077889628E-3</v>
      </c>
      <c r="AY174">
        <v>5.4910266956445441E-3</v>
      </c>
      <c r="AZ174">
        <v>2.4595738334202182E-2</v>
      </c>
      <c r="BA174">
        <v>0.35010833722297902</v>
      </c>
      <c r="BE174">
        <v>0.17057362004479121</v>
      </c>
      <c r="BF174">
        <v>0.13365995666834588</v>
      </c>
      <c r="BG174">
        <v>1.2550508813917054</v>
      </c>
      <c r="BH174">
        <v>1.081841258943155</v>
      </c>
      <c r="BI174">
        <v>12.004073795159041</v>
      </c>
      <c r="BJ174">
        <v>10.758233536245484</v>
      </c>
      <c r="BK174">
        <v>13.487520938210535</v>
      </c>
      <c r="BL174">
        <v>0.41537540811966411</v>
      </c>
      <c r="BM174">
        <v>4.9918594983767859</v>
      </c>
      <c r="BN174">
        <v>0</v>
      </c>
      <c r="BP174">
        <v>2.650519626424902E-2</v>
      </c>
      <c r="BQ174">
        <v>4.1026947816643372E-2</v>
      </c>
      <c r="BR174">
        <v>4.9106046841069811E-2</v>
      </c>
      <c r="BU174">
        <v>6.0591444504710141</v>
      </c>
      <c r="BV174">
        <v>19.49965429684751</v>
      </c>
      <c r="BW174">
        <v>0.24377079686340533</v>
      </c>
      <c r="BZ174">
        <v>1.2332734726324117E-2</v>
      </c>
      <c r="CA174">
        <v>0.2307557664432355</v>
      </c>
      <c r="CB174">
        <v>1.0205028501807538</v>
      </c>
      <c r="CC174">
        <v>1.438571208489458</v>
      </c>
      <c r="DF174">
        <v>0</v>
      </c>
      <c r="DI174">
        <v>0</v>
      </c>
      <c r="DL174">
        <v>0</v>
      </c>
      <c r="DT174">
        <v>0</v>
      </c>
      <c r="DU174">
        <v>0</v>
      </c>
      <c r="EB174">
        <v>0</v>
      </c>
      <c r="EG174">
        <v>0</v>
      </c>
      <c r="EI174">
        <v>0</v>
      </c>
      <c r="EK174">
        <v>0</v>
      </c>
      <c r="EL174">
        <v>0</v>
      </c>
      <c r="EO174">
        <v>0</v>
      </c>
      <c r="EV174">
        <v>0</v>
      </c>
      <c r="GZ174">
        <v>0.15852836522107169</v>
      </c>
      <c r="HA174">
        <v>96.342504684264455</v>
      </c>
    </row>
    <row r="175" spans="1:209" x14ac:dyDescent="0.75">
      <c r="A175" t="s">
        <v>547</v>
      </c>
      <c r="B175">
        <v>8.05406279516276E-2</v>
      </c>
      <c r="C175">
        <v>0.19165542726798679</v>
      </c>
      <c r="D175">
        <v>4.1393143997446652E-3</v>
      </c>
      <c r="E175">
        <v>0.17572596244501953</v>
      </c>
      <c r="F175">
        <v>1.3532777307408359E-4</v>
      </c>
      <c r="G175">
        <v>2.8259745152613784</v>
      </c>
      <c r="H175">
        <v>0.51563964333466639</v>
      </c>
      <c r="I175">
        <v>0.6109172850936988</v>
      </c>
      <c r="J175">
        <v>9.7657831176392249E-2</v>
      </c>
      <c r="K175">
        <v>0.60431146914460909</v>
      </c>
      <c r="L175">
        <v>5.5937905687965292E-2</v>
      </c>
      <c r="M175">
        <v>0.80674058813415728</v>
      </c>
      <c r="N175">
        <v>6.4727922769779581E-2</v>
      </c>
      <c r="O175">
        <v>0.2960312530027035</v>
      </c>
      <c r="P175">
        <v>3.8580352504474467E-2</v>
      </c>
      <c r="Q175">
        <v>4.0598330801052844E-2</v>
      </c>
      <c r="R175">
        <v>6.8557921550851612E-3</v>
      </c>
      <c r="S175">
        <v>2.5021322537366968E-3</v>
      </c>
      <c r="T175">
        <v>5.3894728576339129E-3</v>
      </c>
      <c r="U175">
        <v>8.0769201800880597E-4</v>
      </c>
      <c r="V175">
        <v>4.0354998164246004E-3</v>
      </c>
      <c r="W175">
        <v>6.8426114609062569E-3</v>
      </c>
      <c r="X175">
        <v>2.1232638358908904E-2</v>
      </c>
      <c r="Y175">
        <v>8.3266633554282002E-2</v>
      </c>
      <c r="Z175">
        <v>0.82557931477955782</v>
      </c>
      <c r="AA175">
        <v>7.593185852938078E-2</v>
      </c>
      <c r="AB175">
        <v>7.1592011366113636E-2</v>
      </c>
      <c r="AC175">
        <v>2.4357976901447888E-2</v>
      </c>
      <c r="AD175">
        <v>0.40051891918270577</v>
      </c>
      <c r="AE175">
        <v>3.2028628882211828E-2</v>
      </c>
      <c r="AF175">
        <v>0</v>
      </c>
      <c r="AI175">
        <v>0</v>
      </c>
      <c r="AJ175">
        <v>0.23614740687474939</v>
      </c>
      <c r="AK175">
        <v>4.2046814738955642E-2</v>
      </c>
      <c r="AL175">
        <v>4.0965761517667128E-2</v>
      </c>
      <c r="AM175">
        <v>5.5360233604542529E-2</v>
      </c>
      <c r="AN175">
        <v>0.69074916045183543</v>
      </c>
      <c r="AO175">
        <v>2.8341747901129272E-2</v>
      </c>
      <c r="AP175">
        <v>0.48824416071699472</v>
      </c>
      <c r="AQ175">
        <v>4.2804986928789708</v>
      </c>
      <c r="AR175">
        <v>2.9836655663813251E-2</v>
      </c>
      <c r="AS175">
        <v>0.6072642368104213</v>
      </c>
      <c r="AT175">
        <v>0.15440551681456055</v>
      </c>
      <c r="BA175">
        <v>0</v>
      </c>
      <c r="BE175">
        <v>0.36477857674350705</v>
      </c>
      <c r="BF175">
        <v>0.28583721649499516</v>
      </c>
      <c r="BG175">
        <v>0.75489091331495717</v>
      </c>
      <c r="BH175">
        <v>0.6507083881091793</v>
      </c>
      <c r="BI175">
        <v>3.492991192687493</v>
      </c>
      <c r="BJ175">
        <v>7.5772665471647889</v>
      </c>
      <c r="BK175">
        <v>13.181620731120747</v>
      </c>
      <c r="BL175">
        <v>0.40595459432104869</v>
      </c>
      <c r="BM175">
        <v>1.4507079272368182</v>
      </c>
      <c r="BN175">
        <v>2.3237782111532601</v>
      </c>
      <c r="BO175">
        <v>0.2553622449939788</v>
      </c>
      <c r="BP175">
        <v>5.4657931166850617E-2</v>
      </c>
      <c r="BQ175">
        <v>8.4604093000916383E-2</v>
      </c>
      <c r="BR175">
        <v>0.1012644804194731</v>
      </c>
      <c r="BU175">
        <v>6.9427057860386725</v>
      </c>
      <c r="BV175">
        <v>6.0850122133220497</v>
      </c>
      <c r="BW175">
        <v>5.5140642247812934</v>
      </c>
      <c r="BX175">
        <v>0.77487304817961233</v>
      </c>
      <c r="BY175">
        <v>0.37133421726676591</v>
      </c>
      <c r="BZ175">
        <v>3.4817315268243894E-2</v>
      </c>
      <c r="CA175">
        <v>0.65146104643524427</v>
      </c>
      <c r="CB175">
        <v>2.881045466018481</v>
      </c>
      <c r="CC175">
        <v>0.33735121997586393</v>
      </c>
      <c r="DF175">
        <v>0</v>
      </c>
      <c r="DI175">
        <v>0</v>
      </c>
      <c r="DL175">
        <v>0</v>
      </c>
      <c r="DT175">
        <v>0</v>
      </c>
      <c r="DU175">
        <v>0</v>
      </c>
      <c r="EB175">
        <v>0</v>
      </c>
      <c r="EG175">
        <v>0</v>
      </c>
      <c r="EI175">
        <v>0</v>
      </c>
      <c r="EK175">
        <v>0</v>
      </c>
      <c r="EL175">
        <v>0</v>
      </c>
      <c r="EO175">
        <v>0</v>
      </c>
      <c r="EV175">
        <v>0</v>
      </c>
      <c r="GZ175">
        <v>0.11405593726537747</v>
      </c>
      <c r="HA175">
        <v>69.315258849317971</v>
      </c>
    </row>
    <row r="176" spans="1:209" x14ac:dyDescent="0.75">
      <c r="A176" t="s">
        <v>548</v>
      </c>
      <c r="B176">
        <v>9.7326696017200204E-2</v>
      </c>
      <c r="C176">
        <v>0.23159975262374424</v>
      </c>
      <c r="D176">
        <v>5.0020195341105127E-3</v>
      </c>
      <c r="E176">
        <v>0.21235031019981926</v>
      </c>
      <c r="F176">
        <v>1.6353243533904948E-4</v>
      </c>
      <c r="G176">
        <v>0.55714203170143728</v>
      </c>
      <c r="H176">
        <v>0.10165856661545626</v>
      </c>
      <c r="I176">
        <v>0.12044259266334839</v>
      </c>
      <c r="J176">
        <v>1.9253281365185539E-2</v>
      </c>
      <c r="K176">
        <v>0.40101282704826674</v>
      </c>
      <c r="L176">
        <v>3.7119629271378997E-2</v>
      </c>
      <c r="M176">
        <v>0.53534202221941352</v>
      </c>
      <c r="N176">
        <v>5.0252769294783832E-2</v>
      </c>
      <c r="O176">
        <v>0.2298295638823773</v>
      </c>
      <c r="P176">
        <v>2.9952599600862991E-2</v>
      </c>
      <c r="Q176">
        <v>3.1519295911209909E-2</v>
      </c>
      <c r="R176">
        <v>3.9437267391487984E-3</v>
      </c>
      <c r="S176">
        <v>1.4393268714584424E-3</v>
      </c>
      <c r="T176">
        <v>2.0061008232493047E-2</v>
      </c>
      <c r="U176">
        <v>3.0064380414575598E-3</v>
      </c>
      <c r="V176">
        <v>1.2144533010075833E-2</v>
      </c>
      <c r="W176">
        <v>2.0592324257797896E-2</v>
      </c>
      <c r="X176">
        <v>6.3898027300428054E-2</v>
      </c>
      <c r="Y176">
        <v>0.250584667535385</v>
      </c>
      <c r="Z176">
        <v>0.57127689089516953</v>
      </c>
      <c r="AA176">
        <v>6.1570286283091323E-2</v>
      </c>
      <c r="AB176">
        <v>0.2872657688383411</v>
      </c>
      <c r="AC176">
        <v>1.9750966723918302E-2</v>
      </c>
      <c r="AD176">
        <v>0.28648428544143256</v>
      </c>
      <c r="AE176">
        <v>1.1164340401478474</v>
      </c>
      <c r="AF176">
        <v>0</v>
      </c>
      <c r="AI176">
        <v>0</v>
      </c>
      <c r="AP176">
        <v>0</v>
      </c>
      <c r="AQ176">
        <v>0</v>
      </c>
      <c r="BA176">
        <v>0</v>
      </c>
      <c r="BF176">
        <v>0</v>
      </c>
      <c r="BG176">
        <v>1.0640813265143023</v>
      </c>
      <c r="BH176">
        <v>0.91722741998923962</v>
      </c>
      <c r="BI176">
        <v>0.19196055218756428</v>
      </c>
      <c r="BJ176">
        <v>25.840551235798497</v>
      </c>
      <c r="BK176">
        <v>6.2276499983258269</v>
      </c>
      <c r="BL176">
        <v>0.1917930412513765</v>
      </c>
      <c r="BM176">
        <v>6.0994099815598641</v>
      </c>
      <c r="BN176">
        <v>8.575931463797378</v>
      </c>
      <c r="BO176">
        <v>0.9424174394091358</v>
      </c>
      <c r="BP176">
        <v>4.3825295870827974</v>
      </c>
      <c r="BQ176">
        <v>6.7836438893555178</v>
      </c>
      <c r="BR176">
        <v>8.1194910250840895</v>
      </c>
      <c r="BU176">
        <v>22.166828327421008</v>
      </c>
      <c r="BV176">
        <v>84.441144806769955</v>
      </c>
      <c r="BW176">
        <v>26.37130904974957</v>
      </c>
      <c r="BX176">
        <v>27.261176652685631</v>
      </c>
      <c r="BY176">
        <v>13.064085423899762</v>
      </c>
      <c r="BZ176">
        <v>0.48497102122993047</v>
      </c>
      <c r="CA176">
        <v>9.0742128319520727</v>
      </c>
      <c r="CB176">
        <v>40.130134994619198</v>
      </c>
      <c r="DF176">
        <v>0</v>
      </c>
      <c r="DI176">
        <v>0</v>
      </c>
      <c r="DL176">
        <v>0</v>
      </c>
      <c r="DT176">
        <v>0</v>
      </c>
      <c r="DU176">
        <v>0</v>
      </c>
      <c r="EB176">
        <v>0</v>
      </c>
      <c r="EG176">
        <v>0</v>
      </c>
      <c r="EI176">
        <v>0</v>
      </c>
      <c r="EK176">
        <v>0</v>
      </c>
      <c r="EL176">
        <v>0</v>
      </c>
      <c r="EO176">
        <v>0</v>
      </c>
      <c r="EV176">
        <v>0</v>
      </c>
      <c r="GZ176">
        <v>0.49067753390985697</v>
      </c>
      <c r="HA176">
        <v>298.19964738329458</v>
      </c>
    </row>
    <row r="177" spans="1:209" x14ac:dyDescent="0.75">
      <c r="A177" t="s">
        <v>748</v>
      </c>
      <c r="B177">
        <v>0.36035668577746982</v>
      </c>
      <c r="C177">
        <v>0.63332101107631922</v>
      </c>
      <c r="D177">
        <v>4.5869956749634089E-3</v>
      </c>
      <c r="E177">
        <v>0.11278008136610741</v>
      </c>
      <c r="F177">
        <v>2.9091661577176621E-4</v>
      </c>
      <c r="G177">
        <v>0.54021531287320312</v>
      </c>
      <c r="H177">
        <v>0.51512970387299273</v>
      </c>
      <c r="I177">
        <v>0.73196160716987324</v>
      </c>
      <c r="J177">
        <v>0.10672688068553444</v>
      </c>
      <c r="K177">
        <v>2.8631779054729072</v>
      </c>
      <c r="L177">
        <v>0.26502918415715826</v>
      </c>
      <c r="M177">
        <v>1.474852825480613</v>
      </c>
      <c r="N177">
        <v>0.3007553084187759</v>
      </c>
      <c r="O177">
        <v>1.9687806824246503</v>
      </c>
      <c r="P177">
        <v>0.54311312323260841</v>
      </c>
      <c r="Q177">
        <v>0.34677305385158819</v>
      </c>
      <c r="R177">
        <v>5.3767006695658801E-2</v>
      </c>
      <c r="S177">
        <v>3.5415448887477052E-2</v>
      </c>
      <c r="T177">
        <v>0.27900304220679245</v>
      </c>
      <c r="V177">
        <v>1.8782541609060555E-2</v>
      </c>
      <c r="W177">
        <v>3.1847761200736444E-2</v>
      </c>
      <c r="X177">
        <v>2.5989089575803644E-3</v>
      </c>
      <c r="Y177">
        <v>3.2885040796527112E-2</v>
      </c>
      <c r="Z177">
        <v>2.4961453959889237</v>
      </c>
      <c r="AA177">
        <v>0.31252160539120827</v>
      </c>
      <c r="AB177">
        <v>9.3508346255621724E-2</v>
      </c>
      <c r="AC177">
        <v>5.6973334933129866E-2</v>
      </c>
      <c r="AD177">
        <v>0.2234035525388792</v>
      </c>
      <c r="AE177">
        <v>0.54809579395204855</v>
      </c>
      <c r="AF177">
        <v>1.2416813472553723</v>
      </c>
      <c r="AH177">
        <v>9.2312752097466614E-5</v>
      </c>
      <c r="AI177">
        <v>0.20458091587652164</v>
      </c>
      <c r="AJ177">
        <v>0.34807698784176316</v>
      </c>
      <c r="AK177">
        <v>7.2417683674319985E-2</v>
      </c>
      <c r="AL177">
        <v>8.3462304265139134E-2</v>
      </c>
      <c r="AM177">
        <v>0.18971967627049025</v>
      </c>
      <c r="AN177">
        <v>0.84737152588173381</v>
      </c>
      <c r="AO177">
        <v>5.5306231832044014E-2</v>
      </c>
      <c r="AP177">
        <v>0.74360217923366478</v>
      </c>
      <c r="AQ177">
        <v>3.8245786900367964</v>
      </c>
      <c r="AR177">
        <v>1.0391859813490183E-2</v>
      </c>
      <c r="AS177">
        <v>3.5316358240960732</v>
      </c>
      <c r="AT177">
        <v>4.3578950313784504E-2</v>
      </c>
      <c r="AU177">
        <v>7.6870550024492279E-2</v>
      </c>
      <c r="AV177">
        <v>1.229003373634064E-3</v>
      </c>
      <c r="AW177">
        <v>0.13879659115730475</v>
      </c>
      <c r="AX177">
        <v>3.1128514399571438E-2</v>
      </c>
      <c r="AY177">
        <v>2.0210588517378246E-2</v>
      </c>
      <c r="AZ177">
        <v>7.983242394592236E-4</v>
      </c>
      <c r="BA177">
        <v>1.136375612083996E-2</v>
      </c>
      <c r="BB177">
        <v>0.54681301886957867</v>
      </c>
      <c r="BC177">
        <v>0.28469308950238176</v>
      </c>
      <c r="BD177">
        <v>0.14925836547490121</v>
      </c>
      <c r="BE177">
        <v>0.65154557724029249</v>
      </c>
      <c r="BF177">
        <v>1.4636885435249054</v>
      </c>
      <c r="BG177">
        <v>2.7203059555687599</v>
      </c>
      <c r="BH177">
        <v>0.78257660246596428</v>
      </c>
      <c r="BI177">
        <v>10.401010000359904</v>
      </c>
      <c r="BJ177">
        <v>12.083203974359794</v>
      </c>
      <c r="BK177">
        <v>14.29419245056007</v>
      </c>
      <c r="BL177">
        <v>0.48447250758313887</v>
      </c>
      <c r="BM177">
        <v>3.8925096638718428</v>
      </c>
      <c r="BN177">
        <v>0.1688477866605459</v>
      </c>
      <c r="BO177">
        <v>3.9159861945872891E-2</v>
      </c>
      <c r="BP177">
        <v>5.4752319466445723E-2</v>
      </c>
      <c r="BQ177">
        <v>3.4589288258167476E-2</v>
      </c>
      <c r="BR177">
        <v>9.8100339549167387E-2</v>
      </c>
      <c r="BS177">
        <v>0.73046200945977457</v>
      </c>
      <c r="BT177">
        <v>0.25689525677947161</v>
      </c>
      <c r="BU177">
        <v>5.0367341745753915</v>
      </c>
      <c r="BV177">
        <v>4.4308492716548749</v>
      </c>
      <c r="BW177">
        <v>0.72486537849769295</v>
      </c>
      <c r="BX177">
        <v>0.2236433620346861</v>
      </c>
      <c r="BY177">
        <v>0.27037749435533209</v>
      </c>
      <c r="BZ177">
        <v>0.2928304267213841</v>
      </c>
      <c r="CA177">
        <v>1.3069453948859426</v>
      </c>
      <c r="CB177">
        <v>6.1201865552279511</v>
      </c>
      <c r="CC177">
        <v>4.5389753890687388</v>
      </c>
      <c r="DF177">
        <v>0</v>
      </c>
      <c r="DI177">
        <v>0</v>
      </c>
      <c r="DL177">
        <v>0</v>
      </c>
      <c r="DT177">
        <v>0</v>
      </c>
      <c r="DU177">
        <v>0</v>
      </c>
      <c r="EB177">
        <v>0</v>
      </c>
      <c r="EG177">
        <v>0</v>
      </c>
      <c r="EI177">
        <v>0</v>
      </c>
      <c r="EK177">
        <v>0</v>
      </c>
      <c r="EL177">
        <v>0</v>
      </c>
      <c r="EO177">
        <v>0</v>
      </c>
      <c r="EV177">
        <v>0</v>
      </c>
      <c r="GZ177">
        <v>0.16236565549926715</v>
      </c>
      <c r="HA177">
        <v>98.674542588562403</v>
      </c>
    </row>
    <row r="178" spans="1:209" x14ac:dyDescent="0.75">
      <c r="A178" t="s">
        <v>749</v>
      </c>
      <c r="B178">
        <v>0.39542922300068212</v>
      </c>
      <c r="C178">
        <v>0.6949604245016423</v>
      </c>
      <c r="D178">
        <v>5.0334355022300381E-3</v>
      </c>
      <c r="E178">
        <v>0.12375666028878167</v>
      </c>
      <c r="F178">
        <v>3.1923073963349745E-4</v>
      </c>
      <c r="G178">
        <v>0.6066791218127715</v>
      </c>
      <c r="H178">
        <v>0.57850717837517718</v>
      </c>
      <c r="I178">
        <v>0.82201635987818178</v>
      </c>
      <c r="J178">
        <v>0.11985770988930496</v>
      </c>
      <c r="K178">
        <v>2.632453093122094</v>
      </c>
      <c r="L178">
        <v>0.24367221270761447</v>
      </c>
      <c r="M178">
        <v>1.356004066291171</v>
      </c>
      <c r="N178">
        <v>0.37762229791442981</v>
      </c>
      <c r="O178">
        <v>2.4719613073347255</v>
      </c>
      <c r="P178">
        <v>0.68192188094983874</v>
      </c>
      <c r="Q178">
        <v>0.43540125073338853</v>
      </c>
      <c r="R178">
        <v>4.9052924415212439E-2</v>
      </c>
      <c r="S178">
        <v>3.2310359906059211E-2</v>
      </c>
      <c r="T178">
        <v>5.7059570067342479E-3</v>
      </c>
      <c r="V178">
        <v>0.1041712713290185</v>
      </c>
      <c r="W178">
        <v>0.17663327159426115</v>
      </c>
      <c r="X178">
        <v>1.4414005080596863E-2</v>
      </c>
      <c r="Y178">
        <v>0.18238620623251267</v>
      </c>
      <c r="Z178">
        <v>0.87220497799511698</v>
      </c>
      <c r="AA178">
        <v>0.52433038012485833</v>
      </c>
      <c r="AB178">
        <v>0.27013891127348089</v>
      </c>
      <c r="AC178">
        <v>9.5586512571105675E-2</v>
      </c>
      <c r="AD178">
        <v>1.201795982214432</v>
      </c>
      <c r="AE178">
        <v>0.11550579272504961</v>
      </c>
      <c r="AF178">
        <v>6.9248464314016447</v>
      </c>
      <c r="AH178">
        <v>6.2201898664456133E-5</v>
      </c>
      <c r="AI178">
        <v>0.13785009231007697</v>
      </c>
      <c r="AJ178">
        <v>0.32661792857738564</v>
      </c>
      <c r="AK178">
        <v>6.7953109973565518E-2</v>
      </c>
      <c r="AL178">
        <v>7.8316826120570365E-2</v>
      </c>
      <c r="AM178">
        <v>0.17802339665732109</v>
      </c>
      <c r="AN178">
        <v>0.79513079630753847</v>
      </c>
      <c r="AO178">
        <v>5.1896584690668601E-2</v>
      </c>
      <c r="AP178">
        <v>0.69775886355733641</v>
      </c>
      <c r="AQ178">
        <v>2.5549558479063483</v>
      </c>
      <c r="AR178">
        <v>6.9421353704306379E-3</v>
      </c>
      <c r="AS178">
        <v>2.2875977933107312</v>
      </c>
      <c r="AT178">
        <v>0.12079701974340752</v>
      </c>
      <c r="AU178">
        <v>0.21307840785825466</v>
      </c>
      <c r="AV178">
        <v>1.3911013154922272E-3</v>
      </c>
      <c r="AW178">
        <v>0.15710300287772286</v>
      </c>
      <c r="AX178">
        <v>3.5234172874985141E-2</v>
      </c>
      <c r="AY178">
        <v>2.2876240111744574E-2</v>
      </c>
      <c r="AZ178">
        <v>9.0361826787932335E-4</v>
      </c>
      <c r="BA178">
        <v>1.2862565252274232E-2</v>
      </c>
      <c r="BB178">
        <v>0.45781044698160406</v>
      </c>
      <c r="BC178">
        <v>0.23835473198333945</v>
      </c>
      <c r="BD178">
        <v>0.12496417725216251</v>
      </c>
      <c r="BE178">
        <v>0.63245180190251171</v>
      </c>
      <c r="BF178">
        <v>1.4207946291299638</v>
      </c>
      <c r="BG178">
        <v>0.48047116953945229</v>
      </c>
      <c r="BH178">
        <v>0.13822176680946827</v>
      </c>
      <c r="BI178">
        <v>20.263328999602912</v>
      </c>
      <c r="BJ178">
        <v>24.442960533441187</v>
      </c>
      <c r="BK178">
        <v>13.338406145450133</v>
      </c>
      <c r="BL178">
        <v>0.45207807959766072</v>
      </c>
      <c r="BM178">
        <v>3.4392632045617835</v>
      </c>
      <c r="BN178">
        <v>0.15303429210760813</v>
      </c>
      <c r="BO178">
        <v>3.5492332297884004E-2</v>
      </c>
      <c r="BP178">
        <v>0.46079117545857856</v>
      </c>
      <c r="BQ178">
        <v>0.29110070495779228</v>
      </c>
      <c r="BR178">
        <v>0.82560467235454915</v>
      </c>
      <c r="BS178">
        <v>3.7254321124783947</v>
      </c>
      <c r="BT178">
        <v>1.3101924901712902</v>
      </c>
      <c r="BU178">
        <v>5.9499023539392297</v>
      </c>
      <c r="BV178">
        <v>3.8175337604741895</v>
      </c>
      <c r="BW178">
        <v>0.45699127822083774</v>
      </c>
      <c r="BX178">
        <v>0.59104193744396993</v>
      </c>
      <c r="BY178">
        <v>0.71455032982484223</v>
      </c>
      <c r="BZ178">
        <v>0.22147623556296767</v>
      </c>
      <c r="CA178">
        <v>0.98848111306787623</v>
      </c>
      <c r="CB178">
        <v>4.6288764947388898</v>
      </c>
      <c r="CC178">
        <v>6.9594723612183413</v>
      </c>
      <c r="DF178">
        <v>0</v>
      </c>
      <c r="DI178">
        <v>0</v>
      </c>
      <c r="DL178">
        <v>0</v>
      </c>
      <c r="DT178">
        <v>0</v>
      </c>
      <c r="DU178">
        <v>0</v>
      </c>
      <c r="EB178">
        <v>0</v>
      </c>
      <c r="EG178">
        <v>0</v>
      </c>
      <c r="EI178">
        <v>0</v>
      </c>
      <c r="EK178">
        <v>0</v>
      </c>
      <c r="EL178">
        <v>0</v>
      </c>
      <c r="EO178">
        <v>0</v>
      </c>
      <c r="EV178">
        <v>0</v>
      </c>
      <c r="GZ178">
        <v>0.20836455905738877</v>
      </c>
      <c r="HA178">
        <v>126.62947403152099</v>
      </c>
    </row>
    <row r="179" spans="1:209" x14ac:dyDescent="0.75">
      <c r="A179" t="s">
        <v>750</v>
      </c>
      <c r="B179">
        <v>0.10791005880611163</v>
      </c>
      <c r="C179">
        <v>0.18965017230343431</v>
      </c>
      <c r="D179">
        <v>1.3735917566251204E-3</v>
      </c>
      <c r="E179">
        <v>3.3772386340266441E-2</v>
      </c>
      <c r="F179">
        <v>8.7115989114719026E-5</v>
      </c>
      <c r="G179">
        <v>8.6492348678181452E-2</v>
      </c>
      <c r="H179">
        <v>8.247596263960208E-2</v>
      </c>
      <c r="I179">
        <v>0.1171923065447024</v>
      </c>
      <c r="J179">
        <v>1.7087739569045846E-2</v>
      </c>
      <c r="K179">
        <v>0.70719842473152195</v>
      </c>
      <c r="L179">
        <v>6.5461605157527053E-2</v>
      </c>
      <c r="M179">
        <v>0.36428529044493685</v>
      </c>
      <c r="N179">
        <v>3.3447558630514629E-2</v>
      </c>
      <c r="O179">
        <v>0.2189517706345232</v>
      </c>
      <c r="P179">
        <v>6.0400623110632719E-2</v>
      </c>
      <c r="Q179">
        <v>3.8565277903701678E-2</v>
      </c>
      <c r="R179">
        <v>5.3793480045623695E-3</v>
      </c>
      <c r="S179">
        <v>3.5432886450588365E-3</v>
      </c>
      <c r="V179">
        <v>1.9014482236673187E-4</v>
      </c>
      <c r="W179">
        <v>3.2241040761868498E-4</v>
      </c>
      <c r="X179">
        <v>2.6310021954006657E-5</v>
      </c>
      <c r="Y179">
        <v>3.329112944843427E-4</v>
      </c>
      <c r="Z179">
        <v>0.7852512150280877</v>
      </c>
      <c r="AA179">
        <v>5.0947179532991251E-2</v>
      </c>
      <c r="AB179">
        <v>6.5745844689558325E-2</v>
      </c>
      <c r="AC179">
        <v>9.2877761836592226E-3</v>
      </c>
      <c r="AD179">
        <v>3.8742881468884862</v>
      </c>
      <c r="AE179">
        <v>0.58383939059338896</v>
      </c>
      <c r="AF179">
        <v>0</v>
      </c>
      <c r="AH179">
        <v>5.1440201501746336E-4</v>
      </c>
      <c r="AI179">
        <v>1.1400032278301988</v>
      </c>
      <c r="AJ179">
        <v>0.30908194726717025</v>
      </c>
      <c r="AK179">
        <v>6.4304735643173766E-2</v>
      </c>
      <c r="AL179">
        <v>7.4112028162578517E-2</v>
      </c>
      <c r="AM179">
        <v>0.16846539422260717</v>
      </c>
      <c r="AN179">
        <v>0.75244055317251679</v>
      </c>
      <c r="AO179">
        <v>4.9110278552596462E-2</v>
      </c>
      <c r="AP179">
        <v>0.66029647916321221</v>
      </c>
      <c r="AQ179">
        <v>4.3993104737611368</v>
      </c>
      <c r="AR179">
        <v>1.1953478127784307E-2</v>
      </c>
      <c r="AS179">
        <v>2.7261914169782213</v>
      </c>
      <c r="AT179">
        <v>1.4089956630828617</v>
      </c>
      <c r="AU179">
        <v>2.4853804605992096</v>
      </c>
      <c r="AV179">
        <v>8.00603625263052E-3</v>
      </c>
      <c r="AW179">
        <v>0.90415580980966592</v>
      </c>
      <c r="AX179">
        <v>0.20277895091254991</v>
      </c>
      <c r="AY179">
        <v>0.13165684312051881</v>
      </c>
      <c r="AZ179">
        <v>5.2004843433141592E-3</v>
      </c>
      <c r="BA179">
        <v>7.4026357796301373E-2</v>
      </c>
      <c r="BB179">
        <v>0.94440245457863325</v>
      </c>
      <c r="BC179">
        <v>0.49169431460034652</v>
      </c>
      <c r="BD179">
        <v>0.25778458423008399</v>
      </c>
      <c r="BE179">
        <v>0.46033731755391166</v>
      </c>
      <c r="BF179">
        <v>1.0341417107220274</v>
      </c>
      <c r="BG179">
        <v>3.0923887445588565</v>
      </c>
      <c r="BH179">
        <v>0.88961724039415269</v>
      </c>
      <c r="BI179">
        <v>11.63691496855081</v>
      </c>
      <c r="BJ179">
        <v>43.82042806023734</v>
      </c>
      <c r="BK179">
        <v>23.591736509658645</v>
      </c>
      <c r="BL179">
        <v>0.79959380598847218</v>
      </c>
      <c r="BM179">
        <v>13.695549702197503</v>
      </c>
      <c r="BN179">
        <v>2.2611280971783678</v>
      </c>
      <c r="BO179">
        <v>0.52440997823354518</v>
      </c>
      <c r="BP179">
        <v>0.48167160443767504</v>
      </c>
      <c r="BQ179">
        <v>0.30429172926416487</v>
      </c>
      <c r="BR179">
        <v>0.8630163691144821</v>
      </c>
      <c r="BU179">
        <v>14.200507857693511</v>
      </c>
      <c r="BV179">
        <v>11.418810885429059</v>
      </c>
      <c r="BW179">
        <v>7.9326318545198866</v>
      </c>
      <c r="BX179">
        <v>1.2217577005226907</v>
      </c>
      <c r="BY179">
        <v>1.4770650144555766</v>
      </c>
      <c r="BZ179">
        <v>0.5510912036670127</v>
      </c>
      <c r="CA179">
        <v>2.4596013428619483</v>
      </c>
      <c r="CB179">
        <v>11.517863813367661</v>
      </c>
      <c r="CC179">
        <v>1.5037836407651699</v>
      </c>
      <c r="DF179">
        <v>0</v>
      </c>
      <c r="DI179">
        <v>0</v>
      </c>
      <c r="DL179">
        <v>0</v>
      </c>
      <c r="DT179">
        <v>0</v>
      </c>
      <c r="DU179">
        <v>0</v>
      </c>
      <c r="EB179">
        <v>0</v>
      </c>
      <c r="EG179">
        <v>0</v>
      </c>
      <c r="EI179">
        <v>0</v>
      </c>
      <c r="EK179">
        <v>0</v>
      </c>
      <c r="EL179">
        <v>0</v>
      </c>
      <c r="EO179">
        <v>0</v>
      </c>
      <c r="EV179">
        <v>0</v>
      </c>
      <c r="GZ179">
        <v>0.29751552865825504</v>
      </c>
      <c r="HA179">
        <v>180.80922725360568</v>
      </c>
    </row>
    <row r="180" spans="1:209" x14ac:dyDescent="0.75">
      <c r="A180" t="s">
        <v>751</v>
      </c>
      <c r="B180">
        <v>0.15617241883082075</v>
      </c>
      <c r="C180">
        <v>0.27447048466098889</v>
      </c>
      <c r="D180">
        <v>1.9879254027991657E-3</v>
      </c>
      <c r="E180">
        <v>4.8876956632236249E-2</v>
      </c>
      <c r="F180">
        <v>1.2607828120388882E-4</v>
      </c>
      <c r="G180">
        <v>0.26317520905253378</v>
      </c>
      <c r="H180">
        <v>0.2509543218701113</v>
      </c>
      <c r="I180">
        <v>0.35658772418132878</v>
      </c>
      <c r="J180">
        <v>5.1993841097453336E-2</v>
      </c>
      <c r="K180">
        <v>3.1778789133931706</v>
      </c>
      <c r="L180">
        <v>0.29415938637865346</v>
      </c>
      <c r="M180">
        <v>1.6369585995666758</v>
      </c>
      <c r="N180">
        <v>0.14302932507541877</v>
      </c>
      <c r="O180">
        <v>0.93628728852434939</v>
      </c>
      <c r="P180">
        <v>0.25828672439389988</v>
      </c>
      <c r="Q180">
        <v>0.16491385009129267</v>
      </c>
      <c r="R180">
        <v>2.1864132120375315E-2</v>
      </c>
      <c r="S180">
        <v>1.4401546620610316E-2</v>
      </c>
      <c r="V180">
        <v>3.6578476415256231E-3</v>
      </c>
      <c r="W180">
        <v>6.2022627512662654E-3</v>
      </c>
      <c r="X180">
        <v>5.0613027772766024E-4</v>
      </c>
      <c r="Y180">
        <v>6.4042700622062975E-3</v>
      </c>
      <c r="Z180">
        <v>1.0746005346151006</v>
      </c>
      <c r="AA180">
        <v>0.34599519056118605</v>
      </c>
      <c r="AB180">
        <v>9.2508422309000207E-2</v>
      </c>
      <c r="AC180">
        <v>6.3075638730381023E-2</v>
      </c>
      <c r="AD180">
        <v>1.7080754353873033</v>
      </c>
      <c r="AE180">
        <v>1.3372157200058798E-2</v>
      </c>
      <c r="AF180">
        <v>0</v>
      </c>
      <c r="AH180">
        <v>1.2942336425021358E-3</v>
      </c>
      <c r="AI180">
        <v>2.8682440716504209</v>
      </c>
      <c r="AJ180">
        <v>0.32336663854660053</v>
      </c>
      <c r="AK180">
        <v>6.727667659472375E-2</v>
      </c>
      <c r="AL180">
        <v>7.7537228022212398E-2</v>
      </c>
      <c r="AM180">
        <v>0.17625127809261301</v>
      </c>
      <c r="AN180">
        <v>0.78721573529890043</v>
      </c>
      <c r="AO180">
        <v>5.1379984609431502E-2</v>
      </c>
      <c r="AP180">
        <v>0.69081308306433931</v>
      </c>
      <c r="AQ180">
        <v>26.337952401233643</v>
      </c>
      <c r="AR180">
        <v>7.1563518836989568E-2</v>
      </c>
      <c r="AS180">
        <v>2.7688685684772989</v>
      </c>
      <c r="AT180">
        <v>0.62654929043684149</v>
      </c>
      <c r="AU180">
        <v>1.1051938659959144</v>
      </c>
      <c r="AV180">
        <v>2.4888943467951636E-2</v>
      </c>
      <c r="AW180">
        <v>2.8108145062644327</v>
      </c>
      <c r="AX180">
        <v>0.63039357885679459</v>
      </c>
      <c r="AY180">
        <v>0.40929114260741967</v>
      </c>
      <c r="AZ180">
        <v>1.6167121499629206E-2</v>
      </c>
      <c r="BA180">
        <v>0.2301310881180611</v>
      </c>
      <c r="BB180">
        <v>0.37303941294974713</v>
      </c>
      <c r="BC180">
        <v>0.19421948511461584</v>
      </c>
      <c r="BD180">
        <v>0.10182503179917173</v>
      </c>
      <c r="BE180">
        <v>0.47597499792602999</v>
      </c>
      <c r="BF180">
        <v>1.0692715533723633</v>
      </c>
      <c r="BG180">
        <v>25.385095199117355</v>
      </c>
      <c r="BH180">
        <v>7.3027747167677672</v>
      </c>
      <c r="BI180">
        <v>16.419671785919213</v>
      </c>
      <c r="BJ180">
        <v>108.19304098328385</v>
      </c>
      <c r="BK180">
        <v>63.763020694030523</v>
      </c>
      <c r="BL180">
        <v>2.1611175750961826</v>
      </c>
      <c r="BM180">
        <v>22.838672475823103</v>
      </c>
      <c r="BN180">
        <v>29.37526191090415</v>
      </c>
      <c r="BO180">
        <v>6.8128296130260066</v>
      </c>
      <c r="BP180">
        <v>23.73562418732779</v>
      </c>
      <c r="BQ180">
        <v>14.994768349606661</v>
      </c>
      <c r="BR180">
        <v>42.527381759877066</v>
      </c>
      <c r="BS180">
        <v>73.534372377840938</v>
      </c>
      <c r="BT180">
        <v>25.861210069081643</v>
      </c>
      <c r="BU180">
        <v>133.89205541990606</v>
      </c>
      <c r="BV180">
        <v>228.67308245832803</v>
      </c>
      <c r="BW180">
        <v>49.806801489532617</v>
      </c>
      <c r="BX180">
        <v>20.507711585127741</v>
      </c>
      <c r="BY180">
        <v>24.793151126429041</v>
      </c>
      <c r="BZ180">
        <v>6.8413204763724691</v>
      </c>
      <c r="CA180">
        <v>30.533822566331583</v>
      </c>
      <c r="CB180">
        <v>142.98431371456553</v>
      </c>
      <c r="CC180">
        <v>0.23662236616229546</v>
      </c>
      <c r="DF180">
        <v>0</v>
      </c>
      <c r="DI180">
        <v>0</v>
      </c>
      <c r="DL180">
        <v>0</v>
      </c>
      <c r="DT180">
        <v>0</v>
      </c>
      <c r="DU180">
        <v>0</v>
      </c>
      <c r="EB180">
        <v>0</v>
      </c>
      <c r="EG180">
        <v>0</v>
      </c>
      <c r="EI180">
        <v>0</v>
      </c>
      <c r="EK180">
        <v>0</v>
      </c>
      <c r="EL180">
        <v>0</v>
      </c>
      <c r="EO180">
        <v>0</v>
      </c>
      <c r="EV180">
        <v>0</v>
      </c>
      <c r="GZ180">
        <v>1.903365637259939</v>
      </c>
      <c r="HA180">
        <v>1156.7331345899056</v>
      </c>
    </row>
    <row r="181" spans="1:209" x14ac:dyDescent="0.75">
      <c r="A181" t="s">
        <v>17</v>
      </c>
      <c r="B181">
        <v>21.307452290664642</v>
      </c>
      <c r="C181">
        <v>44.609839803444316</v>
      </c>
      <c r="D181">
        <v>1.3790356732424531</v>
      </c>
      <c r="E181">
        <v>24.103746744607118</v>
      </c>
      <c r="F181">
        <v>0.13654833054127383</v>
      </c>
      <c r="G181">
        <v>67.270699954041561</v>
      </c>
      <c r="H181">
        <v>70.110225997800555</v>
      </c>
      <c r="I181">
        <v>57.33037913544684</v>
      </c>
      <c r="J181">
        <v>9.0777571801840153</v>
      </c>
      <c r="K181">
        <v>74.98531391464202</v>
      </c>
      <c r="L181">
        <v>7.0780340295526134</v>
      </c>
      <c r="M181">
        <v>44.206372766932368</v>
      </c>
      <c r="N181">
        <v>33.398519153732607</v>
      </c>
      <c r="O181">
        <v>62.341645148827716</v>
      </c>
      <c r="P181">
        <v>11.45027092012602</v>
      </c>
      <c r="Q181">
        <v>8.3580275502066268</v>
      </c>
      <c r="R181">
        <v>3.780238123717131</v>
      </c>
      <c r="S181">
        <v>1.2642474962279091</v>
      </c>
      <c r="T181">
        <v>13.547269500122866</v>
      </c>
      <c r="U181">
        <v>4.7797540399061118</v>
      </c>
      <c r="V181">
        <v>1.3528454125373712</v>
      </c>
      <c r="W181">
        <v>2.6693137497851374</v>
      </c>
      <c r="X181">
        <v>1.6626668046429349</v>
      </c>
      <c r="Y181">
        <v>9.6893323339218487</v>
      </c>
      <c r="AC181">
        <v>0</v>
      </c>
      <c r="AF181">
        <v>0</v>
      </c>
      <c r="AI181">
        <v>0</v>
      </c>
      <c r="AP181">
        <v>0</v>
      </c>
      <c r="AQ181">
        <v>0</v>
      </c>
      <c r="BA181">
        <v>0</v>
      </c>
      <c r="BF181">
        <v>0</v>
      </c>
      <c r="BH181">
        <v>0</v>
      </c>
      <c r="BJ181">
        <v>0</v>
      </c>
      <c r="BK181">
        <v>0</v>
      </c>
      <c r="BN181">
        <v>0</v>
      </c>
      <c r="BU181">
        <v>0</v>
      </c>
      <c r="DF181">
        <v>0</v>
      </c>
      <c r="DI181">
        <v>0</v>
      </c>
      <c r="DL181">
        <v>0</v>
      </c>
      <c r="DT181">
        <v>0</v>
      </c>
      <c r="DU181">
        <v>0</v>
      </c>
      <c r="EB181">
        <v>0</v>
      </c>
      <c r="EG181">
        <v>0</v>
      </c>
      <c r="EI181">
        <v>0</v>
      </c>
      <c r="EK181">
        <v>0</v>
      </c>
      <c r="EL181">
        <v>0</v>
      </c>
      <c r="EO181">
        <v>0</v>
      </c>
      <c r="EV181">
        <v>0</v>
      </c>
      <c r="HA181">
        <v>575.88953605485415</v>
      </c>
    </row>
    <row r="182" spans="1:209" x14ac:dyDescent="0.75">
      <c r="A182" t="s">
        <v>549</v>
      </c>
      <c r="B182">
        <v>3.0925497511339946</v>
      </c>
      <c r="C182">
        <v>7.3533773152046402</v>
      </c>
      <c r="D182">
        <v>0.28144677377701671</v>
      </c>
      <c r="E182">
        <v>6.238923774028744</v>
      </c>
      <c r="F182">
        <v>1.9895609058422626E-2</v>
      </c>
      <c r="G182">
        <v>17.164663072147061</v>
      </c>
      <c r="H182">
        <v>10.275256495620855</v>
      </c>
      <c r="I182">
        <v>9.4473193879130566</v>
      </c>
      <c r="J182">
        <v>1.7089681445031972</v>
      </c>
      <c r="K182">
        <v>29.996912792304713</v>
      </c>
      <c r="L182">
        <v>2.8912906853062896</v>
      </c>
      <c r="M182">
        <v>17.069042719567136</v>
      </c>
      <c r="N182">
        <v>8.6798780934989814</v>
      </c>
      <c r="O182">
        <v>15.905855677873962</v>
      </c>
      <c r="P182">
        <v>2.8930577809102358</v>
      </c>
      <c r="Q182">
        <v>2.5801218613526151</v>
      </c>
      <c r="R182">
        <v>0.80120888312473071</v>
      </c>
      <c r="S182">
        <v>0.26406668991037696</v>
      </c>
      <c r="T182">
        <v>9.537429460011662</v>
      </c>
      <c r="U182">
        <v>2.7840573165739859</v>
      </c>
      <c r="V182">
        <v>0.44087959221652939</v>
      </c>
      <c r="W182">
        <v>0.97316438822963813</v>
      </c>
      <c r="X182">
        <v>0.79686244913676774</v>
      </c>
      <c r="Y182">
        <v>3.0708693847299151</v>
      </c>
      <c r="AC182">
        <v>0</v>
      </c>
      <c r="AF182">
        <v>151.56549812772585</v>
      </c>
      <c r="AG182">
        <v>10.118254425482217</v>
      </c>
      <c r="AI182">
        <v>0</v>
      </c>
      <c r="AP182">
        <v>0</v>
      </c>
      <c r="AQ182">
        <v>0</v>
      </c>
      <c r="BA182">
        <v>0</v>
      </c>
      <c r="BF182">
        <v>0</v>
      </c>
      <c r="BH182">
        <v>0</v>
      </c>
      <c r="BJ182">
        <v>0</v>
      </c>
      <c r="BK182">
        <v>0</v>
      </c>
      <c r="BN182">
        <v>0</v>
      </c>
      <c r="BU182">
        <v>0</v>
      </c>
      <c r="DF182">
        <v>0</v>
      </c>
      <c r="DI182">
        <v>0</v>
      </c>
      <c r="DL182">
        <v>0</v>
      </c>
      <c r="DT182">
        <v>0</v>
      </c>
      <c r="DU182">
        <v>0</v>
      </c>
      <c r="EB182">
        <v>0</v>
      </c>
      <c r="EG182">
        <v>0</v>
      </c>
      <c r="EI182">
        <v>0</v>
      </c>
      <c r="EK182">
        <v>0</v>
      </c>
      <c r="EL182">
        <v>0</v>
      </c>
      <c r="EO182">
        <v>0</v>
      </c>
      <c r="EV182">
        <v>0</v>
      </c>
      <c r="GZ182">
        <v>1.4269556942539006</v>
      </c>
      <c r="HA182">
        <v>317.37780634559647</v>
      </c>
    </row>
    <row r="183" spans="1:209" x14ac:dyDescent="0.75">
      <c r="A183" t="s">
        <v>550</v>
      </c>
      <c r="Z183">
        <v>44.46133787456337</v>
      </c>
      <c r="AA183">
        <v>17.70303259691493</v>
      </c>
      <c r="AB183">
        <v>6.819256274131436</v>
      </c>
      <c r="AC183">
        <v>3.3882390996703551</v>
      </c>
      <c r="AD183">
        <v>18.268877658977861</v>
      </c>
      <c r="AE183">
        <v>8.1097262539000017</v>
      </c>
      <c r="AF183">
        <v>0</v>
      </c>
      <c r="AI183">
        <v>0</v>
      </c>
      <c r="AP183">
        <v>0</v>
      </c>
      <c r="AQ183">
        <v>0</v>
      </c>
      <c r="BA183">
        <v>0</v>
      </c>
      <c r="BF183">
        <v>0</v>
      </c>
      <c r="BH183">
        <v>0</v>
      </c>
      <c r="BJ183">
        <v>0</v>
      </c>
      <c r="BK183">
        <v>0</v>
      </c>
      <c r="BN183">
        <v>0</v>
      </c>
      <c r="BU183">
        <v>0</v>
      </c>
      <c r="DF183">
        <v>0</v>
      </c>
      <c r="DI183">
        <v>0</v>
      </c>
      <c r="DL183">
        <v>0</v>
      </c>
      <c r="DT183">
        <v>0</v>
      </c>
      <c r="DU183">
        <v>0</v>
      </c>
      <c r="EB183">
        <v>0</v>
      </c>
      <c r="EG183">
        <v>0</v>
      </c>
      <c r="EI183">
        <v>0</v>
      </c>
      <c r="EK183">
        <v>0</v>
      </c>
      <c r="EL183">
        <v>0</v>
      </c>
      <c r="EO183">
        <v>0</v>
      </c>
      <c r="EV183">
        <v>0</v>
      </c>
      <c r="GZ183">
        <v>0.4459951439951988</v>
      </c>
      <c r="HA183">
        <v>99.196464902153153</v>
      </c>
    </row>
    <row r="184" spans="1:209" x14ac:dyDescent="0.75">
      <c r="A184" t="s">
        <v>551</v>
      </c>
      <c r="AC184">
        <v>0</v>
      </c>
      <c r="AF184">
        <v>0</v>
      </c>
      <c r="AH184">
        <v>3.591500571495853E-2</v>
      </c>
      <c r="AI184">
        <v>85.452036732979963</v>
      </c>
      <c r="AP184">
        <v>0</v>
      </c>
      <c r="AQ184">
        <v>0</v>
      </c>
      <c r="BA184">
        <v>0</v>
      </c>
      <c r="BF184">
        <v>0</v>
      </c>
      <c r="BH184">
        <v>0</v>
      </c>
      <c r="BJ184">
        <v>0</v>
      </c>
      <c r="BK184">
        <v>0</v>
      </c>
      <c r="BN184">
        <v>0</v>
      </c>
      <c r="BU184">
        <v>0</v>
      </c>
      <c r="DF184">
        <v>0</v>
      </c>
      <c r="DI184">
        <v>0</v>
      </c>
      <c r="DL184">
        <v>0</v>
      </c>
      <c r="DT184">
        <v>0</v>
      </c>
      <c r="DU184">
        <v>0</v>
      </c>
      <c r="EB184">
        <v>0</v>
      </c>
      <c r="EG184">
        <v>0</v>
      </c>
      <c r="EI184">
        <v>0</v>
      </c>
      <c r="EK184">
        <v>0</v>
      </c>
      <c r="EL184">
        <v>0</v>
      </c>
      <c r="EO184">
        <v>0</v>
      </c>
      <c r="EV184">
        <v>0</v>
      </c>
      <c r="GZ184">
        <v>0.38609650606147211</v>
      </c>
      <c r="HA184">
        <v>85.874048244756409</v>
      </c>
    </row>
    <row r="185" spans="1:209" x14ac:dyDescent="0.75">
      <c r="A185" t="s">
        <v>552</v>
      </c>
      <c r="AC185">
        <v>0</v>
      </c>
      <c r="AF185">
        <v>0</v>
      </c>
      <c r="AI185">
        <v>0</v>
      </c>
      <c r="AJ185">
        <v>11.623665314979625</v>
      </c>
      <c r="AK185">
        <v>3.2061784952244685</v>
      </c>
      <c r="AL185">
        <v>4.0538698318324018</v>
      </c>
      <c r="AM185">
        <v>2.3749785189996668</v>
      </c>
      <c r="AN185">
        <v>48.586467724558517</v>
      </c>
      <c r="AO185">
        <v>1.9819964581034535</v>
      </c>
      <c r="AP185">
        <v>30.525039784027214</v>
      </c>
      <c r="AQ185">
        <v>94.063600601380472</v>
      </c>
      <c r="AR185">
        <v>4.3868498203383668</v>
      </c>
      <c r="AS185">
        <v>12.898544191211363</v>
      </c>
      <c r="AT185">
        <v>9.5217664396696602</v>
      </c>
      <c r="AU185">
        <v>6.6540160343861166</v>
      </c>
      <c r="AV185">
        <v>0.17615227759494115</v>
      </c>
      <c r="AW185">
        <v>19.916264442366575</v>
      </c>
      <c r="AX185">
        <v>4.4612996503377129</v>
      </c>
      <c r="AY185">
        <v>2.8959340736770867</v>
      </c>
      <c r="AZ185">
        <v>1.7889868806225819</v>
      </c>
      <c r="BA185">
        <v>25.404503691409126</v>
      </c>
      <c r="BB185">
        <v>13.485379375104065</v>
      </c>
      <c r="BC185">
        <v>5.9058123432990737</v>
      </c>
      <c r="BD185">
        <v>3.0958976515970913</v>
      </c>
      <c r="BE185">
        <v>16.71947354109761</v>
      </c>
      <c r="BF185">
        <v>26.147875866248494</v>
      </c>
      <c r="BG185">
        <v>36.635057496954822</v>
      </c>
      <c r="BH185">
        <v>13.969121059759821</v>
      </c>
      <c r="BI185">
        <v>200.00579017533923</v>
      </c>
      <c r="BJ185">
        <v>308.1662566645071</v>
      </c>
      <c r="BK185">
        <v>138.76809837535362</v>
      </c>
      <c r="BL185">
        <v>4.0235562719301914</v>
      </c>
      <c r="BM185">
        <v>69.679716315379608</v>
      </c>
      <c r="BN185">
        <v>65.998568918279076</v>
      </c>
      <c r="BO185">
        <v>13.017126831970069</v>
      </c>
      <c r="BP185">
        <v>21.209613019425611</v>
      </c>
      <c r="BQ185">
        <v>15.65140428693782</v>
      </c>
      <c r="BR185">
        <v>38.078942428020078</v>
      </c>
      <c r="BS185">
        <v>335.6775393724779</v>
      </c>
      <c r="BT185">
        <v>118.20316255624439</v>
      </c>
      <c r="BU185">
        <v>198.92802345801428</v>
      </c>
      <c r="BW185">
        <v>52.661472231845096</v>
      </c>
      <c r="BX185">
        <v>29.154385753374484</v>
      </c>
      <c r="BY185">
        <v>16.897930450284424</v>
      </c>
      <c r="BZ185">
        <v>1.5154392278812976</v>
      </c>
      <c r="CA185">
        <v>6.4572406297590845</v>
      </c>
      <c r="CB185">
        <v>37.194335178401829</v>
      </c>
      <c r="CC185">
        <v>3.0663964282911849</v>
      </c>
      <c r="DF185">
        <v>0</v>
      </c>
      <c r="DI185">
        <v>0</v>
      </c>
      <c r="DL185">
        <v>0</v>
      </c>
      <c r="DT185">
        <v>0</v>
      </c>
      <c r="DU185">
        <v>0</v>
      </c>
      <c r="EB185">
        <v>0</v>
      </c>
      <c r="EG185">
        <v>0</v>
      </c>
      <c r="EI185">
        <v>0</v>
      </c>
      <c r="EK185">
        <v>0</v>
      </c>
      <c r="EL185">
        <v>0</v>
      </c>
      <c r="EO185">
        <v>0</v>
      </c>
      <c r="EV185">
        <v>0</v>
      </c>
      <c r="GZ185">
        <v>9.3707480126976126</v>
      </c>
      <c r="HA185">
        <v>2084.2044781511941</v>
      </c>
    </row>
    <row r="186" spans="1:209" x14ac:dyDescent="0.75">
      <c r="A186" t="s">
        <v>75</v>
      </c>
      <c r="AC186">
        <v>0</v>
      </c>
      <c r="AF186">
        <v>0</v>
      </c>
      <c r="AI186">
        <v>0</v>
      </c>
      <c r="AP186">
        <v>0</v>
      </c>
      <c r="AQ186">
        <v>0</v>
      </c>
      <c r="BA186">
        <v>0</v>
      </c>
      <c r="BF186">
        <v>0</v>
      </c>
      <c r="BH186">
        <v>0</v>
      </c>
      <c r="BJ186">
        <v>0</v>
      </c>
      <c r="BK186">
        <v>0</v>
      </c>
      <c r="BN186">
        <v>0</v>
      </c>
      <c r="BU186">
        <v>0</v>
      </c>
      <c r="DF186">
        <v>0</v>
      </c>
      <c r="DI186">
        <v>0</v>
      </c>
      <c r="DL186">
        <v>0</v>
      </c>
      <c r="DT186">
        <v>0</v>
      </c>
      <c r="DU186">
        <v>0</v>
      </c>
      <c r="EB186">
        <v>0</v>
      </c>
      <c r="EG186">
        <v>0</v>
      </c>
      <c r="EI186">
        <v>0</v>
      </c>
      <c r="EK186">
        <v>0</v>
      </c>
      <c r="EL186">
        <v>0</v>
      </c>
      <c r="EO186">
        <v>0</v>
      </c>
      <c r="EV186">
        <v>0</v>
      </c>
      <c r="FV186">
        <v>78.231388953976335</v>
      </c>
      <c r="FW186">
        <v>1898.7134591016725</v>
      </c>
      <c r="GN186">
        <v>90.183618117278371</v>
      </c>
      <c r="GZ186">
        <v>65.20382103554229</v>
      </c>
      <c r="HA186">
        <v>2132.3322872084696</v>
      </c>
    </row>
    <row r="187" spans="1:209" x14ac:dyDescent="0.75">
      <c r="A187" t="s">
        <v>662</v>
      </c>
      <c r="AC187">
        <v>0</v>
      </c>
      <c r="AF187">
        <v>0</v>
      </c>
      <c r="AI187">
        <v>0</v>
      </c>
      <c r="AP187">
        <v>0</v>
      </c>
      <c r="AQ187">
        <v>0</v>
      </c>
      <c r="BA187">
        <v>0</v>
      </c>
      <c r="BF187">
        <v>0</v>
      </c>
      <c r="BH187">
        <v>0</v>
      </c>
      <c r="BJ187">
        <v>0</v>
      </c>
      <c r="BK187">
        <v>0</v>
      </c>
      <c r="BN187">
        <v>0</v>
      </c>
      <c r="BU187">
        <v>0</v>
      </c>
      <c r="DF187">
        <v>0</v>
      </c>
      <c r="DI187">
        <v>0</v>
      </c>
      <c r="DL187">
        <v>0</v>
      </c>
      <c r="DT187">
        <v>0</v>
      </c>
      <c r="DU187">
        <v>0</v>
      </c>
      <c r="EB187">
        <v>0</v>
      </c>
      <c r="EG187">
        <v>0</v>
      </c>
      <c r="EI187">
        <v>0</v>
      </c>
      <c r="EK187">
        <v>0</v>
      </c>
      <c r="EL187">
        <v>0</v>
      </c>
      <c r="EO187">
        <v>0</v>
      </c>
      <c r="EV187">
        <v>0</v>
      </c>
      <c r="FG187">
        <v>85.597245449008156</v>
      </c>
      <c r="FH187">
        <v>65.005763941712999</v>
      </c>
      <c r="FI187">
        <v>2.2156211197504523</v>
      </c>
      <c r="FJ187">
        <v>0.57596561549478587</v>
      </c>
      <c r="FS187">
        <v>55.779390045588769</v>
      </c>
      <c r="FT187">
        <v>27.679859403509258</v>
      </c>
      <c r="FU187">
        <v>6.5899266890409534</v>
      </c>
      <c r="FX187">
        <v>2.4702853871837345</v>
      </c>
      <c r="GN187">
        <v>26.628084599796413</v>
      </c>
      <c r="GZ187">
        <v>1.8140230314665977</v>
      </c>
      <c r="HA187">
        <v>274.35616528255218</v>
      </c>
    </row>
    <row r="188" spans="1:209" x14ac:dyDescent="0.75">
      <c r="A188" t="s">
        <v>663</v>
      </c>
      <c r="AC188">
        <v>0</v>
      </c>
      <c r="AF188">
        <v>0</v>
      </c>
      <c r="AI188">
        <v>0</v>
      </c>
      <c r="AP188">
        <v>0</v>
      </c>
      <c r="AQ188">
        <v>0</v>
      </c>
      <c r="BA188">
        <v>0</v>
      </c>
      <c r="BF188">
        <v>0</v>
      </c>
      <c r="BH188">
        <v>0</v>
      </c>
      <c r="BJ188">
        <v>0</v>
      </c>
      <c r="BK188">
        <v>0</v>
      </c>
      <c r="BN188">
        <v>0</v>
      </c>
      <c r="BU188">
        <v>0</v>
      </c>
      <c r="DF188">
        <v>0</v>
      </c>
      <c r="DI188">
        <v>0</v>
      </c>
      <c r="DL188">
        <v>0</v>
      </c>
      <c r="DT188">
        <v>0</v>
      </c>
      <c r="DU188">
        <v>0</v>
      </c>
      <c r="EB188">
        <v>0</v>
      </c>
      <c r="EG188">
        <v>0</v>
      </c>
      <c r="EI188">
        <v>0</v>
      </c>
      <c r="EK188">
        <v>0</v>
      </c>
      <c r="EL188">
        <v>0</v>
      </c>
      <c r="EO188">
        <v>0</v>
      </c>
      <c r="EV188">
        <v>0</v>
      </c>
      <c r="FG188">
        <v>123.61348092446003</v>
      </c>
      <c r="FH188">
        <v>120.68170405724535</v>
      </c>
      <c r="FI188">
        <v>9.1467252074339349</v>
      </c>
      <c r="FJ188">
        <v>1.6374384489522404</v>
      </c>
      <c r="FS188">
        <v>87.705222625265364</v>
      </c>
      <c r="FT188">
        <v>43.602059366052934</v>
      </c>
      <c r="FU188">
        <v>10.364751944042563</v>
      </c>
      <c r="FX188">
        <v>14.177792263307277</v>
      </c>
      <c r="GN188">
        <v>42.241593296309311</v>
      </c>
      <c r="GZ188">
        <v>3.9826814890442179</v>
      </c>
      <c r="HA188">
        <v>457.15344962211321</v>
      </c>
    </row>
    <row r="189" spans="1:209" x14ac:dyDescent="0.75">
      <c r="A189" t="s">
        <v>664</v>
      </c>
      <c r="AC189">
        <v>0</v>
      </c>
      <c r="AF189">
        <v>0</v>
      </c>
      <c r="AI189">
        <v>0</v>
      </c>
      <c r="AP189">
        <v>0</v>
      </c>
      <c r="AQ189">
        <v>0</v>
      </c>
      <c r="BA189">
        <v>0</v>
      </c>
      <c r="BF189">
        <v>0</v>
      </c>
      <c r="BH189">
        <v>0</v>
      </c>
      <c r="BJ189">
        <v>0</v>
      </c>
      <c r="BK189">
        <v>0</v>
      </c>
      <c r="BN189">
        <v>0</v>
      </c>
      <c r="BU189">
        <v>0</v>
      </c>
      <c r="DF189">
        <v>0</v>
      </c>
      <c r="DI189">
        <v>0</v>
      </c>
      <c r="DL189">
        <v>0</v>
      </c>
      <c r="DT189">
        <v>0</v>
      </c>
      <c r="DU189">
        <v>0</v>
      </c>
      <c r="EB189">
        <v>0</v>
      </c>
      <c r="EG189">
        <v>0</v>
      </c>
      <c r="EI189">
        <v>0</v>
      </c>
      <c r="EK189">
        <v>0</v>
      </c>
      <c r="EL189">
        <v>0</v>
      </c>
      <c r="EO189">
        <v>0</v>
      </c>
      <c r="EV189">
        <v>0</v>
      </c>
      <c r="FG189">
        <v>152.40843301590269</v>
      </c>
      <c r="FH189">
        <v>165.77229812825473</v>
      </c>
      <c r="FI189">
        <v>16.149434176019128</v>
      </c>
      <c r="FJ189">
        <v>5.9131926612201546</v>
      </c>
      <c r="FS189">
        <v>135.0993436576633</v>
      </c>
      <c r="FT189">
        <v>66.488293765031145</v>
      </c>
      <c r="FU189">
        <v>18.49061426932462</v>
      </c>
      <c r="FX189">
        <v>26.858802866807782</v>
      </c>
      <c r="GN189">
        <v>30.040126155853809</v>
      </c>
      <c r="GZ189">
        <v>7.8914132547790592</v>
      </c>
      <c r="HA189">
        <v>625.11195195085645</v>
      </c>
    </row>
    <row r="190" spans="1:209" x14ac:dyDescent="0.75">
      <c r="A190" t="s">
        <v>665</v>
      </c>
      <c r="AC190">
        <v>0</v>
      </c>
      <c r="AF190">
        <v>0</v>
      </c>
      <c r="AI190">
        <v>0</v>
      </c>
      <c r="AP190">
        <v>0</v>
      </c>
      <c r="AQ190">
        <v>0</v>
      </c>
      <c r="BA190">
        <v>0</v>
      </c>
      <c r="BF190">
        <v>0</v>
      </c>
      <c r="BH190">
        <v>0</v>
      </c>
      <c r="BJ190">
        <v>0</v>
      </c>
      <c r="BK190">
        <v>0</v>
      </c>
      <c r="BN190">
        <v>0</v>
      </c>
      <c r="BU190">
        <v>0</v>
      </c>
      <c r="DF190">
        <v>0</v>
      </c>
      <c r="DI190">
        <v>0</v>
      </c>
      <c r="DL190">
        <v>0</v>
      </c>
      <c r="DT190">
        <v>0</v>
      </c>
      <c r="DU190">
        <v>0</v>
      </c>
      <c r="EB190">
        <v>0</v>
      </c>
      <c r="EG190">
        <v>0</v>
      </c>
      <c r="EI190">
        <v>0</v>
      </c>
      <c r="EK190">
        <v>0</v>
      </c>
      <c r="EL190">
        <v>0</v>
      </c>
      <c r="EO190">
        <v>0</v>
      </c>
      <c r="EV190">
        <v>0</v>
      </c>
      <c r="FG190">
        <v>186.96133546195551</v>
      </c>
      <c r="FH190">
        <v>208.89940510401368</v>
      </c>
      <c r="FI190">
        <v>30.139355503194224</v>
      </c>
      <c r="FJ190">
        <v>55.248738289772447</v>
      </c>
      <c r="FS190">
        <v>145.70846870619744</v>
      </c>
      <c r="FT190">
        <v>73.074563883804984</v>
      </c>
      <c r="FU190">
        <v>22.557967508451792</v>
      </c>
      <c r="FX190">
        <v>108.60527574641526</v>
      </c>
      <c r="GN190">
        <v>35.809786372500689</v>
      </c>
      <c r="GZ190">
        <v>12.204181950543385</v>
      </c>
      <c r="HA190">
        <v>879.20907852684945</v>
      </c>
    </row>
    <row r="191" spans="1:209" x14ac:dyDescent="0.75">
      <c r="A191" t="s">
        <v>666</v>
      </c>
      <c r="AC191">
        <v>0</v>
      </c>
      <c r="AF191">
        <v>0</v>
      </c>
      <c r="AI191">
        <v>0</v>
      </c>
      <c r="AP191">
        <v>0</v>
      </c>
      <c r="AQ191">
        <v>0</v>
      </c>
      <c r="BA191">
        <v>0</v>
      </c>
      <c r="BF191">
        <v>0</v>
      </c>
      <c r="BH191">
        <v>0</v>
      </c>
      <c r="BJ191">
        <v>0</v>
      </c>
      <c r="BK191">
        <v>0</v>
      </c>
      <c r="BN191">
        <v>0</v>
      </c>
      <c r="BU191">
        <v>0</v>
      </c>
      <c r="DF191">
        <v>0</v>
      </c>
      <c r="DI191">
        <v>0</v>
      </c>
      <c r="DL191">
        <v>0</v>
      </c>
      <c r="DT191">
        <v>0</v>
      </c>
      <c r="DU191">
        <v>0</v>
      </c>
      <c r="EB191">
        <v>0</v>
      </c>
      <c r="EG191">
        <v>0</v>
      </c>
      <c r="EI191">
        <v>0</v>
      </c>
      <c r="EK191">
        <v>0</v>
      </c>
      <c r="EL191">
        <v>0</v>
      </c>
      <c r="EO191">
        <v>0</v>
      </c>
      <c r="EV191">
        <v>0</v>
      </c>
      <c r="FG191">
        <v>141.59913386727342</v>
      </c>
      <c r="FH191">
        <v>189.15102280320281</v>
      </c>
      <c r="FI191">
        <v>94.303375805824786</v>
      </c>
      <c r="FJ191">
        <v>137.7173889343745</v>
      </c>
      <c r="FS191">
        <v>124.21917737164588</v>
      </c>
      <c r="FT191">
        <v>64.547092669532702</v>
      </c>
      <c r="FU191">
        <v>22.675180356701759</v>
      </c>
      <c r="FX191">
        <v>350.81019983413989</v>
      </c>
      <c r="GN191">
        <v>35.569658137319905</v>
      </c>
      <c r="GZ191">
        <v>26.478364644427582</v>
      </c>
      <c r="HA191">
        <v>1187.0705944244432</v>
      </c>
    </row>
    <row r="192" spans="1:209" x14ac:dyDescent="0.75">
      <c r="A192" t="s">
        <v>656</v>
      </c>
      <c r="AC192">
        <v>0</v>
      </c>
      <c r="AF192">
        <v>0</v>
      </c>
      <c r="AI192">
        <v>0</v>
      </c>
      <c r="AP192">
        <v>0</v>
      </c>
      <c r="AQ192">
        <v>0</v>
      </c>
      <c r="BA192">
        <v>0</v>
      </c>
      <c r="BF192">
        <v>0</v>
      </c>
      <c r="BH192">
        <v>0</v>
      </c>
      <c r="BJ192">
        <v>0</v>
      </c>
      <c r="BK192">
        <v>0</v>
      </c>
      <c r="BN192">
        <v>0</v>
      </c>
      <c r="BU192">
        <v>0</v>
      </c>
      <c r="DF192">
        <v>0</v>
      </c>
      <c r="DI192">
        <v>0</v>
      </c>
      <c r="DL192">
        <v>0</v>
      </c>
      <c r="DT192">
        <v>0</v>
      </c>
      <c r="DU192">
        <v>0</v>
      </c>
      <c r="EB192">
        <v>0</v>
      </c>
      <c r="EG192">
        <v>0</v>
      </c>
      <c r="EI192">
        <v>0</v>
      </c>
      <c r="EK192">
        <v>0</v>
      </c>
      <c r="EL192">
        <v>0</v>
      </c>
      <c r="EO192">
        <v>0</v>
      </c>
      <c r="EV192">
        <v>0</v>
      </c>
      <c r="FK192">
        <v>7.1483589300821295</v>
      </c>
      <c r="FL192">
        <v>5.5052675270632934</v>
      </c>
      <c r="FM192">
        <v>0.59941013982434121</v>
      </c>
      <c r="FN192">
        <v>1.4345820018682027</v>
      </c>
      <c r="FS192">
        <v>1.8692486638984596</v>
      </c>
      <c r="FT192">
        <v>0.93032647676957025</v>
      </c>
      <c r="FU192">
        <v>0.20980011584655126</v>
      </c>
      <c r="FX192">
        <v>0.38446333611621242</v>
      </c>
      <c r="GN192">
        <v>2.0452936983898184</v>
      </c>
      <c r="GZ192">
        <v>9.2369336323898626E-2</v>
      </c>
      <c r="HA192">
        <v>20.219120226182476</v>
      </c>
    </row>
    <row r="193" spans="1:209" x14ac:dyDescent="0.75">
      <c r="A193" t="s">
        <v>657</v>
      </c>
      <c r="AC193">
        <v>0</v>
      </c>
      <c r="AF193">
        <v>0</v>
      </c>
      <c r="AI193">
        <v>0</v>
      </c>
      <c r="AP193">
        <v>0</v>
      </c>
      <c r="AQ193">
        <v>0</v>
      </c>
      <c r="BA193">
        <v>0</v>
      </c>
      <c r="BF193">
        <v>0</v>
      </c>
      <c r="BH193">
        <v>0</v>
      </c>
      <c r="BJ193">
        <v>0</v>
      </c>
      <c r="BK193">
        <v>0</v>
      </c>
      <c r="BN193">
        <v>0</v>
      </c>
      <c r="BU193">
        <v>0</v>
      </c>
      <c r="DF193">
        <v>0</v>
      </c>
      <c r="DI193">
        <v>0</v>
      </c>
      <c r="DL193">
        <v>0</v>
      </c>
      <c r="DT193">
        <v>0</v>
      </c>
      <c r="DU193">
        <v>0</v>
      </c>
      <c r="EB193">
        <v>0</v>
      </c>
      <c r="EG193">
        <v>0</v>
      </c>
      <c r="EI193">
        <v>0</v>
      </c>
      <c r="EK193">
        <v>0</v>
      </c>
      <c r="EL193">
        <v>0</v>
      </c>
      <c r="EO193">
        <v>0</v>
      </c>
      <c r="EV193">
        <v>0</v>
      </c>
      <c r="FK193">
        <v>8.2934797070060533</v>
      </c>
      <c r="FL193">
        <v>7.7248474228257731</v>
      </c>
      <c r="FM193">
        <v>1.3271171913518633</v>
      </c>
      <c r="FN193">
        <v>3.1593366315827991</v>
      </c>
      <c r="FS193">
        <v>2.0690808184723277</v>
      </c>
      <c r="FT193">
        <v>1.03746034236912</v>
      </c>
      <c r="FU193">
        <v>0.43332766448763349</v>
      </c>
      <c r="FX193">
        <v>2.0716387548458068</v>
      </c>
      <c r="GN193">
        <v>0.74516644321288505</v>
      </c>
      <c r="GZ193">
        <v>0.1593774110575962</v>
      </c>
      <c r="HA193">
        <v>27.020832387211861</v>
      </c>
    </row>
    <row r="194" spans="1:209" x14ac:dyDescent="0.75">
      <c r="A194" t="s">
        <v>658</v>
      </c>
      <c r="AC194">
        <v>0</v>
      </c>
      <c r="AF194">
        <v>0</v>
      </c>
      <c r="AI194">
        <v>0</v>
      </c>
      <c r="AP194">
        <v>0</v>
      </c>
      <c r="AQ194">
        <v>0</v>
      </c>
      <c r="BA194">
        <v>0</v>
      </c>
      <c r="BF194">
        <v>0</v>
      </c>
      <c r="BH194">
        <v>0</v>
      </c>
      <c r="BJ194">
        <v>0</v>
      </c>
      <c r="BK194">
        <v>0</v>
      </c>
      <c r="BN194">
        <v>0</v>
      </c>
      <c r="BU194">
        <v>0</v>
      </c>
      <c r="DF194">
        <v>0</v>
      </c>
      <c r="DI194">
        <v>0</v>
      </c>
      <c r="DL194">
        <v>0</v>
      </c>
      <c r="DT194">
        <v>0</v>
      </c>
      <c r="DU194">
        <v>0</v>
      </c>
      <c r="EB194">
        <v>0</v>
      </c>
      <c r="EG194">
        <v>0</v>
      </c>
      <c r="EI194">
        <v>0</v>
      </c>
      <c r="EK194">
        <v>0</v>
      </c>
      <c r="EL194">
        <v>0</v>
      </c>
      <c r="EO194">
        <v>0</v>
      </c>
      <c r="EV194">
        <v>0</v>
      </c>
      <c r="FK194">
        <v>13.298150257289851</v>
      </c>
      <c r="FL194">
        <v>13.229315981834025</v>
      </c>
      <c r="FM194">
        <v>2.2693899791976473</v>
      </c>
      <c r="FN194">
        <v>5.3875367756172068</v>
      </c>
      <c r="FS194">
        <v>2.7400065314742248</v>
      </c>
      <c r="FT194">
        <v>1.376299175134071</v>
      </c>
      <c r="FU194">
        <v>0.63218377572087414</v>
      </c>
      <c r="FX194">
        <v>5.3330098081133714</v>
      </c>
      <c r="GN194">
        <v>1.788769183400899</v>
      </c>
      <c r="GZ194">
        <v>2.4347971238300316E-3</v>
      </c>
      <c r="HA194">
        <v>46.057096264906008</v>
      </c>
    </row>
    <row r="195" spans="1:209" x14ac:dyDescent="0.75">
      <c r="A195" t="s">
        <v>659</v>
      </c>
      <c r="AC195">
        <v>0</v>
      </c>
      <c r="AF195">
        <v>0</v>
      </c>
      <c r="AI195">
        <v>0</v>
      </c>
      <c r="AP195">
        <v>0</v>
      </c>
      <c r="AQ195">
        <v>0</v>
      </c>
      <c r="BA195">
        <v>0</v>
      </c>
      <c r="BF195">
        <v>0</v>
      </c>
      <c r="BH195">
        <v>0</v>
      </c>
      <c r="BJ195">
        <v>0</v>
      </c>
      <c r="BK195">
        <v>0</v>
      </c>
      <c r="BN195">
        <v>0</v>
      </c>
      <c r="BU195">
        <v>0</v>
      </c>
      <c r="DF195">
        <v>0</v>
      </c>
      <c r="DI195">
        <v>0</v>
      </c>
      <c r="DL195">
        <v>0</v>
      </c>
      <c r="DT195">
        <v>0</v>
      </c>
      <c r="DU195">
        <v>0</v>
      </c>
      <c r="EB195">
        <v>0</v>
      </c>
      <c r="EG195">
        <v>0</v>
      </c>
      <c r="EI195">
        <v>0</v>
      </c>
      <c r="EK195">
        <v>0</v>
      </c>
      <c r="EL195">
        <v>0</v>
      </c>
      <c r="EO195">
        <v>0</v>
      </c>
      <c r="EV195">
        <v>0</v>
      </c>
      <c r="FK195">
        <v>13.9810948607635</v>
      </c>
      <c r="FL195">
        <v>16.942873743963329</v>
      </c>
      <c r="FM195">
        <v>8.1024811137893096</v>
      </c>
      <c r="FN195">
        <v>18.058735288686758</v>
      </c>
      <c r="FS195">
        <v>3.2287627997391475</v>
      </c>
      <c r="FT195">
        <v>1.6255744037904278</v>
      </c>
      <c r="FU195">
        <v>0.90249324782048379</v>
      </c>
      <c r="FX195">
        <v>22.848779353441415</v>
      </c>
      <c r="GN195">
        <v>2.8198613424463708</v>
      </c>
      <c r="GZ195">
        <v>1.1906239185998513</v>
      </c>
      <c r="HA195">
        <v>89.701280073040593</v>
      </c>
    </row>
    <row r="196" spans="1:209" x14ac:dyDescent="0.75">
      <c r="A196" t="s">
        <v>660</v>
      </c>
      <c r="AC196">
        <v>0</v>
      </c>
      <c r="AF196">
        <v>0</v>
      </c>
      <c r="AI196">
        <v>0</v>
      </c>
      <c r="AP196">
        <v>0</v>
      </c>
      <c r="AQ196">
        <v>0</v>
      </c>
      <c r="BA196">
        <v>0</v>
      </c>
      <c r="BF196">
        <v>0</v>
      </c>
      <c r="BH196">
        <v>0</v>
      </c>
      <c r="BJ196">
        <v>0</v>
      </c>
      <c r="BK196">
        <v>0</v>
      </c>
      <c r="BN196">
        <v>0</v>
      </c>
      <c r="BU196">
        <v>0</v>
      </c>
      <c r="DF196">
        <v>0</v>
      </c>
      <c r="DI196">
        <v>0</v>
      </c>
      <c r="DL196">
        <v>0</v>
      </c>
      <c r="DT196">
        <v>0</v>
      </c>
      <c r="DU196">
        <v>0</v>
      </c>
      <c r="EB196">
        <v>0</v>
      </c>
      <c r="EG196">
        <v>0</v>
      </c>
      <c r="EI196">
        <v>0</v>
      </c>
      <c r="EK196">
        <v>0</v>
      </c>
      <c r="EL196">
        <v>0</v>
      </c>
      <c r="EO196">
        <v>0</v>
      </c>
      <c r="EV196">
        <v>0</v>
      </c>
      <c r="FK196">
        <v>20.629823139179074</v>
      </c>
      <c r="FL196">
        <v>52.193659831450901</v>
      </c>
      <c r="FM196">
        <v>56.479749356799594</v>
      </c>
      <c r="FN196">
        <v>267.84876299632799</v>
      </c>
      <c r="FS196">
        <v>4.8355538208141171</v>
      </c>
      <c r="FT196">
        <v>2.4336145310589186</v>
      </c>
      <c r="FU196">
        <v>1.8735186367633461</v>
      </c>
      <c r="FX196">
        <v>279.92169065464742</v>
      </c>
      <c r="GN196">
        <v>16.013612756759336</v>
      </c>
      <c r="GZ196">
        <v>9.1696594468249284</v>
      </c>
      <c r="HA196">
        <v>711.3996451706256</v>
      </c>
    </row>
    <row r="197" spans="1:209" x14ac:dyDescent="0.75">
      <c r="A197" t="s">
        <v>752</v>
      </c>
      <c r="AC197">
        <v>0</v>
      </c>
      <c r="AF197">
        <v>0</v>
      </c>
      <c r="AI197">
        <v>0</v>
      </c>
      <c r="AP197">
        <v>0</v>
      </c>
      <c r="AQ197">
        <v>0</v>
      </c>
      <c r="BA197">
        <v>0</v>
      </c>
      <c r="BF197">
        <v>0</v>
      </c>
      <c r="BH197">
        <v>0</v>
      </c>
      <c r="BJ197">
        <v>0</v>
      </c>
      <c r="BK197">
        <v>0</v>
      </c>
      <c r="BN197">
        <v>0</v>
      </c>
      <c r="BU197">
        <v>0</v>
      </c>
      <c r="DF197">
        <v>0</v>
      </c>
      <c r="DI197">
        <v>0</v>
      </c>
      <c r="DL197">
        <v>0</v>
      </c>
      <c r="DT197">
        <v>0</v>
      </c>
      <c r="DU197">
        <v>0</v>
      </c>
      <c r="EB197">
        <v>0</v>
      </c>
      <c r="EG197">
        <v>0</v>
      </c>
      <c r="EI197">
        <v>0</v>
      </c>
      <c r="EK197">
        <v>0</v>
      </c>
      <c r="EL197">
        <v>0</v>
      </c>
      <c r="EO197">
        <v>0</v>
      </c>
      <c r="EV197">
        <v>0</v>
      </c>
      <c r="FO197">
        <v>7.6940562126824421</v>
      </c>
      <c r="FP197">
        <v>3.2202087434062454</v>
      </c>
      <c r="FQ197">
        <v>1.4261065320083235</v>
      </c>
      <c r="FR197">
        <v>3.8743610872839516</v>
      </c>
      <c r="FS197">
        <v>0.78103653851840316</v>
      </c>
      <c r="FT197">
        <v>0.39181851939108892</v>
      </c>
      <c r="FU197">
        <v>8.4933921882504829E-2</v>
      </c>
      <c r="FX197">
        <v>0.40922188238979379</v>
      </c>
      <c r="GN197">
        <v>1.8386842751440586</v>
      </c>
      <c r="GZ197">
        <v>5.1601388214555732E-2</v>
      </c>
      <c r="HA197">
        <v>19.772029100921365</v>
      </c>
    </row>
    <row r="198" spans="1:209" x14ac:dyDescent="0.75">
      <c r="A198" t="s">
        <v>753</v>
      </c>
      <c r="AC198">
        <v>0</v>
      </c>
      <c r="AF198">
        <v>0</v>
      </c>
      <c r="AI198">
        <v>0</v>
      </c>
      <c r="AP198">
        <v>0</v>
      </c>
      <c r="AQ198">
        <v>0</v>
      </c>
      <c r="BA198">
        <v>0</v>
      </c>
      <c r="BF198">
        <v>0</v>
      </c>
      <c r="BH198">
        <v>0</v>
      </c>
      <c r="BJ198">
        <v>0</v>
      </c>
      <c r="BK198">
        <v>0</v>
      </c>
      <c r="BN198">
        <v>0</v>
      </c>
      <c r="BU198">
        <v>0</v>
      </c>
      <c r="DF198">
        <v>0</v>
      </c>
      <c r="DI198">
        <v>0</v>
      </c>
      <c r="DL198">
        <v>0</v>
      </c>
      <c r="DT198">
        <v>0</v>
      </c>
      <c r="DU198">
        <v>0</v>
      </c>
      <c r="EB198">
        <v>0</v>
      </c>
      <c r="EG198">
        <v>0</v>
      </c>
      <c r="EI198">
        <v>0</v>
      </c>
      <c r="EK198">
        <v>0</v>
      </c>
      <c r="EL198">
        <v>0</v>
      </c>
      <c r="EO198">
        <v>0</v>
      </c>
      <c r="EV198">
        <v>0</v>
      </c>
      <c r="FO198">
        <v>9.0991704445073971</v>
      </c>
      <c r="FP198">
        <v>4.8780321229661006</v>
      </c>
      <c r="FQ198">
        <v>2.2777025784408509</v>
      </c>
      <c r="FR198">
        <v>6.3862444791620083</v>
      </c>
      <c r="FS198">
        <v>2.0713929646398999</v>
      </c>
      <c r="FT198">
        <v>1.0275310072511037</v>
      </c>
      <c r="FU198">
        <v>0.55212085964409974</v>
      </c>
      <c r="FX198">
        <v>0.75382329384499425</v>
      </c>
      <c r="GN198">
        <v>1.7477222282877076</v>
      </c>
      <c r="GZ198">
        <v>0.26133514363509608</v>
      </c>
      <c r="HA198">
        <v>29.055075122379257</v>
      </c>
    </row>
    <row r="199" spans="1:209" x14ac:dyDescent="0.75">
      <c r="A199" t="s">
        <v>754</v>
      </c>
      <c r="AC199">
        <v>0</v>
      </c>
      <c r="AF199">
        <v>0</v>
      </c>
      <c r="AI199">
        <v>0</v>
      </c>
      <c r="AP199">
        <v>0</v>
      </c>
      <c r="AQ199">
        <v>0</v>
      </c>
      <c r="BA199">
        <v>0</v>
      </c>
      <c r="BF199">
        <v>0</v>
      </c>
      <c r="BH199">
        <v>0</v>
      </c>
      <c r="BJ199">
        <v>0</v>
      </c>
      <c r="BK199">
        <v>0</v>
      </c>
      <c r="BN199">
        <v>0</v>
      </c>
      <c r="BU199">
        <v>0</v>
      </c>
      <c r="DF199">
        <v>0</v>
      </c>
      <c r="DI199">
        <v>0</v>
      </c>
      <c r="DL199">
        <v>0</v>
      </c>
      <c r="DT199">
        <v>0</v>
      </c>
      <c r="DU199">
        <v>0</v>
      </c>
      <c r="EB199">
        <v>0</v>
      </c>
      <c r="EG199">
        <v>0</v>
      </c>
      <c r="EI199">
        <v>0</v>
      </c>
      <c r="EK199">
        <v>0</v>
      </c>
      <c r="EL199">
        <v>0</v>
      </c>
      <c r="EO199">
        <v>0</v>
      </c>
      <c r="EV199">
        <v>0</v>
      </c>
      <c r="FO199">
        <v>11.467359417605126</v>
      </c>
      <c r="FP199">
        <v>7.1600524700831087</v>
      </c>
      <c r="FQ199">
        <v>6.2271230093846395</v>
      </c>
      <c r="FR199">
        <v>16.7166441150632</v>
      </c>
      <c r="FS199">
        <v>2.3357441195737958</v>
      </c>
      <c r="FT199">
        <v>1.1743705679218337</v>
      </c>
      <c r="FU199">
        <v>0.25130739088439336</v>
      </c>
      <c r="FX199">
        <v>6.0896365853445547</v>
      </c>
      <c r="GN199">
        <v>1.9144651945364697</v>
      </c>
      <c r="GZ199">
        <v>0.19046462110663101</v>
      </c>
      <c r="HA199">
        <v>53.527167491503747</v>
      </c>
    </row>
    <row r="200" spans="1:209" x14ac:dyDescent="0.75">
      <c r="A200" t="s">
        <v>755</v>
      </c>
      <c r="AC200">
        <v>0</v>
      </c>
      <c r="AF200">
        <v>0</v>
      </c>
      <c r="AI200">
        <v>0</v>
      </c>
      <c r="AP200">
        <v>0</v>
      </c>
      <c r="AQ200">
        <v>0</v>
      </c>
      <c r="BA200">
        <v>0</v>
      </c>
      <c r="BF200">
        <v>0</v>
      </c>
      <c r="BH200">
        <v>0</v>
      </c>
      <c r="BJ200">
        <v>0</v>
      </c>
      <c r="BK200">
        <v>0</v>
      </c>
      <c r="BN200">
        <v>0</v>
      </c>
      <c r="BU200">
        <v>0</v>
      </c>
      <c r="DF200">
        <v>0</v>
      </c>
      <c r="DI200">
        <v>0</v>
      </c>
      <c r="DL200">
        <v>0</v>
      </c>
      <c r="DT200">
        <v>0</v>
      </c>
      <c r="DU200">
        <v>0</v>
      </c>
      <c r="EB200">
        <v>0</v>
      </c>
      <c r="EG200">
        <v>0</v>
      </c>
      <c r="EI200">
        <v>0</v>
      </c>
      <c r="EK200">
        <v>0</v>
      </c>
      <c r="EL200">
        <v>0</v>
      </c>
      <c r="EO200">
        <v>0</v>
      </c>
      <c r="EV200">
        <v>0</v>
      </c>
      <c r="FO200">
        <v>22.478248518463264</v>
      </c>
      <c r="FP200">
        <v>21.373145173770581</v>
      </c>
      <c r="FQ200">
        <v>12.501996507926593</v>
      </c>
      <c r="FR200">
        <v>51.206576898143574</v>
      </c>
      <c r="FS200">
        <v>3.4830201444995881</v>
      </c>
      <c r="FT200">
        <v>1.7498785085915305</v>
      </c>
      <c r="FU200">
        <v>2.3879782808353931</v>
      </c>
      <c r="FX200">
        <v>25.893644659155306</v>
      </c>
      <c r="GN200">
        <v>4.5637661394570941</v>
      </c>
      <c r="GZ200">
        <v>0.57598192059453424</v>
      </c>
      <c r="HA200">
        <v>146.21423675143748</v>
      </c>
    </row>
    <row r="201" spans="1:209" x14ac:dyDescent="0.75">
      <c r="A201" t="s">
        <v>756</v>
      </c>
      <c r="AC201">
        <v>0</v>
      </c>
      <c r="AF201">
        <v>0</v>
      </c>
      <c r="AI201">
        <v>0</v>
      </c>
      <c r="AP201">
        <v>0</v>
      </c>
      <c r="AQ201">
        <v>0</v>
      </c>
      <c r="BA201">
        <v>0</v>
      </c>
      <c r="BF201">
        <v>0</v>
      </c>
      <c r="BH201">
        <v>0</v>
      </c>
      <c r="BJ201">
        <v>0</v>
      </c>
      <c r="BK201">
        <v>0</v>
      </c>
      <c r="BN201">
        <v>0</v>
      </c>
      <c r="BU201">
        <v>0</v>
      </c>
      <c r="DF201">
        <v>0</v>
      </c>
      <c r="DI201">
        <v>0</v>
      </c>
      <c r="DL201">
        <v>0</v>
      </c>
      <c r="DT201">
        <v>0</v>
      </c>
      <c r="DU201">
        <v>0</v>
      </c>
      <c r="EB201">
        <v>0</v>
      </c>
      <c r="EG201">
        <v>0</v>
      </c>
      <c r="EI201">
        <v>0</v>
      </c>
      <c r="EK201">
        <v>0</v>
      </c>
      <c r="EL201">
        <v>0</v>
      </c>
      <c r="EO201">
        <v>0</v>
      </c>
      <c r="EV201">
        <v>0</v>
      </c>
      <c r="FO201">
        <v>47.171097289537094</v>
      </c>
      <c r="FP201">
        <v>89.016807243259052</v>
      </c>
      <c r="FQ201">
        <v>156.97524150175983</v>
      </c>
      <c r="FR201">
        <v>1069.5859977660818</v>
      </c>
      <c r="FS201">
        <v>3.9640872468635067</v>
      </c>
      <c r="FT201">
        <v>1.9929231283922233</v>
      </c>
      <c r="FU201">
        <v>2.3620261910968341</v>
      </c>
      <c r="FX201">
        <v>806.26565217374321</v>
      </c>
      <c r="GN201">
        <v>51.264300169881963</v>
      </c>
      <c r="GZ201">
        <v>111.0147663994354</v>
      </c>
      <c r="HA201">
        <v>2339.6128991100509</v>
      </c>
    </row>
    <row r="202" spans="1:209" x14ac:dyDescent="0.75">
      <c r="A202" t="s">
        <v>80</v>
      </c>
      <c r="AC202">
        <v>0</v>
      </c>
      <c r="AF202">
        <v>0</v>
      </c>
      <c r="AI202">
        <v>0</v>
      </c>
      <c r="AP202">
        <v>0</v>
      </c>
      <c r="AQ202">
        <v>0</v>
      </c>
      <c r="BA202">
        <v>0</v>
      </c>
      <c r="BF202">
        <v>0</v>
      </c>
      <c r="BH202">
        <v>0</v>
      </c>
      <c r="BJ202">
        <v>0</v>
      </c>
      <c r="BK202">
        <v>0</v>
      </c>
      <c r="BN202">
        <v>0</v>
      </c>
      <c r="BU202">
        <v>0</v>
      </c>
      <c r="DF202">
        <v>0</v>
      </c>
      <c r="DI202">
        <v>0</v>
      </c>
      <c r="DL202">
        <v>0</v>
      </c>
      <c r="DT202">
        <v>0</v>
      </c>
      <c r="DU202">
        <v>0</v>
      </c>
      <c r="EB202">
        <v>0</v>
      </c>
      <c r="EG202">
        <v>0</v>
      </c>
      <c r="EI202">
        <v>0</v>
      </c>
      <c r="EK202">
        <v>0</v>
      </c>
      <c r="EL202">
        <v>0</v>
      </c>
      <c r="EO202">
        <v>0</v>
      </c>
      <c r="EV202">
        <v>0</v>
      </c>
      <c r="FX202">
        <v>69.858092807341478</v>
      </c>
      <c r="FY202">
        <v>0.36275209132449349</v>
      </c>
      <c r="FZ202">
        <v>1.1514711445208372</v>
      </c>
      <c r="GA202">
        <v>2.2197375850015826</v>
      </c>
      <c r="GB202">
        <v>4.5330651685269423</v>
      </c>
      <c r="GC202">
        <v>25.201351180252512</v>
      </c>
      <c r="GD202">
        <v>9.5488851975252767E-2</v>
      </c>
      <c r="GE202">
        <v>7.6932183152152389E-2</v>
      </c>
      <c r="GF202">
        <v>0.32549500772829404</v>
      </c>
      <c r="GG202">
        <v>1.5145605947485961</v>
      </c>
      <c r="GH202">
        <v>34.141030335471946</v>
      </c>
      <c r="GI202">
        <v>0.24350434459101189</v>
      </c>
      <c r="GJ202">
        <v>0.27825699205105264</v>
      </c>
      <c r="GK202">
        <v>0.90487376622673321</v>
      </c>
      <c r="GL202">
        <v>1.6870392485199885</v>
      </c>
      <c r="GM202">
        <v>122.96051838522801</v>
      </c>
      <c r="GO202">
        <v>-85.580313206443037</v>
      </c>
      <c r="GP202">
        <v>99.741596321304982</v>
      </c>
      <c r="GQ202">
        <v>478.63971540414622</v>
      </c>
      <c r="GR202">
        <v>1.1773392266962333</v>
      </c>
      <c r="GS202">
        <v>64.972058817707236</v>
      </c>
      <c r="GT202">
        <v>-30.218326849075254</v>
      </c>
      <c r="GU202">
        <v>396.64969943123896</v>
      </c>
      <c r="GV202">
        <v>207.67717239497918</v>
      </c>
      <c r="GZ202">
        <v>348.55630547153453</v>
      </c>
      <c r="HA202">
        <v>1747.16941669875</v>
      </c>
    </row>
    <row r="203" spans="1:209" x14ac:dyDescent="0.75">
      <c r="A203" t="s">
        <v>162</v>
      </c>
      <c r="AC203">
        <v>0</v>
      </c>
      <c r="AF203">
        <v>0</v>
      </c>
      <c r="AI203">
        <v>0</v>
      </c>
      <c r="AP203">
        <v>0</v>
      </c>
      <c r="AQ203">
        <v>0</v>
      </c>
      <c r="BA203">
        <v>0</v>
      </c>
      <c r="BF203">
        <v>0</v>
      </c>
      <c r="BH203">
        <v>0</v>
      </c>
      <c r="BJ203">
        <v>0</v>
      </c>
      <c r="BK203">
        <v>-85.580313206443037</v>
      </c>
      <c r="BN203">
        <v>0</v>
      </c>
      <c r="BU203">
        <v>0</v>
      </c>
      <c r="DF203">
        <v>0</v>
      </c>
      <c r="DI203">
        <v>0</v>
      </c>
      <c r="DL203">
        <v>0</v>
      </c>
      <c r="DT203">
        <v>0</v>
      </c>
      <c r="DU203">
        <v>0</v>
      </c>
      <c r="EB203">
        <v>0</v>
      </c>
      <c r="EG203">
        <v>0</v>
      </c>
      <c r="EI203">
        <v>0</v>
      </c>
      <c r="EK203">
        <v>0</v>
      </c>
      <c r="EL203">
        <v>0</v>
      </c>
      <c r="EO203">
        <v>0</v>
      </c>
      <c r="EV203">
        <v>0</v>
      </c>
      <c r="HA203">
        <v>-85.580313206443037</v>
      </c>
    </row>
    <row r="204" spans="1:209" x14ac:dyDescent="0.75">
      <c r="A204" t="s">
        <v>757</v>
      </c>
      <c r="AC204">
        <v>0</v>
      </c>
      <c r="AF204">
        <v>0</v>
      </c>
      <c r="AI204">
        <v>0</v>
      </c>
      <c r="AP204">
        <v>0</v>
      </c>
      <c r="AQ204">
        <v>0</v>
      </c>
      <c r="BA204">
        <v>0</v>
      </c>
      <c r="BF204">
        <v>0</v>
      </c>
      <c r="BH204">
        <v>0</v>
      </c>
      <c r="BJ204">
        <v>0</v>
      </c>
      <c r="BK204">
        <v>0</v>
      </c>
      <c r="BN204">
        <v>0</v>
      </c>
      <c r="BU204">
        <v>0</v>
      </c>
      <c r="CE204">
        <v>0.53918563996882052</v>
      </c>
      <c r="CG204">
        <v>6.1843537628440517</v>
      </c>
      <c r="CH204">
        <v>3.0860200438397378E-2</v>
      </c>
      <c r="CI204">
        <v>1.1622003085034844E-2</v>
      </c>
      <c r="CJ204">
        <v>4.6517519974514565E-5</v>
      </c>
      <c r="CK204">
        <v>7.2856029380380665E-4</v>
      </c>
      <c r="CL204">
        <v>3.3623241065966833E-4</v>
      </c>
      <c r="CM204">
        <v>2.8139132942870972E-3</v>
      </c>
      <c r="CN204">
        <v>3.5084969409512334E-3</v>
      </c>
      <c r="CO204">
        <v>1.6149355557229235E-3</v>
      </c>
      <c r="CS204">
        <v>0.29700233920378727</v>
      </c>
      <c r="CT204">
        <v>2.2272484251876539E-2</v>
      </c>
      <c r="CV204">
        <v>4.5605933244454869E-3</v>
      </c>
      <c r="CW204">
        <v>1.0978207199976587E-3</v>
      </c>
      <c r="CX204">
        <v>5.9267002545307162E-4</v>
      </c>
      <c r="CY204">
        <v>8.147988071795047E-4</v>
      </c>
      <c r="CZ204">
        <v>5.8054182223490442E-6</v>
      </c>
      <c r="DB204">
        <v>2.2134724473508896E-3</v>
      </c>
      <c r="DF204">
        <v>6.9831765818620922E-3</v>
      </c>
      <c r="DH204">
        <v>1.8721898199891979E-2</v>
      </c>
      <c r="DI204">
        <v>9.0956459854781685E-4</v>
      </c>
      <c r="DJ204">
        <v>7.1038262453340477E-4</v>
      </c>
      <c r="DL204">
        <v>0.21186735964775621</v>
      </c>
      <c r="DM204">
        <v>9.8696749335913762E-3</v>
      </c>
      <c r="DN204">
        <v>1.4268503734407658</v>
      </c>
      <c r="DO204">
        <v>0.13763996404264631</v>
      </c>
      <c r="DP204">
        <v>6.5552940840763823</v>
      </c>
      <c r="DQ204">
        <v>0.53914781922860966</v>
      </c>
      <c r="DR204">
        <v>6.0144286469707744</v>
      </c>
      <c r="DT204">
        <v>9.7561950369606656</v>
      </c>
      <c r="DU204">
        <v>1.9281765589668973</v>
      </c>
      <c r="DV204">
        <v>4.2060607225094292E-3</v>
      </c>
      <c r="DW204">
        <v>11.13499217530539</v>
      </c>
      <c r="DX204">
        <v>2.1844443572767878</v>
      </c>
      <c r="DY204">
        <v>0.44656420147317055</v>
      </c>
      <c r="DZ204">
        <v>1.5249805014142279</v>
      </c>
      <c r="EA204">
        <v>2.4609422253753332</v>
      </c>
      <c r="EB204">
        <v>9.4060925169522243</v>
      </c>
      <c r="EC204">
        <v>8.7294610221099536</v>
      </c>
      <c r="ED204">
        <v>13.102537726867261</v>
      </c>
      <c r="EE204">
        <v>13.569361352663114</v>
      </c>
      <c r="EF204">
        <v>1.5075892780800613</v>
      </c>
      <c r="EG204">
        <v>1.9496937875202383</v>
      </c>
      <c r="EI204">
        <v>0</v>
      </c>
      <c r="EK204">
        <v>0</v>
      </c>
      <c r="EL204">
        <v>0</v>
      </c>
      <c r="EO204">
        <v>0</v>
      </c>
      <c r="EV204">
        <v>2.3460579859437714E-3</v>
      </c>
      <c r="FB204">
        <v>7.6269371572135385E-3</v>
      </c>
      <c r="FC204">
        <v>3.3333357861684834E-4</v>
      </c>
      <c r="HA204">
        <v>99.741596321304996</v>
      </c>
    </row>
    <row r="205" spans="1:209" x14ac:dyDescent="0.75">
      <c r="A205" t="s">
        <v>81</v>
      </c>
      <c r="AC205">
        <v>0</v>
      </c>
      <c r="AF205">
        <v>0</v>
      </c>
      <c r="AI205">
        <v>0</v>
      </c>
      <c r="AP205">
        <v>0</v>
      </c>
      <c r="AQ205">
        <v>0</v>
      </c>
      <c r="BA205">
        <v>0</v>
      </c>
      <c r="BF205">
        <v>0</v>
      </c>
      <c r="BH205">
        <v>0</v>
      </c>
      <c r="BJ205">
        <v>0</v>
      </c>
      <c r="BK205">
        <v>0</v>
      </c>
      <c r="BN205">
        <v>0</v>
      </c>
      <c r="BU205">
        <v>0</v>
      </c>
      <c r="DF205">
        <v>0</v>
      </c>
      <c r="DI205">
        <v>0</v>
      </c>
      <c r="DL205">
        <v>0</v>
      </c>
      <c r="DT205">
        <v>0</v>
      </c>
      <c r="DU205">
        <v>0</v>
      </c>
      <c r="EB205">
        <v>0</v>
      </c>
      <c r="EG205">
        <v>0</v>
      </c>
      <c r="EI205">
        <v>0</v>
      </c>
      <c r="EK205">
        <v>0</v>
      </c>
      <c r="EL205">
        <v>0</v>
      </c>
      <c r="EO205">
        <v>0</v>
      </c>
      <c r="EV205">
        <v>0</v>
      </c>
      <c r="FX205">
        <v>163.48830532264245</v>
      </c>
      <c r="FY205">
        <v>0.60102077647170371</v>
      </c>
      <c r="FZ205">
        <v>2.6994029929261569</v>
      </c>
      <c r="GA205">
        <v>4.8585214180387988</v>
      </c>
      <c r="GB205">
        <v>17.885356510813228</v>
      </c>
      <c r="GC205">
        <v>51.675966894138156</v>
      </c>
      <c r="GD205">
        <v>0.16329393654298627</v>
      </c>
      <c r="GE205">
        <v>0.42875030735551556</v>
      </c>
      <c r="GF205">
        <v>0.84114145018083497</v>
      </c>
      <c r="GG205">
        <v>4.059431568068625</v>
      </c>
      <c r="GH205">
        <v>44.404591473547832</v>
      </c>
      <c r="GI205">
        <v>0.31027698667086157</v>
      </c>
      <c r="GJ205">
        <v>0.38394831489749587</v>
      </c>
      <c r="GK205">
        <v>1.8965999140674976</v>
      </c>
      <c r="GL205">
        <v>5.9269243068659359</v>
      </c>
      <c r="GM205">
        <v>179.01618323091816</v>
      </c>
      <c r="HA205">
        <v>478.63971540414633</v>
      </c>
    </row>
    <row r="206" spans="1:209" x14ac:dyDescent="0.75">
      <c r="A206" t="s">
        <v>160</v>
      </c>
      <c r="AC206">
        <v>0</v>
      </c>
      <c r="AF206">
        <v>0</v>
      </c>
      <c r="AI206">
        <v>0</v>
      </c>
      <c r="AP206">
        <v>0</v>
      </c>
      <c r="AQ206">
        <v>0</v>
      </c>
      <c r="BA206">
        <v>0</v>
      </c>
      <c r="BF206">
        <v>0</v>
      </c>
      <c r="BH206">
        <v>0</v>
      </c>
      <c r="BJ206">
        <v>0</v>
      </c>
      <c r="BK206">
        <v>0</v>
      </c>
      <c r="BN206">
        <v>0</v>
      </c>
      <c r="BU206">
        <v>0</v>
      </c>
      <c r="DF206">
        <v>0</v>
      </c>
      <c r="DI206">
        <v>0</v>
      </c>
      <c r="DL206">
        <v>0</v>
      </c>
      <c r="DT206">
        <v>0</v>
      </c>
      <c r="DU206">
        <v>0</v>
      </c>
      <c r="EB206">
        <v>0</v>
      </c>
      <c r="EG206">
        <v>0</v>
      </c>
      <c r="EI206">
        <v>0</v>
      </c>
      <c r="EK206">
        <v>0</v>
      </c>
      <c r="EL206">
        <v>0</v>
      </c>
      <c r="EO206">
        <v>0</v>
      </c>
      <c r="EV206">
        <v>0</v>
      </c>
      <c r="FT206">
        <v>0.14445747857379876</v>
      </c>
      <c r="FU206">
        <v>4.5150199278885993E-2</v>
      </c>
      <c r="FV206">
        <v>3.9086376666344923E-2</v>
      </c>
      <c r="FW206">
        <v>0.94864517217720357</v>
      </c>
      <c r="HA206">
        <v>1.1773392266962333</v>
      </c>
    </row>
    <row r="207" spans="1:209" x14ac:dyDescent="0.75">
      <c r="A207" t="s">
        <v>82</v>
      </c>
      <c r="AC207">
        <v>0</v>
      </c>
      <c r="AF207">
        <v>0</v>
      </c>
      <c r="AI207">
        <v>0</v>
      </c>
      <c r="AP207">
        <v>0</v>
      </c>
      <c r="AQ207">
        <v>0</v>
      </c>
      <c r="BA207">
        <v>0</v>
      </c>
      <c r="BF207">
        <v>0</v>
      </c>
      <c r="BH207">
        <v>0</v>
      </c>
      <c r="BJ207">
        <v>0</v>
      </c>
      <c r="BK207">
        <v>0</v>
      </c>
      <c r="BN207">
        <v>0</v>
      </c>
      <c r="BU207">
        <v>0</v>
      </c>
      <c r="DF207">
        <v>0</v>
      </c>
      <c r="DI207">
        <v>0</v>
      </c>
      <c r="DL207">
        <v>0</v>
      </c>
      <c r="DQ207">
        <v>5.8029968405713769E-2</v>
      </c>
      <c r="DT207">
        <v>0</v>
      </c>
      <c r="DU207">
        <v>7.8767708035264752</v>
      </c>
      <c r="DV207">
        <v>7.2189052909039999</v>
      </c>
      <c r="DZ207">
        <v>46.30722912852054</v>
      </c>
      <c r="EB207">
        <v>0</v>
      </c>
      <c r="EE207">
        <v>3.5111236263503787</v>
      </c>
      <c r="EG207">
        <v>0</v>
      </c>
      <c r="EI207">
        <v>0</v>
      </c>
      <c r="EK207">
        <v>0</v>
      </c>
      <c r="EL207">
        <v>0</v>
      </c>
      <c r="EO207">
        <v>0</v>
      </c>
      <c r="EV207">
        <v>0</v>
      </c>
      <c r="HA207">
        <v>64.972058817707108</v>
      </c>
    </row>
    <row r="208" spans="1:209" x14ac:dyDescent="0.75">
      <c r="A208" t="s">
        <v>83</v>
      </c>
      <c r="AC208">
        <v>0</v>
      </c>
      <c r="AF208">
        <v>0</v>
      </c>
      <c r="AI208">
        <v>0</v>
      </c>
      <c r="AP208">
        <v>0</v>
      </c>
      <c r="AQ208">
        <v>0</v>
      </c>
      <c r="BA208">
        <v>0</v>
      </c>
      <c r="BF208">
        <v>0</v>
      </c>
      <c r="BH208">
        <v>0</v>
      </c>
      <c r="BJ208">
        <v>0</v>
      </c>
      <c r="BK208">
        <v>0</v>
      </c>
      <c r="BN208">
        <v>0</v>
      </c>
      <c r="BU208">
        <v>0</v>
      </c>
      <c r="DF208">
        <v>0</v>
      </c>
      <c r="DI208">
        <v>0</v>
      </c>
      <c r="DL208">
        <v>0</v>
      </c>
      <c r="DT208">
        <v>0</v>
      </c>
      <c r="DU208">
        <v>0</v>
      </c>
      <c r="EB208">
        <v>0</v>
      </c>
      <c r="EG208">
        <v>0</v>
      </c>
      <c r="EH208">
        <v>-20.237747441435527</v>
      </c>
      <c r="EI208">
        <v>-2.7846676442911331</v>
      </c>
      <c r="EK208">
        <v>0</v>
      </c>
      <c r="EL208">
        <v>0</v>
      </c>
      <c r="EN208">
        <v>-7.1959117633486311</v>
      </c>
      <c r="EO208">
        <v>0</v>
      </c>
      <c r="EV208">
        <v>0</v>
      </c>
      <c r="HA208">
        <v>-30.218326849075289</v>
      </c>
    </row>
    <row r="209" spans="1:209" x14ac:dyDescent="0.75">
      <c r="A209" t="s">
        <v>163</v>
      </c>
      <c r="AC209">
        <v>0</v>
      </c>
      <c r="AF209">
        <v>0</v>
      </c>
      <c r="AI209">
        <v>0</v>
      </c>
      <c r="AP209">
        <v>0</v>
      </c>
      <c r="AQ209">
        <v>0</v>
      </c>
      <c r="BA209">
        <v>0</v>
      </c>
      <c r="BF209">
        <v>0</v>
      </c>
      <c r="BH209">
        <v>0</v>
      </c>
      <c r="BJ209">
        <v>0</v>
      </c>
      <c r="BK209">
        <v>0</v>
      </c>
      <c r="BN209">
        <v>0</v>
      </c>
      <c r="BU209">
        <v>0</v>
      </c>
      <c r="CD209">
        <v>1.498997557816887E-2</v>
      </c>
      <c r="CE209">
        <v>3.2778025993503011E-2</v>
      </c>
      <c r="CF209">
        <v>1.61649472666438E-2</v>
      </c>
      <c r="CG209">
        <v>2.6726450676396465</v>
      </c>
      <c r="CI209">
        <v>0.26352079319816551</v>
      </c>
      <c r="CJ209">
        <v>0.12916622968009012</v>
      </c>
      <c r="CL209">
        <v>1.5495798167153222E-2</v>
      </c>
      <c r="CM209">
        <v>0.25539003716743824</v>
      </c>
      <c r="CO209">
        <v>0.23510952216947834</v>
      </c>
      <c r="CP209">
        <v>2.686821565378484E-2</v>
      </c>
      <c r="CR209">
        <v>5.3456308552276566E-2</v>
      </c>
      <c r="CS209">
        <v>5.1377595766369855E-2</v>
      </c>
      <c r="CT209">
        <v>2.9200628579994729E-2</v>
      </c>
      <c r="CV209">
        <v>2.6948171142525557E-2</v>
      </c>
      <c r="CW209">
        <v>3.6131239477554806E-3</v>
      </c>
      <c r="CX209">
        <v>3.7789547053815438E-2</v>
      </c>
      <c r="CY209">
        <v>1.3633242121163045E-3</v>
      </c>
      <c r="CZ209">
        <v>2.6052565603856574E-3</v>
      </c>
      <c r="DA209">
        <v>1.7269871815662041E-3</v>
      </c>
      <c r="DB209">
        <v>2.0036379557762909E-2</v>
      </c>
      <c r="DC209">
        <v>2.6858940902103258E-2</v>
      </c>
      <c r="DD209">
        <v>1.5463833452992235E-2</v>
      </c>
      <c r="DE209">
        <v>4.5065111346781527E-3</v>
      </c>
      <c r="DF209">
        <v>1.326847642083075E-2</v>
      </c>
      <c r="DH209">
        <v>3.1740959588604574E-2</v>
      </c>
      <c r="DI209">
        <v>0.59992430588280821</v>
      </c>
      <c r="DJ209">
        <v>6.690538617826991E-2</v>
      </c>
      <c r="DL209">
        <v>3.9893286702634008</v>
      </c>
      <c r="DM209">
        <v>0.35123198444095088</v>
      </c>
      <c r="DN209">
        <v>0.22526396711193</v>
      </c>
      <c r="DO209">
        <v>0.50548391696854256</v>
      </c>
      <c r="DP209">
        <v>9.5314475439205513</v>
      </c>
      <c r="DQ209">
        <v>0.64200379228817217</v>
      </c>
      <c r="DR209">
        <v>14.06390548167747</v>
      </c>
      <c r="DS209">
        <v>0.41944927082016398</v>
      </c>
      <c r="DT209">
        <v>20.771852325740582</v>
      </c>
      <c r="DU209">
        <v>37.288911200442996</v>
      </c>
      <c r="DV209">
        <v>1.5590278975601797</v>
      </c>
      <c r="DW209">
        <v>16.599070847459018</v>
      </c>
      <c r="DX209">
        <v>4.5332917631334633</v>
      </c>
      <c r="DY209">
        <v>0.71331216582297918</v>
      </c>
      <c r="EA209">
        <v>12.027026777167805</v>
      </c>
      <c r="EB209">
        <v>22.6036069556543</v>
      </c>
      <c r="EC209">
        <v>16.816763252070572</v>
      </c>
      <c r="ED209">
        <v>24.149675637212567</v>
      </c>
      <c r="EE209">
        <v>17.143641320623981</v>
      </c>
      <c r="EF209">
        <v>2.4807320330191502</v>
      </c>
      <c r="EG209">
        <v>2.9522531144402668</v>
      </c>
      <c r="EH209">
        <v>15.449693355845767</v>
      </c>
      <c r="EI209">
        <v>0.56072187722809252</v>
      </c>
      <c r="EJ209">
        <v>69.106266995489094</v>
      </c>
      <c r="EK209">
        <v>0.30354079031118186</v>
      </c>
      <c r="EL209">
        <v>5.1740477531505391</v>
      </c>
      <c r="EN209">
        <v>11.203362238125901</v>
      </c>
      <c r="EO209">
        <v>25.981258216160313</v>
      </c>
      <c r="EP209">
        <v>3.6445797224508918</v>
      </c>
      <c r="ER209">
        <v>6.1636181514237096</v>
      </c>
      <c r="ES209">
        <v>5.3226937907893364</v>
      </c>
      <c r="EU209">
        <v>3.5410430810283136</v>
      </c>
      <c r="EV209">
        <v>16.70341499650084</v>
      </c>
      <c r="EX209">
        <v>0.3319209562951585</v>
      </c>
      <c r="EY209">
        <v>0.53116416866196414</v>
      </c>
      <c r="EZ209">
        <v>0.27309028664934326</v>
      </c>
      <c r="FA209">
        <v>0.19791043756104851</v>
      </c>
      <c r="FB209">
        <v>4.0647677459248825</v>
      </c>
      <c r="FC209">
        <v>14.080410601174483</v>
      </c>
      <c r="HA209">
        <v>396.64969943123879</v>
      </c>
    </row>
    <row r="210" spans="1:209" x14ac:dyDescent="0.75">
      <c r="A210" t="s">
        <v>758</v>
      </c>
      <c r="AC210">
        <v>0</v>
      </c>
      <c r="AF210">
        <v>0</v>
      </c>
      <c r="AI210">
        <v>0</v>
      </c>
      <c r="AP210">
        <v>0</v>
      </c>
      <c r="AQ210">
        <v>0</v>
      </c>
      <c r="BA210">
        <v>0</v>
      </c>
      <c r="BF210">
        <v>0</v>
      </c>
      <c r="BH210">
        <v>0</v>
      </c>
      <c r="BJ210">
        <v>0</v>
      </c>
      <c r="BK210">
        <v>0</v>
      </c>
      <c r="BN210">
        <v>0</v>
      </c>
      <c r="BU210">
        <v>0</v>
      </c>
      <c r="CE210">
        <v>0.36372468830053262</v>
      </c>
      <c r="CF210">
        <v>0.78873034937380304</v>
      </c>
      <c r="CG210">
        <v>0.24186255756706138</v>
      </c>
      <c r="CH210">
        <v>7.4729847895491544E-2</v>
      </c>
      <c r="CI210">
        <v>5.342501427318766E-2</v>
      </c>
      <c r="CJ210">
        <v>1.9947365805647876E-3</v>
      </c>
      <c r="CK210">
        <v>0.16808821583038497</v>
      </c>
      <c r="CL210">
        <v>2.9399854465608069E-5</v>
      </c>
      <c r="CM210">
        <v>1.8346059847855301E-2</v>
      </c>
      <c r="CN210">
        <v>4.7893909691851873E-4</v>
      </c>
      <c r="CO210">
        <v>2.6472435098492429E-2</v>
      </c>
      <c r="CS210">
        <v>9.3968103401060404E-2</v>
      </c>
      <c r="CT210">
        <v>4.3020913697371252E-2</v>
      </c>
      <c r="CV210">
        <v>9.8001903985260208E-2</v>
      </c>
      <c r="CW210">
        <v>3.2962633738000058E-4</v>
      </c>
      <c r="CX210">
        <v>3.3296253178555584E-3</v>
      </c>
      <c r="CY210">
        <v>2.6623242580210878E-3</v>
      </c>
      <c r="CZ210">
        <v>1.0662871720480811E-6</v>
      </c>
      <c r="DB210">
        <v>1.261018278817419E-2</v>
      </c>
      <c r="DC210">
        <v>3.9534807705075281E-3</v>
      </c>
      <c r="DD210">
        <v>1.0864921818363981E-4</v>
      </c>
      <c r="DE210">
        <v>9.4470804109838408E-3</v>
      </c>
      <c r="DF210">
        <v>1.6543318140230873E-2</v>
      </c>
      <c r="DH210">
        <v>6.9302394178792429E-3</v>
      </c>
      <c r="DI210">
        <v>1.7432788875886542E-2</v>
      </c>
      <c r="DJ210">
        <v>2.4516161252645025E-3</v>
      </c>
      <c r="DK210">
        <v>4.7957451846945706E-2</v>
      </c>
      <c r="DL210">
        <v>0.14593925072678107</v>
      </c>
      <c r="DM210">
        <v>9.1772192240206999E-3</v>
      </c>
      <c r="DN210">
        <v>0.34837544098478662</v>
      </c>
      <c r="DO210">
        <v>4.0302910155819945E-2</v>
      </c>
      <c r="DP210">
        <v>0.97444500473765105</v>
      </c>
      <c r="DQ210">
        <v>8.6908441284624952E-2</v>
      </c>
      <c r="DR210">
        <v>0.47647634069118799</v>
      </c>
      <c r="DT210">
        <v>1.8976629754647376</v>
      </c>
      <c r="DU210">
        <v>58.791561976906799</v>
      </c>
      <c r="DV210">
        <v>1.4861963110542824</v>
      </c>
      <c r="DW210">
        <v>0.94320677819622778</v>
      </c>
      <c r="DX210">
        <v>0.6161340328970869</v>
      </c>
      <c r="DY210">
        <v>8.8923859610379713E-2</v>
      </c>
      <c r="DZ210">
        <v>4.3406749900141355</v>
      </c>
      <c r="EA210">
        <v>2.2085102164369914</v>
      </c>
      <c r="EB210">
        <v>3.0402819651199113</v>
      </c>
      <c r="EC210">
        <v>2.2378356103887747</v>
      </c>
      <c r="ED210">
        <v>5.0434129048839642</v>
      </c>
      <c r="EE210">
        <v>1.7351967898661902</v>
      </c>
      <c r="EF210">
        <v>0.1600829121532365</v>
      </c>
      <c r="EG210">
        <v>0.81159937468237531</v>
      </c>
      <c r="EH210">
        <v>4.7360759357738889E-2</v>
      </c>
      <c r="EI210">
        <v>0</v>
      </c>
      <c r="EK210">
        <v>0</v>
      </c>
      <c r="EL210">
        <v>36.023411400250723</v>
      </c>
      <c r="EO210">
        <v>10.445920123924397</v>
      </c>
      <c r="EV210">
        <v>73.579300271264714</v>
      </c>
      <c r="FB210">
        <v>1.6174380889638835E-3</v>
      </c>
      <c r="FC210">
        <v>2.6482015308143538E-5</v>
      </c>
      <c r="HA210">
        <v>207.67717239497873</v>
      </c>
    </row>
    <row r="211" spans="1:209" x14ac:dyDescent="0.75">
      <c r="A211" t="s">
        <v>84</v>
      </c>
      <c r="AC211">
        <v>0</v>
      </c>
      <c r="AF211">
        <v>0</v>
      </c>
      <c r="AI211">
        <v>0</v>
      </c>
      <c r="AP211">
        <v>0</v>
      </c>
      <c r="AQ211">
        <v>0</v>
      </c>
      <c r="BA211">
        <v>0</v>
      </c>
      <c r="BF211">
        <v>0</v>
      </c>
      <c r="BH211">
        <v>0</v>
      </c>
      <c r="BJ211">
        <v>0</v>
      </c>
      <c r="BK211">
        <v>0</v>
      </c>
      <c r="BN211">
        <v>0</v>
      </c>
      <c r="BU211">
        <v>0</v>
      </c>
      <c r="DF211">
        <v>0</v>
      </c>
      <c r="DI211">
        <v>0</v>
      </c>
      <c r="DL211">
        <v>0</v>
      </c>
      <c r="DT211">
        <v>0</v>
      </c>
      <c r="DU211">
        <v>0</v>
      </c>
      <c r="EB211">
        <v>0</v>
      </c>
      <c r="EG211">
        <v>0</v>
      </c>
      <c r="EI211">
        <v>0</v>
      </c>
      <c r="EK211">
        <v>0</v>
      </c>
      <c r="EL211">
        <v>0</v>
      </c>
      <c r="EO211">
        <v>0</v>
      </c>
      <c r="EV211">
        <v>0</v>
      </c>
      <c r="FX211">
        <v>240.35009979154444</v>
      </c>
      <c r="FY211">
        <v>9.4631037841256074</v>
      </c>
      <c r="FZ211">
        <v>15.75759462419744</v>
      </c>
      <c r="GA211">
        <v>16.748716994987223</v>
      </c>
      <c r="GB211">
        <v>34.124274570634931</v>
      </c>
      <c r="GC211">
        <v>55.957355384790581</v>
      </c>
      <c r="GD211">
        <v>0.96751672136209621</v>
      </c>
      <c r="GE211">
        <v>0.84063665991757541</v>
      </c>
      <c r="GF211">
        <v>0.91911984003231861</v>
      </c>
      <c r="GG211">
        <v>2.2695795700135357</v>
      </c>
      <c r="GH211">
        <v>95.237918753912538</v>
      </c>
      <c r="GI211">
        <v>0.99429853543146129</v>
      </c>
      <c r="GJ211">
        <v>0.69830583952381708</v>
      </c>
      <c r="GK211">
        <v>3.3054036998876444</v>
      </c>
      <c r="GL211">
        <v>12.580861445630411</v>
      </c>
      <c r="GM211">
        <v>407.30028241868445</v>
      </c>
      <c r="GN211">
        <v>205.07128277197975</v>
      </c>
      <c r="GZ211">
        <v>730.81785692145013</v>
      </c>
      <c r="HA211">
        <v>1833.4042083281058</v>
      </c>
    </row>
    <row r="212" spans="1:209" x14ac:dyDescent="0.75">
      <c r="A212" t="s">
        <v>759</v>
      </c>
      <c r="AC212">
        <v>0</v>
      </c>
      <c r="AF212">
        <v>0</v>
      </c>
      <c r="AI212">
        <v>0</v>
      </c>
      <c r="AP212">
        <v>0</v>
      </c>
      <c r="AQ212">
        <v>0</v>
      </c>
      <c r="BA212">
        <v>0</v>
      </c>
      <c r="BF212">
        <v>0</v>
      </c>
      <c r="BH212">
        <v>0</v>
      </c>
      <c r="BJ212">
        <v>0</v>
      </c>
      <c r="BK212">
        <v>0</v>
      </c>
      <c r="BN212">
        <v>0</v>
      </c>
      <c r="BU212">
        <v>0</v>
      </c>
      <c r="DF212">
        <v>0</v>
      </c>
      <c r="DI212">
        <v>0</v>
      </c>
      <c r="DL212">
        <v>0</v>
      </c>
      <c r="DT212">
        <v>0</v>
      </c>
      <c r="DU212">
        <v>0</v>
      </c>
      <c r="EB212">
        <v>0</v>
      </c>
      <c r="EG212">
        <v>0</v>
      </c>
      <c r="EI212">
        <v>0</v>
      </c>
      <c r="EK212">
        <v>0</v>
      </c>
      <c r="EL212">
        <v>0</v>
      </c>
      <c r="EO212">
        <v>0</v>
      </c>
      <c r="EV212">
        <v>0</v>
      </c>
      <c r="GW212">
        <v>602.85817390348234</v>
      </c>
      <c r="HA212">
        <v>602.85817390348234</v>
      </c>
    </row>
    <row r="213" spans="1:209" x14ac:dyDescent="0.75">
      <c r="A213" t="s">
        <v>85</v>
      </c>
      <c r="AC213">
        <v>0</v>
      </c>
      <c r="AF213">
        <v>0</v>
      </c>
      <c r="AI213">
        <v>0</v>
      </c>
      <c r="AP213">
        <v>0</v>
      </c>
      <c r="AQ213">
        <v>0</v>
      </c>
      <c r="BA213">
        <v>0</v>
      </c>
      <c r="BF213">
        <v>0</v>
      </c>
      <c r="BH213">
        <v>0</v>
      </c>
      <c r="BJ213">
        <v>0</v>
      </c>
      <c r="BK213">
        <v>0</v>
      </c>
      <c r="BN213">
        <v>0</v>
      </c>
      <c r="BU213">
        <v>0</v>
      </c>
      <c r="DF213">
        <v>0</v>
      </c>
      <c r="DI213">
        <v>0</v>
      </c>
      <c r="DL213">
        <v>0</v>
      </c>
      <c r="DT213">
        <v>0</v>
      </c>
      <c r="DU213">
        <v>0</v>
      </c>
      <c r="EB213">
        <v>0</v>
      </c>
      <c r="EG213">
        <v>0</v>
      </c>
      <c r="EI213">
        <v>0</v>
      </c>
      <c r="EK213">
        <v>0</v>
      </c>
      <c r="EL213">
        <v>0</v>
      </c>
      <c r="EO213">
        <v>0</v>
      </c>
      <c r="EV213">
        <v>0</v>
      </c>
      <c r="GW213">
        <v>85.691766814482676</v>
      </c>
      <c r="HA213">
        <v>85.691766814482676</v>
      </c>
    </row>
    <row r="214" spans="1:209" x14ac:dyDescent="0.75">
      <c r="A214" t="s">
        <v>86</v>
      </c>
      <c r="AC214">
        <v>0</v>
      </c>
      <c r="AF214">
        <v>0</v>
      </c>
      <c r="AI214">
        <v>0</v>
      </c>
      <c r="AP214">
        <v>0</v>
      </c>
      <c r="AQ214">
        <v>0</v>
      </c>
      <c r="BA214">
        <v>0</v>
      </c>
      <c r="BF214">
        <v>0</v>
      </c>
      <c r="BH214">
        <v>0</v>
      </c>
      <c r="BJ214">
        <v>0</v>
      </c>
      <c r="BK214">
        <v>0</v>
      </c>
      <c r="BN214">
        <v>0</v>
      </c>
      <c r="BU214">
        <v>0</v>
      </c>
      <c r="CD214">
        <v>1.0533711598804709</v>
      </c>
      <c r="CE214">
        <v>25.594808404337748</v>
      </c>
      <c r="CF214">
        <v>56.154361111152937</v>
      </c>
      <c r="CG214">
        <v>17.434891774798061</v>
      </c>
      <c r="CH214">
        <v>4.054465416123028</v>
      </c>
      <c r="CI214">
        <v>4.7513441128865388</v>
      </c>
      <c r="CJ214">
        <v>0.52076737770356329</v>
      </c>
      <c r="CK214">
        <v>10.477027217345526</v>
      </c>
      <c r="CL214">
        <v>5.1592505715397717E-2</v>
      </c>
      <c r="CM214">
        <v>1.6035972004941559</v>
      </c>
      <c r="CN214">
        <v>6.7589350093415268E-2</v>
      </c>
      <c r="CO214">
        <v>2.0745923681407845</v>
      </c>
      <c r="CR214">
        <v>0.41506055864296076</v>
      </c>
      <c r="CS214">
        <v>5.9857984514529416</v>
      </c>
      <c r="CT214">
        <v>2.6668679568124349</v>
      </c>
      <c r="CU214">
        <v>2.943020410570768E-2</v>
      </c>
      <c r="CV214">
        <v>5.7585623949296432</v>
      </c>
      <c r="CW214">
        <v>1.4259332986105449</v>
      </c>
      <c r="CX214">
        <v>0.20303256358295221</v>
      </c>
      <c r="CY214">
        <v>0.41684712202055646</v>
      </c>
      <c r="CZ214">
        <v>8.2322672867643221E-2</v>
      </c>
      <c r="DB214">
        <v>1.8488346134671938</v>
      </c>
      <c r="DC214">
        <v>0.36684306301925629</v>
      </c>
      <c r="DD214">
        <v>0.1869089810452941</v>
      </c>
      <c r="DE214">
        <v>0.85896305902371173</v>
      </c>
      <c r="DF214">
        <v>1.3266079991954094</v>
      </c>
      <c r="DH214">
        <v>0.4707184544305581</v>
      </c>
      <c r="DI214">
        <v>1.3388195169048211</v>
      </c>
      <c r="DJ214">
        <v>0.14719503246108054</v>
      </c>
      <c r="DK214">
        <v>2.9826597170168814</v>
      </c>
      <c r="DL214">
        <v>9.0429040696179737</v>
      </c>
      <c r="DM214">
        <v>0.57480635349139575</v>
      </c>
      <c r="DN214">
        <v>23.142283767170255</v>
      </c>
      <c r="DO214">
        <v>3.0277987999723597</v>
      </c>
      <c r="DP214">
        <v>79.718962113998586</v>
      </c>
      <c r="DQ214">
        <v>6.7968496925184176</v>
      </c>
      <c r="DR214">
        <v>45.455508371218976</v>
      </c>
      <c r="DT214">
        <v>125.27877037992216</v>
      </c>
      <c r="DU214">
        <v>33.006922642078976</v>
      </c>
      <c r="DV214">
        <v>2.8208988240170196</v>
      </c>
      <c r="DW214">
        <v>72.396016941694057</v>
      </c>
      <c r="DX214">
        <v>38.489846569139957</v>
      </c>
      <c r="DY214">
        <v>7.2386592715771494</v>
      </c>
      <c r="DZ214">
        <v>403.94631767640539</v>
      </c>
      <c r="EA214">
        <v>140.22860422147943</v>
      </c>
      <c r="EB214">
        <v>187.14905319477663</v>
      </c>
      <c r="EC214">
        <v>138.30159707957051</v>
      </c>
      <c r="ED214">
        <v>310.09873757336425</v>
      </c>
      <c r="EE214">
        <v>109.48771245186295</v>
      </c>
      <c r="EF214">
        <v>10.090648707062455</v>
      </c>
      <c r="EG214">
        <v>81.805332313488819</v>
      </c>
      <c r="EH214">
        <v>3.2917904350756997</v>
      </c>
      <c r="EI214">
        <v>0</v>
      </c>
      <c r="EJ214">
        <v>16.271060272720113</v>
      </c>
      <c r="EK214">
        <v>6.4726022458720389E-2</v>
      </c>
      <c r="EL214">
        <v>63.981557780653667</v>
      </c>
      <c r="EM214">
        <v>1.0551708109860607</v>
      </c>
      <c r="EN214">
        <v>3.4423040424310711</v>
      </c>
      <c r="EO214">
        <v>19.340754064628381</v>
      </c>
      <c r="EP214">
        <v>0.72017366678952266</v>
      </c>
      <c r="EQ214">
        <v>15.701373767347773</v>
      </c>
      <c r="ER214">
        <v>4.2730483884820964</v>
      </c>
      <c r="ES214">
        <v>3.6132812161603451E-5</v>
      </c>
      <c r="ET214">
        <v>0.14127382000890729</v>
      </c>
      <c r="EU214">
        <v>0.56134985708237495</v>
      </c>
      <c r="EV214">
        <v>142.15086543872928</v>
      </c>
      <c r="EY214">
        <v>8.2660410210628442E-3</v>
      </c>
      <c r="FA214">
        <v>2.8604286997259839E-5</v>
      </c>
      <c r="FB214">
        <v>0.15959689188469467</v>
      </c>
      <c r="FC214">
        <v>0.29523122706531418</v>
      </c>
      <c r="FE214">
        <v>303.27115690161673</v>
      </c>
      <c r="FG214">
        <v>5.389838628958544</v>
      </c>
      <c r="FH214">
        <v>5.8531704334786525</v>
      </c>
      <c r="FI214">
        <v>1.186662520205999</v>
      </c>
      <c r="FJ214">
        <v>1.570398902615417</v>
      </c>
      <c r="FK214">
        <v>0.49472796783716988</v>
      </c>
      <c r="FL214">
        <v>0.74654017712712761</v>
      </c>
      <c r="FM214">
        <v>0.53711106835521449</v>
      </c>
      <c r="FN214">
        <v>2.3106936892116297</v>
      </c>
      <c r="FO214">
        <v>0.76461070576708012</v>
      </c>
      <c r="FP214">
        <v>0.98122827803590262</v>
      </c>
      <c r="FQ214">
        <v>1.4010571240854635</v>
      </c>
      <c r="FR214">
        <v>8.9633102441710566</v>
      </c>
      <c r="FT214">
        <v>28.101683118421747</v>
      </c>
      <c r="FU214">
        <v>8.7831838503304631</v>
      </c>
      <c r="FV214">
        <v>7.6035729141137161</v>
      </c>
      <c r="FW214">
        <v>184.54237387734418</v>
      </c>
      <c r="FX214">
        <v>5.7418726874452428</v>
      </c>
      <c r="FY214">
        <v>1.1372511508998031</v>
      </c>
      <c r="FZ214">
        <v>1.3534537955089541</v>
      </c>
      <c r="GA214">
        <v>2.4691809876496191</v>
      </c>
      <c r="GB214">
        <v>2.3750722287544228</v>
      </c>
      <c r="GC214">
        <v>8.4100289495805569</v>
      </c>
      <c r="GD214">
        <v>4.5469125001271163E-2</v>
      </c>
      <c r="GE214">
        <v>4.996594977183863E-2</v>
      </c>
      <c r="GF214">
        <v>8.0703180064894519E-4</v>
      </c>
      <c r="GG214">
        <v>0.23489579260814047</v>
      </c>
      <c r="GH214">
        <v>2.935678345213967</v>
      </c>
      <c r="GI214">
        <v>3.2713559192476073E-2</v>
      </c>
      <c r="GJ214">
        <v>6.147403528824337E-2</v>
      </c>
      <c r="GK214">
        <v>7.2668835987824046E-2</v>
      </c>
      <c r="GL214">
        <v>8.9735174138985643E-2</v>
      </c>
      <c r="GM214">
        <v>28.877904311394108</v>
      </c>
      <c r="GN214">
        <v>43.260320803968725</v>
      </c>
      <c r="HA214">
        <v>2909.5564651030322</v>
      </c>
    </row>
    <row r="215" spans="1:209" x14ac:dyDescent="0.75">
      <c r="A215" t="s">
        <v>87</v>
      </c>
      <c r="B215">
        <v>45.253234392959961</v>
      </c>
      <c r="C215">
        <v>99.547591931977692</v>
      </c>
      <c r="D215">
        <v>3.2561505218144466</v>
      </c>
      <c r="E215">
        <v>59.468264359227</v>
      </c>
      <c r="F215">
        <v>0.29023539639779294</v>
      </c>
      <c r="G215">
        <v>170.6108950945337</v>
      </c>
      <c r="H215">
        <v>151.78029730815518</v>
      </c>
      <c r="I215">
        <v>124.26513475674064</v>
      </c>
      <c r="J215">
        <v>21.451056502528793</v>
      </c>
      <c r="K215">
        <v>226.61121913994629</v>
      </c>
      <c r="L215">
        <v>21.284497718506721</v>
      </c>
      <c r="M215">
        <v>149.47856421845486</v>
      </c>
      <c r="N215">
        <v>80.32826695096594</v>
      </c>
      <c r="O215">
        <v>149.75103928822489</v>
      </c>
      <c r="P215">
        <v>27.474825138448001</v>
      </c>
      <c r="Q215">
        <v>25.683648732596719</v>
      </c>
      <c r="R215">
        <v>11.29764165897107</v>
      </c>
      <c r="S215">
        <v>3.7613437418606788</v>
      </c>
      <c r="T215">
        <v>80.511428516102441</v>
      </c>
      <c r="U215">
        <v>24.732342106772133</v>
      </c>
      <c r="V215">
        <v>4.1841433039002141</v>
      </c>
      <c r="W215">
        <v>7.8691814940978242</v>
      </c>
      <c r="X215">
        <v>5.5853341662188463</v>
      </c>
      <c r="Y215">
        <v>30.170856016814387</v>
      </c>
      <c r="Z215">
        <v>87.792114191970228</v>
      </c>
      <c r="AA215">
        <v>37.592269814641654</v>
      </c>
      <c r="AB215">
        <v>13.49137968363285</v>
      </c>
      <c r="AC215">
        <v>6.6554351692931224</v>
      </c>
      <c r="AD215">
        <v>34.417281361698407</v>
      </c>
      <c r="AE215">
        <v>15.230800347508797</v>
      </c>
      <c r="AF215">
        <v>378.8455075342336</v>
      </c>
      <c r="AG215">
        <v>30.104771031433767</v>
      </c>
      <c r="AH215">
        <v>6.9272568879912497E-2</v>
      </c>
      <c r="AI215">
        <v>238.45870244944425</v>
      </c>
      <c r="AJ215">
        <v>93.814189225950287</v>
      </c>
      <c r="AK215">
        <v>18.724474965612909</v>
      </c>
      <c r="AL215">
        <v>16.453986333568281</v>
      </c>
      <c r="AM215">
        <v>7.8991226303752047</v>
      </c>
      <c r="AN215">
        <v>377.48668481961835</v>
      </c>
      <c r="AO215">
        <v>4.1785587198356033</v>
      </c>
      <c r="AP215">
        <v>176.53268317804361</v>
      </c>
      <c r="AQ215">
        <v>306.91912951885661</v>
      </c>
      <c r="AR215">
        <v>7.8447574792040378</v>
      </c>
      <c r="AS215">
        <v>69.682980289735283</v>
      </c>
      <c r="AT215">
        <v>31.502074841534309</v>
      </c>
      <c r="AU215">
        <v>25.793655131334148</v>
      </c>
      <c r="AV215">
        <v>0.25382258796547608</v>
      </c>
      <c r="AW215">
        <v>68.051705786267945</v>
      </c>
      <c r="AX215">
        <v>7.0214214086533202</v>
      </c>
      <c r="AY215">
        <v>13.803840346149117</v>
      </c>
      <c r="AZ215">
        <v>7.9420122291384025</v>
      </c>
      <c r="BA215">
        <v>73.962322826446979</v>
      </c>
      <c r="BB215">
        <v>123.08956968903246</v>
      </c>
      <c r="BC215">
        <v>13.098817440129869</v>
      </c>
      <c r="BD215">
        <v>8.7609995893287476</v>
      </c>
      <c r="BE215">
        <v>38.398915695737742</v>
      </c>
      <c r="BF215">
        <v>47.148317420177598</v>
      </c>
      <c r="BG215">
        <v>162.52468516693449</v>
      </c>
      <c r="BH215">
        <v>53.263503228592754</v>
      </c>
      <c r="BI215">
        <v>1302.1429989558458</v>
      </c>
      <c r="BJ215">
        <v>1098.5446085134495</v>
      </c>
      <c r="BK215">
        <v>570.15032948246574</v>
      </c>
      <c r="BL215">
        <v>15.974540053443487</v>
      </c>
      <c r="BM215">
        <v>513.88153181744485</v>
      </c>
      <c r="BN215">
        <v>221.31595794618858</v>
      </c>
      <c r="BO215">
        <v>37.293128614903004</v>
      </c>
      <c r="BP215">
        <v>115.83920325053094</v>
      </c>
      <c r="BQ215">
        <v>48.713410552473967</v>
      </c>
      <c r="BR215">
        <v>142.20077179166879</v>
      </c>
      <c r="BS215">
        <v>413.66780587225702</v>
      </c>
      <c r="BT215">
        <v>164.07096864413541</v>
      </c>
      <c r="BU215">
        <v>500.66365912535969</v>
      </c>
      <c r="BV215">
        <v>1108.7884628283466</v>
      </c>
      <c r="BW215">
        <v>366.14288145206604</v>
      </c>
      <c r="BX215">
        <v>210.01621135113726</v>
      </c>
      <c r="BY215">
        <v>99.360645513300526</v>
      </c>
      <c r="BZ215">
        <v>15.05455440335308</v>
      </c>
      <c r="CA215">
        <v>54.996006828680827</v>
      </c>
      <c r="CB215">
        <v>409.15816073356302</v>
      </c>
      <c r="CC215">
        <v>25.412118496649576</v>
      </c>
      <c r="CD215">
        <v>46.794628030265983</v>
      </c>
      <c r="CE215">
        <v>111.76602167076032</v>
      </c>
      <c r="CF215">
        <v>60.891182063263578</v>
      </c>
      <c r="CG215">
        <v>83.115173838297594</v>
      </c>
      <c r="CH215">
        <v>4.4965422850932244</v>
      </c>
      <c r="CI215">
        <v>52.020213265539851</v>
      </c>
      <c r="CJ215">
        <v>15.082790325812192</v>
      </c>
      <c r="CK215">
        <v>128.29386615443536</v>
      </c>
      <c r="CL215">
        <v>8.631068941543548</v>
      </c>
      <c r="CM215">
        <v>149.70470543313772</v>
      </c>
      <c r="CN215">
        <v>21.137339165810463</v>
      </c>
      <c r="CO215">
        <v>144.99701817293277</v>
      </c>
      <c r="CP215">
        <v>78.126672459795628</v>
      </c>
      <c r="CQ215">
        <v>8.6116951503621024</v>
      </c>
      <c r="CR215">
        <v>27.489627295111696</v>
      </c>
      <c r="CS215">
        <v>29.992202073569906</v>
      </c>
      <c r="CT215">
        <v>14.925911602382893</v>
      </c>
      <c r="CU215">
        <v>3.883464656562539</v>
      </c>
      <c r="CV215">
        <v>5.9516361507828801</v>
      </c>
      <c r="CW215">
        <v>82.092101208667088</v>
      </c>
      <c r="CX215">
        <v>25.273823255462155</v>
      </c>
      <c r="CY215">
        <v>4.6554296717621373</v>
      </c>
      <c r="CZ215">
        <v>7.6237327940810102</v>
      </c>
      <c r="DA215">
        <v>5.6517943096235399</v>
      </c>
      <c r="DB215">
        <v>32.384339963406894</v>
      </c>
      <c r="DC215">
        <v>89.246706763969527</v>
      </c>
      <c r="DD215">
        <v>38.164299144117294</v>
      </c>
      <c r="DE215">
        <v>14.489129518852403</v>
      </c>
      <c r="DF215">
        <v>8.1683567003604427</v>
      </c>
      <c r="DG215">
        <v>25.087220471467123</v>
      </c>
      <c r="DH215">
        <v>16.582216675467766</v>
      </c>
      <c r="DI215">
        <v>84.918835318100491</v>
      </c>
      <c r="DJ215">
        <v>31.66009732566603</v>
      </c>
      <c r="DK215">
        <v>3.1669507081541672</v>
      </c>
      <c r="DL215">
        <v>383.02616674469891</v>
      </c>
      <c r="DM215">
        <v>97.903327399337286</v>
      </c>
      <c r="DN215">
        <v>27.546583907600741</v>
      </c>
      <c r="DO215">
        <v>26.229234816455985</v>
      </c>
      <c r="DP215">
        <v>116.13825048346399</v>
      </c>
      <c r="DQ215">
        <v>18.820614296842471</v>
      </c>
      <c r="DR215">
        <v>417.78227071811114</v>
      </c>
      <c r="DS215">
        <v>9.6688548580024989</v>
      </c>
      <c r="DT215">
        <v>343.61658268183618</v>
      </c>
      <c r="DU215">
        <v>441.59955364327664</v>
      </c>
      <c r="DV215">
        <v>16.114151838359014</v>
      </c>
      <c r="DW215">
        <v>371.19267891613833</v>
      </c>
      <c r="DX215">
        <v>93.394311707894417</v>
      </c>
      <c r="DY215">
        <v>38.359992450560426</v>
      </c>
      <c r="DZ215">
        <v>538.03456817233564</v>
      </c>
      <c r="EA215">
        <v>276.59978158661039</v>
      </c>
      <c r="EB215">
        <v>437.6249774197405</v>
      </c>
      <c r="EC215">
        <v>332.00859150869098</v>
      </c>
      <c r="ED215">
        <v>493.47153854381651</v>
      </c>
      <c r="EE215">
        <v>226.06278134813635</v>
      </c>
      <c r="EF215">
        <v>47.602000726009756</v>
      </c>
      <c r="EG215">
        <v>149.16055146172417</v>
      </c>
      <c r="EH215">
        <v>162.52046376223043</v>
      </c>
      <c r="EI215">
        <v>55.228497703426569</v>
      </c>
      <c r="EJ215">
        <v>1374.2287262163825</v>
      </c>
      <c r="EK215">
        <v>1106.4569536758231</v>
      </c>
      <c r="EL215">
        <v>672.91234705609384</v>
      </c>
      <c r="EM215">
        <v>11.301611114152001</v>
      </c>
      <c r="EN215">
        <v>525.51496113862402</v>
      </c>
      <c r="EO215">
        <v>213.13792551395005</v>
      </c>
      <c r="EP215">
        <v>48.565473209861558</v>
      </c>
      <c r="EQ215">
        <v>131.54057701787872</v>
      </c>
      <c r="ER215">
        <v>59.150077092379703</v>
      </c>
      <c r="ES215">
        <v>160.66068201771819</v>
      </c>
      <c r="ET215">
        <v>414.10343854592554</v>
      </c>
      <c r="EU215">
        <v>192.32191143684898</v>
      </c>
      <c r="EV215">
        <v>777.36359804765755</v>
      </c>
      <c r="EW215">
        <v>1108.7884628283491</v>
      </c>
      <c r="EX215">
        <v>359.20166122279102</v>
      </c>
      <c r="EY215">
        <v>212.49756943609023</v>
      </c>
      <c r="EZ215">
        <v>97.797854801710756</v>
      </c>
      <c r="FA215">
        <v>15.243858238032194</v>
      </c>
      <c r="FB215">
        <v>67.560976002959478</v>
      </c>
      <c r="FC215">
        <v>422.18590243622003</v>
      </c>
      <c r="FD215">
        <v>25.412118496649594</v>
      </c>
      <c r="FE215">
        <v>303.27115690161673</v>
      </c>
      <c r="FF215">
        <v>1057.4010485097169</v>
      </c>
      <c r="FG215">
        <v>695.56946734755832</v>
      </c>
      <c r="FH215">
        <v>755.36336446790824</v>
      </c>
      <c r="FI215">
        <v>153.14117433242851</v>
      </c>
      <c r="FJ215">
        <v>202.66312285242952</v>
      </c>
      <c r="FK215">
        <v>63.84563486215778</v>
      </c>
      <c r="FL215">
        <v>96.342504684264455</v>
      </c>
      <c r="FM215">
        <v>69.315258849317971</v>
      </c>
      <c r="FN215">
        <v>298.19964738329458</v>
      </c>
      <c r="FO215">
        <v>98.674542588562403</v>
      </c>
      <c r="FP215">
        <v>126.62947403152099</v>
      </c>
      <c r="FQ215">
        <v>180.80922725360571</v>
      </c>
      <c r="FR215">
        <v>1156.7331345899056</v>
      </c>
      <c r="FS215">
        <v>575.88953605485415</v>
      </c>
      <c r="FT215">
        <v>317.37780634559653</v>
      </c>
      <c r="FU215">
        <v>99.196464902153167</v>
      </c>
      <c r="FV215">
        <v>85.874048244756395</v>
      </c>
      <c r="FW215">
        <v>2084.2044781511941</v>
      </c>
      <c r="FX215">
        <v>2132.33228720847</v>
      </c>
      <c r="FY215">
        <v>274.35616528255207</v>
      </c>
      <c r="FZ215">
        <v>457.15344962211304</v>
      </c>
      <c r="GA215">
        <v>625.11195195085611</v>
      </c>
      <c r="GB215">
        <v>879.20907852684979</v>
      </c>
      <c r="GC215">
        <v>1187.0705944244432</v>
      </c>
      <c r="GD215">
        <v>20.219120226182472</v>
      </c>
      <c r="GE215">
        <v>27.020832387211865</v>
      </c>
      <c r="GF215">
        <v>46.057096264905994</v>
      </c>
      <c r="GG215">
        <v>89.701280073040621</v>
      </c>
      <c r="GH215">
        <v>711.39964517062572</v>
      </c>
      <c r="GI215">
        <v>19.772029100921372</v>
      </c>
      <c r="GJ215">
        <v>29.055075122379264</v>
      </c>
      <c r="GK215">
        <v>53.527167491503739</v>
      </c>
      <c r="GL215">
        <v>146.21423675143748</v>
      </c>
      <c r="GM215">
        <v>2339.6128991100509</v>
      </c>
      <c r="GN215">
        <v>1747.1694166987497</v>
      </c>
      <c r="GO215">
        <v>-85.580313206443037</v>
      </c>
      <c r="GP215">
        <v>99.741596321304982</v>
      </c>
      <c r="GQ215">
        <v>478.63971540414622</v>
      </c>
      <c r="GR215">
        <v>1.1773392266962333</v>
      </c>
      <c r="GS215">
        <v>64.972058817707236</v>
      </c>
      <c r="GT215">
        <v>-30.218326849075254</v>
      </c>
      <c r="GU215">
        <v>396.64969943123896</v>
      </c>
      <c r="GV215">
        <v>207.67717239497918</v>
      </c>
      <c r="GW215">
        <v>1833.4042083281063</v>
      </c>
      <c r="GX215">
        <v>602.85817390348132</v>
      </c>
      <c r="GY215">
        <v>85.691766814482577</v>
      </c>
      <c r="GZ215">
        <v>2909.5564651030363</v>
      </c>
      <c r="HA215">
        <v>51905.627691645263</v>
      </c>
    </row>
  </sheetData>
  <conditionalFormatting sqref="AJ22:AM34">
    <cfRule type="cellIs" dxfId="15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03E8-048E-4EC2-8D10-D17F083546C6}">
  <sheetPr>
    <tabColor theme="9" tint="-0.499984740745262"/>
  </sheetPr>
  <dimension ref="A1:HB222"/>
  <sheetViews>
    <sheetView showZeros="0" tabSelected="1" zoomScale="85" zoomScaleNormal="85" workbookViewId="0">
      <pane xSplit="1" ySplit="7" topLeftCell="GA87" activePane="bottomRight" state="frozen"/>
      <selection activeCell="D10" sqref="D10"/>
      <selection pane="topRight" activeCell="D10" sqref="D10"/>
      <selection pane="bottomLeft" activeCell="D10" sqref="D10"/>
      <selection pane="bottomRight" activeCell="GG96" sqref="GG96"/>
    </sheetView>
  </sheetViews>
  <sheetFormatPr defaultRowHeight="14.75" x14ac:dyDescent="0.75"/>
  <cols>
    <col min="2" max="2" width="16.54296875" bestFit="1" customWidth="1"/>
    <col min="101" max="101" width="17.6328125" customWidth="1"/>
  </cols>
  <sheetData>
    <row r="1" spans="1:210" ht="18.5" x14ac:dyDescent="0.9">
      <c r="A1" s="23" t="s">
        <v>120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10" x14ac:dyDescent="0.75">
      <c r="D2" s="56"/>
    </row>
    <row r="3" spans="1:210" x14ac:dyDescent="0.75">
      <c r="D3" s="56"/>
    </row>
    <row r="4" spans="1:210" x14ac:dyDescent="0.75">
      <c r="D4" s="56"/>
    </row>
    <row r="5" spans="1:210" x14ac:dyDescent="0.75">
      <c r="C5" s="3"/>
      <c r="D5" s="56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210" x14ac:dyDescent="0.75">
      <c r="A6" s="1" t="s">
        <v>263</v>
      </c>
    </row>
    <row r="7" spans="1:210" x14ac:dyDescent="0.75">
      <c r="A7" s="21"/>
      <c r="B7" s="67" t="s">
        <v>463</v>
      </c>
      <c r="C7" s="67" t="s">
        <v>285</v>
      </c>
      <c r="D7" s="67" t="s">
        <v>464</v>
      </c>
      <c r="E7" s="67" t="s">
        <v>697</v>
      </c>
      <c r="F7" s="67" t="s">
        <v>353</v>
      </c>
      <c r="G7" s="67" t="s">
        <v>560</v>
      </c>
      <c r="H7" s="67" t="s">
        <v>465</v>
      </c>
      <c r="I7" s="67" t="s">
        <v>557</v>
      </c>
      <c r="J7" s="67" t="s">
        <v>288</v>
      </c>
      <c r="K7" s="67" t="s">
        <v>698</v>
      </c>
      <c r="L7" s="67" t="s">
        <v>699</v>
      </c>
      <c r="M7" s="67" t="s">
        <v>289</v>
      </c>
      <c r="N7" s="67" t="s">
        <v>700</v>
      </c>
      <c r="O7" s="67" t="s">
        <v>701</v>
      </c>
      <c r="P7" s="67" t="s">
        <v>702</v>
      </c>
      <c r="Q7" s="67" t="s">
        <v>291</v>
      </c>
      <c r="R7" s="67" t="s">
        <v>554</v>
      </c>
      <c r="S7" s="67" t="s">
        <v>703</v>
      </c>
      <c r="T7" s="67" t="s">
        <v>292</v>
      </c>
      <c r="U7" s="67" t="s">
        <v>468</v>
      </c>
      <c r="V7" s="67" t="s">
        <v>354</v>
      </c>
      <c r="W7" s="67" t="s">
        <v>290</v>
      </c>
      <c r="X7" s="67" t="s">
        <v>704</v>
      </c>
      <c r="Y7" s="67" t="s">
        <v>293</v>
      </c>
      <c r="Z7" s="67" t="s">
        <v>294</v>
      </c>
      <c r="AA7" s="67" t="s">
        <v>471</v>
      </c>
      <c r="AB7" s="67" t="s">
        <v>295</v>
      </c>
      <c r="AC7" s="68" t="s">
        <v>296</v>
      </c>
      <c r="AD7" s="67" t="s">
        <v>469</v>
      </c>
      <c r="AE7" s="67" t="s">
        <v>470</v>
      </c>
      <c r="AF7" s="68" t="s">
        <v>297</v>
      </c>
      <c r="AG7" s="67" t="s">
        <v>298</v>
      </c>
      <c r="AH7" s="67" t="s">
        <v>475</v>
      </c>
      <c r="AI7" s="68" t="s">
        <v>476</v>
      </c>
      <c r="AJ7" s="67" t="s">
        <v>477</v>
      </c>
      <c r="AK7" s="67" t="s">
        <v>479</v>
      </c>
      <c r="AL7" s="67" t="s">
        <v>480</v>
      </c>
      <c r="AM7" s="67" t="s">
        <v>481</v>
      </c>
      <c r="AN7" s="67" t="s">
        <v>486</v>
      </c>
      <c r="AO7" s="67" t="s">
        <v>705</v>
      </c>
      <c r="AP7" s="67" t="s">
        <v>490</v>
      </c>
      <c r="AQ7" s="67" t="s">
        <v>299</v>
      </c>
      <c r="AR7" s="68" t="s">
        <v>300</v>
      </c>
      <c r="AS7" s="67" t="s">
        <v>491</v>
      </c>
      <c r="AT7" s="67" t="s">
        <v>301</v>
      </c>
      <c r="AU7" s="67" t="s">
        <v>302</v>
      </c>
      <c r="AV7" s="67" t="s">
        <v>706</v>
      </c>
      <c r="AW7" s="67" t="s">
        <v>495</v>
      </c>
      <c r="AX7" s="67" t="s">
        <v>303</v>
      </c>
      <c r="AY7" s="67" t="s">
        <v>707</v>
      </c>
      <c r="AZ7" s="67" t="s">
        <v>708</v>
      </c>
      <c r="BA7" s="67" t="s">
        <v>304</v>
      </c>
      <c r="BB7" s="68" t="s">
        <v>709</v>
      </c>
      <c r="BC7" s="67" t="s">
        <v>305</v>
      </c>
      <c r="BD7" s="67" t="s">
        <v>306</v>
      </c>
      <c r="BE7" s="67" t="s">
        <v>498</v>
      </c>
      <c r="BF7" s="67" t="s">
        <v>710</v>
      </c>
      <c r="BG7" s="68" t="s">
        <v>307</v>
      </c>
      <c r="BH7" s="67" t="s">
        <v>308</v>
      </c>
      <c r="BI7" s="68" t="s">
        <v>309</v>
      </c>
      <c r="BJ7" s="67" t="s">
        <v>310</v>
      </c>
      <c r="BK7" s="68" t="s">
        <v>311</v>
      </c>
      <c r="BL7" s="68" t="s">
        <v>312</v>
      </c>
      <c r="BM7" s="67" t="s">
        <v>711</v>
      </c>
      <c r="BN7" s="67" t="s">
        <v>313</v>
      </c>
      <c r="BO7" s="68" t="s">
        <v>314</v>
      </c>
      <c r="BP7" s="67" t="s">
        <v>712</v>
      </c>
      <c r="BQ7" s="67" t="s">
        <v>713</v>
      </c>
      <c r="BR7" s="67" t="s">
        <v>714</v>
      </c>
      <c r="BS7" s="67" t="s">
        <v>715</v>
      </c>
      <c r="BT7" s="67" t="s">
        <v>716</v>
      </c>
      <c r="BU7" s="67" t="s">
        <v>316</v>
      </c>
      <c r="BV7" s="68" t="s">
        <v>717</v>
      </c>
      <c r="BW7" s="67" t="s">
        <v>318</v>
      </c>
      <c r="BX7" s="67" t="s">
        <v>319</v>
      </c>
      <c r="BY7" s="67" t="s">
        <v>320</v>
      </c>
      <c r="BZ7" s="67" t="s">
        <v>718</v>
      </c>
      <c r="CA7" s="67" t="s">
        <v>719</v>
      </c>
      <c r="CB7" s="67" t="s">
        <v>720</v>
      </c>
      <c r="CC7" s="67" t="s">
        <v>321</v>
      </c>
      <c r="CD7" s="67" t="s">
        <v>721</v>
      </c>
      <c r="CE7" s="67" t="s">
        <v>500</v>
      </c>
      <c r="CF7" s="67" t="s">
        <v>322</v>
      </c>
      <c r="CG7" s="67" t="s">
        <v>501</v>
      </c>
      <c r="CH7" s="67" t="s">
        <v>722</v>
      </c>
      <c r="CI7" s="67" t="s">
        <v>356</v>
      </c>
      <c r="CJ7" s="67" t="s">
        <v>503</v>
      </c>
      <c r="CK7" s="67" t="s">
        <v>504</v>
      </c>
      <c r="CL7" s="67" t="s">
        <v>558</v>
      </c>
      <c r="CM7" s="67" t="s">
        <v>324</v>
      </c>
      <c r="CN7" s="67" t="s">
        <v>723</v>
      </c>
      <c r="CO7" s="67" t="s">
        <v>724</v>
      </c>
      <c r="CP7" s="67" t="s">
        <v>57</v>
      </c>
      <c r="CQ7" s="67" t="s">
        <v>725</v>
      </c>
      <c r="CR7" s="67" t="s">
        <v>726</v>
      </c>
      <c r="CS7" s="67" t="s">
        <v>727</v>
      </c>
      <c r="CT7" s="67" t="s">
        <v>327</v>
      </c>
      <c r="CU7" s="67" t="s">
        <v>502</v>
      </c>
      <c r="CV7" s="67" t="s">
        <v>728</v>
      </c>
      <c r="CW7" s="67" t="s">
        <v>323</v>
      </c>
      <c r="CX7" s="67" t="s">
        <v>328</v>
      </c>
      <c r="CY7" s="67" t="s">
        <v>507</v>
      </c>
      <c r="CZ7" s="67" t="s">
        <v>326</v>
      </c>
      <c r="DA7" s="67" t="s">
        <v>325</v>
      </c>
      <c r="DB7" s="67" t="s">
        <v>729</v>
      </c>
      <c r="DC7" s="67" t="s">
        <v>329</v>
      </c>
      <c r="DD7" s="67" t="s">
        <v>330</v>
      </c>
      <c r="DE7" s="67" t="s">
        <v>512</v>
      </c>
      <c r="DF7" s="67" t="s">
        <v>331</v>
      </c>
      <c r="DG7" s="68" t="s">
        <v>332</v>
      </c>
      <c r="DH7" s="67" t="s">
        <v>510</v>
      </c>
      <c r="DI7" s="67" t="s">
        <v>511</v>
      </c>
      <c r="DJ7" s="68" t="s">
        <v>333</v>
      </c>
      <c r="DK7" s="67" t="s">
        <v>334</v>
      </c>
      <c r="DL7" s="67" t="s">
        <v>516</v>
      </c>
      <c r="DM7" s="68" t="s">
        <v>517</v>
      </c>
      <c r="DN7" s="67" t="s">
        <v>518</v>
      </c>
      <c r="DO7" s="67" t="s">
        <v>519</v>
      </c>
      <c r="DP7" s="67" t="s">
        <v>520</v>
      </c>
      <c r="DQ7" s="67" t="s">
        <v>521</v>
      </c>
      <c r="DR7" s="67" t="s">
        <v>522</v>
      </c>
      <c r="DS7" s="67" t="s">
        <v>527</v>
      </c>
      <c r="DT7" s="67" t="s">
        <v>730</v>
      </c>
      <c r="DU7" s="67" t="s">
        <v>531</v>
      </c>
      <c r="DV7" s="67" t="s">
        <v>61</v>
      </c>
      <c r="DW7" s="68" t="s">
        <v>335</v>
      </c>
      <c r="DX7" s="67" t="s">
        <v>532</v>
      </c>
      <c r="DY7" s="67" t="s">
        <v>336</v>
      </c>
      <c r="DZ7" s="67" t="s">
        <v>337</v>
      </c>
      <c r="EA7" s="67" t="s">
        <v>731</v>
      </c>
      <c r="EB7" s="67" t="s">
        <v>536</v>
      </c>
      <c r="EC7" s="67" t="s">
        <v>338</v>
      </c>
      <c r="ED7" s="67" t="s">
        <v>732</v>
      </c>
      <c r="EE7" s="67" t="s">
        <v>733</v>
      </c>
      <c r="EF7" s="67" t="s">
        <v>339</v>
      </c>
      <c r="EG7" s="68" t="s">
        <v>734</v>
      </c>
      <c r="EH7" s="67" t="s">
        <v>340</v>
      </c>
      <c r="EI7" s="67" t="s">
        <v>64</v>
      </c>
      <c r="EJ7" s="67" t="s">
        <v>539</v>
      </c>
      <c r="EK7" s="67" t="s">
        <v>735</v>
      </c>
      <c r="EL7" s="68" t="s">
        <v>341</v>
      </c>
      <c r="EM7" s="67" t="s">
        <v>342</v>
      </c>
      <c r="EN7" s="68" t="s">
        <v>343</v>
      </c>
      <c r="EO7" s="67" t="s">
        <v>65</v>
      </c>
      <c r="EP7" s="68" t="s">
        <v>344</v>
      </c>
      <c r="EQ7" s="68" t="s">
        <v>66</v>
      </c>
      <c r="ER7" s="67" t="s">
        <v>736</v>
      </c>
      <c r="ES7" s="67" t="s">
        <v>345</v>
      </c>
      <c r="ET7" s="68" t="s">
        <v>346</v>
      </c>
      <c r="EU7" s="67" t="s">
        <v>737</v>
      </c>
      <c r="EV7" s="67" t="s">
        <v>738</v>
      </c>
      <c r="EW7" s="67" t="s">
        <v>739</v>
      </c>
      <c r="EX7" s="67" t="s">
        <v>740</v>
      </c>
      <c r="EY7" s="67" t="s">
        <v>741</v>
      </c>
      <c r="EZ7" s="67" t="s">
        <v>348</v>
      </c>
      <c r="FA7" s="68" t="s">
        <v>742</v>
      </c>
      <c r="FB7" s="67" t="s">
        <v>349</v>
      </c>
      <c r="FC7" s="67" t="s">
        <v>350</v>
      </c>
      <c r="FD7" s="67" t="s">
        <v>351</v>
      </c>
      <c r="FE7" s="67" t="s">
        <v>743</v>
      </c>
      <c r="FF7" s="67" t="s">
        <v>744</v>
      </c>
      <c r="FG7" s="67" t="s">
        <v>745</v>
      </c>
      <c r="FH7" s="67" t="s">
        <v>352</v>
      </c>
      <c r="FI7" s="67" t="s">
        <v>746</v>
      </c>
      <c r="FJ7" s="67" t="s">
        <v>747</v>
      </c>
      <c r="FK7" s="67" t="s">
        <v>69</v>
      </c>
      <c r="FL7" s="67" t="s">
        <v>541</v>
      </c>
      <c r="FM7" s="67" t="s">
        <v>542</v>
      </c>
      <c r="FN7" s="67" t="s">
        <v>543</v>
      </c>
      <c r="FO7" s="67" t="s">
        <v>544</v>
      </c>
      <c r="FP7" s="67" t="s">
        <v>545</v>
      </c>
      <c r="FQ7" s="67" t="s">
        <v>546</v>
      </c>
      <c r="FR7" s="67" t="s">
        <v>547</v>
      </c>
      <c r="FS7" s="67" t="s">
        <v>548</v>
      </c>
      <c r="FT7" s="67" t="s">
        <v>748</v>
      </c>
      <c r="FU7" s="67" t="s">
        <v>749</v>
      </c>
      <c r="FV7" s="67" t="s">
        <v>750</v>
      </c>
      <c r="FW7" s="67" t="s">
        <v>751</v>
      </c>
      <c r="FX7" s="67" t="s">
        <v>17</v>
      </c>
      <c r="FY7" s="67" t="s">
        <v>549</v>
      </c>
      <c r="FZ7" s="67" t="s">
        <v>550</v>
      </c>
      <c r="GA7" s="67" t="s">
        <v>551</v>
      </c>
      <c r="GB7" s="67" t="s">
        <v>552</v>
      </c>
      <c r="GC7" s="67" t="s">
        <v>75</v>
      </c>
      <c r="GD7" s="67" t="s">
        <v>662</v>
      </c>
      <c r="GE7" s="67" t="s">
        <v>663</v>
      </c>
      <c r="GF7" s="67" t="s">
        <v>664</v>
      </c>
      <c r="GG7" s="67" t="s">
        <v>665</v>
      </c>
      <c r="GH7" s="67" t="s">
        <v>666</v>
      </c>
      <c r="GI7" s="67" t="s">
        <v>656</v>
      </c>
      <c r="GJ7" s="67" t="s">
        <v>657</v>
      </c>
      <c r="GK7" s="67" t="s">
        <v>658</v>
      </c>
      <c r="GL7" s="67" t="s">
        <v>659</v>
      </c>
      <c r="GM7" s="67" t="s">
        <v>660</v>
      </c>
      <c r="GN7" s="67" t="s">
        <v>752</v>
      </c>
      <c r="GO7" s="67" t="s">
        <v>753</v>
      </c>
      <c r="GP7" s="67" t="s">
        <v>754</v>
      </c>
      <c r="GQ7" s="67" t="s">
        <v>755</v>
      </c>
      <c r="GR7" s="67" t="s">
        <v>756</v>
      </c>
      <c r="GS7" s="67" t="s">
        <v>80</v>
      </c>
      <c r="GT7" s="67" t="s">
        <v>162</v>
      </c>
      <c r="GU7" s="67" t="s">
        <v>81</v>
      </c>
      <c r="GV7" s="67" t="s">
        <v>160</v>
      </c>
      <c r="GW7" s="67" t="s">
        <v>82</v>
      </c>
      <c r="GX7" s="67" t="s">
        <v>83</v>
      </c>
      <c r="GY7" s="67" t="s">
        <v>84</v>
      </c>
      <c r="GZ7" s="67" t="s">
        <v>85</v>
      </c>
      <c r="HA7" s="67" t="s">
        <v>86</v>
      </c>
      <c r="HB7" s="67" t="s">
        <v>87</v>
      </c>
    </row>
    <row r="8" spans="1:210" x14ac:dyDescent="0.75">
      <c r="A8" s="67" t="s">
        <v>463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69">
        <v>0</v>
      </c>
      <c r="AD8" s="21"/>
      <c r="AE8" s="21"/>
      <c r="AF8" s="69">
        <v>0</v>
      </c>
      <c r="AG8" s="21"/>
      <c r="AH8" s="21"/>
      <c r="AI8" s="69">
        <v>0</v>
      </c>
      <c r="AJ8" s="21"/>
      <c r="AK8" s="21"/>
      <c r="AL8" s="21"/>
      <c r="AM8" s="21"/>
      <c r="AN8" s="21"/>
      <c r="AO8" s="21"/>
      <c r="AP8" s="21"/>
      <c r="AQ8" s="21"/>
      <c r="AR8" s="69">
        <v>0</v>
      </c>
      <c r="AS8" s="21"/>
      <c r="AT8" s="21"/>
      <c r="AU8" s="21"/>
      <c r="AV8" s="21"/>
      <c r="AW8" s="21"/>
      <c r="AX8" s="21"/>
      <c r="AY8" s="21"/>
      <c r="AZ8" s="21"/>
      <c r="BA8" s="21"/>
      <c r="BB8" s="69">
        <v>0</v>
      </c>
      <c r="BC8" s="21"/>
      <c r="BD8" s="21"/>
      <c r="BE8" s="21"/>
      <c r="BF8" s="21"/>
      <c r="BG8" s="69">
        <v>0</v>
      </c>
      <c r="BH8" s="21"/>
      <c r="BI8" s="69">
        <v>0</v>
      </c>
      <c r="BJ8" s="21"/>
      <c r="BK8" s="69">
        <v>0</v>
      </c>
      <c r="BL8" s="69">
        <v>0</v>
      </c>
      <c r="BM8" s="21"/>
      <c r="BN8" s="21"/>
      <c r="BO8" s="69">
        <v>0</v>
      </c>
      <c r="BP8" s="21"/>
      <c r="BQ8" s="21"/>
      <c r="BR8" s="21"/>
      <c r="BS8" s="21"/>
      <c r="BT8" s="21"/>
      <c r="BU8" s="21"/>
      <c r="BV8" s="69">
        <v>0</v>
      </c>
      <c r="BW8" s="21"/>
      <c r="BX8" s="21"/>
      <c r="BY8" s="21"/>
      <c r="BZ8" s="21"/>
      <c r="CA8" s="21"/>
      <c r="CB8" s="21"/>
      <c r="CC8" s="21"/>
      <c r="CD8" s="21"/>
      <c r="CE8" s="21">
        <v>45.202430265810328</v>
      </c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69">
        <v>0</v>
      </c>
      <c r="DH8" s="21"/>
      <c r="DI8" s="21"/>
      <c r="DJ8" s="69">
        <v>0</v>
      </c>
      <c r="DK8" s="21"/>
      <c r="DL8" s="21"/>
      <c r="DM8" s="69">
        <v>0</v>
      </c>
      <c r="DN8" s="21"/>
      <c r="DO8" s="21"/>
      <c r="DP8" s="21"/>
      <c r="DQ8" s="21"/>
      <c r="DR8" s="21"/>
      <c r="DS8" s="21"/>
      <c r="DT8" s="21"/>
      <c r="DU8" s="21"/>
      <c r="DV8" s="21"/>
      <c r="DW8" s="69">
        <v>0</v>
      </c>
      <c r="DX8" s="21"/>
      <c r="DY8" s="21"/>
      <c r="DZ8" s="21"/>
      <c r="EA8" s="21"/>
      <c r="EB8" s="21"/>
      <c r="EC8" s="21"/>
      <c r="ED8" s="21"/>
      <c r="EE8" s="21"/>
      <c r="EF8" s="21"/>
      <c r="EG8" s="69">
        <v>0</v>
      </c>
      <c r="EH8" s="21"/>
      <c r="EI8" s="21"/>
      <c r="EJ8" s="21"/>
      <c r="EK8" s="21"/>
      <c r="EL8" s="69">
        <v>0</v>
      </c>
      <c r="EM8" s="21"/>
      <c r="EN8" s="69">
        <v>0</v>
      </c>
      <c r="EO8" s="21"/>
      <c r="EP8" s="69">
        <v>0</v>
      </c>
      <c r="EQ8" s="69">
        <v>0</v>
      </c>
      <c r="ER8" s="21"/>
      <c r="ES8" s="21"/>
      <c r="ET8" s="69">
        <v>0</v>
      </c>
      <c r="EU8" s="21"/>
      <c r="EV8" s="21"/>
      <c r="EW8" s="21"/>
      <c r="EX8" s="21"/>
      <c r="EY8" s="21"/>
      <c r="EZ8" s="21"/>
      <c r="FA8" s="69">
        <v>0</v>
      </c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>
        <v>4.7679472509161601E-3</v>
      </c>
      <c r="GE8" s="21">
        <v>1.5962036726824304E-2</v>
      </c>
      <c r="GF8" s="21">
        <v>5.191833109574771E-3</v>
      </c>
      <c r="GG8" s="21">
        <v>6.6323534710750467E-3</v>
      </c>
      <c r="GH8" s="21">
        <v>2.4232899425142671E-3</v>
      </c>
      <c r="GI8" s="21">
        <v>8.1359392035574955E-4</v>
      </c>
      <c r="GJ8" s="21">
        <v>6.7037700591762999E-4</v>
      </c>
      <c r="GK8" s="21"/>
      <c r="GL8" s="21">
        <v>3.6356509316389589E-3</v>
      </c>
      <c r="GM8" s="21">
        <v>7.6222436465328662E-3</v>
      </c>
      <c r="GN8" s="21">
        <v>2.389387626951536E-3</v>
      </c>
      <c r="GO8" s="21">
        <v>1.9717889743816667E-4</v>
      </c>
      <c r="GP8" s="21"/>
      <c r="GQ8" s="21">
        <v>1.0246046117758521E-4</v>
      </c>
      <c r="GR8" s="21">
        <v>3.9577415871458097E-4</v>
      </c>
      <c r="GS8" s="21"/>
      <c r="GT8" s="21"/>
      <c r="GU8" s="21"/>
      <c r="GV8" s="21"/>
      <c r="GW8" s="21"/>
      <c r="GX8" s="21">
        <v>0</v>
      </c>
      <c r="GY8" s="21">
        <v>0</v>
      </c>
      <c r="GZ8" s="21"/>
      <c r="HA8" s="21"/>
      <c r="HB8" s="21">
        <f t="shared" ref="HB8:HB71" si="0">SUM(B8:HA8)</f>
        <v>45.253234392959961</v>
      </c>
    </row>
    <row r="9" spans="1:210" x14ac:dyDescent="0.75">
      <c r="A9" s="67" t="s">
        <v>285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69">
        <v>0</v>
      </c>
      <c r="AD9" s="21"/>
      <c r="AE9" s="21"/>
      <c r="AF9" s="69">
        <v>0</v>
      </c>
      <c r="AG9" s="21"/>
      <c r="AH9" s="21"/>
      <c r="AI9" s="69">
        <v>0</v>
      </c>
      <c r="AJ9" s="21"/>
      <c r="AK9" s="21"/>
      <c r="AL9" s="21"/>
      <c r="AM9" s="21"/>
      <c r="AN9" s="21"/>
      <c r="AO9" s="21"/>
      <c r="AP9" s="21"/>
      <c r="AQ9" s="21"/>
      <c r="AR9" s="69">
        <v>0</v>
      </c>
      <c r="AS9" s="21"/>
      <c r="AT9" s="21"/>
      <c r="AU9" s="21"/>
      <c r="AV9" s="21"/>
      <c r="AW9" s="21"/>
      <c r="AX9" s="21"/>
      <c r="AY9" s="21"/>
      <c r="AZ9" s="21"/>
      <c r="BA9" s="21"/>
      <c r="BB9" s="69">
        <v>0</v>
      </c>
      <c r="BC9" s="21"/>
      <c r="BD9" s="21"/>
      <c r="BE9" s="21"/>
      <c r="BF9" s="21"/>
      <c r="BG9" s="69">
        <v>0</v>
      </c>
      <c r="BH9" s="21"/>
      <c r="BI9" s="69">
        <v>0</v>
      </c>
      <c r="BJ9" s="21"/>
      <c r="BK9" s="69">
        <v>0</v>
      </c>
      <c r="BL9" s="69">
        <v>0</v>
      </c>
      <c r="BM9" s="21"/>
      <c r="BN9" s="21"/>
      <c r="BO9" s="69">
        <v>0</v>
      </c>
      <c r="BP9" s="21"/>
      <c r="BQ9" s="21"/>
      <c r="BR9" s="21"/>
      <c r="BS9" s="21"/>
      <c r="BT9" s="21"/>
      <c r="BU9" s="21"/>
      <c r="BV9" s="69">
        <v>0</v>
      </c>
      <c r="BW9" s="21"/>
      <c r="BX9" s="21"/>
      <c r="BY9" s="21"/>
      <c r="BZ9" s="21"/>
      <c r="CA9" s="21"/>
      <c r="CB9" s="21"/>
      <c r="CC9" s="21"/>
      <c r="CD9" s="21"/>
      <c r="CE9" s="21"/>
      <c r="CF9" s="21">
        <v>84.080549968205531</v>
      </c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69">
        <v>0</v>
      </c>
      <c r="DH9" s="21"/>
      <c r="DI9" s="21"/>
      <c r="DJ9" s="69">
        <v>0</v>
      </c>
      <c r="DK9" s="21"/>
      <c r="DL9" s="21"/>
      <c r="DM9" s="69">
        <v>0</v>
      </c>
      <c r="DN9" s="21"/>
      <c r="DO9" s="21"/>
      <c r="DP9" s="21"/>
      <c r="DQ9" s="21"/>
      <c r="DR9" s="21"/>
      <c r="DS9" s="21"/>
      <c r="DT9" s="21"/>
      <c r="DU9" s="21"/>
      <c r="DV9" s="21"/>
      <c r="DW9" s="69">
        <v>0</v>
      </c>
      <c r="DX9" s="21"/>
      <c r="DY9" s="21"/>
      <c r="DZ9" s="21"/>
      <c r="EA9" s="21"/>
      <c r="EB9" s="21"/>
      <c r="EC9" s="21"/>
      <c r="ED9" s="21"/>
      <c r="EE9" s="21"/>
      <c r="EF9" s="21"/>
      <c r="EG9" s="69">
        <v>0</v>
      </c>
      <c r="EH9" s="21"/>
      <c r="EI9" s="21"/>
      <c r="EJ9" s="21"/>
      <c r="EK9" s="21"/>
      <c r="EL9" s="69">
        <v>0</v>
      </c>
      <c r="EM9" s="21"/>
      <c r="EN9" s="69">
        <v>0</v>
      </c>
      <c r="EO9" s="21"/>
      <c r="EP9" s="69">
        <v>0</v>
      </c>
      <c r="EQ9" s="69">
        <v>0</v>
      </c>
      <c r="ER9" s="21"/>
      <c r="ES9" s="21"/>
      <c r="ET9" s="69">
        <v>0</v>
      </c>
      <c r="EU9" s="21"/>
      <c r="EV9" s="21"/>
      <c r="EW9" s="21"/>
      <c r="EX9" s="21"/>
      <c r="EY9" s="21"/>
      <c r="EZ9" s="21"/>
      <c r="FA9" s="69">
        <v>0</v>
      </c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>
        <v>1.6270919050745496</v>
      </c>
      <c r="GE9" s="21">
        <v>3.0885065173603286</v>
      </c>
      <c r="GF9" s="21">
        <v>3.6447650080951504</v>
      </c>
      <c r="GG9" s="21">
        <v>4.2413149273227706</v>
      </c>
      <c r="GH9" s="21">
        <v>2.4951482357659183</v>
      </c>
      <c r="GI9" s="21">
        <v>5.209569814448007E-2</v>
      </c>
      <c r="GJ9" s="21">
        <v>7.2606032511482446E-3</v>
      </c>
      <c r="GK9" s="21">
        <v>4.4641729055733152E-2</v>
      </c>
      <c r="GL9" s="21">
        <v>2.2991045147212449E-2</v>
      </c>
      <c r="GM9" s="21">
        <v>8.2198182317267388E-2</v>
      </c>
      <c r="GN9" s="21">
        <v>3.5635233981442025E-4</v>
      </c>
      <c r="GO9" s="21">
        <v>7.8276716077865208E-4</v>
      </c>
      <c r="GP9" s="21">
        <v>6.1212102645638707E-2</v>
      </c>
      <c r="GQ9" s="21">
        <v>5.050824120744183E-2</v>
      </c>
      <c r="GR9" s="21">
        <v>4.8168648883919453E-2</v>
      </c>
      <c r="GS9" s="21"/>
      <c r="GT9" s="21"/>
      <c r="GU9" s="21"/>
      <c r="GV9" s="21"/>
      <c r="GW9" s="21"/>
      <c r="GX9" s="21">
        <v>0</v>
      </c>
      <c r="GY9" s="21">
        <v>0</v>
      </c>
      <c r="GZ9" s="21"/>
      <c r="HA9" s="21"/>
      <c r="HB9" s="21">
        <f t="shared" si="0"/>
        <v>99.547591931977706</v>
      </c>
    </row>
    <row r="10" spans="1:210" x14ac:dyDescent="0.75">
      <c r="A10" s="67" t="s">
        <v>464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69">
        <v>0</v>
      </c>
      <c r="AD10" s="21"/>
      <c r="AE10" s="21"/>
      <c r="AF10" s="69">
        <v>0</v>
      </c>
      <c r="AG10" s="21"/>
      <c r="AH10" s="21"/>
      <c r="AI10" s="69">
        <v>0</v>
      </c>
      <c r="AJ10" s="21"/>
      <c r="AK10" s="21"/>
      <c r="AL10" s="21"/>
      <c r="AM10" s="21"/>
      <c r="AN10" s="21"/>
      <c r="AO10" s="21"/>
      <c r="AP10" s="21"/>
      <c r="AQ10" s="21"/>
      <c r="AR10" s="69">
        <v>0</v>
      </c>
      <c r="AS10" s="21"/>
      <c r="AT10" s="21"/>
      <c r="AU10" s="21"/>
      <c r="AV10" s="21"/>
      <c r="AW10" s="21"/>
      <c r="AX10" s="21"/>
      <c r="AY10" s="21"/>
      <c r="AZ10" s="21"/>
      <c r="BA10" s="21"/>
      <c r="BB10" s="69">
        <v>0</v>
      </c>
      <c r="BC10" s="21"/>
      <c r="BD10" s="21"/>
      <c r="BE10" s="21"/>
      <c r="BF10" s="21"/>
      <c r="BG10" s="69">
        <v>0</v>
      </c>
      <c r="BH10" s="21"/>
      <c r="BI10" s="69">
        <v>0</v>
      </c>
      <c r="BJ10" s="21"/>
      <c r="BK10" s="69">
        <v>0</v>
      </c>
      <c r="BL10" s="69">
        <v>0</v>
      </c>
      <c r="BM10" s="21"/>
      <c r="BN10" s="21"/>
      <c r="BO10" s="69">
        <v>0</v>
      </c>
      <c r="BP10" s="21"/>
      <c r="BQ10" s="21"/>
      <c r="BR10" s="21"/>
      <c r="BS10" s="21"/>
      <c r="BT10" s="21"/>
      <c r="BU10" s="21"/>
      <c r="BV10" s="69">
        <v>0</v>
      </c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>
        <v>3.2164948876955317</v>
      </c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69">
        <v>0</v>
      </c>
      <c r="DH10" s="21"/>
      <c r="DI10" s="21"/>
      <c r="DJ10" s="69">
        <v>0</v>
      </c>
      <c r="DK10" s="21"/>
      <c r="DL10" s="21"/>
      <c r="DM10" s="69">
        <v>0</v>
      </c>
      <c r="DN10" s="21"/>
      <c r="DO10" s="21"/>
      <c r="DP10" s="21"/>
      <c r="DQ10" s="21"/>
      <c r="DR10" s="21"/>
      <c r="DS10" s="21"/>
      <c r="DT10" s="21"/>
      <c r="DU10" s="21"/>
      <c r="DV10" s="21"/>
      <c r="DW10" s="69">
        <v>0</v>
      </c>
      <c r="DX10" s="21"/>
      <c r="DY10" s="21"/>
      <c r="DZ10" s="21"/>
      <c r="EA10" s="21"/>
      <c r="EB10" s="21"/>
      <c r="EC10" s="21"/>
      <c r="ED10" s="21"/>
      <c r="EE10" s="21"/>
      <c r="EF10" s="21"/>
      <c r="EG10" s="69">
        <v>0</v>
      </c>
      <c r="EH10" s="21"/>
      <c r="EI10" s="21"/>
      <c r="EJ10" s="21"/>
      <c r="EK10" s="21"/>
      <c r="EL10" s="69">
        <v>0</v>
      </c>
      <c r="EM10" s="21"/>
      <c r="EN10" s="69">
        <v>0</v>
      </c>
      <c r="EO10" s="21"/>
      <c r="EP10" s="69">
        <v>0</v>
      </c>
      <c r="EQ10" s="69">
        <v>0</v>
      </c>
      <c r="ER10" s="21"/>
      <c r="ES10" s="21"/>
      <c r="ET10" s="69">
        <v>0</v>
      </c>
      <c r="EU10" s="21"/>
      <c r="EV10" s="21"/>
      <c r="EW10" s="21"/>
      <c r="EX10" s="21"/>
      <c r="EY10" s="21"/>
      <c r="EZ10" s="21"/>
      <c r="FA10" s="69">
        <v>0</v>
      </c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>
        <v>1.0952673692699845E-2</v>
      </c>
      <c r="GE10" s="21">
        <v>8.8653909950431268E-3</v>
      </c>
      <c r="GF10" s="21">
        <v>1.0207375868519645E-2</v>
      </c>
      <c r="GG10" s="21">
        <v>7.4899638863661459E-3</v>
      </c>
      <c r="GH10" s="21">
        <v>2.1402296762857427E-3</v>
      </c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>
        <v>0</v>
      </c>
      <c r="GY10" s="21">
        <v>0</v>
      </c>
      <c r="GZ10" s="21"/>
      <c r="HA10" s="21"/>
      <c r="HB10" s="21">
        <f t="shared" si="0"/>
        <v>3.2561505218144466</v>
      </c>
    </row>
    <row r="11" spans="1:210" x14ac:dyDescent="0.75">
      <c r="A11" s="67" t="s">
        <v>697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69">
        <v>0</v>
      </c>
      <c r="AD11" s="21"/>
      <c r="AE11" s="21"/>
      <c r="AF11" s="69">
        <v>0</v>
      </c>
      <c r="AG11" s="21"/>
      <c r="AH11" s="21"/>
      <c r="AI11" s="69">
        <v>0</v>
      </c>
      <c r="AJ11" s="21"/>
      <c r="AK11" s="21"/>
      <c r="AL11" s="21"/>
      <c r="AM11" s="21"/>
      <c r="AN11" s="21"/>
      <c r="AO11" s="21"/>
      <c r="AP11" s="21"/>
      <c r="AQ11" s="21"/>
      <c r="AR11" s="69">
        <v>0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69">
        <v>0</v>
      </c>
      <c r="BC11" s="21"/>
      <c r="BD11" s="21"/>
      <c r="BE11" s="21"/>
      <c r="BF11" s="21"/>
      <c r="BG11" s="69">
        <v>0</v>
      </c>
      <c r="BH11" s="21"/>
      <c r="BI11" s="69">
        <v>0</v>
      </c>
      <c r="BJ11" s="21"/>
      <c r="BK11" s="69">
        <v>0</v>
      </c>
      <c r="BL11" s="69">
        <v>0</v>
      </c>
      <c r="BM11" s="21"/>
      <c r="BN11" s="21"/>
      <c r="BO11" s="69">
        <v>0</v>
      </c>
      <c r="BP11" s="21"/>
      <c r="BQ11" s="21"/>
      <c r="BR11" s="21"/>
      <c r="BS11" s="21"/>
      <c r="BT11" s="21"/>
      <c r="BU11" s="21"/>
      <c r="BV11" s="69">
        <v>0</v>
      </c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>
        <v>55.758501119764198</v>
      </c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69">
        <v>0</v>
      </c>
      <c r="DH11" s="21"/>
      <c r="DI11" s="21"/>
      <c r="DJ11" s="69">
        <v>0</v>
      </c>
      <c r="DK11" s="21"/>
      <c r="DL11" s="21"/>
      <c r="DM11" s="69">
        <v>0</v>
      </c>
      <c r="DN11" s="21"/>
      <c r="DO11" s="21"/>
      <c r="DP11" s="21"/>
      <c r="DQ11" s="21"/>
      <c r="DR11" s="21"/>
      <c r="DS11" s="21"/>
      <c r="DT11" s="21"/>
      <c r="DU11" s="21"/>
      <c r="DV11" s="21"/>
      <c r="DW11" s="69">
        <v>0</v>
      </c>
      <c r="DX11" s="21"/>
      <c r="DY11" s="21"/>
      <c r="DZ11" s="21"/>
      <c r="EA11" s="21"/>
      <c r="EB11" s="21"/>
      <c r="EC11" s="21"/>
      <c r="ED11" s="21"/>
      <c r="EE11" s="21"/>
      <c r="EF11" s="21"/>
      <c r="EG11" s="69">
        <v>0</v>
      </c>
      <c r="EH11" s="21"/>
      <c r="EI11" s="21"/>
      <c r="EJ11" s="21"/>
      <c r="EK11" s="21"/>
      <c r="EL11" s="69">
        <v>0</v>
      </c>
      <c r="EM11" s="21"/>
      <c r="EN11" s="69">
        <v>0</v>
      </c>
      <c r="EO11" s="21"/>
      <c r="EP11" s="69">
        <v>0</v>
      </c>
      <c r="EQ11" s="69">
        <v>0</v>
      </c>
      <c r="ER11" s="21"/>
      <c r="ES11" s="21"/>
      <c r="ET11" s="69">
        <v>0</v>
      </c>
      <c r="EU11" s="21"/>
      <c r="EV11" s="21"/>
      <c r="EW11" s="21"/>
      <c r="EX11" s="21"/>
      <c r="EY11" s="21"/>
      <c r="EZ11" s="21"/>
      <c r="FA11" s="69">
        <v>0</v>
      </c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>
        <v>0.2103996169019105</v>
      </c>
      <c r="GE11" s="21">
        <v>0.39037107196470405</v>
      </c>
      <c r="GF11" s="21">
        <v>0.81798850147588831</v>
      </c>
      <c r="GG11" s="21">
        <v>1.1476267585443507</v>
      </c>
      <c r="GH11" s="21">
        <v>0.93070967253034753</v>
      </c>
      <c r="GI11" s="21"/>
      <c r="GJ11" s="21"/>
      <c r="GK11" s="21"/>
      <c r="GL11" s="21">
        <v>2.4177040476827394E-2</v>
      </c>
      <c r="GM11" s="21">
        <v>4.6883304845406724E-2</v>
      </c>
      <c r="GN11" s="21"/>
      <c r="GO11" s="21"/>
      <c r="GP11" s="21">
        <v>0.14160727272336843</v>
      </c>
      <c r="GQ11" s="21"/>
      <c r="GR11" s="21"/>
      <c r="GS11" s="21"/>
      <c r="GT11" s="21"/>
      <c r="GU11" s="21"/>
      <c r="GV11" s="21"/>
      <c r="GW11" s="21"/>
      <c r="GX11" s="21">
        <v>0</v>
      </c>
      <c r="GY11" s="21">
        <v>0</v>
      </c>
      <c r="GZ11" s="21"/>
      <c r="HA11" s="21"/>
      <c r="HB11" s="21">
        <f t="shared" si="0"/>
        <v>59.468264359227</v>
      </c>
    </row>
    <row r="12" spans="1:210" x14ac:dyDescent="0.75">
      <c r="A12" s="67" t="s">
        <v>353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69">
        <v>0</v>
      </c>
      <c r="AD12" s="21"/>
      <c r="AE12" s="21"/>
      <c r="AF12" s="69">
        <v>0</v>
      </c>
      <c r="AG12" s="21"/>
      <c r="AH12" s="21"/>
      <c r="AI12" s="69">
        <v>0</v>
      </c>
      <c r="AJ12" s="21"/>
      <c r="AK12" s="21"/>
      <c r="AL12" s="21"/>
      <c r="AM12" s="21"/>
      <c r="AN12" s="21"/>
      <c r="AO12" s="21"/>
      <c r="AP12" s="21"/>
      <c r="AQ12" s="21"/>
      <c r="AR12" s="69">
        <v>0</v>
      </c>
      <c r="AS12" s="21"/>
      <c r="AT12" s="21"/>
      <c r="AU12" s="21"/>
      <c r="AV12" s="21"/>
      <c r="AW12" s="21"/>
      <c r="AX12" s="21"/>
      <c r="AY12" s="21"/>
      <c r="AZ12" s="21"/>
      <c r="BA12" s="21"/>
      <c r="BB12" s="69">
        <v>0</v>
      </c>
      <c r="BC12" s="21"/>
      <c r="BD12" s="21"/>
      <c r="BE12" s="21"/>
      <c r="BF12" s="21"/>
      <c r="BG12" s="69">
        <v>0</v>
      </c>
      <c r="BH12" s="21"/>
      <c r="BI12" s="69">
        <v>0</v>
      </c>
      <c r="BJ12" s="21"/>
      <c r="BK12" s="69">
        <v>0</v>
      </c>
      <c r="BL12" s="69">
        <v>0</v>
      </c>
      <c r="BM12" s="21"/>
      <c r="BN12" s="21"/>
      <c r="BO12" s="69">
        <v>0</v>
      </c>
      <c r="BP12" s="21"/>
      <c r="BQ12" s="21"/>
      <c r="BR12" s="21"/>
      <c r="BS12" s="21"/>
      <c r="BT12" s="21"/>
      <c r="BU12" s="21"/>
      <c r="BV12" s="69">
        <v>0</v>
      </c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>
        <v>0.29023539639779394</v>
      </c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69">
        <v>0</v>
      </c>
      <c r="DH12" s="21"/>
      <c r="DI12" s="21"/>
      <c r="DJ12" s="69">
        <v>0</v>
      </c>
      <c r="DK12" s="21"/>
      <c r="DL12" s="21"/>
      <c r="DM12" s="69">
        <v>0</v>
      </c>
      <c r="DN12" s="21"/>
      <c r="DO12" s="21"/>
      <c r="DP12" s="21"/>
      <c r="DQ12" s="21"/>
      <c r="DR12" s="21"/>
      <c r="DS12" s="21"/>
      <c r="DT12" s="21"/>
      <c r="DU12" s="21"/>
      <c r="DV12" s="21"/>
      <c r="DW12" s="69">
        <v>0</v>
      </c>
      <c r="DX12" s="21"/>
      <c r="DY12" s="21"/>
      <c r="DZ12" s="21"/>
      <c r="EA12" s="21"/>
      <c r="EB12" s="21"/>
      <c r="EC12" s="21"/>
      <c r="ED12" s="21"/>
      <c r="EE12" s="21"/>
      <c r="EF12" s="21"/>
      <c r="EG12" s="69">
        <v>0</v>
      </c>
      <c r="EH12" s="21"/>
      <c r="EI12" s="21"/>
      <c r="EJ12" s="21"/>
      <c r="EK12" s="21"/>
      <c r="EL12" s="69">
        <v>0</v>
      </c>
      <c r="EM12" s="21"/>
      <c r="EN12" s="69">
        <v>0</v>
      </c>
      <c r="EO12" s="21"/>
      <c r="EP12" s="69">
        <v>0</v>
      </c>
      <c r="EQ12" s="69">
        <v>0</v>
      </c>
      <c r="ER12" s="21"/>
      <c r="ES12" s="21"/>
      <c r="ET12" s="69">
        <v>0</v>
      </c>
      <c r="EU12" s="21"/>
      <c r="EV12" s="21"/>
      <c r="EW12" s="21"/>
      <c r="EX12" s="21"/>
      <c r="EY12" s="21"/>
      <c r="EZ12" s="21"/>
      <c r="FA12" s="69">
        <v>0</v>
      </c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>
        <v>0</v>
      </c>
      <c r="GY12" s="21">
        <v>0</v>
      </c>
      <c r="GZ12" s="21"/>
      <c r="HA12" s="21"/>
      <c r="HB12" s="21">
        <f t="shared" si="0"/>
        <v>0.29023539639779394</v>
      </c>
    </row>
    <row r="13" spans="1:210" x14ac:dyDescent="0.75">
      <c r="A13" s="67" t="s">
        <v>560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69">
        <v>0</v>
      </c>
      <c r="AD13" s="21"/>
      <c r="AE13" s="21"/>
      <c r="AF13" s="69">
        <v>0</v>
      </c>
      <c r="AG13" s="21"/>
      <c r="AH13" s="21"/>
      <c r="AI13" s="69">
        <v>0</v>
      </c>
      <c r="AJ13" s="21"/>
      <c r="AK13" s="21"/>
      <c r="AL13" s="21"/>
      <c r="AM13" s="21"/>
      <c r="AN13" s="21"/>
      <c r="AO13" s="21"/>
      <c r="AP13" s="21"/>
      <c r="AQ13" s="21"/>
      <c r="AR13" s="69">
        <v>0</v>
      </c>
      <c r="AS13" s="21"/>
      <c r="AT13" s="21"/>
      <c r="AU13" s="21"/>
      <c r="AV13" s="21"/>
      <c r="AW13" s="21"/>
      <c r="AX13" s="21"/>
      <c r="AY13" s="21"/>
      <c r="AZ13" s="21"/>
      <c r="BA13" s="21"/>
      <c r="BB13" s="69">
        <v>0</v>
      </c>
      <c r="BC13" s="21"/>
      <c r="BD13" s="21"/>
      <c r="BE13" s="21"/>
      <c r="BF13" s="21"/>
      <c r="BG13" s="69">
        <v>0</v>
      </c>
      <c r="BH13" s="21"/>
      <c r="BI13" s="69">
        <v>0</v>
      </c>
      <c r="BJ13" s="21"/>
      <c r="BK13" s="69">
        <v>0</v>
      </c>
      <c r="BL13" s="69">
        <v>0</v>
      </c>
      <c r="BM13" s="21"/>
      <c r="BN13" s="21"/>
      <c r="BO13" s="69">
        <v>0</v>
      </c>
      <c r="BP13" s="21"/>
      <c r="BQ13" s="21"/>
      <c r="BR13" s="21"/>
      <c r="BS13" s="21"/>
      <c r="BT13" s="21"/>
      <c r="BU13" s="21"/>
      <c r="BV13" s="69">
        <v>0</v>
      </c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>
        <v>37.433715005881908</v>
      </c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69">
        <v>0</v>
      </c>
      <c r="DH13" s="21"/>
      <c r="DI13" s="21"/>
      <c r="DJ13" s="69">
        <v>0</v>
      </c>
      <c r="DK13" s="21"/>
      <c r="DL13" s="21"/>
      <c r="DM13" s="69">
        <v>0</v>
      </c>
      <c r="DN13" s="21"/>
      <c r="DO13" s="21"/>
      <c r="DP13" s="21"/>
      <c r="DQ13" s="21"/>
      <c r="DR13" s="21"/>
      <c r="DS13" s="21"/>
      <c r="DT13" s="21"/>
      <c r="DU13" s="21"/>
      <c r="DV13" s="21"/>
      <c r="DW13" s="69">
        <v>0</v>
      </c>
      <c r="DX13" s="21"/>
      <c r="DY13" s="21"/>
      <c r="DZ13" s="21"/>
      <c r="EA13" s="21"/>
      <c r="EB13" s="21"/>
      <c r="EC13" s="21"/>
      <c r="ED13" s="21"/>
      <c r="EE13" s="21"/>
      <c r="EF13" s="21"/>
      <c r="EG13" s="69">
        <v>0</v>
      </c>
      <c r="EH13" s="21"/>
      <c r="EI13" s="21"/>
      <c r="EJ13" s="21"/>
      <c r="EK13" s="21"/>
      <c r="EL13" s="69">
        <v>0</v>
      </c>
      <c r="EM13" s="21"/>
      <c r="EN13" s="69">
        <v>0</v>
      </c>
      <c r="EO13" s="21"/>
      <c r="EP13" s="69">
        <v>0</v>
      </c>
      <c r="EQ13" s="69">
        <v>0</v>
      </c>
      <c r="ER13" s="21"/>
      <c r="ES13" s="21"/>
      <c r="ET13" s="69">
        <v>0</v>
      </c>
      <c r="EU13" s="21"/>
      <c r="EV13" s="21"/>
      <c r="EW13" s="21"/>
      <c r="EX13" s="21"/>
      <c r="EY13" s="21"/>
      <c r="EZ13" s="21"/>
      <c r="FA13" s="69">
        <v>0</v>
      </c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>
        <v>8.5254624859513122</v>
      </c>
      <c r="GE13" s="21">
        <v>19.201213130990055</v>
      </c>
      <c r="GF13" s="21">
        <v>29.795230053819637</v>
      </c>
      <c r="GG13" s="21">
        <v>37.964301969962392</v>
      </c>
      <c r="GH13" s="21">
        <v>34.266692983153192</v>
      </c>
      <c r="GI13" s="21">
        <v>0.18014939350660822</v>
      </c>
      <c r="GJ13" s="21">
        <v>0.38233179393146088</v>
      </c>
      <c r="GK13" s="21">
        <v>0.52406670420020685</v>
      </c>
      <c r="GL13" s="21">
        <v>0.41925324743541798</v>
      </c>
      <c r="GM13" s="21">
        <v>0.99136356698735217</v>
      </c>
      <c r="GN13" s="21">
        <v>0.10426636140187359</v>
      </c>
      <c r="GO13" s="21">
        <v>1.3095264450261445E-2</v>
      </c>
      <c r="GP13" s="21">
        <v>0.42266447733529205</v>
      </c>
      <c r="GQ13" s="21">
        <v>0.12970435364175439</v>
      </c>
      <c r="GR13" s="21">
        <v>0.25738430188496142</v>
      </c>
      <c r="GS13" s="21"/>
      <c r="GT13" s="21"/>
      <c r="GU13" s="21"/>
      <c r="GV13" s="21"/>
      <c r="GW13" s="21"/>
      <c r="GX13" s="21">
        <v>0</v>
      </c>
      <c r="GY13" s="21">
        <v>0</v>
      </c>
      <c r="GZ13" s="21"/>
      <c r="HA13" s="21"/>
      <c r="HB13" s="21">
        <f t="shared" si="0"/>
        <v>170.6108950945337</v>
      </c>
    </row>
    <row r="14" spans="1:210" x14ac:dyDescent="0.75">
      <c r="A14" s="67" t="s">
        <v>465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69">
        <v>0</v>
      </c>
      <c r="AD14" s="21"/>
      <c r="AE14" s="21"/>
      <c r="AF14" s="69">
        <v>0</v>
      </c>
      <c r="AG14" s="21"/>
      <c r="AH14" s="21"/>
      <c r="AI14" s="69">
        <v>0</v>
      </c>
      <c r="AJ14" s="21"/>
      <c r="AK14" s="21"/>
      <c r="AL14" s="21"/>
      <c r="AM14" s="21"/>
      <c r="AN14" s="21"/>
      <c r="AO14" s="21"/>
      <c r="AP14" s="21"/>
      <c r="AQ14" s="21"/>
      <c r="AR14" s="69">
        <v>0</v>
      </c>
      <c r="AS14" s="21"/>
      <c r="AT14" s="21"/>
      <c r="AU14" s="21"/>
      <c r="AV14" s="21"/>
      <c r="AW14" s="21"/>
      <c r="AX14" s="21"/>
      <c r="AY14" s="21"/>
      <c r="AZ14" s="21"/>
      <c r="BA14" s="21"/>
      <c r="BB14" s="69">
        <v>0</v>
      </c>
      <c r="BC14" s="21"/>
      <c r="BD14" s="21"/>
      <c r="BE14" s="21"/>
      <c r="BF14" s="21"/>
      <c r="BG14" s="69">
        <v>0</v>
      </c>
      <c r="BH14" s="21"/>
      <c r="BI14" s="69">
        <v>0</v>
      </c>
      <c r="BJ14" s="21"/>
      <c r="BK14" s="69">
        <v>0</v>
      </c>
      <c r="BL14" s="69">
        <v>0</v>
      </c>
      <c r="BM14" s="21"/>
      <c r="BN14" s="21"/>
      <c r="BO14" s="69">
        <v>0</v>
      </c>
      <c r="BP14" s="21"/>
      <c r="BQ14" s="21"/>
      <c r="BR14" s="21"/>
      <c r="BS14" s="21"/>
      <c r="BT14" s="21"/>
      <c r="BU14" s="21"/>
      <c r="BV14" s="69">
        <v>0</v>
      </c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>
        <v>9.7838796516099364</v>
      </c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69">
        <v>0</v>
      </c>
      <c r="DH14" s="21"/>
      <c r="DI14" s="21"/>
      <c r="DJ14" s="69">
        <v>0</v>
      </c>
      <c r="DK14" s="21"/>
      <c r="DL14" s="21"/>
      <c r="DM14" s="69">
        <v>0</v>
      </c>
      <c r="DN14" s="21"/>
      <c r="DO14" s="21"/>
      <c r="DP14" s="21"/>
      <c r="DQ14" s="21"/>
      <c r="DR14" s="21"/>
      <c r="DS14" s="21"/>
      <c r="DT14" s="21"/>
      <c r="DU14" s="21"/>
      <c r="DV14" s="21"/>
      <c r="DW14" s="69">
        <v>0</v>
      </c>
      <c r="DX14" s="21"/>
      <c r="DY14" s="21"/>
      <c r="DZ14" s="21"/>
      <c r="EA14" s="21"/>
      <c r="EB14" s="21"/>
      <c r="EC14" s="21"/>
      <c r="ED14" s="21"/>
      <c r="EE14" s="21"/>
      <c r="EF14" s="21"/>
      <c r="EG14" s="69">
        <v>0</v>
      </c>
      <c r="EH14" s="21"/>
      <c r="EI14" s="21"/>
      <c r="EJ14" s="21"/>
      <c r="EK14" s="21"/>
      <c r="EL14" s="69">
        <v>0</v>
      </c>
      <c r="EM14" s="21"/>
      <c r="EN14" s="69">
        <v>0</v>
      </c>
      <c r="EO14" s="21"/>
      <c r="EP14" s="69">
        <v>0</v>
      </c>
      <c r="EQ14" s="69">
        <v>0</v>
      </c>
      <c r="ER14" s="21"/>
      <c r="ES14" s="21"/>
      <c r="ET14" s="69">
        <v>0</v>
      </c>
      <c r="EU14" s="21"/>
      <c r="EV14" s="21"/>
      <c r="EW14" s="21"/>
      <c r="EX14" s="21"/>
      <c r="EY14" s="21"/>
      <c r="EZ14" s="21"/>
      <c r="FA14" s="69">
        <v>0</v>
      </c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>
        <v>13.853138987419781</v>
      </c>
      <c r="GE14" s="21">
        <v>29.197973345440168</v>
      </c>
      <c r="GF14" s="21">
        <v>35.840552988692423</v>
      </c>
      <c r="GG14" s="21">
        <v>37.074413501155057</v>
      </c>
      <c r="GH14" s="21">
        <v>20.192480154148047</v>
      </c>
      <c r="GI14" s="21">
        <v>0.29399256222990622</v>
      </c>
      <c r="GJ14" s="21">
        <v>0.60454797869921573</v>
      </c>
      <c r="GK14" s="21">
        <v>0.39245116861851226</v>
      </c>
      <c r="GL14" s="21">
        <v>0.59164515962720055</v>
      </c>
      <c r="GM14" s="21">
        <v>0.88028399337082686</v>
      </c>
      <c r="GN14" s="21">
        <v>0.16128131320401085</v>
      </c>
      <c r="GO14" s="21">
        <v>0.42808957901199124</v>
      </c>
      <c r="GP14" s="21">
        <v>0.4997539037042204</v>
      </c>
      <c r="GQ14" s="21">
        <v>0.96374769045671016</v>
      </c>
      <c r="GR14" s="21">
        <v>1.0220653307671796</v>
      </c>
      <c r="GS14" s="21"/>
      <c r="GT14" s="21"/>
      <c r="GU14" s="21"/>
      <c r="GV14" s="21"/>
      <c r="GW14" s="21"/>
      <c r="GX14" s="21">
        <v>0</v>
      </c>
      <c r="GY14" s="21">
        <v>0</v>
      </c>
      <c r="GZ14" s="21"/>
      <c r="HA14" s="21"/>
      <c r="HB14" s="21">
        <f t="shared" si="0"/>
        <v>151.78029730815518</v>
      </c>
    </row>
    <row r="15" spans="1:210" x14ac:dyDescent="0.75">
      <c r="A15" s="67" t="s">
        <v>557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69">
        <v>0</v>
      </c>
      <c r="AD15" s="21"/>
      <c r="AE15" s="21"/>
      <c r="AF15" s="69">
        <v>0</v>
      </c>
      <c r="AG15" s="21"/>
      <c r="AH15" s="21"/>
      <c r="AI15" s="69">
        <v>0</v>
      </c>
      <c r="AJ15" s="21"/>
      <c r="AK15" s="21"/>
      <c r="AL15" s="21"/>
      <c r="AM15" s="21"/>
      <c r="AN15" s="21"/>
      <c r="AO15" s="21"/>
      <c r="AP15" s="21"/>
      <c r="AQ15" s="21"/>
      <c r="AR15" s="69">
        <v>0</v>
      </c>
      <c r="AS15" s="21"/>
      <c r="AT15" s="21"/>
      <c r="AU15" s="21"/>
      <c r="AV15" s="21"/>
      <c r="AW15" s="21"/>
      <c r="AX15" s="21"/>
      <c r="AY15" s="21"/>
      <c r="AZ15" s="21"/>
      <c r="BA15" s="21"/>
      <c r="BB15" s="69">
        <v>0</v>
      </c>
      <c r="BC15" s="21"/>
      <c r="BD15" s="21"/>
      <c r="BE15" s="21"/>
      <c r="BF15" s="21"/>
      <c r="BG15" s="69">
        <v>0</v>
      </c>
      <c r="BH15" s="21"/>
      <c r="BI15" s="69">
        <v>0</v>
      </c>
      <c r="BJ15" s="21"/>
      <c r="BK15" s="69">
        <v>0</v>
      </c>
      <c r="BL15" s="69">
        <v>0</v>
      </c>
      <c r="BM15" s="21"/>
      <c r="BN15" s="21"/>
      <c r="BO15" s="69">
        <v>0</v>
      </c>
      <c r="BP15" s="21"/>
      <c r="BQ15" s="21"/>
      <c r="BR15" s="21"/>
      <c r="BS15" s="21"/>
      <c r="BT15" s="21"/>
      <c r="BU15" s="21"/>
      <c r="BV15" s="69">
        <v>0</v>
      </c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>
        <v>108.84129536518533</v>
      </c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69">
        <v>0</v>
      </c>
      <c r="DH15" s="21"/>
      <c r="DI15" s="21"/>
      <c r="DJ15" s="69">
        <v>0</v>
      </c>
      <c r="DK15" s="21"/>
      <c r="DL15" s="21"/>
      <c r="DM15" s="69">
        <v>0</v>
      </c>
      <c r="DN15" s="21"/>
      <c r="DO15" s="21"/>
      <c r="DP15" s="21"/>
      <c r="DQ15" s="21"/>
      <c r="DR15" s="21"/>
      <c r="DS15" s="21"/>
      <c r="DT15" s="21"/>
      <c r="DU15" s="21"/>
      <c r="DV15" s="21"/>
      <c r="DW15" s="69">
        <v>0</v>
      </c>
      <c r="DX15" s="21"/>
      <c r="DY15" s="21"/>
      <c r="DZ15" s="21"/>
      <c r="EA15" s="21"/>
      <c r="EB15" s="21"/>
      <c r="EC15" s="21"/>
      <c r="ED15" s="21"/>
      <c r="EE15" s="21"/>
      <c r="EF15" s="21"/>
      <c r="EG15" s="69">
        <v>0</v>
      </c>
      <c r="EH15" s="21"/>
      <c r="EI15" s="21"/>
      <c r="EJ15" s="21"/>
      <c r="EK15" s="21"/>
      <c r="EL15" s="69">
        <v>0</v>
      </c>
      <c r="EM15" s="21"/>
      <c r="EN15" s="69">
        <v>0</v>
      </c>
      <c r="EO15" s="21"/>
      <c r="EP15" s="69">
        <v>0</v>
      </c>
      <c r="EQ15" s="69">
        <v>0</v>
      </c>
      <c r="ER15" s="21"/>
      <c r="ES15" s="21"/>
      <c r="ET15" s="69">
        <v>0</v>
      </c>
      <c r="EU15" s="21"/>
      <c r="EV15" s="21"/>
      <c r="EW15" s="21"/>
      <c r="EX15" s="21"/>
      <c r="EY15" s="21"/>
      <c r="EZ15" s="21"/>
      <c r="FA15" s="69">
        <v>0</v>
      </c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>
        <v>1.4873153056206758</v>
      </c>
      <c r="GE15" s="21">
        <v>2.809375018093891</v>
      </c>
      <c r="GF15" s="21">
        <v>3.4741482193141549</v>
      </c>
      <c r="GG15" s="21">
        <v>4.4240308920676803</v>
      </c>
      <c r="GH15" s="21">
        <v>2.4512872825009953</v>
      </c>
      <c r="GI15" s="21">
        <v>1.2136017872003007E-2</v>
      </c>
      <c r="GJ15" s="21">
        <v>3.0754112691639624E-2</v>
      </c>
      <c r="GK15" s="21">
        <v>4.453007482209044E-2</v>
      </c>
      <c r="GL15" s="21">
        <v>8.7704802311750235E-2</v>
      </c>
      <c r="GM15" s="21">
        <v>7.6501970341768227E-2</v>
      </c>
      <c r="GN15" s="21">
        <v>5.0172802944643151E-2</v>
      </c>
      <c r="GO15" s="21">
        <v>5.8462495255492943E-2</v>
      </c>
      <c r="GP15" s="21">
        <v>8.0846697875082932E-2</v>
      </c>
      <c r="GQ15" s="21">
        <v>0.13885985562291597</v>
      </c>
      <c r="GR15" s="21">
        <v>0.19771384422053295</v>
      </c>
      <c r="GS15" s="21"/>
      <c r="GT15" s="21"/>
      <c r="GU15" s="21"/>
      <c r="GV15" s="21"/>
      <c r="GW15" s="21"/>
      <c r="GX15" s="21">
        <v>0</v>
      </c>
      <c r="GY15" s="21">
        <v>0</v>
      </c>
      <c r="GZ15" s="21"/>
      <c r="HA15" s="21"/>
      <c r="HB15" s="21">
        <f t="shared" si="0"/>
        <v>124.26513475674065</v>
      </c>
    </row>
    <row r="16" spans="1:210" x14ac:dyDescent="0.75">
      <c r="A16" s="67" t="s">
        <v>288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69">
        <v>0</v>
      </c>
      <c r="AD16" s="21"/>
      <c r="AE16" s="21"/>
      <c r="AF16" s="69">
        <v>0</v>
      </c>
      <c r="AG16" s="21"/>
      <c r="AH16" s="21"/>
      <c r="AI16" s="69">
        <v>0</v>
      </c>
      <c r="AJ16" s="21"/>
      <c r="AK16" s="21"/>
      <c r="AL16" s="21"/>
      <c r="AM16" s="21"/>
      <c r="AN16" s="21"/>
      <c r="AO16" s="21"/>
      <c r="AP16" s="21"/>
      <c r="AQ16" s="21"/>
      <c r="AR16" s="69">
        <v>0</v>
      </c>
      <c r="AS16" s="21"/>
      <c r="AT16" s="21"/>
      <c r="AU16" s="21"/>
      <c r="AV16" s="21"/>
      <c r="AW16" s="21"/>
      <c r="AX16" s="21"/>
      <c r="AY16" s="21"/>
      <c r="AZ16" s="21"/>
      <c r="BA16" s="21"/>
      <c r="BB16" s="69">
        <v>0</v>
      </c>
      <c r="BC16" s="21"/>
      <c r="BD16" s="21"/>
      <c r="BE16" s="21"/>
      <c r="BF16" s="21"/>
      <c r="BG16" s="69">
        <v>0</v>
      </c>
      <c r="BH16" s="21"/>
      <c r="BI16" s="69">
        <v>0</v>
      </c>
      <c r="BJ16" s="21"/>
      <c r="BK16" s="69">
        <v>0</v>
      </c>
      <c r="BL16" s="69">
        <v>0</v>
      </c>
      <c r="BM16" s="21"/>
      <c r="BN16" s="21"/>
      <c r="BO16" s="69">
        <v>0</v>
      </c>
      <c r="BP16" s="21"/>
      <c r="BQ16" s="21"/>
      <c r="BR16" s="21"/>
      <c r="BS16" s="21"/>
      <c r="BT16" s="21"/>
      <c r="BU16" s="21"/>
      <c r="BV16" s="69">
        <v>0</v>
      </c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>
        <v>7.9914833439694899</v>
      </c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69">
        <v>0</v>
      </c>
      <c r="DH16" s="21"/>
      <c r="DI16" s="21"/>
      <c r="DJ16" s="69">
        <v>0</v>
      </c>
      <c r="DK16" s="21"/>
      <c r="DL16" s="21"/>
      <c r="DM16" s="69">
        <v>0</v>
      </c>
      <c r="DN16" s="21"/>
      <c r="DO16" s="21"/>
      <c r="DP16" s="21"/>
      <c r="DQ16" s="21"/>
      <c r="DR16" s="21"/>
      <c r="DS16" s="21"/>
      <c r="DT16" s="21"/>
      <c r="DU16" s="21"/>
      <c r="DV16" s="21"/>
      <c r="DW16" s="69">
        <v>0</v>
      </c>
      <c r="DX16" s="21"/>
      <c r="DY16" s="21"/>
      <c r="DZ16" s="21"/>
      <c r="EA16" s="21"/>
      <c r="EB16" s="21"/>
      <c r="EC16" s="21"/>
      <c r="ED16" s="21"/>
      <c r="EE16" s="21"/>
      <c r="EF16" s="21"/>
      <c r="EG16" s="69">
        <v>0</v>
      </c>
      <c r="EH16" s="21"/>
      <c r="EI16" s="21"/>
      <c r="EJ16" s="21"/>
      <c r="EK16" s="21"/>
      <c r="EL16" s="69">
        <v>0</v>
      </c>
      <c r="EM16" s="21"/>
      <c r="EN16" s="69">
        <v>0</v>
      </c>
      <c r="EO16" s="21"/>
      <c r="EP16" s="69">
        <v>0</v>
      </c>
      <c r="EQ16" s="69">
        <v>0</v>
      </c>
      <c r="ER16" s="21"/>
      <c r="ES16" s="21"/>
      <c r="ET16" s="69">
        <v>0</v>
      </c>
      <c r="EU16" s="21"/>
      <c r="EV16" s="21"/>
      <c r="EW16" s="21"/>
      <c r="EX16" s="21"/>
      <c r="EY16" s="21"/>
      <c r="EZ16" s="21"/>
      <c r="FA16" s="69">
        <v>0</v>
      </c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>
        <v>0.99489119305147333</v>
      </c>
      <c r="GE16" s="21">
        <v>2.2192269942740541</v>
      </c>
      <c r="GF16" s="21">
        <v>3.2394358505150853</v>
      </c>
      <c r="GG16" s="21">
        <v>4.0589505841300788</v>
      </c>
      <c r="GH16" s="21">
        <v>2.3243346178673376</v>
      </c>
      <c r="GI16" s="21">
        <v>1.0167810360345609E-2</v>
      </c>
      <c r="GJ16" s="21">
        <v>3.7109373585433508E-2</v>
      </c>
      <c r="GK16" s="21">
        <v>1.5803524453081023E-2</v>
      </c>
      <c r="GL16" s="21">
        <v>6.2176518572454105E-2</v>
      </c>
      <c r="GM16" s="21">
        <v>7.9008185359431479E-2</v>
      </c>
      <c r="GN16" s="21">
        <v>5.6954743302367113E-2</v>
      </c>
      <c r="GO16" s="21">
        <v>5.4339129531311897E-2</v>
      </c>
      <c r="GP16" s="21">
        <v>6.3392084538413551E-2</v>
      </c>
      <c r="GQ16" s="21">
        <v>9.2079900945489512E-2</v>
      </c>
      <c r="GR16" s="21">
        <v>0.15170264807294778</v>
      </c>
      <c r="GS16" s="21"/>
      <c r="GT16" s="21"/>
      <c r="GU16" s="21"/>
      <c r="GV16" s="21"/>
      <c r="GW16" s="21"/>
      <c r="GX16" s="21">
        <v>0</v>
      </c>
      <c r="GY16" s="21">
        <v>0</v>
      </c>
      <c r="GZ16" s="21"/>
      <c r="HA16" s="21"/>
      <c r="HB16" s="21">
        <f t="shared" si="0"/>
        <v>21.451056502528793</v>
      </c>
    </row>
    <row r="17" spans="1:210" x14ac:dyDescent="0.75">
      <c r="A17" s="67" t="s">
        <v>698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69">
        <v>0</v>
      </c>
      <c r="AD17" s="21"/>
      <c r="AE17" s="21"/>
      <c r="AF17" s="69">
        <v>0</v>
      </c>
      <c r="AG17" s="21"/>
      <c r="AH17" s="21"/>
      <c r="AI17" s="69">
        <v>0</v>
      </c>
      <c r="AJ17" s="21"/>
      <c r="AK17" s="21"/>
      <c r="AL17" s="21"/>
      <c r="AM17" s="21"/>
      <c r="AN17" s="21"/>
      <c r="AO17" s="21"/>
      <c r="AP17" s="21"/>
      <c r="AQ17" s="21"/>
      <c r="AR17" s="69">
        <v>0</v>
      </c>
      <c r="AS17" s="21"/>
      <c r="AT17" s="21"/>
      <c r="AU17" s="21"/>
      <c r="AV17" s="21"/>
      <c r="AW17" s="21"/>
      <c r="AX17" s="21"/>
      <c r="AY17" s="21"/>
      <c r="AZ17" s="21"/>
      <c r="BA17" s="21"/>
      <c r="BB17" s="69">
        <v>0</v>
      </c>
      <c r="BC17" s="21"/>
      <c r="BD17" s="21"/>
      <c r="BE17" s="21"/>
      <c r="BF17" s="21"/>
      <c r="BG17" s="69">
        <v>0</v>
      </c>
      <c r="BH17" s="21"/>
      <c r="BI17" s="69">
        <v>0</v>
      </c>
      <c r="BJ17" s="21"/>
      <c r="BK17" s="69">
        <v>0</v>
      </c>
      <c r="BL17" s="69">
        <v>0</v>
      </c>
      <c r="BM17" s="21"/>
      <c r="BN17" s="21"/>
      <c r="BO17" s="69">
        <v>0</v>
      </c>
      <c r="BP17" s="21"/>
      <c r="BQ17" s="21"/>
      <c r="BR17" s="21"/>
      <c r="BS17" s="21"/>
      <c r="BT17" s="21"/>
      <c r="BU17" s="21"/>
      <c r="BV17" s="69">
        <v>0</v>
      </c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>
        <v>138.20273516710427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69">
        <v>0</v>
      </c>
      <c r="DH17" s="21"/>
      <c r="DI17" s="21"/>
      <c r="DJ17" s="69">
        <v>0</v>
      </c>
      <c r="DK17" s="21"/>
      <c r="DL17" s="21"/>
      <c r="DM17" s="69">
        <v>0</v>
      </c>
      <c r="DN17" s="21"/>
      <c r="DO17" s="21"/>
      <c r="DP17" s="21"/>
      <c r="DQ17" s="21"/>
      <c r="DR17" s="21"/>
      <c r="DS17" s="21"/>
      <c r="DT17" s="21"/>
      <c r="DU17" s="21"/>
      <c r="DV17" s="21"/>
      <c r="DW17" s="69">
        <v>0</v>
      </c>
      <c r="DX17" s="21"/>
      <c r="DY17" s="21"/>
      <c r="DZ17" s="21"/>
      <c r="EA17" s="21"/>
      <c r="EB17" s="21"/>
      <c r="EC17" s="21"/>
      <c r="ED17" s="21"/>
      <c r="EE17" s="21"/>
      <c r="EF17" s="21"/>
      <c r="EG17" s="69">
        <v>0</v>
      </c>
      <c r="EH17" s="21"/>
      <c r="EI17" s="21"/>
      <c r="EJ17" s="21"/>
      <c r="EK17" s="21"/>
      <c r="EL17" s="69">
        <v>0</v>
      </c>
      <c r="EM17" s="21"/>
      <c r="EN17" s="69">
        <v>0</v>
      </c>
      <c r="EO17" s="21"/>
      <c r="EP17" s="69">
        <v>0</v>
      </c>
      <c r="EQ17" s="69">
        <v>0</v>
      </c>
      <c r="ER17" s="21"/>
      <c r="ES17" s="21"/>
      <c r="ET17" s="69">
        <v>0</v>
      </c>
      <c r="EU17" s="21"/>
      <c r="EV17" s="21"/>
      <c r="EW17" s="21"/>
      <c r="EX17" s="21"/>
      <c r="EY17" s="21"/>
      <c r="EZ17" s="21"/>
      <c r="FA17" s="69">
        <v>0</v>
      </c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>
        <v>8.9546238596906296</v>
      </c>
      <c r="GE17" s="21">
        <v>15.650925970464264</v>
      </c>
      <c r="GF17" s="21">
        <v>18.979239128012715</v>
      </c>
      <c r="GG17" s="21">
        <v>22.961959504717814</v>
      </c>
      <c r="GH17" s="21">
        <v>16.389704709942613</v>
      </c>
      <c r="GI17" s="21">
        <v>0.15786309473811541</v>
      </c>
      <c r="GJ17" s="21">
        <v>0.25056422162977388</v>
      </c>
      <c r="GK17" s="21">
        <v>0.36893816616684327</v>
      </c>
      <c r="GL17" s="21">
        <v>0.60401124865878242</v>
      </c>
      <c r="GM17" s="21">
        <v>0.94766794029086332</v>
      </c>
      <c r="GN17" s="21">
        <v>0.1721975386877144</v>
      </c>
      <c r="GO17" s="21">
        <v>0.22045591837781647</v>
      </c>
      <c r="GP17" s="21">
        <v>0.36689997921697093</v>
      </c>
      <c r="GQ17" s="21">
        <v>0.86823953365283746</v>
      </c>
      <c r="GR17" s="21">
        <v>1.5151931585942278</v>
      </c>
      <c r="GS17" s="21"/>
      <c r="GT17" s="21"/>
      <c r="GU17" s="21"/>
      <c r="GV17" s="21"/>
      <c r="GW17" s="21"/>
      <c r="GX17" s="21">
        <v>0</v>
      </c>
      <c r="GY17" s="21">
        <v>0</v>
      </c>
      <c r="GZ17" s="21"/>
      <c r="HA17" s="21"/>
      <c r="HB17" s="21">
        <f t="shared" si="0"/>
        <v>226.61121913994629</v>
      </c>
    </row>
    <row r="18" spans="1:210" x14ac:dyDescent="0.75">
      <c r="A18" s="67" t="s">
        <v>699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69">
        <v>0</v>
      </c>
      <c r="AD18" s="21"/>
      <c r="AE18" s="21"/>
      <c r="AF18" s="69">
        <v>0</v>
      </c>
      <c r="AG18" s="21"/>
      <c r="AH18" s="21"/>
      <c r="AI18" s="69">
        <v>0</v>
      </c>
      <c r="AJ18" s="21"/>
      <c r="AK18" s="21"/>
      <c r="AL18" s="21"/>
      <c r="AM18" s="21"/>
      <c r="AN18" s="21"/>
      <c r="AO18" s="21"/>
      <c r="AP18" s="21"/>
      <c r="AQ18" s="21"/>
      <c r="AR18" s="69">
        <v>0</v>
      </c>
      <c r="AS18" s="21"/>
      <c r="AT18" s="21"/>
      <c r="AU18" s="21"/>
      <c r="AV18" s="21"/>
      <c r="AW18" s="21"/>
      <c r="AX18" s="21"/>
      <c r="AY18" s="21"/>
      <c r="AZ18" s="21"/>
      <c r="BA18" s="21"/>
      <c r="BB18" s="69">
        <v>0</v>
      </c>
      <c r="BC18" s="21"/>
      <c r="BD18" s="21"/>
      <c r="BE18" s="21"/>
      <c r="BF18" s="21"/>
      <c r="BG18" s="69">
        <v>0</v>
      </c>
      <c r="BH18" s="21"/>
      <c r="BI18" s="69">
        <v>0</v>
      </c>
      <c r="BJ18" s="21"/>
      <c r="BK18" s="69">
        <v>0</v>
      </c>
      <c r="BL18" s="69">
        <v>0</v>
      </c>
      <c r="BM18" s="21"/>
      <c r="BN18" s="21"/>
      <c r="BO18" s="69">
        <v>0</v>
      </c>
      <c r="BP18" s="21"/>
      <c r="BQ18" s="21"/>
      <c r="BR18" s="21"/>
      <c r="BS18" s="21"/>
      <c r="BT18" s="21"/>
      <c r="BU18" s="21"/>
      <c r="BV18" s="69">
        <v>0</v>
      </c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>
        <v>19.92990739422558</v>
      </c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69">
        <v>0</v>
      </c>
      <c r="DH18" s="21"/>
      <c r="DI18" s="21"/>
      <c r="DJ18" s="69">
        <v>0</v>
      </c>
      <c r="DK18" s="21"/>
      <c r="DL18" s="21"/>
      <c r="DM18" s="69">
        <v>0</v>
      </c>
      <c r="DN18" s="21"/>
      <c r="DO18" s="21"/>
      <c r="DP18" s="21"/>
      <c r="DQ18" s="21"/>
      <c r="DR18" s="21"/>
      <c r="DS18" s="21"/>
      <c r="DT18" s="21"/>
      <c r="DU18" s="21"/>
      <c r="DV18" s="21"/>
      <c r="DW18" s="69">
        <v>0</v>
      </c>
      <c r="DX18" s="21"/>
      <c r="DY18" s="21"/>
      <c r="DZ18" s="21"/>
      <c r="EA18" s="21"/>
      <c r="EB18" s="21"/>
      <c r="EC18" s="21"/>
      <c r="ED18" s="21"/>
      <c r="EE18" s="21"/>
      <c r="EF18" s="21"/>
      <c r="EG18" s="69">
        <v>0</v>
      </c>
      <c r="EH18" s="21"/>
      <c r="EI18" s="21"/>
      <c r="EJ18" s="21"/>
      <c r="EK18" s="21"/>
      <c r="EL18" s="69">
        <v>0</v>
      </c>
      <c r="EM18" s="21"/>
      <c r="EN18" s="69">
        <v>0</v>
      </c>
      <c r="EO18" s="21"/>
      <c r="EP18" s="69">
        <v>0</v>
      </c>
      <c r="EQ18" s="69">
        <v>0</v>
      </c>
      <c r="ER18" s="21"/>
      <c r="ES18" s="21"/>
      <c r="ET18" s="69">
        <v>0</v>
      </c>
      <c r="EU18" s="21"/>
      <c r="EV18" s="21"/>
      <c r="EW18" s="21"/>
      <c r="EX18" s="21"/>
      <c r="EY18" s="21"/>
      <c r="EZ18" s="21"/>
      <c r="FA18" s="69">
        <v>0</v>
      </c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>
        <v>6.5473043226670496E-2</v>
      </c>
      <c r="GE18" s="21">
        <v>0.18707687342042317</v>
      </c>
      <c r="GF18" s="21">
        <v>0.27994897586807671</v>
      </c>
      <c r="GG18" s="21">
        <v>0.38910577955355319</v>
      </c>
      <c r="GH18" s="21">
        <v>0.41790437457123386</v>
      </c>
      <c r="GI18" s="21"/>
      <c r="GJ18" s="21"/>
      <c r="GK18" s="21"/>
      <c r="GL18" s="21">
        <v>7.3238012613762657E-3</v>
      </c>
      <c r="GM18" s="21"/>
      <c r="GN18" s="21"/>
      <c r="GO18" s="21">
        <v>1.1728884255899526E-3</v>
      </c>
      <c r="GP18" s="21">
        <v>2.2738930713913936E-3</v>
      </c>
      <c r="GQ18" s="21">
        <v>1.1703827044798379E-3</v>
      </c>
      <c r="GR18" s="21">
        <v>3.1403121783430267E-3</v>
      </c>
      <c r="GS18" s="21"/>
      <c r="GT18" s="21"/>
      <c r="GU18" s="21"/>
      <c r="GV18" s="21"/>
      <c r="GW18" s="21"/>
      <c r="GX18" s="21">
        <v>0</v>
      </c>
      <c r="GY18" s="21">
        <v>0</v>
      </c>
      <c r="GZ18" s="21"/>
      <c r="HA18" s="21"/>
      <c r="HB18" s="21">
        <f t="shared" si="0"/>
        <v>21.284497718506714</v>
      </c>
    </row>
    <row r="19" spans="1:210" x14ac:dyDescent="0.75">
      <c r="A19" s="67" t="s">
        <v>289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69">
        <v>0</v>
      </c>
      <c r="AD19" s="21"/>
      <c r="AE19" s="21"/>
      <c r="AF19" s="69">
        <v>0</v>
      </c>
      <c r="AG19" s="21"/>
      <c r="AH19" s="21"/>
      <c r="AI19" s="69">
        <v>0</v>
      </c>
      <c r="AJ19" s="21"/>
      <c r="AK19" s="21"/>
      <c r="AL19" s="21"/>
      <c r="AM19" s="21"/>
      <c r="AN19" s="21"/>
      <c r="AO19" s="21"/>
      <c r="AP19" s="21"/>
      <c r="AQ19" s="21"/>
      <c r="AR19" s="69">
        <v>0</v>
      </c>
      <c r="AS19" s="21"/>
      <c r="AT19" s="21"/>
      <c r="AU19" s="21"/>
      <c r="AV19" s="21"/>
      <c r="AW19" s="21"/>
      <c r="AX19" s="21"/>
      <c r="AY19" s="21"/>
      <c r="AZ19" s="21"/>
      <c r="BA19" s="21"/>
      <c r="BB19" s="69">
        <v>0</v>
      </c>
      <c r="BC19" s="21"/>
      <c r="BD19" s="21"/>
      <c r="BE19" s="21"/>
      <c r="BF19" s="21"/>
      <c r="BG19" s="69">
        <v>0</v>
      </c>
      <c r="BH19" s="21"/>
      <c r="BI19" s="69">
        <v>0</v>
      </c>
      <c r="BJ19" s="21"/>
      <c r="BK19" s="69">
        <v>0</v>
      </c>
      <c r="BL19" s="69">
        <v>0</v>
      </c>
      <c r="BM19" s="21"/>
      <c r="BN19" s="21"/>
      <c r="BO19" s="69">
        <v>0</v>
      </c>
      <c r="BP19" s="21"/>
      <c r="BQ19" s="21"/>
      <c r="BR19" s="21"/>
      <c r="BS19" s="21"/>
      <c r="BT19" s="21"/>
      <c r="BU19" s="21"/>
      <c r="BV19" s="69">
        <v>0</v>
      </c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>
        <v>133.87356396684245</v>
      </c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69">
        <v>0</v>
      </c>
      <c r="DH19" s="21"/>
      <c r="DI19" s="21"/>
      <c r="DJ19" s="69">
        <v>0</v>
      </c>
      <c r="DK19" s="21"/>
      <c r="DL19" s="21"/>
      <c r="DM19" s="69">
        <v>0</v>
      </c>
      <c r="DN19" s="21"/>
      <c r="DO19" s="21"/>
      <c r="DP19" s="21"/>
      <c r="DQ19" s="21"/>
      <c r="DR19" s="21"/>
      <c r="DS19" s="21"/>
      <c r="DT19" s="21"/>
      <c r="DU19" s="21"/>
      <c r="DV19" s="21"/>
      <c r="DW19" s="69">
        <v>0</v>
      </c>
      <c r="DX19" s="21"/>
      <c r="DY19" s="21"/>
      <c r="DZ19" s="21"/>
      <c r="EA19" s="21"/>
      <c r="EB19" s="21"/>
      <c r="EC19" s="21"/>
      <c r="ED19" s="21"/>
      <c r="EE19" s="21"/>
      <c r="EF19" s="21"/>
      <c r="EG19" s="69">
        <v>0</v>
      </c>
      <c r="EH19" s="21"/>
      <c r="EI19" s="21"/>
      <c r="EJ19" s="21"/>
      <c r="EK19" s="21"/>
      <c r="EL19" s="69">
        <v>0</v>
      </c>
      <c r="EM19" s="21"/>
      <c r="EN19" s="69">
        <v>0</v>
      </c>
      <c r="EO19" s="21"/>
      <c r="EP19" s="69">
        <v>0</v>
      </c>
      <c r="EQ19" s="69">
        <v>0</v>
      </c>
      <c r="ER19" s="21"/>
      <c r="ES19" s="21"/>
      <c r="ET19" s="69">
        <v>0</v>
      </c>
      <c r="EU19" s="21"/>
      <c r="EV19" s="21"/>
      <c r="EW19" s="21"/>
      <c r="EX19" s="21"/>
      <c r="EY19" s="21"/>
      <c r="EZ19" s="21"/>
      <c r="FA19" s="69">
        <v>0</v>
      </c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>
        <v>2.3051402648793196</v>
      </c>
      <c r="GE19" s="21">
        <v>2.8800730667875798</v>
      </c>
      <c r="GF19" s="21">
        <v>3.1756033608091081</v>
      </c>
      <c r="GG19" s="21">
        <v>3.5271280544417958</v>
      </c>
      <c r="GH19" s="21">
        <v>2.3073850228974875</v>
      </c>
      <c r="GI19" s="21">
        <v>0.12019354485186827</v>
      </c>
      <c r="GJ19" s="21">
        <v>0.13937250803764711</v>
      </c>
      <c r="GK19" s="21">
        <v>0.16269855639568065</v>
      </c>
      <c r="GL19" s="21">
        <v>0.20822210000086991</v>
      </c>
      <c r="GM19" s="21">
        <v>0.33427922898786289</v>
      </c>
      <c r="GN19" s="21">
        <v>4.6263491616016492E-2</v>
      </c>
      <c r="GO19" s="21">
        <v>3.7399197607552857E-2</v>
      </c>
      <c r="GP19" s="21">
        <v>5.7063697468534742E-2</v>
      </c>
      <c r="GQ19" s="21">
        <v>0.12035303774886627</v>
      </c>
      <c r="GR19" s="21">
        <v>0.18382511908222951</v>
      </c>
      <c r="GS19" s="21"/>
      <c r="GT19" s="21"/>
      <c r="GU19" s="21"/>
      <c r="GV19" s="21"/>
      <c r="GW19" s="21"/>
      <c r="GX19" s="21">
        <v>0</v>
      </c>
      <c r="GY19" s="21">
        <v>0</v>
      </c>
      <c r="GZ19" s="21"/>
      <c r="HA19" s="21"/>
      <c r="HB19" s="21">
        <f t="shared" si="0"/>
        <v>149.47856421845484</v>
      </c>
    </row>
    <row r="20" spans="1:210" x14ac:dyDescent="0.75">
      <c r="A20" s="67" t="s">
        <v>700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69">
        <v>0</v>
      </c>
      <c r="AD20" s="21"/>
      <c r="AE20" s="21"/>
      <c r="AF20" s="69">
        <v>0</v>
      </c>
      <c r="AG20" s="21"/>
      <c r="AH20" s="21"/>
      <c r="AI20" s="69">
        <v>0</v>
      </c>
      <c r="AJ20" s="21"/>
      <c r="AK20" s="21"/>
      <c r="AL20" s="21"/>
      <c r="AM20" s="21"/>
      <c r="AN20" s="21"/>
      <c r="AO20" s="21"/>
      <c r="AP20" s="21"/>
      <c r="AQ20" s="21"/>
      <c r="AR20" s="69">
        <v>0</v>
      </c>
      <c r="AS20" s="21"/>
      <c r="AT20" s="21"/>
      <c r="AU20" s="21"/>
      <c r="AV20" s="21"/>
      <c r="AW20" s="21"/>
      <c r="AX20" s="21"/>
      <c r="AY20" s="21"/>
      <c r="AZ20" s="21"/>
      <c r="BA20" s="21"/>
      <c r="BB20" s="69">
        <v>0</v>
      </c>
      <c r="BC20" s="21"/>
      <c r="BD20" s="21"/>
      <c r="BE20" s="21"/>
      <c r="BF20" s="21"/>
      <c r="BG20" s="69">
        <v>0</v>
      </c>
      <c r="BH20" s="21"/>
      <c r="BI20" s="69">
        <v>0</v>
      </c>
      <c r="BJ20" s="21"/>
      <c r="BK20" s="69">
        <v>0</v>
      </c>
      <c r="BL20" s="69">
        <v>0</v>
      </c>
      <c r="BM20" s="21"/>
      <c r="BN20" s="21"/>
      <c r="BO20" s="69">
        <v>0</v>
      </c>
      <c r="BP20" s="21"/>
      <c r="BQ20" s="21"/>
      <c r="BR20" s="21"/>
      <c r="BS20" s="21"/>
      <c r="BT20" s="21"/>
      <c r="BU20" s="21"/>
      <c r="BV20" s="69">
        <v>0</v>
      </c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>
        <v>77.015073640300685</v>
      </c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69">
        <v>0</v>
      </c>
      <c r="DH20" s="21"/>
      <c r="DI20" s="21"/>
      <c r="DJ20" s="69">
        <v>0</v>
      </c>
      <c r="DK20" s="21"/>
      <c r="DL20" s="21"/>
      <c r="DM20" s="69">
        <v>0</v>
      </c>
      <c r="DN20" s="21"/>
      <c r="DO20" s="21"/>
      <c r="DP20" s="21"/>
      <c r="DQ20" s="21"/>
      <c r="DR20" s="21"/>
      <c r="DS20" s="21"/>
      <c r="DT20" s="21"/>
      <c r="DU20" s="21"/>
      <c r="DV20" s="21"/>
      <c r="DW20" s="69">
        <v>0</v>
      </c>
      <c r="DX20" s="21"/>
      <c r="DY20" s="21"/>
      <c r="DZ20" s="21"/>
      <c r="EA20" s="21"/>
      <c r="EB20" s="21"/>
      <c r="EC20" s="21"/>
      <c r="ED20" s="21"/>
      <c r="EE20" s="21"/>
      <c r="EF20" s="21"/>
      <c r="EG20" s="69">
        <v>0</v>
      </c>
      <c r="EH20" s="21"/>
      <c r="EI20" s="21"/>
      <c r="EJ20" s="21"/>
      <c r="EK20" s="21"/>
      <c r="EL20" s="69">
        <v>0</v>
      </c>
      <c r="EM20" s="21"/>
      <c r="EN20" s="69">
        <v>0</v>
      </c>
      <c r="EO20" s="21"/>
      <c r="EP20" s="69">
        <v>0</v>
      </c>
      <c r="EQ20" s="69">
        <v>0</v>
      </c>
      <c r="ER20" s="21"/>
      <c r="ES20" s="21"/>
      <c r="ET20" s="69">
        <v>0</v>
      </c>
      <c r="EU20" s="21"/>
      <c r="EV20" s="21"/>
      <c r="EW20" s="21"/>
      <c r="EX20" s="21"/>
      <c r="EY20" s="21"/>
      <c r="EZ20" s="21"/>
      <c r="FA20" s="69">
        <v>0</v>
      </c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>
        <v>0.77029244801652608</v>
      </c>
      <c r="GE20" s="21">
        <v>0.75125158973111272</v>
      </c>
      <c r="GF20" s="21">
        <v>0.77262456420819403</v>
      </c>
      <c r="GG20" s="21">
        <v>0.56744343229504435</v>
      </c>
      <c r="GH20" s="21">
        <v>0.26630307356951005</v>
      </c>
      <c r="GI20" s="21">
        <v>8.8198581267617121E-3</v>
      </c>
      <c r="GJ20" s="21">
        <v>1.2136642253123203E-2</v>
      </c>
      <c r="GK20" s="21">
        <v>3.2475955566432201E-2</v>
      </c>
      <c r="GL20" s="21">
        <v>1.1580102741412942E-2</v>
      </c>
      <c r="GM20" s="21">
        <v>7.236993793748152E-3</v>
      </c>
      <c r="GN20" s="21">
        <v>4.9286870084036469E-3</v>
      </c>
      <c r="GO20" s="21">
        <v>7.432140556188827E-3</v>
      </c>
      <c r="GP20" s="21">
        <v>6.6419374489928046E-2</v>
      </c>
      <c r="GQ20" s="21">
        <v>6.9398458430705058E-3</v>
      </c>
      <c r="GR20" s="21">
        <v>2.7308602465805697E-2</v>
      </c>
      <c r="GS20" s="21"/>
      <c r="GT20" s="21"/>
      <c r="GU20" s="21"/>
      <c r="GV20" s="21"/>
      <c r="GW20" s="21"/>
      <c r="GX20" s="21">
        <v>0</v>
      </c>
      <c r="GY20" s="21">
        <v>0</v>
      </c>
      <c r="GZ20" s="21"/>
      <c r="HA20" s="21"/>
      <c r="HB20" s="21">
        <f t="shared" si="0"/>
        <v>80.32826695096594</v>
      </c>
    </row>
    <row r="21" spans="1:210" x14ac:dyDescent="0.75">
      <c r="A21" s="67" t="s">
        <v>701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69">
        <v>0</v>
      </c>
      <c r="AD21" s="21"/>
      <c r="AE21" s="21"/>
      <c r="AF21" s="69">
        <v>0</v>
      </c>
      <c r="AG21" s="21"/>
      <c r="AH21" s="21"/>
      <c r="AI21" s="69">
        <v>0</v>
      </c>
      <c r="AJ21" s="21"/>
      <c r="AK21" s="21"/>
      <c r="AL21" s="21"/>
      <c r="AM21" s="21"/>
      <c r="AN21" s="21"/>
      <c r="AO21" s="21"/>
      <c r="AP21" s="21"/>
      <c r="AQ21" s="21"/>
      <c r="AR21" s="69">
        <v>0</v>
      </c>
      <c r="AS21" s="21"/>
      <c r="AT21" s="21"/>
      <c r="AU21" s="21"/>
      <c r="AV21" s="21"/>
      <c r="AW21" s="21"/>
      <c r="AX21" s="21"/>
      <c r="AY21" s="21"/>
      <c r="AZ21" s="21"/>
      <c r="BA21" s="21"/>
      <c r="BB21" s="69">
        <v>0</v>
      </c>
      <c r="BC21" s="21"/>
      <c r="BD21" s="21"/>
      <c r="BE21" s="21"/>
      <c r="BF21" s="21"/>
      <c r="BG21" s="69">
        <v>0</v>
      </c>
      <c r="BH21" s="21"/>
      <c r="BI21" s="69">
        <v>0</v>
      </c>
      <c r="BJ21" s="21"/>
      <c r="BK21" s="69">
        <v>0</v>
      </c>
      <c r="BL21" s="69">
        <v>0</v>
      </c>
      <c r="BM21" s="21"/>
      <c r="BN21" s="21"/>
      <c r="BO21" s="69">
        <v>0</v>
      </c>
      <c r="BP21" s="21"/>
      <c r="BQ21" s="21"/>
      <c r="BR21" s="21"/>
      <c r="BS21" s="21"/>
      <c r="BT21" s="21"/>
      <c r="BU21" s="21"/>
      <c r="BV21" s="69">
        <v>0</v>
      </c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>
        <v>0.77970949834303838</v>
      </c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69">
        <v>0</v>
      </c>
      <c r="DH21" s="21"/>
      <c r="DI21" s="21"/>
      <c r="DJ21" s="69">
        <v>0</v>
      </c>
      <c r="DK21" s="21"/>
      <c r="DL21" s="21"/>
      <c r="DM21" s="69">
        <v>0</v>
      </c>
      <c r="DN21" s="21"/>
      <c r="DO21" s="21"/>
      <c r="DP21" s="21"/>
      <c r="DQ21" s="21"/>
      <c r="DR21" s="21"/>
      <c r="DS21" s="21"/>
      <c r="DT21" s="21"/>
      <c r="DU21" s="21"/>
      <c r="DV21" s="21"/>
      <c r="DW21" s="69">
        <v>0</v>
      </c>
      <c r="DX21" s="21"/>
      <c r="DY21" s="21"/>
      <c r="DZ21" s="21"/>
      <c r="EA21" s="21"/>
      <c r="EB21" s="21"/>
      <c r="EC21" s="21"/>
      <c r="ED21" s="21"/>
      <c r="EE21" s="21"/>
      <c r="EF21" s="21"/>
      <c r="EG21" s="69">
        <v>0</v>
      </c>
      <c r="EH21" s="21"/>
      <c r="EI21" s="21"/>
      <c r="EJ21" s="21"/>
      <c r="EK21" s="21"/>
      <c r="EL21" s="69">
        <v>0</v>
      </c>
      <c r="EM21" s="21"/>
      <c r="EN21" s="69">
        <v>0</v>
      </c>
      <c r="EO21" s="21"/>
      <c r="EP21" s="69">
        <v>0</v>
      </c>
      <c r="EQ21" s="69">
        <v>0</v>
      </c>
      <c r="ER21" s="21"/>
      <c r="ES21" s="21"/>
      <c r="ET21" s="69">
        <v>0</v>
      </c>
      <c r="EU21" s="21"/>
      <c r="EV21" s="21"/>
      <c r="EW21" s="21"/>
      <c r="EX21" s="21"/>
      <c r="EY21" s="21"/>
      <c r="EZ21" s="21"/>
      <c r="FA21" s="69">
        <v>0</v>
      </c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>
        <v>7.4808962038500519</v>
      </c>
      <c r="GE21" s="21">
        <v>15.155644277899512</v>
      </c>
      <c r="GF21" s="21">
        <v>27.884929168565861</v>
      </c>
      <c r="GG21" s="21">
        <v>45.924513732577438</v>
      </c>
      <c r="GH21" s="21">
        <v>39.064270671913228</v>
      </c>
      <c r="GI21" s="21">
        <v>0.18084142651307258</v>
      </c>
      <c r="GJ21" s="21">
        <v>0.21709891852324828</v>
      </c>
      <c r="GK21" s="21">
        <v>1.2088359312758046</v>
      </c>
      <c r="GL21" s="21">
        <v>1.6831991907849344</v>
      </c>
      <c r="GM21" s="21">
        <v>4.0701906598572579</v>
      </c>
      <c r="GN21" s="21">
        <v>0.1236579746251472</v>
      </c>
      <c r="GO21" s="21">
        <v>0.40300722059009475</v>
      </c>
      <c r="GP21" s="21">
        <v>0.66263088197254805</v>
      </c>
      <c r="GQ21" s="21">
        <v>1.8139547141613066</v>
      </c>
      <c r="GR21" s="21">
        <v>3.0976588167723431</v>
      </c>
      <c r="GS21" s="21"/>
      <c r="GT21" s="21"/>
      <c r="GU21" s="21"/>
      <c r="GV21" s="21"/>
      <c r="GW21" s="21"/>
      <c r="GX21" s="21">
        <v>0</v>
      </c>
      <c r="GY21" s="21">
        <v>0</v>
      </c>
      <c r="GZ21" s="21"/>
      <c r="HA21" s="21"/>
      <c r="HB21" s="21">
        <f t="shared" si="0"/>
        <v>149.75103928822489</v>
      </c>
    </row>
    <row r="22" spans="1:210" x14ac:dyDescent="0.75">
      <c r="A22" s="67" t="s">
        <v>702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69">
        <v>0</v>
      </c>
      <c r="AD22" s="21"/>
      <c r="AE22" s="21"/>
      <c r="AF22" s="69">
        <v>0</v>
      </c>
      <c r="AG22" s="21"/>
      <c r="AH22" s="21"/>
      <c r="AI22" s="69">
        <v>0</v>
      </c>
      <c r="AJ22" s="21"/>
      <c r="AK22" s="21"/>
      <c r="AL22" s="21"/>
      <c r="AM22" s="21"/>
      <c r="AN22" s="21"/>
      <c r="AO22" s="21"/>
      <c r="AP22" s="21"/>
      <c r="AQ22" s="21"/>
      <c r="AR22" s="69">
        <v>0</v>
      </c>
      <c r="AS22" s="21"/>
      <c r="AT22" s="21"/>
      <c r="AU22" s="21"/>
      <c r="AV22" s="21"/>
      <c r="AW22" s="21"/>
      <c r="AX22" s="21"/>
      <c r="AY22" s="21"/>
      <c r="AZ22" s="21"/>
      <c r="BA22" s="21"/>
      <c r="BB22" s="69">
        <v>0</v>
      </c>
      <c r="BC22" s="21"/>
      <c r="BD22" s="21"/>
      <c r="BE22" s="21"/>
      <c r="BF22" s="21"/>
      <c r="BG22" s="69">
        <v>0</v>
      </c>
      <c r="BH22" s="21"/>
      <c r="BI22" s="69">
        <v>0</v>
      </c>
      <c r="BJ22" s="21"/>
      <c r="BK22" s="69">
        <v>0</v>
      </c>
      <c r="BL22" s="69">
        <v>0</v>
      </c>
      <c r="BM22" s="21"/>
      <c r="BN22" s="21"/>
      <c r="BO22" s="69">
        <v>0</v>
      </c>
      <c r="BP22" s="21"/>
      <c r="BQ22" s="21"/>
      <c r="BR22" s="21"/>
      <c r="BS22" s="21"/>
      <c r="BT22" s="21"/>
      <c r="BU22" s="21"/>
      <c r="BV22" s="69">
        <v>0</v>
      </c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>
        <v>25.210579104692656</v>
      </c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69">
        <v>0</v>
      </c>
      <c r="DH22" s="21"/>
      <c r="DI22" s="21"/>
      <c r="DJ22" s="69">
        <v>0</v>
      </c>
      <c r="DK22" s="21"/>
      <c r="DL22" s="21"/>
      <c r="DM22" s="69">
        <v>0</v>
      </c>
      <c r="DN22" s="21"/>
      <c r="DO22" s="21"/>
      <c r="DP22" s="21"/>
      <c r="DQ22" s="21"/>
      <c r="DR22" s="21"/>
      <c r="DS22" s="21"/>
      <c r="DT22" s="21"/>
      <c r="DU22" s="21"/>
      <c r="DV22" s="21"/>
      <c r="DW22" s="69">
        <v>0</v>
      </c>
      <c r="DX22" s="21"/>
      <c r="DY22" s="21"/>
      <c r="DZ22" s="21"/>
      <c r="EA22" s="21"/>
      <c r="EB22" s="21"/>
      <c r="EC22" s="21"/>
      <c r="ED22" s="21"/>
      <c r="EE22" s="21"/>
      <c r="EF22" s="21"/>
      <c r="EG22" s="69">
        <v>0</v>
      </c>
      <c r="EH22" s="21"/>
      <c r="EI22" s="21"/>
      <c r="EJ22" s="21"/>
      <c r="EK22" s="21"/>
      <c r="EL22" s="69">
        <v>0</v>
      </c>
      <c r="EM22" s="21"/>
      <c r="EN22" s="69">
        <v>0</v>
      </c>
      <c r="EO22" s="21"/>
      <c r="EP22" s="69">
        <v>0</v>
      </c>
      <c r="EQ22" s="69">
        <v>0</v>
      </c>
      <c r="ER22" s="21"/>
      <c r="ES22" s="21"/>
      <c r="ET22" s="69">
        <v>0</v>
      </c>
      <c r="EU22" s="21"/>
      <c r="EV22" s="21"/>
      <c r="EW22" s="21"/>
      <c r="EX22" s="21"/>
      <c r="EY22" s="21"/>
      <c r="EZ22" s="21"/>
      <c r="FA22" s="69">
        <v>0</v>
      </c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>
        <v>8.3813025713176392E-2</v>
      </c>
      <c r="GE22" s="21">
        <v>0.23824848087882733</v>
      </c>
      <c r="GF22" s="21">
        <v>0.32934280769593999</v>
      </c>
      <c r="GG22" s="21">
        <v>0.73499185653479338</v>
      </c>
      <c r="GH22" s="21">
        <v>0.58137886698804631</v>
      </c>
      <c r="GI22" s="21">
        <v>1.5060607806908306E-3</v>
      </c>
      <c r="GJ22" s="21">
        <v>1.7402573095930973E-2</v>
      </c>
      <c r="GK22" s="21">
        <v>9.5786407293157582E-3</v>
      </c>
      <c r="GL22" s="21">
        <v>1.072436248536889E-2</v>
      </c>
      <c r="GM22" s="21">
        <v>6.809948704152223E-2</v>
      </c>
      <c r="GN22" s="21">
        <v>1.9577624136954998E-3</v>
      </c>
      <c r="GO22" s="21">
        <v>5.2846282933694741E-3</v>
      </c>
      <c r="GP22" s="21">
        <v>2.5586096753009276E-2</v>
      </c>
      <c r="GQ22" s="21">
        <v>6.737240070691515E-2</v>
      </c>
      <c r="GR22" s="21">
        <v>8.8958983644740919E-2</v>
      </c>
      <c r="GS22" s="21"/>
      <c r="GT22" s="21"/>
      <c r="GU22" s="21"/>
      <c r="GV22" s="21"/>
      <c r="GW22" s="21"/>
      <c r="GX22" s="21">
        <v>0</v>
      </c>
      <c r="GY22" s="21">
        <v>0</v>
      </c>
      <c r="GZ22" s="21"/>
      <c r="HA22" s="21"/>
      <c r="HB22" s="21">
        <f t="shared" si="0"/>
        <v>27.474825138448004</v>
      </c>
    </row>
    <row r="23" spans="1:210" x14ac:dyDescent="0.75">
      <c r="A23" s="67" t="s">
        <v>291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69">
        <v>0</v>
      </c>
      <c r="AD23" s="21"/>
      <c r="AE23" s="21"/>
      <c r="AF23" s="69">
        <v>0</v>
      </c>
      <c r="AG23" s="21"/>
      <c r="AH23" s="21"/>
      <c r="AI23" s="69">
        <v>0</v>
      </c>
      <c r="AJ23" s="21"/>
      <c r="AK23" s="21"/>
      <c r="AL23" s="21"/>
      <c r="AM23" s="21"/>
      <c r="AN23" s="21"/>
      <c r="AO23" s="21"/>
      <c r="AP23" s="21"/>
      <c r="AQ23" s="21"/>
      <c r="AR23" s="69">
        <v>0</v>
      </c>
      <c r="AS23" s="21"/>
      <c r="AT23" s="21"/>
      <c r="AU23" s="21"/>
      <c r="AV23" s="21"/>
      <c r="AW23" s="21"/>
      <c r="AX23" s="21"/>
      <c r="AY23" s="21"/>
      <c r="AZ23" s="21"/>
      <c r="BA23" s="21"/>
      <c r="BB23" s="69">
        <v>0</v>
      </c>
      <c r="BC23" s="21"/>
      <c r="BD23" s="21"/>
      <c r="BE23" s="21"/>
      <c r="BF23" s="21"/>
      <c r="BG23" s="69">
        <v>0</v>
      </c>
      <c r="BH23" s="21"/>
      <c r="BI23" s="69">
        <v>0</v>
      </c>
      <c r="BJ23" s="21"/>
      <c r="BK23" s="69">
        <v>0</v>
      </c>
      <c r="BL23" s="69">
        <v>0</v>
      </c>
      <c r="BM23" s="21"/>
      <c r="BN23" s="21"/>
      <c r="BO23" s="69">
        <v>0</v>
      </c>
      <c r="BP23" s="21"/>
      <c r="BQ23" s="21"/>
      <c r="BR23" s="21"/>
      <c r="BS23" s="21"/>
      <c r="BT23" s="21"/>
      <c r="BU23" s="21"/>
      <c r="BV23" s="69">
        <v>0</v>
      </c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>
        <v>21.805808385536071</v>
      </c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69">
        <v>0</v>
      </c>
      <c r="DH23" s="21"/>
      <c r="DI23" s="21"/>
      <c r="DJ23" s="69">
        <v>0</v>
      </c>
      <c r="DK23" s="21"/>
      <c r="DL23" s="21"/>
      <c r="DM23" s="69">
        <v>0</v>
      </c>
      <c r="DN23" s="21"/>
      <c r="DO23" s="21"/>
      <c r="DP23" s="21"/>
      <c r="DQ23" s="21"/>
      <c r="DR23" s="21"/>
      <c r="DS23" s="21"/>
      <c r="DT23" s="21"/>
      <c r="DU23" s="21"/>
      <c r="DV23" s="21"/>
      <c r="DW23" s="69">
        <v>0</v>
      </c>
      <c r="DX23" s="21"/>
      <c r="DY23" s="21"/>
      <c r="DZ23" s="21"/>
      <c r="EA23" s="21"/>
      <c r="EB23" s="21"/>
      <c r="EC23" s="21"/>
      <c r="ED23" s="21"/>
      <c r="EE23" s="21"/>
      <c r="EF23" s="21"/>
      <c r="EG23" s="69">
        <v>0</v>
      </c>
      <c r="EH23" s="21"/>
      <c r="EI23" s="21"/>
      <c r="EJ23" s="21"/>
      <c r="EK23" s="21"/>
      <c r="EL23" s="69">
        <v>0</v>
      </c>
      <c r="EM23" s="21"/>
      <c r="EN23" s="69">
        <v>0</v>
      </c>
      <c r="EO23" s="21"/>
      <c r="EP23" s="69">
        <v>0</v>
      </c>
      <c r="EQ23" s="69">
        <v>0</v>
      </c>
      <c r="ER23" s="21"/>
      <c r="ES23" s="21"/>
      <c r="ET23" s="69">
        <v>0</v>
      </c>
      <c r="EU23" s="21"/>
      <c r="EV23" s="21"/>
      <c r="EW23" s="21"/>
      <c r="EX23" s="21"/>
      <c r="EY23" s="21"/>
      <c r="EZ23" s="21"/>
      <c r="FA23" s="69">
        <v>0</v>
      </c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>
        <v>0.36320860257083659</v>
      </c>
      <c r="GE23" s="21">
        <v>0.46060565501013623</v>
      </c>
      <c r="GF23" s="21">
        <v>0.78997213818374079</v>
      </c>
      <c r="GG23" s="21">
        <v>0.87803730957183601</v>
      </c>
      <c r="GH23" s="21">
        <v>0.86265947372660645</v>
      </c>
      <c r="GI23" s="21">
        <v>5.8715802565293242E-3</v>
      </c>
      <c r="GJ23" s="21">
        <v>1.5146879758303922E-2</v>
      </c>
      <c r="GK23" s="21">
        <v>3.5607590604776425E-2</v>
      </c>
      <c r="GL23" s="21">
        <v>4.6624936932262148E-2</v>
      </c>
      <c r="GM23" s="21">
        <v>0.13139107429233252</v>
      </c>
      <c r="GN23" s="21">
        <v>6.0513552808927383E-3</v>
      </c>
      <c r="GO23" s="21">
        <v>1.4485432243352759E-2</v>
      </c>
      <c r="GP23" s="21">
        <v>2.713822672041051E-2</v>
      </c>
      <c r="GQ23" s="21">
        <v>0.12515953088227746</v>
      </c>
      <c r="GR23" s="21">
        <v>0.11588056102635488</v>
      </c>
      <c r="GS23" s="21"/>
      <c r="GT23" s="21"/>
      <c r="GU23" s="21"/>
      <c r="GV23" s="21"/>
      <c r="GW23" s="21"/>
      <c r="GX23" s="21">
        <v>0</v>
      </c>
      <c r="GY23" s="21">
        <v>0</v>
      </c>
      <c r="GZ23" s="21"/>
      <c r="HA23" s="21"/>
      <c r="HB23" s="21">
        <f t="shared" si="0"/>
        <v>25.683648732596723</v>
      </c>
    </row>
    <row r="24" spans="1:210" x14ac:dyDescent="0.75">
      <c r="A24" s="67" t="s">
        <v>554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69">
        <v>0</v>
      </c>
      <c r="AD24" s="21"/>
      <c r="AE24" s="21"/>
      <c r="AF24" s="69">
        <v>0</v>
      </c>
      <c r="AG24" s="21"/>
      <c r="AH24" s="21"/>
      <c r="AI24" s="69">
        <v>0</v>
      </c>
      <c r="AJ24" s="21"/>
      <c r="AK24" s="21"/>
      <c r="AL24" s="21"/>
      <c r="AM24" s="21"/>
      <c r="AN24" s="21"/>
      <c r="AO24" s="21"/>
      <c r="AP24" s="21"/>
      <c r="AQ24" s="21"/>
      <c r="AR24" s="69">
        <v>0</v>
      </c>
      <c r="AS24" s="21"/>
      <c r="AT24" s="21"/>
      <c r="AU24" s="21"/>
      <c r="AV24" s="21"/>
      <c r="AW24" s="21"/>
      <c r="AX24" s="21"/>
      <c r="AY24" s="21"/>
      <c r="AZ24" s="21"/>
      <c r="BA24" s="21"/>
      <c r="BB24" s="69">
        <v>0</v>
      </c>
      <c r="BC24" s="21"/>
      <c r="BD24" s="21"/>
      <c r="BE24" s="21"/>
      <c r="BF24" s="21"/>
      <c r="BG24" s="69">
        <v>0</v>
      </c>
      <c r="BH24" s="21"/>
      <c r="BI24" s="69">
        <v>0</v>
      </c>
      <c r="BJ24" s="21"/>
      <c r="BK24" s="69">
        <v>0</v>
      </c>
      <c r="BL24" s="69">
        <v>0</v>
      </c>
      <c r="BM24" s="21"/>
      <c r="BN24" s="21"/>
      <c r="BO24" s="69">
        <v>0</v>
      </c>
      <c r="BP24" s="21"/>
      <c r="BQ24" s="21"/>
      <c r="BR24" s="21"/>
      <c r="BS24" s="21"/>
      <c r="BT24" s="21"/>
      <c r="BU24" s="21"/>
      <c r="BV24" s="69">
        <v>0</v>
      </c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>
        <v>11.169554564394941</v>
      </c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69">
        <v>0</v>
      </c>
      <c r="DH24" s="21"/>
      <c r="DI24" s="21"/>
      <c r="DJ24" s="69">
        <v>0</v>
      </c>
      <c r="DK24" s="21"/>
      <c r="DL24" s="21"/>
      <c r="DM24" s="69">
        <v>0</v>
      </c>
      <c r="DN24" s="21"/>
      <c r="DO24" s="21"/>
      <c r="DP24" s="21"/>
      <c r="DQ24" s="21"/>
      <c r="DR24" s="21"/>
      <c r="DS24" s="21"/>
      <c r="DT24" s="21"/>
      <c r="DU24" s="21"/>
      <c r="DV24" s="21"/>
      <c r="DW24" s="69">
        <v>0</v>
      </c>
      <c r="DX24" s="21"/>
      <c r="DY24" s="21"/>
      <c r="DZ24" s="21"/>
      <c r="EA24" s="21"/>
      <c r="EB24" s="21"/>
      <c r="EC24" s="21"/>
      <c r="ED24" s="21"/>
      <c r="EE24" s="21"/>
      <c r="EF24" s="21"/>
      <c r="EG24" s="69">
        <v>0</v>
      </c>
      <c r="EH24" s="21"/>
      <c r="EI24" s="21"/>
      <c r="EJ24" s="21"/>
      <c r="EK24" s="21"/>
      <c r="EL24" s="69">
        <v>0</v>
      </c>
      <c r="EM24" s="21"/>
      <c r="EN24" s="69">
        <v>0</v>
      </c>
      <c r="EO24" s="21"/>
      <c r="EP24" s="69">
        <v>0</v>
      </c>
      <c r="EQ24" s="69">
        <v>0</v>
      </c>
      <c r="ER24" s="21"/>
      <c r="ES24" s="21"/>
      <c r="ET24" s="69">
        <v>0</v>
      </c>
      <c r="EU24" s="21"/>
      <c r="EV24" s="21"/>
      <c r="EW24" s="21"/>
      <c r="EX24" s="21"/>
      <c r="EY24" s="21"/>
      <c r="EZ24" s="21"/>
      <c r="FA24" s="69">
        <v>0</v>
      </c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>
        <v>5.862074221831404E-3</v>
      </c>
      <c r="GE24" s="21">
        <v>1.5614793427430124E-2</v>
      </c>
      <c r="GF24" s="21">
        <v>2.4039238045648739E-2</v>
      </c>
      <c r="GG24" s="21">
        <v>4.2031793570319088E-2</v>
      </c>
      <c r="GH24" s="21">
        <v>3.2385468987447173E-2</v>
      </c>
      <c r="GI24" s="21"/>
      <c r="GJ24" s="21"/>
      <c r="GK24" s="21"/>
      <c r="GL24" s="21">
        <v>4.9308948131085645E-4</v>
      </c>
      <c r="GM24" s="21"/>
      <c r="GN24" s="21"/>
      <c r="GO24" s="21"/>
      <c r="GP24" s="21"/>
      <c r="GQ24" s="21"/>
      <c r="GR24" s="21">
        <v>7.6606368421436484E-3</v>
      </c>
      <c r="GS24" s="21"/>
      <c r="GT24" s="21"/>
      <c r="GU24" s="21"/>
      <c r="GV24" s="21"/>
      <c r="GW24" s="21"/>
      <c r="GX24" s="21">
        <v>0</v>
      </c>
      <c r="GY24" s="21">
        <v>0</v>
      </c>
      <c r="GZ24" s="21"/>
      <c r="HA24" s="21"/>
      <c r="HB24" s="21">
        <f t="shared" si="0"/>
        <v>11.29764165897107</v>
      </c>
    </row>
    <row r="25" spans="1:210" x14ac:dyDescent="0.75">
      <c r="A25" s="67" t="s">
        <v>703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69">
        <v>0</v>
      </c>
      <c r="AD25" s="21"/>
      <c r="AE25" s="21"/>
      <c r="AF25" s="69">
        <v>0</v>
      </c>
      <c r="AG25" s="21"/>
      <c r="AH25" s="21"/>
      <c r="AI25" s="69">
        <v>0</v>
      </c>
      <c r="AJ25" s="21"/>
      <c r="AK25" s="21"/>
      <c r="AL25" s="21"/>
      <c r="AM25" s="21"/>
      <c r="AN25" s="21"/>
      <c r="AO25" s="21"/>
      <c r="AP25" s="21"/>
      <c r="AQ25" s="21"/>
      <c r="AR25" s="69">
        <v>0</v>
      </c>
      <c r="AS25" s="21"/>
      <c r="AT25" s="21"/>
      <c r="AU25" s="21"/>
      <c r="AV25" s="21"/>
      <c r="AW25" s="21"/>
      <c r="AX25" s="21"/>
      <c r="AY25" s="21"/>
      <c r="AZ25" s="21"/>
      <c r="BA25" s="21"/>
      <c r="BB25" s="69">
        <v>0</v>
      </c>
      <c r="BC25" s="21"/>
      <c r="BD25" s="21"/>
      <c r="BE25" s="21"/>
      <c r="BF25" s="21"/>
      <c r="BG25" s="69">
        <v>0</v>
      </c>
      <c r="BH25" s="21"/>
      <c r="BI25" s="69">
        <v>0</v>
      </c>
      <c r="BJ25" s="21"/>
      <c r="BK25" s="69">
        <v>0</v>
      </c>
      <c r="BL25" s="69">
        <v>0</v>
      </c>
      <c r="BM25" s="21"/>
      <c r="BN25" s="21"/>
      <c r="BO25" s="69">
        <v>0</v>
      </c>
      <c r="BP25" s="21"/>
      <c r="BQ25" s="21"/>
      <c r="BR25" s="21"/>
      <c r="BS25" s="21"/>
      <c r="BT25" s="21"/>
      <c r="BU25" s="21"/>
      <c r="BV25" s="69">
        <v>0</v>
      </c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>
        <v>3.575493896279156</v>
      </c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69">
        <v>0</v>
      </c>
      <c r="DH25" s="21"/>
      <c r="DI25" s="21"/>
      <c r="DJ25" s="69">
        <v>0</v>
      </c>
      <c r="DK25" s="21"/>
      <c r="DL25" s="21"/>
      <c r="DM25" s="69">
        <v>0</v>
      </c>
      <c r="DN25" s="21"/>
      <c r="DO25" s="21"/>
      <c r="DP25" s="21"/>
      <c r="DQ25" s="21"/>
      <c r="DR25" s="21"/>
      <c r="DS25" s="21"/>
      <c r="DT25" s="21"/>
      <c r="DU25" s="21"/>
      <c r="DV25" s="21"/>
      <c r="DW25" s="69">
        <v>0</v>
      </c>
      <c r="DX25" s="21"/>
      <c r="DY25" s="21"/>
      <c r="DZ25" s="21"/>
      <c r="EA25" s="21"/>
      <c r="EB25" s="21"/>
      <c r="EC25" s="21"/>
      <c r="ED25" s="21"/>
      <c r="EE25" s="21"/>
      <c r="EF25" s="21"/>
      <c r="EG25" s="69">
        <v>0</v>
      </c>
      <c r="EH25" s="21"/>
      <c r="EI25" s="21"/>
      <c r="EJ25" s="21"/>
      <c r="EK25" s="21"/>
      <c r="EL25" s="69">
        <v>0</v>
      </c>
      <c r="EM25" s="21"/>
      <c r="EN25" s="69">
        <v>0</v>
      </c>
      <c r="EO25" s="21"/>
      <c r="EP25" s="69">
        <v>0</v>
      </c>
      <c r="EQ25" s="69">
        <v>0</v>
      </c>
      <c r="ER25" s="21"/>
      <c r="ES25" s="21"/>
      <c r="ET25" s="69">
        <v>0</v>
      </c>
      <c r="EU25" s="21"/>
      <c r="EV25" s="21"/>
      <c r="EW25" s="21"/>
      <c r="EX25" s="21"/>
      <c r="EY25" s="21"/>
      <c r="EZ25" s="21"/>
      <c r="FA25" s="69">
        <v>0</v>
      </c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>
        <v>3.9742789040950272E-2</v>
      </c>
      <c r="GE25" s="21">
        <v>4.2774186866803218E-2</v>
      </c>
      <c r="GF25" s="21">
        <v>4.8081026344091213E-2</v>
      </c>
      <c r="GG25" s="21">
        <v>3.3927989213536749E-2</v>
      </c>
      <c r="GH25" s="21">
        <v>1.783900008891243E-2</v>
      </c>
      <c r="GI25" s="21">
        <v>7.9743715218663473E-4</v>
      </c>
      <c r="GJ25" s="21">
        <v>5.6649636291503742E-4</v>
      </c>
      <c r="GK25" s="21">
        <v>5.4826550822842845E-4</v>
      </c>
      <c r="GL25" s="21"/>
      <c r="GM25" s="21">
        <v>1.572655003898484E-3</v>
      </c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>
        <v>0</v>
      </c>
      <c r="GY25" s="21">
        <v>0</v>
      </c>
      <c r="GZ25" s="21"/>
      <c r="HA25" s="21"/>
      <c r="HB25" s="21">
        <f t="shared" si="0"/>
        <v>3.7613437418606783</v>
      </c>
    </row>
    <row r="26" spans="1:210" x14ac:dyDescent="0.75">
      <c r="A26" s="67" t="s">
        <v>292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69">
        <v>0</v>
      </c>
      <c r="AD26" s="21"/>
      <c r="AE26" s="21"/>
      <c r="AF26" s="69">
        <v>0</v>
      </c>
      <c r="AG26" s="21"/>
      <c r="AH26" s="21"/>
      <c r="AI26" s="69">
        <v>0</v>
      </c>
      <c r="AJ26" s="21"/>
      <c r="AK26" s="21"/>
      <c r="AL26" s="21"/>
      <c r="AM26" s="21"/>
      <c r="AN26" s="21"/>
      <c r="AO26" s="21"/>
      <c r="AP26" s="21"/>
      <c r="AQ26" s="21"/>
      <c r="AR26" s="69">
        <v>0</v>
      </c>
      <c r="AS26" s="21"/>
      <c r="AT26" s="21"/>
      <c r="AU26" s="21"/>
      <c r="AV26" s="21"/>
      <c r="AW26" s="21"/>
      <c r="AX26" s="21"/>
      <c r="AY26" s="21"/>
      <c r="AZ26" s="21"/>
      <c r="BA26" s="21"/>
      <c r="BB26" s="69">
        <v>0</v>
      </c>
      <c r="BC26" s="21"/>
      <c r="BD26" s="21"/>
      <c r="BE26" s="21"/>
      <c r="BF26" s="21"/>
      <c r="BG26" s="69">
        <v>0</v>
      </c>
      <c r="BH26" s="21"/>
      <c r="BI26" s="69">
        <v>0</v>
      </c>
      <c r="BJ26" s="21"/>
      <c r="BK26" s="69">
        <v>0</v>
      </c>
      <c r="BL26" s="69">
        <v>0</v>
      </c>
      <c r="BM26" s="21"/>
      <c r="BN26" s="21"/>
      <c r="BO26" s="69">
        <v>0</v>
      </c>
      <c r="BP26" s="21"/>
      <c r="BQ26" s="21"/>
      <c r="BR26" s="21"/>
      <c r="BS26" s="21"/>
      <c r="BT26" s="21"/>
      <c r="BU26" s="21"/>
      <c r="BV26" s="69">
        <v>0</v>
      </c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>
        <v>80.51142851610247</v>
      </c>
      <c r="CY26" s="21"/>
      <c r="CZ26" s="21"/>
      <c r="DA26" s="21"/>
      <c r="DB26" s="21"/>
      <c r="DC26" s="21"/>
      <c r="DD26" s="21"/>
      <c r="DE26" s="21"/>
      <c r="DF26" s="21"/>
      <c r="DG26" s="69">
        <v>0</v>
      </c>
      <c r="DH26" s="21"/>
      <c r="DI26" s="21"/>
      <c r="DJ26" s="69">
        <v>0</v>
      </c>
      <c r="DK26" s="21"/>
      <c r="DL26" s="21"/>
      <c r="DM26" s="69">
        <v>0</v>
      </c>
      <c r="DN26" s="21"/>
      <c r="DO26" s="21"/>
      <c r="DP26" s="21"/>
      <c r="DQ26" s="21"/>
      <c r="DR26" s="21"/>
      <c r="DS26" s="21"/>
      <c r="DT26" s="21"/>
      <c r="DU26" s="21"/>
      <c r="DV26" s="21"/>
      <c r="DW26" s="69">
        <v>0</v>
      </c>
      <c r="DX26" s="21"/>
      <c r="DY26" s="21"/>
      <c r="DZ26" s="21"/>
      <c r="EA26" s="21"/>
      <c r="EB26" s="21"/>
      <c r="EC26" s="21"/>
      <c r="ED26" s="21"/>
      <c r="EE26" s="21"/>
      <c r="EF26" s="21"/>
      <c r="EG26" s="69">
        <v>0</v>
      </c>
      <c r="EH26" s="21"/>
      <c r="EI26" s="21"/>
      <c r="EJ26" s="21"/>
      <c r="EK26" s="21"/>
      <c r="EL26" s="69">
        <v>0</v>
      </c>
      <c r="EM26" s="21"/>
      <c r="EN26" s="69">
        <v>0</v>
      </c>
      <c r="EO26" s="21"/>
      <c r="EP26" s="69">
        <v>0</v>
      </c>
      <c r="EQ26" s="69">
        <v>0</v>
      </c>
      <c r="ER26" s="21"/>
      <c r="ES26" s="21"/>
      <c r="ET26" s="69">
        <v>0</v>
      </c>
      <c r="EU26" s="21"/>
      <c r="EV26" s="21"/>
      <c r="EW26" s="21"/>
      <c r="EX26" s="21"/>
      <c r="EY26" s="21"/>
      <c r="EZ26" s="21"/>
      <c r="FA26" s="69">
        <v>0</v>
      </c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>
        <v>0</v>
      </c>
      <c r="GY26" s="21">
        <v>0</v>
      </c>
      <c r="GZ26" s="21"/>
      <c r="HA26" s="21"/>
      <c r="HB26" s="21">
        <f t="shared" si="0"/>
        <v>80.51142851610247</v>
      </c>
    </row>
    <row r="27" spans="1:210" x14ac:dyDescent="0.75">
      <c r="A27" s="67" t="s">
        <v>468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69">
        <v>0</v>
      </c>
      <c r="AD27" s="21"/>
      <c r="AE27" s="21"/>
      <c r="AF27" s="69">
        <v>0</v>
      </c>
      <c r="AG27" s="21"/>
      <c r="AH27" s="21"/>
      <c r="AI27" s="69">
        <v>0</v>
      </c>
      <c r="AJ27" s="21"/>
      <c r="AK27" s="21"/>
      <c r="AL27" s="21"/>
      <c r="AM27" s="21"/>
      <c r="AN27" s="21"/>
      <c r="AO27" s="21"/>
      <c r="AP27" s="21"/>
      <c r="AQ27" s="21"/>
      <c r="AR27" s="69">
        <v>0</v>
      </c>
      <c r="AS27" s="21"/>
      <c r="AT27" s="21"/>
      <c r="AU27" s="21"/>
      <c r="AV27" s="21"/>
      <c r="AW27" s="21"/>
      <c r="AX27" s="21"/>
      <c r="AY27" s="21"/>
      <c r="AZ27" s="21"/>
      <c r="BA27" s="21"/>
      <c r="BB27" s="69">
        <v>0</v>
      </c>
      <c r="BC27" s="21"/>
      <c r="BD27" s="21"/>
      <c r="BE27" s="21"/>
      <c r="BF27" s="21"/>
      <c r="BG27" s="69">
        <v>0</v>
      </c>
      <c r="BH27" s="21"/>
      <c r="BI27" s="69">
        <v>0</v>
      </c>
      <c r="BJ27" s="21"/>
      <c r="BK27" s="69">
        <v>0</v>
      </c>
      <c r="BL27" s="69">
        <v>0</v>
      </c>
      <c r="BM27" s="21"/>
      <c r="BN27" s="21"/>
      <c r="BO27" s="69">
        <v>0</v>
      </c>
      <c r="BP27" s="21"/>
      <c r="BQ27" s="21"/>
      <c r="BR27" s="21"/>
      <c r="BS27" s="21"/>
      <c r="BT27" s="21"/>
      <c r="BU27" s="21"/>
      <c r="BV27" s="69">
        <v>0</v>
      </c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>
        <v>24.732342106772116</v>
      </c>
      <c r="CZ27" s="21"/>
      <c r="DA27" s="21"/>
      <c r="DB27" s="21"/>
      <c r="DC27" s="21"/>
      <c r="DD27" s="21"/>
      <c r="DE27" s="21"/>
      <c r="DF27" s="21"/>
      <c r="DG27" s="69">
        <v>0</v>
      </c>
      <c r="DH27" s="21"/>
      <c r="DI27" s="21"/>
      <c r="DJ27" s="69">
        <v>0</v>
      </c>
      <c r="DK27" s="21"/>
      <c r="DL27" s="21"/>
      <c r="DM27" s="69">
        <v>0</v>
      </c>
      <c r="DN27" s="21"/>
      <c r="DO27" s="21"/>
      <c r="DP27" s="21"/>
      <c r="DQ27" s="21"/>
      <c r="DR27" s="21"/>
      <c r="DS27" s="21"/>
      <c r="DT27" s="21"/>
      <c r="DU27" s="21"/>
      <c r="DV27" s="21"/>
      <c r="DW27" s="69">
        <v>0</v>
      </c>
      <c r="DX27" s="21"/>
      <c r="DY27" s="21"/>
      <c r="DZ27" s="21"/>
      <c r="EA27" s="21"/>
      <c r="EB27" s="21"/>
      <c r="EC27" s="21"/>
      <c r="ED27" s="21"/>
      <c r="EE27" s="21"/>
      <c r="EF27" s="21"/>
      <c r="EG27" s="69">
        <v>0</v>
      </c>
      <c r="EH27" s="21"/>
      <c r="EI27" s="21"/>
      <c r="EJ27" s="21"/>
      <c r="EK27" s="21"/>
      <c r="EL27" s="69">
        <v>0</v>
      </c>
      <c r="EM27" s="21"/>
      <c r="EN27" s="69">
        <v>0</v>
      </c>
      <c r="EO27" s="21"/>
      <c r="EP27" s="69">
        <v>0</v>
      </c>
      <c r="EQ27" s="69">
        <v>0</v>
      </c>
      <c r="ER27" s="21"/>
      <c r="ES27" s="21"/>
      <c r="ET27" s="69">
        <v>0</v>
      </c>
      <c r="EU27" s="21"/>
      <c r="EV27" s="21"/>
      <c r="EW27" s="21"/>
      <c r="EX27" s="21"/>
      <c r="EY27" s="21"/>
      <c r="EZ27" s="21"/>
      <c r="FA27" s="69">
        <v>0</v>
      </c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>
        <v>0</v>
      </c>
      <c r="GY27" s="21">
        <v>0</v>
      </c>
      <c r="GZ27" s="21"/>
      <c r="HA27" s="21"/>
      <c r="HB27" s="21">
        <f t="shared" si="0"/>
        <v>24.732342106772116</v>
      </c>
    </row>
    <row r="28" spans="1:210" x14ac:dyDescent="0.75">
      <c r="A28" s="67" t="s">
        <v>354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69">
        <v>0</v>
      </c>
      <c r="AD28" s="21"/>
      <c r="AE28" s="21"/>
      <c r="AF28" s="69">
        <v>0</v>
      </c>
      <c r="AG28" s="21"/>
      <c r="AH28" s="21"/>
      <c r="AI28" s="69">
        <v>0</v>
      </c>
      <c r="AJ28" s="21"/>
      <c r="AK28" s="21"/>
      <c r="AL28" s="21"/>
      <c r="AM28" s="21"/>
      <c r="AN28" s="21"/>
      <c r="AO28" s="21"/>
      <c r="AP28" s="21"/>
      <c r="AQ28" s="21"/>
      <c r="AR28" s="69">
        <v>0</v>
      </c>
      <c r="AS28" s="21"/>
      <c r="AT28" s="21"/>
      <c r="AU28" s="21"/>
      <c r="AV28" s="21"/>
      <c r="AW28" s="21"/>
      <c r="AX28" s="21"/>
      <c r="AY28" s="21"/>
      <c r="AZ28" s="21"/>
      <c r="BA28" s="21"/>
      <c r="BB28" s="69">
        <v>0</v>
      </c>
      <c r="BC28" s="21"/>
      <c r="BD28" s="21"/>
      <c r="BE28" s="21"/>
      <c r="BF28" s="21"/>
      <c r="BG28" s="69">
        <v>0</v>
      </c>
      <c r="BH28" s="21"/>
      <c r="BI28" s="69">
        <v>0</v>
      </c>
      <c r="BJ28" s="21"/>
      <c r="BK28" s="69">
        <v>0</v>
      </c>
      <c r="BL28" s="69">
        <v>0</v>
      </c>
      <c r="BM28" s="21"/>
      <c r="BN28" s="21"/>
      <c r="BO28" s="69">
        <v>0</v>
      </c>
      <c r="BP28" s="21"/>
      <c r="BQ28" s="21"/>
      <c r="BR28" s="21"/>
      <c r="BS28" s="21"/>
      <c r="BT28" s="21"/>
      <c r="BU28" s="21"/>
      <c r="BV28" s="69">
        <v>0</v>
      </c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>
        <v>4.1841433039002238</v>
      </c>
      <c r="DA28" s="21"/>
      <c r="DB28" s="21"/>
      <c r="DC28" s="21"/>
      <c r="DD28" s="21"/>
      <c r="DE28" s="21"/>
      <c r="DF28" s="21"/>
      <c r="DG28" s="69">
        <v>0</v>
      </c>
      <c r="DH28" s="21"/>
      <c r="DI28" s="21"/>
      <c r="DJ28" s="69">
        <v>0</v>
      </c>
      <c r="DK28" s="21"/>
      <c r="DL28" s="21"/>
      <c r="DM28" s="69">
        <v>0</v>
      </c>
      <c r="DN28" s="21"/>
      <c r="DO28" s="21"/>
      <c r="DP28" s="21"/>
      <c r="DQ28" s="21"/>
      <c r="DR28" s="21"/>
      <c r="DS28" s="21"/>
      <c r="DT28" s="21"/>
      <c r="DU28" s="21"/>
      <c r="DV28" s="21"/>
      <c r="DW28" s="69">
        <v>0</v>
      </c>
      <c r="DX28" s="21"/>
      <c r="DY28" s="21"/>
      <c r="DZ28" s="21"/>
      <c r="EA28" s="21"/>
      <c r="EB28" s="21"/>
      <c r="EC28" s="21"/>
      <c r="ED28" s="21"/>
      <c r="EE28" s="21"/>
      <c r="EF28" s="21"/>
      <c r="EG28" s="69">
        <v>0</v>
      </c>
      <c r="EH28" s="21"/>
      <c r="EI28" s="21"/>
      <c r="EJ28" s="21"/>
      <c r="EK28" s="21"/>
      <c r="EL28" s="69">
        <v>0</v>
      </c>
      <c r="EM28" s="21"/>
      <c r="EN28" s="69">
        <v>0</v>
      </c>
      <c r="EO28" s="21"/>
      <c r="EP28" s="69">
        <v>0</v>
      </c>
      <c r="EQ28" s="69">
        <v>0</v>
      </c>
      <c r="ER28" s="21"/>
      <c r="ES28" s="21"/>
      <c r="ET28" s="69">
        <v>0</v>
      </c>
      <c r="EU28" s="21"/>
      <c r="EV28" s="21"/>
      <c r="EW28" s="21"/>
      <c r="EX28" s="21"/>
      <c r="EY28" s="21"/>
      <c r="EZ28" s="21"/>
      <c r="FA28" s="69">
        <v>0</v>
      </c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>
        <v>0</v>
      </c>
      <c r="GY28" s="21">
        <v>0</v>
      </c>
      <c r="GZ28" s="21"/>
      <c r="HA28" s="21"/>
      <c r="HB28" s="21">
        <f t="shared" si="0"/>
        <v>4.1841433039002238</v>
      </c>
    </row>
    <row r="29" spans="1:210" x14ac:dyDescent="0.75">
      <c r="A29" s="67" t="s">
        <v>290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69">
        <v>0</v>
      </c>
      <c r="AD29" s="21"/>
      <c r="AE29" s="21"/>
      <c r="AF29" s="69">
        <v>0</v>
      </c>
      <c r="AG29" s="21"/>
      <c r="AH29" s="21"/>
      <c r="AI29" s="69">
        <v>0</v>
      </c>
      <c r="AJ29" s="21"/>
      <c r="AK29" s="21"/>
      <c r="AL29" s="21"/>
      <c r="AM29" s="21"/>
      <c r="AN29" s="21"/>
      <c r="AO29" s="21"/>
      <c r="AP29" s="21"/>
      <c r="AQ29" s="21"/>
      <c r="AR29" s="69">
        <v>0</v>
      </c>
      <c r="AS29" s="21"/>
      <c r="AT29" s="21"/>
      <c r="AU29" s="21"/>
      <c r="AV29" s="21"/>
      <c r="AW29" s="21"/>
      <c r="AX29" s="21"/>
      <c r="AY29" s="21"/>
      <c r="AZ29" s="21"/>
      <c r="BA29" s="21"/>
      <c r="BB29" s="69">
        <v>0</v>
      </c>
      <c r="BC29" s="21"/>
      <c r="BD29" s="21"/>
      <c r="BE29" s="21"/>
      <c r="BF29" s="21"/>
      <c r="BG29" s="69">
        <v>0</v>
      </c>
      <c r="BH29" s="21"/>
      <c r="BI29" s="69">
        <v>0</v>
      </c>
      <c r="BJ29" s="21"/>
      <c r="BK29" s="69">
        <v>0</v>
      </c>
      <c r="BL29" s="69">
        <v>0</v>
      </c>
      <c r="BM29" s="21"/>
      <c r="BN29" s="21"/>
      <c r="BO29" s="69">
        <v>0</v>
      </c>
      <c r="BP29" s="21"/>
      <c r="BQ29" s="21"/>
      <c r="BR29" s="21"/>
      <c r="BS29" s="21"/>
      <c r="BT29" s="21"/>
      <c r="BU29" s="21"/>
      <c r="BV29" s="69">
        <v>0</v>
      </c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>
        <v>7.4772431177999499</v>
      </c>
      <c r="DB29" s="21"/>
      <c r="DC29" s="21"/>
      <c r="DD29" s="21"/>
      <c r="DE29" s="21"/>
      <c r="DF29" s="21"/>
      <c r="DG29" s="69">
        <v>0</v>
      </c>
      <c r="DH29" s="21"/>
      <c r="DI29" s="21"/>
      <c r="DJ29" s="69">
        <v>0</v>
      </c>
      <c r="DK29" s="21"/>
      <c r="DL29" s="21"/>
      <c r="DM29" s="69">
        <v>0</v>
      </c>
      <c r="DN29" s="21"/>
      <c r="DO29" s="21"/>
      <c r="DP29" s="21"/>
      <c r="DQ29" s="21"/>
      <c r="DR29" s="21"/>
      <c r="DS29" s="21"/>
      <c r="DT29" s="21"/>
      <c r="DU29" s="21"/>
      <c r="DV29" s="21"/>
      <c r="DW29" s="69">
        <v>0</v>
      </c>
      <c r="DX29" s="21"/>
      <c r="DY29" s="21"/>
      <c r="DZ29" s="21"/>
      <c r="EA29" s="21"/>
      <c r="EB29" s="21"/>
      <c r="EC29" s="21"/>
      <c r="ED29" s="21"/>
      <c r="EE29" s="21"/>
      <c r="EF29" s="21"/>
      <c r="EG29" s="69">
        <v>0</v>
      </c>
      <c r="EH29" s="21"/>
      <c r="EI29" s="21"/>
      <c r="EJ29" s="21"/>
      <c r="EK29" s="21"/>
      <c r="EL29" s="69">
        <v>0</v>
      </c>
      <c r="EM29" s="21"/>
      <c r="EN29" s="69">
        <v>0</v>
      </c>
      <c r="EO29" s="21"/>
      <c r="EP29" s="69">
        <v>0</v>
      </c>
      <c r="EQ29" s="69">
        <v>0</v>
      </c>
      <c r="ER29" s="21"/>
      <c r="ES29" s="21"/>
      <c r="ET29" s="69">
        <v>0</v>
      </c>
      <c r="EU29" s="21"/>
      <c r="EV29" s="21"/>
      <c r="EW29" s="21"/>
      <c r="EX29" s="21"/>
      <c r="EY29" s="21"/>
      <c r="EZ29" s="21"/>
      <c r="FA29" s="69">
        <v>0</v>
      </c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>
        <v>1.565228144938741E-2</v>
      </c>
      <c r="GE29" s="21">
        <v>2.9692843635575325E-2</v>
      </c>
      <c r="GF29" s="21">
        <v>3.2165055866820398E-2</v>
      </c>
      <c r="GG29" s="21">
        <v>0.17683454766183379</v>
      </c>
      <c r="GH29" s="21">
        <v>0.13759364768425725</v>
      </c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>
        <v>0</v>
      </c>
      <c r="GY29" s="21">
        <v>0</v>
      </c>
      <c r="GZ29" s="21"/>
      <c r="HA29" s="21"/>
      <c r="HB29" s="21">
        <f t="shared" si="0"/>
        <v>7.8691814940978242</v>
      </c>
    </row>
    <row r="30" spans="1:210" x14ac:dyDescent="0.75">
      <c r="A30" s="67" t="s">
        <v>704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69">
        <v>0</v>
      </c>
      <c r="AD30" s="21"/>
      <c r="AE30" s="21"/>
      <c r="AF30" s="69">
        <v>0</v>
      </c>
      <c r="AG30" s="21"/>
      <c r="AH30" s="21"/>
      <c r="AI30" s="69">
        <v>0</v>
      </c>
      <c r="AJ30" s="21"/>
      <c r="AK30" s="21"/>
      <c r="AL30" s="21"/>
      <c r="AM30" s="21"/>
      <c r="AN30" s="21"/>
      <c r="AO30" s="21"/>
      <c r="AP30" s="21"/>
      <c r="AQ30" s="21"/>
      <c r="AR30" s="69">
        <v>0</v>
      </c>
      <c r="AS30" s="21"/>
      <c r="AT30" s="21"/>
      <c r="AU30" s="21"/>
      <c r="AV30" s="21"/>
      <c r="AW30" s="21"/>
      <c r="AX30" s="21"/>
      <c r="AY30" s="21"/>
      <c r="AZ30" s="21"/>
      <c r="BA30" s="21"/>
      <c r="BB30" s="69">
        <v>0</v>
      </c>
      <c r="BC30" s="21"/>
      <c r="BD30" s="21"/>
      <c r="BE30" s="21"/>
      <c r="BF30" s="21"/>
      <c r="BG30" s="69">
        <v>0</v>
      </c>
      <c r="BH30" s="21"/>
      <c r="BI30" s="69">
        <v>0</v>
      </c>
      <c r="BJ30" s="21"/>
      <c r="BK30" s="69">
        <v>0</v>
      </c>
      <c r="BL30" s="69">
        <v>0</v>
      </c>
      <c r="BM30" s="21"/>
      <c r="BN30" s="21"/>
      <c r="BO30" s="69">
        <v>0</v>
      </c>
      <c r="BP30" s="21"/>
      <c r="BQ30" s="21"/>
      <c r="BR30" s="21"/>
      <c r="BS30" s="21"/>
      <c r="BT30" s="21"/>
      <c r="BU30" s="21"/>
      <c r="BV30" s="69">
        <v>0</v>
      </c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>
        <v>5.5853341662188365</v>
      </c>
      <c r="DC30" s="21"/>
      <c r="DD30" s="21"/>
      <c r="DE30" s="21"/>
      <c r="DF30" s="21"/>
      <c r="DG30" s="69">
        <v>0</v>
      </c>
      <c r="DH30" s="21"/>
      <c r="DI30" s="21"/>
      <c r="DJ30" s="69">
        <v>0</v>
      </c>
      <c r="DK30" s="21"/>
      <c r="DL30" s="21"/>
      <c r="DM30" s="69">
        <v>0</v>
      </c>
      <c r="DN30" s="21"/>
      <c r="DO30" s="21"/>
      <c r="DP30" s="21"/>
      <c r="DQ30" s="21"/>
      <c r="DR30" s="21"/>
      <c r="DS30" s="21"/>
      <c r="DT30" s="21"/>
      <c r="DU30" s="21"/>
      <c r="DV30" s="21"/>
      <c r="DW30" s="69">
        <v>0</v>
      </c>
      <c r="DX30" s="21"/>
      <c r="DY30" s="21"/>
      <c r="DZ30" s="21"/>
      <c r="EA30" s="21"/>
      <c r="EB30" s="21"/>
      <c r="EC30" s="21"/>
      <c r="ED30" s="21"/>
      <c r="EE30" s="21"/>
      <c r="EF30" s="21"/>
      <c r="EG30" s="69">
        <v>0</v>
      </c>
      <c r="EH30" s="21"/>
      <c r="EI30" s="21"/>
      <c r="EJ30" s="21"/>
      <c r="EK30" s="21"/>
      <c r="EL30" s="69">
        <v>0</v>
      </c>
      <c r="EM30" s="21"/>
      <c r="EN30" s="69">
        <v>0</v>
      </c>
      <c r="EO30" s="21"/>
      <c r="EP30" s="69">
        <v>0</v>
      </c>
      <c r="EQ30" s="69">
        <v>0</v>
      </c>
      <c r="ER30" s="21"/>
      <c r="ES30" s="21"/>
      <c r="ET30" s="69">
        <v>0</v>
      </c>
      <c r="EU30" s="21"/>
      <c r="EV30" s="21"/>
      <c r="EW30" s="21"/>
      <c r="EX30" s="21"/>
      <c r="EY30" s="21"/>
      <c r="EZ30" s="21"/>
      <c r="FA30" s="69">
        <v>0</v>
      </c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>
        <v>0</v>
      </c>
      <c r="GY30" s="21">
        <v>0</v>
      </c>
      <c r="GZ30" s="21"/>
      <c r="HA30" s="21"/>
      <c r="HB30" s="21">
        <f t="shared" si="0"/>
        <v>5.5853341662188365</v>
      </c>
    </row>
    <row r="31" spans="1:210" x14ac:dyDescent="0.75">
      <c r="A31" s="67" t="s">
        <v>293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69">
        <v>0</v>
      </c>
      <c r="AD31" s="21"/>
      <c r="AE31" s="21"/>
      <c r="AF31" s="69">
        <v>0</v>
      </c>
      <c r="AG31" s="21"/>
      <c r="AH31" s="21"/>
      <c r="AI31" s="69">
        <v>0</v>
      </c>
      <c r="AJ31" s="21"/>
      <c r="AK31" s="21"/>
      <c r="AL31" s="21"/>
      <c r="AM31" s="21"/>
      <c r="AN31" s="21"/>
      <c r="AO31" s="21"/>
      <c r="AP31" s="21"/>
      <c r="AQ31" s="21"/>
      <c r="AR31" s="69">
        <v>0</v>
      </c>
      <c r="AS31" s="21"/>
      <c r="AT31" s="21"/>
      <c r="AU31" s="21"/>
      <c r="AV31" s="21"/>
      <c r="AW31" s="21"/>
      <c r="AX31" s="21"/>
      <c r="AY31" s="21"/>
      <c r="AZ31" s="21"/>
      <c r="BA31" s="21"/>
      <c r="BB31" s="69">
        <v>0</v>
      </c>
      <c r="BC31" s="21"/>
      <c r="BD31" s="21"/>
      <c r="BE31" s="21"/>
      <c r="BF31" s="21"/>
      <c r="BG31" s="69">
        <v>0</v>
      </c>
      <c r="BH31" s="21"/>
      <c r="BI31" s="69">
        <v>0</v>
      </c>
      <c r="BJ31" s="21"/>
      <c r="BK31" s="69">
        <v>0</v>
      </c>
      <c r="BL31" s="69">
        <v>0</v>
      </c>
      <c r="BM31" s="21"/>
      <c r="BN31" s="21"/>
      <c r="BO31" s="69">
        <v>0</v>
      </c>
      <c r="BP31" s="21"/>
      <c r="BQ31" s="21"/>
      <c r="BR31" s="21"/>
      <c r="BS31" s="21"/>
      <c r="BT31" s="21"/>
      <c r="BU31" s="21"/>
      <c r="BV31" s="69">
        <v>0</v>
      </c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>
        <v>30.080226405274811</v>
      </c>
      <c r="DD31" s="21"/>
      <c r="DE31" s="21"/>
      <c r="DF31" s="21"/>
      <c r="DG31" s="69">
        <v>0</v>
      </c>
      <c r="DH31" s="21"/>
      <c r="DI31" s="21"/>
      <c r="DJ31" s="69">
        <v>0</v>
      </c>
      <c r="DK31" s="21"/>
      <c r="DL31" s="21"/>
      <c r="DM31" s="69">
        <v>0</v>
      </c>
      <c r="DN31" s="21"/>
      <c r="DO31" s="21"/>
      <c r="DP31" s="21"/>
      <c r="DQ31" s="21"/>
      <c r="DR31" s="21"/>
      <c r="DS31" s="21"/>
      <c r="DT31" s="21"/>
      <c r="DU31" s="21"/>
      <c r="DV31" s="21"/>
      <c r="DW31" s="69">
        <v>0</v>
      </c>
      <c r="DX31" s="21"/>
      <c r="DY31" s="21"/>
      <c r="DZ31" s="21"/>
      <c r="EA31" s="21"/>
      <c r="EB31" s="21"/>
      <c r="EC31" s="21"/>
      <c r="ED31" s="21"/>
      <c r="EE31" s="21"/>
      <c r="EF31" s="21"/>
      <c r="EG31" s="69">
        <v>0</v>
      </c>
      <c r="EH31" s="21"/>
      <c r="EI31" s="21"/>
      <c r="EJ31" s="21"/>
      <c r="EK31" s="21"/>
      <c r="EL31" s="69">
        <v>0</v>
      </c>
      <c r="EM31" s="21"/>
      <c r="EN31" s="69">
        <v>0</v>
      </c>
      <c r="EO31" s="21"/>
      <c r="EP31" s="69">
        <v>0</v>
      </c>
      <c r="EQ31" s="69">
        <v>0</v>
      </c>
      <c r="ER31" s="21"/>
      <c r="ES31" s="21"/>
      <c r="ET31" s="69">
        <v>0</v>
      </c>
      <c r="EU31" s="21"/>
      <c r="EV31" s="21"/>
      <c r="EW31" s="21"/>
      <c r="EX31" s="21"/>
      <c r="EY31" s="21"/>
      <c r="EZ31" s="21"/>
      <c r="FA31" s="69">
        <v>0</v>
      </c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>
        <v>2.7638107528689484E-3</v>
      </c>
      <c r="GE31" s="21">
        <v>1.3684569975904335E-3</v>
      </c>
      <c r="GF31" s="21">
        <v>5.2435599302910387E-3</v>
      </c>
      <c r="GG31" s="21">
        <v>1.6852035596369462E-2</v>
      </c>
      <c r="GH31" s="21">
        <v>5.5866368777785058E-2</v>
      </c>
      <c r="GI31" s="21"/>
      <c r="GJ31" s="21"/>
      <c r="GK31" s="21"/>
      <c r="GL31" s="21"/>
      <c r="GM31" s="21">
        <v>8.5353794846735609E-3</v>
      </c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>
        <v>0</v>
      </c>
      <c r="GY31" s="21">
        <v>0</v>
      </c>
      <c r="GZ31" s="21"/>
      <c r="HA31" s="21"/>
      <c r="HB31" s="21">
        <f t="shared" si="0"/>
        <v>30.170856016814387</v>
      </c>
    </row>
    <row r="32" spans="1:210" x14ac:dyDescent="0.75">
      <c r="A32" s="67" t="s">
        <v>294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69">
        <v>0</v>
      </c>
      <c r="AD32" s="21"/>
      <c r="AE32" s="21"/>
      <c r="AF32" s="69">
        <v>0</v>
      </c>
      <c r="AG32" s="21"/>
      <c r="AH32" s="21"/>
      <c r="AI32" s="69">
        <v>0</v>
      </c>
      <c r="AJ32" s="21"/>
      <c r="AK32" s="21"/>
      <c r="AL32" s="21"/>
      <c r="AM32" s="21"/>
      <c r="AN32" s="21"/>
      <c r="AO32" s="21"/>
      <c r="AP32" s="21"/>
      <c r="AQ32" s="21"/>
      <c r="AR32" s="69">
        <v>0</v>
      </c>
      <c r="AS32" s="21"/>
      <c r="AT32" s="21"/>
      <c r="AU32" s="21"/>
      <c r="AV32" s="21"/>
      <c r="AW32" s="21"/>
      <c r="AX32" s="21"/>
      <c r="AY32" s="21"/>
      <c r="AZ32" s="21"/>
      <c r="BA32" s="21"/>
      <c r="BB32" s="69">
        <v>0</v>
      </c>
      <c r="BC32" s="21"/>
      <c r="BD32" s="21"/>
      <c r="BE32" s="21"/>
      <c r="BF32" s="21"/>
      <c r="BG32" s="69">
        <v>0</v>
      </c>
      <c r="BH32" s="21"/>
      <c r="BI32" s="69">
        <v>0</v>
      </c>
      <c r="BJ32" s="21"/>
      <c r="BK32" s="69">
        <v>0</v>
      </c>
      <c r="BL32" s="69">
        <v>0</v>
      </c>
      <c r="BM32" s="21"/>
      <c r="BN32" s="21"/>
      <c r="BO32" s="69">
        <v>0</v>
      </c>
      <c r="BP32" s="21"/>
      <c r="BQ32" s="21"/>
      <c r="BR32" s="21"/>
      <c r="BS32" s="21"/>
      <c r="BT32" s="21"/>
      <c r="BU32" s="21"/>
      <c r="BV32" s="69">
        <v>0</v>
      </c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>
        <v>87.792114191970128</v>
      </c>
      <c r="DE32" s="21"/>
      <c r="DF32" s="21"/>
      <c r="DG32" s="69">
        <v>0</v>
      </c>
      <c r="DH32" s="21"/>
      <c r="DI32" s="21"/>
      <c r="DJ32" s="69">
        <v>0</v>
      </c>
      <c r="DK32" s="21"/>
      <c r="DL32" s="21"/>
      <c r="DM32" s="69">
        <v>0</v>
      </c>
      <c r="DN32" s="21"/>
      <c r="DO32" s="21"/>
      <c r="DP32" s="21"/>
      <c r="DQ32" s="21"/>
      <c r="DR32" s="21"/>
      <c r="DS32" s="21"/>
      <c r="DT32" s="21"/>
      <c r="DU32" s="21"/>
      <c r="DV32" s="21"/>
      <c r="DW32" s="69">
        <v>0</v>
      </c>
      <c r="DX32" s="21"/>
      <c r="DY32" s="21"/>
      <c r="DZ32" s="21"/>
      <c r="EA32" s="21"/>
      <c r="EB32" s="21"/>
      <c r="EC32" s="21"/>
      <c r="ED32" s="21"/>
      <c r="EE32" s="21"/>
      <c r="EF32" s="21"/>
      <c r="EG32" s="69">
        <v>0</v>
      </c>
      <c r="EH32" s="21"/>
      <c r="EI32" s="21"/>
      <c r="EJ32" s="21"/>
      <c r="EK32" s="21"/>
      <c r="EL32" s="69">
        <v>0</v>
      </c>
      <c r="EM32" s="21"/>
      <c r="EN32" s="69">
        <v>0</v>
      </c>
      <c r="EO32" s="21"/>
      <c r="EP32" s="69">
        <v>0</v>
      </c>
      <c r="EQ32" s="69">
        <v>0</v>
      </c>
      <c r="ER32" s="21"/>
      <c r="ES32" s="21"/>
      <c r="ET32" s="69">
        <v>0</v>
      </c>
      <c r="EU32" s="21"/>
      <c r="EV32" s="21"/>
      <c r="EW32" s="21"/>
      <c r="EX32" s="21"/>
      <c r="EY32" s="21"/>
      <c r="EZ32" s="21"/>
      <c r="FA32" s="69">
        <v>0</v>
      </c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>
        <v>0</v>
      </c>
      <c r="GY32" s="21">
        <v>0</v>
      </c>
      <c r="GZ32" s="21"/>
      <c r="HA32" s="21"/>
      <c r="HB32" s="21">
        <f t="shared" si="0"/>
        <v>87.792114191970128</v>
      </c>
    </row>
    <row r="33" spans="1:210" x14ac:dyDescent="0.75">
      <c r="A33" s="67" t="s">
        <v>471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69">
        <v>0</v>
      </c>
      <c r="AD33" s="21"/>
      <c r="AE33" s="21"/>
      <c r="AF33" s="69">
        <v>0</v>
      </c>
      <c r="AG33" s="21"/>
      <c r="AH33" s="21"/>
      <c r="AI33" s="69">
        <v>0</v>
      </c>
      <c r="AJ33" s="21"/>
      <c r="AK33" s="21"/>
      <c r="AL33" s="21"/>
      <c r="AM33" s="21"/>
      <c r="AN33" s="21"/>
      <c r="AO33" s="21"/>
      <c r="AP33" s="21"/>
      <c r="AQ33" s="21"/>
      <c r="AR33" s="69">
        <v>0</v>
      </c>
      <c r="AS33" s="21"/>
      <c r="AT33" s="21"/>
      <c r="AU33" s="21"/>
      <c r="AV33" s="21"/>
      <c r="AW33" s="21"/>
      <c r="AX33" s="21"/>
      <c r="AY33" s="21"/>
      <c r="AZ33" s="21"/>
      <c r="BA33" s="21"/>
      <c r="BB33" s="69">
        <v>0</v>
      </c>
      <c r="BC33" s="21"/>
      <c r="BD33" s="21"/>
      <c r="BE33" s="21"/>
      <c r="BF33" s="21"/>
      <c r="BG33" s="69">
        <v>0</v>
      </c>
      <c r="BH33" s="21"/>
      <c r="BI33" s="69">
        <v>0</v>
      </c>
      <c r="BJ33" s="21"/>
      <c r="BK33" s="69">
        <v>0</v>
      </c>
      <c r="BL33" s="69">
        <v>0</v>
      </c>
      <c r="BM33" s="21"/>
      <c r="BN33" s="21"/>
      <c r="BO33" s="69">
        <v>0</v>
      </c>
      <c r="BP33" s="21"/>
      <c r="BQ33" s="21"/>
      <c r="BR33" s="21"/>
      <c r="BS33" s="21"/>
      <c r="BT33" s="21"/>
      <c r="BU33" s="21"/>
      <c r="BV33" s="69">
        <v>0</v>
      </c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>
        <v>37.586456127127605</v>
      </c>
      <c r="DF33" s="21"/>
      <c r="DG33" s="69">
        <v>0</v>
      </c>
      <c r="DH33" s="21"/>
      <c r="DI33" s="21"/>
      <c r="DJ33" s="69">
        <v>0</v>
      </c>
      <c r="DK33" s="21"/>
      <c r="DL33" s="21"/>
      <c r="DM33" s="69">
        <v>0</v>
      </c>
      <c r="DN33" s="21"/>
      <c r="DO33" s="21"/>
      <c r="DP33" s="21"/>
      <c r="DQ33" s="21"/>
      <c r="DR33" s="21"/>
      <c r="DS33" s="21"/>
      <c r="DT33" s="21"/>
      <c r="DU33" s="21"/>
      <c r="DV33" s="21"/>
      <c r="DW33" s="69">
        <v>0</v>
      </c>
      <c r="DX33" s="21"/>
      <c r="DY33" s="21"/>
      <c r="DZ33" s="21"/>
      <c r="EA33" s="21"/>
      <c r="EB33" s="21"/>
      <c r="EC33" s="21"/>
      <c r="ED33" s="21"/>
      <c r="EE33" s="21"/>
      <c r="EF33" s="21"/>
      <c r="EG33" s="69">
        <v>0</v>
      </c>
      <c r="EH33" s="21"/>
      <c r="EI33" s="21"/>
      <c r="EJ33" s="21"/>
      <c r="EK33" s="21"/>
      <c r="EL33" s="69">
        <v>0</v>
      </c>
      <c r="EM33" s="21"/>
      <c r="EN33" s="69">
        <v>0</v>
      </c>
      <c r="EO33" s="21"/>
      <c r="EP33" s="69">
        <v>0</v>
      </c>
      <c r="EQ33" s="69">
        <v>0</v>
      </c>
      <c r="ER33" s="21"/>
      <c r="ES33" s="21"/>
      <c r="ET33" s="69">
        <v>0</v>
      </c>
      <c r="EU33" s="21"/>
      <c r="EV33" s="21"/>
      <c r="EW33" s="21"/>
      <c r="EX33" s="21"/>
      <c r="EY33" s="21"/>
      <c r="EZ33" s="21"/>
      <c r="FA33" s="69">
        <v>0</v>
      </c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>
        <v>3.5691415066693114E-4</v>
      </c>
      <c r="GG33" s="21">
        <v>3.3293035777147554E-3</v>
      </c>
      <c r="GH33" s="21">
        <v>1.4188954483615988E-3</v>
      </c>
      <c r="GI33" s="21"/>
      <c r="GJ33" s="21"/>
      <c r="GK33" s="21"/>
      <c r="GL33" s="21"/>
      <c r="GM33" s="21">
        <v>4.705889932583333E-4</v>
      </c>
      <c r="GN33" s="21"/>
      <c r="GO33" s="21"/>
      <c r="GP33" s="21"/>
      <c r="GQ33" s="21">
        <v>9.8825840133328022E-5</v>
      </c>
      <c r="GR33" s="21">
        <v>1.3915950391787436E-4</v>
      </c>
      <c r="GS33" s="21"/>
      <c r="GT33" s="21"/>
      <c r="GU33" s="21"/>
      <c r="GV33" s="21"/>
      <c r="GW33" s="21"/>
      <c r="GX33" s="21">
        <v>0</v>
      </c>
      <c r="GY33" s="21">
        <v>0</v>
      </c>
      <c r="GZ33" s="21"/>
      <c r="HA33" s="21"/>
      <c r="HB33" s="21">
        <f t="shared" si="0"/>
        <v>37.592269814641654</v>
      </c>
    </row>
    <row r="34" spans="1:210" x14ac:dyDescent="0.75">
      <c r="A34" s="67" t="s">
        <v>295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69">
        <v>0</v>
      </c>
      <c r="AD34" s="21"/>
      <c r="AE34" s="21"/>
      <c r="AF34" s="69">
        <v>0</v>
      </c>
      <c r="AG34" s="21"/>
      <c r="AH34" s="21"/>
      <c r="AI34" s="69">
        <v>0</v>
      </c>
      <c r="AJ34" s="21"/>
      <c r="AK34" s="21"/>
      <c r="AL34" s="21"/>
      <c r="AM34" s="21"/>
      <c r="AN34" s="21"/>
      <c r="AO34" s="21"/>
      <c r="AP34" s="21"/>
      <c r="AQ34" s="21"/>
      <c r="AR34" s="69">
        <v>0</v>
      </c>
      <c r="AS34" s="21"/>
      <c r="AT34" s="21"/>
      <c r="AU34" s="21"/>
      <c r="AV34" s="21"/>
      <c r="AW34" s="21"/>
      <c r="AX34" s="21"/>
      <c r="AY34" s="21"/>
      <c r="AZ34" s="21"/>
      <c r="BA34" s="21"/>
      <c r="BB34" s="69">
        <v>0</v>
      </c>
      <c r="BC34" s="21"/>
      <c r="BD34" s="21"/>
      <c r="BE34" s="21"/>
      <c r="BF34" s="21"/>
      <c r="BG34" s="69">
        <v>0</v>
      </c>
      <c r="BH34" s="21"/>
      <c r="BI34" s="69">
        <v>0</v>
      </c>
      <c r="BJ34" s="21"/>
      <c r="BK34" s="69">
        <v>0</v>
      </c>
      <c r="BL34" s="69">
        <v>0</v>
      </c>
      <c r="BM34" s="21"/>
      <c r="BN34" s="21"/>
      <c r="BO34" s="69">
        <v>0</v>
      </c>
      <c r="BP34" s="21"/>
      <c r="BQ34" s="21"/>
      <c r="BR34" s="21"/>
      <c r="BS34" s="21"/>
      <c r="BT34" s="21"/>
      <c r="BU34" s="21"/>
      <c r="BV34" s="69">
        <v>0</v>
      </c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>
        <v>13.43207615687345</v>
      </c>
      <c r="DG34" s="69">
        <v>0</v>
      </c>
      <c r="DH34" s="21"/>
      <c r="DI34" s="21"/>
      <c r="DJ34" s="69">
        <v>0</v>
      </c>
      <c r="DK34" s="21"/>
      <c r="DL34" s="21"/>
      <c r="DM34" s="69">
        <v>0</v>
      </c>
      <c r="DN34" s="21"/>
      <c r="DO34" s="21"/>
      <c r="DP34" s="21"/>
      <c r="DQ34" s="21"/>
      <c r="DR34" s="21"/>
      <c r="DS34" s="21"/>
      <c r="DT34" s="21"/>
      <c r="DU34" s="21"/>
      <c r="DV34" s="21"/>
      <c r="DW34" s="69">
        <v>0</v>
      </c>
      <c r="DX34" s="21"/>
      <c r="DY34" s="21"/>
      <c r="DZ34" s="21"/>
      <c r="EA34" s="21"/>
      <c r="EB34" s="21"/>
      <c r="EC34" s="21"/>
      <c r="ED34" s="21"/>
      <c r="EE34" s="21"/>
      <c r="EF34" s="21"/>
      <c r="EG34" s="69">
        <v>0</v>
      </c>
      <c r="EH34" s="21"/>
      <c r="EI34" s="21"/>
      <c r="EJ34" s="21"/>
      <c r="EK34" s="21"/>
      <c r="EL34" s="69">
        <v>0</v>
      </c>
      <c r="EM34" s="21"/>
      <c r="EN34" s="69">
        <v>0</v>
      </c>
      <c r="EO34" s="21"/>
      <c r="EP34" s="69">
        <v>0</v>
      </c>
      <c r="EQ34" s="69">
        <v>0</v>
      </c>
      <c r="ER34" s="21"/>
      <c r="ES34" s="21"/>
      <c r="ET34" s="69">
        <v>0</v>
      </c>
      <c r="EU34" s="21"/>
      <c r="EV34" s="21"/>
      <c r="EW34" s="21"/>
      <c r="EX34" s="21"/>
      <c r="EY34" s="21"/>
      <c r="EZ34" s="21"/>
      <c r="FA34" s="69">
        <v>0</v>
      </c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>
        <v>1.5002496277973217E-3</v>
      </c>
      <c r="GE34" s="21">
        <v>8.2693566671682706E-3</v>
      </c>
      <c r="GF34" s="21">
        <v>2.6675583695781242E-3</v>
      </c>
      <c r="GG34" s="21">
        <v>7.7041618354685227E-3</v>
      </c>
      <c r="GH34" s="21">
        <v>1.7649564933033615E-2</v>
      </c>
      <c r="GI34" s="21"/>
      <c r="GJ34" s="21"/>
      <c r="GK34" s="21"/>
      <c r="GL34" s="21">
        <v>1.2247134761359155E-3</v>
      </c>
      <c r="GM34" s="21">
        <v>4.2473666891428936E-3</v>
      </c>
      <c r="GN34" s="21"/>
      <c r="GO34" s="21"/>
      <c r="GP34" s="21"/>
      <c r="GQ34" s="21">
        <v>1.451515511452879E-3</v>
      </c>
      <c r="GR34" s="21">
        <v>1.4589039649621483E-2</v>
      </c>
      <c r="GS34" s="21"/>
      <c r="GT34" s="21"/>
      <c r="GU34" s="21"/>
      <c r="GV34" s="21"/>
      <c r="GW34" s="21"/>
      <c r="GX34" s="21">
        <v>0</v>
      </c>
      <c r="GY34" s="21">
        <v>0</v>
      </c>
      <c r="GZ34" s="21"/>
      <c r="HA34" s="21"/>
      <c r="HB34" s="21">
        <f t="shared" si="0"/>
        <v>13.49137968363285</v>
      </c>
    </row>
    <row r="35" spans="1:210" x14ac:dyDescent="0.75">
      <c r="A35" s="68" t="s">
        <v>296</v>
      </c>
      <c r="B35" s="69">
        <v>0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0</v>
      </c>
      <c r="O35" s="69">
        <v>0</v>
      </c>
      <c r="P35" s="69">
        <v>0</v>
      </c>
      <c r="Q35" s="69">
        <v>0</v>
      </c>
      <c r="R35" s="69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69">
        <v>0</v>
      </c>
      <c r="AS35" s="69">
        <v>0</v>
      </c>
      <c r="AT35" s="69">
        <v>0</v>
      </c>
      <c r="AU35" s="69">
        <v>0</v>
      </c>
      <c r="AV35" s="69">
        <v>0</v>
      </c>
      <c r="AW35" s="69">
        <v>0</v>
      </c>
      <c r="AX35" s="69">
        <v>0</v>
      </c>
      <c r="AY35" s="69">
        <v>0</v>
      </c>
      <c r="AZ35" s="69">
        <v>0</v>
      </c>
      <c r="BA35" s="69">
        <v>0</v>
      </c>
      <c r="BB35" s="69">
        <v>0</v>
      </c>
      <c r="BC35" s="69">
        <v>0</v>
      </c>
      <c r="BD35" s="69">
        <v>0</v>
      </c>
      <c r="BE35" s="69">
        <v>0</v>
      </c>
      <c r="BF35" s="69">
        <v>0</v>
      </c>
      <c r="BG35" s="69">
        <v>0</v>
      </c>
      <c r="BH35" s="69">
        <v>0</v>
      </c>
      <c r="BI35" s="69">
        <v>0</v>
      </c>
      <c r="BJ35" s="69">
        <v>0</v>
      </c>
      <c r="BK35" s="69">
        <v>0</v>
      </c>
      <c r="BL35" s="69">
        <v>0</v>
      </c>
      <c r="BM35" s="69">
        <v>0</v>
      </c>
      <c r="BN35" s="69">
        <v>0</v>
      </c>
      <c r="BO35" s="69">
        <v>0</v>
      </c>
      <c r="BP35" s="69">
        <v>0</v>
      </c>
      <c r="BQ35" s="69">
        <v>0</v>
      </c>
      <c r="BR35" s="69">
        <v>0</v>
      </c>
      <c r="BS35" s="69">
        <v>0</v>
      </c>
      <c r="BT35" s="69">
        <v>0</v>
      </c>
      <c r="BU35" s="69">
        <v>0</v>
      </c>
      <c r="BV35" s="69">
        <v>0</v>
      </c>
      <c r="BW35" s="69">
        <v>0</v>
      </c>
      <c r="BX35" s="69">
        <v>0</v>
      </c>
      <c r="BY35" s="69">
        <v>0</v>
      </c>
      <c r="BZ35" s="69">
        <v>0</v>
      </c>
      <c r="CA35" s="69">
        <v>0</v>
      </c>
      <c r="CB35" s="69">
        <v>0</v>
      </c>
      <c r="CC35" s="69">
        <v>0</v>
      </c>
      <c r="CD35" s="69">
        <v>0</v>
      </c>
      <c r="CE35" s="69">
        <v>0</v>
      </c>
      <c r="CF35" s="69">
        <v>0</v>
      </c>
      <c r="CG35" s="69">
        <v>0</v>
      </c>
      <c r="CH35" s="69">
        <v>0</v>
      </c>
      <c r="CI35" s="69">
        <v>0</v>
      </c>
      <c r="CJ35" s="69">
        <v>0</v>
      </c>
      <c r="CK35" s="69">
        <v>0</v>
      </c>
      <c r="CL35" s="69">
        <v>0</v>
      </c>
      <c r="CM35" s="69">
        <v>0</v>
      </c>
      <c r="CN35" s="69">
        <v>0</v>
      </c>
      <c r="CO35" s="69">
        <v>0</v>
      </c>
      <c r="CP35" s="69">
        <v>0</v>
      </c>
      <c r="CQ35" s="69">
        <v>0</v>
      </c>
      <c r="CR35" s="69">
        <v>0</v>
      </c>
      <c r="CS35" s="69">
        <v>0</v>
      </c>
      <c r="CT35" s="69">
        <v>0</v>
      </c>
      <c r="CU35" s="69">
        <v>0</v>
      </c>
      <c r="CV35" s="69">
        <v>0</v>
      </c>
      <c r="CW35" s="69">
        <v>0</v>
      </c>
      <c r="CX35" s="69">
        <v>0</v>
      </c>
      <c r="CY35" s="69">
        <v>0</v>
      </c>
      <c r="CZ35" s="69">
        <v>0</v>
      </c>
      <c r="DA35" s="69">
        <v>0</v>
      </c>
      <c r="DB35" s="69">
        <v>0</v>
      </c>
      <c r="DC35" s="69">
        <v>0</v>
      </c>
      <c r="DD35" s="69">
        <v>0</v>
      </c>
      <c r="DE35" s="69">
        <v>0</v>
      </c>
      <c r="DF35" s="69">
        <v>0</v>
      </c>
      <c r="DG35" s="69">
        <v>6.6188328277666804</v>
      </c>
      <c r="DH35" s="69">
        <v>0</v>
      </c>
      <c r="DI35" s="69">
        <v>0</v>
      </c>
      <c r="DJ35" s="69">
        <v>0</v>
      </c>
      <c r="DK35" s="69">
        <v>0</v>
      </c>
      <c r="DL35" s="69">
        <v>0</v>
      </c>
      <c r="DM35" s="69">
        <v>0</v>
      </c>
      <c r="DN35" s="69">
        <v>0</v>
      </c>
      <c r="DO35" s="69">
        <v>0</v>
      </c>
      <c r="DP35" s="69">
        <v>0</v>
      </c>
      <c r="DQ35" s="69">
        <v>0</v>
      </c>
      <c r="DR35" s="69">
        <v>0</v>
      </c>
      <c r="DS35" s="69">
        <v>0</v>
      </c>
      <c r="DT35" s="69">
        <v>0</v>
      </c>
      <c r="DU35" s="69">
        <v>0</v>
      </c>
      <c r="DV35" s="69">
        <v>0</v>
      </c>
      <c r="DW35" s="69">
        <v>0</v>
      </c>
      <c r="DX35" s="69">
        <v>0</v>
      </c>
      <c r="DY35" s="69">
        <v>0</v>
      </c>
      <c r="DZ35" s="69">
        <v>0</v>
      </c>
      <c r="EA35" s="69">
        <v>0</v>
      </c>
      <c r="EB35" s="69">
        <v>0</v>
      </c>
      <c r="EC35" s="69">
        <v>0</v>
      </c>
      <c r="ED35" s="69">
        <v>0</v>
      </c>
      <c r="EE35" s="69">
        <v>0</v>
      </c>
      <c r="EF35" s="69">
        <v>0</v>
      </c>
      <c r="EG35" s="69">
        <v>0</v>
      </c>
      <c r="EH35" s="69">
        <v>0</v>
      </c>
      <c r="EI35" s="69">
        <v>0</v>
      </c>
      <c r="EJ35" s="69">
        <v>0</v>
      </c>
      <c r="EK35" s="69">
        <v>0</v>
      </c>
      <c r="EL35" s="69">
        <v>0</v>
      </c>
      <c r="EM35" s="69">
        <v>0</v>
      </c>
      <c r="EN35" s="69">
        <v>0</v>
      </c>
      <c r="EO35" s="69">
        <v>0</v>
      </c>
      <c r="EP35" s="69">
        <v>0</v>
      </c>
      <c r="EQ35" s="69">
        <v>0</v>
      </c>
      <c r="ER35" s="69">
        <v>0</v>
      </c>
      <c r="ES35" s="69">
        <v>0</v>
      </c>
      <c r="ET35" s="69">
        <v>0</v>
      </c>
      <c r="EU35" s="69">
        <v>0</v>
      </c>
      <c r="EV35" s="69">
        <v>0</v>
      </c>
      <c r="EW35" s="69">
        <v>0</v>
      </c>
      <c r="EX35" s="69">
        <v>0</v>
      </c>
      <c r="EY35" s="69">
        <v>0</v>
      </c>
      <c r="EZ35" s="69">
        <v>0</v>
      </c>
      <c r="FA35" s="69">
        <v>0</v>
      </c>
      <c r="FB35" s="69">
        <v>0</v>
      </c>
      <c r="FC35" s="69">
        <v>0</v>
      </c>
      <c r="FD35" s="69">
        <v>0</v>
      </c>
      <c r="FE35" s="69">
        <v>0</v>
      </c>
      <c r="FF35" s="69">
        <v>0</v>
      </c>
      <c r="FG35" s="69">
        <v>0</v>
      </c>
      <c r="FH35" s="69">
        <v>0</v>
      </c>
      <c r="FI35" s="69">
        <v>0</v>
      </c>
      <c r="FJ35" s="69">
        <v>0</v>
      </c>
      <c r="FK35" s="69">
        <v>0</v>
      </c>
      <c r="FL35" s="69">
        <v>0</v>
      </c>
      <c r="FM35" s="69">
        <v>0</v>
      </c>
      <c r="FN35" s="69">
        <v>0</v>
      </c>
      <c r="FO35" s="69">
        <v>0</v>
      </c>
      <c r="FP35" s="69">
        <v>0</v>
      </c>
      <c r="FQ35" s="69">
        <v>0</v>
      </c>
      <c r="FR35" s="69">
        <v>0</v>
      </c>
      <c r="FS35" s="69">
        <v>0</v>
      </c>
      <c r="FT35" s="69">
        <v>0</v>
      </c>
      <c r="FU35" s="69">
        <v>0</v>
      </c>
      <c r="FV35" s="69">
        <v>0</v>
      </c>
      <c r="FW35" s="69">
        <v>0</v>
      </c>
      <c r="FX35" s="69">
        <v>0</v>
      </c>
      <c r="FY35" s="69">
        <v>0</v>
      </c>
      <c r="FZ35" s="69">
        <v>0</v>
      </c>
      <c r="GA35" s="69">
        <v>0</v>
      </c>
      <c r="GB35" s="69">
        <v>0</v>
      </c>
      <c r="GC35" s="69">
        <v>0</v>
      </c>
      <c r="GD35" s="69">
        <v>1.9770953202558673E-3</v>
      </c>
      <c r="GE35" s="69">
        <v>6.2156559495476259E-3</v>
      </c>
      <c r="GF35" s="69">
        <v>7.9042317803814273E-3</v>
      </c>
      <c r="GG35" s="69">
        <v>7.9200952474217327E-3</v>
      </c>
      <c r="GH35" s="69">
        <v>1.1640984200007025E-2</v>
      </c>
      <c r="GI35" s="69">
        <v>0</v>
      </c>
      <c r="GJ35" s="69">
        <v>0</v>
      </c>
      <c r="GK35" s="69">
        <v>2.6453634455479746E-4</v>
      </c>
      <c r="GL35" s="69">
        <v>0</v>
      </c>
      <c r="GM35" s="69">
        <v>0</v>
      </c>
      <c r="GN35" s="69">
        <v>4.8100839406424723E-5</v>
      </c>
      <c r="GO35" s="69">
        <v>0</v>
      </c>
      <c r="GP35" s="69">
        <v>0</v>
      </c>
      <c r="GQ35" s="69">
        <v>0</v>
      </c>
      <c r="GR35" s="69">
        <v>6.3164184487228103E-4</v>
      </c>
      <c r="GS35" s="69">
        <v>0</v>
      </c>
      <c r="GT35" s="69">
        <v>0</v>
      </c>
      <c r="GU35" s="69">
        <v>0</v>
      </c>
      <c r="GV35" s="69">
        <v>0</v>
      </c>
      <c r="GW35" s="69">
        <v>0</v>
      </c>
      <c r="GX35" s="21">
        <v>0</v>
      </c>
      <c r="GY35" s="21">
        <v>0</v>
      </c>
      <c r="GZ35" s="69">
        <v>0</v>
      </c>
      <c r="HA35" s="69">
        <v>0</v>
      </c>
      <c r="HB35" s="21">
        <f t="shared" si="0"/>
        <v>6.6554351692931277</v>
      </c>
    </row>
    <row r="36" spans="1:210" x14ac:dyDescent="0.75">
      <c r="A36" s="67" t="s">
        <v>469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69">
        <v>0</v>
      </c>
      <c r="AD36" s="21"/>
      <c r="AE36" s="21"/>
      <c r="AF36" s="69">
        <v>0</v>
      </c>
      <c r="AG36" s="21"/>
      <c r="AH36" s="21"/>
      <c r="AI36" s="69">
        <v>0</v>
      </c>
      <c r="AJ36" s="21"/>
      <c r="AK36" s="21"/>
      <c r="AL36" s="21"/>
      <c r="AM36" s="21"/>
      <c r="AN36" s="21"/>
      <c r="AO36" s="21"/>
      <c r="AP36" s="21"/>
      <c r="AQ36" s="21"/>
      <c r="AR36" s="69">
        <v>0</v>
      </c>
      <c r="AS36" s="21"/>
      <c r="AT36" s="21"/>
      <c r="AU36" s="21"/>
      <c r="AV36" s="21"/>
      <c r="AW36" s="21"/>
      <c r="AX36" s="21"/>
      <c r="AY36" s="21"/>
      <c r="AZ36" s="21"/>
      <c r="BA36" s="21"/>
      <c r="BB36" s="69">
        <v>0</v>
      </c>
      <c r="BC36" s="21"/>
      <c r="BD36" s="21"/>
      <c r="BE36" s="21"/>
      <c r="BF36" s="21"/>
      <c r="BG36" s="69">
        <v>0</v>
      </c>
      <c r="BH36" s="21"/>
      <c r="BI36" s="69">
        <v>0</v>
      </c>
      <c r="BJ36" s="21"/>
      <c r="BK36" s="69">
        <v>0</v>
      </c>
      <c r="BL36" s="69">
        <v>0</v>
      </c>
      <c r="BM36" s="21"/>
      <c r="BN36" s="21"/>
      <c r="BO36" s="69">
        <v>0</v>
      </c>
      <c r="BP36" s="21"/>
      <c r="BQ36" s="21"/>
      <c r="BR36" s="21"/>
      <c r="BS36" s="21"/>
      <c r="BT36" s="21"/>
      <c r="BU36" s="21"/>
      <c r="BV36" s="69">
        <v>0</v>
      </c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69">
        <v>0</v>
      </c>
      <c r="DH36" s="21">
        <v>24.787400759650332</v>
      </c>
      <c r="DI36" s="21"/>
      <c r="DJ36" s="69">
        <v>0</v>
      </c>
      <c r="DK36" s="21"/>
      <c r="DL36" s="21"/>
      <c r="DM36" s="69">
        <v>0</v>
      </c>
      <c r="DN36" s="21"/>
      <c r="DO36" s="21"/>
      <c r="DP36" s="21"/>
      <c r="DQ36" s="21"/>
      <c r="DR36" s="21"/>
      <c r="DS36" s="21"/>
      <c r="DT36" s="21"/>
      <c r="DU36" s="21"/>
      <c r="DV36" s="21"/>
      <c r="DW36" s="69">
        <v>0</v>
      </c>
      <c r="DX36" s="21"/>
      <c r="DY36" s="21"/>
      <c r="DZ36" s="21"/>
      <c r="EA36" s="21"/>
      <c r="EB36" s="21"/>
      <c r="EC36" s="21"/>
      <c r="ED36" s="21"/>
      <c r="EE36" s="21"/>
      <c r="EF36" s="21"/>
      <c r="EG36" s="69">
        <v>0</v>
      </c>
      <c r="EH36" s="21"/>
      <c r="EI36" s="21"/>
      <c r="EJ36" s="21"/>
      <c r="EK36" s="21"/>
      <c r="EL36" s="69">
        <v>0</v>
      </c>
      <c r="EM36" s="21"/>
      <c r="EN36" s="69">
        <v>0</v>
      </c>
      <c r="EO36" s="21"/>
      <c r="EP36" s="69">
        <v>0</v>
      </c>
      <c r="EQ36" s="69">
        <v>0</v>
      </c>
      <c r="ER36" s="21"/>
      <c r="ES36" s="21"/>
      <c r="ET36" s="69">
        <v>0</v>
      </c>
      <c r="EU36" s="21"/>
      <c r="EV36" s="21"/>
      <c r="EW36" s="21"/>
      <c r="EX36" s="21"/>
      <c r="EY36" s="21"/>
      <c r="EZ36" s="21"/>
      <c r="FA36" s="69">
        <v>0</v>
      </c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>
        <v>8.7158443992464751E-2</v>
      </c>
      <c r="GE36" s="21">
        <v>0.50387980831291845</v>
      </c>
      <c r="GF36" s="21">
        <v>1.5375933189506554</v>
      </c>
      <c r="GG36" s="21">
        <v>2.6592689718707323</v>
      </c>
      <c r="GH36" s="21">
        <v>3.3538671747323452</v>
      </c>
      <c r="GI36" s="21"/>
      <c r="GJ36" s="21">
        <v>1.3119758160558445E-2</v>
      </c>
      <c r="GK36" s="21">
        <v>5.4914643119808031E-2</v>
      </c>
      <c r="GL36" s="21">
        <v>0.17198718892042733</v>
      </c>
      <c r="GM36" s="21">
        <v>0.62368299866373933</v>
      </c>
      <c r="GN36" s="21"/>
      <c r="GO36" s="21">
        <v>4.0169226827699488E-2</v>
      </c>
      <c r="GP36" s="21">
        <v>4.5257908222106999E-2</v>
      </c>
      <c r="GQ36" s="21">
        <v>7.5136118389096368E-2</v>
      </c>
      <c r="GR36" s="21">
        <v>0.46384504188552889</v>
      </c>
      <c r="GS36" s="21"/>
      <c r="GT36" s="21"/>
      <c r="GU36" s="21"/>
      <c r="GV36" s="21"/>
      <c r="GW36" s="21"/>
      <c r="GX36" s="21">
        <v>0</v>
      </c>
      <c r="GY36" s="21">
        <v>0</v>
      </c>
      <c r="GZ36" s="21"/>
      <c r="HA36" s="21"/>
      <c r="HB36" s="21">
        <f t="shared" si="0"/>
        <v>34.417281361698407</v>
      </c>
    </row>
    <row r="37" spans="1:210" x14ac:dyDescent="0.75">
      <c r="A37" s="67" t="s">
        <v>470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69">
        <v>0</v>
      </c>
      <c r="AD37" s="21"/>
      <c r="AE37" s="21"/>
      <c r="AF37" s="69">
        <v>0</v>
      </c>
      <c r="AG37" s="21"/>
      <c r="AH37" s="21"/>
      <c r="AI37" s="69">
        <v>0</v>
      </c>
      <c r="AJ37" s="21"/>
      <c r="AK37" s="21"/>
      <c r="AL37" s="21"/>
      <c r="AM37" s="21"/>
      <c r="AN37" s="21"/>
      <c r="AO37" s="21"/>
      <c r="AP37" s="21"/>
      <c r="AQ37" s="21"/>
      <c r="AR37" s="69">
        <v>0</v>
      </c>
      <c r="AS37" s="21"/>
      <c r="AT37" s="21"/>
      <c r="AU37" s="21"/>
      <c r="AV37" s="21"/>
      <c r="AW37" s="21"/>
      <c r="AX37" s="21"/>
      <c r="AY37" s="21"/>
      <c r="AZ37" s="21"/>
      <c r="BA37" s="21"/>
      <c r="BB37" s="69">
        <v>0</v>
      </c>
      <c r="BC37" s="21"/>
      <c r="BD37" s="21"/>
      <c r="BE37" s="21"/>
      <c r="BF37" s="21"/>
      <c r="BG37" s="69">
        <v>0</v>
      </c>
      <c r="BH37" s="21"/>
      <c r="BI37" s="69">
        <v>0</v>
      </c>
      <c r="BJ37" s="21"/>
      <c r="BK37" s="69">
        <v>0</v>
      </c>
      <c r="BL37" s="69">
        <v>0</v>
      </c>
      <c r="BM37" s="21"/>
      <c r="BN37" s="21"/>
      <c r="BO37" s="69">
        <v>0</v>
      </c>
      <c r="BP37" s="21"/>
      <c r="BQ37" s="21"/>
      <c r="BR37" s="21"/>
      <c r="BS37" s="21"/>
      <c r="BT37" s="21"/>
      <c r="BU37" s="21"/>
      <c r="BV37" s="69">
        <v>0</v>
      </c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69">
        <v>0</v>
      </c>
      <c r="DH37" s="21"/>
      <c r="DI37" s="21">
        <v>14.672131963309404</v>
      </c>
      <c r="DJ37" s="69">
        <v>0</v>
      </c>
      <c r="DK37" s="21"/>
      <c r="DL37" s="21"/>
      <c r="DM37" s="69">
        <v>0</v>
      </c>
      <c r="DN37" s="21"/>
      <c r="DO37" s="21"/>
      <c r="DP37" s="21"/>
      <c r="DQ37" s="21"/>
      <c r="DR37" s="21"/>
      <c r="DS37" s="21"/>
      <c r="DT37" s="21"/>
      <c r="DU37" s="21"/>
      <c r="DV37" s="21"/>
      <c r="DW37" s="69">
        <v>0</v>
      </c>
      <c r="DX37" s="21"/>
      <c r="DY37" s="21"/>
      <c r="DZ37" s="21"/>
      <c r="EA37" s="21"/>
      <c r="EB37" s="21"/>
      <c r="EC37" s="21"/>
      <c r="ED37" s="21"/>
      <c r="EE37" s="21"/>
      <c r="EF37" s="21"/>
      <c r="EG37" s="69">
        <v>0</v>
      </c>
      <c r="EH37" s="21"/>
      <c r="EI37" s="21"/>
      <c r="EJ37" s="21"/>
      <c r="EK37" s="21"/>
      <c r="EL37" s="69">
        <v>0</v>
      </c>
      <c r="EM37" s="21"/>
      <c r="EN37" s="69">
        <v>0</v>
      </c>
      <c r="EO37" s="21"/>
      <c r="EP37" s="69">
        <v>0</v>
      </c>
      <c r="EQ37" s="69">
        <v>0</v>
      </c>
      <c r="ER37" s="21"/>
      <c r="ES37" s="21"/>
      <c r="ET37" s="69">
        <v>0</v>
      </c>
      <c r="EU37" s="21"/>
      <c r="EV37" s="21"/>
      <c r="EW37" s="21"/>
      <c r="EX37" s="21"/>
      <c r="EY37" s="21"/>
      <c r="EZ37" s="21"/>
      <c r="FA37" s="69">
        <v>0</v>
      </c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>
        <v>1.7128014098803518E-2</v>
      </c>
      <c r="GE37" s="21">
        <v>2.5574233190515477E-2</v>
      </c>
      <c r="GF37" s="21">
        <v>5.5832875535585774E-2</v>
      </c>
      <c r="GG37" s="21">
        <v>0.10450799793092955</v>
      </c>
      <c r="GH37" s="21">
        <v>0.23065795507840481</v>
      </c>
      <c r="GI37" s="21">
        <v>8.9986617905988718E-4</v>
      </c>
      <c r="GJ37" s="21">
        <v>9.438117694923131E-4</v>
      </c>
      <c r="GK37" s="21">
        <v>6.9251370655414469E-3</v>
      </c>
      <c r="GL37" s="21">
        <v>4.0138180447899883E-3</v>
      </c>
      <c r="GM37" s="21">
        <v>5.849171770510149E-2</v>
      </c>
      <c r="GN37" s="21">
        <v>1.1159831542653146E-3</v>
      </c>
      <c r="GO37" s="21"/>
      <c r="GP37" s="21"/>
      <c r="GQ37" s="21">
        <v>4.5066797712842329E-4</v>
      </c>
      <c r="GR37" s="21">
        <v>5.2126306469775091E-2</v>
      </c>
      <c r="GS37" s="21"/>
      <c r="GT37" s="21"/>
      <c r="GU37" s="21"/>
      <c r="GV37" s="21"/>
      <c r="GW37" s="21"/>
      <c r="GX37" s="21">
        <v>0</v>
      </c>
      <c r="GY37" s="21">
        <v>0</v>
      </c>
      <c r="GZ37" s="21"/>
      <c r="HA37" s="21"/>
      <c r="HB37" s="21">
        <f t="shared" si="0"/>
        <v>15.230800347508795</v>
      </c>
    </row>
    <row r="38" spans="1:210" x14ac:dyDescent="0.75">
      <c r="A38" s="68" t="s">
        <v>297</v>
      </c>
      <c r="B38" s="69">
        <v>0</v>
      </c>
      <c r="C38" s="69">
        <v>0</v>
      </c>
      <c r="D38" s="69">
        <v>0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v>0</v>
      </c>
      <c r="P38" s="69">
        <v>0</v>
      </c>
      <c r="Q38" s="69">
        <v>0</v>
      </c>
      <c r="R38" s="69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v>0</v>
      </c>
      <c r="Y38" s="69">
        <v>0</v>
      </c>
      <c r="Z38" s="69">
        <v>0</v>
      </c>
      <c r="AA38" s="69">
        <v>0</v>
      </c>
      <c r="AB38" s="69">
        <v>0</v>
      </c>
      <c r="AC38" s="69">
        <v>0</v>
      </c>
      <c r="AD38" s="69">
        <v>0</v>
      </c>
      <c r="AE38" s="69">
        <v>0</v>
      </c>
      <c r="AF38" s="69">
        <v>0</v>
      </c>
      <c r="AG38" s="69">
        <v>0</v>
      </c>
      <c r="AH38" s="69">
        <v>0</v>
      </c>
      <c r="AI38" s="69">
        <v>0</v>
      </c>
      <c r="AJ38" s="69">
        <v>0</v>
      </c>
      <c r="AK38" s="69">
        <v>0</v>
      </c>
      <c r="AL38" s="69">
        <v>0</v>
      </c>
      <c r="AM38" s="69">
        <v>0</v>
      </c>
      <c r="AN38" s="69">
        <v>0</v>
      </c>
      <c r="AO38" s="69">
        <v>0</v>
      </c>
      <c r="AP38" s="69">
        <v>0</v>
      </c>
      <c r="AQ38" s="69">
        <v>0</v>
      </c>
      <c r="AR38" s="69">
        <v>0</v>
      </c>
      <c r="AS38" s="69">
        <v>0</v>
      </c>
      <c r="AT38" s="69">
        <v>0</v>
      </c>
      <c r="AU38" s="69">
        <v>0</v>
      </c>
      <c r="AV38" s="69">
        <v>0</v>
      </c>
      <c r="AW38" s="69">
        <v>0</v>
      </c>
      <c r="AX38" s="69">
        <v>0</v>
      </c>
      <c r="AY38" s="69">
        <v>0</v>
      </c>
      <c r="AZ38" s="69">
        <v>0</v>
      </c>
      <c r="BA38" s="69">
        <v>0</v>
      </c>
      <c r="BB38" s="69">
        <v>0</v>
      </c>
      <c r="BC38" s="69">
        <v>0</v>
      </c>
      <c r="BD38" s="69">
        <v>0</v>
      </c>
      <c r="BE38" s="69">
        <v>0</v>
      </c>
      <c r="BF38" s="69">
        <v>0</v>
      </c>
      <c r="BG38" s="69">
        <v>0</v>
      </c>
      <c r="BH38" s="69">
        <v>0</v>
      </c>
      <c r="BI38" s="69">
        <v>0</v>
      </c>
      <c r="BJ38" s="69">
        <v>0</v>
      </c>
      <c r="BK38" s="69">
        <v>0</v>
      </c>
      <c r="BL38" s="69">
        <v>0</v>
      </c>
      <c r="BM38" s="69">
        <v>0</v>
      </c>
      <c r="BN38" s="69">
        <v>0</v>
      </c>
      <c r="BO38" s="69">
        <v>0</v>
      </c>
      <c r="BP38" s="69">
        <v>0</v>
      </c>
      <c r="BQ38" s="69">
        <v>0</v>
      </c>
      <c r="BR38" s="69">
        <v>0</v>
      </c>
      <c r="BS38" s="69">
        <v>0</v>
      </c>
      <c r="BT38" s="69">
        <v>0</v>
      </c>
      <c r="BU38" s="69">
        <v>0</v>
      </c>
      <c r="BV38" s="69">
        <v>0</v>
      </c>
      <c r="BW38" s="69">
        <v>0</v>
      </c>
      <c r="BX38" s="69">
        <v>0</v>
      </c>
      <c r="BY38" s="69">
        <v>0</v>
      </c>
      <c r="BZ38" s="69">
        <v>0</v>
      </c>
      <c r="CA38" s="69">
        <v>0</v>
      </c>
      <c r="CB38" s="69">
        <v>0</v>
      </c>
      <c r="CC38" s="69">
        <v>0</v>
      </c>
      <c r="CD38" s="69">
        <v>0</v>
      </c>
      <c r="CE38" s="69">
        <v>0</v>
      </c>
      <c r="CF38" s="69">
        <v>0</v>
      </c>
      <c r="CG38" s="69">
        <v>0</v>
      </c>
      <c r="CH38" s="69">
        <v>0</v>
      </c>
      <c r="CI38" s="69">
        <v>0</v>
      </c>
      <c r="CJ38" s="69">
        <v>0</v>
      </c>
      <c r="CK38" s="69">
        <v>0</v>
      </c>
      <c r="CL38" s="69">
        <v>0</v>
      </c>
      <c r="CM38" s="69">
        <v>0</v>
      </c>
      <c r="CN38" s="69">
        <v>0</v>
      </c>
      <c r="CO38" s="69">
        <v>0</v>
      </c>
      <c r="CP38" s="69">
        <v>0</v>
      </c>
      <c r="CQ38" s="69">
        <v>0</v>
      </c>
      <c r="CR38" s="69">
        <v>0</v>
      </c>
      <c r="CS38" s="69">
        <v>0</v>
      </c>
      <c r="CT38" s="69">
        <v>0</v>
      </c>
      <c r="CU38" s="69">
        <v>0</v>
      </c>
      <c r="CV38" s="69">
        <v>0</v>
      </c>
      <c r="CW38" s="69">
        <v>0</v>
      </c>
      <c r="CX38" s="69">
        <v>0</v>
      </c>
      <c r="CY38" s="69">
        <v>0</v>
      </c>
      <c r="CZ38" s="69">
        <v>0</v>
      </c>
      <c r="DA38" s="69">
        <v>0</v>
      </c>
      <c r="DB38" s="69">
        <v>0</v>
      </c>
      <c r="DC38" s="69">
        <v>0</v>
      </c>
      <c r="DD38" s="69">
        <v>0</v>
      </c>
      <c r="DE38" s="69">
        <v>0</v>
      </c>
      <c r="DF38" s="69">
        <v>0</v>
      </c>
      <c r="DG38" s="69">
        <v>0</v>
      </c>
      <c r="DH38" s="69">
        <v>0</v>
      </c>
      <c r="DI38" s="69">
        <v>0</v>
      </c>
      <c r="DJ38" s="69">
        <v>59.979488545906833</v>
      </c>
      <c r="DK38" s="69">
        <v>0</v>
      </c>
      <c r="DL38" s="69">
        <v>0</v>
      </c>
      <c r="DM38" s="69">
        <v>0</v>
      </c>
      <c r="DN38" s="69">
        <v>0</v>
      </c>
      <c r="DO38" s="69">
        <v>0</v>
      </c>
      <c r="DP38" s="69">
        <v>0</v>
      </c>
      <c r="DQ38" s="69">
        <v>0</v>
      </c>
      <c r="DR38" s="69">
        <v>0</v>
      </c>
      <c r="DS38" s="69">
        <v>0</v>
      </c>
      <c r="DT38" s="69">
        <v>0</v>
      </c>
      <c r="DU38" s="69">
        <v>0</v>
      </c>
      <c r="DV38" s="69">
        <v>0</v>
      </c>
      <c r="DW38" s="69">
        <v>0</v>
      </c>
      <c r="DX38" s="69">
        <v>0</v>
      </c>
      <c r="DY38" s="69">
        <v>0</v>
      </c>
      <c r="DZ38" s="69">
        <v>0</v>
      </c>
      <c r="EA38" s="69">
        <v>0</v>
      </c>
      <c r="EB38" s="69">
        <v>0</v>
      </c>
      <c r="EC38" s="69">
        <v>0</v>
      </c>
      <c r="ED38" s="69">
        <v>0</v>
      </c>
      <c r="EE38" s="69">
        <v>0</v>
      </c>
      <c r="EF38" s="69">
        <v>0</v>
      </c>
      <c r="EG38" s="69">
        <v>0</v>
      </c>
      <c r="EH38" s="69">
        <v>0</v>
      </c>
      <c r="EI38" s="69">
        <v>0</v>
      </c>
      <c r="EJ38" s="69">
        <v>0</v>
      </c>
      <c r="EK38" s="69">
        <v>0</v>
      </c>
      <c r="EL38" s="69">
        <v>0</v>
      </c>
      <c r="EM38" s="69">
        <v>0</v>
      </c>
      <c r="EN38" s="69">
        <v>0</v>
      </c>
      <c r="EO38" s="69">
        <v>0</v>
      </c>
      <c r="EP38" s="69">
        <v>0</v>
      </c>
      <c r="EQ38" s="69">
        <v>0</v>
      </c>
      <c r="ER38" s="69">
        <v>0</v>
      </c>
      <c r="ES38" s="69">
        <v>0</v>
      </c>
      <c r="ET38" s="69">
        <v>0</v>
      </c>
      <c r="EU38" s="69">
        <v>0</v>
      </c>
      <c r="EV38" s="69">
        <v>0</v>
      </c>
      <c r="EW38" s="69">
        <v>0</v>
      </c>
      <c r="EX38" s="69">
        <v>0</v>
      </c>
      <c r="EY38" s="69">
        <v>0</v>
      </c>
      <c r="EZ38" s="69">
        <v>0</v>
      </c>
      <c r="FA38" s="69">
        <v>0</v>
      </c>
      <c r="FB38" s="69">
        <v>0</v>
      </c>
      <c r="FC38" s="69">
        <v>0</v>
      </c>
      <c r="FD38" s="69">
        <v>0</v>
      </c>
      <c r="FE38" s="69">
        <v>0</v>
      </c>
      <c r="FF38" s="69">
        <v>0</v>
      </c>
      <c r="FG38" s="69">
        <v>0</v>
      </c>
      <c r="FH38" s="69">
        <v>0</v>
      </c>
      <c r="FI38" s="69">
        <v>0</v>
      </c>
      <c r="FJ38" s="69">
        <v>0</v>
      </c>
      <c r="FK38" s="69">
        <v>0</v>
      </c>
      <c r="FL38" s="69">
        <v>0</v>
      </c>
      <c r="FM38" s="69">
        <v>0</v>
      </c>
      <c r="FN38" s="69">
        <v>0</v>
      </c>
      <c r="FO38" s="69">
        <v>0</v>
      </c>
      <c r="FP38" s="69">
        <v>0</v>
      </c>
      <c r="FQ38" s="69">
        <v>0</v>
      </c>
      <c r="FR38" s="69">
        <v>0</v>
      </c>
      <c r="FS38" s="69">
        <v>0</v>
      </c>
      <c r="FT38" s="69">
        <v>0</v>
      </c>
      <c r="FU38" s="69">
        <v>0</v>
      </c>
      <c r="FV38" s="69">
        <v>0</v>
      </c>
      <c r="FW38" s="69">
        <v>0</v>
      </c>
      <c r="FX38" s="69">
        <v>0</v>
      </c>
      <c r="FY38" s="69">
        <v>0</v>
      </c>
      <c r="FZ38" s="69">
        <v>0</v>
      </c>
      <c r="GA38" s="69">
        <v>0</v>
      </c>
      <c r="GB38" s="69">
        <v>0</v>
      </c>
      <c r="GC38" s="69">
        <v>0</v>
      </c>
      <c r="GD38" s="69">
        <v>29.974147027820319</v>
      </c>
      <c r="GE38" s="69">
        <v>43.702635252995819</v>
      </c>
      <c r="GF38" s="69">
        <v>54.701086835383791</v>
      </c>
      <c r="GG38" s="69">
        <v>64.399466385408431</v>
      </c>
      <c r="GH38" s="69">
        <v>60.62878936904918</v>
      </c>
      <c r="GI38" s="69">
        <v>2.6391034927430757</v>
      </c>
      <c r="GJ38" s="69">
        <v>1.5593806006007813</v>
      </c>
      <c r="GK38" s="69">
        <v>3.7777835982984573</v>
      </c>
      <c r="GL38" s="69">
        <v>4.0464975796205511</v>
      </c>
      <c r="GM38" s="69">
        <v>45.648508147392967</v>
      </c>
      <c r="GN38" s="69">
        <v>1.0702985539883902</v>
      </c>
      <c r="GO38" s="69">
        <v>1.1608234138714861</v>
      </c>
      <c r="GP38" s="69">
        <v>0.91181569482549618</v>
      </c>
      <c r="GQ38" s="69">
        <v>2.4715120474757417</v>
      </c>
      <c r="GR38" s="69">
        <v>2.174170988852326</v>
      </c>
      <c r="GS38" s="69">
        <v>0</v>
      </c>
      <c r="GT38" s="69">
        <v>0</v>
      </c>
      <c r="GU38" s="69">
        <v>0</v>
      </c>
      <c r="GV38" s="69">
        <v>0</v>
      </c>
      <c r="GW38" s="69">
        <v>0</v>
      </c>
      <c r="GX38" s="21">
        <v>0</v>
      </c>
      <c r="GY38" s="21">
        <v>0</v>
      </c>
      <c r="GZ38" s="69">
        <v>0</v>
      </c>
      <c r="HA38" s="69">
        <v>0</v>
      </c>
      <c r="HB38" s="21">
        <f t="shared" si="0"/>
        <v>378.84550753423366</v>
      </c>
    </row>
    <row r="39" spans="1:210" x14ac:dyDescent="0.75">
      <c r="A39" s="67" t="s">
        <v>298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69">
        <v>0</v>
      </c>
      <c r="AD39" s="21"/>
      <c r="AE39" s="21"/>
      <c r="AF39" s="69">
        <v>0</v>
      </c>
      <c r="AG39" s="21"/>
      <c r="AH39" s="21"/>
      <c r="AI39" s="69">
        <v>0</v>
      </c>
      <c r="AJ39" s="21"/>
      <c r="AK39" s="21"/>
      <c r="AL39" s="21"/>
      <c r="AM39" s="21"/>
      <c r="AN39" s="21"/>
      <c r="AO39" s="21"/>
      <c r="AP39" s="21"/>
      <c r="AQ39" s="21"/>
      <c r="AR39" s="69">
        <v>0</v>
      </c>
      <c r="AS39" s="21"/>
      <c r="AT39" s="21"/>
      <c r="AU39" s="21"/>
      <c r="AV39" s="21"/>
      <c r="AW39" s="21"/>
      <c r="AX39" s="21"/>
      <c r="AY39" s="21"/>
      <c r="AZ39" s="21"/>
      <c r="BA39" s="21"/>
      <c r="BB39" s="69">
        <v>0</v>
      </c>
      <c r="BC39" s="21"/>
      <c r="BD39" s="21"/>
      <c r="BE39" s="21"/>
      <c r="BF39" s="21"/>
      <c r="BG39" s="69">
        <v>0</v>
      </c>
      <c r="BH39" s="21"/>
      <c r="BI39" s="69">
        <v>0</v>
      </c>
      <c r="BJ39" s="21"/>
      <c r="BK39" s="69">
        <v>0</v>
      </c>
      <c r="BL39" s="69">
        <v>0</v>
      </c>
      <c r="BM39" s="21"/>
      <c r="BN39" s="21"/>
      <c r="BO39" s="69">
        <v>0</v>
      </c>
      <c r="BP39" s="21"/>
      <c r="BQ39" s="21"/>
      <c r="BR39" s="21"/>
      <c r="BS39" s="21"/>
      <c r="BT39" s="21"/>
      <c r="BU39" s="21"/>
      <c r="BV39" s="69">
        <v>0</v>
      </c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69">
        <v>0</v>
      </c>
      <c r="DH39" s="21"/>
      <c r="DI39" s="21"/>
      <c r="DJ39" s="69">
        <v>0</v>
      </c>
      <c r="DK39" s="21">
        <v>29.24448465286412</v>
      </c>
      <c r="DL39" s="21"/>
      <c r="DM39" s="69">
        <v>0</v>
      </c>
      <c r="DN39" s="21"/>
      <c r="DO39" s="21"/>
      <c r="DP39" s="21"/>
      <c r="DQ39" s="21"/>
      <c r="DR39" s="21"/>
      <c r="DS39" s="21"/>
      <c r="DT39" s="21"/>
      <c r="DU39" s="21"/>
      <c r="DV39" s="21"/>
      <c r="DW39" s="69">
        <v>0</v>
      </c>
      <c r="DX39" s="21"/>
      <c r="DY39" s="21"/>
      <c r="DZ39" s="21"/>
      <c r="EA39" s="21"/>
      <c r="EB39" s="21"/>
      <c r="EC39" s="21"/>
      <c r="ED39" s="21"/>
      <c r="EE39" s="21"/>
      <c r="EF39" s="21"/>
      <c r="EG39" s="69">
        <v>0</v>
      </c>
      <c r="EH39" s="21"/>
      <c r="EI39" s="21"/>
      <c r="EJ39" s="21"/>
      <c r="EK39" s="21"/>
      <c r="EL39" s="69">
        <v>0</v>
      </c>
      <c r="EM39" s="21"/>
      <c r="EN39" s="69">
        <v>0</v>
      </c>
      <c r="EO39" s="21"/>
      <c r="EP39" s="69">
        <v>0</v>
      </c>
      <c r="EQ39" s="69">
        <v>0</v>
      </c>
      <c r="ER39" s="21"/>
      <c r="ES39" s="21"/>
      <c r="ET39" s="69">
        <v>0</v>
      </c>
      <c r="EU39" s="21"/>
      <c r="EV39" s="21"/>
      <c r="EW39" s="21"/>
      <c r="EX39" s="21"/>
      <c r="EY39" s="21"/>
      <c r="EZ39" s="21"/>
      <c r="FA39" s="69">
        <v>0</v>
      </c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>
        <v>7.3491166546591102E-2</v>
      </c>
      <c r="GE39" s="21">
        <v>0.14295124339620627</v>
      </c>
      <c r="GF39" s="21">
        <v>0.16060783913967699</v>
      </c>
      <c r="GG39" s="21">
        <v>0.21487526917310379</v>
      </c>
      <c r="GH39" s="21">
        <v>0.26836086031406864</v>
      </c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>
        <v>0</v>
      </c>
      <c r="GY39" s="21">
        <v>0</v>
      </c>
      <c r="GZ39" s="21"/>
      <c r="HA39" s="21"/>
      <c r="HB39" s="21">
        <f t="shared" si="0"/>
        <v>30.104771031433764</v>
      </c>
    </row>
    <row r="40" spans="1:210" x14ac:dyDescent="0.75">
      <c r="A40" s="67" t="s">
        <v>475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69">
        <v>0</v>
      </c>
      <c r="AD40" s="21"/>
      <c r="AE40" s="21"/>
      <c r="AF40" s="69">
        <v>0</v>
      </c>
      <c r="AG40" s="21"/>
      <c r="AH40" s="21"/>
      <c r="AI40" s="69">
        <v>0</v>
      </c>
      <c r="AJ40" s="21"/>
      <c r="AK40" s="21"/>
      <c r="AL40" s="21"/>
      <c r="AM40" s="21"/>
      <c r="AN40" s="21"/>
      <c r="AO40" s="21"/>
      <c r="AP40" s="21"/>
      <c r="AQ40" s="21"/>
      <c r="AR40" s="69">
        <v>0</v>
      </c>
      <c r="AS40" s="21"/>
      <c r="AT40" s="21"/>
      <c r="AU40" s="21"/>
      <c r="AV40" s="21"/>
      <c r="AW40" s="21"/>
      <c r="AX40" s="21"/>
      <c r="AY40" s="21"/>
      <c r="AZ40" s="21"/>
      <c r="BA40" s="21"/>
      <c r="BB40" s="69">
        <v>0</v>
      </c>
      <c r="BC40" s="21"/>
      <c r="BD40" s="21"/>
      <c r="BE40" s="21"/>
      <c r="BF40" s="21"/>
      <c r="BG40" s="69">
        <v>0</v>
      </c>
      <c r="BH40" s="21"/>
      <c r="BI40" s="69">
        <v>0</v>
      </c>
      <c r="BJ40" s="21"/>
      <c r="BK40" s="69">
        <v>0</v>
      </c>
      <c r="BL40" s="69">
        <v>0</v>
      </c>
      <c r="BM40" s="21"/>
      <c r="BN40" s="21"/>
      <c r="BO40" s="69">
        <v>0</v>
      </c>
      <c r="BP40" s="21"/>
      <c r="BQ40" s="21"/>
      <c r="BR40" s="21"/>
      <c r="BS40" s="21"/>
      <c r="BT40" s="21"/>
      <c r="BU40" s="21"/>
      <c r="BV40" s="69">
        <v>0</v>
      </c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69">
        <v>0</v>
      </c>
      <c r="DH40" s="21"/>
      <c r="DI40" s="21"/>
      <c r="DJ40" s="69">
        <v>0</v>
      </c>
      <c r="DK40" s="21"/>
      <c r="DL40" s="21">
        <v>6.9272568879912372E-2</v>
      </c>
      <c r="DM40" s="69">
        <v>0</v>
      </c>
      <c r="DN40" s="21"/>
      <c r="DO40" s="21"/>
      <c r="DP40" s="21"/>
      <c r="DQ40" s="21"/>
      <c r="DR40" s="21"/>
      <c r="DS40" s="21"/>
      <c r="DT40" s="21"/>
      <c r="DU40" s="21"/>
      <c r="DV40" s="21"/>
      <c r="DW40" s="69">
        <v>0</v>
      </c>
      <c r="DX40" s="21"/>
      <c r="DY40" s="21"/>
      <c r="DZ40" s="21"/>
      <c r="EA40" s="21"/>
      <c r="EB40" s="21"/>
      <c r="EC40" s="21"/>
      <c r="ED40" s="21"/>
      <c r="EE40" s="21"/>
      <c r="EF40" s="21"/>
      <c r="EG40" s="69">
        <v>0</v>
      </c>
      <c r="EH40" s="21"/>
      <c r="EI40" s="21"/>
      <c r="EJ40" s="21"/>
      <c r="EK40" s="21"/>
      <c r="EL40" s="69">
        <v>0</v>
      </c>
      <c r="EM40" s="21"/>
      <c r="EN40" s="69">
        <v>0</v>
      </c>
      <c r="EO40" s="21"/>
      <c r="EP40" s="69">
        <v>0</v>
      </c>
      <c r="EQ40" s="69">
        <v>0</v>
      </c>
      <c r="ER40" s="21"/>
      <c r="ES40" s="21"/>
      <c r="ET40" s="69">
        <v>0</v>
      </c>
      <c r="EU40" s="21"/>
      <c r="EV40" s="21"/>
      <c r="EW40" s="21"/>
      <c r="EX40" s="21"/>
      <c r="EY40" s="21"/>
      <c r="EZ40" s="21"/>
      <c r="FA40" s="69">
        <v>0</v>
      </c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>
        <v>0</v>
      </c>
      <c r="GY40" s="21">
        <v>0</v>
      </c>
      <c r="GZ40" s="21"/>
      <c r="HA40" s="21"/>
      <c r="HB40" s="21">
        <f t="shared" si="0"/>
        <v>6.9272568879912372E-2</v>
      </c>
    </row>
    <row r="41" spans="1:210" x14ac:dyDescent="0.75">
      <c r="A41" s="68" t="s">
        <v>476</v>
      </c>
      <c r="B41" s="69">
        <v>0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69">
        <v>0</v>
      </c>
      <c r="O41" s="69">
        <v>0</v>
      </c>
      <c r="P41" s="69">
        <v>0</v>
      </c>
      <c r="Q41" s="69">
        <v>0</v>
      </c>
      <c r="R41" s="69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  <c r="Z41" s="69">
        <v>0</v>
      </c>
      <c r="AA41" s="69">
        <v>0</v>
      </c>
      <c r="AB41" s="69">
        <v>0</v>
      </c>
      <c r="AC41" s="69">
        <v>0</v>
      </c>
      <c r="AD41" s="69">
        <v>0</v>
      </c>
      <c r="AE41" s="69">
        <v>0</v>
      </c>
      <c r="AF41" s="69">
        <v>0</v>
      </c>
      <c r="AG41" s="69">
        <v>0</v>
      </c>
      <c r="AH41" s="69">
        <v>0</v>
      </c>
      <c r="AI41" s="69">
        <v>0</v>
      </c>
      <c r="AJ41" s="69">
        <v>0</v>
      </c>
      <c r="AK41" s="69">
        <v>0</v>
      </c>
      <c r="AL41" s="69">
        <v>0</v>
      </c>
      <c r="AM41" s="69">
        <v>0</v>
      </c>
      <c r="AN41" s="69">
        <v>0</v>
      </c>
      <c r="AO41" s="69">
        <v>0</v>
      </c>
      <c r="AP41" s="69">
        <v>0</v>
      </c>
      <c r="AQ41" s="69">
        <v>0</v>
      </c>
      <c r="AR41" s="69">
        <v>0</v>
      </c>
      <c r="AS41" s="69">
        <v>0</v>
      </c>
      <c r="AT41" s="69">
        <v>0</v>
      </c>
      <c r="AU41" s="69">
        <v>0</v>
      </c>
      <c r="AV41" s="69">
        <v>0</v>
      </c>
      <c r="AW41" s="69">
        <v>0</v>
      </c>
      <c r="AX41" s="69">
        <v>0</v>
      </c>
      <c r="AY41" s="69">
        <v>0</v>
      </c>
      <c r="AZ41" s="69">
        <v>0</v>
      </c>
      <c r="BA41" s="69">
        <v>0</v>
      </c>
      <c r="BB41" s="69">
        <v>0</v>
      </c>
      <c r="BC41" s="69">
        <v>0</v>
      </c>
      <c r="BD41" s="69">
        <v>0</v>
      </c>
      <c r="BE41" s="69">
        <v>0</v>
      </c>
      <c r="BF41" s="69">
        <v>0</v>
      </c>
      <c r="BG41" s="69">
        <v>0</v>
      </c>
      <c r="BH41" s="69">
        <v>0</v>
      </c>
      <c r="BI41" s="69">
        <v>0</v>
      </c>
      <c r="BJ41" s="69">
        <v>0</v>
      </c>
      <c r="BK41" s="69">
        <v>0</v>
      </c>
      <c r="BL41" s="69">
        <v>0</v>
      </c>
      <c r="BM41" s="69">
        <v>0</v>
      </c>
      <c r="BN41" s="69">
        <v>0</v>
      </c>
      <c r="BO41" s="69">
        <v>0</v>
      </c>
      <c r="BP41" s="69">
        <v>0</v>
      </c>
      <c r="BQ41" s="69">
        <v>0</v>
      </c>
      <c r="BR41" s="69">
        <v>0</v>
      </c>
      <c r="BS41" s="69">
        <v>0</v>
      </c>
      <c r="BT41" s="69">
        <v>0</v>
      </c>
      <c r="BU41" s="69">
        <v>0</v>
      </c>
      <c r="BV41" s="69">
        <v>0</v>
      </c>
      <c r="BW41" s="69">
        <v>0</v>
      </c>
      <c r="BX41" s="69">
        <v>0</v>
      </c>
      <c r="BY41" s="69">
        <v>0</v>
      </c>
      <c r="BZ41" s="69">
        <v>0</v>
      </c>
      <c r="CA41" s="69">
        <v>0</v>
      </c>
      <c r="CB41" s="69">
        <v>0</v>
      </c>
      <c r="CC41" s="69">
        <v>0</v>
      </c>
      <c r="CD41" s="69">
        <v>0</v>
      </c>
      <c r="CE41" s="69">
        <v>0</v>
      </c>
      <c r="CF41" s="69">
        <v>0</v>
      </c>
      <c r="CG41" s="69">
        <v>0</v>
      </c>
      <c r="CH41" s="69">
        <v>0</v>
      </c>
      <c r="CI41" s="69">
        <v>0</v>
      </c>
      <c r="CJ41" s="69">
        <v>0</v>
      </c>
      <c r="CK41" s="69">
        <v>0</v>
      </c>
      <c r="CL41" s="69">
        <v>0</v>
      </c>
      <c r="CM41" s="69">
        <v>0</v>
      </c>
      <c r="CN41" s="69">
        <v>0</v>
      </c>
      <c r="CO41" s="69">
        <v>0</v>
      </c>
      <c r="CP41" s="69">
        <v>0</v>
      </c>
      <c r="CQ41" s="69">
        <v>0</v>
      </c>
      <c r="CR41" s="69">
        <v>0</v>
      </c>
      <c r="CS41" s="69">
        <v>0</v>
      </c>
      <c r="CT41" s="69">
        <v>0</v>
      </c>
      <c r="CU41" s="69">
        <v>0</v>
      </c>
      <c r="CV41" s="69">
        <v>0</v>
      </c>
      <c r="CW41" s="69">
        <v>0</v>
      </c>
      <c r="CX41" s="69">
        <v>0</v>
      </c>
      <c r="CY41" s="69">
        <v>0</v>
      </c>
      <c r="CZ41" s="69">
        <v>0</v>
      </c>
      <c r="DA41" s="69">
        <v>0</v>
      </c>
      <c r="DB41" s="69">
        <v>0</v>
      </c>
      <c r="DC41" s="69">
        <v>0</v>
      </c>
      <c r="DD41" s="69">
        <v>0</v>
      </c>
      <c r="DE41" s="69">
        <v>0</v>
      </c>
      <c r="DF41" s="69">
        <v>0</v>
      </c>
      <c r="DG41" s="69">
        <v>0</v>
      </c>
      <c r="DH41" s="69">
        <v>0</v>
      </c>
      <c r="DI41" s="69">
        <v>0</v>
      </c>
      <c r="DJ41" s="69">
        <v>0</v>
      </c>
      <c r="DK41" s="69">
        <v>0</v>
      </c>
      <c r="DL41" s="69">
        <v>0</v>
      </c>
      <c r="DM41" s="69">
        <v>237.98617889554296</v>
      </c>
      <c r="DN41" s="69">
        <v>0</v>
      </c>
      <c r="DO41" s="69">
        <v>0</v>
      </c>
      <c r="DP41" s="69">
        <v>0</v>
      </c>
      <c r="DQ41" s="69">
        <v>0</v>
      </c>
      <c r="DR41" s="69">
        <v>0</v>
      </c>
      <c r="DS41" s="69">
        <v>0</v>
      </c>
      <c r="DT41" s="69">
        <v>0</v>
      </c>
      <c r="DU41" s="69">
        <v>0</v>
      </c>
      <c r="DV41" s="69">
        <v>0</v>
      </c>
      <c r="DW41" s="69">
        <v>0</v>
      </c>
      <c r="DX41" s="69">
        <v>0</v>
      </c>
      <c r="DY41" s="69">
        <v>0</v>
      </c>
      <c r="DZ41" s="69">
        <v>0</v>
      </c>
      <c r="EA41" s="69">
        <v>0</v>
      </c>
      <c r="EB41" s="69">
        <v>0</v>
      </c>
      <c r="EC41" s="69">
        <v>0</v>
      </c>
      <c r="ED41" s="69">
        <v>0</v>
      </c>
      <c r="EE41" s="69">
        <v>0</v>
      </c>
      <c r="EF41" s="69">
        <v>0</v>
      </c>
      <c r="EG41" s="69">
        <v>0</v>
      </c>
      <c r="EH41" s="69">
        <v>0</v>
      </c>
      <c r="EI41" s="69">
        <v>0</v>
      </c>
      <c r="EJ41" s="69">
        <v>0</v>
      </c>
      <c r="EK41" s="69">
        <v>0</v>
      </c>
      <c r="EL41" s="69">
        <v>0</v>
      </c>
      <c r="EM41" s="69">
        <v>0.47252355390123407</v>
      </c>
      <c r="EN41" s="69">
        <v>0</v>
      </c>
      <c r="EO41" s="69">
        <v>0</v>
      </c>
      <c r="EP41" s="69">
        <v>0</v>
      </c>
      <c r="EQ41" s="69">
        <v>0</v>
      </c>
      <c r="ER41" s="69">
        <v>0</v>
      </c>
      <c r="ES41" s="69">
        <v>0</v>
      </c>
      <c r="ET41" s="69">
        <v>0</v>
      </c>
      <c r="EU41" s="69">
        <v>0</v>
      </c>
      <c r="EV41" s="69">
        <v>0</v>
      </c>
      <c r="EW41" s="69">
        <v>0</v>
      </c>
      <c r="EX41" s="69">
        <v>0</v>
      </c>
      <c r="EY41" s="69">
        <v>0</v>
      </c>
      <c r="EZ41" s="69">
        <v>0</v>
      </c>
      <c r="FA41" s="69">
        <v>0</v>
      </c>
      <c r="FB41" s="69">
        <v>0</v>
      </c>
      <c r="FC41" s="69">
        <v>0</v>
      </c>
      <c r="FD41" s="69">
        <v>0</v>
      </c>
      <c r="FE41" s="69">
        <v>0</v>
      </c>
      <c r="FF41" s="69">
        <v>0</v>
      </c>
      <c r="FG41" s="69">
        <v>0</v>
      </c>
      <c r="FH41" s="69">
        <v>0</v>
      </c>
      <c r="FI41" s="69">
        <v>0</v>
      </c>
      <c r="FJ41" s="69">
        <v>0</v>
      </c>
      <c r="FK41" s="69">
        <v>0</v>
      </c>
      <c r="FL41" s="69">
        <v>0</v>
      </c>
      <c r="FM41" s="69">
        <v>0</v>
      </c>
      <c r="FN41" s="69">
        <v>0</v>
      </c>
      <c r="FO41" s="69">
        <v>0</v>
      </c>
      <c r="FP41" s="69">
        <v>0</v>
      </c>
      <c r="FQ41" s="69">
        <v>0</v>
      </c>
      <c r="FR41" s="69">
        <v>0</v>
      </c>
      <c r="FS41" s="69">
        <v>0</v>
      </c>
      <c r="FT41" s="69">
        <v>0</v>
      </c>
      <c r="FU41" s="69">
        <v>0</v>
      </c>
      <c r="FV41" s="69">
        <v>0</v>
      </c>
      <c r="FW41" s="69">
        <v>0</v>
      </c>
      <c r="FX41" s="69">
        <v>0</v>
      </c>
      <c r="FY41" s="69">
        <v>0</v>
      </c>
      <c r="FZ41" s="69">
        <v>0</v>
      </c>
      <c r="GA41" s="69">
        <v>0</v>
      </c>
      <c r="GB41" s="69">
        <v>0</v>
      </c>
      <c r="GC41" s="69">
        <v>0</v>
      </c>
      <c r="GD41" s="69">
        <v>0</v>
      </c>
      <c r="GE41" s="69">
        <v>0</v>
      </c>
      <c r="GF41" s="69">
        <v>0</v>
      </c>
      <c r="GG41" s="69">
        <v>0</v>
      </c>
      <c r="GH41" s="69">
        <v>0</v>
      </c>
      <c r="GI41" s="69">
        <v>0</v>
      </c>
      <c r="GJ41" s="69">
        <v>0</v>
      </c>
      <c r="GK41" s="69">
        <v>0</v>
      </c>
      <c r="GL41" s="69">
        <v>0</v>
      </c>
      <c r="GM41" s="69">
        <v>0</v>
      </c>
      <c r="GN41" s="69">
        <v>0</v>
      </c>
      <c r="GO41" s="69">
        <v>0</v>
      </c>
      <c r="GP41" s="69">
        <v>0</v>
      </c>
      <c r="GQ41" s="69">
        <v>0</v>
      </c>
      <c r="GR41" s="69">
        <v>0</v>
      </c>
      <c r="GS41" s="69">
        <v>0</v>
      </c>
      <c r="GT41" s="69">
        <v>0</v>
      </c>
      <c r="GU41" s="69">
        <v>0</v>
      </c>
      <c r="GV41" s="69">
        <v>0</v>
      </c>
      <c r="GW41" s="69">
        <v>0</v>
      </c>
      <c r="GX41" s="21">
        <v>0</v>
      </c>
      <c r="GY41" s="21">
        <v>0</v>
      </c>
      <c r="GZ41" s="69">
        <v>0</v>
      </c>
      <c r="HA41" s="69">
        <v>0</v>
      </c>
      <c r="HB41" s="21">
        <f t="shared" si="0"/>
        <v>238.45870244944419</v>
      </c>
    </row>
    <row r="42" spans="1:210" x14ac:dyDescent="0.75">
      <c r="A42" s="67" t="s">
        <v>477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69">
        <v>0</v>
      </c>
      <c r="AD42" s="21"/>
      <c r="AE42" s="21"/>
      <c r="AF42" s="69">
        <v>0</v>
      </c>
      <c r="AG42" s="21"/>
      <c r="AH42" s="21"/>
      <c r="AI42" s="69">
        <v>0</v>
      </c>
      <c r="AJ42" s="21"/>
      <c r="AK42" s="21"/>
      <c r="AL42" s="21"/>
      <c r="AM42" s="21"/>
      <c r="AN42" s="21"/>
      <c r="AO42" s="21"/>
      <c r="AP42" s="21"/>
      <c r="AQ42" s="21"/>
      <c r="AR42" s="69">
        <v>0</v>
      </c>
      <c r="AS42" s="21"/>
      <c r="AT42" s="21"/>
      <c r="AU42" s="21"/>
      <c r="AV42" s="21"/>
      <c r="AW42" s="21"/>
      <c r="AX42" s="21"/>
      <c r="AY42" s="21"/>
      <c r="AZ42" s="21"/>
      <c r="BA42" s="21"/>
      <c r="BB42" s="69">
        <v>0</v>
      </c>
      <c r="BC42" s="21"/>
      <c r="BD42" s="21"/>
      <c r="BE42" s="21"/>
      <c r="BF42" s="21"/>
      <c r="BG42" s="69">
        <v>0</v>
      </c>
      <c r="BH42" s="21"/>
      <c r="BI42" s="69">
        <v>0</v>
      </c>
      <c r="BJ42" s="21"/>
      <c r="BK42" s="69">
        <v>0</v>
      </c>
      <c r="BL42" s="69">
        <v>0</v>
      </c>
      <c r="BM42" s="21"/>
      <c r="BN42" s="21"/>
      <c r="BO42" s="69">
        <v>0</v>
      </c>
      <c r="BP42" s="21"/>
      <c r="BQ42" s="21"/>
      <c r="BR42" s="21"/>
      <c r="BS42" s="21"/>
      <c r="BT42" s="21"/>
      <c r="BU42" s="21"/>
      <c r="BV42" s="69">
        <v>0</v>
      </c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69">
        <v>0</v>
      </c>
      <c r="DH42" s="21"/>
      <c r="DI42" s="21"/>
      <c r="DJ42" s="69">
        <v>0</v>
      </c>
      <c r="DK42" s="21"/>
      <c r="DL42" s="21"/>
      <c r="DM42" s="69">
        <v>0</v>
      </c>
      <c r="DN42" s="21">
        <v>90.511621332187673</v>
      </c>
      <c r="DO42" s="21">
        <v>0.7082522302710621</v>
      </c>
      <c r="DP42" s="21"/>
      <c r="DQ42" s="21"/>
      <c r="DR42" s="21"/>
      <c r="DS42" s="21"/>
      <c r="DT42" s="21"/>
      <c r="DU42" s="21"/>
      <c r="DV42" s="21"/>
      <c r="DW42" s="69">
        <v>0</v>
      </c>
      <c r="DX42" s="21"/>
      <c r="DY42" s="21"/>
      <c r="DZ42" s="21"/>
      <c r="EA42" s="21"/>
      <c r="EB42" s="21"/>
      <c r="EC42" s="21"/>
      <c r="ED42" s="21"/>
      <c r="EE42" s="21"/>
      <c r="EF42" s="21"/>
      <c r="EG42" s="69">
        <v>0</v>
      </c>
      <c r="EH42" s="21"/>
      <c r="EI42" s="21"/>
      <c r="EJ42" s="21"/>
      <c r="EK42" s="21"/>
      <c r="EL42" s="69">
        <v>0</v>
      </c>
      <c r="EM42" s="21"/>
      <c r="EN42" s="69">
        <v>0</v>
      </c>
      <c r="EO42" s="21"/>
      <c r="EP42" s="69">
        <v>0</v>
      </c>
      <c r="EQ42" s="69">
        <v>0</v>
      </c>
      <c r="ER42" s="21"/>
      <c r="ES42" s="21"/>
      <c r="ET42" s="69">
        <v>0</v>
      </c>
      <c r="EU42" s="21"/>
      <c r="EV42" s="21"/>
      <c r="EW42" s="21"/>
      <c r="EX42" s="21"/>
      <c r="EY42" s="21"/>
      <c r="EZ42" s="21"/>
      <c r="FA42" s="69">
        <v>0</v>
      </c>
      <c r="FB42" s="21"/>
      <c r="FC42" s="21"/>
      <c r="FD42" s="21"/>
      <c r="FE42" s="21"/>
      <c r="FF42" s="21"/>
      <c r="FG42" s="21"/>
      <c r="FH42" s="21">
        <v>2.455174637260011</v>
      </c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>
        <v>3.5999063985930474E-2</v>
      </c>
      <c r="GE42" s="21"/>
      <c r="GF42" s="21">
        <v>9.4456247956361625E-3</v>
      </c>
      <c r="GG42" s="21">
        <v>4.2781834332340167E-2</v>
      </c>
      <c r="GH42" s="21">
        <v>5.0895346787515623E-2</v>
      </c>
      <c r="GI42" s="21"/>
      <c r="GJ42" s="21"/>
      <c r="GK42" s="21"/>
      <c r="GL42" s="21"/>
      <c r="GM42" s="21">
        <v>1.9156330123729996E-5</v>
      </c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>
        <v>0</v>
      </c>
      <c r="GY42" s="21">
        <v>0</v>
      </c>
      <c r="GZ42" s="21"/>
      <c r="HA42" s="21"/>
      <c r="HB42" s="21">
        <f t="shared" si="0"/>
        <v>93.814189225950287</v>
      </c>
    </row>
    <row r="43" spans="1:210" x14ac:dyDescent="0.75">
      <c r="A43" s="67" t="s">
        <v>479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69">
        <v>0</v>
      </c>
      <c r="AD43" s="21"/>
      <c r="AE43" s="21"/>
      <c r="AF43" s="69">
        <v>0</v>
      </c>
      <c r="AG43" s="21"/>
      <c r="AH43" s="21"/>
      <c r="AI43" s="69">
        <v>0</v>
      </c>
      <c r="AJ43" s="21"/>
      <c r="AK43" s="21"/>
      <c r="AL43" s="21"/>
      <c r="AM43" s="21"/>
      <c r="AN43" s="21"/>
      <c r="AO43" s="21"/>
      <c r="AP43" s="21"/>
      <c r="AQ43" s="21"/>
      <c r="AR43" s="69">
        <v>0</v>
      </c>
      <c r="AS43" s="21"/>
      <c r="AT43" s="21"/>
      <c r="AU43" s="21"/>
      <c r="AV43" s="21"/>
      <c r="AW43" s="21"/>
      <c r="AX43" s="21"/>
      <c r="AY43" s="21"/>
      <c r="AZ43" s="21"/>
      <c r="BA43" s="21"/>
      <c r="BB43" s="69">
        <v>0</v>
      </c>
      <c r="BC43" s="21"/>
      <c r="BD43" s="21"/>
      <c r="BE43" s="21"/>
      <c r="BF43" s="21"/>
      <c r="BG43" s="69">
        <v>0</v>
      </c>
      <c r="BH43" s="21"/>
      <c r="BI43" s="69">
        <v>0</v>
      </c>
      <c r="BJ43" s="21"/>
      <c r="BK43" s="69">
        <v>0</v>
      </c>
      <c r="BL43" s="69">
        <v>0</v>
      </c>
      <c r="BM43" s="21"/>
      <c r="BN43" s="21"/>
      <c r="BO43" s="69">
        <v>0</v>
      </c>
      <c r="BP43" s="21"/>
      <c r="BQ43" s="21"/>
      <c r="BR43" s="21"/>
      <c r="BS43" s="21"/>
      <c r="BT43" s="21"/>
      <c r="BU43" s="21"/>
      <c r="BV43" s="69">
        <v>0</v>
      </c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69">
        <v>0</v>
      </c>
      <c r="DH43" s="21"/>
      <c r="DI43" s="21"/>
      <c r="DJ43" s="69">
        <v>0</v>
      </c>
      <c r="DK43" s="21"/>
      <c r="DL43" s="21"/>
      <c r="DM43" s="69">
        <v>0</v>
      </c>
      <c r="DN43" s="21"/>
      <c r="DO43" s="21"/>
      <c r="DP43" s="21">
        <v>10.344067739419589</v>
      </c>
      <c r="DQ43" s="21"/>
      <c r="DR43" s="21"/>
      <c r="DS43" s="21">
        <v>0.34255197958186279</v>
      </c>
      <c r="DT43" s="21">
        <v>3.0127482572605664</v>
      </c>
      <c r="DU43" s="21"/>
      <c r="DV43" s="21"/>
      <c r="DW43" s="69">
        <v>2.9209304055552678</v>
      </c>
      <c r="DX43" s="21"/>
      <c r="DY43" s="21"/>
      <c r="DZ43" s="21"/>
      <c r="EA43" s="21"/>
      <c r="EB43" s="21"/>
      <c r="EC43" s="21"/>
      <c r="ED43" s="21"/>
      <c r="EE43" s="21"/>
      <c r="EF43" s="21"/>
      <c r="EG43" s="69">
        <v>0</v>
      </c>
      <c r="EH43" s="21"/>
      <c r="EI43" s="21"/>
      <c r="EJ43" s="21"/>
      <c r="EK43" s="21"/>
      <c r="EL43" s="69">
        <v>0</v>
      </c>
      <c r="EM43" s="21"/>
      <c r="EN43" s="69">
        <v>0</v>
      </c>
      <c r="EO43" s="21">
        <v>0.76874389979589597</v>
      </c>
      <c r="EP43" s="69">
        <v>0.3959059675152824</v>
      </c>
      <c r="EQ43" s="69">
        <v>0</v>
      </c>
      <c r="ER43" s="21"/>
      <c r="ES43" s="21">
        <v>0.93952671648442732</v>
      </c>
      <c r="ET43" s="69">
        <v>0</v>
      </c>
      <c r="EU43" s="21"/>
      <c r="EV43" s="21"/>
      <c r="EW43" s="21"/>
      <c r="EX43" s="21"/>
      <c r="EY43" s="21"/>
      <c r="EZ43" s="21"/>
      <c r="FA43" s="69">
        <v>0</v>
      </c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>
        <v>0</v>
      </c>
      <c r="GY43" s="21">
        <v>0</v>
      </c>
      <c r="GZ43" s="21"/>
      <c r="HA43" s="21"/>
      <c r="HB43" s="21">
        <f t="shared" si="0"/>
        <v>18.724474965612892</v>
      </c>
    </row>
    <row r="44" spans="1:210" x14ac:dyDescent="0.75">
      <c r="A44" s="67" t="s">
        <v>480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69">
        <v>0</v>
      </c>
      <c r="AD44" s="21"/>
      <c r="AE44" s="21"/>
      <c r="AF44" s="69">
        <v>0</v>
      </c>
      <c r="AG44" s="21"/>
      <c r="AH44" s="21"/>
      <c r="AI44" s="69">
        <v>0</v>
      </c>
      <c r="AJ44" s="21"/>
      <c r="AK44" s="21"/>
      <c r="AL44" s="21"/>
      <c r="AM44" s="21"/>
      <c r="AN44" s="21"/>
      <c r="AO44" s="21"/>
      <c r="AP44" s="21"/>
      <c r="AQ44" s="21"/>
      <c r="AR44" s="69">
        <v>0</v>
      </c>
      <c r="AS44" s="21"/>
      <c r="AT44" s="21"/>
      <c r="AU44" s="21"/>
      <c r="AV44" s="21"/>
      <c r="AW44" s="21"/>
      <c r="AX44" s="21"/>
      <c r="AY44" s="21"/>
      <c r="AZ44" s="21"/>
      <c r="BA44" s="21"/>
      <c r="BB44" s="69">
        <v>0</v>
      </c>
      <c r="BC44" s="21"/>
      <c r="BD44" s="21"/>
      <c r="BE44" s="21"/>
      <c r="BF44" s="21"/>
      <c r="BG44" s="69">
        <v>0</v>
      </c>
      <c r="BH44" s="21"/>
      <c r="BI44" s="69">
        <v>0</v>
      </c>
      <c r="BJ44" s="21"/>
      <c r="BK44" s="69">
        <v>0</v>
      </c>
      <c r="BL44" s="69">
        <v>0</v>
      </c>
      <c r="BM44" s="21"/>
      <c r="BN44" s="21"/>
      <c r="BO44" s="69">
        <v>0</v>
      </c>
      <c r="BP44" s="21"/>
      <c r="BQ44" s="21"/>
      <c r="BR44" s="21"/>
      <c r="BS44" s="21"/>
      <c r="BT44" s="21"/>
      <c r="BU44" s="21"/>
      <c r="BV44" s="69">
        <v>0</v>
      </c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69">
        <v>0</v>
      </c>
      <c r="DH44" s="21"/>
      <c r="DI44" s="21"/>
      <c r="DJ44" s="69">
        <v>0</v>
      </c>
      <c r="DK44" s="21"/>
      <c r="DL44" s="21"/>
      <c r="DM44" s="69">
        <v>0</v>
      </c>
      <c r="DN44" s="21"/>
      <c r="DO44" s="21"/>
      <c r="DP44" s="21"/>
      <c r="DQ44" s="21">
        <v>14.650536834169062</v>
      </c>
      <c r="DR44" s="21"/>
      <c r="DS44" s="21"/>
      <c r="DT44" s="21"/>
      <c r="DU44" s="21"/>
      <c r="DV44" s="21">
        <v>1.5980673808020096</v>
      </c>
      <c r="DW44" s="69">
        <v>0</v>
      </c>
      <c r="DX44" s="21"/>
      <c r="DY44" s="21"/>
      <c r="DZ44" s="21"/>
      <c r="EA44" s="21"/>
      <c r="EB44" s="21"/>
      <c r="EC44" s="21"/>
      <c r="ED44" s="21"/>
      <c r="EE44" s="21"/>
      <c r="EF44" s="21"/>
      <c r="EG44" s="69">
        <v>0</v>
      </c>
      <c r="EH44" s="21"/>
      <c r="EI44" s="21"/>
      <c r="EJ44" s="21"/>
      <c r="EK44" s="21"/>
      <c r="EL44" s="69">
        <v>0</v>
      </c>
      <c r="EM44" s="21"/>
      <c r="EN44" s="69">
        <v>0</v>
      </c>
      <c r="EO44" s="21"/>
      <c r="EP44" s="69">
        <v>0</v>
      </c>
      <c r="EQ44" s="69">
        <v>0</v>
      </c>
      <c r="ER44" s="21"/>
      <c r="ES44" s="21"/>
      <c r="ET44" s="69">
        <v>0</v>
      </c>
      <c r="EU44" s="21"/>
      <c r="EV44" s="21"/>
      <c r="EW44" s="21"/>
      <c r="EX44" s="21"/>
      <c r="EY44" s="21"/>
      <c r="EZ44" s="21"/>
      <c r="FA44" s="69">
        <v>0</v>
      </c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>
        <v>1.293718050380039E-8</v>
      </c>
      <c r="GE44" s="21">
        <v>3.115003656102535E-3</v>
      </c>
      <c r="GF44" s="21">
        <v>4.1160168516872965E-2</v>
      </c>
      <c r="GG44" s="21">
        <v>7.9826774528909308E-2</v>
      </c>
      <c r="GH44" s="21">
        <v>6.7701504145860791E-2</v>
      </c>
      <c r="GI44" s="21"/>
      <c r="GJ44" s="21"/>
      <c r="GK44" s="21"/>
      <c r="GL44" s="21">
        <v>1.0616946304445022E-2</v>
      </c>
      <c r="GM44" s="21"/>
      <c r="GN44" s="21"/>
      <c r="GO44" s="21"/>
      <c r="GP44" s="21"/>
      <c r="GQ44" s="21">
        <v>4.2947748677714387E-4</v>
      </c>
      <c r="GR44" s="21">
        <v>2.5322310210590848E-3</v>
      </c>
      <c r="GS44" s="21"/>
      <c r="GT44" s="21"/>
      <c r="GU44" s="21"/>
      <c r="GV44" s="21"/>
      <c r="GW44" s="21"/>
      <c r="GX44" s="21">
        <v>0</v>
      </c>
      <c r="GY44" s="21">
        <v>0</v>
      </c>
      <c r="GZ44" s="21"/>
      <c r="HA44" s="21"/>
      <c r="HB44" s="21">
        <f t="shared" si="0"/>
        <v>16.453986333568281</v>
      </c>
    </row>
    <row r="45" spans="1:210" x14ac:dyDescent="0.75">
      <c r="A45" s="67" t="s">
        <v>481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69">
        <v>0</v>
      </c>
      <c r="AD45" s="21"/>
      <c r="AE45" s="21"/>
      <c r="AF45" s="69">
        <v>0</v>
      </c>
      <c r="AG45" s="21"/>
      <c r="AH45" s="21"/>
      <c r="AI45" s="69">
        <v>0</v>
      </c>
      <c r="AJ45" s="21"/>
      <c r="AK45" s="21"/>
      <c r="AL45" s="21"/>
      <c r="AM45" s="21"/>
      <c r="AN45" s="21"/>
      <c r="AO45" s="21"/>
      <c r="AP45" s="21"/>
      <c r="AQ45" s="21"/>
      <c r="AR45" s="69">
        <v>0</v>
      </c>
      <c r="AS45" s="21"/>
      <c r="AT45" s="21"/>
      <c r="AU45" s="21"/>
      <c r="AV45" s="21"/>
      <c r="AW45" s="21"/>
      <c r="AX45" s="21"/>
      <c r="AY45" s="21"/>
      <c r="AZ45" s="21"/>
      <c r="BA45" s="21"/>
      <c r="BB45" s="69">
        <v>0</v>
      </c>
      <c r="BC45" s="21"/>
      <c r="BD45" s="21"/>
      <c r="BE45" s="21"/>
      <c r="BF45" s="21"/>
      <c r="BG45" s="69">
        <v>0</v>
      </c>
      <c r="BH45" s="21"/>
      <c r="BI45" s="69">
        <v>0</v>
      </c>
      <c r="BJ45" s="21"/>
      <c r="BK45" s="69">
        <v>0</v>
      </c>
      <c r="BL45" s="69">
        <v>0</v>
      </c>
      <c r="BM45" s="21"/>
      <c r="BN45" s="21"/>
      <c r="BO45" s="69">
        <v>0</v>
      </c>
      <c r="BP45" s="21"/>
      <c r="BQ45" s="21"/>
      <c r="BR45" s="21"/>
      <c r="BS45" s="21"/>
      <c r="BT45" s="21"/>
      <c r="BU45" s="21"/>
      <c r="BV45" s="69">
        <v>0</v>
      </c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69">
        <v>0</v>
      </c>
      <c r="DH45" s="21"/>
      <c r="DI45" s="21"/>
      <c r="DJ45" s="69">
        <v>0</v>
      </c>
      <c r="DK45" s="21"/>
      <c r="DL45" s="21"/>
      <c r="DM45" s="69">
        <v>0</v>
      </c>
      <c r="DN45" s="21"/>
      <c r="DO45" s="21"/>
      <c r="DP45" s="21">
        <v>0.53216812880822695</v>
      </c>
      <c r="DQ45" s="21"/>
      <c r="DR45" s="21">
        <v>2.1194383792268447</v>
      </c>
      <c r="DS45" s="21"/>
      <c r="DT45" s="21"/>
      <c r="DU45" s="21"/>
      <c r="DV45" s="21"/>
      <c r="DW45" s="69">
        <v>0</v>
      </c>
      <c r="DX45" s="21"/>
      <c r="DY45" s="21"/>
      <c r="DZ45" s="21"/>
      <c r="EA45" s="21"/>
      <c r="EB45" s="21"/>
      <c r="EC45" s="21"/>
      <c r="ED45" s="21"/>
      <c r="EE45" s="21"/>
      <c r="EF45" s="21"/>
      <c r="EG45" s="69">
        <v>0</v>
      </c>
      <c r="EH45" s="21"/>
      <c r="EI45" s="21"/>
      <c r="EJ45" s="21"/>
      <c r="EK45" s="21"/>
      <c r="EL45" s="69">
        <v>0</v>
      </c>
      <c r="EM45" s="21"/>
      <c r="EN45" s="69">
        <v>0</v>
      </c>
      <c r="EO45" s="21"/>
      <c r="EP45" s="69">
        <v>2.6055356563749359</v>
      </c>
      <c r="EQ45" s="69">
        <v>0</v>
      </c>
      <c r="ER45" s="21"/>
      <c r="ES45" s="21"/>
      <c r="ET45" s="69">
        <v>0</v>
      </c>
      <c r="EU45" s="21"/>
      <c r="EV45" s="21"/>
      <c r="EW45" s="21"/>
      <c r="EX45" s="21"/>
      <c r="EY45" s="21"/>
      <c r="EZ45" s="21"/>
      <c r="FA45" s="69">
        <v>0</v>
      </c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>
        <v>0.12408468920856386</v>
      </c>
      <c r="GE45" s="21">
        <v>0.23005809729329318</v>
      </c>
      <c r="GF45" s="21">
        <v>0.42075650273993631</v>
      </c>
      <c r="GG45" s="21">
        <v>0.84410256826261354</v>
      </c>
      <c r="GH45" s="21">
        <v>0.85775864024766602</v>
      </c>
      <c r="GI45" s="21"/>
      <c r="GJ45" s="21">
        <v>1.1075984951782433E-2</v>
      </c>
      <c r="GK45" s="21">
        <v>4.0404645037401085E-2</v>
      </c>
      <c r="GL45" s="21">
        <v>2.3274658358372564E-2</v>
      </c>
      <c r="GM45" s="21">
        <v>1.6908192360657555E-2</v>
      </c>
      <c r="GN45" s="21"/>
      <c r="GO45" s="21"/>
      <c r="GP45" s="21">
        <v>1.3852098359034852E-3</v>
      </c>
      <c r="GQ45" s="21">
        <v>4.9568030996485726E-2</v>
      </c>
      <c r="GR45" s="21">
        <v>2.2603246672519766E-2</v>
      </c>
      <c r="GS45" s="21"/>
      <c r="GT45" s="21"/>
      <c r="GU45" s="21"/>
      <c r="GV45" s="21"/>
      <c r="GW45" s="21"/>
      <c r="GX45" s="21">
        <v>0</v>
      </c>
      <c r="GY45" s="21">
        <v>0</v>
      </c>
      <c r="GZ45" s="21"/>
      <c r="HA45" s="21"/>
      <c r="HB45" s="21">
        <f t="shared" si="0"/>
        <v>7.8991226303752038</v>
      </c>
    </row>
    <row r="46" spans="1:210" x14ac:dyDescent="0.75">
      <c r="A46" s="67" t="s">
        <v>486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69">
        <v>0</v>
      </c>
      <c r="AD46" s="21"/>
      <c r="AE46" s="21"/>
      <c r="AF46" s="69">
        <v>0</v>
      </c>
      <c r="AG46" s="21"/>
      <c r="AH46" s="21"/>
      <c r="AI46" s="69">
        <v>0</v>
      </c>
      <c r="AJ46" s="21"/>
      <c r="AK46" s="21"/>
      <c r="AL46" s="21"/>
      <c r="AM46" s="21"/>
      <c r="AN46" s="21"/>
      <c r="AO46" s="21"/>
      <c r="AP46" s="21"/>
      <c r="AQ46" s="21"/>
      <c r="AR46" s="69">
        <v>0</v>
      </c>
      <c r="AS46" s="21"/>
      <c r="AT46" s="21"/>
      <c r="AU46" s="21"/>
      <c r="AV46" s="21"/>
      <c r="AW46" s="21"/>
      <c r="AX46" s="21"/>
      <c r="AY46" s="21"/>
      <c r="AZ46" s="21"/>
      <c r="BA46" s="21"/>
      <c r="BB46" s="69">
        <v>0</v>
      </c>
      <c r="BC46" s="21"/>
      <c r="BD46" s="21"/>
      <c r="BE46" s="21"/>
      <c r="BF46" s="21"/>
      <c r="BG46" s="69">
        <v>0</v>
      </c>
      <c r="BH46" s="21"/>
      <c r="BI46" s="69">
        <v>0</v>
      </c>
      <c r="BJ46" s="21"/>
      <c r="BK46" s="69">
        <v>0</v>
      </c>
      <c r="BL46" s="69">
        <v>0</v>
      </c>
      <c r="BM46" s="21"/>
      <c r="BN46" s="21"/>
      <c r="BO46" s="69">
        <v>0</v>
      </c>
      <c r="BP46" s="21"/>
      <c r="BQ46" s="21"/>
      <c r="BR46" s="21"/>
      <c r="BS46" s="21"/>
      <c r="BT46" s="21"/>
      <c r="BU46" s="21"/>
      <c r="BV46" s="69">
        <v>0</v>
      </c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69">
        <v>0</v>
      </c>
      <c r="DH46" s="21"/>
      <c r="DI46" s="21"/>
      <c r="DJ46" s="69">
        <v>0</v>
      </c>
      <c r="DK46" s="21"/>
      <c r="DL46" s="21"/>
      <c r="DM46" s="69">
        <v>0</v>
      </c>
      <c r="DN46" s="21"/>
      <c r="DO46" s="21"/>
      <c r="DP46" s="21"/>
      <c r="DQ46" s="21"/>
      <c r="DR46" s="21">
        <v>2.0691614591978285</v>
      </c>
      <c r="DS46" s="21">
        <v>323.83634330929999</v>
      </c>
      <c r="DT46" s="21"/>
      <c r="DU46" s="21">
        <v>4.3773867803145601</v>
      </c>
      <c r="DV46" s="21"/>
      <c r="DW46" s="69">
        <v>0</v>
      </c>
      <c r="DX46" s="21"/>
      <c r="DY46" s="21"/>
      <c r="DZ46" s="21"/>
      <c r="EA46" s="21"/>
      <c r="EB46" s="21"/>
      <c r="EC46" s="21"/>
      <c r="ED46" s="21"/>
      <c r="EE46" s="21"/>
      <c r="EF46" s="21"/>
      <c r="EG46" s="69">
        <v>0</v>
      </c>
      <c r="EH46" s="21"/>
      <c r="EI46" s="21"/>
      <c r="EJ46" s="21"/>
      <c r="EK46" s="21"/>
      <c r="EL46" s="69">
        <v>0</v>
      </c>
      <c r="EM46" s="21"/>
      <c r="EN46" s="69">
        <v>0</v>
      </c>
      <c r="EO46" s="21"/>
      <c r="EP46" s="69">
        <v>1.1262034488210291</v>
      </c>
      <c r="EQ46" s="69">
        <v>3.553334385259169</v>
      </c>
      <c r="ER46" s="21"/>
      <c r="ES46" s="21"/>
      <c r="ET46" s="69">
        <v>0</v>
      </c>
      <c r="EU46" s="21"/>
      <c r="EV46" s="21"/>
      <c r="EW46" s="21"/>
      <c r="EX46" s="21"/>
      <c r="EY46" s="21"/>
      <c r="EZ46" s="21"/>
      <c r="FA46" s="69">
        <v>1.6724013530704765E-3</v>
      </c>
      <c r="FB46" s="21"/>
      <c r="FC46" s="21"/>
      <c r="FD46" s="21"/>
      <c r="FE46" s="21"/>
      <c r="FF46" s="21"/>
      <c r="FG46" s="21"/>
      <c r="FH46" s="21">
        <v>2.38184822205099E-2</v>
      </c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>
        <v>2.4009700719514497</v>
      </c>
      <c r="GE46" s="21">
        <v>5.5818094168646537</v>
      </c>
      <c r="GF46" s="21">
        <v>9.3611733494480305</v>
      </c>
      <c r="GG46" s="21">
        <v>12.8524701436183</v>
      </c>
      <c r="GH46" s="21">
        <v>10.206173386270784</v>
      </c>
      <c r="GI46" s="21">
        <v>3.262603272725717E-2</v>
      </c>
      <c r="GJ46" s="21">
        <v>2.4641643933353555E-2</v>
      </c>
      <c r="GK46" s="21">
        <v>0.1532994190104196</v>
      </c>
      <c r="GL46" s="21">
        <v>0.51439683386011226</v>
      </c>
      <c r="GM46" s="21">
        <v>0.25388842765900355</v>
      </c>
      <c r="GN46" s="21">
        <v>0.14223685488175716</v>
      </c>
      <c r="GO46" s="21">
        <v>5.0423107390244221E-2</v>
      </c>
      <c r="GP46" s="21">
        <v>0.18800107315561293</v>
      </c>
      <c r="GQ46" s="21">
        <v>0.36851033606508082</v>
      </c>
      <c r="GR46" s="21">
        <v>0.36814445631628101</v>
      </c>
      <c r="GS46" s="21"/>
      <c r="GT46" s="21"/>
      <c r="GU46" s="21"/>
      <c r="GV46" s="21"/>
      <c r="GW46" s="21"/>
      <c r="GX46" s="21">
        <v>0</v>
      </c>
      <c r="GY46" s="21">
        <v>0</v>
      </c>
      <c r="GZ46" s="21"/>
      <c r="HA46" s="21"/>
      <c r="HB46" s="21">
        <f t="shared" si="0"/>
        <v>377.4866848196184</v>
      </c>
    </row>
    <row r="47" spans="1:210" x14ac:dyDescent="0.75">
      <c r="A47" s="67" t="s">
        <v>705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69">
        <v>0</v>
      </c>
      <c r="AD47" s="21"/>
      <c r="AE47" s="21"/>
      <c r="AF47" s="69">
        <v>0</v>
      </c>
      <c r="AG47" s="21"/>
      <c r="AH47" s="21"/>
      <c r="AI47" s="69">
        <v>0</v>
      </c>
      <c r="AJ47" s="21"/>
      <c r="AK47" s="21"/>
      <c r="AL47" s="21"/>
      <c r="AM47" s="21"/>
      <c r="AN47" s="21"/>
      <c r="AO47" s="21"/>
      <c r="AP47" s="21"/>
      <c r="AQ47" s="21"/>
      <c r="AR47" s="69">
        <v>0</v>
      </c>
      <c r="AS47" s="21"/>
      <c r="AT47" s="21"/>
      <c r="AU47" s="21"/>
      <c r="AV47" s="21"/>
      <c r="AW47" s="21"/>
      <c r="AX47" s="21"/>
      <c r="AY47" s="21"/>
      <c r="AZ47" s="21"/>
      <c r="BA47" s="21"/>
      <c r="BB47" s="69">
        <v>0</v>
      </c>
      <c r="BC47" s="21"/>
      <c r="BD47" s="21"/>
      <c r="BE47" s="21"/>
      <c r="BF47" s="21"/>
      <c r="BG47" s="69">
        <v>0</v>
      </c>
      <c r="BH47" s="21"/>
      <c r="BI47" s="69">
        <v>0</v>
      </c>
      <c r="BJ47" s="21"/>
      <c r="BK47" s="69">
        <v>0</v>
      </c>
      <c r="BL47" s="69">
        <v>0</v>
      </c>
      <c r="BM47" s="21"/>
      <c r="BN47" s="21"/>
      <c r="BO47" s="69">
        <v>0</v>
      </c>
      <c r="BP47" s="21"/>
      <c r="BQ47" s="21"/>
      <c r="BR47" s="21"/>
      <c r="BS47" s="21"/>
      <c r="BT47" s="21"/>
      <c r="BU47" s="21"/>
      <c r="BV47" s="69">
        <v>0</v>
      </c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69">
        <v>0</v>
      </c>
      <c r="DH47" s="21"/>
      <c r="DI47" s="21"/>
      <c r="DJ47" s="69">
        <v>0</v>
      </c>
      <c r="DK47" s="21"/>
      <c r="DL47" s="21"/>
      <c r="DM47" s="69">
        <v>0</v>
      </c>
      <c r="DN47" s="21"/>
      <c r="DO47" s="21"/>
      <c r="DP47" s="21"/>
      <c r="DQ47" s="21"/>
      <c r="DR47" s="21"/>
      <c r="DS47" s="21"/>
      <c r="DT47" s="21">
        <v>62.810534660355962</v>
      </c>
      <c r="DU47" s="21"/>
      <c r="DV47" s="21">
        <v>5.1018910234462469</v>
      </c>
      <c r="DW47" s="69">
        <v>0</v>
      </c>
      <c r="DX47" s="21"/>
      <c r="DY47" s="21"/>
      <c r="DZ47" s="21"/>
      <c r="EA47" s="21"/>
      <c r="EB47" s="21"/>
      <c r="EC47" s="21"/>
      <c r="ED47" s="21"/>
      <c r="EE47" s="21"/>
      <c r="EF47" s="21"/>
      <c r="EG47" s="69">
        <v>0</v>
      </c>
      <c r="EH47" s="21"/>
      <c r="EI47" s="21"/>
      <c r="EJ47" s="21"/>
      <c r="EK47" s="21"/>
      <c r="EL47" s="69">
        <v>0</v>
      </c>
      <c r="EM47" s="21"/>
      <c r="EN47" s="69">
        <v>0</v>
      </c>
      <c r="EO47" s="21"/>
      <c r="EP47" s="69">
        <v>0.15467781402498443</v>
      </c>
      <c r="EQ47" s="69">
        <v>0</v>
      </c>
      <c r="ER47" s="21"/>
      <c r="ES47" s="21"/>
      <c r="ET47" s="69">
        <v>0</v>
      </c>
      <c r="EU47" s="21"/>
      <c r="EV47" s="21"/>
      <c r="EW47" s="21"/>
      <c r="EX47" s="21"/>
      <c r="EY47" s="21"/>
      <c r="EZ47" s="21"/>
      <c r="FA47" s="69">
        <v>0</v>
      </c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>
        <v>0</v>
      </c>
      <c r="GY47" s="21">
        <v>0</v>
      </c>
      <c r="GZ47" s="21"/>
      <c r="HA47" s="21"/>
      <c r="HB47" s="21">
        <f t="shared" si="0"/>
        <v>68.06710349782719</v>
      </c>
    </row>
    <row r="48" spans="1:210" x14ac:dyDescent="0.75">
      <c r="A48" s="67" t="s">
        <v>490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69">
        <v>0</v>
      </c>
      <c r="AD48" s="21"/>
      <c r="AE48" s="21"/>
      <c r="AF48" s="69">
        <v>0</v>
      </c>
      <c r="AG48" s="21"/>
      <c r="AH48" s="21"/>
      <c r="AI48" s="69">
        <v>0</v>
      </c>
      <c r="AJ48" s="21"/>
      <c r="AK48" s="21"/>
      <c r="AL48" s="21"/>
      <c r="AM48" s="21"/>
      <c r="AN48" s="21"/>
      <c r="AO48" s="21"/>
      <c r="AP48" s="21"/>
      <c r="AQ48" s="21"/>
      <c r="AR48" s="69">
        <v>0</v>
      </c>
      <c r="AS48" s="21"/>
      <c r="AT48" s="21"/>
      <c r="AU48" s="21"/>
      <c r="AV48" s="21"/>
      <c r="AW48" s="21"/>
      <c r="AX48" s="21"/>
      <c r="AY48" s="21"/>
      <c r="AZ48" s="21"/>
      <c r="BA48" s="21"/>
      <c r="BB48" s="69">
        <v>0</v>
      </c>
      <c r="BC48" s="21"/>
      <c r="BD48" s="21"/>
      <c r="BE48" s="21"/>
      <c r="BF48" s="21"/>
      <c r="BG48" s="69">
        <v>0</v>
      </c>
      <c r="BH48" s="21"/>
      <c r="BI48" s="69">
        <v>0</v>
      </c>
      <c r="BJ48" s="21"/>
      <c r="BK48" s="69">
        <v>0</v>
      </c>
      <c r="BL48" s="69">
        <v>0</v>
      </c>
      <c r="BM48" s="21"/>
      <c r="BN48" s="21"/>
      <c r="BO48" s="69">
        <v>0</v>
      </c>
      <c r="BP48" s="21"/>
      <c r="BQ48" s="21"/>
      <c r="BR48" s="21"/>
      <c r="BS48" s="21"/>
      <c r="BT48" s="21"/>
      <c r="BU48" s="21"/>
      <c r="BV48" s="69">
        <v>0</v>
      </c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69">
        <v>0</v>
      </c>
      <c r="DH48" s="21"/>
      <c r="DI48" s="21"/>
      <c r="DJ48" s="69">
        <v>0</v>
      </c>
      <c r="DK48" s="21"/>
      <c r="DL48" s="21"/>
      <c r="DM48" s="69">
        <v>0</v>
      </c>
      <c r="DN48" s="21"/>
      <c r="DO48" s="21"/>
      <c r="DP48" s="21"/>
      <c r="DQ48" s="21"/>
      <c r="DR48" s="21"/>
      <c r="DS48" s="21"/>
      <c r="DT48" s="21"/>
      <c r="DU48" s="21">
        <v>4.1785587198355989</v>
      </c>
      <c r="DV48" s="21"/>
      <c r="DW48" s="69">
        <v>0</v>
      </c>
      <c r="DX48" s="21"/>
      <c r="DY48" s="21"/>
      <c r="DZ48" s="21"/>
      <c r="EA48" s="21"/>
      <c r="EB48" s="21"/>
      <c r="EC48" s="21"/>
      <c r="ED48" s="21"/>
      <c r="EE48" s="21"/>
      <c r="EF48" s="21"/>
      <c r="EG48" s="69">
        <v>0</v>
      </c>
      <c r="EH48" s="21"/>
      <c r="EI48" s="21"/>
      <c r="EJ48" s="21"/>
      <c r="EK48" s="21"/>
      <c r="EL48" s="69">
        <v>0</v>
      </c>
      <c r="EM48" s="21"/>
      <c r="EN48" s="69">
        <v>0</v>
      </c>
      <c r="EO48" s="21"/>
      <c r="EP48" s="69">
        <v>0</v>
      </c>
      <c r="EQ48" s="69">
        <v>0</v>
      </c>
      <c r="ER48" s="21"/>
      <c r="ES48" s="21"/>
      <c r="ET48" s="69">
        <v>0</v>
      </c>
      <c r="EU48" s="21"/>
      <c r="EV48" s="21"/>
      <c r="EW48" s="21"/>
      <c r="EX48" s="21"/>
      <c r="EY48" s="21"/>
      <c r="EZ48" s="21"/>
      <c r="FA48" s="69">
        <v>0</v>
      </c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>
        <v>0</v>
      </c>
      <c r="GY48" s="21">
        <v>0</v>
      </c>
      <c r="GZ48" s="21"/>
      <c r="HA48" s="21"/>
      <c r="HB48" s="21">
        <f t="shared" si="0"/>
        <v>4.1785587198355989</v>
      </c>
    </row>
    <row r="49" spans="1:210" x14ac:dyDescent="0.75">
      <c r="A49" s="67" t="s">
        <v>299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69">
        <v>0</v>
      </c>
      <c r="AD49" s="21"/>
      <c r="AE49" s="21"/>
      <c r="AF49" s="69">
        <v>0</v>
      </c>
      <c r="AG49" s="21"/>
      <c r="AH49" s="21"/>
      <c r="AI49" s="69">
        <v>0</v>
      </c>
      <c r="AJ49" s="21"/>
      <c r="AK49" s="21"/>
      <c r="AL49" s="21"/>
      <c r="AM49" s="21"/>
      <c r="AN49" s="21"/>
      <c r="AO49" s="21"/>
      <c r="AP49" s="21"/>
      <c r="AQ49" s="21"/>
      <c r="AR49" s="69">
        <v>0</v>
      </c>
      <c r="AS49" s="21"/>
      <c r="AT49" s="21"/>
      <c r="AU49" s="21"/>
      <c r="AV49" s="21"/>
      <c r="AW49" s="21"/>
      <c r="AX49" s="21"/>
      <c r="AY49" s="21"/>
      <c r="AZ49" s="21"/>
      <c r="BA49" s="21"/>
      <c r="BB49" s="69">
        <v>0</v>
      </c>
      <c r="BC49" s="21"/>
      <c r="BD49" s="21"/>
      <c r="BE49" s="21"/>
      <c r="BF49" s="21"/>
      <c r="BG49" s="69">
        <v>0</v>
      </c>
      <c r="BH49" s="21"/>
      <c r="BI49" s="69">
        <v>0</v>
      </c>
      <c r="BJ49" s="21"/>
      <c r="BK49" s="69">
        <v>0</v>
      </c>
      <c r="BL49" s="69">
        <v>0</v>
      </c>
      <c r="BM49" s="21"/>
      <c r="BN49" s="21"/>
      <c r="BO49" s="69">
        <v>0</v>
      </c>
      <c r="BP49" s="21"/>
      <c r="BQ49" s="21"/>
      <c r="BR49" s="21"/>
      <c r="BS49" s="21"/>
      <c r="BT49" s="21"/>
      <c r="BU49" s="21"/>
      <c r="BV49" s="69">
        <v>0</v>
      </c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69">
        <v>0</v>
      </c>
      <c r="DH49" s="21"/>
      <c r="DI49" s="21"/>
      <c r="DJ49" s="69">
        <v>0</v>
      </c>
      <c r="DK49" s="21"/>
      <c r="DL49" s="21"/>
      <c r="DM49" s="69">
        <v>0</v>
      </c>
      <c r="DN49" s="21"/>
      <c r="DO49" s="21"/>
      <c r="DP49" s="21"/>
      <c r="DQ49" s="21"/>
      <c r="DR49" s="21"/>
      <c r="DS49" s="21"/>
      <c r="DT49" s="21"/>
      <c r="DU49" s="21"/>
      <c r="DV49" s="21">
        <v>68.9124657607166</v>
      </c>
      <c r="DW49" s="69">
        <v>0</v>
      </c>
      <c r="DX49" s="21"/>
      <c r="DY49" s="21"/>
      <c r="DZ49" s="21"/>
      <c r="EA49" s="21"/>
      <c r="EB49" s="21"/>
      <c r="EC49" s="21"/>
      <c r="ED49" s="21"/>
      <c r="EE49" s="21"/>
      <c r="EF49" s="21"/>
      <c r="EG49" s="69">
        <v>0.47292187128381075</v>
      </c>
      <c r="EH49" s="21"/>
      <c r="EI49" s="21"/>
      <c r="EJ49" s="21"/>
      <c r="EK49" s="21"/>
      <c r="EL49" s="69">
        <v>0</v>
      </c>
      <c r="EM49" s="21">
        <v>5.3418578992199093</v>
      </c>
      <c r="EN49" s="69">
        <v>0</v>
      </c>
      <c r="EO49" s="21"/>
      <c r="EP49" s="69">
        <v>4.6828100353077451</v>
      </c>
      <c r="EQ49" s="69">
        <v>0</v>
      </c>
      <c r="ER49" s="21"/>
      <c r="ES49" s="21">
        <v>2.8122688491677671E-2</v>
      </c>
      <c r="ET49" s="69">
        <v>0</v>
      </c>
      <c r="EU49" s="21"/>
      <c r="EV49" s="21"/>
      <c r="EW49" s="21"/>
      <c r="EX49" s="21"/>
      <c r="EY49" s="21"/>
      <c r="EZ49" s="21"/>
      <c r="FA49" s="69">
        <v>3.2276427557699026</v>
      </c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>
        <v>0.29176586637623458</v>
      </c>
      <c r="GE49" s="21">
        <v>0.53140682904712533</v>
      </c>
      <c r="GF49" s="21">
        <v>1.0131115203603915</v>
      </c>
      <c r="GG49" s="21">
        <v>1.7706365089846552</v>
      </c>
      <c r="GH49" s="21">
        <v>1.3639466442170154</v>
      </c>
      <c r="GI49" s="21">
        <v>9.5551433578801321E-3</v>
      </c>
      <c r="GJ49" s="21">
        <v>1.2209999038429608E-2</v>
      </c>
      <c r="GK49" s="21">
        <v>9.9807878124428206E-4</v>
      </c>
      <c r="GL49" s="21">
        <v>3.3746388099600691E-2</v>
      </c>
      <c r="GM49" s="21">
        <v>3.9480382100022353E-2</v>
      </c>
      <c r="GN49" s="21">
        <v>2.3913354268136311E-5</v>
      </c>
      <c r="GO49" s="21">
        <v>4.1884365655880558E-3</v>
      </c>
      <c r="GP49" s="21">
        <v>2.2561699551217299E-2</v>
      </c>
      <c r="GQ49" s="21">
        <v>9.1905449254432534E-3</v>
      </c>
      <c r="GR49" s="21">
        <v>0.10536759575512801</v>
      </c>
      <c r="GS49" s="21"/>
      <c r="GT49" s="21"/>
      <c r="GU49" s="21"/>
      <c r="GV49" s="21"/>
      <c r="GW49" s="21"/>
      <c r="GX49" s="21">
        <v>0</v>
      </c>
      <c r="GY49" s="21">
        <v>0</v>
      </c>
      <c r="GZ49" s="21"/>
      <c r="HA49" s="21"/>
      <c r="HB49" s="21">
        <f t="shared" si="0"/>
        <v>87.874010561303905</v>
      </c>
    </row>
    <row r="50" spans="1:210" x14ac:dyDescent="0.75">
      <c r="A50" s="68" t="s">
        <v>300</v>
      </c>
      <c r="B50" s="69">
        <v>0</v>
      </c>
      <c r="C50" s="69"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</v>
      </c>
      <c r="J50" s="69">
        <v>0</v>
      </c>
      <c r="K50" s="69">
        <v>0</v>
      </c>
      <c r="L50" s="69">
        <v>0</v>
      </c>
      <c r="M50" s="69">
        <v>0</v>
      </c>
      <c r="N50" s="69">
        <v>0</v>
      </c>
      <c r="O50" s="69">
        <v>0</v>
      </c>
      <c r="P50" s="69">
        <v>0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0</v>
      </c>
      <c r="AB50" s="69">
        <v>0</v>
      </c>
      <c r="AC50" s="69">
        <v>0</v>
      </c>
      <c r="AD50" s="69">
        <v>0</v>
      </c>
      <c r="AE50" s="69">
        <v>0</v>
      </c>
      <c r="AF50" s="69">
        <v>0</v>
      </c>
      <c r="AG50" s="69">
        <v>0</v>
      </c>
      <c r="AH50" s="69">
        <v>0</v>
      </c>
      <c r="AI50" s="69">
        <v>0</v>
      </c>
      <c r="AJ50" s="69">
        <v>0</v>
      </c>
      <c r="AK50" s="69">
        <v>0</v>
      </c>
      <c r="AL50" s="69">
        <v>0</v>
      </c>
      <c r="AM50" s="69">
        <v>0</v>
      </c>
      <c r="AN50" s="69">
        <v>0</v>
      </c>
      <c r="AO50" s="69">
        <v>0</v>
      </c>
      <c r="AP50" s="69">
        <v>0</v>
      </c>
      <c r="AQ50" s="69">
        <v>0</v>
      </c>
      <c r="AR50" s="69">
        <v>0</v>
      </c>
      <c r="AS50" s="69">
        <v>0</v>
      </c>
      <c r="AT50" s="69">
        <v>0</v>
      </c>
      <c r="AU50" s="69">
        <v>0</v>
      </c>
      <c r="AV50" s="69">
        <v>0</v>
      </c>
      <c r="AW50" s="69">
        <v>0</v>
      </c>
      <c r="AX50" s="69">
        <v>0</v>
      </c>
      <c r="AY50" s="69">
        <v>0</v>
      </c>
      <c r="AZ50" s="69">
        <v>0</v>
      </c>
      <c r="BA50" s="69">
        <v>0</v>
      </c>
      <c r="BB50" s="69">
        <v>0</v>
      </c>
      <c r="BC50" s="69">
        <v>0</v>
      </c>
      <c r="BD50" s="69">
        <v>0</v>
      </c>
      <c r="BE50" s="69">
        <v>0</v>
      </c>
      <c r="BF50" s="69">
        <v>0</v>
      </c>
      <c r="BG50" s="69">
        <v>0</v>
      </c>
      <c r="BH50" s="69">
        <v>0</v>
      </c>
      <c r="BI50" s="69">
        <v>0</v>
      </c>
      <c r="BJ50" s="69">
        <v>0</v>
      </c>
      <c r="BK50" s="69">
        <v>0</v>
      </c>
      <c r="BL50" s="69">
        <v>0</v>
      </c>
      <c r="BM50" s="69">
        <v>0</v>
      </c>
      <c r="BN50" s="69">
        <v>0</v>
      </c>
      <c r="BO50" s="69">
        <v>0</v>
      </c>
      <c r="BP50" s="69">
        <v>0</v>
      </c>
      <c r="BQ50" s="69">
        <v>0</v>
      </c>
      <c r="BR50" s="69">
        <v>0</v>
      </c>
      <c r="BS50" s="69">
        <v>0</v>
      </c>
      <c r="BT50" s="69">
        <v>0</v>
      </c>
      <c r="BU50" s="69">
        <v>0</v>
      </c>
      <c r="BV50" s="69">
        <v>0</v>
      </c>
      <c r="BW50" s="69">
        <v>0</v>
      </c>
      <c r="BX50" s="69">
        <v>0</v>
      </c>
      <c r="BY50" s="69">
        <v>0</v>
      </c>
      <c r="BZ50" s="69">
        <v>0</v>
      </c>
      <c r="CA50" s="69">
        <v>0</v>
      </c>
      <c r="CB50" s="69">
        <v>0</v>
      </c>
      <c r="CC50" s="69">
        <v>0</v>
      </c>
      <c r="CD50" s="69">
        <v>0</v>
      </c>
      <c r="CE50" s="69">
        <v>0</v>
      </c>
      <c r="CF50" s="69">
        <v>0</v>
      </c>
      <c r="CG50" s="69">
        <v>0</v>
      </c>
      <c r="CH50" s="69">
        <v>0</v>
      </c>
      <c r="CI50" s="69">
        <v>0</v>
      </c>
      <c r="CJ50" s="69">
        <v>0</v>
      </c>
      <c r="CK50" s="69">
        <v>0</v>
      </c>
      <c r="CL50" s="69">
        <v>0</v>
      </c>
      <c r="CM50" s="69">
        <v>0</v>
      </c>
      <c r="CN50" s="69">
        <v>0</v>
      </c>
      <c r="CO50" s="69">
        <v>0</v>
      </c>
      <c r="CP50" s="69">
        <v>0</v>
      </c>
      <c r="CQ50" s="69">
        <v>0</v>
      </c>
      <c r="CR50" s="69">
        <v>0</v>
      </c>
      <c r="CS50" s="69">
        <v>0</v>
      </c>
      <c r="CT50" s="69">
        <v>0</v>
      </c>
      <c r="CU50" s="69">
        <v>0</v>
      </c>
      <c r="CV50" s="69">
        <v>0</v>
      </c>
      <c r="CW50" s="69">
        <v>0</v>
      </c>
      <c r="CX50" s="69">
        <v>0</v>
      </c>
      <c r="CY50" s="69">
        <v>0</v>
      </c>
      <c r="CZ50" s="69">
        <v>0</v>
      </c>
      <c r="DA50" s="69">
        <v>0</v>
      </c>
      <c r="DB50" s="69">
        <v>0</v>
      </c>
      <c r="DC50" s="69">
        <v>0</v>
      </c>
      <c r="DD50" s="69">
        <v>0</v>
      </c>
      <c r="DE50" s="69">
        <v>0</v>
      </c>
      <c r="DF50" s="69">
        <v>0</v>
      </c>
      <c r="DG50" s="69">
        <v>0</v>
      </c>
      <c r="DH50" s="69">
        <v>0</v>
      </c>
      <c r="DI50" s="69">
        <v>0</v>
      </c>
      <c r="DJ50" s="69">
        <v>0</v>
      </c>
      <c r="DK50" s="69">
        <v>0</v>
      </c>
      <c r="DL50" s="69">
        <v>0</v>
      </c>
      <c r="DM50" s="69">
        <v>0</v>
      </c>
      <c r="DN50" s="69">
        <v>0</v>
      </c>
      <c r="DO50" s="69">
        <v>0</v>
      </c>
      <c r="DP50" s="69">
        <v>10.00175052137827</v>
      </c>
      <c r="DQ50" s="69">
        <v>0</v>
      </c>
      <c r="DR50" s="69">
        <v>5.6995897269151232</v>
      </c>
      <c r="DS50" s="69">
        <v>0</v>
      </c>
      <c r="DT50" s="69">
        <v>0</v>
      </c>
      <c r="DU50" s="69">
        <v>0</v>
      </c>
      <c r="DV50" s="69">
        <v>0</v>
      </c>
      <c r="DW50" s="69">
        <v>246.0372025218862</v>
      </c>
      <c r="DX50" s="69">
        <v>0</v>
      </c>
      <c r="DY50" s="69">
        <v>0</v>
      </c>
      <c r="DZ50" s="69">
        <v>0</v>
      </c>
      <c r="EA50" s="69">
        <v>0</v>
      </c>
      <c r="EB50" s="69">
        <v>0</v>
      </c>
      <c r="EC50" s="69">
        <v>0</v>
      </c>
      <c r="ED50" s="69">
        <v>0</v>
      </c>
      <c r="EE50" s="69">
        <v>0.12863850465921031</v>
      </c>
      <c r="EF50" s="69">
        <v>0</v>
      </c>
      <c r="EG50" s="69">
        <v>0</v>
      </c>
      <c r="EH50" s="69">
        <v>0</v>
      </c>
      <c r="EI50" s="69">
        <v>0</v>
      </c>
      <c r="EJ50" s="69">
        <v>0</v>
      </c>
      <c r="EK50" s="69">
        <v>0</v>
      </c>
      <c r="EL50" s="69">
        <v>0</v>
      </c>
      <c r="EM50" s="69">
        <v>0</v>
      </c>
      <c r="EN50" s="69">
        <v>0</v>
      </c>
      <c r="EO50" s="69">
        <v>0</v>
      </c>
      <c r="EP50" s="69">
        <v>0</v>
      </c>
      <c r="EQ50" s="69">
        <v>2.4664835874407345E-2</v>
      </c>
      <c r="ER50" s="69">
        <v>0</v>
      </c>
      <c r="ES50" s="69">
        <v>0</v>
      </c>
      <c r="ET50" s="69">
        <v>0</v>
      </c>
      <c r="EU50" s="69">
        <v>0</v>
      </c>
      <c r="EV50" s="69">
        <v>0</v>
      </c>
      <c r="EW50" s="69">
        <v>0</v>
      </c>
      <c r="EX50" s="69">
        <v>0</v>
      </c>
      <c r="EY50" s="69">
        <v>0</v>
      </c>
      <c r="EZ50" s="69">
        <v>0</v>
      </c>
      <c r="FA50" s="69">
        <v>0</v>
      </c>
      <c r="FB50" s="69">
        <v>0</v>
      </c>
      <c r="FC50" s="69">
        <v>0</v>
      </c>
      <c r="FD50" s="69">
        <v>0</v>
      </c>
      <c r="FE50" s="69">
        <v>0</v>
      </c>
      <c r="FF50" s="69">
        <v>0</v>
      </c>
      <c r="FG50" s="69">
        <v>0</v>
      </c>
      <c r="FH50" s="69">
        <v>0</v>
      </c>
      <c r="FI50" s="69">
        <v>0</v>
      </c>
      <c r="FJ50" s="69">
        <v>0</v>
      </c>
      <c r="FK50" s="69">
        <v>0</v>
      </c>
      <c r="FL50" s="69">
        <v>0</v>
      </c>
      <c r="FM50" s="69">
        <v>0</v>
      </c>
      <c r="FN50" s="69">
        <v>0</v>
      </c>
      <c r="FO50" s="69">
        <v>0</v>
      </c>
      <c r="FP50" s="69">
        <v>0</v>
      </c>
      <c r="FQ50" s="69">
        <v>0</v>
      </c>
      <c r="FR50" s="69">
        <v>0</v>
      </c>
      <c r="FS50" s="69">
        <v>0</v>
      </c>
      <c r="FT50" s="69">
        <v>0</v>
      </c>
      <c r="FU50" s="69">
        <v>0</v>
      </c>
      <c r="FV50" s="69">
        <v>0</v>
      </c>
      <c r="FW50" s="69">
        <v>0</v>
      </c>
      <c r="FX50" s="69">
        <v>0</v>
      </c>
      <c r="FY50" s="69">
        <v>0</v>
      </c>
      <c r="FZ50" s="69">
        <v>0</v>
      </c>
      <c r="GA50" s="69">
        <v>0</v>
      </c>
      <c r="GB50" s="69">
        <v>0</v>
      </c>
      <c r="GC50" s="69">
        <v>0</v>
      </c>
      <c r="GD50" s="69">
        <v>1.4927655553384604</v>
      </c>
      <c r="GE50" s="69">
        <v>1.8783715730492827</v>
      </c>
      <c r="GF50" s="69">
        <v>8.2931361456428476</v>
      </c>
      <c r="GG50" s="69">
        <v>7.8805727910314065</v>
      </c>
      <c r="GH50" s="69">
        <v>23.301347236579293</v>
      </c>
      <c r="GI50" s="69">
        <v>1.2953209646375457E-2</v>
      </c>
      <c r="GJ50" s="69">
        <v>8.8963995733099627E-2</v>
      </c>
      <c r="GK50" s="69">
        <v>1.8828395688053039E-2</v>
      </c>
      <c r="GL50" s="69">
        <v>0.42929641756222381</v>
      </c>
      <c r="GM50" s="69">
        <v>0.81459386610940787</v>
      </c>
      <c r="GN50" s="69">
        <v>0.10286067503602847</v>
      </c>
      <c r="GO50" s="69">
        <v>5.5262849579170534E-2</v>
      </c>
      <c r="GP50" s="69">
        <v>4.4417616119633345E-2</v>
      </c>
      <c r="GQ50" s="69">
        <v>0.19224783876052506</v>
      </c>
      <c r="GR50" s="69">
        <v>0.42166524226758001</v>
      </c>
      <c r="GS50" s="69">
        <v>0</v>
      </c>
      <c r="GT50" s="69">
        <v>0</v>
      </c>
      <c r="GU50" s="69">
        <v>0</v>
      </c>
      <c r="GV50" s="69">
        <v>0</v>
      </c>
      <c r="GW50" s="69">
        <v>0</v>
      </c>
      <c r="GX50" s="21">
        <v>0</v>
      </c>
      <c r="GY50" s="21">
        <v>0</v>
      </c>
      <c r="GZ50" s="69">
        <v>0</v>
      </c>
      <c r="HA50" s="69">
        <v>0</v>
      </c>
      <c r="HB50" s="21">
        <f t="shared" si="0"/>
        <v>306.91912951885655</v>
      </c>
    </row>
    <row r="51" spans="1:210" x14ac:dyDescent="0.75">
      <c r="A51" s="67" t="s">
        <v>491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69">
        <v>0</v>
      </c>
      <c r="AD51" s="21"/>
      <c r="AE51" s="21"/>
      <c r="AF51" s="69">
        <v>0</v>
      </c>
      <c r="AG51" s="21"/>
      <c r="AH51" s="21"/>
      <c r="AI51" s="69">
        <v>0</v>
      </c>
      <c r="AJ51" s="21"/>
      <c r="AK51" s="21"/>
      <c r="AL51" s="21"/>
      <c r="AM51" s="21"/>
      <c r="AN51" s="21"/>
      <c r="AO51" s="21"/>
      <c r="AP51" s="21"/>
      <c r="AQ51" s="21"/>
      <c r="AR51" s="69">
        <v>0</v>
      </c>
      <c r="AS51" s="21"/>
      <c r="AT51" s="21"/>
      <c r="AU51" s="21"/>
      <c r="AV51" s="21"/>
      <c r="AW51" s="21"/>
      <c r="AX51" s="21"/>
      <c r="AY51" s="21"/>
      <c r="AZ51" s="21"/>
      <c r="BA51" s="21"/>
      <c r="BB51" s="69">
        <v>0</v>
      </c>
      <c r="BC51" s="21"/>
      <c r="BD51" s="21"/>
      <c r="BE51" s="21"/>
      <c r="BF51" s="21"/>
      <c r="BG51" s="69">
        <v>0</v>
      </c>
      <c r="BH51" s="21"/>
      <c r="BI51" s="69">
        <v>0</v>
      </c>
      <c r="BJ51" s="21"/>
      <c r="BK51" s="69">
        <v>0</v>
      </c>
      <c r="BL51" s="69">
        <v>0</v>
      </c>
      <c r="BM51" s="21"/>
      <c r="BN51" s="21"/>
      <c r="BO51" s="69">
        <v>0</v>
      </c>
      <c r="BP51" s="21"/>
      <c r="BQ51" s="21"/>
      <c r="BR51" s="21"/>
      <c r="BS51" s="21"/>
      <c r="BT51" s="21"/>
      <c r="BU51" s="21"/>
      <c r="BV51" s="69">
        <v>0</v>
      </c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69">
        <v>0</v>
      </c>
      <c r="DH51" s="21"/>
      <c r="DI51" s="21"/>
      <c r="DJ51" s="69">
        <v>0</v>
      </c>
      <c r="DK51" s="21"/>
      <c r="DL51" s="21"/>
      <c r="DM51" s="69">
        <v>0</v>
      </c>
      <c r="DN51" s="21"/>
      <c r="DO51" s="21"/>
      <c r="DP51" s="21"/>
      <c r="DQ51" s="21"/>
      <c r="DR51" s="21"/>
      <c r="DS51" s="21"/>
      <c r="DT51" s="21"/>
      <c r="DU51" s="21"/>
      <c r="DV51" s="21"/>
      <c r="DW51" s="69">
        <v>0</v>
      </c>
      <c r="DX51" s="21">
        <v>1.2525275872130592</v>
      </c>
      <c r="DY51" s="21"/>
      <c r="DZ51" s="21"/>
      <c r="EA51" s="21"/>
      <c r="EB51" s="21"/>
      <c r="EC51" s="21"/>
      <c r="ED51" s="21"/>
      <c r="EE51" s="21"/>
      <c r="EF51" s="21"/>
      <c r="EG51" s="69">
        <v>0</v>
      </c>
      <c r="EH51" s="21"/>
      <c r="EI51" s="21"/>
      <c r="EJ51" s="21"/>
      <c r="EK51" s="21"/>
      <c r="EL51" s="69">
        <v>0</v>
      </c>
      <c r="EM51" s="21"/>
      <c r="EN51" s="69">
        <v>0</v>
      </c>
      <c r="EO51" s="21"/>
      <c r="EP51" s="69">
        <v>0</v>
      </c>
      <c r="EQ51" s="69">
        <v>0</v>
      </c>
      <c r="ER51" s="21"/>
      <c r="ES51" s="21"/>
      <c r="ET51" s="69">
        <v>0</v>
      </c>
      <c r="EU51" s="21"/>
      <c r="EV51" s="21"/>
      <c r="EW51" s="21"/>
      <c r="EX51" s="21"/>
      <c r="EY51" s="21"/>
      <c r="EZ51" s="21"/>
      <c r="FA51" s="69">
        <v>0</v>
      </c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>
        <v>0.40443217929041048</v>
      </c>
      <c r="GE51" s="21">
        <v>0.37301588847974587</v>
      </c>
      <c r="GF51" s="21">
        <v>0.2975200296515958</v>
      </c>
      <c r="GG51" s="21">
        <v>0.94042524069376754</v>
      </c>
      <c r="GH51" s="21">
        <v>3.9211509791502448</v>
      </c>
      <c r="GI51" s="21"/>
      <c r="GJ51" s="21"/>
      <c r="GK51" s="21">
        <v>3.5492286294533403E-2</v>
      </c>
      <c r="GL51" s="21">
        <v>0.33575308361990003</v>
      </c>
      <c r="GM51" s="21">
        <v>0.23052668651266398</v>
      </c>
      <c r="GN51" s="21"/>
      <c r="GO51" s="21"/>
      <c r="GP51" s="21">
        <v>2.4941708416273841E-3</v>
      </c>
      <c r="GQ51" s="21">
        <v>5.1419347456488927E-2</v>
      </c>
      <c r="GR51" s="21"/>
      <c r="GS51" s="21"/>
      <c r="GT51" s="21"/>
      <c r="GU51" s="21"/>
      <c r="GV51" s="21"/>
      <c r="GW51" s="21"/>
      <c r="GX51" s="21">
        <v>0</v>
      </c>
      <c r="GY51" s="21">
        <v>0</v>
      </c>
      <c r="GZ51" s="21"/>
      <c r="HA51" s="21"/>
      <c r="HB51" s="21">
        <f t="shared" si="0"/>
        <v>7.8447574792040369</v>
      </c>
    </row>
    <row r="52" spans="1:210" x14ac:dyDescent="0.75">
      <c r="A52" s="67" t="s">
        <v>301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69">
        <v>0</v>
      </c>
      <c r="AD52" s="21"/>
      <c r="AE52" s="21"/>
      <c r="AF52" s="69">
        <v>0</v>
      </c>
      <c r="AG52" s="21"/>
      <c r="AH52" s="21"/>
      <c r="AI52" s="69">
        <v>0</v>
      </c>
      <c r="AJ52" s="21"/>
      <c r="AK52" s="21"/>
      <c r="AL52" s="21"/>
      <c r="AM52" s="21"/>
      <c r="AN52" s="21"/>
      <c r="AO52" s="21"/>
      <c r="AP52" s="21"/>
      <c r="AQ52" s="21"/>
      <c r="AR52" s="69">
        <v>0</v>
      </c>
      <c r="AS52" s="21"/>
      <c r="AT52" s="21"/>
      <c r="AU52" s="21"/>
      <c r="AV52" s="21"/>
      <c r="AW52" s="21"/>
      <c r="AX52" s="21"/>
      <c r="AY52" s="21"/>
      <c r="AZ52" s="21"/>
      <c r="BA52" s="21"/>
      <c r="BB52" s="69">
        <v>0</v>
      </c>
      <c r="BC52" s="21"/>
      <c r="BD52" s="21"/>
      <c r="BE52" s="21"/>
      <c r="BF52" s="21"/>
      <c r="BG52" s="69">
        <v>0</v>
      </c>
      <c r="BH52" s="21"/>
      <c r="BI52" s="69">
        <v>0</v>
      </c>
      <c r="BJ52" s="21"/>
      <c r="BK52" s="69">
        <v>0</v>
      </c>
      <c r="BL52" s="69">
        <v>0</v>
      </c>
      <c r="BM52" s="21"/>
      <c r="BN52" s="21"/>
      <c r="BO52" s="69">
        <v>0</v>
      </c>
      <c r="BP52" s="21"/>
      <c r="BQ52" s="21"/>
      <c r="BR52" s="21"/>
      <c r="BS52" s="21"/>
      <c r="BT52" s="21"/>
      <c r="BU52" s="21"/>
      <c r="BV52" s="69">
        <v>0</v>
      </c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69">
        <v>0</v>
      </c>
      <c r="DH52" s="21"/>
      <c r="DI52" s="21"/>
      <c r="DJ52" s="69">
        <v>0</v>
      </c>
      <c r="DK52" s="21"/>
      <c r="DL52" s="21"/>
      <c r="DM52" s="69">
        <v>0</v>
      </c>
      <c r="DN52" s="21"/>
      <c r="DO52" s="21"/>
      <c r="DP52" s="21"/>
      <c r="DQ52" s="21"/>
      <c r="DR52" s="21"/>
      <c r="DS52" s="21"/>
      <c r="DT52" s="21"/>
      <c r="DU52" s="21"/>
      <c r="DV52" s="21"/>
      <c r="DW52" s="69">
        <v>0</v>
      </c>
      <c r="DX52" s="21"/>
      <c r="DY52" s="21">
        <v>59.135641485548831</v>
      </c>
      <c r="DZ52" s="21">
        <v>3.5139188978506453</v>
      </c>
      <c r="EA52" s="21"/>
      <c r="EB52" s="21"/>
      <c r="EC52" s="21"/>
      <c r="ED52" s="21"/>
      <c r="EE52" s="21"/>
      <c r="EF52" s="21"/>
      <c r="EG52" s="69">
        <v>0</v>
      </c>
      <c r="EH52" s="21"/>
      <c r="EI52" s="21"/>
      <c r="EJ52" s="21"/>
      <c r="EK52" s="21"/>
      <c r="EL52" s="69">
        <v>0</v>
      </c>
      <c r="EM52" s="21"/>
      <c r="EN52" s="69">
        <v>0</v>
      </c>
      <c r="EO52" s="21"/>
      <c r="EP52" s="69">
        <v>0</v>
      </c>
      <c r="EQ52" s="69">
        <v>0</v>
      </c>
      <c r="ER52" s="21"/>
      <c r="ES52" s="21"/>
      <c r="ET52" s="69">
        <v>0</v>
      </c>
      <c r="EU52" s="21"/>
      <c r="EV52" s="21"/>
      <c r="EW52" s="21"/>
      <c r="EX52" s="21"/>
      <c r="EY52" s="21"/>
      <c r="EZ52" s="21">
        <v>7.1747760974313532E-4</v>
      </c>
      <c r="FA52" s="69">
        <v>6.9795854784977589</v>
      </c>
      <c r="FB52" s="21"/>
      <c r="FC52" s="21">
        <v>1.4214515234305086E-2</v>
      </c>
      <c r="FD52" s="21"/>
      <c r="FE52" s="21"/>
      <c r="FF52" s="21"/>
      <c r="FG52" s="21">
        <v>3.7018649683596659E-3</v>
      </c>
      <c r="FH52" s="21">
        <v>3.5200570025658386E-2</v>
      </c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>
        <v>0</v>
      </c>
      <c r="GY52" s="21">
        <v>0</v>
      </c>
      <c r="GZ52" s="21"/>
      <c r="HA52" s="21"/>
      <c r="HB52" s="21">
        <f t="shared" si="0"/>
        <v>69.682980289735298</v>
      </c>
    </row>
    <row r="53" spans="1:210" x14ac:dyDescent="0.75">
      <c r="A53" s="67" t="s">
        <v>302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69">
        <v>0</v>
      </c>
      <c r="AD53" s="21"/>
      <c r="AE53" s="21"/>
      <c r="AF53" s="69">
        <v>0</v>
      </c>
      <c r="AG53" s="21"/>
      <c r="AH53" s="21"/>
      <c r="AI53" s="69">
        <v>0</v>
      </c>
      <c r="AJ53" s="21"/>
      <c r="AK53" s="21"/>
      <c r="AL53" s="21"/>
      <c r="AM53" s="21"/>
      <c r="AN53" s="21"/>
      <c r="AO53" s="21"/>
      <c r="AP53" s="21"/>
      <c r="AQ53" s="21"/>
      <c r="AR53" s="69">
        <v>0</v>
      </c>
      <c r="AS53" s="21"/>
      <c r="AT53" s="21"/>
      <c r="AU53" s="21"/>
      <c r="AV53" s="21"/>
      <c r="AW53" s="21"/>
      <c r="AX53" s="21"/>
      <c r="AY53" s="21"/>
      <c r="AZ53" s="21"/>
      <c r="BA53" s="21"/>
      <c r="BB53" s="69">
        <v>0</v>
      </c>
      <c r="BC53" s="21"/>
      <c r="BD53" s="21"/>
      <c r="BE53" s="21"/>
      <c r="BF53" s="21"/>
      <c r="BG53" s="69">
        <v>0</v>
      </c>
      <c r="BH53" s="21"/>
      <c r="BI53" s="69">
        <v>0</v>
      </c>
      <c r="BJ53" s="21"/>
      <c r="BK53" s="69">
        <v>0</v>
      </c>
      <c r="BL53" s="69">
        <v>0</v>
      </c>
      <c r="BM53" s="21"/>
      <c r="BN53" s="21"/>
      <c r="BO53" s="69">
        <v>0</v>
      </c>
      <c r="BP53" s="21"/>
      <c r="BQ53" s="21"/>
      <c r="BR53" s="21"/>
      <c r="BS53" s="21"/>
      <c r="BT53" s="21"/>
      <c r="BU53" s="21"/>
      <c r="BV53" s="69">
        <v>0</v>
      </c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69">
        <v>0</v>
      </c>
      <c r="DH53" s="21"/>
      <c r="DI53" s="21"/>
      <c r="DJ53" s="69">
        <v>0</v>
      </c>
      <c r="DK53" s="21"/>
      <c r="DL53" s="21"/>
      <c r="DM53" s="69">
        <v>0</v>
      </c>
      <c r="DN53" s="21"/>
      <c r="DO53" s="21"/>
      <c r="DP53" s="21"/>
      <c r="DQ53" s="21"/>
      <c r="DR53" s="21"/>
      <c r="DS53" s="21"/>
      <c r="DT53" s="21"/>
      <c r="DU53" s="21"/>
      <c r="DV53" s="21"/>
      <c r="DW53" s="69">
        <v>0</v>
      </c>
      <c r="DX53" s="21"/>
      <c r="DY53" s="21"/>
      <c r="DZ53" s="21">
        <v>30.826636231458931</v>
      </c>
      <c r="EA53" s="21"/>
      <c r="EB53" s="21"/>
      <c r="EC53" s="21">
        <v>6.6391600051057958E-2</v>
      </c>
      <c r="ED53" s="21"/>
      <c r="EE53" s="21"/>
      <c r="EF53" s="21"/>
      <c r="EG53" s="69">
        <v>0</v>
      </c>
      <c r="EH53" s="21"/>
      <c r="EI53" s="21"/>
      <c r="EJ53" s="21"/>
      <c r="EK53" s="21">
        <v>0.24144349731347317</v>
      </c>
      <c r="EL53" s="69">
        <v>0</v>
      </c>
      <c r="EM53" s="21"/>
      <c r="EN53" s="69">
        <v>0</v>
      </c>
      <c r="EO53" s="21"/>
      <c r="EP53" s="69">
        <v>0.36760351271088026</v>
      </c>
      <c r="EQ53" s="69">
        <v>0</v>
      </c>
      <c r="ER53" s="21"/>
      <c r="ES53" s="21"/>
      <c r="ET53" s="69">
        <v>0</v>
      </c>
      <c r="EU53" s="21"/>
      <c r="EV53" s="21"/>
      <c r="EW53" s="21"/>
      <c r="EX53" s="21"/>
      <c r="EY53" s="21"/>
      <c r="EZ53" s="21"/>
      <c r="FA53" s="69">
        <v>0</v>
      </c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>
        <v>0</v>
      </c>
      <c r="GY53" s="21">
        <v>0</v>
      </c>
      <c r="GZ53" s="21"/>
      <c r="HA53" s="21"/>
      <c r="HB53" s="21">
        <f t="shared" si="0"/>
        <v>31.502074841534341</v>
      </c>
    </row>
    <row r="54" spans="1:210" x14ac:dyDescent="0.75">
      <c r="A54" s="67" t="s">
        <v>706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69">
        <v>0</v>
      </c>
      <c r="AD54" s="21"/>
      <c r="AE54" s="21"/>
      <c r="AF54" s="69">
        <v>0</v>
      </c>
      <c r="AG54" s="21"/>
      <c r="AH54" s="21"/>
      <c r="AI54" s="69">
        <v>0</v>
      </c>
      <c r="AJ54" s="21"/>
      <c r="AK54" s="21"/>
      <c r="AL54" s="21"/>
      <c r="AM54" s="21"/>
      <c r="AN54" s="21"/>
      <c r="AO54" s="21"/>
      <c r="AP54" s="21"/>
      <c r="AQ54" s="21"/>
      <c r="AR54" s="69">
        <v>0</v>
      </c>
      <c r="AS54" s="21"/>
      <c r="AT54" s="21"/>
      <c r="AU54" s="21"/>
      <c r="AV54" s="21"/>
      <c r="AW54" s="21"/>
      <c r="AX54" s="21"/>
      <c r="AY54" s="21"/>
      <c r="AZ54" s="21"/>
      <c r="BA54" s="21"/>
      <c r="BB54" s="69">
        <v>0</v>
      </c>
      <c r="BC54" s="21"/>
      <c r="BD54" s="21"/>
      <c r="BE54" s="21"/>
      <c r="BF54" s="21"/>
      <c r="BG54" s="69">
        <v>0</v>
      </c>
      <c r="BH54" s="21"/>
      <c r="BI54" s="69">
        <v>0</v>
      </c>
      <c r="BJ54" s="21"/>
      <c r="BK54" s="69">
        <v>0</v>
      </c>
      <c r="BL54" s="69">
        <v>0</v>
      </c>
      <c r="BM54" s="21"/>
      <c r="BN54" s="21"/>
      <c r="BO54" s="69">
        <v>0</v>
      </c>
      <c r="BP54" s="21"/>
      <c r="BQ54" s="21"/>
      <c r="BR54" s="21"/>
      <c r="BS54" s="21"/>
      <c r="BT54" s="21"/>
      <c r="BU54" s="21"/>
      <c r="BV54" s="69">
        <v>0</v>
      </c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69">
        <v>0</v>
      </c>
      <c r="DH54" s="21"/>
      <c r="DI54" s="21"/>
      <c r="DJ54" s="69">
        <v>0</v>
      </c>
      <c r="DK54" s="21"/>
      <c r="DL54" s="21"/>
      <c r="DM54" s="69">
        <v>0</v>
      </c>
      <c r="DN54" s="21"/>
      <c r="DO54" s="21"/>
      <c r="DP54" s="21"/>
      <c r="DQ54" s="21"/>
      <c r="DR54" s="21"/>
      <c r="DS54" s="21"/>
      <c r="DT54" s="21"/>
      <c r="DU54" s="21"/>
      <c r="DV54" s="21"/>
      <c r="DW54" s="69">
        <v>0</v>
      </c>
      <c r="DX54" s="21"/>
      <c r="DY54" s="21"/>
      <c r="DZ54" s="21"/>
      <c r="EA54" s="21">
        <v>25.596489855707052</v>
      </c>
      <c r="EB54" s="21"/>
      <c r="EC54" s="21"/>
      <c r="ED54" s="21"/>
      <c r="EE54" s="21"/>
      <c r="EF54" s="21"/>
      <c r="EG54" s="69">
        <v>0</v>
      </c>
      <c r="EH54" s="21"/>
      <c r="EI54" s="21"/>
      <c r="EJ54" s="21"/>
      <c r="EK54" s="21"/>
      <c r="EL54" s="69">
        <v>0</v>
      </c>
      <c r="EM54" s="21"/>
      <c r="EN54" s="69">
        <v>0</v>
      </c>
      <c r="EO54" s="21"/>
      <c r="EP54" s="69">
        <v>0.1971652756270908</v>
      </c>
      <c r="EQ54" s="69">
        <v>0</v>
      </c>
      <c r="ER54" s="21"/>
      <c r="ES54" s="21"/>
      <c r="ET54" s="69">
        <v>0</v>
      </c>
      <c r="EU54" s="21"/>
      <c r="EV54" s="21"/>
      <c r="EW54" s="21"/>
      <c r="EX54" s="21"/>
      <c r="EY54" s="21"/>
      <c r="EZ54" s="21"/>
      <c r="FA54" s="69">
        <v>0</v>
      </c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>
        <v>0</v>
      </c>
      <c r="GY54" s="21">
        <v>0</v>
      </c>
      <c r="GZ54" s="21"/>
      <c r="HA54" s="21"/>
      <c r="HB54" s="21">
        <f t="shared" si="0"/>
        <v>25.793655131334141</v>
      </c>
    </row>
    <row r="55" spans="1:210" x14ac:dyDescent="0.75">
      <c r="A55" s="67" t="s">
        <v>495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69">
        <v>0</v>
      </c>
      <c r="AD55" s="21"/>
      <c r="AE55" s="21"/>
      <c r="AF55" s="69">
        <v>0</v>
      </c>
      <c r="AG55" s="21"/>
      <c r="AH55" s="21"/>
      <c r="AI55" s="69">
        <v>0</v>
      </c>
      <c r="AJ55" s="21"/>
      <c r="AK55" s="21"/>
      <c r="AL55" s="21"/>
      <c r="AM55" s="21"/>
      <c r="AN55" s="21"/>
      <c r="AO55" s="21"/>
      <c r="AP55" s="21"/>
      <c r="AQ55" s="21"/>
      <c r="AR55" s="69">
        <v>0</v>
      </c>
      <c r="AS55" s="21"/>
      <c r="AT55" s="21"/>
      <c r="AU55" s="21"/>
      <c r="AV55" s="21"/>
      <c r="AW55" s="21"/>
      <c r="AX55" s="21"/>
      <c r="AY55" s="21"/>
      <c r="AZ55" s="21"/>
      <c r="BA55" s="21"/>
      <c r="BB55" s="69">
        <v>0</v>
      </c>
      <c r="BC55" s="21"/>
      <c r="BD55" s="21"/>
      <c r="BE55" s="21"/>
      <c r="BF55" s="21"/>
      <c r="BG55" s="69">
        <v>0</v>
      </c>
      <c r="BH55" s="21"/>
      <c r="BI55" s="69">
        <v>0</v>
      </c>
      <c r="BJ55" s="21"/>
      <c r="BK55" s="69">
        <v>0</v>
      </c>
      <c r="BL55" s="69">
        <v>0</v>
      </c>
      <c r="BM55" s="21"/>
      <c r="BN55" s="21"/>
      <c r="BO55" s="69">
        <v>0</v>
      </c>
      <c r="BP55" s="21"/>
      <c r="BQ55" s="21"/>
      <c r="BR55" s="21"/>
      <c r="BS55" s="21"/>
      <c r="BT55" s="21"/>
      <c r="BU55" s="21"/>
      <c r="BV55" s="69">
        <v>0</v>
      </c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69">
        <v>0</v>
      </c>
      <c r="DH55" s="21"/>
      <c r="DI55" s="21"/>
      <c r="DJ55" s="69">
        <v>0</v>
      </c>
      <c r="DK55" s="21"/>
      <c r="DL55" s="21"/>
      <c r="DM55" s="69">
        <v>0</v>
      </c>
      <c r="DN55" s="21"/>
      <c r="DO55" s="21"/>
      <c r="DP55" s="21"/>
      <c r="DQ55" s="21"/>
      <c r="DR55" s="21"/>
      <c r="DS55" s="21"/>
      <c r="DT55" s="21"/>
      <c r="DU55" s="21"/>
      <c r="DV55" s="21"/>
      <c r="DW55" s="69">
        <v>0</v>
      </c>
      <c r="DX55" s="21"/>
      <c r="DY55" s="21"/>
      <c r="DZ55" s="21"/>
      <c r="EA55" s="21"/>
      <c r="EB55" s="21">
        <v>0.2538225879654763</v>
      </c>
      <c r="EC55" s="21"/>
      <c r="ED55" s="21"/>
      <c r="EE55" s="21"/>
      <c r="EF55" s="21"/>
      <c r="EG55" s="69">
        <v>0</v>
      </c>
      <c r="EH55" s="21"/>
      <c r="EI55" s="21"/>
      <c r="EJ55" s="21"/>
      <c r="EK55" s="21"/>
      <c r="EL55" s="69">
        <v>0</v>
      </c>
      <c r="EM55" s="21"/>
      <c r="EN55" s="69">
        <v>0</v>
      </c>
      <c r="EO55" s="21"/>
      <c r="EP55" s="69">
        <v>0</v>
      </c>
      <c r="EQ55" s="69">
        <v>0</v>
      </c>
      <c r="ER55" s="21"/>
      <c r="ES55" s="21"/>
      <c r="ET55" s="69">
        <v>0</v>
      </c>
      <c r="EU55" s="21"/>
      <c r="EV55" s="21"/>
      <c r="EW55" s="21"/>
      <c r="EX55" s="21"/>
      <c r="EY55" s="21"/>
      <c r="EZ55" s="21"/>
      <c r="FA55" s="69">
        <v>0</v>
      </c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>
        <v>0</v>
      </c>
      <c r="GY55" s="21">
        <v>0</v>
      </c>
      <c r="GZ55" s="21"/>
      <c r="HA55" s="21"/>
      <c r="HB55" s="21">
        <f t="shared" si="0"/>
        <v>0.2538225879654763</v>
      </c>
    </row>
    <row r="56" spans="1:210" x14ac:dyDescent="0.75">
      <c r="A56" s="67" t="s">
        <v>303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69">
        <v>0</v>
      </c>
      <c r="AD56" s="21"/>
      <c r="AE56" s="21"/>
      <c r="AF56" s="69">
        <v>0</v>
      </c>
      <c r="AG56" s="21"/>
      <c r="AH56" s="21"/>
      <c r="AI56" s="69">
        <v>0</v>
      </c>
      <c r="AJ56" s="21"/>
      <c r="AK56" s="21"/>
      <c r="AL56" s="21"/>
      <c r="AM56" s="21"/>
      <c r="AN56" s="21"/>
      <c r="AO56" s="21"/>
      <c r="AP56" s="21"/>
      <c r="AQ56" s="21"/>
      <c r="AR56" s="69">
        <v>0</v>
      </c>
      <c r="AS56" s="21"/>
      <c r="AT56" s="21"/>
      <c r="AU56" s="21"/>
      <c r="AV56" s="21"/>
      <c r="AW56" s="21"/>
      <c r="AX56" s="21"/>
      <c r="AY56" s="21"/>
      <c r="AZ56" s="21"/>
      <c r="BA56" s="21"/>
      <c r="BB56" s="69">
        <v>0</v>
      </c>
      <c r="BC56" s="21"/>
      <c r="BD56" s="21"/>
      <c r="BE56" s="21"/>
      <c r="BF56" s="21"/>
      <c r="BG56" s="69">
        <v>0</v>
      </c>
      <c r="BH56" s="21"/>
      <c r="BI56" s="69">
        <v>0</v>
      </c>
      <c r="BJ56" s="21"/>
      <c r="BK56" s="69">
        <v>0</v>
      </c>
      <c r="BL56" s="69">
        <v>0</v>
      </c>
      <c r="BM56" s="21"/>
      <c r="BN56" s="21"/>
      <c r="BO56" s="69">
        <v>0</v>
      </c>
      <c r="BP56" s="21"/>
      <c r="BQ56" s="21"/>
      <c r="BR56" s="21"/>
      <c r="BS56" s="21"/>
      <c r="BT56" s="21"/>
      <c r="BU56" s="21"/>
      <c r="BV56" s="69">
        <v>0</v>
      </c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69">
        <v>0</v>
      </c>
      <c r="DH56" s="21"/>
      <c r="DI56" s="21"/>
      <c r="DJ56" s="69">
        <v>0</v>
      </c>
      <c r="DK56" s="21"/>
      <c r="DL56" s="21"/>
      <c r="DM56" s="69">
        <v>0</v>
      </c>
      <c r="DN56" s="21"/>
      <c r="DO56" s="21"/>
      <c r="DP56" s="21"/>
      <c r="DQ56" s="21"/>
      <c r="DR56" s="21"/>
      <c r="DS56" s="21"/>
      <c r="DT56" s="21"/>
      <c r="DU56" s="21"/>
      <c r="DV56" s="21"/>
      <c r="DW56" s="69">
        <v>4.5445764588888755</v>
      </c>
      <c r="DX56" s="21"/>
      <c r="DY56" s="21"/>
      <c r="DZ56" s="21"/>
      <c r="EA56" s="21"/>
      <c r="EB56" s="21"/>
      <c r="EC56" s="21">
        <v>61.931145469250744</v>
      </c>
      <c r="ED56" s="21"/>
      <c r="EE56" s="21"/>
      <c r="EF56" s="21"/>
      <c r="EG56" s="69">
        <v>0</v>
      </c>
      <c r="EH56" s="21"/>
      <c r="EI56" s="21"/>
      <c r="EJ56" s="21"/>
      <c r="EK56" s="21"/>
      <c r="EL56" s="69">
        <v>0</v>
      </c>
      <c r="EM56" s="21"/>
      <c r="EN56" s="69">
        <v>0</v>
      </c>
      <c r="EO56" s="21"/>
      <c r="EP56" s="69">
        <v>1.5759838581282732</v>
      </c>
      <c r="EQ56" s="69">
        <v>0</v>
      </c>
      <c r="ER56" s="21"/>
      <c r="ES56" s="21"/>
      <c r="ET56" s="69">
        <v>0</v>
      </c>
      <c r="EU56" s="21"/>
      <c r="EV56" s="21"/>
      <c r="EW56" s="21"/>
      <c r="EX56" s="21"/>
      <c r="EY56" s="21"/>
      <c r="EZ56" s="21"/>
      <c r="FA56" s="69">
        <v>0</v>
      </c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>
        <v>0</v>
      </c>
      <c r="GY56" s="21">
        <v>0</v>
      </c>
      <c r="GZ56" s="21"/>
      <c r="HA56" s="21"/>
      <c r="HB56" s="21">
        <f t="shared" si="0"/>
        <v>68.051705786267888</v>
      </c>
    </row>
    <row r="57" spans="1:210" x14ac:dyDescent="0.75">
      <c r="A57" s="67" t="s">
        <v>707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69">
        <v>0</v>
      </c>
      <c r="AD57" s="21"/>
      <c r="AE57" s="21"/>
      <c r="AF57" s="69">
        <v>0</v>
      </c>
      <c r="AG57" s="21"/>
      <c r="AH57" s="21"/>
      <c r="AI57" s="69">
        <v>0</v>
      </c>
      <c r="AJ57" s="21"/>
      <c r="AK57" s="21"/>
      <c r="AL57" s="21"/>
      <c r="AM57" s="21"/>
      <c r="AN57" s="21"/>
      <c r="AO57" s="21"/>
      <c r="AP57" s="21"/>
      <c r="AQ57" s="21"/>
      <c r="AR57" s="69">
        <v>0</v>
      </c>
      <c r="AS57" s="21"/>
      <c r="AT57" s="21"/>
      <c r="AU57" s="21"/>
      <c r="AV57" s="21"/>
      <c r="AW57" s="21"/>
      <c r="AX57" s="21"/>
      <c r="AY57" s="21"/>
      <c r="AZ57" s="21"/>
      <c r="BA57" s="21"/>
      <c r="BB57" s="69">
        <v>0</v>
      </c>
      <c r="BC57" s="21"/>
      <c r="BD57" s="21"/>
      <c r="BE57" s="21"/>
      <c r="BF57" s="21"/>
      <c r="BG57" s="69">
        <v>0</v>
      </c>
      <c r="BH57" s="21"/>
      <c r="BI57" s="69">
        <v>0</v>
      </c>
      <c r="BJ57" s="21"/>
      <c r="BK57" s="69">
        <v>0</v>
      </c>
      <c r="BL57" s="69">
        <v>0</v>
      </c>
      <c r="BM57" s="21"/>
      <c r="BN57" s="21"/>
      <c r="BO57" s="69">
        <v>0</v>
      </c>
      <c r="BP57" s="21"/>
      <c r="BQ57" s="21"/>
      <c r="BR57" s="21"/>
      <c r="BS57" s="21"/>
      <c r="BT57" s="21"/>
      <c r="BU57" s="21"/>
      <c r="BV57" s="69">
        <v>0</v>
      </c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69">
        <v>0</v>
      </c>
      <c r="DH57" s="21"/>
      <c r="DI57" s="21"/>
      <c r="DJ57" s="69">
        <v>0</v>
      </c>
      <c r="DK57" s="21"/>
      <c r="DL57" s="21"/>
      <c r="DM57" s="69">
        <v>0</v>
      </c>
      <c r="DN57" s="21"/>
      <c r="DO57" s="21"/>
      <c r="DP57" s="21"/>
      <c r="DQ57" s="21"/>
      <c r="DR57" s="21"/>
      <c r="DS57" s="21"/>
      <c r="DT57" s="21"/>
      <c r="DU57" s="21"/>
      <c r="DV57" s="21"/>
      <c r="DW57" s="69">
        <v>0</v>
      </c>
      <c r="DX57" s="21"/>
      <c r="DY57" s="21"/>
      <c r="DZ57" s="21"/>
      <c r="EA57" s="21"/>
      <c r="EB57" s="21"/>
      <c r="EC57" s="21"/>
      <c r="ED57" s="21">
        <v>3.190339383334087</v>
      </c>
      <c r="EE57" s="21">
        <v>3.8310820253192306</v>
      </c>
      <c r="EF57" s="21"/>
      <c r="EG57" s="69">
        <v>0</v>
      </c>
      <c r="EH57" s="21"/>
      <c r="EI57" s="21"/>
      <c r="EJ57" s="21"/>
      <c r="EK57" s="21"/>
      <c r="EL57" s="69">
        <v>0</v>
      </c>
      <c r="EM57" s="21"/>
      <c r="EN57" s="69">
        <v>0</v>
      </c>
      <c r="EO57" s="21"/>
      <c r="EP57" s="69">
        <v>0</v>
      </c>
      <c r="EQ57" s="69">
        <v>0</v>
      </c>
      <c r="ER57" s="21"/>
      <c r="ES57" s="21"/>
      <c r="ET57" s="69">
        <v>0</v>
      </c>
      <c r="EU57" s="21"/>
      <c r="EV57" s="21"/>
      <c r="EW57" s="21"/>
      <c r="EX57" s="21"/>
      <c r="EY57" s="21"/>
      <c r="EZ57" s="21"/>
      <c r="FA57" s="69">
        <v>0</v>
      </c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>
        <v>0</v>
      </c>
      <c r="GY57" s="21">
        <v>0</v>
      </c>
      <c r="GZ57" s="21"/>
      <c r="HA57" s="21"/>
      <c r="HB57" s="21">
        <f t="shared" si="0"/>
        <v>7.0214214086533175</v>
      </c>
    </row>
    <row r="58" spans="1:210" x14ac:dyDescent="0.75">
      <c r="A58" s="67" t="s">
        <v>708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69">
        <v>0</v>
      </c>
      <c r="AD58" s="21"/>
      <c r="AE58" s="21"/>
      <c r="AF58" s="69">
        <v>0</v>
      </c>
      <c r="AG58" s="21"/>
      <c r="AH58" s="21"/>
      <c r="AI58" s="69">
        <v>0</v>
      </c>
      <c r="AJ58" s="21"/>
      <c r="AK58" s="21"/>
      <c r="AL58" s="21"/>
      <c r="AM58" s="21"/>
      <c r="AN58" s="21"/>
      <c r="AO58" s="21"/>
      <c r="AP58" s="21"/>
      <c r="AQ58" s="21"/>
      <c r="AR58" s="69">
        <v>0</v>
      </c>
      <c r="AS58" s="21"/>
      <c r="AT58" s="21"/>
      <c r="AU58" s="21"/>
      <c r="AV58" s="21"/>
      <c r="AW58" s="21"/>
      <c r="AX58" s="21"/>
      <c r="AY58" s="21"/>
      <c r="AZ58" s="21"/>
      <c r="BA58" s="21"/>
      <c r="BB58" s="69">
        <v>0</v>
      </c>
      <c r="BC58" s="21"/>
      <c r="BD58" s="21"/>
      <c r="BE58" s="21"/>
      <c r="BF58" s="21"/>
      <c r="BG58" s="69">
        <v>0</v>
      </c>
      <c r="BH58" s="21"/>
      <c r="BI58" s="69">
        <v>0</v>
      </c>
      <c r="BJ58" s="21"/>
      <c r="BK58" s="69">
        <v>0</v>
      </c>
      <c r="BL58" s="69">
        <v>0</v>
      </c>
      <c r="BM58" s="21"/>
      <c r="BN58" s="21"/>
      <c r="BO58" s="69">
        <v>0</v>
      </c>
      <c r="BP58" s="21"/>
      <c r="BQ58" s="21"/>
      <c r="BR58" s="21"/>
      <c r="BS58" s="21"/>
      <c r="BT58" s="21"/>
      <c r="BU58" s="21"/>
      <c r="BV58" s="69">
        <v>0</v>
      </c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69">
        <v>0</v>
      </c>
      <c r="DH58" s="21"/>
      <c r="DI58" s="21"/>
      <c r="DJ58" s="69">
        <v>0</v>
      </c>
      <c r="DK58" s="21"/>
      <c r="DL58" s="21"/>
      <c r="DM58" s="69">
        <v>0</v>
      </c>
      <c r="DN58" s="21"/>
      <c r="DO58" s="21"/>
      <c r="DP58" s="21"/>
      <c r="DQ58" s="21"/>
      <c r="DR58" s="21"/>
      <c r="DS58" s="21"/>
      <c r="DT58" s="21"/>
      <c r="DU58" s="21"/>
      <c r="DV58" s="21"/>
      <c r="DW58" s="69">
        <v>0</v>
      </c>
      <c r="DX58" s="21"/>
      <c r="DY58" s="21"/>
      <c r="DZ58" s="21"/>
      <c r="EA58" s="21"/>
      <c r="EB58" s="21"/>
      <c r="EC58" s="21"/>
      <c r="ED58" s="21"/>
      <c r="EE58" s="21">
        <v>13.790587973925534</v>
      </c>
      <c r="EF58" s="21"/>
      <c r="EG58" s="69">
        <v>0</v>
      </c>
      <c r="EH58" s="21"/>
      <c r="EI58" s="21"/>
      <c r="EJ58" s="21"/>
      <c r="EK58" s="21"/>
      <c r="EL58" s="69">
        <v>0</v>
      </c>
      <c r="EM58" s="21"/>
      <c r="EN58" s="69">
        <v>0</v>
      </c>
      <c r="EO58" s="21"/>
      <c r="EP58" s="69">
        <v>0</v>
      </c>
      <c r="EQ58" s="69">
        <v>0</v>
      </c>
      <c r="ER58" s="21"/>
      <c r="ES58" s="21"/>
      <c r="ET58" s="69">
        <v>0</v>
      </c>
      <c r="EU58" s="21">
        <v>3.19447142577441E-4</v>
      </c>
      <c r="EV58" s="21"/>
      <c r="EW58" s="21"/>
      <c r="EX58" s="21"/>
      <c r="EY58" s="21"/>
      <c r="EZ58" s="21"/>
      <c r="FA58" s="69">
        <v>4.5681744449795648E-3</v>
      </c>
      <c r="FB58" s="21"/>
      <c r="FC58" s="21"/>
      <c r="FD58" s="21"/>
      <c r="FE58" s="21"/>
      <c r="FF58" s="21"/>
      <c r="FG58" s="21">
        <v>3.0397479409834975E-3</v>
      </c>
      <c r="FH58" s="21">
        <v>5.3250026950330169E-3</v>
      </c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>
        <v>0</v>
      </c>
      <c r="GY58" s="21">
        <v>0</v>
      </c>
      <c r="GZ58" s="21"/>
      <c r="HA58" s="21"/>
      <c r="HB58" s="21">
        <f t="shared" si="0"/>
        <v>13.803840346149109</v>
      </c>
    </row>
    <row r="59" spans="1:210" x14ac:dyDescent="0.75">
      <c r="A59" s="67" t="s">
        <v>304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69">
        <v>0</v>
      </c>
      <c r="AD59" s="21"/>
      <c r="AE59" s="21"/>
      <c r="AF59" s="69">
        <v>0</v>
      </c>
      <c r="AG59" s="21"/>
      <c r="AH59" s="21"/>
      <c r="AI59" s="69">
        <v>0</v>
      </c>
      <c r="AJ59" s="21"/>
      <c r="AK59" s="21"/>
      <c r="AL59" s="21"/>
      <c r="AM59" s="21"/>
      <c r="AN59" s="21"/>
      <c r="AO59" s="21"/>
      <c r="AP59" s="21"/>
      <c r="AQ59" s="21"/>
      <c r="AR59" s="69">
        <v>0</v>
      </c>
      <c r="AS59" s="21"/>
      <c r="AT59" s="21"/>
      <c r="AU59" s="21"/>
      <c r="AV59" s="21"/>
      <c r="AW59" s="21"/>
      <c r="AX59" s="21"/>
      <c r="AY59" s="21"/>
      <c r="AZ59" s="21"/>
      <c r="BA59" s="21"/>
      <c r="BB59" s="69">
        <v>0</v>
      </c>
      <c r="BC59" s="21"/>
      <c r="BD59" s="21"/>
      <c r="BE59" s="21"/>
      <c r="BF59" s="21"/>
      <c r="BG59" s="69">
        <v>0</v>
      </c>
      <c r="BH59" s="21"/>
      <c r="BI59" s="69">
        <v>0</v>
      </c>
      <c r="BJ59" s="21"/>
      <c r="BK59" s="69">
        <v>0</v>
      </c>
      <c r="BL59" s="69">
        <v>0</v>
      </c>
      <c r="BM59" s="21"/>
      <c r="BN59" s="21"/>
      <c r="BO59" s="69">
        <v>0</v>
      </c>
      <c r="BP59" s="21"/>
      <c r="BQ59" s="21"/>
      <c r="BR59" s="21"/>
      <c r="BS59" s="21"/>
      <c r="BT59" s="21"/>
      <c r="BU59" s="21"/>
      <c r="BV59" s="69">
        <v>0</v>
      </c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69">
        <v>0</v>
      </c>
      <c r="DH59" s="21"/>
      <c r="DI59" s="21"/>
      <c r="DJ59" s="69">
        <v>0</v>
      </c>
      <c r="DK59" s="21"/>
      <c r="DL59" s="21"/>
      <c r="DM59" s="69">
        <v>0</v>
      </c>
      <c r="DN59" s="21"/>
      <c r="DO59" s="21"/>
      <c r="DP59" s="21"/>
      <c r="DQ59" s="21"/>
      <c r="DR59" s="21"/>
      <c r="DS59" s="21"/>
      <c r="DT59" s="21"/>
      <c r="DU59" s="21"/>
      <c r="DV59" s="21"/>
      <c r="DW59" s="69">
        <v>0</v>
      </c>
      <c r="DX59" s="21"/>
      <c r="DY59" s="21"/>
      <c r="DZ59" s="21"/>
      <c r="EA59" s="21"/>
      <c r="EB59" s="21"/>
      <c r="EC59" s="21"/>
      <c r="ED59" s="21"/>
      <c r="EE59" s="21"/>
      <c r="EF59" s="21">
        <v>6.7899941146220089</v>
      </c>
      <c r="EG59" s="69">
        <v>1.13639552188487</v>
      </c>
      <c r="EH59" s="21"/>
      <c r="EI59" s="21"/>
      <c r="EJ59" s="21"/>
      <c r="EK59" s="21"/>
      <c r="EL59" s="69">
        <v>0</v>
      </c>
      <c r="EM59" s="21"/>
      <c r="EN59" s="69">
        <v>0</v>
      </c>
      <c r="EO59" s="21"/>
      <c r="EP59" s="69">
        <v>0</v>
      </c>
      <c r="EQ59" s="69">
        <v>0</v>
      </c>
      <c r="ER59" s="21"/>
      <c r="ES59" s="21"/>
      <c r="ET59" s="69">
        <v>0</v>
      </c>
      <c r="EU59" s="21"/>
      <c r="EV59" s="21"/>
      <c r="EW59" s="21"/>
      <c r="EX59" s="21"/>
      <c r="EY59" s="21"/>
      <c r="EZ59" s="21">
        <v>1.562259263152135E-2</v>
      </c>
      <c r="FA59" s="69">
        <v>0</v>
      </c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>
        <v>0</v>
      </c>
      <c r="GY59" s="21">
        <v>0</v>
      </c>
      <c r="GZ59" s="21"/>
      <c r="HA59" s="21"/>
      <c r="HB59" s="21">
        <f t="shared" si="0"/>
        <v>7.9420122291383999</v>
      </c>
    </row>
    <row r="60" spans="1:210" x14ac:dyDescent="0.75">
      <c r="A60" s="68" t="s">
        <v>709</v>
      </c>
      <c r="B60" s="69">
        <v>0</v>
      </c>
      <c r="C60" s="69">
        <v>0</v>
      </c>
      <c r="D60" s="69">
        <v>0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69">
        <v>0</v>
      </c>
      <c r="O60" s="69">
        <v>0</v>
      </c>
      <c r="P60" s="69">
        <v>0</v>
      </c>
      <c r="Q60" s="69">
        <v>0</v>
      </c>
      <c r="R60" s="69">
        <v>0</v>
      </c>
      <c r="S60" s="69">
        <v>0</v>
      </c>
      <c r="T60" s="69">
        <v>0</v>
      </c>
      <c r="U60" s="69">
        <v>0</v>
      </c>
      <c r="V60" s="69">
        <v>0</v>
      </c>
      <c r="W60" s="69">
        <v>0</v>
      </c>
      <c r="X60" s="69">
        <v>0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69">
        <v>0</v>
      </c>
      <c r="AE60" s="69">
        <v>0</v>
      </c>
      <c r="AF60" s="69">
        <v>0</v>
      </c>
      <c r="AG60" s="69">
        <v>0</v>
      </c>
      <c r="AH60" s="69">
        <v>0</v>
      </c>
      <c r="AI60" s="69">
        <v>0</v>
      </c>
      <c r="AJ60" s="69">
        <v>0</v>
      </c>
      <c r="AK60" s="69">
        <v>0</v>
      </c>
      <c r="AL60" s="69">
        <v>0</v>
      </c>
      <c r="AM60" s="69">
        <v>0</v>
      </c>
      <c r="AN60" s="69">
        <v>0</v>
      </c>
      <c r="AO60" s="69">
        <v>0</v>
      </c>
      <c r="AP60" s="69">
        <v>0</v>
      </c>
      <c r="AQ60" s="69">
        <v>0</v>
      </c>
      <c r="AR60" s="69">
        <v>0</v>
      </c>
      <c r="AS60" s="69">
        <v>0</v>
      </c>
      <c r="AT60" s="69">
        <v>0</v>
      </c>
      <c r="AU60" s="69">
        <v>0</v>
      </c>
      <c r="AV60" s="69">
        <v>0</v>
      </c>
      <c r="AW60" s="69">
        <v>0</v>
      </c>
      <c r="AX60" s="69">
        <v>0</v>
      </c>
      <c r="AY60" s="69">
        <v>0</v>
      </c>
      <c r="AZ60" s="69">
        <v>0</v>
      </c>
      <c r="BA60" s="69">
        <v>0</v>
      </c>
      <c r="BB60" s="69">
        <v>0</v>
      </c>
      <c r="BC60" s="69">
        <v>0</v>
      </c>
      <c r="BD60" s="69">
        <v>0</v>
      </c>
      <c r="BE60" s="69">
        <v>0</v>
      </c>
      <c r="BF60" s="69">
        <v>0</v>
      </c>
      <c r="BG60" s="69">
        <v>0</v>
      </c>
      <c r="BH60" s="69">
        <v>0</v>
      </c>
      <c r="BI60" s="69">
        <v>0</v>
      </c>
      <c r="BJ60" s="69">
        <v>0</v>
      </c>
      <c r="BK60" s="69">
        <v>0</v>
      </c>
      <c r="BL60" s="69">
        <v>0</v>
      </c>
      <c r="BM60" s="69">
        <v>0</v>
      </c>
      <c r="BN60" s="69">
        <v>0</v>
      </c>
      <c r="BO60" s="69">
        <v>0</v>
      </c>
      <c r="BP60" s="69">
        <v>0</v>
      </c>
      <c r="BQ60" s="69">
        <v>0</v>
      </c>
      <c r="BR60" s="69">
        <v>0</v>
      </c>
      <c r="BS60" s="69">
        <v>0</v>
      </c>
      <c r="BT60" s="69">
        <v>0</v>
      </c>
      <c r="BU60" s="69">
        <v>0</v>
      </c>
      <c r="BV60" s="69">
        <v>0</v>
      </c>
      <c r="BW60" s="69">
        <v>0</v>
      </c>
      <c r="BX60" s="69">
        <v>0</v>
      </c>
      <c r="BY60" s="69">
        <v>0</v>
      </c>
      <c r="BZ60" s="69">
        <v>0</v>
      </c>
      <c r="CA60" s="69">
        <v>0</v>
      </c>
      <c r="CB60" s="69">
        <v>0</v>
      </c>
      <c r="CC60" s="69">
        <v>0</v>
      </c>
      <c r="CD60" s="69">
        <v>0</v>
      </c>
      <c r="CE60" s="69">
        <v>0</v>
      </c>
      <c r="CF60" s="69">
        <v>0</v>
      </c>
      <c r="CG60" s="69">
        <v>0</v>
      </c>
      <c r="CH60" s="69">
        <v>0</v>
      </c>
      <c r="CI60" s="69">
        <v>0</v>
      </c>
      <c r="CJ60" s="69">
        <v>0</v>
      </c>
      <c r="CK60" s="69">
        <v>0</v>
      </c>
      <c r="CL60" s="69">
        <v>0</v>
      </c>
      <c r="CM60" s="69">
        <v>0</v>
      </c>
      <c r="CN60" s="69">
        <v>0</v>
      </c>
      <c r="CO60" s="69">
        <v>0</v>
      </c>
      <c r="CP60" s="69">
        <v>0</v>
      </c>
      <c r="CQ60" s="69">
        <v>0</v>
      </c>
      <c r="CR60" s="69">
        <v>0</v>
      </c>
      <c r="CS60" s="69">
        <v>0</v>
      </c>
      <c r="CT60" s="69">
        <v>0</v>
      </c>
      <c r="CU60" s="69">
        <v>0</v>
      </c>
      <c r="CV60" s="69">
        <v>0</v>
      </c>
      <c r="CW60" s="69">
        <v>0</v>
      </c>
      <c r="CX60" s="69">
        <v>0</v>
      </c>
      <c r="CY60" s="69">
        <v>0</v>
      </c>
      <c r="CZ60" s="69">
        <v>0</v>
      </c>
      <c r="DA60" s="69">
        <v>0</v>
      </c>
      <c r="DB60" s="69">
        <v>0</v>
      </c>
      <c r="DC60" s="69">
        <v>0</v>
      </c>
      <c r="DD60" s="69">
        <v>0</v>
      </c>
      <c r="DE60" s="69">
        <v>0</v>
      </c>
      <c r="DF60" s="69">
        <v>0</v>
      </c>
      <c r="DG60" s="69">
        <v>0</v>
      </c>
      <c r="DH60" s="69">
        <v>0</v>
      </c>
      <c r="DI60" s="69">
        <v>0</v>
      </c>
      <c r="DJ60" s="69">
        <v>0</v>
      </c>
      <c r="DK60" s="69">
        <v>0</v>
      </c>
      <c r="DL60" s="69">
        <v>0</v>
      </c>
      <c r="DM60" s="69">
        <v>0</v>
      </c>
      <c r="DN60" s="69">
        <v>0</v>
      </c>
      <c r="DO60" s="69">
        <v>0</v>
      </c>
      <c r="DP60" s="69">
        <v>0</v>
      </c>
      <c r="DQ60" s="69">
        <v>0</v>
      </c>
      <c r="DR60" s="69">
        <v>0</v>
      </c>
      <c r="DS60" s="69">
        <v>0</v>
      </c>
      <c r="DT60" s="69">
        <v>0</v>
      </c>
      <c r="DU60" s="69">
        <v>0</v>
      </c>
      <c r="DV60" s="69">
        <v>0</v>
      </c>
      <c r="DW60" s="69">
        <v>0</v>
      </c>
      <c r="DX60" s="69">
        <v>0</v>
      </c>
      <c r="DY60" s="69">
        <v>0</v>
      </c>
      <c r="DZ60" s="69">
        <v>0</v>
      </c>
      <c r="EA60" s="69">
        <v>0</v>
      </c>
      <c r="EB60" s="69">
        <v>0</v>
      </c>
      <c r="EC60" s="69">
        <v>0</v>
      </c>
      <c r="ED60" s="69">
        <v>0</v>
      </c>
      <c r="EE60" s="69">
        <v>0</v>
      </c>
      <c r="EF60" s="69">
        <v>0</v>
      </c>
      <c r="EG60" s="69">
        <v>73.876126749055942</v>
      </c>
      <c r="EH60" s="69">
        <v>0</v>
      </c>
      <c r="EI60" s="69">
        <v>0</v>
      </c>
      <c r="EJ60" s="69">
        <v>0</v>
      </c>
      <c r="EK60" s="69">
        <v>0</v>
      </c>
      <c r="EL60" s="69">
        <v>0</v>
      </c>
      <c r="EM60" s="69">
        <v>0</v>
      </c>
      <c r="EN60" s="69">
        <v>0</v>
      </c>
      <c r="EO60" s="69">
        <v>0</v>
      </c>
      <c r="EP60" s="69">
        <v>0</v>
      </c>
      <c r="EQ60" s="69">
        <v>2.5724369883693379E-2</v>
      </c>
      <c r="ER60" s="69">
        <v>0</v>
      </c>
      <c r="ES60" s="69">
        <v>0</v>
      </c>
      <c r="ET60" s="69">
        <v>0</v>
      </c>
      <c r="EU60" s="69">
        <v>2.6892086750896021E-3</v>
      </c>
      <c r="EV60" s="69">
        <v>0</v>
      </c>
      <c r="EW60" s="69">
        <v>0</v>
      </c>
      <c r="EX60" s="69">
        <v>0</v>
      </c>
      <c r="EY60" s="69">
        <v>0</v>
      </c>
      <c r="EZ60" s="69">
        <v>4.0672246223336803E-2</v>
      </c>
      <c r="FA60" s="69">
        <v>5.8931786355444493E-3</v>
      </c>
      <c r="FB60" s="69">
        <v>0</v>
      </c>
      <c r="FC60" s="69">
        <v>0</v>
      </c>
      <c r="FD60" s="69">
        <v>0</v>
      </c>
      <c r="FE60" s="69">
        <v>0</v>
      </c>
      <c r="FF60" s="69">
        <v>0</v>
      </c>
      <c r="FG60" s="69">
        <v>4.7906144083566804E-3</v>
      </c>
      <c r="FH60" s="69">
        <v>6.4264595649313506E-3</v>
      </c>
      <c r="FI60" s="69">
        <v>0</v>
      </c>
      <c r="FJ60" s="69">
        <v>0</v>
      </c>
      <c r="FK60" s="69">
        <v>0</v>
      </c>
      <c r="FL60" s="69">
        <v>0</v>
      </c>
      <c r="FM60" s="69">
        <v>0</v>
      </c>
      <c r="FN60" s="69">
        <v>0</v>
      </c>
      <c r="FO60" s="69">
        <v>0</v>
      </c>
      <c r="FP60" s="69">
        <v>0</v>
      </c>
      <c r="FQ60" s="69">
        <v>0</v>
      </c>
      <c r="FR60" s="69">
        <v>0</v>
      </c>
      <c r="FS60" s="69">
        <v>0</v>
      </c>
      <c r="FT60" s="69">
        <v>0</v>
      </c>
      <c r="FU60" s="69">
        <v>0</v>
      </c>
      <c r="FV60" s="69">
        <v>0</v>
      </c>
      <c r="FW60" s="69">
        <v>0</v>
      </c>
      <c r="FX60" s="69">
        <v>0</v>
      </c>
      <c r="FY60" s="69">
        <v>0</v>
      </c>
      <c r="FZ60" s="69">
        <v>0</v>
      </c>
      <c r="GA60" s="69">
        <v>0</v>
      </c>
      <c r="GB60" s="69">
        <v>0</v>
      </c>
      <c r="GC60" s="69">
        <v>0</v>
      </c>
      <c r="GD60" s="69">
        <v>0</v>
      </c>
      <c r="GE60" s="69">
        <v>0</v>
      </c>
      <c r="GF60" s="69">
        <v>0</v>
      </c>
      <c r="GG60" s="69">
        <v>0</v>
      </c>
      <c r="GH60" s="69">
        <v>0</v>
      </c>
      <c r="GI60" s="69">
        <v>0</v>
      </c>
      <c r="GJ60" s="69">
        <v>0</v>
      </c>
      <c r="GK60" s="69">
        <v>0</v>
      </c>
      <c r="GL60" s="69">
        <v>0</v>
      </c>
      <c r="GM60" s="69">
        <v>0</v>
      </c>
      <c r="GN60" s="69">
        <v>0</v>
      </c>
      <c r="GO60" s="69">
        <v>0</v>
      </c>
      <c r="GP60" s="69">
        <v>0</v>
      </c>
      <c r="GQ60" s="69">
        <v>0</v>
      </c>
      <c r="GR60" s="69">
        <v>0</v>
      </c>
      <c r="GS60" s="69">
        <v>0</v>
      </c>
      <c r="GT60" s="69">
        <v>0</v>
      </c>
      <c r="GU60" s="69">
        <v>0</v>
      </c>
      <c r="GV60" s="69">
        <v>0</v>
      </c>
      <c r="GW60" s="69">
        <v>0</v>
      </c>
      <c r="GX60" s="21">
        <v>0</v>
      </c>
      <c r="GY60" s="21">
        <v>0</v>
      </c>
      <c r="GZ60" s="69">
        <v>0</v>
      </c>
      <c r="HA60" s="69">
        <v>0</v>
      </c>
      <c r="HB60" s="21">
        <f t="shared" si="0"/>
        <v>73.962322826446893</v>
      </c>
    </row>
    <row r="61" spans="1:210" x14ac:dyDescent="0.75">
      <c r="A61" s="67" t="s">
        <v>305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69">
        <v>0</v>
      </c>
      <c r="AD61" s="21"/>
      <c r="AE61" s="21"/>
      <c r="AF61" s="69">
        <v>0</v>
      </c>
      <c r="AG61" s="21"/>
      <c r="AH61" s="21"/>
      <c r="AI61" s="69">
        <v>0</v>
      </c>
      <c r="AJ61" s="21"/>
      <c r="AK61" s="21"/>
      <c r="AL61" s="21"/>
      <c r="AM61" s="21"/>
      <c r="AN61" s="21"/>
      <c r="AO61" s="21"/>
      <c r="AP61" s="21"/>
      <c r="AQ61" s="21"/>
      <c r="AR61" s="69">
        <v>0</v>
      </c>
      <c r="AS61" s="21"/>
      <c r="AT61" s="21"/>
      <c r="AU61" s="21"/>
      <c r="AV61" s="21"/>
      <c r="AW61" s="21"/>
      <c r="AX61" s="21"/>
      <c r="AY61" s="21"/>
      <c r="AZ61" s="21"/>
      <c r="BA61" s="21"/>
      <c r="BB61" s="69">
        <v>0</v>
      </c>
      <c r="BC61" s="21"/>
      <c r="BD61" s="21"/>
      <c r="BE61" s="21"/>
      <c r="BF61" s="21"/>
      <c r="BG61" s="69">
        <v>0</v>
      </c>
      <c r="BH61" s="21"/>
      <c r="BI61" s="69">
        <v>0</v>
      </c>
      <c r="BJ61" s="21"/>
      <c r="BK61" s="69">
        <v>0</v>
      </c>
      <c r="BL61" s="69">
        <v>0</v>
      </c>
      <c r="BM61" s="21"/>
      <c r="BN61" s="21"/>
      <c r="BO61" s="69">
        <v>0</v>
      </c>
      <c r="BP61" s="21"/>
      <c r="BQ61" s="21"/>
      <c r="BR61" s="21"/>
      <c r="BS61" s="21"/>
      <c r="BT61" s="21"/>
      <c r="BU61" s="21"/>
      <c r="BV61" s="69">
        <v>0</v>
      </c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69">
        <v>0</v>
      </c>
      <c r="DH61" s="21"/>
      <c r="DI61" s="21"/>
      <c r="DJ61" s="69">
        <v>0</v>
      </c>
      <c r="DK61" s="21"/>
      <c r="DL61" s="21"/>
      <c r="DM61" s="69">
        <v>0.40276183870062282</v>
      </c>
      <c r="DN61" s="21"/>
      <c r="DO61" s="21"/>
      <c r="DP61" s="21"/>
      <c r="DQ61" s="21"/>
      <c r="DR61" s="21"/>
      <c r="DS61" s="21"/>
      <c r="DT61" s="21"/>
      <c r="DU61" s="21"/>
      <c r="DV61" s="21"/>
      <c r="DW61" s="69">
        <v>0</v>
      </c>
      <c r="DX61" s="21"/>
      <c r="DY61" s="21"/>
      <c r="DZ61" s="21"/>
      <c r="EA61" s="21"/>
      <c r="EB61" s="21"/>
      <c r="EC61" s="21"/>
      <c r="ED61" s="21"/>
      <c r="EE61" s="21"/>
      <c r="EF61" s="21"/>
      <c r="EG61" s="69">
        <v>0</v>
      </c>
      <c r="EH61" s="21">
        <v>116.28228522369977</v>
      </c>
      <c r="EI61" s="21"/>
      <c r="EJ61" s="21"/>
      <c r="EK61" s="21"/>
      <c r="EL61" s="69">
        <v>0</v>
      </c>
      <c r="EM61" s="21"/>
      <c r="EN61" s="69">
        <v>0</v>
      </c>
      <c r="EO61" s="21"/>
      <c r="EP61" s="69">
        <v>3.5232520416919568</v>
      </c>
      <c r="EQ61" s="69">
        <v>2.8812705849401499</v>
      </c>
      <c r="ER61" s="21"/>
      <c r="ES61" s="21"/>
      <c r="ET61" s="69">
        <v>0</v>
      </c>
      <c r="EU61" s="21"/>
      <c r="EV61" s="21"/>
      <c r="EW61" s="21"/>
      <c r="EX61" s="21"/>
      <c r="EY61" s="21"/>
      <c r="EZ61" s="21"/>
      <c r="FA61" s="69">
        <v>0</v>
      </c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>
        <v>0</v>
      </c>
      <c r="GY61" s="21">
        <v>0</v>
      </c>
      <c r="GZ61" s="21"/>
      <c r="HA61" s="21"/>
      <c r="HB61" s="21">
        <f t="shared" si="0"/>
        <v>123.08956968903252</v>
      </c>
    </row>
    <row r="62" spans="1:210" x14ac:dyDescent="0.75">
      <c r="A62" s="67" t="s">
        <v>306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69">
        <v>0</v>
      </c>
      <c r="AD62" s="21"/>
      <c r="AE62" s="21"/>
      <c r="AF62" s="69">
        <v>0</v>
      </c>
      <c r="AG62" s="21"/>
      <c r="AH62" s="21"/>
      <c r="AI62" s="69">
        <v>0</v>
      </c>
      <c r="AJ62" s="21"/>
      <c r="AK62" s="21"/>
      <c r="AL62" s="21"/>
      <c r="AM62" s="21"/>
      <c r="AN62" s="21"/>
      <c r="AO62" s="21"/>
      <c r="AP62" s="21"/>
      <c r="AQ62" s="21"/>
      <c r="AR62" s="69">
        <v>0</v>
      </c>
      <c r="AS62" s="21"/>
      <c r="AT62" s="21"/>
      <c r="AU62" s="21"/>
      <c r="AV62" s="21"/>
      <c r="AW62" s="21"/>
      <c r="AX62" s="21"/>
      <c r="AY62" s="21"/>
      <c r="AZ62" s="21"/>
      <c r="BA62" s="21"/>
      <c r="BB62" s="69">
        <v>0</v>
      </c>
      <c r="BC62" s="21"/>
      <c r="BD62" s="21"/>
      <c r="BE62" s="21"/>
      <c r="BF62" s="21"/>
      <c r="BG62" s="69">
        <v>0</v>
      </c>
      <c r="BH62" s="21"/>
      <c r="BI62" s="69">
        <v>0</v>
      </c>
      <c r="BJ62" s="21"/>
      <c r="BK62" s="69">
        <v>0</v>
      </c>
      <c r="BL62" s="69">
        <v>0</v>
      </c>
      <c r="BM62" s="21"/>
      <c r="BN62" s="21"/>
      <c r="BO62" s="69">
        <v>0</v>
      </c>
      <c r="BP62" s="21"/>
      <c r="BQ62" s="21"/>
      <c r="BR62" s="21"/>
      <c r="BS62" s="21"/>
      <c r="BT62" s="21"/>
      <c r="BU62" s="21"/>
      <c r="BV62" s="69">
        <v>0</v>
      </c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69">
        <v>0</v>
      </c>
      <c r="DH62" s="21"/>
      <c r="DI62" s="21"/>
      <c r="DJ62" s="69">
        <v>0</v>
      </c>
      <c r="DK62" s="21"/>
      <c r="DL62" s="21"/>
      <c r="DM62" s="69">
        <v>0</v>
      </c>
      <c r="DN62" s="21"/>
      <c r="DO62" s="21"/>
      <c r="DP62" s="21"/>
      <c r="DQ62" s="21"/>
      <c r="DR62" s="21"/>
      <c r="DS62" s="21"/>
      <c r="DT62" s="21"/>
      <c r="DU62" s="21"/>
      <c r="DV62" s="21"/>
      <c r="DW62" s="69">
        <v>0</v>
      </c>
      <c r="DX62" s="21"/>
      <c r="DY62" s="21"/>
      <c r="DZ62" s="21"/>
      <c r="EA62" s="21"/>
      <c r="EB62" s="21"/>
      <c r="EC62" s="21"/>
      <c r="ED62" s="21"/>
      <c r="EE62" s="21">
        <v>1.0521867518357699</v>
      </c>
      <c r="EF62" s="21"/>
      <c r="EG62" s="69">
        <v>0</v>
      </c>
      <c r="EH62" s="21"/>
      <c r="EI62" s="21">
        <v>12.04663068829413</v>
      </c>
      <c r="EJ62" s="21"/>
      <c r="EK62" s="21"/>
      <c r="EL62" s="69">
        <v>0</v>
      </c>
      <c r="EM62" s="21"/>
      <c r="EN62" s="69">
        <v>0</v>
      </c>
      <c r="EO62" s="21"/>
      <c r="EP62" s="69">
        <v>0</v>
      </c>
      <c r="EQ62" s="69">
        <v>0</v>
      </c>
      <c r="ER62" s="21"/>
      <c r="ES62" s="21"/>
      <c r="ET62" s="69">
        <v>0</v>
      </c>
      <c r="EU62" s="21"/>
      <c r="EV62" s="21"/>
      <c r="EW62" s="21"/>
      <c r="EX62" s="21"/>
      <c r="EY62" s="21"/>
      <c r="EZ62" s="21"/>
      <c r="FA62" s="69">
        <v>0</v>
      </c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>
        <v>0</v>
      </c>
      <c r="GY62" s="21">
        <v>0</v>
      </c>
      <c r="GZ62" s="21"/>
      <c r="HA62" s="21"/>
      <c r="HB62" s="21">
        <f t="shared" si="0"/>
        <v>13.098817440129899</v>
      </c>
    </row>
    <row r="63" spans="1:210" x14ac:dyDescent="0.75">
      <c r="A63" s="67" t="s">
        <v>498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69">
        <v>0</v>
      </c>
      <c r="AD63" s="21"/>
      <c r="AE63" s="21"/>
      <c r="AF63" s="69">
        <v>0</v>
      </c>
      <c r="AG63" s="21"/>
      <c r="AH63" s="21"/>
      <c r="AI63" s="69">
        <v>0</v>
      </c>
      <c r="AJ63" s="21"/>
      <c r="AK63" s="21"/>
      <c r="AL63" s="21"/>
      <c r="AM63" s="21"/>
      <c r="AN63" s="21"/>
      <c r="AO63" s="21"/>
      <c r="AP63" s="21"/>
      <c r="AQ63" s="21"/>
      <c r="AR63" s="69">
        <v>0</v>
      </c>
      <c r="AS63" s="21"/>
      <c r="AT63" s="21"/>
      <c r="AU63" s="21"/>
      <c r="AV63" s="21"/>
      <c r="AW63" s="21"/>
      <c r="AX63" s="21"/>
      <c r="AY63" s="21"/>
      <c r="AZ63" s="21"/>
      <c r="BA63" s="21"/>
      <c r="BB63" s="69">
        <v>0</v>
      </c>
      <c r="BC63" s="21"/>
      <c r="BD63" s="21"/>
      <c r="BE63" s="21"/>
      <c r="BF63" s="21"/>
      <c r="BG63" s="69">
        <v>0</v>
      </c>
      <c r="BH63" s="21"/>
      <c r="BI63" s="69">
        <v>0</v>
      </c>
      <c r="BJ63" s="21"/>
      <c r="BK63" s="69">
        <v>0</v>
      </c>
      <c r="BL63" s="69">
        <v>0</v>
      </c>
      <c r="BM63" s="21"/>
      <c r="BN63" s="21"/>
      <c r="BO63" s="69">
        <v>0</v>
      </c>
      <c r="BP63" s="21"/>
      <c r="BQ63" s="21"/>
      <c r="BR63" s="21"/>
      <c r="BS63" s="21"/>
      <c r="BT63" s="21"/>
      <c r="BU63" s="21"/>
      <c r="BV63" s="69">
        <v>0</v>
      </c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69">
        <v>0</v>
      </c>
      <c r="DH63" s="21"/>
      <c r="DI63" s="21"/>
      <c r="DJ63" s="69">
        <v>0</v>
      </c>
      <c r="DK63" s="21"/>
      <c r="DL63" s="21"/>
      <c r="DM63" s="69">
        <v>0</v>
      </c>
      <c r="DN63" s="21"/>
      <c r="DO63" s="21"/>
      <c r="DP63" s="21"/>
      <c r="DQ63" s="21"/>
      <c r="DR63" s="21"/>
      <c r="DS63" s="21"/>
      <c r="DT63" s="21"/>
      <c r="DU63" s="21"/>
      <c r="DV63" s="21"/>
      <c r="DW63" s="69">
        <v>0</v>
      </c>
      <c r="DX63" s="21"/>
      <c r="DY63" s="21"/>
      <c r="DZ63" s="21"/>
      <c r="EA63" s="21"/>
      <c r="EB63" s="21"/>
      <c r="EC63" s="21"/>
      <c r="ED63" s="21"/>
      <c r="EE63" s="21"/>
      <c r="EF63" s="21"/>
      <c r="EG63" s="69">
        <v>0</v>
      </c>
      <c r="EH63" s="21"/>
      <c r="EI63" s="21"/>
      <c r="EJ63" s="21">
        <v>8.7609995893287582</v>
      </c>
      <c r="EK63" s="21"/>
      <c r="EL63" s="69">
        <v>0</v>
      </c>
      <c r="EM63" s="21"/>
      <c r="EN63" s="69">
        <v>0</v>
      </c>
      <c r="EO63" s="21"/>
      <c r="EP63" s="69">
        <v>0</v>
      </c>
      <c r="EQ63" s="69">
        <v>0</v>
      </c>
      <c r="ER63" s="21"/>
      <c r="ES63" s="21"/>
      <c r="ET63" s="69">
        <v>0</v>
      </c>
      <c r="EU63" s="21"/>
      <c r="EV63" s="21"/>
      <c r="EW63" s="21"/>
      <c r="EX63" s="21"/>
      <c r="EY63" s="21"/>
      <c r="EZ63" s="21"/>
      <c r="FA63" s="69">
        <v>0</v>
      </c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>
        <v>0</v>
      </c>
      <c r="GY63" s="21">
        <v>0</v>
      </c>
      <c r="GZ63" s="21"/>
      <c r="HA63" s="21"/>
      <c r="HB63" s="21">
        <f t="shared" si="0"/>
        <v>8.7609995893287582</v>
      </c>
    </row>
    <row r="64" spans="1:210" x14ac:dyDescent="0.75">
      <c r="A64" s="67" t="s">
        <v>710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69">
        <v>0</v>
      </c>
      <c r="AD64" s="21"/>
      <c r="AE64" s="21"/>
      <c r="AF64" s="69">
        <v>0</v>
      </c>
      <c r="AG64" s="21"/>
      <c r="AH64" s="21"/>
      <c r="AI64" s="69">
        <v>0</v>
      </c>
      <c r="AJ64" s="21"/>
      <c r="AK64" s="21"/>
      <c r="AL64" s="21"/>
      <c r="AM64" s="21"/>
      <c r="AN64" s="21"/>
      <c r="AO64" s="21"/>
      <c r="AP64" s="21"/>
      <c r="AQ64" s="21"/>
      <c r="AR64" s="69">
        <v>0</v>
      </c>
      <c r="AS64" s="21"/>
      <c r="AT64" s="21"/>
      <c r="AU64" s="21"/>
      <c r="AV64" s="21"/>
      <c r="AW64" s="21"/>
      <c r="AX64" s="21"/>
      <c r="AY64" s="21"/>
      <c r="AZ64" s="21"/>
      <c r="BA64" s="21"/>
      <c r="BB64" s="69">
        <v>0</v>
      </c>
      <c r="BC64" s="21"/>
      <c r="BD64" s="21"/>
      <c r="BE64" s="21"/>
      <c r="BF64" s="21"/>
      <c r="BG64" s="69">
        <v>0</v>
      </c>
      <c r="BH64" s="21"/>
      <c r="BI64" s="69">
        <v>0</v>
      </c>
      <c r="BJ64" s="21"/>
      <c r="BK64" s="69">
        <v>0</v>
      </c>
      <c r="BL64" s="69">
        <v>0</v>
      </c>
      <c r="BM64" s="21"/>
      <c r="BN64" s="21"/>
      <c r="BO64" s="69">
        <v>0</v>
      </c>
      <c r="BP64" s="21"/>
      <c r="BQ64" s="21"/>
      <c r="BR64" s="21"/>
      <c r="BS64" s="21"/>
      <c r="BT64" s="21"/>
      <c r="BU64" s="21"/>
      <c r="BV64" s="69">
        <v>0</v>
      </c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69">
        <v>0</v>
      </c>
      <c r="DH64" s="21"/>
      <c r="DI64" s="21"/>
      <c r="DJ64" s="69">
        <v>0</v>
      </c>
      <c r="DK64" s="21"/>
      <c r="DL64" s="21"/>
      <c r="DM64" s="69">
        <v>0</v>
      </c>
      <c r="DN64" s="21"/>
      <c r="DO64" s="21"/>
      <c r="DP64" s="21"/>
      <c r="DQ64" s="21"/>
      <c r="DR64" s="21"/>
      <c r="DS64" s="21"/>
      <c r="DT64" s="21"/>
      <c r="DU64" s="21"/>
      <c r="DV64" s="21"/>
      <c r="DW64" s="69">
        <v>2.7852129641813713E-2</v>
      </c>
      <c r="DX64" s="21"/>
      <c r="DY64" s="21"/>
      <c r="DZ64" s="21">
        <v>1.6175160875280922E-2</v>
      </c>
      <c r="EA64" s="21"/>
      <c r="EB64" s="21"/>
      <c r="EC64" s="21">
        <v>0.38616248911331535</v>
      </c>
      <c r="ED64" s="21"/>
      <c r="EE64" s="21">
        <v>10.557161243658097</v>
      </c>
      <c r="EF64" s="21"/>
      <c r="EG64" s="69">
        <v>0</v>
      </c>
      <c r="EH64" s="21">
        <v>0.17033969307201582</v>
      </c>
      <c r="EI64" s="21"/>
      <c r="EJ64" s="21"/>
      <c r="EK64" s="21">
        <v>27.241224979377201</v>
      </c>
      <c r="EL64" s="69">
        <v>0</v>
      </c>
      <c r="EM64" s="21"/>
      <c r="EN64" s="69">
        <v>0</v>
      </c>
      <c r="EO64" s="21"/>
      <c r="EP64" s="69">
        <v>0</v>
      </c>
      <c r="EQ64" s="69">
        <v>0</v>
      </c>
      <c r="ER64" s="21"/>
      <c r="ES64" s="21"/>
      <c r="ET64" s="69">
        <v>0</v>
      </c>
      <c r="EU64" s="21"/>
      <c r="EV64" s="21"/>
      <c r="EW64" s="21"/>
      <c r="EX64" s="21"/>
      <c r="EY64" s="21"/>
      <c r="EZ64" s="21"/>
      <c r="FA64" s="69">
        <v>0</v>
      </c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>
        <v>0</v>
      </c>
      <c r="GY64" s="21">
        <v>0</v>
      </c>
      <c r="GZ64" s="21"/>
      <c r="HA64" s="21"/>
      <c r="HB64" s="21">
        <f t="shared" si="0"/>
        <v>38.398915695737728</v>
      </c>
    </row>
    <row r="65" spans="1:210" x14ac:dyDescent="0.75">
      <c r="A65" s="68" t="s">
        <v>307</v>
      </c>
      <c r="B65" s="69">
        <v>0</v>
      </c>
      <c r="C65" s="69">
        <v>0</v>
      </c>
      <c r="D65" s="69">
        <v>0</v>
      </c>
      <c r="E65" s="69">
        <v>0</v>
      </c>
      <c r="F65" s="69">
        <v>0</v>
      </c>
      <c r="G65" s="69">
        <v>0</v>
      </c>
      <c r="H65" s="69">
        <v>0</v>
      </c>
      <c r="I65" s="69">
        <v>0</v>
      </c>
      <c r="J65" s="69">
        <v>0</v>
      </c>
      <c r="K65" s="69">
        <v>0</v>
      </c>
      <c r="L65" s="69">
        <v>0</v>
      </c>
      <c r="M65" s="69">
        <v>0</v>
      </c>
      <c r="N65" s="69">
        <v>0</v>
      </c>
      <c r="O65" s="69">
        <v>0</v>
      </c>
      <c r="P65" s="69">
        <v>0</v>
      </c>
      <c r="Q65" s="69">
        <v>0</v>
      </c>
      <c r="R65" s="69">
        <v>0</v>
      </c>
      <c r="S65" s="69">
        <v>0</v>
      </c>
      <c r="T65" s="69">
        <v>0</v>
      </c>
      <c r="U65" s="69">
        <v>0</v>
      </c>
      <c r="V65" s="69">
        <v>0</v>
      </c>
      <c r="W65" s="69">
        <v>0</v>
      </c>
      <c r="X65" s="69">
        <v>0</v>
      </c>
      <c r="Y65" s="69">
        <v>0</v>
      </c>
      <c r="Z65" s="69">
        <v>0</v>
      </c>
      <c r="AA65" s="69">
        <v>0</v>
      </c>
      <c r="AB65" s="69">
        <v>0</v>
      </c>
      <c r="AC65" s="69">
        <v>0</v>
      </c>
      <c r="AD65" s="69">
        <v>0</v>
      </c>
      <c r="AE65" s="69">
        <v>0</v>
      </c>
      <c r="AF65" s="69">
        <v>0</v>
      </c>
      <c r="AG65" s="69">
        <v>0</v>
      </c>
      <c r="AH65" s="69">
        <v>0</v>
      </c>
      <c r="AI65" s="69">
        <v>0</v>
      </c>
      <c r="AJ65" s="69">
        <v>0</v>
      </c>
      <c r="AK65" s="69">
        <v>0</v>
      </c>
      <c r="AL65" s="69">
        <v>0</v>
      </c>
      <c r="AM65" s="69">
        <v>0</v>
      </c>
      <c r="AN65" s="69">
        <v>0</v>
      </c>
      <c r="AO65" s="69">
        <v>0</v>
      </c>
      <c r="AP65" s="69">
        <v>0</v>
      </c>
      <c r="AQ65" s="69">
        <v>0</v>
      </c>
      <c r="AR65" s="69">
        <v>0</v>
      </c>
      <c r="AS65" s="69">
        <v>0</v>
      </c>
      <c r="AT65" s="69">
        <v>0</v>
      </c>
      <c r="AU65" s="69">
        <v>0</v>
      </c>
      <c r="AV65" s="69">
        <v>0</v>
      </c>
      <c r="AW65" s="69">
        <v>0</v>
      </c>
      <c r="AX65" s="69">
        <v>0</v>
      </c>
      <c r="AY65" s="69">
        <v>0</v>
      </c>
      <c r="AZ65" s="69">
        <v>0</v>
      </c>
      <c r="BA65" s="69">
        <v>0</v>
      </c>
      <c r="BB65" s="69">
        <v>0</v>
      </c>
      <c r="BC65" s="69">
        <v>0</v>
      </c>
      <c r="BD65" s="69">
        <v>0</v>
      </c>
      <c r="BE65" s="69">
        <v>0</v>
      </c>
      <c r="BF65" s="69">
        <v>0</v>
      </c>
      <c r="BG65" s="69">
        <v>0</v>
      </c>
      <c r="BH65" s="69">
        <v>0</v>
      </c>
      <c r="BI65" s="69">
        <v>0</v>
      </c>
      <c r="BJ65" s="69">
        <v>0</v>
      </c>
      <c r="BK65" s="69">
        <v>0</v>
      </c>
      <c r="BL65" s="69">
        <v>0</v>
      </c>
      <c r="BM65" s="69">
        <v>0</v>
      </c>
      <c r="BN65" s="69">
        <v>0</v>
      </c>
      <c r="BO65" s="69">
        <v>0</v>
      </c>
      <c r="BP65" s="69">
        <v>0</v>
      </c>
      <c r="BQ65" s="69">
        <v>0</v>
      </c>
      <c r="BR65" s="69">
        <v>0</v>
      </c>
      <c r="BS65" s="69">
        <v>0</v>
      </c>
      <c r="BT65" s="69">
        <v>0</v>
      </c>
      <c r="BU65" s="69">
        <v>0</v>
      </c>
      <c r="BV65" s="69">
        <v>0</v>
      </c>
      <c r="BW65" s="69">
        <v>0</v>
      </c>
      <c r="BX65" s="69">
        <v>0</v>
      </c>
      <c r="BY65" s="69">
        <v>0</v>
      </c>
      <c r="BZ65" s="69">
        <v>0</v>
      </c>
      <c r="CA65" s="69">
        <v>0</v>
      </c>
      <c r="CB65" s="69">
        <v>0</v>
      </c>
      <c r="CC65" s="69">
        <v>0</v>
      </c>
      <c r="CD65" s="69">
        <v>0</v>
      </c>
      <c r="CE65" s="69">
        <v>0</v>
      </c>
      <c r="CF65" s="69">
        <v>0</v>
      </c>
      <c r="CG65" s="69">
        <v>0</v>
      </c>
      <c r="CH65" s="69">
        <v>0</v>
      </c>
      <c r="CI65" s="69">
        <v>0</v>
      </c>
      <c r="CJ65" s="69">
        <v>0</v>
      </c>
      <c r="CK65" s="69">
        <v>0</v>
      </c>
      <c r="CL65" s="69">
        <v>0</v>
      </c>
      <c r="CM65" s="69">
        <v>0</v>
      </c>
      <c r="CN65" s="69">
        <v>0</v>
      </c>
      <c r="CO65" s="69">
        <v>0</v>
      </c>
      <c r="CP65" s="69">
        <v>0</v>
      </c>
      <c r="CQ65" s="69">
        <v>0</v>
      </c>
      <c r="CR65" s="69">
        <v>0</v>
      </c>
      <c r="CS65" s="69">
        <v>0</v>
      </c>
      <c r="CT65" s="69">
        <v>0</v>
      </c>
      <c r="CU65" s="69">
        <v>0</v>
      </c>
      <c r="CV65" s="69">
        <v>0</v>
      </c>
      <c r="CW65" s="69">
        <v>0</v>
      </c>
      <c r="CX65" s="69">
        <v>0</v>
      </c>
      <c r="CY65" s="69">
        <v>0</v>
      </c>
      <c r="CZ65" s="69">
        <v>0</v>
      </c>
      <c r="DA65" s="69">
        <v>0</v>
      </c>
      <c r="DB65" s="69">
        <v>0</v>
      </c>
      <c r="DC65" s="69">
        <v>0</v>
      </c>
      <c r="DD65" s="69">
        <v>0</v>
      </c>
      <c r="DE65" s="69">
        <v>0</v>
      </c>
      <c r="DF65" s="69">
        <v>0</v>
      </c>
      <c r="DG65" s="69">
        <v>0</v>
      </c>
      <c r="DH65" s="69">
        <v>0</v>
      </c>
      <c r="DI65" s="69">
        <v>0</v>
      </c>
      <c r="DJ65" s="69">
        <v>0</v>
      </c>
      <c r="DK65" s="69">
        <v>0</v>
      </c>
      <c r="DL65" s="69">
        <v>0</v>
      </c>
      <c r="DM65" s="69">
        <v>0</v>
      </c>
      <c r="DN65" s="69">
        <v>0</v>
      </c>
      <c r="DO65" s="69">
        <v>0</v>
      </c>
      <c r="DP65" s="69">
        <v>0</v>
      </c>
      <c r="DQ65" s="69">
        <v>0</v>
      </c>
      <c r="DR65" s="69">
        <v>0</v>
      </c>
      <c r="DS65" s="69">
        <v>0</v>
      </c>
      <c r="DT65" s="69">
        <v>0</v>
      </c>
      <c r="DU65" s="69">
        <v>0</v>
      </c>
      <c r="DV65" s="69">
        <v>0</v>
      </c>
      <c r="DW65" s="69">
        <v>0</v>
      </c>
      <c r="DX65" s="69">
        <v>0</v>
      </c>
      <c r="DY65" s="69">
        <v>0</v>
      </c>
      <c r="DZ65" s="69">
        <v>0</v>
      </c>
      <c r="EA65" s="69">
        <v>0</v>
      </c>
      <c r="EB65" s="69">
        <v>0</v>
      </c>
      <c r="EC65" s="69">
        <v>0</v>
      </c>
      <c r="ED65" s="69">
        <v>0</v>
      </c>
      <c r="EE65" s="69">
        <v>0</v>
      </c>
      <c r="EF65" s="69">
        <v>0</v>
      </c>
      <c r="EG65" s="69">
        <v>0.91857317458301291</v>
      </c>
      <c r="EH65" s="69">
        <v>0</v>
      </c>
      <c r="EI65" s="69">
        <v>0</v>
      </c>
      <c r="EJ65" s="69">
        <v>0</v>
      </c>
      <c r="EK65" s="69">
        <v>0</v>
      </c>
      <c r="EL65" s="69">
        <v>45.250325485581932</v>
      </c>
      <c r="EM65" s="69">
        <v>0</v>
      </c>
      <c r="EN65" s="69">
        <v>0</v>
      </c>
      <c r="EO65" s="69">
        <v>0</v>
      </c>
      <c r="EP65" s="69">
        <v>0.40851131569196553</v>
      </c>
      <c r="EQ65" s="69">
        <v>0</v>
      </c>
      <c r="ER65" s="69">
        <v>0</v>
      </c>
      <c r="ES65" s="69">
        <v>0.45799791536422507</v>
      </c>
      <c r="ET65" s="69">
        <v>0</v>
      </c>
      <c r="EU65" s="69">
        <v>0</v>
      </c>
      <c r="EV65" s="69">
        <v>0</v>
      </c>
      <c r="EW65" s="69">
        <v>0</v>
      </c>
      <c r="EX65" s="69">
        <v>0</v>
      </c>
      <c r="EY65" s="69">
        <v>0</v>
      </c>
      <c r="EZ65" s="69">
        <v>0</v>
      </c>
      <c r="FA65" s="69">
        <v>4.2538469623167215E-2</v>
      </c>
      <c r="FB65" s="69">
        <v>0</v>
      </c>
      <c r="FC65" s="69">
        <v>0</v>
      </c>
      <c r="FD65" s="69">
        <v>0</v>
      </c>
      <c r="FE65" s="69">
        <v>0</v>
      </c>
      <c r="FF65" s="69">
        <v>0</v>
      </c>
      <c r="FG65" s="69">
        <v>1.2959942249693011E-2</v>
      </c>
      <c r="FH65" s="69">
        <v>5.7411117083488762E-2</v>
      </c>
      <c r="FI65" s="69">
        <v>0</v>
      </c>
      <c r="FJ65" s="69">
        <v>0</v>
      </c>
      <c r="FK65" s="69">
        <v>0</v>
      </c>
      <c r="FL65" s="69">
        <v>0</v>
      </c>
      <c r="FM65" s="69">
        <v>0</v>
      </c>
      <c r="FN65" s="69">
        <v>0</v>
      </c>
      <c r="FO65" s="69">
        <v>0</v>
      </c>
      <c r="FP65" s="69">
        <v>0</v>
      </c>
      <c r="FQ65" s="69">
        <v>0</v>
      </c>
      <c r="FR65" s="69">
        <v>0</v>
      </c>
      <c r="FS65" s="69">
        <v>0</v>
      </c>
      <c r="FT65" s="69">
        <v>0</v>
      </c>
      <c r="FU65" s="69">
        <v>0</v>
      </c>
      <c r="FV65" s="69">
        <v>0</v>
      </c>
      <c r="FW65" s="69">
        <v>0</v>
      </c>
      <c r="FX65" s="69">
        <v>0</v>
      </c>
      <c r="FY65" s="69">
        <v>0</v>
      </c>
      <c r="FZ65" s="69">
        <v>0</v>
      </c>
      <c r="GA65" s="69">
        <v>0</v>
      </c>
      <c r="GB65" s="69">
        <v>0</v>
      </c>
      <c r="GC65" s="69">
        <v>0</v>
      </c>
      <c r="GD65" s="69">
        <v>0</v>
      </c>
      <c r="GE65" s="69">
        <v>0</v>
      </c>
      <c r="GF65" s="69">
        <v>0</v>
      </c>
      <c r="GG65" s="69">
        <v>0</v>
      </c>
      <c r="GH65" s="69">
        <v>0</v>
      </c>
      <c r="GI65" s="69">
        <v>0</v>
      </c>
      <c r="GJ65" s="69">
        <v>0</v>
      </c>
      <c r="GK65" s="69">
        <v>0</v>
      </c>
      <c r="GL65" s="69">
        <v>0</v>
      </c>
      <c r="GM65" s="69">
        <v>0</v>
      </c>
      <c r="GN65" s="69">
        <v>0</v>
      </c>
      <c r="GO65" s="69">
        <v>0</v>
      </c>
      <c r="GP65" s="69">
        <v>0</v>
      </c>
      <c r="GQ65" s="69">
        <v>0</v>
      </c>
      <c r="GR65" s="69">
        <v>0</v>
      </c>
      <c r="GS65" s="69">
        <v>0</v>
      </c>
      <c r="GT65" s="69">
        <v>0</v>
      </c>
      <c r="GU65" s="69">
        <v>0</v>
      </c>
      <c r="GV65" s="69">
        <v>0</v>
      </c>
      <c r="GW65" s="69">
        <v>0</v>
      </c>
      <c r="GX65" s="21">
        <v>0</v>
      </c>
      <c r="GY65" s="21">
        <v>0</v>
      </c>
      <c r="GZ65" s="69">
        <v>0</v>
      </c>
      <c r="HA65" s="69">
        <v>0</v>
      </c>
      <c r="HB65" s="21">
        <f t="shared" si="0"/>
        <v>47.148317420177484</v>
      </c>
    </row>
    <row r="66" spans="1:210" x14ac:dyDescent="0.75">
      <c r="A66" s="67" t="s">
        <v>308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69">
        <v>0</v>
      </c>
      <c r="AD66" s="21"/>
      <c r="AE66" s="21"/>
      <c r="AF66" s="69">
        <v>0</v>
      </c>
      <c r="AG66" s="21"/>
      <c r="AH66" s="21"/>
      <c r="AI66" s="69">
        <v>0</v>
      </c>
      <c r="AJ66" s="21"/>
      <c r="AK66" s="21"/>
      <c r="AL66" s="21"/>
      <c r="AM66" s="21"/>
      <c r="AN66" s="21"/>
      <c r="AO66" s="21"/>
      <c r="AP66" s="21"/>
      <c r="AQ66" s="21"/>
      <c r="AR66" s="69">
        <v>0</v>
      </c>
      <c r="AS66" s="21"/>
      <c r="AT66" s="21"/>
      <c r="AU66" s="21"/>
      <c r="AV66" s="21"/>
      <c r="AW66" s="21"/>
      <c r="AX66" s="21"/>
      <c r="AY66" s="21"/>
      <c r="AZ66" s="21"/>
      <c r="BA66" s="21"/>
      <c r="BB66" s="69">
        <v>0</v>
      </c>
      <c r="BC66" s="21"/>
      <c r="BD66" s="21"/>
      <c r="BE66" s="21"/>
      <c r="BF66" s="21"/>
      <c r="BG66" s="69">
        <v>0</v>
      </c>
      <c r="BH66" s="21"/>
      <c r="BI66" s="69">
        <v>0</v>
      </c>
      <c r="BJ66" s="21"/>
      <c r="BK66" s="69">
        <v>0</v>
      </c>
      <c r="BL66" s="69">
        <v>0</v>
      </c>
      <c r="BM66" s="21"/>
      <c r="BN66" s="21"/>
      <c r="BO66" s="69">
        <v>0</v>
      </c>
      <c r="BP66" s="21"/>
      <c r="BQ66" s="21"/>
      <c r="BR66" s="21"/>
      <c r="BS66" s="21"/>
      <c r="BT66" s="21"/>
      <c r="BU66" s="21"/>
      <c r="BV66" s="69">
        <v>0</v>
      </c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69">
        <v>0</v>
      </c>
      <c r="DH66" s="21"/>
      <c r="DI66" s="21"/>
      <c r="DJ66" s="69">
        <v>0</v>
      </c>
      <c r="DK66" s="21"/>
      <c r="DL66" s="21"/>
      <c r="DM66" s="69">
        <v>0</v>
      </c>
      <c r="DN66" s="21"/>
      <c r="DO66" s="21"/>
      <c r="DP66" s="21"/>
      <c r="DQ66" s="21"/>
      <c r="DR66" s="21"/>
      <c r="DS66" s="21"/>
      <c r="DT66" s="21"/>
      <c r="DU66" s="21"/>
      <c r="DV66" s="21"/>
      <c r="DW66" s="69">
        <v>0</v>
      </c>
      <c r="DX66" s="21"/>
      <c r="DY66" s="21"/>
      <c r="DZ66" s="21"/>
      <c r="EA66" s="21"/>
      <c r="EB66" s="21"/>
      <c r="EC66" s="21"/>
      <c r="ED66" s="21"/>
      <c r="EE66" s="21"/>
      <c r="EF66" s="21"/>
      <c r="EG66" s="69">
        <v>0</v>
      </c>
      <c r="EH66" s="21"/>
      <c r="EI66" s="21"/>
      <c r="EJ66" s="21"/>
      <c r="EK66" s="21"/>
      <c r="EL66" s="69">
        <v>0</v>
      </c>
      <c r="EM66" s="21">
        <v>157.8094711628211</v>
      </c>
      <c r="EN66" s="69">
        <v>0</v>
      </c>
      <c r="EO66" s="21"/>
      <c r="EP66" s="69">
        <v>0</v>
      </c>
      <c r="EQ66" s="69">
        <v>0</v>
      </c>
      <c r="ER66" s="21"/>
      <c r="ES66" s="21"/>
      <c r="ET66" s="69">
        <v>0</v>
      </c>
      <c r="EU66" s="21">
        <v>0.16186953905602813</v>
      </c>
      <c r="EV66" s="21"/>
      <c r="EW66" s="21"/>
      <c r="EX66" s="21"/>
      <c r="EY66" s="21"/>
      <c r="EZ66" s="21"/>
      <c r="FA66" s="69">
        <v>3.4171972997308666</v>
      </c>
      <c r="FB66" s="21"/>
      <c r="FC66" s="21"/>
      <c r="FD66" s="21"/>
      <c r="FE66" s="21"/>
      <c r="FF66" s="21"/>
      <c r="FG66" s="21">
        <v>0.45024462539812093</v>
      </c>
      <c r="FH66" s="21">
        <v>0.68590253992830508</v>
      </c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>
        <v>0</v>
      </c>
      <c r="GY66" s="21">
        <v>0</v>
      </c>
      <c r="GZ66" s="21"/>
      <c r="HA66" s="21"/>
      <c r="HB66" s="21">
        <f t="shared" si="0"/>
        <v>162.5246851669344</v>
      </c>
    </row>
    <row r="67" spans="1:210" x14ac:dyDescent="0.75">
      <c r="A67" s="68" t="s">
        <v>309</v>
      </c>
      <c r="B67" s="69">
        <v>0</v>
      </c>
      <c r="C67" s="69">
        <v>0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0</v>
      </c>
      <c r="P67" s="69">
        <v>0</v>
      </c>
      <c r="Q67" s="69">
        <v>0</v>
      </c>
      <c r="R67" s="69">
        <v>0</v>
      </c>
      <c r="S67" s="69">
        <v>0</v>
      </c>
      <c r="T67" s="69">
        <v>0</v>
      </c>
      <c r="U67" s="69">
        <v>0</v>
      </c>
      <c r="V67" s="69">
        <v>0</v>
      </c>
      <c r="W67" s="69">
        <v>0</v>
      </c>
      <c r="X67" s="69">
        <v>0</v>
      </c>
      <c r="Y67" s="69">
        <v>0</v>
      </c>
      <c r="Z67" s="69">
        <v>0</v>
      </c>
      <c r="AA67" s="69">
        <v>0</v>
      </c>
      <c r="AB67" s="69">
        <v>0</v>
      </c>
      <c r="AC67" s="69">
        <v>0</v>
      </c>
      <c r="AD67" s="69">
        <v>0</v>
      </c>
      <c r="AE67" s="69">
        <v>0</v>
      </c>
      <c r="AF67" s="69">
        <v>0</v>
      </c>
      <c r="AG67" s="69">
        <v>0</v>
      </c>
      <c r="AH67" s="69">
        <v>0</v>
      </c>
      <c r="AI67" s="69">
        <v>0</v>
      </c>
      <c r="AJ67" s="69">
        <v>0</v>
      </c>
      <c r="AK67" s="69">
        <v>0</v>
      </c>
      <c r="AL67" s="69">
        <v>0</v>
      </c>
      <c r="AM67" s="69">
        <v>0</v>
      </c>
      <c r="AN67" s="69">
        <v>0</v>
      </c>
      <c r="AO67" s="69">
        <v>0</v>
      </c>
      <c r="AP67" s="69">
        <v>0</v>
      </c>
      <c r="AQ67" s="69">
        <v>0</v>
      </c>
      <c r="AR67" s="69">
        <v>0</v>
      </c>
      <c r="AS67" s="69">
        <v>0</v>
      </c>
      <c r="AT67" s="69">
        <v>0</v>
      </c>
      <c r="AU67" s="69">
        <v>0</v>
      </c>
      <c r="AV67" s="69">
        <v>0</v>
      </c>
      <c r="AW67" s="69">
        <v>0</v>
      </c>
      <c r="AX67" s="69">
        <v>0</v>
      </c>
      <c r="AY67" s="69">
        <v>0</v>
      </c>
      <c r="AZ67" s="69">
        <v>0</v>
      </c>
      <c r="BA67" s="69">
        <v>0</v>
      </c>
      <c r="BB67" s="69">
        <v>0</v>
      </c>
      <c r="BC67" s="69">
        <v>0</v>
      </c>
      <c r="BD67" s="69">
        <v>0</v>
      </c>
      <c r="BE67" s="69">
        <v>0</v>
      </c>
      <c r="BF67" s="69">
        <v>0</v>
      </c>
      <c r="BG67" s="69">
        <v>0</v>
      </c>
      <c r="BH67" s="69">
        <v>0</v>
      </c>
      <c r="BI67" s="69">
        <v>0</v>
      </c>
      <c r="BJ67" s="69">
        <v>0</v>
      </c>
      <c r="BK67" s="69">
        <v>0</v>
      </c>
      <c r="BL67" s="69">
        <v>0</v>
      </c>
      <c r="BM67" s="69">
        <v>0</v>
      </c>
      <c r="BN67" s="69">
        <v>0</v>
      </c>
      <c r="BO67" s="69">
        <v>0</v>
      </c>
      <c r="BP67" s="69">
        <v>0</v>
      </c>
      <c r="BQ67" s="69">
        <v>0</v>
      </c>
      <c r="BR67" s="69">
        <v>0</v>
      </c>
      <c r="BS67" s="69">
        <v>0</v>
      </c>
      <c r="BT67" s="69">
        <v>0</v>
      </c>
      <c r="BU67" s="69">
        <v>0</v>
      </c>
      <c r="BV67" s="69">
        <v>0</v>
      </c>
      <c r="BW67" s="69">
        <v>0</v>
      </c>
      <c r="BX67" s="69">
        <v>0</v>
      </c>
      <c r="BY67" s="69">
        <v>0</v>
      </c>
      <c r="BZ67" s="69">
        <v>0</v>
      </c>
      <c r="CA67" s="69">
        <v>0</v>
      </c>
      <c r="CB67" s="69">
        <v>0</v>
      </c>
      <c r="CC67" s="69">
        <v>0</v>
      </c>
      <c r="CD67" s="69">
        <v>0</v>
      </c>
      <c r="CE67" s="69">
        <v>0</v>
      </c>
      <c r="CF67" s="69">
        <v>0</v>
      </c>
      <c r="CG67" s="69">
        <v>0</v>
      </c>
      <c r="CH67" s="69">
        <v>0</v>
      </c>
      <c r="CI67" s="69">
        <v>0</v>
      </c>
      <c r="CJ67" s="69">
        <v>0</v>
      </c>
      <c r="CK67" s="69">
        <v>0</v>
      </c>
      <c r="CL67" s="69">
        <v>0</v>
      </c>
      <c r="CM67" s="69">
        <v>0</v>
      </c>
      <c r="CN67" s="69">
        <v>0</v>
      </c>
      <c r="CO67" s="69">
        <v>0</v>
      </c>
      <c r="CP67" s="69">
        <v>0</v>
      </c>
      <c r="CQ67" s="69">
        <v>0</v>
      </c>
      <c r="CR67" s="69">
        <v>0</v>
      </c>
      <c r="CS67" s="69">
        <v>0</v>
      </c>
      <c r="CT67" s="69">
        <v>0</v>
      </c>
      <c r="CU67" s="69">
        <v>0</v>
      </c>
      <c r="CV67" s="69">
        <v>0</v>
      </c>
      <c r="CW67" s="69">
        <v>0</v>
      </c>
      <c r="CX67" s="69">
        <v>0</v>
      </c>
      <c r="CY67" s="69">
        <v>0</v>
      </c>
      <c r="CZ67" s="69">
        <v>0</v>
      </c>
      <c r="DA67" s="69">
        <v>0</v>
      </c>
      <c r="DB67" s="69">
        <v>0</v>
      </c>
      <c r="DC67" s="69">
        <v>0</v>
      </c>
      <c r="DD67" s="69">
        <v>0</v>
      </c>
      <c r="DE67" s="69">
        <v>0</v>
      </c>
      <c r="DF67" s="69">
        <v>0</v>
      </c>
      <c r="DG67" s="69">
        <v>0</v>
      </c>
      <c r="DH67" s="69">
        <v>0</v>
      </c>
      <c r="DI67" s="69">
        <v>0</v>
      </c>
      <c r="DJ67" s="69">
        <v>0</v>
      </c>
      <c r="DK67" s="69">
        <v>0</v>
      </c>
      <c r="DL67" s="69">
        <v>0</v>
      </c>
      <c r="DM67" s="69">
        <v>0</v>
      </c>
      <c r="DN67" s="69">
        <v>0</v>
      </c>
      <c r="DO67" s="69">
        <v>0</v>
      </c>
      <c r="DP67" s="69">
        <v>0</v>
      </c>
      <c r="DQ67" s="69">
        <v>0</v>
      </c>
      <c r="DR67" s="69">
        <v>0</v>
      </c>
      <c r="DS67" s="69">
        <v>0</v>
      </c>
      <c r="DT67" s="69">
        <v>0</v>
      </c>
      <c r="DU67" s="69">
        <v>0</v>
      </c>
      <c r="DV67" s="69">
        <v>0</v>
      </c>
      <c r="DW67" s="69">
        <v>0</v>
      </c>
      <c r="DX67" s="69">
        <v>0</v>
      </c>
      <c r="DY67" s="69">
        <v>0</v>
      </c>
      <c r="DZ67" s="69">
        <v>0</v>
      </c>
      <c r="EA67" s="69">
        <v>0</v>
      </c>
      <c r="EB67" s="69">
        <v>0</v>
      </c>
      <c r="EC67" s="69">
        <v>0</v>
      </c>
      <c r="ED67" s="69">
        <v>0</v>
      </c>
      <c r="EE67" s="69">
        <v>0</v>
      </c>
      <c r="EF67" s="69">
        <v>0</v>
      </c>
      <c r="EG67" s="69">
        <v>0</v>
      </c>
      <c r="EH67" s="69">
        <v>0</v>
      </c>
      <c r="EI67" s="69">
        <v>0</v>
      </c>
      <c r="EJ67" s="69">
        <v>0</v>
      </c>
      <c r="EK67" s="69">
        <v>0</v>
      </c>
      <c r="EL67" s="69">
        <v>0</v>
      </c>
      <c r="EM67" s="69">
        <v>0.34551403744449832</v>
      </c>
      <c r="EN67" s="69">
        <v>52.22505463429237</v>
      </c>
      <c r="EO67" s="69">
        <v>0</v>
      </c>
      <c r="EP67" s="69">
        <v>0</v>
      </c>
      <c r="EQ67" s="69">
        <v>0</v>
      </c>
      <c r="ER67" s="69">
        <v>0</v>
      </c>
      <c r="ES67" s="69">
        <v>0</v>
      </c>
      <c r="ET67" s="69">
        <v>0</v>
      </c>
      <c r="EU67" s="69">
        <v>1.0567552819926369E-2</v>
      </c>
      <c r="EV67" s="69">
        <v>0</v>
      </c>
      <c r="EW67" s="69">
        <v>0</v>
      </c>
      <c r="EX67" s="69">
        <v>0</v>
      </c>
      <c r="EY67" s="69">
        <v>0</v>
      </c>
      <c r="EZ67" s="69">
        <v>0</v>
      </c>
      <c r="FA67" s="69">
        <v>0.63156670296577122</v>
      </c>
      <c r="FB67" s="69">
        <v>0</v>
      </c>
      <c r="FC67" s="69">
        <v>0</v>
      </c>
      <c r="FD67" s="69">
        <v>0</v>
      </c>
      <c r="FE67" s="69">
        <v>0</v>
      </c>
      <c r="FF67" s="69">
        <v>0</v>
      </c>
      <c r="FG67" s="69">
        <v>2.1186795458078406E-2</v>
      </c>
      <c r="FH67" s="69">
        <v>2.9613505611982609E-2</v>
      </c>
      <c r="FI67" s="69">
        <v>0</v>
      </c>
      <c r="FJ67" s="69">
        <v>0</v>
      </c>
      <c r="FK67" s="69">
        <v>0</v>
      </c>
      <c r="FL67" s="69">
        <v>0</v>
      </c>
      <c r="FM67" s="69">
        <v>0</v>
      </c>
      <c r="FN67" s="69">
        <v>0</v>
      </c>
      <c r="FO67" s="69">
        <v>0</v>
      </c>
      <c r="FP67" s="69">
        <v>0</v>
      </c>
      <c r="FQ67" s="69">
        <v>0</v>
      </c>
      <c r="FR67" s="69">
        <v>0</v>
      </c>
      <c r="FS67" s="69">
        <v>0</v>
      </c>
      <c r="FT67" s="69">
        <v>0</v>
      </c>
      <c r="FU67" s="69">
        <v>0</v>
      </c>
      <c r="FV67" s="69">
        <v>0</v>
      </c>
      <c r="FW67" s="69">
        <v>0</v>
      </c>
      <c r="FX67" s="69">
        <v>0</v>
      </c>
      <c r="FY67" s="69">
        <v>0</v>
      </c>
      <c r="FZ67" s="69">
        <v>0</v>
      </c>
      <c r="GA67" s="69">
        <v>0</v>
      </c>
      <c r="GB67" s="69">
        <v>0</v>
      </c>
      <c r="GC67" s="69">
        <v>0</v>
      </c>
      <c r="GD67" s="69">
        <v>0</v>
      </c>
      <c r="GE67" s="69">
        <v>0</v>
      </c>
      <c r="GF67" s="69">
        <v>0</v>
      </c>
      <c r="GG67" s="69">
        <v>0</v>
      </c>
      <c r="GH67" s="69">
        <v>0</v>
      </c>
      <c r="GI67" s="69">
        <v>0</v>
      </c>
      <c r="GJ67" s="69">
        <v>0</v>
      </c>
      <c r="GK67" s="69">
        <v>0</v>
      </c>
      <c r="GL67" s="69">
        <v>0</v>
      </c>
      <c r="GM67" s="69">
        <v>0</v>
      </c>
      <c r="GN67" s="69">
        <v>0</v>
      </c>
      <c r="GO67" s="69">
        <v>0</v>
      </c>
      <c r="GP67" s="69">
        <v>0</v>
      </c>
      <c r="GQ67" s="69">
        <v>0</v>
      </c>
      <c r="GR67" s="69">
        <v>0</v>
      </c>
      <c r="GS67" s="69">
        <v>0</v>
      </c>
      <c r="GT67" s="69">
        <v>0</v>
      </c>
      <c r="GU67" s="69">
        <v>0</v>
      </c>
      <c r="GV67" s="69">
        <v>0</v>
      </c>
      <c r="GW67" s="69">
        <v>0</v>
      </c>
      <c r="GX67" s="21">
        <v>0</v>
      </c>
      <c r="GY67" s="21">
        <v>0</v>
      </c>
      <c r="GZ67" s="69">
        <v>0</v>
      </c>
      <c r="HA67" s="69">
        <v>0</v>
      </c>
      <c r="HB67" s="21">
        <f t="shared" si="0"/>
        <v>53.263503228592626</v>
      </c>
    </row>
    <row r="68" spans="1:210" x14ac:dyDescent="0.75">
      <c r="A68" s="67" t="s">
        <v>310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69">
        <v>0</v>
      </c>
      <c r="AD68" s="21"/>
      <c r="AE68" s="21"/>
      <c r="AF68" s="69">
        <v>0</v>
      </c>
      <c r="AG68" s="21"/>
      <c r="AH68" s="21"/>
      <c r="AI68" s="69">
        <v>0</v>
      </c>
      <c r="AJ68" s="21"/>
      <c r="AK68" s="21"/>
      <c r="AL68" s="21"/>
      <c r="AM68" s="21"/>
      <c r="AN68" s="21"/>
      <c r="AO68" s="21"/>
      <c r="AP68" s="21"/>
      <c r="AQ68" s="21"/>
      <c r="AR68" s="69">
        <v>0</v>
      </c>
      <c r="AS68" s="21"/>
      <c r="AT68" s="21"/>
      <c r="AU68" s="21"/>
      <c r="AV68" s="21"/>
      <c r="AW68" s="21"/>
      <c r="AX68" s="21"/>
      <c r="AY68" s="21"/>
      <c r="AZ68" s="21"/>
      <c r="BA68" s="21"/>
      <c r="BB68" s="69">
        <v>0</v>
      </c>
      <c r="BC68" s="21"/>
      <c r="BD68" s="21"/>
      <c r="BE68" s="21"/>
      <c r="BF68" s="21"/>
      <c r="BG68" s="69">
        <v>0</v>
      </c>
      <c r="BH68" s="21"/>
      <c r="BI68" s="69">
        <v>0</v>
      </c>
      <c r="BJ68" s="21"/>
      <c r="BK68" s="69">
        <v>0</v>
      </c>
      <c r="BL68" s="69">
        <v>0</v>
      </c>
      <c r="BM68" s="21"/>
      <c r="BN68" s="21"/>
      <c r="BO68" s="69">
        <v>0</v>
      </c>
      <c r="BP68" s="21"/>
      <c r="BQ68" s="21"/>
      <c r="BR68" s="21"/>
      <c r="BS68" s="21"/>
      <c r="BT68" s="21"/>
      <c r="BU68" s="21"/>
      <c r="BV68" s="69">
        <v>0</v>
      </c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69">
        <v>0</v>
      </c>
      <c r="DH68" s="21"/>
      <c r="DI68" s="21"/>
      <c r="DJ68" s="69">
        <v>0</v>
      </c>
      <c r="DK68" s="21"/>
      <c r="DL68" s="21"/>
      <c r="DM68" s="69">
        <v>0</v>
      </c>
      <c r="DN68" s="21"/>
      <c r="DO68" s="21"/>
      <c r="DP68" s="21"/>
      <c r="DQ68" s="21"/>
      <c r="DR68" s="21"/>
      <c r="DS68" s="21"/>
      <c r="DT68" s="21"/>
      <c r="DU68" s="21"/>
      <c r="DV68" s="21"/>
      <c r="DW68" s="69">
        <v>0</v>
      </c>
      <c r="DX68" s="21"/>
      <c r="DY68" s="21"/>
      <c r="DZ68" s="21"/>
      <c r="EA68" s="21"/>
      <c r="EB68" s="21"/>
      <c r="EC68" s="21"/>
      <c r="ED68" s="21"/>
      <c r="EE68" s="21"/>
      <c r="EF68" s="21"/>
      <c r="EG68" s="69">
        <v>3.3773631671811253</v>
      </c>
      <c r="EH68" s="21"/>
      <c r="EI68" s="21"/>
      <c r="EJ68" s="21"/>
      <c r="EK68" s="21"/>
      <c r="EL68" s="69">
        <v>0</v>
      </c>
      <c r="EM68" s="21"/>
      <c r="EN68" s="69">
        <v>5.1454741257532879</v>
      </c>
      <c r="EO68" s="21">
        <v>1275.9989316188944</v>
      </c>
      <c r="EP68" s="69">
        <v>9.0343028486613708</v>
      </c>
      <c r="EQ68" s="69">
        <v>0</v>
      </c>
      <c r="ER68" s="21"/>
      <c r="ES68" s="21">
        <v>0.52729832799088028</v>
      </c>
      <c r="ET68" s="69">
        <v>0</v>
      </c>
      <c r="EU68" s="21"/>
      <c r="EV68" s="21"/>
      <c r="EW68" s="21"/>
      <c r="EX68" s="21"/>
      <c r="EY68" s="21"/>
      <c r="EZ68" s="21">
        <v>0.16931996298246932</v>
      </c>
      <c r="FA68" s="69">
        <v>4.4174890731888992</v>
      </c>
      <c r="FB68" s="21"/>
      <c r="FC68" s="21"/>
      <c r="FD68" s="21"/>
      <c r="FE68" s="21"/>
      <c r="FF68" s="21"/>
      <c r="FG68" s="21">
        <v>1.1595271616306442</v>
      </c>
      <c r="FH68" s="21">
        <v>2.3132926695622635</v>
      </c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>
        <v>0</v>
      </c>
      <c r="GY68" s="21">
        <v>0</v>
      </c>
      <c r="GZ68" s="21"/>
      <c r="HA68" s="21"/>
      <c r="HB68" s="21">
        <f t="shared" si="0"/>
        <v>1302.1429989558451</v>
      </c>
    </row>
    <row r="69" spans="1:210" x14ac:dyDescent="0.75">
      <c r="A69" s="70" t="s">
        <v>311</v>
      </c>
      <c r="B69" s="69">
        <v>0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0</v>
      </c>
      <c r="O69" s="69">
        <v>0</v>
      </c>
      <c r="P69" s="69">
        <v>0</v>
      </c>
      <c r="Q69" s="69">
        <v>0</v>
      </c>
      <c r="R69" s="69">
        <v>0</v>
      </c>
      <c r="S69" s="69">
        <v>0</v>
      </c>
      <c r="T69" s="69">
        <v>0</v>
      </c>
      <c r="U69" s="69">
        <v>0</v>
      </c>
      <c r="V69" s="69">
        <v>0</v>
      </c>
      <c r="W69" s="69">
        <v>0</v>
      </c>
      <c r="X69" s="69">
        <v>0</v>
      </c>
      <c r="Y69" s="69">
        <v>0</v>
      </c>
      <c r="Z69" s="69">
        <v>0</v>
      </c>
      <c r="AA69" s="69">
        <v>0</v>
      </c>
      <c r="AB69" s="69">
        <v>0</v>
      </c>
      <c r="AC69" s="69">
        <v>0</v>
      </c>
      <c r="AD69" s="69">
        <v>0</v>
      </c>
      <c r="AE69" s="69">
        <v>0</v>
      </c>
      <c r="AF69" s="69">
        <v>0</v>
      </c>
      <c r="AG69" s="69">
        <v>0</v>
      </c>
      <c r="AH69" s="69">
        <v>0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69">
        <v>0</v>
      </c>
      <c r="AU69" s="69">
        <v>0</v>
      </c>
      <c r="AV69" s="69">
        <v>0</v>
      </c>
      <c r="AW69" s="69">
        <v>0</v>
      </c>
      <c r="AX69" s="69">
        <v>0</v>
      </c>
      <c r="AY69" s="69">
        <v>0</v>
      </c>
      <c r="AZ69" s="69">
        <v>0</v>
      </c>
      <c r="BA69" s="69">
        <v>0</v>
      </c>
      <c r="BB69" s="69">
        <v>0</v>
      </c>
      <c r="BC69" s="69">
        <v>0</v>
      </c>
      <c r="BD69" s="69">
        <v>0</v>
      </c>
      <c r="BE69" s="69">
        <v>0</v>
      </c>
      <c r="BF69" s="69">
        <v>0</v>
      </c>
      <c r="BG69" s="69">
        <v>0</v>
      </c>
      <c r="BH69" s="69">
        <v>0</v>
      </c>
      <c r="BI69" s="69">
        <v>0</v>
      </c>
      <c r="BJ69" s="69">
        <v>0</v>
      </c>
      <c r="BK69" s="69">
        <v>0</v>
      </c>
      <c r="BL69" s="69">
        <v>0</v>
      </c>
      <c r="BM69" s="69">
        <v>0</v>
      </c>
      <c r="BN69" s="69">
        <v>0</v>
      </c>
      <c r="BO69" s="69">
        <v>0</v>
      </c>
      <c r="BP69" s="69">
        <v>0</v>
      </c>
      <c r="BQ69" s="69">
        <v>0</v>
      </c>
      <c r="BR69" s="69">
        <v>0</v>
      </c>
      <c r="BS69" s="69">
        <v>0</v>
      </c>
      <c r="BT69" s="69">
        <v>0</v>
      </c>
      <c r="BU69" s="69">
        <v>0</v>
      </c>
      <c r="BV69" s="69">
        <v>0</v>
      </c>
      <c r="BW69" s="69">
        <v>0</v>
      </c>
      <c r="BX69" s="69">
        <v>0</v>
      </c>
      <c r="BY69" s="69">
        <v>0</v>
      </c>
      <c r="BZ69" s="69">
        <v>0</v>
      </c>
      <c r="CA69" s="69">
        <v>0</v>
      </c>
      <c r="CB69" s="69">
        <v>0</v>
      </c>
      <c r="CC69" s="69">
        <v>0</v>
      </c>
      <c r="CD69" s="69">
        <v>0</v>
      </c>
      <c r="CE69" s="69">
        <v>0</v>
      </c>
      <c r="CF69" s="69">
        <v>0</v>
      </c>
      <c r="CG69" s="69">
        <v>0</v>
      </c>
      <c r="CH69" s="69">
        <v>0</v>
      </c>
      <c r="CI69" s="69">
        <v>0</v>
      </c>
      <c r="CJ69" s="69">
        <v>0</v>
      </c>
      <c r="CK69" s="69">
        <v>0</v>
      </c>
      <c r="CL69" s="69">
        <v>0</v>
      </c>
      <c r="CM69" s="69">
        <v>0</v>
      </c>
      <c r="CN69" s="69">
        <v>0</v>
      </c>
      <c r="CO69" s="69">
        <v>0</v>
      </c>
      <c r="CP69" s="69">
        <v>0</v>
      </c>
      <c r="CQ69" s="69">
        <v>0</v>
      </c>
      <c r="CR69" s="69">
        <v>0</v>
      </c>
      <c r="CS69" s="69">
        <v>0</v>
      </c>
      <c r="CT69" s="69">
        <v>0</v>
      </c>
      <c r="CU69" s="69">
        <v>0</v>
      </c>
      <c r="CV69" s="69">
        <v>0</v>
      </c>
      <c r="CW69" s="69">
        <v>0</v>
      </c>
      <c r="CX69" s="69">
        <v>0</v>
      </c>
      <c r="CY69" s="69">
        <v>0</v>
      </c>
      <c r="CZ69" s="69">
        <v>0</v>
      </c>
      <c r="DA69" s="69">
        <v>0</v>
      </c>
      <c r="DB69" s="69">
        <v>0</v>
      </c>
      <c r="DC69" s="69">
        <v>0</v>
      </c>
      <c r="DD69" s="69">
        <v>0</v>
      </c>
      <c r="DE69" s="69">
        <v>0</v>
      </c>
      <c r="DF69" s="69">
        <v>0</v>
      </c>
      <c r="DG69" s="69">
        <v>0</v>
      </c>
      <c r="DH69" s="69">
        <v>0</v>
      </c>
      <c r="DI69" s="69">
        <v>0</v>
      </c>
      <c r="DJ69" s="69">
        <v>0</v>
      </c>
      <c r="DK69" s="69">
        <v>0</v>
      </c>
      <c r="DL69" s="69">
        <v>0</v>
      </c>
      <c r="DM69" s="69">
        <v>2.1858980652191731</v>
      </c>
      <c r="DN69" s="69">
        <v>0</v>
      </c>
      <c r="DO69" s="69">
        <v>0</v>
      </c>
      <c r="DP69" s="69">
        <v>0</v>
      </c>
      <c r="DQ69" s="69">
        <v>0</v>
      </c>
      <c r="DR69" s="69">
        <v>0</v>
      </c>
      <c r="DS69" s="69">
        <v>1.0231149710200254</v>
      </c>
      <c r="DT69" s="69">
        <v>0</v>
      </c>
      <c r="DU69" s="69">
        <v>5.456105397483161E-2</v>
      </c>
      <c r="DV69" s="69">
        <v>0</v>
      </c>
      <c r="DW69" s="69">
        <v>0</v>
      </c>
      <c r="DX69" s="69">
        <v>0</v>
      </c>
      <c r="DY69" s="69">
        <v>0</v>
      </c>
      <c r="DZ69" s="69">
        <v>0</v>
      </c>
      <c r="EA69" s="69">
        <v>0</v>
      </c>
      <c r="EB69" s="69">
        <v>0</v>
      </c>
      <c r="EC69" s="69">
        <v>0</v>
      </c>
      <c r="ED69" s="69">
        <v>1.6590588585131194</v>
      </c>
      <c r="EE69" s="69">
        <v>1.5843387778424918</v>
      </c>
      <c r="EF69" s="69">
        <v>0</v>
      </c>
      <c r="EG69" s="69">
        <v>0</v>
      </c>
      <c r="EH69" s="69">
        <v>0</v>
      </c>
      <c r="EI69" s="69">
        <v>0</v>
      </c>
      <c r="EJ69" s="69">
        <v>0</v>
      </c>
      <c r="EK69" s="69">
        <v>0</v>
      </c>
      <c r="EL69" s="69">
        <v>0</v>
      </c>
      <c r="EM69" s="69">
        <v>0</v>
      </c>
      <c r="EN69" s="69">
        <v>0</v>
      </c>
      <c r="EO69" s="69">
        <v>9.0617097868144398</v>
      </c>
      <c r="EP69" s="69">
        <v>1050.7531782003175</v>
      </c>
      <c r="EQ69" s="69">
        <v>17.953245194128325</v>
      </c>
      <c r="ER69" s="69">
        <v>0</v>
      </c>
      <c r="ES69" s="69">
        <v>4.7355495123801896</v>
      </c>
      <c r="ET69" s="69">
        <v>0</v>
      </c>
      <c r="EU69" s="69">
        <v>0</v>
      </c>
      <c r="EV69" s="69">
        <v>0</v>
      </c>
      <c r="EW69" s="69">
        <v>0</v>
      </c>
      <c r="EX69" s="69">
        <v>0</v>
      </c>
      <c r="EY69" s="69">
        <v>0</v>
      </c>
      <c r="EZ69" s="69">
        <v>0</v>
      </c>
      <c r="FA69" s="69">
        <v>9.2780468418918982</v>
      </c>
      <c r="FB69" s="69">
        <v>0</v>
      </c>
      <c r="FC69" s="69">
        <v>0</v>
      </c>
      <c r="FD69" s="69">
        <v>0</v>
      </c>
      <c r="FE69" s="69">
        <v>0</v>
      </c>
      <c r="FF69" s="69">
        <v>0</v>
      </c>
      <c r="FG69" s="69">
        <v>0</v>
      </c>
      <c r="FH69" s="69">
        <v>0.25590725134686504</v>
      </c>
      <c r="FI69" s="69">
        <v>0</v>
      </c>
      <c r="FJ69" s="69">
        <v>0</v>
      </c>
      <c r="FK69" s="69">
        <v>0</v>
      </c>
      <c r="FL69" s="69">
        <v>0</v>
      </c>
      <c r="FM69" s="69">
        <v>0</v>
      </c>
      <c r="FN69" s="69">
        <v>0</v>
      </c>
      <c r="FO69" s="69">
        <v>0</v>
      </c>
      <c r="FP69" s="69">
        <v>0</v>
      </c>
      <c r="FQ69" s="69">
        <v>0</v>
      </c>
      <c r="FR69" s="69">
        <v>0</v>
      </c>
      <c r="FS69" s="69">
        <v>0</v>
      </c>
      <c r="FT69" s="69">
        <v>0</v>
      </c>
      <c r="FU69" s="69">
        <v>0</v>
      </c>
      <c r="FV69" s="69">
        <v>0</v>
      </c>
      <c r="FW69" s="69">
        <v>0</v>
      </c>
      <c r="FX69" s="69">
        <v>0</v>
      </c>
      <c r="FY69" s="69">
        <v>0</v>
      </c>
      <c r="FZ69" s="69">
        <v>0</v>
      </c>
      <c r="GA69" s="69">
        <v>0</v>
      </c>
      <c r="GB69" s="69">
        <v>0</v>
      </c>
      <c r="GC69" s="69">
        <v>0</v>
      </c>
      <c r="GD69" s="69">
        <v>0</v>
      </c>
      <c r="GE69" s="69">
        <v>0</v>
      </c>
      <c r="GF69" s="69">
        <v>0</v>
      </c>
      <c r="GG69" s="69">
        <v>0</v>
      </c>
      <c r="GH69" s="69">
        <v>0</v>
      </c>
      <c r="GI69" s="69">
        <v>0</v>
      </c>
      <c r="GJ69" s="69">
        <v>0</v>
      </c>
      <c r="GK69" s="69">
        <v>0</v>
      </c>
      <c r="GL69" s="69">
        <v>0</v>
      </c>
      <c r="GM69" s="69">
        <v>0</v>
      </c>
      <c r="GN69" s="69">
        <v>0</v>
      </c>
      <c r="GO69" s="69">
        <v>0</v>
      </c>
      <c r="GP69" s="69">
        <v>0</v>
      </c>
      <c r="GQ69" s="69">
        <v>0</v>
      </c>
      <c r="GR69" s="69">
        <v>0</v>
      </c>
      <c r="GS69" s="69">
        <v>0</v>
      </c>
      <c r="GT69" s="69">
        <v>0</v>
      </c>
      <c r="GU69" s="69">
        <v>0</v>
      </c>
      <c r="GV69" s="69">
        <v>0</v>
      </c>
      <c r="GW69" s="69">
        <v>0</v>
      </c>
      <c r="GX69" s="21">
        <v>0</v>
      </c>
      <c r="GY69" s="21">
        <v>0</v>
      </c>
      <c r="GZ69" s="69">
        <v>0</v>
      </c>
      <c r="HA69" s="69">
        <v>0</v>
      </c>
      <c r="HB69" s="21">
        <f t="shared" si="0"/>
        <v>1098.5446085134488</v>
      </c>
    </row>
    <row r="70" spans="1:210" x14ac:dyDescent="0.75">
      <c r="A70" s="70" t="s">
        <v>312</v>
      </c>
      <c r="B70" s="69">
        <v>0</v>
      </c>
      <c r="C70" s="69">
        <v>0</v>
      </c>
      <c r="D70" s="69">
        <v>0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69">
        <v>0</v>
      </c>
      <c r="O70" s="69">
        <v>0</v>
      </c>
      <c r="P70" s="69">
        <v>0</v>
      </c>
      <c r="Q70" s="69">
        <v>0</v>
      </c>
      <c r="R70" s="69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  <c r="AE70" s="69">
        <v>0</v>
      </c>
      <c r="AF70" s="69">
        <v>0</v>
      </c>
      <c r="AG70" s="69">
        <v>0</v>
      </c>
      <c r="AH70" s="69">
        <v>0</v>
      </c>
      <c r="AI70" s="69">
        <v>0</v>
      </c>
      <c r="AJ70" s="69">
        <v>0</v>
      </c>
      <c r="AK70" s="69">
        <v>0</v>
      </c>
      <c r="AL70" s="69">
        <v>0</v>
      </c>
      <c r="AM70" s="69">
        <v>0</v>
      </c>
      <c r="AN70" s="69">
        <v>0</v>
      </c>
      <c r="AO70" s="69">
        <v>0</v>
      </c>
      <c r="AP70" s="69">
        <v>0</v>
      </c>
      <c r="AQ70" s="69">
        <v>0</v>
      </c>
      <c r="AR70" s="69">
        <v>0</v>
      </c>
      <c r="AS70" s="69">
        <v>0</v>
      </c>
      <c r="AT70" s="69">
        <v>0</v>
      </c>
      <c r="AU70" s="69">
        <v>0</v>
      </c>
      <c r="AV70" s="69">
        <v>0</v>
      </c>
      <c r="AW70" s="69">
        <v>0</v>
      </c>
      <c r="AX70" s="69">
        <v>0</v>
      </c>
      <c r="AY70" s="69">
        <v>0</v>
      </c>
      <c r="AZ70" s="69">
        <v>0</v>
      </c>
      <c r="BA70" s="69">
        <v>0</v>
      </c>
      <c r="BB70" s="69">
        <v>0</v>
      </c>
      <c r="BC70" s="69">
        <v>0</v>
      </c>
      <c r="BD70" s="69">
        <v>0</v>
      </c>
      <c r="BE70" s="69">
        <v>0</v>
      </c>
      <c r="BF70" s="69">
        <v>0</v>
      </c>
      <c r="BG70" s="69">
        <v>0</v>
      </c>
      <c r="BH70" s="69">
        <v>0</v>
      </c>
      <c r="BI70" s="69">
        <v>0</v>
      </c>
      <c r="BJ70" s="69">
        <v>0</v>
      </c>
      <c r="BK70" s="69">
        <v>0</v>
      </c>
      <c r="BL70" s="69">
        <v>0</v>
      </c>
      <c r="BM70" s="69">
        <v>0</v>
      </c>
      <c r="BN70" s="69">
        <v>0</v>
      </c>
      <c r="BO70" s="69">
        <v>0</v>
      </c>
      <c r="BP70" s="69">
        <v>0</v>
      </c>
      <c r="BQ70" s="69">
        <v>0</v>
      </c>
      <c r="BR70" s="69">
        <v>0</v>
      </c>
      <c r="BS70" s="69">
        <v>0</v>
      </c>
      <c r="BT70" s="69">
        <v>0</v>
      </c>
      <c r="BU70" s="69">
        <v>0</v>
      </c>
      <c r="BV70" s="69">
        <v>0</v>
      </c>
      <c r="BW70" s="69">
        <v>0</v>
      </c>
      <c r="BX70" s="69">
        <v>0</v>
      </c>
      <c r="BY70" s="69">
        <v>0</v>
      </c>
      <c r="BZ70" s="69">
        <v>0</v>
      </c>
      <c r="CA70" s="69">
        <v>0</v>
      </c>
      <c r="CB70" s="69">
        <v>0</v>
      </c>
      <c r="CC70" s="69">
        <v>0</v>
      </c>
      <c r="CD70" s="69">
        <v>0</v>
      </c>
      <c r="CE70" s="69">
        <v>0</v>
      </c>
      <c r="CF70" s="69">
        <v>0</v>
      </c>
      <c r="CG70" s="69">
        <v>0</v>
      </c>
      <c r="CH70" s="69">
        <v>0</v>
      </c>
      <c r="CI70" s="69">
        <v>0</v>
      </c>
      <c r="CJ70" s="69">
        <v>0</v>
      </c>
      <c r="CK70" s="69">
        <v>0</v>
      </c>
      <c r="CL70" s="69">
        <v>0</v>
      </c>
      <c r="CM70" s="69">
        <v>0</v>
      </c>
      <c r="CN70" s="69">
        <v>0</v>
      </c>
      <c r="CO70" s="69">
        <v>0</v>
      </c>
      <c r="CP70" s="69">
        <v>0</v>
      </c>
      <c r="CQ70" s="69">
        <v>0</v>
      </c>
      <c r="CR70" s="69">
        <v>0</v>
      </c>
      <c r="CS70" s="69">
        <v>0</v>
      </c>
      <c r="CT70" s="69">
        <v>0</v>
      </c>
      <c r="CU70" s="69">
        <v>0</v>
      </c>
      <c r="CV70" s="69">
        <v>0</v>
      </c>
      <c r="CW70" s="69">
        <v>0</v>
      </c>
      <c r="CX70" s="69">
        <v>0</v>
      </c>
      <c r="CY70" s="69">
        <v>0</v>
      </c>
      <c r="CZ70" s="69">
        <v>0</v>
      </c>
      <c r="DA70" s="69">
        <v>0</v>
      </c>
      <c r="DB70" s="69">
        <v>0</v>
      </c>
      <c r="DC70" s="69">
        <v>0</v>
      </c>
      <c r="DD70" s="69">
        <v>0</v>
      </c>
      <c r="DE70" s="69">
        <v>0</v>
      </c>
      <c r="DF70" s="69">
        <v>0</v>
      </c>
      <c r="DG70" s="69">
        <v>0</v>
      </c>
      <c r="DH70" s="69">
        <v>0</v>
      </c>
      <c r="DI70" s="69">
        <v>0</v>
      </c>
      <c r="DJ70" s="69">
        <v>0</v>
      </c>
      <c r="DK70" s="69">
        <v>0</v>
      </c>
      <c r="DL70" s="69">
        <v>0</v>
      </c>
      <c r="DM70" s="69">
        <v>0</v>
      </c>
      <c r="DN70" s="69">
        <v>0</v>
      </c>
      <c r="DO70" s="69">
        <v>0</v>
      </c>
      <c r="DP70" s="69">
        <v>0</v>
      </c>
      <c r="DQ70" s="69">
        <v>0</v>
      </c>
      <c r="DR70" s="69">
        <v>0</v>
      </c>
      <c r="DS70" s="69">
        <v>0</v>
      </c>
      <c r="DT70" s="69">
        <v>0</v>
      </c>
      <c r="DU70" s="69">
        <v>0</v>
      </c>
      <c r="DV70" s="69">
        <v>0</v>
      </c>
      <c r="DW70" s="69">
        <v>0</v>
      </c>
      <c r="DX70" s="69">
        <v>0</v>
      </c>
      <c r="DY70" s="69">
        <v>0</v>
      </c>
      <c r="DZ70" s="69">
        <v>0</v>
      </c>
      <c r="EA70" s="69">
        <v>0</v>
      </c>
      <c r="EB70" s="69">
        <v>0</v>
      </c>
      <c r="EC70" s="69">
        <v>0</v>
      </c>
      <c r="ED70" s="69">
        <v>0</v>
      </c>
      <c r="EE70" s="69">
        <v>0</v>
      </c>
      <c r="EF70" s="69">
        <v>0</v>
      </c>
      <c r="EG70" s="69">
        <v>0</v>
      </c>
      <c r="EH70" s="69">
        <v>0</v>
      </c>
      <c r="EI70" s="69">
        <v>0</v>
      </c>
      <c r="EJ70" s="69">
        <v>0</v>
      </c>
      <c r="EK70" s="69">
        <v>0</v>
      </c>
      <c r="EL70" s="69">
        <v>0</v>
      </c>
      <c r="EM70" s="69">
        <v>0</v>
      </c>
      <c r="EN70" s="69">
        <v>0</v>
      </c>
      <c r="EO70" s="69">
        <v>1.0162280444834151</v>
      </c>
      <c r="EP70" s="69">
        <v>14.891634377908067</v>
      </c>
      <c r="EQ70" s="69">
        <v>513.58936036563261</v>
      </c>
      <c r="ER70" s="69">
        <v>0</v>
      </c>
      <c r="ES70" s="69">
        <v>0</v>
      </c>
      <c r="ET70" s="69">
        <v>0</v>
      </c>
      <c r="EU70" s="69">
        <v>1.0694577892663963</v>
      </c>
      <c r="EV70" s="69">
        <v>0</v>
      </c>
      <c r="EW70" s="69">
        <v>0</v>
      </c>
      <c r="EX70" s="69">
        <v>0</v>
      </c>
      <c r="EY70" s="69">
        <v>0</v>
      </c>
      <c r="EZ70" s="69">
        <v>3.1737519360037347</v>
      </c>
      <c r="FA70" s="69">
        <v>27.793517263644357</v>
      </c>
      <c r="FB70" s="69">
        <v>0</v>
      </c>
      <c r="FC70" s="69">
        <v>0</v>
      </c>
      <c r="FD70" s="69">
        <v>2.8640648200341717E-2</v>
      </c>
      <c r="FE70" s="69">
        <v>0</v>
      </c>
      <c r="FF70" s="69">
        <v>0</v>
      </c>
      <c r="FG70" s="69">
        <v>3.3540109063173476</v>
      </c>
      <c r="FH70" s="69">
        <v>5.2337281510099505</v>
      </c>
      <c r="FI70" s="69">
        <v>0</v>
      </c>
      <c r="FJ70" s="69">
        <v>0</v>
      </c>
      <c r="FK70" s="69">
        <v>0</v>
      </c>
      <c r="FL70" s="69">
        <v>0</v>
      </c>
      <c r="FM70" s="69">
        <v>0</v>
      </c>
      <c r="FN70" s="69">
        <v>0</v>
      </c>
      <c r="FO70" s="69">
        <v>0</v>
      </c>
      <c r="FP70" s="69">
        <v>0</v>
      </c>
      <c r="FQ70" s="69">
        <v>0</v>
      </c>
      <c r="FR70" s="69">
        <v>0</v>
      </c>
      <c r="FS70" s="69">
        <v>0</v>
      </c>
      <c r="FT70" s="69">
        <v>0</v>
      </c>
      <c r="FU70" s="69">
        <v>0</v>
      </c>
      <c r="FV70" s="69">
        <v>0</v>
      </c>
      <c r="FW70" s="69">
        <v>0</v>
      </c>
      <c r="FX70" s="69">
        <v>0</v>
      </c>
      <c r="FY70" s="69">
        <v>0</v>
      </c>
      <c r="FZ70" s="69">
        <v>0</v>
      </c>
      <c r="GA70" s="69">
        <v>0</v>
      </c>
      <c r="GB70" s="69">
        <v>0</v>
      </c>
      <c r="GC70" s="69">
        <v>0</v>
      </c>
      <c r="GD70" s="69">
        <v>0</v>
      </c>
      <c r="GE70" s="69">
        <v>0</v>
      </c>
      <c r="GF70" s="69">
        <v>0</v>
      </c>
      <c r="GG70" s="69">
        <v>0</v>
      </c>
      <c r="GH70" s="69">
        <v>0</v>
      </c>
      <c r="GI70" s="69">
        <v>0</v>
      </c>
      <c r="GJ70" s="69">
        <v>0</v>
      </c>
      <c r="GK70" s="69">
        <v>0</v>
      </c>
      <c r="GL70" s="69">
        <v>0</v>
      </c>
      <c r="GM70" s="69">
        <v>0</v>
      </c>
      <c r="GN70" s="69">
        <v>0</v>
      </c>
      <c r="GO70" s="69">
        <v>0</v>
      </c>
      <c r="GP70" s="69">
        <v>0</v>
      </c>
      <c r="GQ70" s="69">
        <v>0</v>
      </c>
      <c r="GR70" s="69">
        <v>0</v>
      </c>
      <c r="GS70" s="69">
        <v>0</v>
      </c>
      <c r="GT70" s="69">
        <v>0</v>
      </c>
      <c r="GU70" s="69">
        <v>0</v>
      </c>
      <c r="GV70" s="69">
        <v>0</v>
      </c>
      <c r="GW70" s="69">
        <v>0</v>
      </c>
      <c r="GX70" s="21">
        <v>0</v>
      </c>
      <c r="GY70" s="21">
        <v>0</v>
      </c>
      <c r="GZ70" s="69">
        <v>0</v>
      </c>
      <c r="HA70" s="69">
        <v>0</v>
      </c>
      <c r="HB70" s="21">
        <f t="shared" si="0"/>
        <v>570.15032948246642</v>
      </c>
    </row>
    <row r="71" spans="1:210" x14ac:dyDescent="0.75">
      <c r="A71" s="67" t="s">
        <v>711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69">
        <v>0</v>
      </c>
      <c r="AD71" s="21"/>
      <c r="AE71" s="21"/>
      <c r="AF71" s="69">
        <v>0</v>
      </c>
      <c r="AG71" s="21"/>
      <c r="AH71" s="21"/>
      <c r="AI71" s="69">
        <v>0</v>
      </c>
      <c r="AJ71" s="21"/>
      <c r="AK71" s="21"/>
      <c r="AL71" s="21"/>
      <c r="AM71" s="21"/>
      <c r="AN71" s="21"/>
      <c r="AO71" s="21"/>
      <c r="AP71" s="21"/>
      <c r="AQ71" s="21"/>
      <c r="AR71" s="69">
        <v>0</v>
      </c>
      <c r="AS71" s="21"/>
      <c r="AT71" s="21"/>
      <c r="AU71" s="21"/>
      <c r="AV71" s="21"/>
      <c r="AW71" s="21"/>
      <c r="AX71" s="21"/>
      <c r="AY71" s="21"/>
      <c r="AZ71" s="21"/>
      <c r="BA71" s="21"/>
      <c r="BB71" s="69">
        <v>0</v>
      </c>
      <c r="BC71" s="21"/>
      <c r="BD71" s="21"/>
      <c r="BE71" s="21"/>
      <c r="BF71" s="21"/>
      <c r="BG71" s="69">
        <v>0</v>
      </c>
      <c r="BH71" s="21"/>
      <c r="BI71" s="69">
        <v>0</v>
      </c>
      <c r="BJ71" s="21"/>
      <c r="BK71" s="69">
        <v>0</v>
      </c>
      <c r="BL71" s="69">
        <v>0</v>
      </c>
      <c r="BM71" s="21"/>
      <c r="BN71" s="21"/>
      <c r="BO71" s="69">
        <v>0</v>
      </c>
      <c r="BP71" s="21"/>
      <c r="BQ71" s="21"/>
      <c r="BR71" s="21"/>
      <c r="BS71" s="21"/>
      <c r="BT71" s="21"/>
      <c r="BU71" s="21"/>
      <c r="BV71" s="69">
        <v>0</v>
      </c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69">
        <v>0</v>
      </c>
      <c r="DH71" s="21"/>
      <c r="DI71" s="21"/>
      <c r="DJ71" s="69">
        <v>0</v>
      </c>
      <c r="DK71" s="21"/>
      <c r="DL71" s="21"/>
      <c r="DM71" s="69">
        <v>0</v>
      </c>
      <c r="DN71" s="21"/>
      <c r="DO71" s="21"/>
      <c r="DP71" s="21"/>
      <c r="DQ71" s="21"/>
      <c r="DR71" s="21"/>
      <c r="DS71" s="21"/>
      <c r="DT71" s="21"/>
      <c r="DU71" s="21"/>
      <c r="DV71" s="21"/>
      <c r="DW71" s="69">
        <v>0</v>
      </c>
      <c r="DX71" s="21"/>
      <c r="DY71" s="21"/>
      <c r="DZ71" s="21"/>
      <c r="EA71" s="21"/>
      <c r="EB71" s="21"/>
      <c r="EC71" s="21"/>
      <c r="ED71" s="21"/>
      <c r="EE71" s="21"/>
      <c r="EF71" s="21"/>
      <c r="EG71" s="69">
        <v>0</v>
      </c>
      <c r="EH71" s="21"/>
      <c r="EI71" s="21"/>
      <c r="EJ71" s="21"/>
      <c r="EK71" s="21"/>
      <c r="EL71" s="69">
        <v>0</v>
      </c>
      <c r="EM71" s="21"/>
      <c r="EN71" s="69">
        <v>0</v>
      </c>
      <c r="EO71" s="21"/>
      <c r="EP71" s="69">
        <v>3.1045872171839694E-2</v>
      </c>
      <c r="EQ71" s="69">
        <v>0</v>
      </c>
      <c r="ER71" s="21">
        <v>10.24644030316594</v>
      </c>
      <c r="ES71" s="21"/>
      <c r="ET71" s="69">
        <v>0</v>
      </c>
      <c r="EU71" s="21"/>
      <c r="EV71" s="21"/>
      <c r="EW71" s="21"/>
      <c r="EX71" s="21"/>
      <c r="EY71" s="21"/>
      <c r="EZ71" s="21"/>
      <c r="FA71" s="69">
        <v>3.0162654847303836</v>
      </c>
      <c r="FB71" s="21"/>
      <c r="FC71" s="21"/>
      <c r="FD71" s="21"/>
      <c r="FE71" s="21"/>
      <c r="FF71" s="21"/>
      <c r="FG71" s="21">
        <v>0.75861850444332568</v>
      </c>
      <c r="FH71" s="21">
        <v>1.9221698889320005</v>
      </c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>
        <v>0</v>
      </c>
      <c r="GY71" s="21">
        <v>0</v>
      </c>
      <c r="GZ71" s="21"/>
      <c r="HA71" s="21"/>
      <c r="HB71" s="21">
        <f t="shared" si="0"/>
        <v>15.974540053443491</v>
      </c>
    </row>
    <row r="72" spans="1:210" x14ac:dyDescent="0.75">
      <c r="A72" s="67" t="s">
        <v>313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69">
        <v>0</v>
      </c>
      <c r="AD72" s="21"/>
      <c r="AE72" s="21"/>
      <c r="AF72" s="69">
        <v>0</v>
      </c>
      <c r="AG72" s="21"/>
      <c r="AH72" s="21"/>
      <c r="AI72" s="69">
        <v>0</v>
      </c>
      <c r="AJ72" s="21"/>
      <c r="AK72" s="21"/>
      <c r="AL72" s="21"/>
      <c r="AM72" s="21"/>
      <c r="AN72" s="21"/>
      <c r="AO72" s="21"/>
      <c r="AP72" s="21"/>
      <c r="AQ72" s="21"/>
      <c r="AR72" s="69">
        <v>0</v>
      </c>
      <c r="AS72" s="21"/>
      <c r="AT72" s="21"/>
      <c r="AU72" s="21"/>
      <c r="AV72" s="21"/>
      <c r="AW72" s="21"/>
      <c r="AX72" s="21"/>
      <c r="AY72" s="21"/>
      <c r="AZ72" s="21"/>
      <c r="BA72" s="21"/>
      <c r="BB72" s="69">
        <v>0</v>
      </c>
      <c r="BC72" s="21"/>
      <c r="BD72" s="21"/>
      <c r="BE72" s="21"/>
      <c r="BF72" s="21"/>
      <c r="BG72" s="69">
        <v>0</v>
      </c>
      <c r="BH72" s="21"/>
      <c r="BI72" s="69">
        <v>0</v>
      </c>
      <c r="BJ72" s="21"/>
      <c r="BK72" s="69">
        <v>0</v>
      </c>
      <c r="BL72" s="69">
        <v>0</v>
      </c>
      <c r="BM72" s="21"/>
      <c r="BN72" s="21"/>
      <c r="BO72" s="69">
        <v>0</v>
      </c>
      <c r="BP72" s="21"/>
      <c r="BQ72" s="21"/>
      <c r="BR72" s="21"/>
      <c r="BS72" s="21"/>
      <c r="BT72" s="21"/>
      <c r="BU72" s="21"/>
      <c r="BV72" s="69">
        <v>0</v>
      </c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69">
        <v>0</v>
      </c>
      <c r="DH72" s="21"/>
      <c r="DI72" s="21"/>
      <c r="DJ72" s="69">
        <v>0</v>
      </c>
      <c r="DK72" s="21"/>
      <c r="DL72" s="21"/>
      <c r="DM72" s="69">
        <v>0</v>
      </c>
      <c r="DN72" s="21"/>
      <c r="DO72" s="21"/>
      <c r="DP72" s="21"/>
      <c r="DQ72" s="21"/>
      <c r="DR72" s="21"/>
      <c r="DS72" s="21"/>
      <c r="DT72" s="21">
        <v>1.488777450511499</v>
      </c>
      <c r="DU72" s="21"/>
      <c r="DV72" s="21"/>
      <c r="DW72" s="69">
        <v>0</v>
      </c>
      <c r="DX72" s="21"/>
      <c r="DY72" s="21"/>
      <c r="DZ72" s="21"/>
      <c r="EA72" s="21"/>
      <c r="EB72" s="21"/>
      <c r="EC72" s="21"/>
      <c r="ED72" s="21"/>
      <c r="EE72" s="21"/>
      <c r="EF72" s="21"/>
      <c r="EG72" s="69">
        <v>0</v>
      </c>
      <c r="EH72" s="21"/>
      <c r="EI72" s="21"/>
      <c r="EJ72" s="21"/>
      <c r="EK72" s="21">
        <v>7.4088380086375416E-2</v>
      </c>
      <c r="EL72" s="69">
        <v>0</v>
      </c>
      <c r="EM72" s="21"/>
      <c r="EN72" s="69">
        <v>0</v>
      </c>
      <c r="EO72" s="21">
        <v>1.3428046348846472</v>
      </c>
      <c r="EP72" s="69">
        <v>2.6147252063127957</v>
      </c>
      <c r="EQ72" s="69">
        <v>0</v>
      </c>
      <c r="ER72" s="21"/>
      <c r="ES72" s="21">
        <v>502.94457920645368</v>
      </c>
      <c r="ET72" s="69">
        <v>0</v>
      </c>
      <c r="EU72" s="21">
        <v>3.3090809736879667E-2</v>
      </c>
      <c r="EV72" s="21"/>
      <c r="EW72" s="21"/>
      <c r="EX72" s="21"/>
      <c r="EY72" s="21"/>
      <c r="EZ72" s="21">
        <v>3.3884237446410332</v>
      </c>
      <c r="FA72" s="69">
        <v>1.3779356937162865</v>
      </c>
      <c r="FB72" s="21"/>
      <c r="FC72" s="21"/>
      <c r="FD72" s="21">
        <v>1.6297511281384066E-3</v>
      </c>
      <c r="FE72" s="21"/>
      <c r="FF72" s="21"/>
      <c r="FG72" s="21">
        <v>0.22667536258909635</v>
      </c>
      <c r="FH72" s="21">
        <v>0.38880157738381849</v>
      </c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>
        <v>0</v>
      </c>
      <c r="GY72" s="21">
        <v>0</v>
      </c>
      <c r="GZ72" s="21"/>
      <c r="HA72" s="21"/>
      <c r="HB72" s="21">
        <f t="shared" ref="HB72:HB135" si="1">SUM(B72:HA72)</f>
        <v>513.88153181744417</v>
      </c>
    </row>
    <row r="73" spans="1:210" x14ac:dyDescent="0.75">
      <c r="A73" s="68" t="s">
        <v>314</v>
      </c>
      <c r="B73" s="69">
        <v>0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69">
        <v>0</v>
      </c>
      <c r="O73" s="69">
        <v>0</v>
      </c>
      <c r="P73" s="69">
        <v>0</v>
      </c>
      <c r="Q73" s="69">
        <v>0</v>
      </c>
      <c r="R73" s="69">
        <v>0</v>
      </c>
      <c r="S73" s="69">
        <v>0</v>
      </c>
      <c r="T73" s="69">
        <v>0</v>
      </c>
      <c r="U73" s="69">
        <v>0</v>
      </c>
      <c r="V73" s="69">
        <v>0</v>
      </c>
      <c r="W73" s="69">
        <v>0</v>
      </c>
      <c r="X73" s="69">
        <v>0</v>
      </c>
      <c r="Y73" s="69">
        <v>0</v>
      </c>
      <c r="Z73" s="69">
        <v>0</v>
      </c>
      <c r="AA73" s="69">
        <v>0</v>
      </c>
      <c r="AB73" s="69">
        <v>0</v>
      </c>
      <c r="AC73" s="69">
        <v>0</v>
      </c>
      <c r="AD73" s="69">
        <v>0</v>
      </c>
      <c r="AE73" s="69">
        <v>0</v>
      </c>
      <c r="AF73" s="69">
        <v>0</v>
      </c>
      <c r="AG73" s="69">
        <v>0</v>
      </c>
      <c r="AH73" s="69">
        <v>0</v>
      </c>
      <c r="AI73" s="69">
        <v>0</v>
      </c>
      <c r="AJ73" s="69">
        <v>0</v>
      </c>
      <c r="AK73" s="69">
        <v>0</v>
      </c>
      <c r="AL73" s="69">
        <v>0</v>
      </c>
      <c r="AM73" s="69">
        <v>0</v>
      </c>
      <c r="AN73" s="69">
        <v>0</v>
      </c>
      <c r="AO73" s="69">
        <v>0</v>
      </c>
      <c r="AP73" s="69">
        <v>0</v>
      </c>
      <c r="AQ73" s="69">
        <v>0</v>
      </c>
      <c r="AR73" s="69">
        <v>0</v>
      </c>
      <c r="AS73" s="69">
        <v>0</v>
      </c>
      <c r="AT73" s="69">
        <v>0</v>
      </c>
      <c r="AU73" s="69">
        <v>0</v>
      </c>
      <c r="AV73" s="69">
        <v>0</v>
      </c>
      <c r="AW73" s="69">
        <v>0</v>
      </c>
      <c r="AX73" s="69">
        <v>0</v>
      </c>
      <c r="AY73" s="69">
        <v>0</v>
      </c>
      <c r="AZ73" s="69">
        <v>0</v>
      </c>
      <c r="BA73" s="69">
        <v>0</v>
      </c>
      <c r="BB73" s="69">
        <v>0</v>
      </c>
      <c r="BC73" s="69">
        <v>0</v>
      </c>
      <c r="BD73" s="69">
        <v>0</v>
      </c>
      <c r="BE73" s="69">
        <v>0</v>
      </c>
      <c r="BF73" s="69">
        <v>0</v>
      </c>
      <c r="BG73" s="69">
        <v>0</v>
      </c>
      <c r="BH73" s="69">
        <v>0</v>
      </c>
      <c r="BI73" s="69">
        <v>0</v>
      </c>
      <c r="BJ73" s="69">
        <v>0</v>
      </c>
      <c r="BK73" s="69">
        <v>0</v>
      </c>
      <c r="BL73" s="69">
        <v>0</v>
      </c>
      <c r="BM73" s="69">
        <v>0</v>
      </c>
      <c r="BN73" s="69">
        <v>0</v>
      </c>
      <c r="BO73" s="69">
        <v>0</v>
      </c>
      <c r="BP73" s="69">
        <v>0</v>
      </c>
      <c r="BQ73" s="69">
        <v>0</v>
      </c>
      <c r="BR73" s="69">
        <v>0</v>
      </c>
      <c r="BS73" s="69">
        <v>0</v>
      </c>
      <c r="BT73" s="69">
        <v>0</v>
      </c>
      <c r="BU73" s="69">
        <v>0</v>
      </c>
      <c r="BV73" s="69">
        <v>0</v>
      </c>
      <c r="BW73" s="69">
        <v>0</v>
      </c>
      <c r="BX73" s="69">
        <v>0</v>
      </c>
      <c r="BY73" s="69">
        <v>0</v>
      </c>
      <c r="BZ73" s="69">
        <v>0</v>
      </c>
      <c r="CA73" s="69">
        <v>0</v>
      </c>
      <c r="CB73" s="69">
        <v>0</v>
      </c>
      <c r="CC73" s="69">
        <v>0</v>
      </c>
      <c r="CD73" s="69">
        <v>0</v>
      </c>
      <c r="CE73" s="69">
        <v>0</v>
      </c>
      <c r="CF73" s="69">
        <v>0</v>
      </c>
      <c r="CG73" s="69">
        <v>0</v>
      </c>
      <c r="CH73" s="69">
        <v>0</v>
      </c>
      <c r="CI73" s="69">
        <v>0</v>
      </c>
      <c r="CJ73" s="69">
        <v>0</v>
      </c>
      <c r="CK73" s="69">
        <v>0</v>
      </c>
      <c r="CL73" s="69">
        <v>0</v>
      </c>
      <c r="CM73" s="69">
        <v>0</v>
      </c>
      <c r="CN73" s="69">
        <v>0</v>
      </c>
      <c r="CO73" s="69">
        <v>0</v>
      </c>
      <c r="CP73" s="69">
        <v>0</v>
      </c>
      <c r="CQ73" s="69">
        <v>0</v>
      </c>
      <c r="CR73" s="69">
        <v>0</v>
      </c>
      <c r="CS73" s="69">
        <v>0</v>
      </c>
      <c r="CT73" s="69">
        <v>0</v>
      </c>
      <c r="CU73" s="69">
        <v>0</v>
      </c>
      <c r="CV73" s="69">
        <v>0</v>
      </c>
      <c r="CW73" s="69">
        <v>0</v>
      </c>
      <c r="CX73" s="69">
        <v>0</v>
      </c>
      <c r="CY73" s="69">
        <v>0</v>
      </c>
      <c r="CZ73" s="69">
        <v>0</v>
      </c>
      <c r="DA73" s="69">
        <v>0</v>
      </c>
      <c r="DB73" s="69">
        <v>0</v>
      </c>
      <c r="DC73" s="69">
        <v>0</v>
      </c>
      <c r="DD73" s="69">
        <v>0</v>
      </c>
      <c r="DE73" s="69">
        <v>0</v>
      </c>
      <c r="DF73" s="69">
        <v>0</v>
      </c>
      <c r="DG73" s="69">
        <v>0</v>
      </c>
      <c r="DH73" s="69">
        <v>0</v>
      </c>
      <c r="DI73" s="69">
        <v>0</v>
      </c>
      <c r="DJ73" s="69">
        <v>0</v>
      </c>
      <c r="DK73" s="69">
        <v>0</v>
      </c>
      <c r="DL73" s="69">
        <v>0</v>
      </c>
      <c r="DM73" s="69">
        <v>0</v>
      </c>
      <c r="DN73" s="69">
        <v>0</v>
      </c>
      <c r="DO73" s="69">
        <v>0</v>
      </c>
      <c r="DP73" s="69">
        <v>0</v>
      </c>
      <c r="DQ73" s="69">
        <v>0</v>
      </c>
      <c r="DR73" s="69">
        <v>0</v>
      </c>
      <c r="DS73" s="69">
        <v>0</v>
      </c>
      <c r="DT73" s="69">
        <v>0</v>
      </c>
      <c r="DU73" s="69">
        <v>0</v>
      </c>
      <c r="DV73" s="69">
        <v>0</v>
      </c>
      <c r="DW73" s="69">
        <v>0</v>
      </c>
      <c r="DX73" s="69">
        <v>0</v>
      </c>
      <c r="DY73" s="69">
        <v>0</v>
      </c>
      <c r="DZ73" s="69">
        <v>0</v>
      </c>
      <c r="EA73" s="69">
        <v>0.51480650752441248</v>
      </c>
      <c r="EB73" s="69">
        <v>0</v>
      </c>
      <c r="EC73" s="69">
        <v>0</v>
      </c>
      <c r="ED73" s="69">
        <v>0</v>
      </c>
      <c r="EE73" s="69">
        <v>0</v>
      </c>
      <c r="EF73" s="69">
        <v>0</v>
      </c>
      <c r="EG73" s="69">
        <v>0</v>
      </c>
      <c r="EH73" s="69">
        <v>0</v>
      </c>
      <c r="EI73" s="69">
        <v>0</v>
      </c>
      <c r="EJ73" s="69">
        <v>0</v>
      </c>
      <c r="EK73" s="69">
        <v>0</v>
      </c>
      <c r="EL73" s="69">
        <v>0</v>
      </c>
      <c r="EM73" s="69">
        <v>0</v>
      </c>
      <c r="EN73" s="69">
        <v>0</v>
      </c>
      <c r="EO73" s="69">
        <v>0</v>
      </c>
      <c r="EP73" s="69">
        <v>0</v>
      </c>
      <c r="EQ73" s="69">
        <v>0</v>
      </c>
      <c r="ER73" s="69">
        <v>0</v>
      </c>
      <c r="ES73" s="69">
        <v>0</v>
      </c>
      <c r="ET73" s="69">
        <v>155.32112799989687</v>
      </c>
      <c r="EU73" s="69">
        <v>12.051361475765683</v>
      </c>
      <c r="EV73" s="69">
        <v>0</v>
      </c>
      <c r="EW73" s="69">
        <v>0</v>
      </c>
      <c r="EX73" s="69">
        <v>22.599982840725566</v>
      </c>
      <c r="EY73" s="69">
        <v>0</v>
      </c>
      <c r="EZ73" s="69">
        <v>3.8786753929683933</v>
      </c>
      <c r="FA73" s="69">
        <v>9.0441888388501379</v>
      </c>
      <c r="FB73" s="69">
        <v>0</v>
      </c>
      <c r="FC73" s="69">
        <v>0</v>
      </c>
      <c r="FD73" s="69">
        <v>0</v>
      </c>
      <c r="FE73" s="69">
        <v>0</v>
      </c>
      <c r="FF73" s="69">
        <v>0</v>
      </c>
      <c r="FG73" s="69">
        <v>8.9280115298520393</v>
      </c>
      <c r="FH73" s="69">
        <v>8.9778033606055949</v>
      </c>
      <c r="FI73" s="69">
        <v>0</v>
      </c>
      <c r="FJ73" s="69">
        <v>0</v>
      </c>
      <c r="FK73" s="69">
        <v>0</v>
      </c>
      <c r="FL73" s="69">
        <v>0</v>
      </c>
      <c r="FM73" s="69">
        <v>0</v>
      </c>
      <c r="FN73" s="69">
        <v>0</v>
      </c>
      <c r="FO73" s="69">
        <v>0</v>
      </c>
      <c r="FP73" s="69">
        <v>0</v>
      </c>
      <c r="FQ73" s="69">
        <v>0</v>
      </c>
      <c r="FR73" s="69">
        <v>0</v>
      </c>
      <c r="FS73" s="69">
        <v>0</v>
      </c>
      <c r="FT73" s="69">
        <v>0</v>
      </c>
      <c r="FU73" s="69">
        <v>0</v>
      </c>
      <c r="FV73" s="69">
        <v>0</v>
      </c>
      <c r="FW73" s="69">
        <v>0</v>
      </c>
      <c r="FX73" s="69">
        <v>0</v>
      </c>
      <c r="FY73" s="69">
        <v>0</v>
      </c>
      <c r="FZ73" s="69">
        <v>0</v>
      </c>
      <c r="GA73" s="69">
        <v>0</v>
      </c>
      <c r="GB73" s="69">
        <v>0</v>
      </c>
      <c r="GC73" s="69">
        <v>0</v>
      </c>
      <c r="GD73" s="69">
        <v>0</v>
      </c>
      <c r="GE73" s="69">
        <v>0</v>
      </c>
      <c r="GF73" s="69">
        <v>0</v>
      </c>
      <c r="GG73" s="69">
        <v>0</v>
      </c>
      <c r="GH73" s="69">
        <v>0</v>
      </c>
      <c r="GI73" s="69">
        <v>0</v>
      </c>
      <c r="GJ73" s="69">
        <v>0</v>
      </c>
      <c r="GK73" s="69">
        <v>0</v>
      </c>
      <c r="GL73" s="69">
        <v>0</v>
      </c>
      <c r="GM73" s="69">
        <v>0</v>
      </c>
      <c r="GN73" s="69">
        <v>0</v>
      </c>
      <c r="GO73" s="69">
        <v>0</v>
      </c>
      <c r="GP73" s="69">
        <v>0</v>
      </c>
      <c r="GQ73" s="69">
        <v>0</v>
      </c>
      <c r="GR73" s="69">
        <v>0</v>
      </c>
      <c r="GS73" s="69">
        <v>0</v>
      </c>
      <c r="GT73" s="69">
        <v>0</v>
      </c>
      <c r="GU73" s="69">
        <v>0</v>
      </c>
      <c r="GV73" s="69">
        <v>0</v>
      </c>
      <c r="GW73" s="69">
        <v>0</v>
      </c>
      <c r="GX73" s="21">
        <v>0</v>
      </c>
      <c r="GY73" s="21">
        <v>0</v>
      </c>
      <c r="GZ73" s="69">
        <v>0</v>
      </c>
      <c r="HA73" s="69">
        <v>0</v>
      </c>
      <c r="HB73" s="21">
        <f t="shared" si="1"/>
        <v>221.31595794618872</v>
      </c>
    </row>
    <row r="74" spans="1:210" x14ac:dyDescent="0.75">
      <c r="A74" s="67" t="s">
        <v>712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69">
        <v>0</v>
      </c>
      <c r="AD74" s="21"/>
      <c r="AE74" s="21"/>
      <c r="AF74" s="69">
        <v>0</v>
      </c>
      <c r="AG74" s="21"/>
      <c r="AH74" s="21"/>
      <c r="AI74" s="69">
        <v>0</v>
      </c>
      <c r="AJ74" s="21"/>
      <c r="AK74" s="21"/>
      <c r="AL74" s="21"/>
      <c r="AM74" s="21"/>
      <c r="AN74" s="21"/>
      <c r="AO74" s="21"/>
      <c r="AP74" s="21"/>
      <c r="AQ74" s="21"/>
      <c r="AR74" s="69">
        <v>0</v>
      </c>
      <c r="AS74" s="21"/>
      <c r="AT74" s="21"/>
      <c r="AU74" s="21"/>
      <c r="AV74" s="21"/>
      <c r="AW74" s="21"/>
      <c r="AX74" s="21"/>
      <c r="AY74" s="21"/>
      <c r="AZ74" s="21"/>
      <c r="BA74" s="21"/>
      <c r="BB74" s="69">
        <v>0</v>
      </c>
      <c r="BC74" s="21"/>
      <c r="BD74" s="21"/>
      <c r="BE74" s="21"/>
      <c r="BF74" s="21"/>
      <c r="BG74" s="69">
        <v>0</v>
      </c>
      <c r="BH74" s="21"/>
      <c r="BI74" s="69">
        <v>0</v>
      </c>
      <c r="BJ74" s="21"/>
      <c r="BK74" s="69">
        <v>0</v>
      </c>
      <c r="BL74" s="69">
        <v>0</v>
      </c>
      <c r="BM74" s="21"/>
      <c r="BN74" s="21"/>
      <c r="BO74" s="69">
        <v>0</v>
      </c>
      <c r="BP74" s="21"/>
      <c r="BQ74" s="21"/>
      <c r="BR74" s="21"/>
      <c r="BS74" s="21"/>
      <c r="BT74" s="21"/>
      <c r="BU74" s="21"/>
      <c r="BV74" s="69">
        <v>0</v>
      </c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69">
        <v>0</v>
      </c>
      <c r="DH74" s="21"/>
      <c r="DI74" s="21"/>
      <c r="DJ74" s="69">
        <v>0</v>
      </c>
      <c r="DK74" s="21"/>
      <c r="DL74" s="21"/>
      <c r="DM74" s="69">
        <v>0</v>
      </c>
      <c r="DN74" s="21"/>
      <c r="DO74" s="21"/>
      <c r="DP74" s="21"/>
      <c r="DQ74" s="21"/>
      <c r="DR74" s="21"/>
      <c r="DS74" s="21"/>
      <c r="DT74" s="21"/>
      <c r="DU74" s="21"/>
      <c r="DV74" s="21"/>
      <c r="DW74" s="69">
        <v>0</v>
      </c>
      <c r="DX74" s="21"/>
      <c r="DY74" s="21"/>
      <c r="DZ74" s="21"/>
      <c r="EA74" s="21"/>
      <c r="EB74" s="21"/>
      <c r="EC74" s="21"/>
      <c r="ED74" s="21"/>
      <c r="EE74" s="21"/>
      <c r="EF74" s="21"/>
      <c r="EG74" s="69">
        <v>0</v>
      </c>
      <c r="EH74" s="21"/>
      <c r="EI74" s="21"/>
      <c r="EJ74" s="21"/>
      <c r="EK74" s="21"/>
      <c r="EL74" s="69">
        <v>0</v>
      </c>
      <c r="EM74" s="21"/>
      <c r="EN74" s="69">
        <v>0</v>
      </c>
      <c r="EO74" s="21"/>
      <c r="EP74" s="69">
        <v>0</v>
      </c>
      <c r="EQ74" s="69">
        <v>0</v>
      </c>
      <c r="ER74" s="21"/>
      <c r="ES74" s="21"/>
      <c r="ET74" s="69">
        <v>0</v>
      </c>
      <c r="EU74" s="21">
        <v>14.082543460498343</v>
      </c>
      <c r="EV74" s="21"/>
      <c r="EW74" s="21"/>
      <c r="EX74" s="21"/>
      <c r="EY74" s="21"/>
      <c r="EZ74" s="21"/>
      <c r="FA74" s="69">
        <v>7.987831528856792</v>
      </c>
      <c r="FB74" s="21"/>
      <c r="FC74" s="21"/>
      <c r="FD74" s="21"/>
      <c r="FE74" s="21"/>
      <c r="FF74" s="21"/>
      <c r="FG74" s="21">
        <v>6.5436085813051479</v>
      </c>
      <c r="FH74" s="21">
        <v>8.6791450442426967</v>
      </c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>
        <v>0</v>
      </c>
      <c r="GY74" s="21">
        <v>0</v>
      </c>
      <c r="GZ74" s="21"/>
      <c r="HA74" s="21"/>
      <c r="HB74" s="21">
        <f t="shared" si="1"/>
        <v>37.293128614902976</v>
      </c>
    </row>
    <row r="75" spans="1:210" x14ac:dyDescent="0.75">
      <c r="A75" s="67" t="s">
        <v>713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69">
        <v>0</v>
      </c>
      <c r="AD75" s="21"/>
      <c r="AE75" s="21"/>
      <c r="AF75" s="69">
        <v>0</v>
      </c>
      <c r="AG75" s="21"/>
      <c r="AH75" s="21"/>
      <c r="AI75" s="69">
        <v>0</v>
      </c>
      <c r="AJ75" s="21"/>
      <c r="AK75" s="21"/>
      <c r="AL75" s="21"/>
      <c r="AM75" s="21"/>
      <c r="AN75" s="21"/>
      <c r="AO75" s="21"/>
      <c r="AP75" s="21"/>
      <c r="AQ75" s="21"/>
      <c r="AR75" s="69">
        <v>0</v>
      </c>
      <c r="AS75" s="21"/>
      <c r="AT75" s="21"/>
      <c r="AU75" s="21"/>
      <c r="AV75" s="21"/>
      <c r="AW75" s="21"/>
      <c r="AX75" s="21"/>
      <c r="AY75" s="21"/>
      <c r="AZ75" s="21"/>
      <c r="BA75" s="21"/>
      <c r="BB75" s="69">
        <v>0</v>
      </c>
      <c r="BC75" s="21"/>
      <c r="BD75" s="21"/>
      <c r="BE75" s="21"/>
      <c r="BF75" s="21"/>
      <c r="BG75" s="69">
        <v>0</v>
      </c>
      <c r="BH75" s="21"/>
      <c r="BI75" s="69">
        <v>0</v>
      </c>
      <c r="BJ75" s="21"/>
      <c r="BK75" s="69">
        <v>0</v>
      </c>
      <c r="BL75" s="69">
        <v>0</v>
      </c>
      <c r="BM75" s="21"/>
      <c r="BN75" s="21"/>
      <c r="BO75" s="69">
        <v>0</v>
      </c>
      <c r="BP75" s="21"/>
      <c r="BQ75" s="21"/>
      <c r="BR75" s="21"/>
      <c r="BS75" s="21"/>
      <c r="BT75" s="21"/>
      <c r="BU75" s="21"/>
      <c r="BV75" s="69">
        <v>0</v>
      </c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69">
        <v>0</v>
      </c>
      <c r="DH75" s="21"/>
      <c r="DI75" s="21"/>
      <c r="DJ75" s="69">
        <v>0</v>
      </c>
      <c r="DK75" s="21"/>
      <c r="DL75" s="21"/>
      <c r="DM75" s="69">
        <v>0</v>
      </c>
      <c r="DN75" s="21"/>
      <c r="DO75" s="21"/>
      <c r="DP75" s="21"/>
      <c r="DQ75" s="21"/>
      <c r="DR75" s="21"/>
      <c r="DS75" s="21"/>
      <c r="DT75" s="21"/>
      <c r="DU75" s="21"/>
      <c r="DV75" s="21"/>
      <c r="DW75" s="69">
        <v>0</v>
      </c>
      <c r="DX75" s="21"/>
      <c r="DY75" s="21"/>
      <c r="DZ75" s="21"/>
      <c r="EA75" s="21"/>
      <c r="EB75" s="21"/>
      <c r="EC75" s="21"/>
      <c r="ED75" s="21"/>
      <c r="EE75" s="21"/>
      <c r="EF75" s="21"/>
      <c r="EG75" s="69">
        <v>0</v>
      </c>
      <c r="EH75" s="21"/>
      <c r="EI75" s="21"/>
      <c r="EJ75" s="21"/>
      <c r="EK75" s="21"/>
      <c r="EL75" s="69">
        <v>0</v>
      </c>
      <c r="EM75" s="21"/>
      <c r="EN75" s="69">
        <v>0</v>
      </c>
      <c r="EO75" s="21"/>
      <c r="EP75" s="69">
        <v>0</v>
      </c>
      <c r="EQ75" s="69">
        <v>0</v>
      </c>
      <c r="ER75" s="21"/>
      <c r="ES75" s="21"/>
      <c r="ET75" s="69">
        <v>0</v>
      </c>
      <c r="EU75" s="21"/>
      <c r="EV75" s="21">
        <v>115.83920325053096</v>
      </c>
      <c r="EW75" s="21"/>
      <c r="EX75" s="21"/>
      <c r="EY75" s="21"/>
      <c r="EZ75" s="21"/>
      <c r="FA75" s="69">
        <v>0</v>
      </c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>
        <v>0</v>
      </c>
      <c r="GY75" s="21">
        <v>0</v>
      </c>
      <c r="GZ75" s="21"/>
      <c r="HA75" s="21"/>
      <c r="HB75" s="21">
        <f t="shared" si="1"/>
        <v>115.83920325053096</v>
      </c>
    </row>
    <row r="76" spans="1:210" x14ac:dyDescent="0.75">
      <c r="A76" s="67" t="s">
        <v>714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69">
        <v>0</v>
      </c>
      <c r="AD76" s="21"/>
      <c r="AE76" s="21"/>
      <c r="AF76" s="69">
        <v>0</v>
      </c>
      <c r="AG76" s="21"/>
      <c r="AH76" s="21"/>
      <c r="AI76" s="69">
        <v>0</v>
      </c>
      <c r="AJ76" s="21"/>
      <c r="AK76" s="21"/>
      <c r="AL76" s="21"/>
      <c r="AM76" s="21"/>
      <c r="AN76" s="21"/>
      <c r="AO76" s="21"/>
      <c r="AP76" s="21"/>
      <c r="AQ76" s="21"/>
      <c r="AR76" s="69">
        <v>0</v>
      </c>
      <c r="AS76" s="21"/>
      <c r="AT76" s="21"/>
      <c r="AU76" s="21"/>
      <c r="AV76" s="21"/>
      <c r="AW76" s="21"/>
      <c r="AX76" s="21"/>
      <c r="AY76" s="21"/>
      <c r="AZ76" s="21"/>
      <c r="BA76" s="21"/>
      <c r="BB76" s="69">
        <v>0</v>
      </c>
      <c r="BC76" s="21"/>
      <c r="BD76" s="21"/>
      <c r="BE76" s="21"/>
      <c r="BF76" s="21"/>
      <c r="BG76" s="69">
        <v>0</v>
      </c>
      <c r="BH76" s="21"/>
      <c r="BI76" s="69">
        <v>0</v>
      </c>
      <c r="BJ76" s="21"/>
      <c r="BK76" s="69">
        <v>0</v>
      </c>
      <c r="BL76" s="69">
        <v>0</v>
      </c>
      <c r="BM76" s="21"/>
      <c r="BN76" s="21"/>
      <c r="BO76" s="69">
        <v>0</v>
      </c>
      <c r="BP76" s="21"/>
      <c r="BQ76" s="21"/>
      <c r="BR76" s="21"/>
      <c r="BS76" s="21"/>
      <c r="BT76" s="21"/>
      <c r="BU76" s="21"/>
      <c r="BV76" s="69">
        <v>0</v>
      </c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69">
        <v>0</v>
      </c>
      <c r="DH76" s="21"/>
      <c r="DI76" s="21"/>
      <c r="DJ76" s="69">
        <v>0</v>
      </c>
      <c r="DK76" s="21"/>
      <c r="DL76" s="21"/>
      <c r="DM76" s="69">
        <v>0</v>
      </c>
      <c r="DN76" s="21"/>
      <c r="DO76" s="21"/>
      <c r="DP76" s="21"/>
      <c r="DQ76" s="21"/>
      <c r="DR76" s="21"/>
      <c r="DS76" s="21"/>
      <c r="DT76" s="21"/>
      <c r="DU76" s="21"/>
      <c r="DV76" s="21"/>
      <c r="DW76" s="69">
        <v>0</v>
      </c>
      <c r="DX76" s="21"/>
      <c r="DY76" s="21"/>
      <c r="DZ76" s="21"/>
      <c r="EA76" s="21"/>
      <c r="EB76" s="21"/>
      <c r="EC76" s="21"/>
      <c r="ED76" s="21"/>
      <c r="EE76" s="21"/>
      <c r="EF76" s="21"/>
      <c r="EG76" s="69">
        <v>0</v>
      </c>
      <c r="EH76" s="21"/>
      <c r="EI76" s="21"/>
      <c r="EJ76" s="21"/>
      <c r="EK76" s="21"/>
      <c r="EL76" s="69">
        <v>0</v>
      </c>
      <c r="EM76" s="21"/>
      <c r="EN76" s="69">
        <v>0</v>
      </c>
      <c r="EO76" s="21"/>
      <c r="EP76" s="69">
        <v>0</v>
      </c>
      <c r="EQ76" s="69">
        <v>0</v>
      </c>
      <c r="ER76" s="21"/>
      <c r="ES76" s="21"/>
      <c r="ET76" s="69">
        <v>0</v>
      </c>
      <c r="EU76" s="21"/>
      <c r="EV76" s="21"/>
      <c r="EW76" s="21">
        <v>48.713410552473896</v>
      </c>
      <c r="EX76" s="21"/>
      <c r="EY76" s="21"/>
      <c r="EZ76" s="21"/>
      <c r="FA76" s="69">
        <v>0</v>
      </c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>
        <v>0</v>
      </c>
      <c r="GY76" s="21">
        <v>0</v>
      </c>
      <c r="GZ76" s="21"/>
      <c r="HA76" s="21"/>
      <c r="HB76" s="21">
        <f t="shared" si="1"/>
        <v>48.713410552473896</v>
      </c>
    </row>
    <row r="77" spans="1:210" x14ac:dyDescent="0.75">
      <c r="A77" s="67" t="s">
        <v>715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69">
        <v>0</v>
      </c>
      <c r="AD77" s="21"/>
      <c r="AE77" s="21"/>
      <c r="AF77" s="69">
        <v>0</v>
      </c>
      <c r="AG77" s="21"/>
      <c r="AH77" s="21"/>
      <c r="AI77" s="69">
        <v>0</v>
      </c>
      <c r="AJ77" s="21"/>
      <c r="AK77" s="21"/>
      <c r="AL77" s="21"/>
      <c r="AM77" s="21"/>
      <c r="AN77" s="21"/>
      <c r="AO77" s="21"/>
      <c r="AP77" s="21"/>
      <c r="AQ77" s="21"/>
      <c r="AR77" s="69">
        <v>0</v>
      </c>
      <c r="AS77" s="21"/>
      <c r="AT77" s="21"/>
      <c r="AU77" s="21"/>
      <c r="AV77" s="21"/>
      <c r="AW77" s="21"/>
      <c r="AX77" s="21"/>
      <c r="AY77" s="21"/>
      <c r="AZ77" s="21"/>
      <c r="BA77" s="21"/>
      <c r="BB77" s="69">
        <v>0</v>
      </c>
      <c r="BC77" s="21"/>
      <c r="BD77" s="21"/>
      <c r="BE77" s="21"/>
      <c r="BF77" s="21"/>
      <c r="BG77" s="69">
        <v>0</v>
      </c>
      <c r="BH77" s="21"/>
      <c r="BI77" s="69">
        <v>0</v>
      </c>
      <c r="BJ77" s="21"/>
      <c r="BK77" s="69">
        <v>0</v>
      </c>
      <c r="BL77" s="69">
        <v>0</v>
      </c>
      <c r="BM77" s="21"/>
      <c r="BN77" s="21"/>
      <c r="BO77" s="69">
        <v>0</v>
      </c>
      <c r="BP77" s="21"/>
      <c r="BQ77" s="21"/>
      <c r="BR77" s="21"/>
      <c r="BS77" s="21"/>
      <c r="BT77" s="21"/>
      <c r="BU77" s="21"/>
      <c r="BV77" s="69">
        <v>0</v>
      </c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69">
        <v>0</v>
      </c>
      <c r="DH77" s="21"/>
      <c r="DI77" s="21"/>
      <c r="DJ77" s="69">
        <v>0</v>
      </c>
      <c r="DK77" s="21"/>
      <c r="DL77" s="21"/>
      <c r="DM77" s="69">
        <v>0</v>
      </c>
      <c r="DN77" s="21"/>
      <c r="DO77" s="21"/>
      <c r="DP77" s="21"/>
      <c r="DQ77" s="21"/>
      <c r="DR77" s="21"/>
      <c r="DS77" s="21"/>
      <c r="DT77" s="21"/>
      <c r="DU77" s="21"/>
      <c r="DV77" s="21"/>
      <c r="DW77" s="69">
        <v>0</v>
      </c>
      <c r="DX77" s="21"/>
      <c r="DY77" s="21"/>
      <c r="DZ77" s="21"/>
      <c r="EA77" s="21"/>
      <c r="EB77" s="21"/>
      <c r="EC77" s="21"/>
      <c r="ED77" s="21"/>
      <c r="EE77" s="21"/>
      <c r="EF77" s="21"/>
      <c r="EG77" s="69">
        <v>0</v>
      </c>
      <c r="EH77" s="21"/>
      <c r="EI77" s="21"/>
      <c r="EJ77" s="21"/>
      <c r="EK77" s="21"/>
      <c r="EL77" s="69">
        <v>0</v>
      </c>
      <c r="EM77" s="21"/>
      <c r="EN77" s="69">
        <v>0</v>
      </c>
      <c r="EO77" s="21"/>
      <c r="EP77" s="69">
        <v>9.4628025382778489</v>
      </c>
      <c r="EQ77" s="69">
        <v>0</v>
      </c>
      <c r="ER77" s="21"/>
      <c r="ES77" s="21"/>
      <c r="ET77" s="69">
        <v>0</v>
      </c>
      <c r="EU77" s="21"/>
      <c r="EV77" s="21"/>
      <c r="EW77" s="21"/>
      <c r="EX77" s="21">
        <v>132.7379692533911</v>
      </c>
      <c r="EY77" s="21"/>
      <c r="EZ77" s="21"/>
      <c r="FA77" s="69">
        <v>0</v>
      </c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>
        <v>0</v>
      </c>
      <c r="GY77" s="21">
        <v>0</v>
      </c>
      <c r="GZ77" s="21"/>
      <c r="HA77" s="21"/>
      <c r="HB77" s="21">
        <f t="shared" si="1"/>
        <v>142.20077179166896</v>
      </c>
    </row>
    <row r="78" spans="1:210" x14ac:dyDescent="0.75">
      <c r="A78" s="67" t="s">
        <v>716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69">
        <v>0</v>
      </c>
      <c r="AD78" s="21"/>
      <c r="AE78" s="21"/>
      <c r="AF78" s="69">
        <v>0</v>
      </c>
      <c r="AG78" s="21"/>
      <c r="AH78" s="21"/>
      <c r="AI78" s="69">
        <v>0</v>
      </c>
      <c r="AJ78" s="21"/>
      <c r="AK78" s="21"/>
      <c r="AL78" s="21"/>
      <c r="AM78" s="21"/>
      <c r="AN78" s="21"/>
      <c r="AO78" s="21"/>
      <c r="AP78" s="21"/>
      <c r="AQ78" s="21"/>
      <c r="AR78" s="69">
        <v>0</v>
      </c>
      <c r="AS78" s="21"/>
      <c r="AT78" s="21"/>
      <c r="AU78" s="21"/>
      <c r="AV78" s="21"/>
      <c r="AW78" s="21"/>
      <c r="AX78" s="21"/>
      <c r="AY78" s="21"/>
      <c r="AZ78" s="21"/>
      <c r="BA78" s="21"/>
      <c r="BB78" s="69">
        <v>0</v>
      </c>
      <c r="BC78" s="21"/>
      <c r="BD78" s="21"/>
      <c r="BE78" s="21"/>
      <c r="BF78" s="21"/>
      <c r="BG78" s="69">
        <v>0</v>
      </c>
      <c r="BH78" s="21"/>
      <c r="BI78" s="69">
        <v>0</v>
      </c>
      <c r="BJ78" s="21"/>
      <c r="BK78" s="69">
        <v>0</v>
      </c>
      <c r="BL78" s="69">
        <v>0</v>
      </c>
      <c r="BM78" s="21"/>
      <c r="BN78" s="21"/>
      <c r="BO78" s="69">
        <v>0</v>
      </c>
      <c r="BP78" s="21"/>
      <c r="BQ78" s="21"/>
      <c r="BR78" s="21"/>
      <c r="BS78" s="21"/>
      <c r="BT78" s="21"/>
      <c r="BU78" s="21"/>
      <c r="BV78" s="69">
        <v>0</v>
      </c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69">
        <v>0</v>
      </c>
      <c r="DH78" s="21"/>
      <c r="DI78" s="21"/>
      <c r="DJ78" s="69">
        <v>0</v>
      </c>
      <c r="DK78" s="21"/>
      <c r="DL78" s="21"/>
      <c r="DM78" s="69">
        <v>0</v>
      </c>
      <c r="DN78" s="21"/>
      <c r="DO78" s="21"/>
      <c r="DP78" s="21"/>
      <c r="DQ78" s="21"/>
      <c r="DR78" s="21"/>
      <c r="DS78" s="21"/>
      <c r="DT78" s="21"/>
      <c r="DU78" s="21"/>
      <c r="DV78" s="21"/>
      <c r="DW78" s="69">
        <v>0</v>
      </c>
      <c r="DX78" s="21"/>
      <c r="DY78" s="21"/>
      <c r="DZ78" s="21"/>
      <c r="EA78" s="21"/>
      <c r="EB78" s="21"/>
      <c r="EC78" s="21"/>
      <c r="ED78" s="21"/>
      <c r="EE78" s="21"/>
      <c r="EF78" s="21"/>
      <c r="EG78" s="69">
        <v>0</v>
      </c>
      <c r="EH78" s="21"/>
      <c r="EI78" s="21"/>
      <c r="EJ78" s="21"/>
      <c r="EK78" s="21"/>
      <c r="EL78" s="69">
        <v>0</v>
      </c>
      <c r="EM78" s="21"/>
      <c r="EN78" s="69">
        <v>0</v>
      </c>
      <c r="EO78" s="21"/>
      <c r="EP78" s="69">
        <v>0</v>
      </c>
      <c r="EQ78" s="69">
        <v>0</v>
      </c>
      <c r="ER78" s="21"/>
      <c r="ES78" s="21"/>
      <c r="ET78" s="69">
        <v>0</v>
      </c>
      <c r="EU78" s="21"/>
      <c r="EV78" s="21"/>
      <c r="EW78" s="21"/>
      <c r="EX78" s="21"/>
      <c r="EY78" s="21">
        <v>413.66780587225668</v>
      </c>
      <c r="EZ78" s="21"/>
      <c r="FA78" s="69">
        <v>0</v>
      </c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>
        <v>0</v>
      </c>
      <c r="GY78" s="21">
        <v>0</v>
      </c>
      <c r="GZ78" s="21"/>
      <c r="HA78" s="21"/>
      <c r="HB78" s="21">
        <f t="shared" si="1"/>
        <v>413.66780587225668</v>
      </c>
    </row>
    <row r="79" spans="1:210" x14ac:dyDescent="0.75">
      <c r="A79" s="67" t="s">
        <v>316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69">
        <v>0</v>
      </c>
      <c r="AD79" s="21"/>
      <c r="AE79" s="21"/>
      <c r="AF79" s="69">
        <v>0</v>
      </c>
      <c r="AG79" s="21"/>
      <c r="AH79" s="21"/>
      <c r="AI79" s="69">
        <v>0</v>
      </c>
      <c r="AJ79" s="21"/>
      <c r="AK79" s="21"/>
      <c r="AL79" s="21"/>
      <c r="AM79" s="21"/>
      <c r="AN79" s="21"/>
      <c r="AO79" s="21"/>
      <c r="AP79" s="21"/>
      <c r="AQ79" s="21"/>
      <c r="AR79" s="69">
        <v>0</v>
      </c>
      <c r="AS79" s="21"/>
      <c r="AT79" s="21"/>
      <c r="AU79" s="21"/>
      <c r="AV79" s="21"/>
      <c r="AW79" s="21"/>
      <c r="AX79" s="21"/>
      <c r="AY79" s="21"/>
      <c r="AZ79" s="21"/>
      <c r="BA79" s="21"/>
      <c r="BB79" s="69">
        <v>0</v>
      </c>
      <c r="BC79" s="21"/>
      <c r="BD79" s="21"/>
      <c r="BE79" s="21"/>
      <c r="BF79" s="21"/>
      <c r="BG79" s="69">
        <v>0</v>
      </c>
      <c r="BH79" s="21"/>
      <c r="BI79" s="69">
        <v>0</v>
      </c>
      <c r="BJ79" s="21"/>
      <c r="BK79" s="69">
        <v>0</v>
      </c>
      <c r="BL79" s="69">
        <v>0</v>
      </c>
      <c r="BM79" s="21"/>
      <c r="BN79" s="21"/>
      <c r="BO79" s="69">
        <v>0</v>
      </c>
      <c r="BP79" s="21"/>
      <c r="BQ79" s="21"/>
      <c r="BR79" s="21"/>
      <c r="BS79" s="21"/>
      <c r="BT79" s="21"/>
      <c r="BU79" s="21"/>
      <c r="BV79" s="69">
        <v>0</v>
      </c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69">
        <v>0</v>
      </c>
      <c r="DH79" s="21"/>
      <c r="DI79" s="21"/>
      <c r="DJ79" s="69">
        <v>0</v>
      </c>
      <c r="DK79" s="21"/>
      <c r="DL79" s="21"/>
      <c r="DM79" s="69">
        <v>0</v>
      </c>
      <c r="DN79" s="21"/>
      <c r="DO79" s="21"/>
      <c r="DP79" s="21"/>
      <c r="DQ79" s="21"/>
      <c r="DR79" s="21"/>
      <c r="DS79" s="21"/>
      <c r="DT79" s="21"/>
      <c r="DU79" s="21"/>
      <c r="DV79" s="21"/>
      <c r="DW79" s="69">
        <v>0</v>
      </c>
      <c r="DX79" s="21"/>
      <c r="DY79" s="21"/>
      <c r="DZ79" s="21"/>
      <c r="EA79" s="21"/>
      <c r="EB79" s="21"/>
      <c r="EC79" s="21"/>
      <c r="ED79" s="21"/>
      <c r="EE79" s="21"/>
      <c r="EF79" s="21"/>
      <c r="EG79" s="69">
        <v>0</v>
      </c>
      <c r="EH79" s="21"/>
      <c r="EI79" s="21"/>
      <c r="EJ79" s="21"/>
      <c r="EK79" s="21"/>
      <c r="EL79" s="69">
        <v>0</v>
      </c>
      <c r="EM79" s="21"/>
      <c r="EN79" s="69">
        <v>0</v>
      </c>
      <c r="EO79" s="21"/>
      <c r="EP79" s="69">
        <v>0</v>
      </c>
      <c r="EQ79" s="69">
        <v>0</v>
      </c>
      <c r="ER79" s="21"/>
      <c r="ES79" s="21">
        <v>0.6487196424268532</v>
      </c>
      <c r="ET79" s="69">
        <v>1.030345127656098</v>
      </c>
      <c r="EU79" s="21">
        <v>0.16446666406934693</v>
      </c>
      <c r="EV79" s="21"/>
      <c r="EW79" s="21"/>
      <c r="EX79" s="21"/>
      <c r="EY79" s="21"/>
      <c r="EZ79" s="21">
        <v>157.74288348073165</v>
      </c>
      <c r="FA79" s="69">
        <v>0.50553325733885091</v>
      </c>
      <c r="FB79" s="21"/>
      <c r="FC79" s="21"/>
      <c r="FD79" s="21">
        <v>3.2923090643115063</v>
      </c>
      <c r="FE79" s="21"/>
      <c r="FF79" s="21"/>
      <c r="FG79" s="21">
        <v>0.2930435240656255</v>
      </c>
      <c r="FH79" s="21">
        <v>0.39366788353551602</v>
      </c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>
        <v>0</v>
      </c>
      <c r="GY79" s="21">
        <v>0</v>
      </c>
      <c r="GZ79" s="21"/>
      <c r="HA79" s="21"/>
      <c r="HB79" s="21">
        <f t="shared" si="1"/>
        <v>164.07096864413546</v>
      </c>
    </row>
    <row r="80" spans="1:210" x14ac:dyDescent="0.75">
      <c r="A80" s="68" t="s">
        <v>717</v>
      </c>
      <c r="B80" s="69">
        <v>0</v>
      </c>
      <c r="C80" s="69">
        <v>0</v>
      </c>
      <c r="D80" s="69">
        <v>0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69">
        <v>0</v>
      </c>
      <c r="O80" s="69">
        <v>0</v>
      </c>
      <c r="P80" s="69">
        <v>0</v>
      </c>
      <c r="Q80" s="69">
        <v>0</v>
      </c>
      <c r="R80" s="69">
        <v>0</v>
      </c>
      <c r="S80" s="69">
        <v>0</v>
      </c>
      <c r="T80" s="69">
        <v>0</v>
      </c>
      <c r="U80" s="69">
        <v>0</v>
      </c>
      <c r="V80" s="69">
        <v>0</v>
      </c>
      <c r="W80" s="69">
        <v>0</v>
      </c>
      <c r="X80" s="69">
        <v>0</v>
      </c>
      <c r="Y80" s="69">
        <v>0</v>
      </c>
      <c r="Z80" s="69">
        <v>0</v>
      </c>
      <c r="AA80" s="69">
        <v>0</v>
      </c>
      <c r="AB80" s="69">
        <v>0</v>
      </c>
      <c r="AC80" s="69">
        <v>0</v>
      </c>
      <c r="AD80" s="69">
        <v>0</v>
      </c>
      <c r="AE80" s="69">
        <v>0</v>
      </c>
      <c r="AF80" s="69">
        <v>0</v>
      </c>
      <c r="AG80" s="69">
        <v>0</v>
      </c>
      <c r="AH80" s="69">
        <v>0</v>
      </c>
      <c r="AI80" s="69">
        <v>0</v>
      </c>
      <c r="AJ80" s="69">
        <v>0</v>
      </c>
      <c r="AK80" s="69">
        <v>0</v>
      </c>
      <c r="AL80" s="69">
        <v>0</v>
      </c>
      <c r="AM80" s="69">
        <v>0</v>
      </c>
      <c r="AN80" s="69">
        <v>0</v>
      </c>
      <c r="AO80" s="69">
        <v>0</v>
      </c>
      <c r="AP80" s="69">
        <v>0</v>
      </c>
      <c r="AQ80" s="69">
        <v>0</v>
      </c>
      <c r="AR80" s="69">
        <v>0</v>
      </c>
      <c r="AS80" s="69">
        <v>0</v>
      </c>
      <c r="AT80" s="69">
        <v>0</v>
      </c>
      <c r="AU80" s="69">
        <v>0</v>
      </c>
      <c r="AV80" s="69">
        <v>0</v>
      </c>
      <c r="AW80" s="69">
        <v>0</v>
      </c>
      <c r="AX80" s="69">
        <v>0</v>
      </c>
      <c r="AY80" s="69">
        <v>0</v>
      </c>
      <c r="AZ80" s="69">
        <v>0</v>
      </c>
      <c r="BA80" s="69">
        <v>0</v>
      </c>
      <c r="BB80" s="69">
        <v>0</v>
      </c>
      <c r="BC80" s="69">
        <v>0</v>
      </c>
      <c r="BD80" s="69">
        <v>0</v>
      </c>
      <c r="BE80" s="69">
        <v>0</v>
      </c>
      <c r="BF80" s="69">
        <v>0</v>
      </c>
      <c r="BG80" s="69">
        <v>0</v>
      </c>
      <c r="BH80" s="69">
        <v>0</v>
      </c>
      <c r="BI80" s="69">
        <v>0</v>
      </c>
      <c r="BJ80" s="69">
        <v>0</v>
      </c>
      <c r="BK80" s="69">
        <v>0</v>
      </c>
      <c r="BL80" s="69">
        <v>0</v>
      </c>
      <c r="BM80" s="69">
        <v>0</v>
      </c>
      <c r="BN80" s="69">
        <v>0</v>
      </c>
      <c r="BO80" s="69">
        <v>0</v>
      </c>
      <c r="BP80" s="69">
        <v>0</v>
      </c>
      <c r="BQ80" s="69">
        <v>0</v>
      </c>
      <c r="BR80" s="69">
        <v>0</v>
      </c>
      <c r="BS80" s="69">
        <v>0</v>
      </c>
      <c r="BT80" s="69">
        <v>0</v>
      </c>
      <c r="BU80" s="69">
        <v>0</v>
      </c>
      <c r="BV80" s="69">
        <v>0</v>
      </c>
      <c r="BW80" s="69">
        <v>0</v>
      </c>
      <c r="BX80" s="69">
        <v>0</v>
      </c>
      <c r="BY80" s="69">
        <v>0</v>
      </c>
      <c r="BZ80" s="69">
        <v>0</v>
      </c>
      <c r="CA80" s="69">
        <v>0</v>
      </c>
      <c r="CB80" s="69">
        <v>0</v>
      </c>
      <c r="CC80" s="69">
        <v>0</v>
      </c>
      <c r="CD80" s="69">
        <v>0</v>
      </c>
      <c r="CE80" s="69">
        <v>0</v>
      </c>
      <c r="CF80" s="69">
        <v>0</v>
      </c>
      <c r="CG80" s="69">
        <v>0</v>
      </c>
      <c r="CH80" s="69">
        <v>0</v>
      </c>
      <c r="CI80" s="69">
        <v>0</v>
      </c>
      <c r="CJ80" s="69">
        <v>0</v>
      </c>
      <c r="CK80" s="69">
        <v>0</v>
      </c>
      <c r="CL80" s="69">
        <v>0</v>
      </c>
      <c r="CM80" s="69">
        <v>0</v>
      </c>
      <c r="CN80" s="69">
        <v>0</v>
      </c>
      <c r="CO80" s="69">
        <v>0</v>
      </c>
      <c r="CP80" s="69">
        <v>0</v>
      </c>
      <c r="CQ80" s="69">
        <v>0</v>
      </c>
      <c r="CR80" s="69">
        <v>0</v>
      </c>
      <c r="CS80" s="69">
        <v>0</v>
      </c>
      <c r="CT80" s="69">
        <v>0</v>
      </c>
      <c r="CU80" s="69">
        <v>0</v>
      </c>
      <c r="CV80" s="69">
        <v>0</v>
      </c>
      <c r="CW80" s="69">
        <v>0</v>
      </c>
      <c r="CX80" s="69">
        <v>0</v>
      </c>
      <c r="CY80" s="69">
        <v>0</v>
      </c>
      <c r="CZ80" s="69">
        <v>0</v>
      </c>
      <c r="DA80" s="69">
        <v>0</v>
      </c>
      <c r="DB80" s="69">
        <v>0</v>
      </c>
      <c r="DC80" s="69">
        <v>0</v>
      </c>
      <c r="DD80" s="69">
        <v>0</v>
      </c>
      <c r="DE80" s="69">
        <v>0</v>
      </c>
      <c r="DF80" s="69">
        <v>0</v>
      </c>
      <c r="DG80" s="69">
        <v>0</v>
      </c>
      <c r="DH80" s="69">
        <v>0</v>
      </c>
      <c r="DI80" s="69">
        <v>0</v>
      </c>
      <c r="DJ80" s="69">
        <v>0</v>
      </c>
      <c r="DK80" s="69">
        <v>0</v>
      </c>
      <c r="DL80" s="69">
        <v>0</v>
      </c>
      <c r="DM80" s="69">
        <v>2.3278473997311644</v>
      </c>
      <c r="DN80" s="69">
        <v>0</v>
      </c>
      <c r="DO80" s="69">
        <v>0</v>
      </c>
      <c r="DP80" s="69">
        <v>0</v>
      </c>
      <c r="DQ80" s="69">
        <v>0</v>
      </c>
      <c r="DR80" s="69">
        <v>0</v>
      </c>
      <c r="DS80" s="69">
        <v>0</v>
      </c>
      <c r="DT80" s="69">
        <v>0</v>
      </c>
      <c r="DU80" s="69">
        <v>0</v>
      </c>
      <c r="DV80" s="69">
        <v>0</v>
      </c>
      <c r="DW80" s="69">
        <v>0</v>
      </c>
      <c r="DX80" s="69">
        <v>0</v>
      </c>
      <c r="DY80" s="69">
        <v>0</v>
      </c>
      <c r="DZ80" s="69">
        <v>0</v>
      </c>
      <c r="EA80" s="69">
        <v>0.19423092125668198</v>
      </c>
      <c r="EB80" s="69">
        <v>0</v>
      </c>
      <c r="EC80" s="69">
        <v>0</v>
      </c>
      <c r="ED80" s="69">
        <v>0</v>
      </c>
      <c r="EE80" s="69">
        <v>0</v>
      </c>
      <c r="EF80" s="69">
        <v>0</v>
      </c>
      <c r="EG80" s="69">
        <v>0</v>
      </c>
      <c r="EH80" s="69">
        <v>0</v>
      </c>
      <c r="EI80" s="69">
        <v>0</v>
      </c>
      <c r="EJ80" s="69">
        <v>0</v>
      </c>
      <c r="EK80" s="69">
        <v>0</v>
      </c>
      <c r="EL80" s="69">
        <v>0</v>
      </c>
      <c r="EM80" s="69">
        <v>0</v>
      </c>
      <c r="EN80" s="69">
        <v>0</v>
      </c>
      <c r="EO80" s="69">
        <v>0.66298096330055589</v>
      </c>
      <c r="EP80" s="69">
        <v>4.2633488935096295</v>
      </c>
      <c r="EQ80" s="69">
        <v>26.133573856185318</v>
      </c>
      <c r="ER80" s="69">
        <v>0</v>
      </c>
      <c r="ES80" s="69">
        <v>0</v>
      </c>
      <c r="ET80" s="69">
        <v>1.0185199816840202</v>
      </c>
      <c r="EU80" s="69">
        <v>3.3241994772361489</v>
      </c>
      <c r="EV80" s="69">
        <v>0</v>
      </c>
      <c r="EW80" s="69">
        <v>0</v>
      </c>
      <c r="EX80" s="69">
        <v>0</v>
      </c>
      <c r="EY80" s="69">
        <v>0</v>
      </c>
      <c r="EZ80" s="69">
        <v>3.8893880157883665</v>
      </c>
      <c r="FA80" s="69">
        <v>424.96172597035138</v>
      </c>
      <c r="FB80" s="69">
        <v>0</v>
      </c>
      <c r="FC80" s="69">
        <v>0</v>
      </c>
      <c r="FD80" s="69">
        <v>0</v>
      </c>
      <c r="FE80" s="69">
        <v>0</v>
      </c>
      <c r="FF80" s="69">
        <v>0</v>
      </c>
      <c r="FG80" s="69">
        <v>10.724175371840779</v>
      </c>
      <c r="FH80" s="69">
        <v>23.16366827447554</v>
      </c>
      <c r="FI80" s="69">
        <v>0</v>
      </c>
      <c r="FJ80" s="69">
        <v>0</v>
      </c>
      <c r="FK80" s="69">
        <v>0</v>
      </c>
      <c r="FL80" s="69">
        <v>0</v>
      </c>
      <c r="FM80" s="69">
        <v>0</v>
      </c>
      <c r="FN80" s="69">
        <v>0</v>
      </c>
      <c r="FO80" s="69">
        <v>0</v>
      </c>
      <c r="FP80" s="69">
        <v>0</v>
      </c>
      <c r="FQ80" s="69">
        <v>0</v>
      </c>
      <c r="FR80" s="69">
        <v>0</v>
      </c>
      <c r="FS80" s="69">
        <v>0</v>
      </c>
      <c r="FT80" s="69">
        <v>0</v>
      </c>
      <c r="FU80" s="69">
        <v>0</v>
      </c>
      <c r="FV80" s="69">
        <v>0</v>
      </c>
      <c r="FW80" s="69">
        <v>0</v>
      </c>
      <c r="FX80" s="69">
        <v>0</v>
      </c>
      <c r="FY80" s="69">
        <v>0</v>
      </c>
      <c r="FZ80" s="69">
        <v>0</v>
      </c>
      <c r="GA80" s="69">
        <v>0</v>
      </c>
      <c r="GB80" s="69">
        <v>0</v>
      </c>
      <c r="GC80" s="69">
        <v>0</v>
      </c>
      <c r="GD80" s="69">
        <v>0</v>
      </c>
      <c r="GE80" s="69">
        <v>0</v>
      </c>
      <c r="GF80" s="69">
        <v>0</v>
      </c>
      <c r="GG80" s="69">
        <v>0</v>
      </c>
      <c r="GH80" s="69">
        <v>0</v>
      </c>
      <c r="GI80" s="69">
        <v>0</v>
      </c>
      <c r="GJ80" s="69">
        <v>0</v>
      </c>
      <c r="GK80" s="69">
        <v>0</v>
      </c>
      <c r="GL80" s="69">
        <v>0</v>
      </c>
      <c r="GM80" s="69">
        <v>0</v>
      </c>
      <c r="GN80" s="69">
        <v>0</v>
      </c>
      <c r="GO80" s="69">
        <v>0</v>
      </c>
      <c r="GP80" s="69">
        <v>0</v>
      </c>
      <c r="GQ80" s="69">
        <v>0</v>
      </c>
      <c r="GR80" s="69">
        <v>0</v>
      </c>
      <c r="GS80" s="69">
        <v>0</v>
      </c>
      <c r="GT80" s="69">
        <v>0</v>
      </c>
      <c r="GU80" s="69">
        <v>0</v>
      </c>
      <c r="GV80" s="69">
        <v>0</v>
      </c>
      <c r="GW80" s="69">
        <v>0</v>
      </c>
      <c r="GX80" s="21">
        <v>0</v>
      </c>
      <c r="GY80" s="21">
        <v>0</v>
      </c>
      <c r="GZ80" s="69">
        <v>0</v>
      </c>
      <c r="HA80" s="69">
        <v>0</v>
      </c>
      <c r="HB80" s="21">
        <f t="shared" si="1"/>
        <v>500.66365912535957</v>
      </c>
    </row>
    <row r="81" spans="1:210" x14ac:dyDescent="0.75">
      <c r="A81" s="67" t="s">
        <v>318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69">
        <v>0</v>
      </c>
      <c r="AD81" s="21"/>
      <c r="AE81" s="21"/>
      <c r="AF81" s="69">
        <v>0</v>
      </c>
      <c r="AG81" s="21"/>
      <c r="AH81" s="21"/>
      <c r="AI81" s="69">
        <v>0</v>
      </c>
      <c r="AJ81" s="21"/>
      <c r="AK81" s="21"/>
      <c r="AL81" s="21"/>
      <c r="AM81" s="21"/>
      <c r="AN81" s="21"/>
      <c r="AO81" s="21"/>
      <c r="AP81" s="21"/>
      <c r="AQ81" s="21"/>
      <c r="AR81" s="69">
        <v>0</v>
      </c>
      <c r="AS81" s="21"/>
      <c r="AT81" s="21"/>
      <c r="AU81" s="21"/>
      <c r="AV81" s="21"/>
      <c r="AW81" s="21"/>
      <c r="AX81" s="21"/>
      <c r="AY81" s="21"/>
      <c r="AZ81" s="21"/>
      <c r="BA81" s="21"/>
      <c r="BB81" s="69">
        <v>0</v>
      </c>
      <c r="BC81" s="21"/>
      <c r="BD81" s="21"/>
      <c r="BE81" s="21"/>
      <c r="BF81" s="21"/>
      <c r="BG81" s="69">
        <v>0</v>
      </c>
      <c r="BH81" s="21"/>
      <c r="BI81" s="69">
        <v>0</v>
      </c>
      <c r="BJ81" s="21"/>
      <c r="BK81" s="69">
        <v>0</v>
      </c>
      <c r="BL81" s="69">
        <v>0</v>
      </c>
      <c r="BM81" s="21"/>
      <c r="BN81" s="21"/>
      <c r="BO81" s="69">
        <v>0</v>
      </c>
      <c r="BP81" s="21"/>
      <c r="BQ81" s="21"/>
      <c r="BR81" s="21"/>
      <c r="BS81" s="21"/>
      <c r="BT81" s="21"/>
      <c r="BU81" s="21"/>
      <c r="BV81" s="69">
        <v>0</v>
      </c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69">
        <v>0</v>
      </c>
      <c r="DH81" s="21"/>
      <c r="DI81" s="21"/>
      <c r="DJ81" s="69">
        <v>0</v>
      </c>
      <c r="DK81" s="21"/>
      <c r="DL81" s="21"/>
      <c r="DM81" s="69">
        <v>0</v>
      </c>
      <c r="DN81" s="21"/>
      <c r="DO81" s="21"/>
      <c r="DP81" s="21"/>
      <c r="DQ81" s="21"/>
      <c r="DR81" s="21"/>
      <c r="DS81" s="21"/>
      <c r="DT81" s="21"/>
      <c r="DU81" s="21"/>
      <c r="DV81" s="21"/>
      <c r="DW81" s="69">
        <v>0</v>
      </c>
      <c r="DX81" s="21"/>
      <c r="DY81" s="21"/>
      <c r="DZ81" s="21"/>
      <c r="EA81" s="21"/>
      <c r="EB81" s="21"/>
      <c r="EC81" s="21"/>
      <c r="ED81" s="21"/>
      <c r="EE81" s="21"/>
      <c r="EF81" s="21"/>
      <c r="EG81" s="69">
        <v>0</v>
      </c>
      <c r="EH81" s="21"/>
      <c r="EI81" s="21"/>
      <c r="EJ81" s="21"/>
      <c r="EK81" s="21"/>
      <c r="EL81" s="69">
        <v>0</v>
      </c>
      <c r="EM81" s="21"/>
      <c r="EN81" s="69">
        <v>0</v>
      </c>
      <c r="EO81" s="21"/>
      <c r="EP81" s="69">
        <v>0</v>
      </c>
      <c r="EQ81" s="69">
        <v>0</v>
      </c>
      <c r="ER81" s="21"/>
      <c r="ES81" s="21"/>
      <c r="ET81" s="69">
        <v>0</v>
      </c>
      <c r="EU81" s="21"/>
      <c r="EV81" s="21"/>
      <c r="EW81" s="21"/>
      <c r="EX81" s="21"/>
      <c r="EY81" s="21"/>
      <c r="EZ81" s="21"/>
      <c r="FA81" s="69">
        <v>0</v>
      </c>
      <c r="FB81" s="21">
        <v>1108.7884628283491</v>
      </c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>
        <v>0</v>
      </c>
      <c r="GY81" s="21">
        <v>0</v>
      </c>
      <c r="GZ81" s="21"/>
      <c r="HA81" s="21"/>
      <c r="HB81" s="21">
        <f t="shared" si="1"/>
        <v>1108.7884628283491</v>
      </c>
    </row>
    <row r="82" spans="1:210" x14ac:dyDescent="0.75">
      <c r="A82" s="67" t="s">
        <v>319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69">
        <v>0</v>
      </c>
      <c r="AD82" s="21"/>
      <c r="AE82" s="21"/>
      <c r="AF82" s="69">
        <v>0</v>
      </c>
      <c r="AG82" s="21"/>
      <c r="AH82" s="21"/>
      <c r="AI82" s="69">
        <v>0</v>
      </c>
      <c r="AJ82" s="21"/>
      <c r="AK82" s="21"/>
      <c r="AL82" s="21"/>
      <c r="AM82" s="21"/>
      <c r="AN82" s="21"/>
      <c r="AO82" s="21"/>
      <c r="AP82" s="21"/>
      <c r="AQ82" s="21"/>
      <c r="AR82" s="69">
        <v>0</v>
      </c>
      <c r="AS82" s="21"/>
      <c r="AT82" s="21"/>
      <c r="AU82" s="21"/>
      <c r="AV82" s="21"/>
      <c r="AW82" s="21"/>
      <c r="AX82" s="21"/>
      <c r="AY82" s="21"/>
      <c r="AZ82" s="21"/>
      <c r="BA82" s="21"/>
      <c r="BB82" s="69">
        <v>0</v>
      </c>
      <c r="BC82" s="21"/>
      <c r="BD82" s="21"/>
      <c r="BE82" s="21"/>
      <c r="BF82" s="21"/>
      <c r="BG82" s="69">
        <v>0</v>
      </c>
      <c r="BH82" s="21"/>
      <c r="BI82" s="69">
        <v>0</v>
      </c>
      <c r="BJ82" s="21"/>
      <c r="BK82" s="69">
        <v>0</v>
      </c>
      <c r="BL82" s="69">
        <v>0</v>
      </c>
      <c r="BM82" s="21"/>
      <c r="BN82" s="21"/>
      <c r="BO82" s="69">
        <v>0</v>
      </c>
      <c r="BP82" s="21"/>
      <c r="BQ82" s="21"/>
      <c r="BR82" s="21"/>
      <c r="BS82" s="21"/>
      <c r="BT82" s="21"/>
      <c r="BU82" s="21"/>
      <c r="BV82" s="69">
        <v>0</v>
      </c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69">
        <v>0</v>
      </c>
      <c r="DH82" s="21"/>
      <c r="DI82" s="21"/>
      <c r="DJ82" s="69">
        <v>0</v>
      </c>
      <c r="DK82" s="21"/>
      <c r="DL82" s="21"/>
      <c r="DM82" s="69">
        <v>0</v>
      </c>
      <c r="DN82" s="21"/>
      <c r="DO82" s="21"/>
      <c r="DP82" s="21"/>
      <c r="DQ82" s="21"/>
      <c r="DR82" s="21"/>
      <c r="DS82" s="21"/>
      <c r="DT82" s="21"/>
      <c r="DU82" s="21"/>
      <c r="DV82" s="21"/>
      <c r="DW82" s="69">
        <v>0</v>
      </c>
      <c r="DX82" s="21"/>
      <c r="DY82" s="21">
        <v>1.0890876857534568</v>
      </c>
      <c r="DZ82" s="21"/>
      <c r="EA82" s="21"/>
      <c r="EB82" s="21"/>
      <c r="EC82" s="21"/>
      <c r="ED82" s="21"/>
      <c r="EE82" s="21"/>
      <c r="EF82" s="21"/>
      <c r="EG82" s="69">
        <v>0</v>
      </c>
      <c r="EH82" s="21"/>
      <c r="EI82" s="21"/>
      <c r="EJ82" s="21"/>
      <c r="EK82" s="21"/>
      <c r="EL82" s="69">
        <v>0</v>
      </c>
      <c r="EM82" s="21"/>
      <c r="EN82" s="69">
        <v>0</v>
      </c>
      <c r="EO82" s="21"/>
      <c r="EP82" s="69">
        <v>0</v>
      </c>
      <c r="EQ82" s="69">
        <v>0</v>
      </c>
      <c r="ER82" s="21"/>
      <c r="ES82" s="21">
        <v>3.1825454429070441</v>
      </c>
      <c r="ET82" s="69">
        <v>0</v>
      </c>
      <c r="EU82" s="21"/>
      <c r="EV82" s="21"/>
      <c r="EW82" s="21"/>
      <c r="EX82" s="21"/>
      <c r="EY82" s="21">
        <v>0.29435885365998082</v>
      </c>
      <c r="EZ82" s="21"/>
      <c r="FA82" s="69">
        <v>0.69210597919575445</v>
      </c>
      <c r="FB82" s="21"/>
      <c r="FC82" s="21">
        <v>358.33247477667658</v>
      </c>
      <c r="FD82" s="21"/>
      <c r="FE82" s="21"/>
      <c r="FF82" s="21"/>
      <c r="FG82" s="21"/>
      <c r="FH82" s="21">
        <v>2.5523087138726761</v>
      </c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>
        <v>0</v>
      </c>
      <c r="GY82" s="21">
        <v>0</v>
      </c>
      <c r="GZ82" s="21"/>
      <c r="HA82" s="21"/>
      <c r="HB82" s="21">
        <f t="shared" si="1"/>
        <v>366.14288145206547</v>
      </c>
    </row>
    <row r="83" spans="1:210" x14ac:dyDescent="0.75">
      <c r="A83" s="67" t="s">
        <v>320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69">
        <v>0</v>
      </c>
      <c r="AD83" s="21"/>
      <c r="AE83" s="21"/>
      <c r="AF83" s="69">
        <v>0</v>
      </c>
      <c r="AG83" s="21"/>
      <c r="AH83" s="21"/>
      <c r="AI83" s="69">
        <v>0</v>
      </c>
      <c r="AJ83" s="21"/>
      <c r="AK83" s="21"/>
      <c r="AL83" s="21"/>
      <c r="AM83" s="21"/>
      <c r="AN83" s="21"/>
      <c r="AO83" s="21"/>
      <c r="AP83" s="21"/>
      <c r="AQ83" s="21"/>
      <c r="AR83" s="69">
        <v>0</v>
      </c>
      <c r="AS83" s="21"/>
      <c r="AT83" s="21"/>
      <c r="AU83" s="21"/>
      <c r="AV83" s="21"/>
      <c r="AW83" s="21"/>
      <c r="AX83" s="21"/>
      <c r="AY83" s="21"/>
      <c r="AZ83" s="21"/>
      <c r="BA83" s="21"/>
      <c r="BB83" s="69">
        <v>0</v>
      </c>
      <c r="BC83" s="21"/>
      <c r="BD83" s="21"/>
      <c r="BE83" s="21"/>
      <c r="BF83" s="21"/>
      <c r="BG83" s="69">
        <v>0</v>
      </c>
      <c r="BH83" s="21"/>
      <c r="BI83" s="69">
        <v>0</v>
      </c>
      <c r="BJ83" s="21"/>
      <c r="BK83" s="69">
        <v>0</v>
      </c>
      <c r="BL83" s="69">
        <v>0</v>
      </c>
      <c r="BM83" s="21"/>
      <c r="BN83" s="21"/>
      <c r="BO83" s="69">
        <v>0</v>
      </c>
      <c r="BP83" s="21"/>
      <c r="BQ83" s="21"/>
      <c r="BR83" s="21"/>
      <c r="BS83" s="21"/>
      <c r="BT83" s="21"/>
      <c r="BU83" s="21"/>
      <c r="BV83" s="69">
        <v>0</v>
      </c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69">
        <v>0</v>
      </c>
      <c r="DH83" s="21"/>
      <c r="DI83" s="21"/>
      <c r="DJ83" s="69">
        <v>0</v>
      </c>
      <c r="DK83" s="21"/>
      <c r="DL83" s="21"/>
      <c r="DM83" s="69">
        <v>0</v>
      </c>
      <c r="DN83" s="21"/>
      <c r="DO83" s="21"/>
      <c r="DP83" s="21"/>
      <c r="DQ83" s="21"/>
      <c r="DR83" s="21"/>
      <c r="DS83" s="21"/>
      <c r="DT83" s="21"/>
      <c r="DU83" s="21"/>
      <c r="DV83" s="21"/>
      <c r="DW83" s="69">
        <v>0</v>
      </c>
      <c r="DX83" s="21"/>
      <c r="DY83" s="21"/>
      <c r="DZ83" s="21"/>
      <c r="EA83" s="21"/>
      <c r="EB83" s="21"/>
      <c r="EC83" s="21"/>
      <c r="ED83" s="21"/>
      <c r="EE83" s="21"/>
      <c r="EF83" s="21"/>
      <c r="EG83" s="69">
        <v>0</v>
      </c>
      <c r="EH83" s="21"/>
      <c r="EI83" s="21"/>
      <c r="EJ83" s="21"/>
      <c r="EK83" s="21"/>
      <c r="EL83" s="69">
        <v>0</v>
      </c>
      <c r="EM83" s="21"/>
      <c r="EN83" s="69">
        <v>0</v>
      </c>
      <c r="EO83" s="21"/>
      <c r="EP83" s="69">
        <v>0</v>
      </c>
      <c r="EQ83" s="69">
        <v>0</v>
      </c>
      <c r="ER83" s="21"/>
      <c r="ES83" s="21"/>
      <c r="ET83" s="69">
        <v>0</v>
      </c>
      <c r="EU83" s="21"/>
      <c r="EV83" s="21"/>
      <c r="EW83" s="21"/>
      <c r="EX83" s="21"/>
      <c r="EY83" s="21"/>
      <c r="EZ83" s="21">
        <v>5.5183638204353465E-2</v>
      </c>
      <c r="FA83" s="69">
        <v>2.1211944928115473E-2</v>
      </c>
      <c r="FB83" s="21"/>
      <c r="FC83" s="21"/>
      <c r="FD83" s="21">
        <v>208.38296809729394</v>
      </c>
      <c r="FE83" s="21"/>
      <c r="FF83" s="21"/>
      <c r="FG83" s="21"/>
      <c r="FH83" s="21">
        <v>1.5568476707112606</v>
      </c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>
        <v>0</v>
      </c>
      <c r="GY83" s="21">
        <v>0</v>
      </c>
      <c r="GZ83" s="21"/>
      <c r="HA83" s="21"/>
      <c r="HB83" s="21">
        <f t="shared" si="1"/>
        <v>210.01621135113766</v>
      </c>
    </row>
    <row r="84" spans="1:210" x14ac:dyDescent="0.75">
      <c r="A84" s="67" t="s">
        <v>718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69">
        <v>0</v>
      </c>
      <c r="AD84" s="21"/>
      <c r="AE84" s="21"/>
      <c r="AF84" s="69">
        <v>0</v>
      </c>
      <c r="AG84" s="21"/>
      <c r="AH84" s="21"/>
      <c r="AI84" s="69">
        <v>0</v>
      </c>
      <c r="AJ84" s="21"/>
      <c r="AK84" s="21"/>
      <c r="AL84" s="21"/>
      <c r="AM84" s="21"/>
      <c r="AN84" s="21"/>
      <c r="AO84" s="21"/>
      <c r="AP84" s="21"/>
      <c r="AQ84" s="21"/>
      <c r="AR84" s="69">
        <v>0</v>
      </c>
      <c r="AS84" s="21"/>
      <c r="AT84" s="21"/>
      <c r="AU84" s="21"/>
      <c r="AV84" s="21"/>
      <c r="AW84" s="21"/>
      <c r="AX84" s="21"/>
      <c r="AY84" s="21"/>
      <c r="AZ84" s="21"/>
      <c r="BA84" s="21"/>
      <c r="BB84" s="69">
        <v>0</v>
      </c>
      <c r="BC84" s="21"/>
      <c r="BD84" s="21"/>
      <c r="BE84" s="21"/>
      <c r="BF84" s="21"/>
      <c r="BG84" s="69">
        <v>0</v>
      </c>
      <c r="BH84" s="21"/>
      <c r="BI84" s="69">
        <v>0</v>
      </c>
      <c r="BJ84" s="21"/>
      <c r="BK84" s="69">
        <v>0</v>
      </c>
      <c r="BL84" s="69">
        <v>0</v>
      </c>
      <c r="BM84" s="21"/>
      <c r="BN84" s="21"/>
      <c r="BO84" s="69">
        <v>0</v>
      </c>
      <c r="BP84" s="21"/>
      <c r="BQ84" s="21"/>
      <c r="BR84" s="21"/>
      <c r="BS84" s="21"/>
      <c r="BT84" s="21"/>
      <c r="BU84" s="21"/>
      <c r="BV84" s="69">
        <v>0</v>
      </c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69">
        <v>0</v>
      </c>
      <c r="DH84" s="21"/>
      <c r="DI84" s="21"/>
      <c r="DJ84" s="69">
        <v>0</v>
      </c>
      <c r="DK84" s="21"/>
      <c r="DL84" s="21"/>
      <c r="DM84" s="69">
        <v>0</v>
      </c>
      <c r="DN84" s="21"/>
      <c r="DO84" s="21"/>
      <c r="DP84" s="21"/>
      <c r="DQ84" s="21"/>
      <c r="DR84" s="21"/>
      <c r="DS84" s="21"/>
      <c r="DT84" s="21"/>
      <c r="DU84" s="21"/>
      <c r="DV84" s="21"/>
      <c r="DW84" s="69">
        <v>0</v>
      </c>
      <c r="DX84" s="21"/>
      <c r="DY84" s="21"/>
      <c r="DZ84" s="21"/>
      <c r="EA84" s="21"/>
      <c r="EB84" s="21"/>
      <c r="EC84" s="21"/>
      <c r="ED84" s="21"/>
      <c r="EE84" s="21"/>
      <c r="EF84" s="21"/>
      <c r="EG84" s="69">
        <v>0</v>
      </c>
      <c r="EH84" s="21"/>
      <c r="EI84" s="21"/>
      <c r="EJ84" s="21"/>
      <c r="EK84" s="21"/>
      <c r="EL84" s="69">
        <v>0</v>
      </c>
      <c r="EM84" s="21"/>
      <c r="EN84" s="69">
        <v>0</v>
      </c>
      <c r="EO84" s="21"/>
      <c r="EP84" s="69">
        <v>0</v>
      </c>
      <c r="EQ84" s="69">
        <v>0</v>
      </c>
      <c r="ER84" s="21"/>
      <c r="ES84" s="21"/>
      <c r="ET84" s="69">
        <v>0</v>
      </c>
      <c r="EU84" s="21"/>
      <c r="EV84" s="21"/>
      <c r="EW84" s="21"/>
      <c r="EX84" s="21"/>
      <c r="EY84" s="21"/>
      <c r="EZ84" s="21"/>
      <c r="FA84" s="69">
        <v>0</v>
      </c>
      <c r="FB84" s="21"/>
      <c r="FC84" s="21"/>
      <c r="FD84" s="21"/>
      <c r="FE84" s="21">
        <v>97.524764515061406</v>
      </c>
      <c r="FF84" s="21"/>
      <c r="FG84" s="21"/>
      <c r="FH84" s="21">
        <v>1.8358809982390882</v>
      </c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>
        <v>0</v>
      </c>
      <c r="GY84" s="21">
        <v>0</v>
      </c>
      <c r="GZ84" s="21"/>
      <c r="HA84" s="21"/>
      <c r="HB84" s="21">
        <f t="shared" si="1"/>
        <v>99.360645513300497</v>
      </c>
    </row>
    <row r="85" spans="1:210" x14ac:dyDescent="0.75">
      <c r="A85" s="67" t="s">
        <v>719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69">
        <v>0</v>
      </c>
      <c r="AD85" s="21"/>
      <c r="AE85" s="21"/>
      <c r="AF85" s="69">
        <v>0</v>
      </c>
      <c r="AG85" s="21"/>
      <c r="AH85" s="21"/>
      <c r="AI85" s="69">
        <v>0</v>
      </c>
      <c r="AJ85" s="21"/>
      <c r="AK85" s="21"/>
      <c r="AL85" s="21"/>
      <c r="AM85" s="21"/>
      <c r="AN85" s="21"/>
      <c r="AO85" s="21"/>
      <c r="AP85" s="21"/>
      <c r="AQ85" s="21"/>
      <c r="AR85" s="69">
        <v>0</v>
      </c>
      <c r="AS85" s="21"/>
      <c r="AT85" s="21"/>
      <c r="AU85" s="21"/>
      <c r="AV85" s="21"/>
      <c r="AW85" s="21"/>
      <c r="AX85" s="21"/>
      <c r="AY85" s="21"/>
      <c r="AZ85" s="21"/>
      <c r="BA85" s="21"/>
      <c r="BB85" s="69">
        <v>0</v>
      </c>
      <c r="BC85" s="21"/>
      <c r="BD85" s="21"/>
      <c r="BE85" s="21"/>
      <c r="BF85" s="21"/>
      <c r="BG85" s="69">
        <v>0</v>
      </c>
      <c r="BH85" s="21"/>
      <c r="BI85" s="69">
        <v>0</v>
      </c>
      <c r="BJ85" s="21"/>
      <c r="BK85" s="69">
        <v>0</v>
      </c>
      <c r="BL85" s="69">
        <v>0</v>
      </c>
      <c r="BM85" s="21"/>
      <c r="BN85" s="21"/>
      <c r="BO85" s="69">
        <v>0</v>
      </c>
      <c r="BP85" s="21"/>
      <c r="BQ85" s="21"/>
      <c r="BR85" s="21"/>
      <c r="BS85" s="21"/>
      <c r="BT85" s="21"/>
      <c r="BU85" s="21"/>
      <c r="BV85" s="69">
        <v>0</v>
      </c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69">
        <v>0</v>
      </c>
      <c r="DH85" s="21"/>
      <c r="DI85" s="21"/>
      <c r="DJ85" s="69">
        <v>0</v>
      </c>
      <c r="DK85" s="21"/>
      <c r="DL85" s="21"/>
      <c r="DM85" s="69">
        <v>0</v>
      </c>
      <c r="DN85" s="21"/>
      <c r="DO85" s="21"/>
      <c r="DP85" s="21"/>
      <c r="DQ85" s="21"/>
      <c r="DR85" s="21"/>
      <c r="DS85" s="21"/>
      <c r="DT85" s="21"/>
      <c r="DU85" s="21"/>
      <c r="DV85" s="21"/>
      <c r="DW85" s="69">
        <v>0</v>
      </c>
      <c r="DX85" s="21"/>
      <c r="DY85" s="21"/>
      <c r="DZ85" s="21"/>
      <c r="EA85" s="21"/>
      <c r="EB85" s="21"/>
      <c r="EC85" s="21"/>
      <c r="ED85" s="21"/>
      <c r="EE85" s="21"/>
      <c r="EF85" s="21"/>
      <c r="EG85" s="69">
        <v>0</v>
      </c>
      <c r="EH85" s="21"/>
      <c r="EI85" s="21"/>
      <c r="EJ85" s="21"/>
      <c r="EK85" s="21"/>
      <c r="EL85" s="69">
        <v>0</v>
      </c>
      <c r="EM85" s="21"/>
      <c r="EN85" s="69">
        <v>0</v>
      </c>
      <c r="EO85" s="21"/>
      <c r="EP85" s="69">
        <v>0</v>
      </c>
      <c r="EQ85" s="69">
        <v>0</v>
      </c>
      <c r="ER85" s="21"/>
      <c r="ES85" s="21"/>
      <c r="ET85" s="69">
        <v>0</v>
      </c>
      <c r="EU85" s="21"/>
      <c r="EV85" s="21"/>
      <c r="EW85" s="21"/>
      <c r="EX85" s="21"/>
      <c r="EY85" s="21"/>
      <c r="EZ85" s="21"/>
      <c r="FA85" s="69">
        <v>0</v>
      </c>
      <c r="FB85" s="21"/>
      <c r="FC85" s="21"/>
      <c r="FD85" s="21"/>
      <c r="FE85" s="21"/>
      <c r="FF85" s="21">
        <v>15.045919196184148</v>
      </c>
      <c r="FG85" s="21">
        <v>8.6352071689371514E-3</v>
      </c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>
        <v>0</v>
      </c>
      <c r="GY85" s="21">
        <v>0</v>
      </c>
      <c r="GZ85" s="21"/>
      <c r="HA85" s="21"/>
      <c r="HB85" s="21">
        <f t="shared" si="1"/>
        <v>15.054554403353086</v>
      </c>
    </row>
    <row r="86" spans="1:210" x14ac:dyDescent="0.75">
      <c r="A86" s="67" t="s">
        <v>720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69">
        <v>0</v>
      </c>
      <c r="AD86" s="21"/>
      <c r="AE86" s="21"/>
      <c r="AF86" s="69">
        <v>0</v>
      </c>
      <c r="AG86" s="21"/>
      <c r="AH86" s="21"/>
      <c r="AI86" s="69">
        <v>0</v>
      </c>
      <c r="AJ86" s="21"/>
      <c r="AK86" s="21"/>
      <c r="AL86" s="21"/>
      <c r="AM86" s="21"/>
      <c r="AN86" s="21"/>
      <c r="AO86" s="21"/>
      <c r="AP86" s="21"/>
      <c r="AQ86" s="21"/>
      <c r="AR86" s="69">
        <v>0</v>
      </c>
      <c r="AS86" s="21"/>
      <c r="AT86" s="21"/>
      <c r="AU86" s="21"/>
      <c r="AV86" s="21"/>
      <c r="AW86" s="21"/>
      <c r="AX86" s="21"/>
      <c r="AY86" s="21"/>
      <c r="AZ86" s="21"/>
      <c r="BA86" s="21"/>
      <c r="BB86" s="69">
        <v>0</v>
      </c>
      <c r="BC86" s="21"/>
      <c r="BD86" s="21"/>
      <c r="BE86" s="21"/>
      <c r="BF86" s="21"/>
      <c r="BG86" s="69">
        <v>0</v>
      </c>
      <c r="BH86" s="21"/>
      <c r="BI86" s="69">
        <v>0</v>
      </c>
      <c r="BJ86" s="21"/>
      <c r="BK86" s="69">
        <v>0</v>
      </c>
      <c r="BL86" s="69">
        <v>0</v>
      </c>
      <c r="BM86" s="21"/>
      <c r="BN86" s="21"/>
      <c r="BO86" s="69">
        <v>0</v>
      </c>
      <c r="BP86" s="21"/>
      <c r="BQ86" s="21"/>
      <c r="BR86" s="21"/>
      <c r="BS86" s="21"/>
      <c r="BT86" s="21"/>
      <c r="BU86" s="21"/>
      <c r="BV86" s="69">
        <v>0</v>
      </c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69">
        <v>0</v>
      </c>
      <c r="DH86" s="21"/>
      <c r="DI86" s="21"/>
      <c r="DJ86" s="69">
        <v>0</v>
      </c>
      <c r="DK86" s="21"/>
      <c r="DL86" s="21"/>
      <c r="DM86" s="69">
        <v>0</v>
      </c>
      <c r="DN86" s="21"/>
      <c r="DO86" s="21"/>
      <c r="DP86" s="21"/>
      <c r="DQ86" s="21"/>
      <c r="DR86" s="21"/>
      <c r="DS86" s="21"/>
      <c r="DT86" s="21"/>
      <c r="DU86" s="21"/>
      <c r="DV86" s="21"/>
      <c r="DW86" s="69">
        <v>0</v>
      </c>
      <c r="DX86" s="21"/>
      <c r="DY86" s="21"/>
      <c r="DZ86" s="21"/>
      <c r="EA86" s="21"/>
      <c r="EB86" s="21"/>
      <c r="EC86" s="21"/>
      <c r="ED86" s="21"/>
      <c r="EE86" s="21"/>
      <c r="EF86" s="21"/>
      <c r="EG86" s="69">
        <v>0</v>
      </c>
      <c r="EH86" s="21"/>
      <c r="EI86" s="21"/>
      <c r="EJ86" s="21"/>
      <c r="EK86" s="21"/>
      <c r="EL86" s="69">
        <v>0</v>
      </c>
      <c r="EM86" s="21"/>
      <c r="EN86" s="69">
        <v>0</v>
      </c>
      <c r="EO86" s="21"/>
      <c r="EP86" s="69">
        <v>0</v>
      </c>
      <c r="EQ86" s="69">
        <v>0</v>
      </c>
      <c r="ER86" s="21"/>
      <c r="ES86" s="21"/>
      <c r="ET86" s="69">
        <v>0</v>
      </c>
      <c r="EU86" s="21">
        <v>6.6862431897572083</v>
      </c>
      <c r="EV86" s="21"/>
      <c r="EW86" s="21"/>
      <c r="EX86" s="21"/>
      <c r="EY86" s="21"/>
      <c r="EZ86" s="21"/>
      <c r="FA86" s="69">
        <v>16.664734611538989</v>
      </c>
      <c r="FB86" s="21"/>
      <c r="FC86" s="21"/>
      <c r="FD86" s="21">
        <v>0.14475615228299396</v>
      </c>
      <c r="FE86" s="21"/>
      <c r="FF86" s="21"/>
      <c r="FG86" s="21">
        <v>13.16179906831397</v>
      </c>
      <c r="FH86" s="21">
        <v>18.338473806787558</v>
      </c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>
        <v>0</v>
      </c>
      <c r="GY86" s="21">
        <v>0</v>
      </c>
      <c r="GZ86" s="21"/>
      <c r="HA86" s="21"/>
      <c r="HB86" s="21">
        <f t="shared" si="1"/>
        <v>54.99600682868072</v>
      </c>
    </row>
    <row r="87" spans="1:210" x14ac:dyDescent="0.75">
      <c r="A87" s="67" t="s">
        <v>321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69">
        <v>0</v>
      </c>
      <c r="AD87" s="21"/>
      <c r="AE87" s="21"/>
      <c r="AF87" s="69">
        <v>0</v>
      </c>
      <c r="AG87" s="21"/>
      <c r="AH87" s="21"/>
      <c r="AI87" s="69">
        <v>0</v>
      </c>
      <c r="AJ87" s="21"/>
      <c r="AK87" s="21"/>
      <c r="AL87" s="21"/>
      <c r="AM87" s="21"/>
      <c r="AN87" s="21"/>
      <c r="AO87" s="21"/>
      <c r="AP87" s="21"/>
      <c r="AQ87" s="21"/>
      <c r="AR87" s="69">
        <v>0</v>
      </c>
      <c r="AS87" s="21"/>
      <c r="AT87" s="21"/>
      <c r="AU87" s="21"/>
      <c r="AV87" s="21"/>
      <c r="AW87" s="21"/>
      <c r="AX87" s="21"/>
      <c r="AY87" s="21"/>
      <c r="AZ87" s="21"/>
      <c r="BA87" s="21"/>
      <c r="BB87" s="69">
        <v>0</v>
      </c>
      <c r="BC87" s="21"/>
      <c r="BD87" s="21"/>
      <c r="BE87" s="21"/>
      <c r="BF87" s="21"/>
      <c r="BG87" s="69">
        <v>0</v>
      </c>
      <c r="BH87" s="21"/>
      <c r="BI87" s="69">
        <v>0</v>
      </c>
      <c r="BJ87" s="21"/>
      <c r="BK87" s="69">
        <v>0</v>
      </c>
      <c r="BL87" s="69">
        <v>0</v>
      </c>
      <c r="BM87" s="21"/>
      <c r="BN87" s="21"/>
      <c r="BO87" s="69">
        <v>0</v>
      </c>
      <c r="BP87" s="21"/>
      <c r="BQ87" s="21"/>
      <c r="BR87" s="21"/>
      <c r="BS87" s="21"/>
      <c r="BT87" s="21"/>
      <c r="BU87" s="21"/>
      <c r="BV87" s="69">
        <v>0</v>
      </c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69">
        <v>0</v>
      </c>
      <c r="DH87" s="21"/>
      <c r="DI87" s="21"/>
      <c r="DJ87" s="69">
        <v>0</v>
      </c>
      <c r="DK87" s="21"/>
      <c r="DL87" s="21"/>
      <c r="DM87" s="69">
        <v>0</v>
      </c>
      <c r="DN87" s="21"/>
      <c r="DO87" s="21"/>
      <c r="DP87" s="21"/>
      <c r="DQ87" s="21"/>
      <c r="DR87" s="21"/>
      <c r="DS87" s="21"/>
      <c r="DT87" s="21"/>
      <c r="DU87" s="21"/>
      <c r="DV87" s="21"/>
      <c r="DW87" s="69">
        <v>0</v>
      </c>
      <c r="DX87" s="21"/>
      <c r="DY87" s="21"/>
      <c r="DZ87" s="21">
        <v>6.3644529155712624</v>
      </c>
      <c r="EA87" s="21"/>
      <c r="EB87" s="21"/>
      <c r="EC87" s="21"/>
      <c r="ED87" s="21"/>
      <c r="EE87" s="21"/>
      <c r="EF87" s="21"/>
      <c r="EG87" s="69">
        <v>0</v>
      </c>
      <c r="EH87" s="21"/>
      <c r="EI87" s="21"/>
      <c r="EJ87" s="21"/>
      <c r="EK87" s="21"/>
      <c r="EL87" s="69">
        <v>0</v>
      </c>
      <c r="EM87" s="21"/>
      <c r="EN87" s="69">
        <v>8.1914710443951613E-2</v>
      </c>
      <c r="EO87" s="21"/>
      <c r="EP87" s="69">
        <v>0</v>
      </c>
      <c r="EQ87" s="69">
        <v>3.5721565301353637</v>
      </c>
      <c r="ER87" s="21"/>
      <c r="ES87" s="21">
        <v>4.6008671689168521</v>
      </c>
      <c r="ET87" s="69">
        <v>0</v>
      </c>
      <c r="EU87" s="21">
        <v>6.6139112065975141</v>
      </c>
      <c r="EV87" s="21"/>
      <c r="EW87" s="21"/>
      <c r="EX87" s="21"/>
      <c r="EY87" s="21"/>
      <c r="EZ87" s="21">
        <v>15.864880010953689</v>
      </c>
      <c r="FA87" s="69">
        <v>24.856420333923836</v>
      </c>
      <c r="FB87" s="21"/>
      <c r="FC87" s="21">
        <v>0.5230509745849562</v>
      </c>
      <c r="FD87" s="21">
        <v>0.10783551319028122</v>
      </c>
      <c r="FE87" s="21"/>
      <c r="FF87" s="21"/>
      <c r="FG87" s="21">
        <v>17.67333818195322</v>
      </c>
      <c r="FH87" s="21">
        <v>328.89933318729157</v>
      </c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>
        <v>0</v>
      </c>
      <c r="GY87" s="21">
        <v>0</v>
      </c>
      <c r="GZ87" s="21"/>
      <c r="HA87" s="21"/>
      <c r="HB87" s="21">
        <f t="shared" si="1"/>
        <v>409.15816073356251</v>
      </c>
    </row>
    <row r="88" spans="1:210" x14ac:dyDescent="0.75">
      <c r="A88" s="67" t="s">
        <v>721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69">
        <v>0</v>
      </c>
      <c r="AD88" s="21"/>
      <c r="AE88" s="21"/>
      <c r="AF88" s="69">
        <v>0</v>
      </c>
      <c r="AG88" s="21"/>
      <c r="AH88" s="21"/>
      <c r="AI88" s="69">
        <v>0</v>
      </c>
      <c r="AJ88" s="21"/>
      <c r="AK88" s="21"/>
      <c r="AL88" s="21"/>
      <c r="AM88" s="21"/>
      <c r="AN88" s="21"/>
      <c r="AO88" s="21"/>
      <c r="AP88" s="21"/>
      <c r="AQ88" s="21"/>
      <c r="AR88" s="69">
        <v>0</v>
      </c>
      <c r="AS88" s="21"/>
      <c r="AT88" s="21"/>
      <c r="AU88" s="21"/>
      <c r="AV88" s="21"/>
      <c r="AW88" s="21"/>
      <c r="AX88" s="21"/>
      <c r="AY88" s="21"/>
      <c r="AZ88" s="21"/>
      <c r="BA88" s="21"/>
      <c r="BB88" s="69">
        <v>0</v>
      </c>
      <c r="BC88" s="21"/>
      <c r="BD88" s="21"/>
      <c r="BE88" s="21"/>
      <c r="BF88" s="21"/>
      <c r="BG88" s="69">
        <v>0</v>
      </c>
      <c r="BH88" s="21"/>
      <c r="BI88" s="69">
        <v>0</v>
      </c>
      <c r="BJ88" s="21"/>
      <c r="BK88" s="69">
        <v>0</v>
      </c>
      <c r="BL88" s="69">
        <v>0</v>
      </c>
      <c r="BM88" s="21"/>
      <c r="BN88" s="21"/>
      <c r="BO88" s="69">
        <v>0</v>
      </c>
      <c r="BP88" s="21"/>
      <c r="BQ88" s="21"/>
      <c r="BR88" s="21"/>
      <c r="BS88" s="21"/>
      <c r="BT88" s="21"/>
      <c r="BU88" s="21"/>
      <c r="BV88" s="69">
        <v>0</v>
      </c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69">
        <v>0</v>
      </c>
      <c r="DH88" s="21"/>
      <c r="DI88" s="21"/>
      <c r="DJ88" s="69">
        <v>0</v>
      </c>
      <c r="DK88" s="21"/>
      <c r="DL88" s="21"/>
      <c r="DM88" s="69">
        <v>0</v>
      </c>
      <c r="DN88" s="21"/>
      <c r="DO88" s="21"/>
      <c r="DP88" s="21"/>
      <c r="DQ88" s="21"/>
      <c r="DR88" s="21"/>
      <c r="DS88" s="21"/>
      <c r="DT88" s="21"/>
      <c r="DU88" s="21"/>
      <c r="DV88" s="21"/>
      <c r="DW88" s="69">
        <v>0</v>
      </c>
      <c r="DX88" s="21"/>
      <c r="DY88" s="21"/>
      <c r="DZ88" s="21"/>
      <c r="EA88" s="21"/>
      <c r="EB88" s="21"/>
      <c r="EC88" s="21"/>
      <c r="ED88" s="21"/>
      <c r="EE88" s="21"/>
      <c r="EF88" s="21"/>
      <c r="EG88" s="69">
        <v>0</v>
      </c>
      <c r="EH88" s="21"/>
      <c r="EI88" s="21"/>
      <c r="EJ88" s="21"/>
      <c r="EK88" s="21"/>
      <c r="EL88" s="69">
        <v>0</v>
      </c>
      <c r="EM88" s="21"/>
      <c r="EN88" s="69">
        <v>0</v>
      </c>
      <c r="EO88" s="21"/>
      <c r="EP88" s="69">
        <v>0</v>
      </c>
      <c r="EQ88" s="69">
        <v>0</v>
      </c>
      <c r="ER88" s="21"/>
      <c r="ES88" s="21"/>
      <c r="ET88" s="69">
        <v>0</v>
      </c>
      <c r="EU88" s="21"/>
      <c r="EV88" s="21"/>
      <c r="EW88" s="21"/>
      <c r="EX88" s="21"/>
      <c r="EY88" s="21"/>
      <c r="EZ88" s="21"/>
      <c r="FA88" s="69">
        <v>0</v>
      </c>
      <c r="FB88" s="21"/>
      <c r="FC88" s="21"/>
      <c r="FD88" s="21"/>
      <c r="FE88" s="21"/>
      <c r="FF88" s="21"/>
      <c r="FG88" s="21"/>
      <c r="FH88" s="21"/>
      <c r="FI88" s="21">
        <v>25.412118496649594</v>
      </c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>
        <v>0</v>
      </c>
      <c r="GY88" s="21">
        <v>0</v>
      </c>
      <c r="GZ88" s="21"/>
      <c r="HA88" s="21"/>
      <c r="HB88" s="21">
        <f t="shared" si="1"/>
        <v>25.412118496649594</v>
      </c>
    </row>
    <row r="89" spans="1:210" x14ac:dyDescent="0.75">
      <c r="A89" s="67" t="s">
        <v>500</v>
      </c>
      <c r="B89" s="21">
        <v>0.34006942952063873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>
        <v>0.37907488647379556</v>
      </c>
      <c r="AA89" s="21">
        <v>0.2179783754992799</v>
      </c>
      <c r="AB89" s="21">
        <v>6.0072948511285397E-2</v>
      </c>
      <c r="AC89" s="69">
        <v>1.0715595742484674E-2</v>
      </c>
      <c r="AD89" s="21"/>
      <c r="AE89" s="21"/>
      <c r="AF89" s="69">
        <v>0</v>
      </c>
      <c r="AG89" s="21"/>
      <c r="AH89" s="21"/>
      <c r="AI89" s="69">
        <v>0</v>
      </c>
      <c r="AJ89" s="21"/>
      <c r="AK89" s="21">
        <v>1.0672731390619189E-2</v>
      </c>
      <c r="AL89" s="21">
        <v>0.18035094204350174</v>
      </c>
      <c r="AM89" s="21"/>
      <c r="AN89" s="21">
        <v>31.071596134141178</v>
      </c>
      <c r="AO89" s="21">
        <v>0.3413654034528843</v>
      </c>
      <c r="AP89" s="21"/>
      <c r="AQ89" s="21">
        <v>0.71530490454592199</v>
      </c>
      <c r="AR89" s="69">
        <v>5.973300821048424</v>
      </c>
      <c r="AS89" s="21"/>
      <c r="AT89" s="21"/>
      <c r="AU89" s="21"/>
      <c r="AV89" s="21"/>
      <c r="AW89" s="21"/>
      <c r="AX89" s="21"/>
      <c r="AY89" s="21"/>
      <c r="AZ89" s="21"/>
      <c r="BA89" s="21"/>
      <c r="BB89" s="69">
        <v>0</v>
      </c>
      <c r="BC89" s="21"/>
      <c r="BD89" s="21"/>
      <c r="BE89" s="21"/>
      <c r="BF89" s="21"/>
      <c r="BG89" s="69">
        <v>0</v>
      </c>
      <c r="BH89" s="21"/>
      <c r="BI89" s="69">
        <v>0</v>
      </c>
      <c r="BJ89" s="21"/>
      <c r="BK89" s="69">
        <v>0</v>
      </c>
      <c r="BL89" s="69">
        <v>0</v>
      </c>
      <c r="BM89" s="21"/>
      <c r="BN89" s="21">
        <v>0.12387872777879184</v>
      </c>
      <c r="BO89" s="69">
        <v>0</v>
      </c>
      <c r="BP89" s="21"/>
      <c r="BQ89" s="21"/>
      <c r="BR89" s="21"/>
      <c r="BS89" s="21"/>
      <c r="BT89" s="21"/>
      <c r="BU89" s="21"/>
      <c r="BV89" s="69">
        <v>0</v>
      </c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69">
        <v>0</v>
      </c>
      <c r="DH89" s="21"/>
      <c r="DI89" s="21"/>
      <c r="DJ89" s="69">
        <v>0</v>
      </c>
      <c r="DK89" s="21"/>
      <c r="DL89" s="21"/>
      <c r="DM89" s="69">
        <v>0</v>
      </c>
      <c r="DN89" s="21"/>
      <c r="DO89" s="21"/>
      <c r="DP89" s="21"/>
      <c r="DQ89" s="21"/>
      <c r="DR89" s="21"/>
      <c r="DS89" s="21"/>
      <c r="DT89" s="21"/>
      <c r="DU89" s="21"/>
      <c r="DV89" s="21"/>
      <c r="DW89" s="69">
        <v>0</v>
      </c>
      <c r="DX89" s="21"/>
      <c r="DY89" s="21"/>
      <c r="DZ89" s="21"/>
      <c r="EA89" s="21"/>
      <c r="EB89" s="21"/>
      <c r="EC89" s="21"/>
      <c r="ED89" s="21"/>
      <c r="EE89" s="21"/>
      <c r="EF89" s="21"/>
      <c r="EG89" s="69">
        <v>0</v>
      </c>
      <c r="EH89" s="21"/>
      <c r="EI89" s="21"/>
      <c r="EJ89" s="21"/>
      <c r="EK89" s="21"/>
      <c r="EL89" s="69">
        <v>0</v>
      </c>
      <c r="EM89" s="21"/>
      <c r="EN89" s="69">
        <v>0</v>
      </c>
      <c r="EO89" s="21"/>
      <c r="EP89" s="69">
        <v>0</v>
      </c>
      <c r="EQ89" s="69">
        <v>0</v>
      </c>
      <c r="ER89" s="21"/>
      <c r="ES89" s="21"/>
      <c r="ET89" s="69">
        <v>0</v>
      </c>
      <c r="EU89" s="21"/>
      <c r="EV89" s="21"/>
      <c r="EW89" s="21"/>
      <c r="EX89" s="21"/>
      <c r="EY89" s="21"/>
      <c r="EZ89" s="21"/>
      <c r="FA89" s="69">
        <v>0</v>
      </c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>
        <v>0.33690834856877738</v>
      </c>
      <c r="GE89" s="21">
        <v>0.64619657325867097</v>
      </c>
      <c r="GF89" s="21">
        <v>0.76495275634775894</v>
      </c>
      <c r="GG89" s="21">
        <v>1.5279687284010706</v>
      </c>
      <c r="GH89" s="21">
        <v>1.4516947552948563</v>
      </c>
      <c r="GI89" s="21">
        <v>1.5641131240809771E-2</v>
      </c>
      <c r="GJ89" s="21">
        <v>1.8243480302740381E-2</v>
      </c>
      <c r="GK89" s="21">
        <v>3.0468579697818715E-2</v>
      </c>
      <c r="GL89" s="21">
        <v>0.11386414759924712</v>
      </c>
      <c r="GM89" s="21">
        <v>0.39059986055511681</v>
      </c>
      <c r="GN89" s="21">
        <v>5.269709671262955E-3</v>
      </c>
      <c r="GO89" s="21">
        <v>1.1043743885004439E-2</v>
      </c>
      <c r="GP89" s="21">
        <v>2.8907459067634814E-2</v>
      </c>
      <c r="GQ89" s="21">
        <v>7.1947473780651319E-2</v>
      </c>
      <c r="GR89" s="21">
        <v>0.12900366289374871</v>
      </c>
      <c r="GS89" s="21"/>
      <c r="GT89" s="21"/>
      <c r="GU89" s="21"/>
      <c r="GV89" s="21"/>
      <c r="GW89" s="21"/>
      <c r="GX89" s="21">
        <v>0</v>
      </c>
      <c r="GY89" s="21">
        <v>0</v>
      </c>
      <c r="GZ89" s="21">
        <v>0.25126743726346912</v>
      </c>
      <c r="HA89" s="21">
        <v>1.57626928228853</v>
      </c>
      <c r="HB89" s="21">
        <f t="shared" si="1"/>
        <v>46.794628030265983</v>
      </c>
    </row>
    <row r="90" spans="1:210" x14ac:dyDescent="0.75">
      <c r="A90" s="67" t="s">
        <v>322</v>
      </c>
      <c r="B90" s="21"/>
      <c r="C90" s="21">
        <v>0.73832042695978861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>
        <v>0.70175627212913672</v>
      </c>
      <c r="AA90" s="21">
        <v>0.40287350668659705</v>
      </c>
      <c r="AB90" s="21">
        <v>0.11121101725217664</v>
      </c>
      <c r="AC90" s="69">
        <v>1.9839054965011805E-2</v>
      </c>
      <c r="AD90" s="21"/>
      <c r="AE90" s="21"/>
      <c r="AF90" s="69">
        <v>0</v>
      </c>
      <c r="AG90" s="21"/>
      <c r="AH90" s="21"/>
      <c r="AI90" s="69">
        <v>0</v>
      </c>
      <c r="AJ90" s="21"/>
      <c r="AK90" s="21">
        <v>1.9755264727293741E-2</v>
      </c>
      <c r="AL90" s="21">
        <v>0.33378294625724741</v>
      </c>
      <c r="AM90" s="21"/>
      <c r="AN90" s="21">
        <v>56.052970999339223</v>
      </c>
      <c r="AO90" s="21">
        <v>0.63169458007636303</v>
      </c>
      <c r="AP90" s="21"/>
      <c r="AQ90" s="21">
        <v>1.3234180357864276</v>
      </c>
      <c r="AR90" s="69">
        <v>10.998189792453383</v>
      </c>
      <c r="AS90" s="21"/>
      <c r="AT90" s="21"/>
      <c r="AU90" s="21"/>
      <c r="AV90" s="21"/>
      <c r="AW90" s="21"/>
      <c r="AX90" s="21"/>
      <c r="AY90" s="21"/>
      <c r="AZ90" s="21"/>
      <c r="BA90" s="21"/>
      <c r="BB90" s="69">
        <v>0</v>
      </c>
      <c r="BC90" s="21"/>
      <c r="BD90" s="21"/>
      <c r="BE90" s="21"/>
      <c r="BF90" s="21"/>
      <c r="BG90" s="69">
        <v>0</v>
      </c>
      <c r="BH90" s="21"/>
      <c r="BI90" s="69">
        <v>0</v>
      </c>
      <c r="BJ90" s="21"/>
      <c r="BK90" s="69">
        <v>0</v>
      </c>
      <c r="BL90" s="69">
        <v>0</v>
      </c>
      <c r="BM90" s="21"/>
      <c r="BN90" s="21">
        <v>0.22927836869776694</v>
      </c>
      <c r="BO90" s="69">
        <v>0</v>
      </c>
      <c r="BP90" s="21"/>
      <c r="BQ90" s="21"/>
      <c r="BR90" s="21"/>
      <c r="BS90" s="21"/>
      <c r="BT90" s="21"/>
      <c r="BU90" s="21"/>
      <c r="BV90" s="69">
        <v>0</v>
      </c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69">
        <v>0</v>
      </c>
      <c r="DH90" s="21"/>
      <c r="DI90" s="21"/>
      <c r="DJ90" s="69">
        <v>0</v>
      </c>
      <c r="DK90" s="21"/>
      <c r="DL90" s="21"/>
      <c r="DM90" s="69">
        <v>0</v>
      </c>
      <c r="DN90" s="21"/>
      <c r="DO90" s="21"/>
      <c r="DP90" s="21"/>
      <c r="DQ90" s="21"/>
      <c r="DR90" s="21"/>
      <c r="DS90" s="21"/>
      <c r="DT90" s="21"/>
      <c r="DU90" s="21"/>
      <c r="DV90" s="21"/>
      <c r="DW90" s="69">
        <v>0</v>
      </c>
      <c r="DX90" s="21"/>
      <c r="DY90" s="21"/>
      <c r="DZ90" s="21"/>
      <c r="EA90" s="21"/>
      <c r="EB90" s="21"/>
      <c r="EC90" s="21"/>
      <c r="ED90" s="21"/>
      <c r="EE90" s="21"/>
      <c r="EF90" s="21"/>
      <c r="EG90" s="69">
        <v>0</v>
      </c>
      <c r="EH90" s="21"/>
      <c r="EI90" s="21"/>
      <c r="EJ90" s="21"/>
      <c r="EK90" s="21"/>
      <c r="EL90" s="69">
        <v>0</v>
      </c>
      <c r="EM90" s="21"/>
      <c r="EN90" s="69">
        <v>0</v>
      </c>
      <c r="EO90" s="21"/>
      <c r="EP90" s="69">
        <v>0</v>
      </c>
      <c r="EQ90" s="69">
        <v>0</v>
      </c>
      <c r="ER90" s="21"/>
      <c r="ES90" s="21"/>
      <c r="ET90" s="69">
        <v>0</v>
      </c>
      <c r="EU90" s="21"/>
      <c r="EV90" s="21"/>
      <c r="EW90" s="21"/>
      <c r="EX90" s="21"/>
      <c r="EY90" s="21"/>
      <c r="EZ90" s="21"/>
      <c r="FA90" s="69">
        <v>0</v>
      </c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>
        <v>3.2089036733950183</v>
      </c>
      <c r="GE90" s="21">
        <v>5.3838270856804744</v>
      </c>
      <c r="GF90" s="21">
        <v>5.5620234425084876</v>
      </c>
      <c r="GG90" s="21">
        <v>6.1824356357959793</v>
      </c>
      <c r="GH90" s="21">
        <v>3.2496426702389409</v>
      </c>
      <c r="GI90" s="21">
        <v>9.070376777781898E-2</v>
      </c>
      <c r="GJ90" s="21">
        <v>0.15357069362908002</v>
      </c>
      <c r="GK90" s="21">
        <v>0.18543285251819316</v>
      </c>
      <c r="GL90" s="21">
        <v>0.18802748422529497</v>
      </c>
      <c r="GM90" s="21">
        <v>0.60613245107356839</v>
      </c>
      <c r="GN90" s="21">
        <v>2.6221796259843968E-2</v>
      </c>
      <c r="GO90" s="21">
        <v>2.3142265316485826E-2</v>
      </c>
      <c r="GP90" s="21">
        <v>4.2941519773451488E-2</v>
      </c>
      <c r="GQ90" s="21">
        <v>0.15266130441223366</v>
      </c>
      <c r="GR90" s="21">
        <v>0.3831983478953449</v>
      </c>
      <c r="GS90" s="21"/>
      <c r="GT90" s="21"/>
      <c r="GU90" s="21"/>
      <c r="GV90" s="21"/>
      <c r="GW90" s="21"/>
      <c r="GX90" s="21">
        <v>0</v>
      </c>
      <c r="GY90" s="21">
        <v>0</v>
      </c>
      <c r="GZ90" s="21">
        <v>5.3549653749771293</v>
      </c>
      <c r="HA90" s="21">
        <v>9.4091010399525778</v>
      </c>
      <c r="HB90" s="21">
        <f t="shared" si="1"/>
        <v>111.76602167076034</v>
      </c>
    </row>
    <row r="91" spans="1:210" x14ac:dyDescent="0.75">
      <c r="A91" s="67" t="s">
        <v>501</v>
      </c>
      <c r="B91" s="21"/>
      <c r="C91" s="21"/>
      <c r="D91" s="21">
        <v>2.4489910267414487E-2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>
        <v>0.54755374271856405</v>
      </c>
      <c r="AA91" s="21">
        <v>0.31461586479551512</v>
      </c>
      <c r="AB91" s="21">
        <v>8.6786619975653095E-2</v>
      </c>
      <c r="AC91" s="69">
        <v>1.5481726724917589E-2</v>
      </c>
      <c r="AD91" s="21"/>
      <c r="AE91" s="21"/>
      <c r="AF91" s="69">
        <v>0</v>
      </c>
      <c r="AG91" s="21"/>
      <c r="AH91" s="21"/>
      <c r="AI91" s="69">
        <v>0</v>
      </c>
      <c r="AJ91" s="21"/>
      <c r="AK91" s="21">
        <v>1.5417990739027268E-2</v>
      </c>
      <c r="AL91" s="21">
        <v>0.26049667339933585</v>
      </c>
      <c r="AM91" s="21"/>
      <c r="AN91" s="21">
        <v>43.585789581486004</v>
      </c>
      <c r="AO91" s="21">
        <v>0.49299043234506534</v>
      </c>
      <c r="AP91" s="21"/>
      <c r="AQ91" s="21">
        <v>1.0327316854816193</v>
      </c>
      <c r="AR91" s="69">
        <v>8.5799060519933601</v>
      </c>
      <c r="AS91" s="21"/>
      <c r="AT91" s="21"/>
      <c r="AU91" s="21"/>
      <c r="AV91" s="21"/>
      <c r="AW91" s="21"/>
      <c r="AX91" s="21"/>
      <c r="AY91" s="21"/>
      <c r="AZ91" s="21"/>
      <c r="BA91" s="21"/>
      <c r="BB91" s="69">
        <v>0</v>
      </c>
      <c r="BC91" s="21"/>
      <c r="BD91" s="21"/>
      <c r="BE91" s="21"/>
      <c r="BF91" s="21"/>
      <c r="BG91" s="69">
        <v>0</v>
      </c>
      <c r="BH91" s="21"/>
      <c r="BI91" s="69">
        <v>0</v>
      </c>
      <c r="BJ91" s="21"/>
      <c r="BK91" s="69">
        <v>0</v>
      </c>
      <c r="BL91" s="69">
        <v>0</v>
      </c>
      <c r="BM91" s="21"/>
      <c r="BN91" s="21">
        <v>0.17893831790005724</v>
      </c>
      <c r="BO91" s="69">
        <v>0</v>
      </c>
      <c r="BP91" s="21"/>
      <c r="BQ91" s="21"/>
      <c r="BR91" s="21"/>
      <c r="BS91" s="21"/>
      <c r="BT91" s="21"/>
      <c r="BU91" s="21"/>
      <c r="BV91" s="69">
        <v>0</v>
      </c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69">
        <v>0</v>
      </c>
      <c r="DH91" s="21"/>
      <c r="DI91" s="21"/>
      <c r="DJ91" s="69">
        <v>0</v>
      </c>
      <c r="DK91" s="21"/>
      <c r="DL91" s="21"/>
      <c r="DM91" s="69">
        <v>0</v>
      </c>
      <c r="DN91" s="21"/>
      <c r="DO91" s="21"/>
      <c r="DP91" s="21"/>
      <c r="DQ91" s="21"/>
      <c r="DR91" s="21"/>
      <c r="DS91" s="21"/>
      <c r="DT91" s="21"/>
      <c r="DU91" s="21"/>
      <c r="DV91" s="21"/>
      <c r="DW91" s="69">
        <v>0</v>
      </c>
      <c r="DX91" s="21"/>
      <c r="DY91" s="21"/>
      <c r="DZ91" s="21"/>
      <c r="EA91" s="21"/>
      <c r="EB91" s="21"/>
      <c r="EC91" s="21"/>
      <c r="ED91" s="21"/>
      <c r="EE91" s="21"/>
      <c r="EF91" s="21"/>
      <c r="EG91" s="69">
        <v>0</v>
      </c>
      <c r="EH91" s="21"/>
      <c r="EI91" s="21"/>
      <c r="EJ91" s="21"/>
      <c r="EK91" s="21"/>
      <c r="EL91" s="69">
        <v>0</v>
      </c>
      <c r="EM91" s="21"/>
      <c r="EN91" s="69">
        <v>0</v>
      </c>
      <c r="EO91" s="21"/>
      <c r="EP91" s="69">
        <v>0</v>
      </c>
      <c r="EQ91" s="69">
        <v>0</v>
      </c>
      <c r="ER91" s="21"/>
      <c r="ES91" s="21"/>
      <c r="ET91" s="69">
        <v>0</v>
      </c>
      <c r="EU91" s="21"/>
      <c r="EV91" s="21"/>
      <c r="EW91" s="21"/>
      <c r="EX91" s="21"/>
      <c r="EY91" s="21"/>
      <c r="EZ91" s="21"/>
      <c r="FA91" s="69">
        <v>0</v>
      </c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>
        <v>3.3383730624323753E-2</v>
      </c>
      <c r="GE91" s="21">
        <v>6.3583267570811813E-2</v>
      </c>
      <c r="GF91" s="21">
        <v>0.11817926868282889</v>
      </c>
      <c r="GG91" s="21">
        <v>0.12131085380315576</v>
      </c>
      <c r="GH91" s="21">
        <v>0.19376052136885152</v>
      </c>
      <c r="GI91" s="21"/>
      <c r="GJ91" s="21">
        <v>2.8468358212407389E-3</v>
      </c>
      <c r="GK91" s="21">
        <v>6.0719321751092088E-3</v>
      </c>
      <c r="GL91" s="21">
        <v>2.5083218014766224E-2</v>
      </c>
      <c r="GM91" s="21">
        <v>8.5657348430027688E-2</v>
      </c>
      <c r="GN91" s="21"/>
      <c r="GO91" s="21"/>
      <c r="GP91" s="21"/>
      <c r="GQ91" s="21">
        <v>3.8847348637995821E-3</v>
      </c>
      <c r="GR91" s="21">
        <v>3.3944376473871683E-2</v>
      </c>
      <c r="GS91" s="21"/>
      <c r="GT91" s="21"/>
      <c r="GU91" s="21"/>
      <c r="GV91" s="21"/>
      <c r="GW91" s="21"/>
      <c r="GX91" s="21">
        <v>0</v>
      </c>
      <c r="GY91" s="21">
        <v>0</v>
      </c>
      <c r="GZ91" s="21">
        <v>4.7887247504346462</v>
      </c>
      <c r="HA91" s="21">
        <v>0.27955262717359769</v>
      </c>
      <c r="HB91" s="21">
        <f t="shared" si="1"/>
        <v>60.891182063263571</v>
      </c>
    </row>
    <row r="92" spans="1:210" x14ac:dyDescent="0.75">
      <c r="A92" s="67" t="s">
        <v>722</v>
      </c>
      <c r="B92" s="21"/>
      <c r="C92" s="21"/>
      <c r="D92" s="21"/>
      <c r="E92" s="21">
        <v>0.45083807672931481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>
        <v>6.8887433409184837E-2</v>
      </c>
      <c r="AA92" s="21">
        <v>3.9678113629805729E-2</v>
      </c>
      <c r="AB92" s="21">
        <v>1.091882857619599E-2</v>
      </c>
      <c r="AC92" s="69">
        <v>1.9475689102194933E-3</v>
      </c>
      <c r="AD92" s="21"/>
      <c r="AE92" s="21"/>
      <c r="AF92" s="69">
        <v>0</v>
      </c>
      <c r="AG92" s="21"/>
      <c r="AH92" s="21"/>
      <c r="AI92" s="69">
        <v>0</v>
      </c>
      <c r="AJ92" s="21"/>
      <c r="AK92" s="21">
        <v>1.9401966515237221E-3</v>
      </c>
      <c r="AL92" s="21">
        <v>3.2786885615152736E-2</v>
      </c>
      <c r="AM92" s="21"/>
      <c r="AN92" s="21">
        <v>5.6706376297446557</v>
      </c>
      <c r="AO92" s="21">
        <v>6.2060021831584586E-2</v>
      </c>
      <c r="AP92" s="21"/>
      <c r="AQ92" s="21">
        <v>0.13003414590897558</v>
      </c>
      <c r="AR92" s="69">
        <v>1.0872093284218247</v>
      </c>
      <c r="AS92" s="21"/>
      <c r="AT92" s="21"/>
      <c r="AU92" s="21"/>
      <c r="AV92" s="21"/>
      <c r="AW92" s="21"/>
      <c r="AX92" s="21"/>
      <c r="AY92" s="21"/>
      <c r="AZ92" s="21"/>
      <c r="BA92" s="21"/>
      <c r="BB92" s="69">
        <v>0</v>
      </c>
      <c r="BC92" s="21"/>
      <c r="BD92" s="21"/>
      <c r="BE92" s="21"/>
      <c r="BF92" s="21"/>
      <c r="BG92" s="69">
        <v>0</v>
      </c>
      <c r="BH92" s="21"/>
      <c r="BI92" s="69">
        <v>0</v>
      </c>
      <c r="BJ92" s="21"/>
      <c r="BK92" s="69">
        <v>0</v>
      </c>
      <c r="BL92" s="69">
        <v>0</v>
      </c>
      <c r="BM92" s="21"/>
      <c r="BN92" s="21">
        <v>2.2520317310210633E-2</v>
      </c>
      <c r="BO92" s="69">
        <v>0</v>
      </c>
      <c r="BP92" s="21"/>
      <c r="BQ92" s="21"/>
      <c r="BR92" s="21"/>
      <c r="BS92" s="21"/>
      <c r="BT92" s="21"/>
      <c r="BU92" s="21"/>
      <c r="BV92" s="69">
        <v>0</v>
      </c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69">
        <v>0</v>
      </c>
      <c r="DH92" s="21"/>
      <c r="DI92" s="21"/>
      <c r="DJ92" s="69">
        <v>0</v>
      </c>
      <c r="DK92" s="21"/>
      <c r="DL92" s="21"/>
      <c r="DM92" s="69">
        <v>0</v>
      </c>
      <c r="DN92" s="21"/>
      <c r="DO92" s="21"/>
      <c r="DP92" s="21"/>
      <c r="DQ92" s="21"/>
      <c r="DR92" s="21"/>
      <c r="DS92" s="21"/>
      <c r="DT92" s="21"/>
      <c r="DU92" s="21"/>
      <c r="DV92" s="21"/>
      <c r="DW92" s="69">
        <v>0</v>
      </c>
      <c r="DX92" s="21"/>
      <c r="DY92" s="21"/>
      <c r="DZ92" s="21"/>
      <c r="EA92" s="21"/>
      <c r="EB92" s="21"/>
      <c r="EC92" s="21"/>
      <c r="ED92" s="21"/>
      <c r="EE92" s="21"/>
      <c r="EF92" s="21"/>
      <c r="EG92" s="69">
        <v>0</v>
      </c>
      <c r="EH92" s="21"/>
      <c r="EI92" s="21"/>
      <c r="EJ92" s="21"/>
      <c r="EK92" s="21"/>
      <c r="EL92" s="69">
        <v>0</v>
      </c>
      <c r="EM92" s="21"/>
      <c r="EN92" s="69">
        <v>0</v>
      </c>
      <c r="EO92" s="21"/>
      <c r="EP92" s="69">
        <v>0</v>
      </c>
      <c r="EQ92" s="69">
        <v>0</v>
      </c>
      <c r="ER92" s="21"/>
      <c r="ES92" s="21"/>
      <c r="ET92" s="69">
        <v>0</v>
      </c>
      <c r="EU92" s="21"/>
      <c r="EV92" s="21"/>
      <c r="EW92" s="21"/>
      <c r="EX92" s="21"/>
      <c r="EY92" s="21"/>
      <c r="EZ92" s="21"/>
      <c r="FA92" s="69">
        <v>0</v>
      </c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>
        <v>3.939205751542771</v>
      </c>
      <c r="GE92" s="21">
        <v>7.4894400714777092</v>
      </c>
      <c r="GF92" s="21">
        <v>11.076717388842114</v>
      </c>
      <c r="GG92" s="21">
        <v>16.109038603401629</v>
      </c>
      <c r="GH92" s="21">
        <v>15.933444984471633</v>
      </c>
      <c r="GI92" s="21">
        <v>0.47536457194642046</v>
      </c>
      <c r="GJ92" s="21">
        <v>0.67030651169494704</v>
      </c>
      <c r="GK92" s="21">
        <v>1.2666544574909462</v>
      </c>
      <c r="GL92" s="21">
        <v>1.5357031883700505</v>
      </c>
      <c r="GM92" s="21">
        <v>5.4024993774990655</v>
      </c>
      <c r="GN92" s="21">
        <v>0.49691445696366304</v>
      </c>
      <c r="GO92" s="21">
        <v>0.7753582301090397</v>
      </c>
      <c r="GP92" s="21">
        <v>1.003945018587171</v>
      </c>
      <c r="GQ92" s="21">
        <v>2.0333767422142461</v>
      </c>
      <c r="GR92" s="21">
        <v>4.4834302166982445</v>
      </c>
      <c r="GS92" s="21"/>
      <c r="GT92" s="21"/>
      <c r="GU92" s="21"/>
      <c r="GV92" s="21"/>
      <c r="GW92" s="21"/>
      <c r="GX92" s="21">
        <v>0</v>
      </c>
      <c r="GY92" s="21">
        <v>0</v>
      </c>
      <c r="GZ92" s="21">
        <v>-1.908265751016371</v>
      </c>
      <c r="HA92" s="21">
        <v>4.7525814712656604</v>
      </c>
      <c r="HB92" s="21">
        <f t="shared" si="1"/>
        <v>83.115173838297579</v>
      </c>
    </row>
    <row r="93" spans="1:210" x14ac:dyDescent="0.75">
      <c r="A93" s="67" t="s">
        <v>356</v>
      </c>
      <c r="B93" s="21"/>
      <c r="C93" s="21"/>
      <c r="D93" s="21"/>
      <c r="E93" s="21"/>
      <c r="F93" s="21">
        <v>2.1894899818842013E-3</v>
      </c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>
        <v>3.7152844887377648E-2</v>
      </c>
      <c r="AA93" s="21">
        <v>2.1393730775331864E-2</v>
      </c>
      <c r="AB93" s="21">
        <v>5.8838008937206259E-3</v>
      </c>
      <c r="AC93" s="69">
        <v>1.0493346616971056E-3</v>
      </c>
      <c r="AD93" s="21"/>
      <c r="AE93" s="21"/>
      <c r="AF93" s="69">
        <v>0</v>
      </c>
      <c r="AG93" s="21"/>
      <c r="AH93" s="21"/>
      <c r="AI93" s="69">
        <v>0</v>
      </c>
      <c r="AJ93" s="21"/>
      <c r="AK93" s="21">
        <v>1.0453855377787389E-3</v>
      </c>
      <c r="AL93" s="21">
        <v>1.7673950638807681E-2</v>
      </c>
      <c r="AM93" s="21"/>
      <c r="AN93" s="21">
        <v>3.3660137964049524</v>
      </c>
      <c r="AO93" s="21">
        <v>3.3468609127868712E-2</v>
      </c>
      <c r="AP93" s="21"/>
      <c r="AQ93" s="21">
        <v>7.0197887317454008E-2</v>
      </c>
      <c r="AR93" s="69">
        <v>0.59549478904645892</v>
      </c>
      <c r="AS93" s="21"/>
      <c r="AT93" s="21"/>
      <c r="AU93" s="21"/>
      <c r="AV93" s="21"/>
      <c r="AW93" s="21"/>
      <c r="AX93" s="21"/>
      <c r="AY93" s="21"/>
      <c r="AZ93" s="21"/>
      <c r="BA93" s="21"/>
      <c r="BB93" s="69">
        <v>0</v>
      </c>
      <c r="BC93" s="21"/>
      <c r="BD93" s="21"/>
      <c r="BE93" s="21"/>
      <c r="BF93" s="21"/>
      <c r="BG93" s="69">
        <v>0</v>
      </c>
      <c r="BH93" s="21"/>
      <c r="BI93" s="69">
        <v>0</v>
      </c>
      <c r="BJ93" s="21"/>
      <c r="BK93" s="69">
        <v>0</v>
      </c>
      <c r="BL93" s="69">
        <v>0</v>
      </c>
      <c r="BM93" s="21"/>
      <c r="BN93" s="21">
        <v>1.2137814624538683E-2</v>
      </c>
      <c r="BO93" s="69">
        <v>0</v>
      </c>
      <c r="BP93" s="21"/>
      <c r="BQ93" s="21"/>
      <c r="BR93" s="21"/>
      <c r="BS93" s="21"/>
      <c r="BT93" s="21"/>
      <c r="BU93" s="21"/>
      <c r="BV93" s="69">
        <v>0</v>
      </c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69">
        <v>0</v>
      </c>
      <c r="DH93" s="21"/>
      <c r="DI93" s="21"/>
      <c r="DJ93" s="69">
        <v>0</v>
      </c>
      <c r="DK93" s="21"/>
      <c r="DL93" s="21"/>
      <c r="DM93" s="69">
        <v>0</v>
      </c>
      <c r="DN93" s="21"/>
      <c r="DO93" s="21"/>
      <c r="DP93" s="21"/>
      <c r="DQ93" s="21"/>
      <c r="DR93" s="21"/>
      <c r="DS93" s="21"/>
      <c r="DT93" s="21"/>
      <c r="DU93" s="21"/>
      <c r="DV93" s="21"/>
      <c r="DW93" s="69">
        <v>0</v>
      </c>
      <c r="DX93" s="21"/>
      <c r="DY93" s="21"/>
      <c r="DZ93" s="21"/>
      <c r="EA93" s="21"/>
      <c r="EB93" s="21"/>
      <c r="EC93" s="21"/>
      <c r="ED93" s="21"/>
      <c r="EE93" s="21"/>
      <c r="EF93" s="21"/>
      <c r="EG93" s="69">
        <v>0</v>
      </c>
      <c r="EH93" s="21"/>
      <c r="EI93" s="21"/>
      <c r="EJ93" s="21"/>
      <c r="EK93" s="21"/>
      <c r="EL93" s="69">
        <v>0</v>
      </c>
      <c r="EM93" s="21"/>
      <c r="EN93" s="69">
        <v>0</v>
      </c>
      <c r="EO93" s="21"/>
      <c r="EP93" s="69">
        <v>0</v>
      </c>
      <c r="EQ93" s="69">
        <v>0</v>
      </c>
      <c r="ER93" s="21"/>
      <c r="ES93" s="21"/>
      <c r="ET93" s="69">
        <v>0</v>
      </c>
      <c r="EU93" s="21"/>
      <c r="EV93" s="21"/>
      <c r="EW93" s="21"/>
      <c r="EX93" s="21"/>
      <c r="EY93" s="21"/>
      <c r="EZ93" s="21"/>
      <c r="FA93" s="69">
        <v>0</v>
      </c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>
        <v>5.4203765961310262E-4</v>
      </c>
      <c r="GE93" s="21">
        <v>1.3634533936221851E-3</v>
      </c>
      <c r="GF93" s="21">
        <v>2.3411181904533781E-2</v>
      </c>
      <c r="GG93" s="21">
        <v>1.7370068928599297E-2</v>
      </c>
      <c r="GH93" s="21">
        <v>2.9167247577465808E-2</v>
      </c>
      <c r="GI93" s="21">
        <v>2.8056083872275255E-3</v>
      </c>
      <c r="GJ93" s="21">
        <v>5.140623991923282E-4</v>
      </c>
      <c r="GK93" s="21">
        <v>3.7796994850347971E-3</v>
      </c>
      <c r="GL93" s="21">
        <v>6.3839317272569862E-3</v>
      </c>
      <c r="GM93" s="21">
        <v>7.99250078785705E-3</v>
      </c>
      <c r="GN93" s="21"/>
      <c r="GO93" s="21"/>
      <c r="GP93" s="21"/>
      <c r="GQ93" s="21">
        <v>3.5015144222083974E-4</v>
      </c>
      <c r="GR93" s="21">
        <v>1.4480452801495897E-2</v>
      </c>
      <c r="GS93" s="21"/>
      <c r="GT93" s="21"/>
      <c r="GU93" s="21"/>
      <c r="GV93" s="21"/>
      <c r="GW93" s="21"/>
      <c r="GX93" s="21">
        <v>0</v>
      </c>
      <c r="GY93" s="21">
        <v>0</v>
      </c>
      <c r="GZ93" s="21">
        <v>9.6108636544519725E-3</v>
      </c>
      <c r="HA93" s="21">
        <v>0.21506959104678317</v>
      </c>
      <c r="HB93" s="21">
        <f t="shared" si="1"/>
        <v>4.4965422850932244</v>
      </c>
    </row>
    <row r="94" spans="1:210" x14ac:dyDescent="0.75">
      <c r="A94" s="67" t="s">
        <v>503</v>
      </c>
      <c r="B94" s="21"/>
      <c r="C94" s="21"/>
      <c r="D94" s="21"/>
      <c r="E94" s="21"/>
      <c r="F94" s="21"/>
      <c r="G94" s="21">
        <v>1.9455680597841267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69">
        <v>0</v>
      </c>
      <c r="AD94" s="21"/>
      <c r="AE94" s="21"/>
      <c r="AF94" s="69">
        <v>0</v>
      </c>
      <c r="AG94" s="21"/>
      <c r="AH94" s="21"/>
      <c r="AI94" s="69">
        <v>0</v>
      </c>
      <c r="AJ94" s="21"/>
      <c r="AK94" s="21"/>
      <c r="AL94" s="21"/>
      <c r="AM94" s="21"/>
      <c r="AN94" s="21"/>
      <c r="AO94" s="21"/>
      <c r="AP94" s="21"/>
      <c r="AQ94" s="21"/>
      <c r="AR94" s="69">
        <v>0</v>
      </c>
      <c r="AS94" s="21"/>
      <c r="AT94" s="21"/>
      <c r="AU94" s="21"/>
      <c r="AV94" s="21"/>
      <c r="AW94" s="21"/>
      <c r="AX94" s="21"/>
      <c r="AY94" s="21"/>
      <c r="AZ94" s="21"/>
      <c r="BA94" s="21"/>
      <c r="BB94" s="69">
        <v>0</v>
      </c>
      <c r="BC94" s="21"/>
      <c r="BD94" s="21"/>
      <c r="BE94" s="21"/>
      <c r="BF94" s="21"/>
      <c r="BG94" s="69">
        <v>0</v>
      </c>
      <c r="BH94" s="21"/>
      <c r="BI94" s="69">
        <v>0</v>
      </c>
      <c r="BJ94" s="21"/>
      <c r="BK94" s="69">
        <v>5.5957828667581345E-2</v>
      </c>
      <c r="BL94" s="69">
        <v>0</v>
      </c>
      <c r="BM94" s="21"/>
      <c r="BN94" s="21">
        <v>0.21055187210340803</v>
      </c>
      <c r="BO94" s="69">
        <v>0</v>
      </c>
      <c r="BP94" s="21"/>
      <c r="BQ94" s="21"/>
      <c r="BR94" s="21"/>
      <c r="BS94" s="21"/>
      <c r="BT94" s="21"/>
      <c r="BU94" s="21"/>
      <c r="BV94" s="69">
        <v>0</v>
      </c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69">
        <v>0</v>
      </c>
      <c r="DH94" s="21"/>
      <c r="DI94" s="21"/>
      <c r="DJ94" s="69">
        <v>0</v>
      </c>
      <c r="DK94" s="21"/>
      <c r="DL94" s="21"/>
      <c r="DM94" s="69">
        <v>0</v>
      </c>
      <c r="DN94" s="21"/>
      <c r="DO94" s="21"/>
      <c r="DP94" s="21"/>
      <c r="DQ94" s="21"/>
      <c r="DR94" s="21"/>
      <c r="DS94" s="21"/>
      <c r="DT94" s="21"/>
      <c r="DU94" s="21"/>
      <c r="DV94" s="21"/>
      <c r="DW94" s="69">
        <v>0</v>
      </c>
      <c r="DX94" s="21"/>
      <c r="DY94" s="21"/>
      <c r="DZ94" s="21"/>
      <c r="EA94" s="21"/>
      <c r="EB94" s="21"/>
      <c r="EC94" s="21"/>
      <c r="ED94" s="21"/>
      <c r="EE94" s="21"/>
      <c r="EF94" s="21"/>
      <c r="EG94" s="69">
        <v>0</v>
      </c>
      <c r="EH94" s="21"/>
      <c r="EI94" s="21"/>
      <c r="EJ94" s="21"/>
      <c r="EK94" s="21"/>
      <c r="EL94" s="69">
        <v>0</v>
      </c>
      <c r="EM94" s="21"/>
      <c r="EN94" s="69">
        <v>0</v>
      </c>
      <c r="EO94" s="21"/>
      <c r="EP94" s="69">
        <v>0</v>
      </c>
      <c r="EQ94" s="69">
        <v>0</v>
      </c>
      <c r="ER94" s="21"/>
      <c r="ES94" s="21"/>
      <c r="ET94" s="69">
        <v>0</v>
      </c>
      <c r="EU94" s="21"/>
      <c r="EV94" s="21"/>
      <c r="EW94" s="21"/>
      <c r="EX94" s="21"/>
      <c r="EY94" s="21"/>
      <c r="EZ94" s="21"/>
      <c r="FA94" s="69">
        <v>0</v>
      </c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>
        <v>6.7288323336359923</v>
      </c>
      <c r="GE94" s="21">
        <v>7.9491036882359207</v>
      </c>
      <c r="GF94" s="21">
        <v>8.666710655529112</v>
      </c>
      <c r="GG94" s="21">
        <v>8.1118416835694109</v>
      </c>
      <c r="GH94" s="21">
        <v>5.3691041548295457</v>
      </c>
      <c r="GI94" s="21">
        <v>0.39393293904454513</v>
      </c>
      <c r="GJ94" s="21">
        <v>0.45292374457836998</v>
      </c>
      <c r="GK94" s="21">
        <v>0.45184507339582575</v>
      </c>
      <c r="GL94" s="21">
        <v>0.65216087257201971</v>
      </c>
      <c r="GM94" s="21">
        <v>1.7560705601714208</v>
      </c>
      <c r="GN94" s="21">
        <v>0.20089698708823317</v>
      </c>
      <c r="GO94" s="21">
        <v>0.28659011358834058</v>
      </c>
      <c r="GP94" s="21">
        <v>0.42443666468805824</v>
      </c>
      <c r="GQ94" s="21">
        <v>0.72451156529602501</v>
      </c>
      <c r="GR94" s="21">
        <v>2.5030241462415148</v>
      </c>
      <c r="GS94" s="21"/>
      <c r="GT94" s="21"/>
      <c r="GU94" s="21"/>
      <c r="GV94" s="21"/>
      <c r="GW94" s="21"/>
      <c r="GX94" s="21">
        <v>0</v>
      </c>
      <c r="GY94" s="21">
        <v>0</v>
      </c>
      <c r="GZ94" s="21">
        <v>-5.596231565769072E-2</v>
      </c>
      <c r="HA94" s="21">
        <v>5.1921126381780933</v>
      </c>
      <c r="HB94" s="21">
        <f t="shared" si="1"/>
        <v>52.020213265539859</v>
      </c>
    </row>
    <row r="95" spans="1:210" x14ac:dyDescent="0.75">
      <c r="A95" s="67" t="s">
        <v>504</v>
      </c>
      <c r="B95" s="21"/>
      <c r="C95" s="21"/>
      <c r="D95" s="21"/>
      <c r="E95" s="21"/>
      <c r="F95" s="21"/>
      <c r="G95" s="21"/>
      <c r="H95" s="21">
        <v>1.7319849974409685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69">
        <v>0</v>
      </c>
      <c r="AD95" s="21"/>
      <c r="AE95" s="21"/>
      <c r="AF95" s="69">
        <v>0</v>
      </c>
      <c r="AG95" s="21"/>
      <c r="AH95" s="21"/>
      <c r="AI95" s="69">
        <v>0</v>
      </c>
      <c r="AJ95" s="21"/>
      <c r="AK95" s="21"/>
      <c r="AL95" s="21"/>
      <c r="AM95" s="21"/>
      <c r="AN95" s="21"/>
      <c r="AO95" s="21"/>
      <c r="AP95" s="21"/>
      <c r="AQ95" s="21"/>
      <c r="AR95" s="69">
        <v>0</v>
      </c>
      <c r="AS95" s="21"/>
      <c r="AT95" s="21"/>
      <c r="AU95" s="21"/>
      <c r="AV95" s="21"/>
      <c r="AW95" s="21"/>
      <c r="AX95" s="21"/>
      <c r="AY95" s="21"/>
      <c r="AZ95" s="21"/>
      <c r="BA95" s="21"/>
      <c r="BB95" s="69">
        <v>0</v>
      </c>
      <c r="BC95" s="21"/>
      <c r="BD95" s="21"/>
      <c r="BE95" s="21"/>
      <c r="BF95" s="21"/>
      <c r="BG95" s="69">
        <v>0</v>
      </c>
      <c r="BH95" s="21"/>
      <c r="BI95" s="69">
        <v>0</v>
      </c>
      <c r="BJ95" s="21"/>
      <c r="BK95" s="69">
        <v>5.6473053841676148E-2</v>
      </c>
      <c r="BL95" s="69">
        <v>0</v>
      </c>
      <c r="BM95" s="21"/>
      <c r="BN95" s="21">
        <v>0.21249080139622423</v>
      </c>
      <c r="BO95" s="69">
        <v>0</v>
      </c>
      <c r="BP95" s="21"/>
      <c r="BQ95" s="21"/>
      <c r="BR95" s="21"/>
      <c r="BS95" s="21"/>
      <c r="BT95" s="21"/>
      <c r="BU95" s="21"/>
      <c r="BV95" s="69">
        <v>0</v>
      </c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69">
        <v>0</v>
      </c>
      <c r="DH95" s="21"/>
      <c r="DI95" s="21"/>
      <c r="DJ95" s="69">
        <v>0</v>
      </c>
      <c r="DK95" s="21"/>
      <c r="DL95" s="21"/>
      <c r="DM95" s="69">
        <v>0</v>
      </c>
      <c r="DN95" s="21"/>
      <c r="DO95" s="21"/>
      <c r="DP95" s="21"/>
      <c r="DQ95" s="21"/>
      <c r="DR95" s="21"/>
      <c r="DS95" s="21"/>
      <c r="DT95" s="21"/>
      <c r="DU95" s="21"/>
      <c r="DV95" s="21"/>
      <c r="DW95" s="69">
        <v>0</v>
      </c>
      <c r="DX95" s="21"/>
      <c r="DY95" s="21"/>
      <c r="DZ95" s="21"/>
      <c r="EA95" s="21"/>
      <c r="EB95" s="21"/>
      <c r="EC95" s="21"/>
      <c r="ED95" s="21"/>
      <c r="EE95" s="21"/>
      <c r="EF95" s="21"/>
      <c r="EG95" s="69">
        <v>0</v>
      </c>
      <c r="EH95" s="21"/>
      <c r="EI95" s="21"/>
      <c r="EJ95" s="21"/>
      <c r="EK95" s="21"/>
      <c r="EL95" s="69">
        <v>0</v>
      </c>
      <c r="EM95" s="21"/>
      <c r="EN95" s="69">
        <v>0</v>
      </c>
      <c r="EO95" s="21"/>
      <c r="EP95" s="69">
        <v>0</v>
      </c>
      <c r="EQ95" s="69">
        <v>0</v>
      </c>
      <c r="ER95" s="21"/>
      <c r="ES95" s="21"/>
      <c r="ET95" s="69">
        <v>0</v>
      </c>
      <c r="EU95" s="21"/>
      <c r="EV95" s="21"/>
      <c r="EW95" s="21"/>
      <c r="EX95" s="21"/>
      <c r="EY95" s="21"/>
      <c r="EZ95" s="21"/>
      <c r="FA95" s="69">
        <v>0</v>
      </c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>
        <v>1.6971244523843907</v>
      </c>
      <c r="GE95" s="21">
        <v>2.3682273212442109</v>
      </c>
      <c r="GF95" s="21">
        <v>2.2174691939598445</v>
      </c>
      <c r="GG95" s="21">
        <v>2.7860954778767248</v>
      </c>
      <c r="GH95" s="21">
        <v>1.9698165592466241</v>
      </c>
      <c r="GI95" s="21">
        <v>2.8363335345114829E-2</v>
      </c>
      <c r="GJ95" s="21">
        <v>7.8980194510073667E-2</v>
      </c>
      <c r="GK95" s="21">
        <v>9.4056174971652862E-2</v>
      </c>
      <c r="GL95" s="21">
        <v>0.12062405848615083</v>
      </c>
      <c r="GM95" s="21">
        <v>0.49096060073600994</v>
      </c>
      <c r="GN95" s="21">
        <v>4.1253713807760828E-2</v>
      </c>
      <c r="GO95" s="21">
        <v>4.3682218825174264E-2</v>
      </c>
      <c r="GP95" s="21">
        <v>0.119069147953601</v>
      </c>
      <c r="GQ95" s="21">
        <v>0.17802370084356237</v>
      </c>
      <c r="GR95" s="21">
        <v>0.74836271087449624</v>
      </c>
      <c r="GS95" s="21"/>
      <c r="GT95" s="21"/>
      <c r="GU95" s="21"/>
      <c r="GV95" s="21"/>
      <c r="GW95" s="21"/>
      <c r="GX95" s="21">
        <v>0</v>
      </c>
      <c r="GY95" s="21">
        <v>0</v>
      </c>
      <c r="GZ95" s="21">
        <v>1.883887626510659E-2</v>
      </c>
      <c r="HA95" s="21">
        <v>8.0893735802824093E-2</v>
      </c>
      <c r="HB95" s="21">
        <f t="shared" si="1"/>
        <v>15.082790325812189</v>
      </c>
    </row>
    <row r="96" spans="1:210" x14ac:dyDescent="0.75">
      <c r="A96" s="67" t="s">
        <v>558</v>
      </c>
      <c r="B96" s="21"/>
      <c r="C96" s="21"/>
      <c r="D96" s="21"/>
      <c r="E96" s="21"/>
      <c r="F96" s="21"/>
      <c r="G96" s="21"/>
      <c r="H96" s="21"/>
      <c r="I96" s="21">
        <v>1.4350022152256385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69">
        <v>0</v>
      </c>
      <c r="AD96" s="21"/>
      <c r="AE96" s="21"/>
      <c r="AF96" s="69">
        <v>0</v>
      </c>
      <c r="AG96" s="21"/>
      <c r="AH96" s="21"/>
      <c r="AI96" s="69">
        <v>0</v>
      </c>
      <c r="AJ96" s="21"/>
      <c r="AK96" s="21"/>
      <c r="AL96" s="21"/>
      <c r="AM96" s="21"/>
      <c r="AN96" s="21">
        <v>55.891468767459934</v>
      </c>
      <c r="AO96" s="21"/>
      <c r="AP96" s="21"/>
      <c r="AQ96" s="21">
        <v>1.4525036560148852</v>
      </c>
      <c r="AR96" s="69">
        <v>0</v>
      </c>
      <c r="AS96" s="21"/>
      <c r="AT96" s="21"/>
      <c r="AU96" s="21">
        <v>3.2289364435607419E-2</v>
      </c>
      <c r="AV96" s="21"/>
      <c r="AW96" s="21"/>
      <c r="AX96" s="21"/>
      <c r="AY96" s="21"/>
      <c r="AZ96" s="21"/>
      <c r="BA96" s="21">
        <v>5.9145168722097546E-2</v>
      </c>
      <c r="BB96" s="69">
        <v>0</v>
      </c>
      <c r="BC96" s="21"/>
      <c r="BD96" s="21"/>
      <c r="BE96" s="21"/>
      <c r="BF96" s="21"/>
      <c r="BG96" s="69">
        <v>0</v>
      </c>
      <c r="BH96" s="21"/>
      <c r="BI96" s="69">
        <v>0</v>
      </c>
      <c r="BJ96" s="21"/>
      <c r="BK96" s="69">
        <v>4.0967161336120084</v>
      </c>
      <c r="BL96" s="69">
        <v>0</v>
      </c>
      <c r="BM96" s="21"/>
      <c r="BN96" s="21">
        <v>15.471819711776165</v>
      </c>
      <c r="BO96" s="69">
        <v>0</v>
      </c>
      <c r="BP96" s="21"/>
      <c r="BQ96" s="21"/>
      <c r="BR96" s="21"/>
      <c r="BS96" s="21"/>
      <c r="BT96" s="21"/>
      <c r="BU96" s="21"/>
      <c r="BV96" s="69">
        <v>0</v>
      </c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69">
        <v>0</v>
      </c>
      <c r="DH96" s="21"/>
      <c r="DI96" s="21"/>
      <c r="DJ96" s="69">
        <v>0</v>
      </c>
      <c r="DK96" s="21"/>
      <c r="DL96" s="21"/>
      <c r="DM96" s="69">
        <v>0</v>
      </c>
      <c r="DN96" s="21"/>
      <c r="DO96" s="21"/>
      <c r="DP96" s="21"/>
      <c r="DQ96" s="21"/>
      <c r="DR96" s="21"/>
      <c r="DS96" s="21"/>
      <c r="DT96" s="21"/>
      <c r="DU96" s="21"/>
      <c r="DV96" s="21"/>
      <c r="DW96" s="69">
        <v>0</v>
      </c>
      <c r="DX96" s="21"/>
      <c r="DY96" s="21"/>
      <c r="DZ96" s="21"/>
      <c r="EA96" s="21"/>
      <c r="EB96" s="21"/>
      <c r="EC96" s="21"/>
      <c r="ED96" s="21"/>
      <c r="EE96" s="21"/>
      <c r="EF96" s="21"/>
      <c r="EG96" s="69">
        <v>0</v>
      </c>
      <c r="EH96" s="21"/>
      <c r="EI96" s="21"/>
      <c r="EJ96" s="21"/>
      <c r="EK96" s="21"/>
      <c r="EL96" s="69">
        <v>0</v>
      </c>
      <c r="EM96" s="21"/>
      <c r="EN96" s="69">
        <v>0</v>
      </c>
      <c r="EO96" s="21"/>
      <c r="EP96" s="69">
        <v>0</v>
      </c>
      <c r="EQ96" s="69">
        <v>0</v>
      </c>
      <c r="ER96" s="21"/>
      <c r="ES96" s="21"/>
      <c r="ET96" s="69">
        <v>0</v>
      </c>
      <c r="EU96" s="21"/>
      <c r="EV96" s="21"/>
      <c r="EW96" s="21"/>
      <c r="EX96" s="21"/>
      <c r="EY96" s="21"/>
      <c r="EZ96" s="21"/>
      <c r="FA96" s="69">
        <v>0</v>
      </c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>
        <v>5.7560973731657645</v>
      </c>
      <c r="GE96" s="21">
        <v>7.6480189327358907</v>
      </c>
      <c r="GF96" s="21">
        <v>7.8397958468078928</v>
      </c>
      <c r="GG96" s="21">
        <v>8.3812910401608693</v>
      </c>
      <c r="GH96" s="21">
        <v>6.5782412782579689</v>
      </c>
      <c r="GI96" s="21">
        <v>0.70636948258503285</v>
      </c>
      <c r="GJ96" s="21">
        <v>0.78031718084485757</v>
      </c>
      <c r="GK96" s="21">
        <v>1.0792427786267615</v>
      </c>
      <c r="GL96" s="21">
        <v>0.81096136326956292</v>
      </c>
      <c r="GM96" s="21">
        <v>2.1147804635908178</v>
      </c>
      <c r="GN96" s="21">
        <v>0.75981337965067863</v>
      </c>
      <c r="GO96" s="21">
        <v>0.72844597233567721</v>
      </c>
      <c r="GP96" s="21">
        <v>0.91815160585144073</v>
      </c>
      <c r="GQ96" s="21">
        <v>1.6586428815589507</v>
      </c>
      <c r="GR96" s="21">
        <v>4.0023827049915957</v>
      </c>
      <c r="GS96" s="21"/>
      <c r="GT96" s="21"/>
      <c r="GU96" s="21"/>
      <c r="GV96" s="21"/>
      <c r="GW96" s="21"/>
      <c r="GX96" s="21">
        <v>0</v>
      </c>
      <c r="GY96" s="21">
        <v>0</v>
      </c>
      <c r="GZ96" s="21">
        <v>-2.4814927647465765E-3</v>
      </c>
      <c r="HA96" s="21">
        <v>9.4850345520036128E-2</v>
      </c>
      <c r="HB96" s="21">
        <f t="shared" si="1"/>
        <v>128.29386615443536</v>
      </c>
    </row>
    <row r="97" spans="1:210" x14ac:dyDescent="0.75">
      <c r="A97" s="67" t="s">
        <v>324</v>
      </c>
      <c r="B97" s="21"/>
      <c r="C97" s="21"/>
      <c r="D97" s="21"/>
      <c r="E97" s="21"/>
      <c r="F97" s="21"/>
      <c r="G97" s="21"/>
      <c r="H97" s="21"/>
      <c r="I97" s="21"/>
      <c r="J97" s="21">
        <v>0.2438727942353103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69">
        <v>0</v>
      </c>
      <c r="AD97" s="21"/>
      <c r="AE97" s="21"/>
      <c r="AF97" s="69">
        <v>0</v>
      </c>
      <c r="AG97" s="21"/>
      <c r="AH97" s="21"/>
      <c r="AI97" s="69">
        <v>0</v>
      </c>
      <c r="AJ97" s="21"/>
      <c r="AK97" s="21"/>
      <c r="AL97" s="21"/>
      <c r="AM97" s="21"/>
      <c r="AN97" s="21">
        <v>0.31304043099672474</v>
      </c>
      <c r="AO97" s="21"/>
      <c r="AP97" s="21"/>
      <c r="AQ97" s="21">
        <v>8.2960235885442719E-3</v>
      </c>
      <c r="AR97" s="69">
        <v>0</v>
      </c>
      <c r="AS97" s="21"/>
      <c r="AT97" s="21"/>
      <c r="AU97" s="21">
        <v>1.8456363773379389E-4</v>
      </c>
      <c r="AV97" s="21"/>
      <c r="AW97" s="21"/>
      <c r="AX97" s="21"/>
      <c r="AY97" s="21"/>
      <c r="AZ97" s="21"/>
      <c r="BA97" s="21">
        <v>3.380439638019483E-4</v>
      </c>
      <c r="BB97" s="69">
        <v>0</v>
      </c>
      <c r="BC97" s="21"/>
      <c r="BD97" s="21"/>
      <c r="BE97" s="21"/>
      <c r="BF97" s="21"/>
      <c r="BG97" s="69">
        <v>0</v>
      </c>
      <c r="BH97" s="21"/>
      <c r="BI97" s="69">
        <v>0</v>
      </c>
      <c r="BJ97" s="21"/>
      <c r="BK97" s="69">
        <v>2.3389892075681758E-2</v>
      </c>
      <c r="BL97" s="69">
        <v>0</v>
      </c>
      <c r="BM97" s="21"/>
      <c r="BN97" s="21">
        <v>8.8003430294250437E-2</v>
      </c>
      <c r="BO97" s="69">
        <v>0</v>
      </c>
      <c r="BP97" s="21"/>
      <c r="BQ97" s="21"/>
      <c r="BR97" s="21"/>
      <c r="BS97" s="21"/>
      <c r="BT97" s="21"/>
      <c r="BU97" s="21"/>
      <c r="BV97" s="69">
        <v>0</v>
      </c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69">
        <v>0</v>
      </c>
      <c r="DH97" s="21"/>
      <c r="DI97" s="21"/>
      <c r="DJ97" s="69">
        <v>0</v>
      </c>
      <c r="DK97" s="21"/>
      <c r="DL97" s="21"/>
      <c r="DM97" s="69">
        <v>0</v>
      </c>
      <c r="DN97" s="21"/>
      <c r="DO97" s="21"/>
      <c r="DP97" s="21"/>
      <c r="DQ97" s="21"/>
      <c r="DR97" s="21"/>
      <c r="DS97" s="21"/>
      <c r="DT97" s="21"/>
      <c r="DU97" s="21"/>
      <c r="DV97" s="21"/>
      <c r="DW97" s="69">
        <v>0</v>
      </c>
      <c r="DX97" s="21"/>
      <c r="DY97" s="21"/>
      <c r="DZ97" s="21"/>
      <c r="EA97" s="21"/>
      <c r="EB97" s="21"/>
      <c r="EC97" s="21"/>
      <c r="ED97" s="21"/>
      <c r="EE97" s="21"/>
      <c r="EF97" s="21"/>
      <c r="EG97" s="69">
        <v>0</v>
      </c>
      <c r="EH97" s="21"/>
      <c r="EI97" s="21"/>
      <c r="EJ97" s="21"/>
      <c r="EK97" s="21"/>
      <c r="EL97" s="69">
        <v>0</v>
      </c>
      <c r="EM97" s="21"/>
      <c r="EN97" s="69">
        <v>0</v>
      </c>
      <c r="EO97" s="21"/>
      <c r="EP97" s="69">
        <v>0</v>
      </c>
      <c r="EQ97" s="69">
        <v>0</v>
      </c>
      <c r="ER97" s="21"/>
      <c r="ES97" s="21"/>
      <c r="ET97" s="69">
        <v>0</v>
      </c>
      <c r="EU97" s="21"/>
      <c r="EV97" s="21"/>
      <c r="EW97" s="21"/>
      <c r="EX97" s="21"/>
      <c r="EY97" s="21"/>
      <c r="EZ97" s="21"/>
      <c r="FA97" s="69">
        <v>0</v>
      </c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>
        <v>0.8647337180614969</v>
      </c>
      <c r="GE97" s="21">
        <v>0.92641649932827874</v>
      </c>
      <c r="GF97" s="21">
        <v>1.7673310743737607</v>
      </c>
      <c r="GG97" s="21">
        <v>1.5825794758828309</v>
      </c>
      <c r="GH97" s="21">
        <v>1.2794222735034109</v>
      </c>
      <c r="GI97" s="21">
        <v>0.12318106334933962</v>
      </c>
      <c r="GJ97" s="21">
        <v>0.10481812053395297</v>
      </c>
      <c r="GK97" s="21">
        <v>0.20413843725916836</v>
      </c>
      <c r="GL97" s="21">
        <v>0.29846565315939105</v>
      </c>
      <c r="GM97" s="21">
        <v>0.43404644009580556</v>
      </c>
      <c r="GN97" s="21">
        <v>3.7248826236307743E-2</v>
      </c>
      <c r="GO97" s="21">
        <v>4.5601263922539336E-3</v>
      </c>
      <c r="GP97" s="21">
        <v>4.8270851259955352E-2</v>
      </c>
      <c r="GQ97" s="21">
        <v>2.3864647526730398E-2</v>
      </c>
      <c r="GR97" s="21">
        <v>0.21383206074859112</v>
      </c>
      <c r="GS97" s="21"/>
      <c r="GT97" s="21"/>
      <c r="GU97" s="21"/>
      <c r="GV97" s="21"/>
      <c r="GW97" s="21"/>
      <c r="GX97" s="21">
        <v>0</v>
      </c>
      <c r="GY97" s="21">
        <v>0</v>
      </c>
      <c r="GZ97" s="21"/>
      <c r="HA97" s="21">
        <v>4.1034495040227437E-2</v>
      </c>
      <c r="HB97" s="21">
        <f t="shared" si="1"/>
        <v>8.6310689415435515</v>
      </c>
    </row>
    <row r="98" spans="1:210" x14ac:dyDescent="0.75">
      <c r="A98" s="67" t="s">
        <v>723</v>
      </c>
      <c r="B98" s="21"/>
      <c r="C98" s="21"/>
      <c r="D98" s="21"/>
      <c r="E98" s="21"/>
      <c r="F98" s="21"/>
      <c r="G98" s="21"/>
      <c r="H98" s="21"/>
      <c r="I98" s="21"/>
      <c r="J98" s="21"/>
      <c r="K98" s="21">
        <v>1.5697764796640261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69">
        <v>0</v>
      </c>
      <c r="AD98" s="21"/>
      <c r="AE98" s="21"/>
      <c r="AF98" s="69">
        <v>0</v>
      </c>
      <c r="AG98" s="21"/>
      <c r="AH98" s="21"/>
      <c r="AI98" s="69">
        <v>0</v>
      </c>
      <c r="AJ98" s="21"/>
      <c r="AK98" s="21">
        <v>0.51330728196945064</v>
      </c>
      <c r="AL98" s="21"/>
      <c r="AM98" s="21"/>
      <c r="AN98" s="21"/>
      <c r="AO98" s="21"/>
      <c r="AP98" s="21"/>
      <c r="AQ98" s="21">
        <v>0.61587636369704002</v>
      </c>
      <c r="AR98" s="69">
        <v>0</v>
      </c>
      <c r="AS98" s="21"/>
      <c r="AT98" s="21"/>
      <c r="AU98" s="21">
        <v>1.4643524825172309E-2</v>
      </c>
      <c r="AV98" s="21"/>
      <c r="AW98" s="21"/>
      <c r="AX98" s="21"/>
      <c r="AY98" s="21"/>
      <c r="AZ98" s="21"/>
      <c r="BA98" s="21">
        <v>2.6236326338958921E-2</v>
      </c>
      <c r="BB98" s="69">
        <v>0</v>
      </c>
      <c r="BC98" s="21"/>
      <c r="BD98" s="21"/>
      <c r="BE98" s="21"/>
      <c r="BF98" s="21"/>
      <c r="BG98" s="69">
        <v>0</v>
      </c>
      <c r="BH98" s="21"/>
      <c r="BI98" s="69">
        <v>0</v>
      </c>
      <c r="BJ98" s="21"/>
      <c r="BK98" s="69">
        <v>0.61704440306827413</v>
      </c>
      <c r="BL98" s="69">
        <v>0</v>
      </c>
      <c r="BM98" s="21"/>
      <c r="BN98" s="21">
        <v>3.2931578296389241</v>
      </c>
      <c r="BO98" s="69">
        <v>0</v>
      </c>
      <c r="BP98" s="21"/>
      <c r="BQ98" s="21"/>
      <c r="BR98" s="21"/>
      <c r="BS98" s="21"/>
      <c r="BT98" s="21"/>
      <c r="BU98" s="21"/>
      <c r="BV98" s="69">
        <v>0</v>
      </c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69">
        <v>0</v>
      </c>
      <c r="DH98" s="21"/>
      <c r="DI98" s="21"/>
      <c r="DJ98" s="69">
        <v>0</v>
      </c>
      <c r="DK98" s="21"/>
      <c r="DL98" s="21"/>
      <c r="DM98" s="69">
        <v>0</v>
      </c>
      <c r="DN98" s="21"/>
      <c r="DO98" s="21"/>
      <c r="DP98" s="21"/>
      <c r="DQ98" s="21"/>
      <c r="DR98" s="21"/>
      <c r="DS98" s="21"/>
      <c r="DT98" s="21"/>
      <c r="DU98" s="21"/>
      <c r="DV98" s="21"/>
      <c r="DW98" s="69">
        <v>0</v>
      </c>
      <c r="DX98" s="21"/>
      <c r="DY98" s="21"/>
      <c r="DZ98" s="21"/>
      <c r="EA98" s="21"/>
      <c r="EB98" s="21"/>
      <c r="EC98" s="21"/>
      <c r="ED98" s="21"/>
      <c r="EE98" s="21"/>
      <c r="EF98" s="21"/>
      <c r="EG98" s="69">
        <v>0</v>
      </c>
      <c r="EH98" s="21"/>
      <c r="EI98" s="21"/>
      <c r="EJ98" s="21"/>
      <c r="EK98" s="21"/>
      <c r="EL98" s="69">
        <v>0</v>
      </c>
      <c r="EM98" s="21"/>
      <c r="EN98" s="69">
        <v>0</v>
      </c>
      <c r="EO98" s="21"/>
      <c r="EP98" s="69">
        <v>0</v>
      </c>
      <c r="EQ98" s="69">
        <v>0</v>
      </c>
      <c r="ER98" s="21"/>
      <c r="ES98" s="21"/>
      <c r="ET98" s="69">
        <v>0</v>
      </c>
      <c r="EU98" s="21"/>
      <c r="EV98" s="21"/>
      <c r="EW98" s="21"/>
      <c r="EX98" s="21"/>
      <c r="EY98" s="21"/>
      <c r="EZ98" s="21"/>
      <c r="FA98" s="69">
        <v>0</v>
      </c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>
        <v>15.12632208693616</v>
      </c>
      <c r="GE98" s="21">
        <v>21.358067223365566</v>
      </c>
      <c r="GF98" s="21">
        <v>23.965250024192809</v>
      </c>
      <c r="GG98" s="21">
        <v>24.425194208014748</v>
      </c>
      <c r="GH98" s="21">
        <v>16.703442445989257</v>
      </c>
      <c r="GI98" s="21">
        <v>1.1086674825242895</v>
      </c>
      <c r="GJ98" s="21">
        <v>1.5543037552824233</v>
      </c>
      <c r="GK98" s="21">
        <v>2.045765293517444</v>
      </c>
      <c r="GL98" s="21">
        <v>2.6529409614123178</v>
      </c>
      <c r="GM98" s="21">
        <v>7.1751795521285455</v>
      </c>
      <c r="GN98" s="21">
        <v>0.8888703211440927</v>
      </c>
      <c r="GO98" s="21">
        <v>1.0630124768950364</v>
      </c>
      <c r="GP98" s="21">
        <v>1.4761178779420283</v>
      </c>
      <c r="GQ98" s="21">
        <v>2.7173945445058298</v>
      </c>
      <c r="GR98" s="21">
        <v>9.1128358841952437</v>
      </c>
      <c r="GS98" s="21"/>
      <c r="GT98" s="21"/>
      <c r="GU98" s="21"/>
      <c r="GV98" s="21"/>
      <c r="GW98" s="21"/>
      <c r="GX98" s="21">
        <v>0</v>
      </c>
      <c r="GY98" s="21">
        <v>0</v>
      </c>
      <c r="GZ98" s="21">
        <v>-0.89446130368555277</v>
      </c>
      <c r="HA98" s="21">
        <v>12.575760389575624</v>
      </c>
      <c r="HB98" s="21">
        <f t="shared" si="1"/>
        <v>149.70470543313772</v>
      </c>
    </row>
    <row r="99" spans="1:210" x14ac:dyDescent="0.75">
      <c r="A99" s="67" t="s">
        <v>724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>
        <v>0.15353518589262288</v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69">
        <v>0</v>
      </c>
      <c r="AD99" s="21"/>
      <c r="AE99" s="21"/>
      <c r="AF99" s="69">
        <v>0</v>
      </c>
      <c r="AG99" s="21"/>
      <c r="AH99" s="21"/>
      <c r="AI99" s="69">
        <v>0</v>
      </c>
      <c r="AJ99" s="21"/>
      <c r="AK99" s="21">
        <v>0.17061028319643071</v>
      </c>
      <c r="AL99" s="21"/>
      <c r="AM99" s="21"/>
      <c r="AN99" s="21"/>
      <c r="AO99" s="21"/>
      <c r="AP99" s="21"/>
      <c r="AQ99" s="21">
        <v>0.20471153629019387</v>
      </c>
      <c r="AR99" s="69">
        <v>0</v>
      </c>
      <c r="AS99" s="21"/>
      <c r="AT99" s="21"/>
      <c r="AU99" s="21">
        <v>4.8620712148042082E-3</v>
      </c>
      <c r="AV99" s="21"/>
      <c r="AW99" s="21"/>
      <c r="AX99" s="21"/>
      <c r="AY99" s="21"/>
      <c r="AZ99" s="21"/>
      <c r="BA99" s="21">
        <v>8.7112391474894711E-3</v>
      </c>
      <c r="BB99" s="69">
        <v>0</v>
      </c>
      <c r="BC99" s="21"/>
      <c r="BD99" s="21"/>
      <c r="BE99" s="21"/>
      <c r="BF99" s="21"/>
      <c r="BG99" s="69">
        <v>0</v>
      </c>
      <c r="BH99" s="21"/>
      <c r="BI99" s="69">
        <v>0</v>
      </c>
      <c r="BJ99" s="21"/>
      <c r="BK99" s="69">
        <v>0.205121891514737</v>
      </c>
      <c r="BL99" s="69">
        <v>0</v>
      </c>
      <c r="BM99" s="21"/>
      <c r="BN99" s="21">
        <v>1.1004674028949202</v>
      </c>
      <c r="BO99" s="69">
        <v>0</v>
      </c>
      <c r="BP99" s="21"/>
      <c r="BQ99" s="21"/>
      <c r="BR99" s="21"/>
      <c r="BS99" s="21"/>
      <c r="BT99" s="21"/>
      <c r="BU99" s="21"/>
      <c r="BV99" s="69">
        <v>0</v>
      </c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69">
        <v>0</v>
      </c>
      <c r="DH99" s="21"/>
      <c r="DI99" s="21"/>
      <c r="DJ99" s="69">
        <v>0</v>
      </c>
      <c r="DK99" s="21"/>
      <c r="DL99" s="21"/>
      <c r="DM99" s="69">
        <v>0</v>
      </c>
      <c r="DN99" s="21"/>
      <c r="DO99" s="21"/>
      <c r="DP99" s="21"/>
      <c r="DQ99" s="21"/>
      <c r="DR99" s="21"/>
      <c r="DS99" s="21"/>
      <c r="DT99" s="21"/>
      <c r="DU99" s="21"/>
      <c r="DV99" s="21"/>
      <c r="DW99" s="69">
        <v>0</v>
      </c>
      <c r="DX99" s="21"/>
      <c r="DY99" s="21"/>
      <c r="DZ99" s="21"/>
      <c r="EA99" s="21"/>
      <c r="EB99" s="21"/>
      <c r="EC99" s="21"/>
      <c r="ED99" s="21"/>
      <c r="EE99" s="21"/>
      <c r="EF99" s="21"/>
      <c r="EG99" s="69">
        <v>0</v>
      </c>
      <c r="EH99" s="21"/>
      <c r="EI99" s="21"/>
      <c r="EJ99" s="21"/>
      <c r="EK99" s="21"/>
      <c r="EL99" s="69">
        <v>0</v>
      </c>
      <c r="EM99" s="21"/>
      <c r="EN99" s="69">
        <v>0</v>
      </c>
      <c r="EO99" s="21"/>
      <c r="EP99" s="69">
        <v>0</v>
      </c>
      <c r="EQ99" s="69">
        <v>0</v>
      </c>
      <c r="ER99" s="21"/>
      <c r="ES99" s="21"/>
      <c r="ET99" s="69">
        <v>0</v>
      </c>
      <c r="EU99" s="21"/>
      <c r="EV99" s="21"/>
      <c r="EW99" s="21"/>
      <c r="EX99" s="21"/>
      <c r="EY99" s="21"/>
      <c r="EZ99" s="21"/>
      <c r="FA99" s="69">
        <v>0</v>
      </c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>
        <v>0.69142723971500109</v>
      </c>
      <c r="GE99" s="21">
        <v>1.3762115973251647</v>
      </c>
      <c r="GF99" s="21">
        <v>2.1378467991072703</v>
      </c>
      <c r="GG99" s="21">
        <v>3.2421940756347127</v>
      </c>
      <c r="GH99" s="21">
        <v>3.8606095721171578</v>
      </c>
      <c r="GI99" s="21">
        <v>0.11642340212999973</v>
      </c>
      <c r="GJ99" s="21">
        <v>0.15652807158265322</v>
      </c>
      <c r="GK99" s="21">
        <v>0.27772850745825928</v>
      </c>
      <c r="GL99" s="21">
        <v>0.42695534865358398</v>
      </c>
      <c r="GM99" s="21">
        <v>1.6585193077678757</v>
      </c>
      <c r="GN99" s="21">
        <v>0.12961754269451747</v>
      </c>
      <c r="GO99" s="21">
        <v>0.1662560407226876</v>
      </c>
      <c r="GP99" s="21">
        <v>0.28491166845602345</v>
      </c>
      <c r="GQ99" s="21">
        <v>0.71083594578960907</v>
      </c>
      <c r="GR99" s="21">
        <v>3.6768978182012155</v>
      </c>
      <c r="GS99" s="21"/>
      <c r="GT99" s="21"/>
      <c r="GU99" s="21"/>
      <c r="GV99" s="21"/>
      <c r="GW99" s="21"/>
      <c r="GX99" s="21">
        <v>0</v>
      </c>
      <c r="GY99" s="21">
        <v>0</v>
      </c>
      <c r="GZ99" s="21">
        <v>-1.4514211225735473E-3</v>
      </c>
      <c r="HA99" s="21">
        <v>0.37780803942610774</v>
      </c>
      <c r="HB99" s="21">
        <f t="shared" si="1"/>
        <v>21.137339165810459</v>
      </c>
    </row>
    <row r="100" spans="1:210" x14ac:dyDescent="0.75">
      <c r="A100" s="67" t="s">
        <v>57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>
        <v>1.0372226377708365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69">
        <v>0</v>
      </c>
      <c r="AD100" s="21"/>
      <c r="AE100" s="21"/>
      <c r="AF100" s="69">
        <v>0</v>
      </c>
      <c r="AG100" s="21"/>
      <c r="AH100" s="21"/>
      <c r="AI100" s="69">
        <v>0</v>
      </c>
      <c r="AJ100" s="21"/>
      <c r="AK100" s="21">
        <v>0.41154044294420988</v>
      </c>
      <c r="AL100" s="21"/>
      <c r="AM100" s="21"/>
      <c r="AN100" s="21"/>
      <c r="AO100" s="21"/>
      <c r="AP100" s="21"/>
      <c r="AQ100" s="21">
        <v>0.49375282935268439</v>
      </c>
      <c r="AR100" s="69">
        <v>0</v>
      </c>
      <c r="AS100" s="21"/>
      <c r="AT100" s="21"/>
      <c r="AU100" s="21">
        <v>1.1740042306421417E-2</v>
      </c>
      <c r="AV100" s="21"/>
      <c r="AW100" s="21"/>
      <c r="AX100" s="21"/>
      <c r="AY100" s="21"/>
      <c r="AZ100" s="21"/>
      <c r="BA100" s="21">
        <v>2.1034130234310291E-2</v>
      </c>
      <c r="BB100" s="69">
        <v>0</v>
      </c>
      <c r="BC100" s="21"/>
      <c r="BD100" s="21"/>
      <c r="BE100" s="21"/>
      <c r="BF100" s="21"/>
      <c r="BG100" s="69">
        <v>0</v>
      </c>
      <c r="BH100" s="21"/>
      <c r="BI100" s="69">
        <v>0</v>
      </c>
      <c r="BJ100" s="21"/>
      <c r="BK100" s="69">
        <v>0.4947047204343758</v>
      </c>
      <c r="BL100" s="69">
        <v>0</v>
      </c>
      <c r="BM100" s="21"/>
      <c r="BN100" s="21">
        <v>2.6403185095544051</v>
      </c>
      <c r="BO100" s="69">
        <v>0</v>
      </c>
      <c r="BP100" s="21"/>
      <c r="BQ100" s="21"/>
      <c r="BR100" s="21"/>
      <c r="BS100" s="21"/>
      <c r="BT100" s="21"/>
      <c r="BU100" s="21"/>
      <c r="BV100" s="69">
        <v>0</v>
      </c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69">
        <v>0</v>
      </c>
      <c r="DH100" s="21"/>
      <c r="DI100" s="21"/>
      <c r="DJ100" s="69">
        <v>0</v>
      </c>
      <c r="DK100" s="21"/>
      <c r="DL100" s="21"/>
      <c r="DM100" s="69">
        <v>0</v>
      </c>
      <c r="DN100" s="21"/>
      <c r="DO100" s="21"/>
      <c r="DP100" s="21"/>
      <c r="DQ100" s="21"/>
      <c r="DR100" s="21"/>
      <c r="DS100" s="21"/>
      <c r="DT100" s="21"/>
      <c r="DU100" s="21"/>
      <c r="DV100" s="21"/>
      <c r="DW100" s="69">
        <v>0</v>
      </c>
      <c r="DX100" s="21"/>
      <c r="DY100" s="21"/>
      <c r="DZ100" s="21"/>
      <c r="EA100" s="21"/>
      <c r="EB100" s="21"/>
      <c r="EC100" s="21"/>
      <c r="ED100" s="21"/>
      <c r="EE100" s="21"/>
      <c r="EF100" s="21"/>
      <c r="EG100" s="69">
        <v>0</v>
      </c>
      <c r="EH100" s="21"/>
      <c r="EI100" s="21"/>
      <c r="EJ100" s="21"/>
      <c r="EK100" s="21"/>
      <c r="EL100" s="69">
        <v>0</v>
      </c>
      <c r="EM100" s="21"/>
      <c r="EN100" s="69">
        <v>0</v>
      </c>
      <c r="EO100" s="21"/>
      <c r="EP100" s="69">
        <v>0</v>
      </c>
      <c r="EQ100" s="69">
        <v>0</v>
      </c>
      <c r="ER100" s="21"/>
      <c r="ES100" s="21"/>
      <c r="ET100" s="69">
        <v>0</v>
      </c>
      <c r="EU100" s="21"/>
      <c r="EV100" s="21"/>
      <c r="EW100" s="21"/>
      <c r="EX100" s="21"/>
      <c r="EY100" s="21"/>
      <c r="EZ100" s="21"/>
      <c r="FA100" s="69">
        <v>0</v>
      </c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>
        <v>13.737970079857396</v>
      </c>
      <c r="GE100" s="21">
        <v>16.915494318747214</v>
      </c>
      <c r="GF100" s="21">
        <v>19.232422468626787</v>
      </c>
      <c r="GG100" s="21">
        <v>21.713859603487712</v>
      </c>
      <c r="GH100" s="21">
        <v>20.045403185228821</v>
      </c>
      <c r="GI100" s="21">
        <v>1.0312652446422883</v>
      </c>
      <c r="GJ100" s="21">
        <v>1.4497217742532236</v>
      </c>
      <c r="GK100" s="21">
        <v>2.01089942859402</v>
      </c>
      <c r="GL100" s="21">
        <v>2.9831295569523446</v>
      </c>
      <c r="GM100" s="21">
        <v>9.9052893059106033</v>
      </c>
      <c r="GN100" s="21">
        <v>0.94340905709442302</v>
      </c>
      <c r="GO100" s="21">
        <v>1.0376242402644462</v>
      </c>
      <c r="GP100" s="21">
        <v>1.7257100195689237</v>
      </c>
      <c r="GQ100" s="21">
        <v>4.2253495967586989</v>
      </c>
      <c r="GR100" s="21">
        <v>19.888272615978369</v>
      </c>
      <c r="GS100" s="21"/>
      <c r="GT100" s="21"/>
      <c r="GU100" s="21"/>
      <c r="GV100" s="21"/>
      <c r="GW100" s="21"/>
      <c r="GX100" s="21">
        <v>0</v>
      </c>
      <c r="GY100" s="21">
        <v>0</v>
      </c>
      <c r="GZ100" s="21">
        <v>-8.4155134893058189E-2</v>
      </c>
      <c r="HA100" s="21">
        <v>3.1250394992632846</v>
      </c>
      <c r="HB100" s="21">
        <f t="shared" si="1"/>
        <v>144.99701817293277</v>
      </c>
    </row>
    <row r="101" spans="1:210" x14ac:dyDescent="0.75">
      <c r="A101" s="67" t="s">
        <v>725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>
        <v>0.22201172744453865</v>
      </c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69">
        <v>0</v>
      </c>
      <c r="AD101" s="21"/>
      <c r="AE101" s="21"/>
      <c r="AF101" s="69">
        <v>0</v>
      </c>
      <c r="AG101" s="21"/>
      <c r="AH101" s="21"/>
      <c r="AI101" s="69">
        <v>0</v>
      </c>
      <c r="AJ101" s="21"/>
      <c r="AK101" s="21">
        <v>5.1522807559571868</v>
      </c>
      <c r="AL101" s="21"/>
      <c r="AM101" s="21"/>
      <c r="AN101" s="21"/>
      <c r="AO101" s="21"/>
      <c r="AP101" s="21"/>
      <c r="AQ101" s="21"/>
      <c r="AR101" s="69">
        <v>54.299371042590984</v>
      </c>
      <c r="AS101" s="21"/>
      <c r="AT101" s="21"/>
      <c r="AU101" s="21">
        <v>2.7846882198864244E-2</v>
      </c>
      <c r="AV101" s="21"/>
      <c r="AW101" s="21"/>
      <c r="AX101" s="21"/>
      <c r="AY101" s="21"/>
      <c r="AZ101" s="21"/>
      <c r="BA101" s="21">
        <v>5.4094914330218881E-2</v>
      </c>
      <c r="BB101" s="69">
        <v>0</v>
      </c>
      <c r="BC101" s="21"/>
      <c r="BD101" s="21"/>
      <c r="BE101" s="21"/>
      <c r="BF101" s="21"/>
      <c r="BG101" s="69">
        <v>0</v>
      </c>
      <c r="BH101" s="21"/>
      <c r="BI101" s="69">
        <v>0</v>
      </c>
      <c r="BJ101" s="21"/>
      <c r="BK101" s="69">
        <v>0</v>
      </c>
      <c r="BL101" s="69">
        <v>0</v>
      </c>
      <c r="BM101" s="21"/>
      <c r="BN101" s="21">
        <v>7.3676882787567619</v>
      </c>
      <c r="BO101" s="69">
        <v>0</v>
      </c>
      <c r="BP101" s="21"/>
      <c r="BQ101" s="21"/>
      <c r="BR101" s="21"/>
      <c r="BS101" s="21"/>
      <c r="BT101" s="21"/>
      <c r="BU101" s="21"/>
      <c r="BV101" s="69">
        <v>0</v>
      </c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69">
        <v>0</v>
      </c>
      <c r="DH101" s="21"/>
      <c r="DI101" s="21"/>
      <c r="DJ101" s="69">
        <v>0</v>
      </c>
      <c r="DK101" s="21"/>
      <c r="DL101" s="21"/>
      <c r="DM101" s="69">
        <v>0</v>
      </c>
      <c r="DN101" s="21"/>
      <c r="DO101" s="21"/>
      <c r="DP101" s="21"/>
      <c r="DQ101" s="21"/>
      <c r="DR101" s="21"/>
      <c r="DS101" s="21"/>
      <c r="DT101" s="21"/>
      <c r="DU101" s="21"/>
      <c r="DV101" s="21"/>
      <c r="DW101" s="69">
        <v>0</v>
      </c>
      <c r="DX101" s="21"/>
      <c r="DY101" s="21"/>
      <c r="DZ101" s="21"/>
      <c r="EA101" s="21"/>
      <c r="EB101" s="21"/>
      <c r="EC101" s="21"/>
      <c r="ED101" s="21"/>
      <c r="EE101" s="21"/>
      <c r="EF101" s="21"/>
      <c r="EG101" s="69">
        <v>0</v>
      </c>
      <c r="EH101" s="21"/>
      <c r="EI101" s="21"/>
      <c r="EJ101" s="21"/>
      <c r="EK101" s="21"/>
      <c r="EL101" s="69">
        <v>0</v>
      </c>
      <c r="EM101" s="21"/>
      <c r="EN101" s="69">
        <v>0</v>
      </c>
      <c r="EO101" s="21"/>
      <c r="EP101" s="69">
        <v>0</v>
      </c>
      <c r="EQ101" s="69">
        <v>0</v>
      </c>
      <c r="ER101" s="21"/>
      <c r="ES101" s="21"/>
      <c r="ET101" s="69">
        <v>0</v>
      </c>
      <c r="EU101" s="21"/>
      <c r="EV101" s="21"/>
      <c r="EW101" s="21"/>
      <c r="EX101" s="21"/>
      <c r="EY101" s="21"/>
      <c r="EZ101" s="21"/>
      <c r="FA101" s="69">
        <v>0</v>
      </c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>
        <v>7.0717420824537372E-2</v>
      </c>
      <c r="GE101" s="21">
        <v>0.11287956994120218</v>
      </c>
      <c r="GF101" s="21">
        <v>0.20394245515939224</v>
      </c>
      <c r="GG101" s="21">
        <v>0.24680193669149614</v>
      </c>
      <c r="GH101" s="21">
        <v>0.39900532871359662</v>
      </c>
      <c r="GI101" s="21">
        <v>1.0003720939551002E-2</v>
      </c>
      <c r="GJ101" s="21">
        <v>9.7077365052669791E-3</v>
      </c>
      <c r="GK101" s="21">
        <v>3.8304048309958101E-2</v>
      </c>
      <c r="GL101" s="21">
        <v>7.8996103994373901E-2</v>
      </c>
      <c r="GM101" s="21">
        <v>0.48037089752129286</v>
      </c>
      <c r="GN101" s="21">
        <v>2.5993040219904435E-3</v>
      </c>
      <c r="GO101" s="21">
        <v>6.9881597775064731E-3</v>
      </c>
      <c r="GP101" s="21">
        <v>1.469700593082672E-2</v>
      </c>
      <c r="GQ101" s="21">
        <v>6.9432450636643703E-2</v>
      </c>
      <c r="GR101" s="21">
        <v>1.2661782994756843</v>
      </c>
      <c r="GS101" s="21"/>
      <c r="GT101" s="21"/>
      <c r="GU101" s="21"/>
      <c r="GV101" s="21"/>
      <c r="GW101" s="21"/>
      <c r="GX101" s="21">
        <v>0</v>
      </c>
      <c r="GY101" s="21">
        <v>0</v>
      </c>
      <c r="GZ101" s="21">
        <v>7.9927544200737604</v>
      </c>
      <c r="HA101" s="21"/>
      <c r="HB101" s="21">
        <f t="shared" si="1"/>
        <v>78.126672459795628</v>
      </c>
    </row>
    <row r="102" spans="1:210" x14ac:dyDescent="0.75">
      <c r="A102" s="67" t="s">
        <v>726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>
        <v>0.40421268440353009</v>
      </c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69">
        <v>0</v>
      </c>
      <c r="AD102" s="21"/>
      <c r="AE102" s="21"/>
      <c r="AF102" s="69">
        <v>0</v>
      </c>
      <c r="AG102" s="21"/>
      <c r="AH102" s="21"/>
      <c r="AI102" s="69">
        <v>0</v>
      </c>
      <c r="AJ102" s="21"/>
      <c r="AK102" s="21">
        <v>1.1839818859368254</v>
      </c>
      <c r="AL102" s="21"/>
      <c r="AM102" s="21"/>
      <c r="AN102" s="21"/>
      <c r="AO102" s="21"/>
      <c r="AP102" s="21"/>
      <c r="AQ102" s="21"/>
      <c r="AR102" s="69">
        <v>1.0435528958110267</v>
      </c>
      <c r="AS102" s="21"/>
      <c r="AT102" s="21"/>
      <c r="AU102" s="21">
        <v>6.4246083243827195E-3</v>
      </c>
      <c r="AV102" s="21"/>
      <c r="AW102" s="21"/>
      <c r="AX102" s="21"/>
      <c r="AY102" s="21"/>
      <c r="AZ102" s="21"/>
      <c r="BA102" s="21">
        <v>1.2479453173545027E-2</v>
      </c>
      <c r="BB102" s="69">
        <v>0</v>
      </c>
      <c r="BC102" s="21"/>
      <c r="BD102" s="21"/>
      <c r="BE102" s="21"/>
      <c r="BF102" s="21"/>
      <c r="BG102" s="69">
        <v>0</v>
      </c>
      <c r="BH102" s="21"/>
      <c r="BI102" s="69">
        <v>0</v>
      </c>
      <c r="BJ102" s="21"/>
      <c r="BK102" s="69">
        <v>0</v>
      </c>
      <c r="BL102" s="69">
        <v>0</v>
      </c>
      <c r="BM102" s="21"/>
      <c r="BN102" s="21">
        <v>1.6884484776397826</v>
      </c>
      <c r="BO102" s="69">
        <v>0</v>
      </c>
      <c r="BP102" s="21"/>
      <c r="BQ102" s="21"/>
      <c r="BR102" s="21"/>
      <c r="BS102" s="21"/>
      <c r="BT102" s="21"/>
      <c r="BU102" s="21"/>
      <c r="BV102" s="69">
        <v>0</v>
      </c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69">
        <v>0</v>
      </c>
      <c r="DH102" s="21"/>
      <c r="DI102" s="21"/>
      <c r="DJ102" s="69">
        <v>0</v>
      </c>
      <c r="DK102" s="21"/>
      <c r="DL102" s="21"/>
      <c r="DM102" s="69">
        <v>0</v>
      </c>
      <c r="DN102" s="21"/>
      <c r="DO102" s="21"/>
      <c r="DP102" s="21"/>
      <c r="DQ102" s="21"/>
      <c r="DR102" s="21"/>
      <c r="DS102" s="21"/>
      <c r="DT102" s="21"/>
      <c r="DU102" s="21"/>
      <c r="DV102" s="21"/>
      <c r="DW102" s="69">
        <v>0</v>
      </c>
      <c r="DX102" s="21"/>
      <c r="DY102" s="21"/>
      <c r="DZ102" s="21"/>
      <c r="EA102" s="21"/>
      <c r="EB102" s="21"/>
      <c r="EC102" s="21"/>
      <c r="ED102" s="21"/>
      <c r="EE102" s="21"/>
      <c r="EF102" s="21"/>
      <c r="EG102" s="69">
        <v>0</v>
      </c>
      <c r="EH102" s="21"/>
      <c r="EI102" s="21"/>
      <c r="EJ102" s="21"/>
      <c r="EK102" s="21"/>
      <c r="EL102" s="69">
        <v>0</v>
      </c>
      <c r="EM102" s="21"/>
      <c r="EN102" s="69">
        <v>0</v>
      </c>
      <c r="EO102" s="21"/>
      <c r="EP102" s="69">
        <v>0</v>
      </c>
      <c r="EQ102" s="69">
        <v>0</v>
      </c>
      <c r="ER102" s="21"/>
      <c r="ES102" s="21"/>
      <c r="ET102" s="69">
        <v>0</v>
      </c>
      <c r="EU102" s="21"/>
      <c r="EV102" s="21"/>
      <c r="EW102" s="21"/>
      <c r="EX102" s="21"/>
      <c r="EY102" s="21"/>
      <c r="EZ102" s="21"/>
      <c r="FA102" s="69">
        <v>0</v>
      </c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>
        <v>5.2325451580452959E-2</v>
      </c>
      <c r="GE102" s="21">
        <v>0.1273121884243906</v>
      </c>
      <c r="GF102" s="21">
        <v>0.21984722742887727</v>
      </c>
      <c r="GG102" s="21">
        <v>0.29581923337373389</v>
      </c>
      <c r="GH102" s="21">
        <v>0.96234689318296696</v>
      </c>
      <c r="GI102" s="21">
        <v>1.5127062501684361E-2</v>
      </c>
      <c r="GJ102" s="21">
        <v>4.1362577621915232E-2</v>
      </c>
      <c r="GK102" s="21">
        <v>1.763441478386157E-2</v>
      </c>
      <c r="GL102" s="21">
        <v>6.5368680952824887E-2</v>
      </c>
      <c r="GM102" s="21">
        <v>0.90712350990624202</v>
      </c>
      <c r="GN102" s="21">
        <v>9.1036083412429566E-3</v>
      </c>
      <c r="GO102" s="21">
        <v>2.9635079742181365E-3</v>
      </c>
      <c r="GP102" s="21">
        <v>1.9520079102350731E-2</v>
      </c>
      <c r="GQ102" s="21">
        <v>6.7937422630655581E-2</v>
      </c>
      <c r="GR102" s="21">
        <v>1.4688032872675931</v>
      </c>
      <c r="GS102" s="21"/>
      <c r="GT102" s="21"/>
      <c r="GU102" s="21"/>
      <c r="GV102" s="21"/>
      <c r="GW102" s="21"/>
      <c r="GX102" s="21">
        <v>0</v>
      </c>
      <c r="GY102" s="21">
        <v>0</v>
      </c>
      <c r="GZ102" s="21"/>
      <c r="HA102" s="21"/>
      <c r="HB102" s="21">
        <f t="shared" si="1"/>
        <v>8.6116951503621024</v>
      </c>
    </row>
    <row r="103" spans="1:210" x14ac:dyDescent="0.75">
      <c r="A103" s="67" t="s">
        <v>727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>
        <v>7.3302003768824509E-2</v>
      </c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69">
        <v>0</v>
      </c>
      <c r="AD103" s="21"/>
      <c r="AE103" s="21"/>
      <c r="AF103" s="69">
        <v>0</v>
      </c>
      <c r="AG103" s="21"/>
      <c r="AH103" s="21"/>
      <c r="AI103" s="69">
        <v>0</v>
      </c>
      <c r="AJ103" s="21"/>
      <c r="AK103" s="21">
        <v>0.13728796300815133</v>
      </c>
      <c r="AL103" s="21"/>
      <c r="AM103" s="21"/>
      <c r="AN103" s="21"/>
      <c r="AO103" s="21"/>
      <c r="AP103" s="21"/>
      <c r="AQ103" s="21"/>
      <c r="AR103" s="69">
        <v>0.12099032911663722</v>
      </c>
      <c r="AS103" s="21"/>
      <c r="AT103" s="21"/>
      <c r="AU103" s="21">
        <v>7.4498481238943716E-4</v>
      </c>
      <c r="AV103" s="21"/>
      <c r="AW103" s="21"/>
      <c r="AX103" s="21"/>
      <c r="AY103" s="21"/>
      <c r="AZ103" s="21"/>
      <c r="BA103" s="21">
        <v>1.4470728478611292E-3</v>
      </c>
      <c r="BB103" s="69">
        <v>0</v>
      </c>
      <c r="BC103" s="21"/>
      <c r="BD103" s="21"/>
      <c r="BE103" s="21"/>
      <c r="BF103" s="21"/>
      <c r="BG103" s="69">
        <v>0</v>
      </c>
      <c r="BH103" s="21"/>
      <c r="BI103" s="69">
        <v>0</v>
      </c>
      <c r="BJ103" s="21"/>
      <c r="BK103" s="69">
        <v>0</v>
      </c>
      <c r="BL103" s="69">
        <v>0</v>
      </c>
      <c r="BM103" s="21"/>
      <c r="BN103" s="21">
        <v>0.19572630555177903</v>
      </c>
      <c r="BO103" s="69">
        <v>0</v>
      </c>
      <c r="BP103" s="21"/>
      <c r="BQ103" s="21"/>
      <c r="BR103" s="21"/>
      <c r="BS103" s="21"/>
      <c r="BT103" s="21"/>
      <c r="BU103" s="21"/>
      <c r="BV103" s="69">
        <v>0</v>
      </c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69">
        <v>0</v>
      </c>
      <c r="DH103" s="21"/>
      <c r="DI103" s="21"/>
      <c r="DJ103" s="69">
        <v>0</v>
      </c>
      <c r="DK103" s="21"/>
      <c r="DL103" s="21"/>
      <c r="DM103" s="69">
        <v>0</v>
      </c>
      <c r="DN103" s="21"/>
      <c r="DO103" s="21"/>
      <c r="DP103" s="21"/>
      <c r="DQ103" s="21"/>
      <c r="DR103" s="21"/>
      <c r="DS103" s="21"/>
      <c r="DT103" s="21"/>
      <c r="DU103" s="21"/>
      <c r="DV103" s="21"/>
      <c r="DW103" s="69">
        <v>0</v>
      </c>
      <c r="DX103" s="21"/>
      <c r="DY103" s="21"/>
      <c r="DZ103" s="21"/>
      <c r="EA103" s="21"/>
      <c r="EB103" s="21"/>
      <c r="EC103" s="21"/>
      <c r="ED103" s="21"/>
      <c r="EE103" s="21"/>
      <c r="EF103" s="21"/>
      <c r="EG103" s="69">
        <v>0</v>
      </c>
      <c r="EH103" s="21"/>
      <c r="EI103" s="21"/>
      <c r="EJ103" s="21"/>
      <c r="EK103" s="21"/>
      <c r="EL103" s="69">
        <v>0</v>
      </c>
      <c r="EM103" s="21"/>
      <c r="EN103" s="69">
        <v>0</v>
      </c>
      <c r="EO103" s="21"/>
      <c r="EP103" s="69">
        <v>0</v>
      </c>
      <c r="EQ103" s="69">
        <v>0</v>
      </c>
      <c r="ER103" s="21"/>
      <c r="ES103" s="21"/>
      <c r="ET103" s="69">
        <v>0</v>
      </c>
      <c r="EU103" s="21"/>
      <c r="EV103" s="21"/>
      <c r="EW103" s="21"/>
      <c r="EX103" s="21"/>
      <c r="EY103" s="21"/>
      <c r="EZ103" s="21"/>
      <c r="FA103" s="69">
        <v>0</v>
      </c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>
        <v>0.97948937872731934</v>
      </c>
      <c r="GE103" s="21">
        <v>1.930773787676803</v>
      </c>
      <c r="GF103" s="21">
        <v>3.2024121116758355</v>
      </c>
      <c r="GG103" s="21">
        <v>4.4109238352889379</v>
      </c>
      <c r="GH103" s="21">
        <v>5.1489387596092833</v>
      </c>
      <c r="GI103" s="21">
        <v>8.1020818424477573E-2</v>
      </c>
      <c r="GJ103" s="21">
        <v>0.1668983461602718</v>
      </c>
      <c r="GK103" s="21">
        <v>0.27258131437045335</v>
      </c>
      <c r="GL103" s="21">
        <v>0.57829005149016943</v>
      </c>
      <c r="GM103" s="21">
        <v>2.4156648351336925</v>
      </c>
      <c r="GN103" s="21">
        <v>0.11836410690342188</v>
      </c>
      <c r="GO103" s="21">
        <v>0.13181098836557487</v>
      </c>
      <c r="GP103" s="21">
        <v>0.35146148420674289</v>
      </c>
      <c r="GQ103" s="21">
        <v>0.88595289910228936</v>
      </c>
      <c r="GR103" s="21">
        <v>5.6610996474785136</v>
      </c>
      <c r="GS103" s="21"/>
      <c r="GT103" s="21"/>
      <c r="GU103" s="21"/>
      <c r="GV103" s="21"/>
      <c r="GW103" s="21"/>
      <c r="GX103" s="21">
        <v>0</v>
      </c>
      <c r="GY103" s="21">
        <v>0</v>
      </c>
      <c r="GZ103" s="21">
        <v>-3.7393398624008577E-3</v>
      </c>
      <c r="HA103" s="21">
        <v>0.62818561125467021</v>
      </c>
      <c r="HB103" s="21">
        <f t="shared" si="1"/>
        <v>27.489627295111696</v>
      </c>
    </row>
    <row r="104" spans="1:210" x14ac:dyDescent="0.75">
      <c r="A104" s="67" t="s">
        <v>327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>
        <v>6.8544732695774491E-2</v>
      </c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69">
        <v>0</v>
      </c>
      <c r="AD104" s="21"/>
      <c r="AE104" s="21"/>
      <c r="AF104" s="69">
        <v>0</v>
      </c>
      <c r="AG104" s="21"/>
      <c r="AH104" s="21"/>
      <c r="AI104" s="69">
        <v>0</v>
      </c>
      <c r="AJ104" s="21"/>
      <c r="AK104" s="21">
        <v>0.26352778774247015</v>
      </c>
      <c r="AL104" s="21"/>
      <c r="AM104" s="21"/>
      <c r="AN104" s="21"/>
      <c r="AO104" s="21"/>
      <c r="AP104" s="21"/>
      <c r="AQ104" s="21"/>
      <c r="AR104" s="69">
        <v>0.23225460133696571</v>
      </c>
      <c r="AS104" s="21"/>
      <c r="AT104" s="21"/>
      <c r="AU104" s="21">
        <v>1.4303852762699899E-3</v>
      </c>
      <c r="AV104" s="21"/>
      <c r="AW104" s="21"/>
      <c r="AX104" s="21"/>
      <c r="AY104" s="21"/>
      <c r="AZ104" s="21"/>
      <c r="BA104" s="21">
        <v>2.778408759856995E-3</v>
      </c>
      <c r="BB104" s="69">
        <v>0</v>
      </c>
      <c r="BC104" s="21"/>
      <c r="BD104" s="21"/>
      <c r="BE104" s="21"/>
      <c r="BF104" s="21"/>
      <c r="BG104" s="69">
        <v>0</v>
      </c>
      <c r="BH104" s="21"/>
      <c r="BI104" s="69">
        <v>0</v>
      </c>
      <c r="BJ104" s="21"/>
      <c r="BK104" s="69">
        <v>0</v>
      </c>
      <c r="BL104" s="69">
        <v>0</v>
      </c>
      <c r="BM104" s="21"/>
      <c r="BN104" s="21">
        <v>0.37567288851214004</v>
      </c>
      <c r="BO104" s="69">
        <v>0</v>
      </c>
      <c r="BP104" s="21"/>
      <c r="BQ104" s="21"/>
      <c r="BR104" s="21"/>
      <c r="BS104" s="21"/>
      <c r="BT104" s="21"/>
      <c r="BU104" s="21"/>
      <c r="BV104" s="69">
        <v>0</v>
      </c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69">
        <v>0</v>
      </c>
      <c r="DH104" s="21"/>
      <c r="DI104" s="21"/>
      <c r="DJ104" s="69">
        <v>0</v>
      </c>
      <c r="DK104" s="21"/>
      <c r="DL104" s="21"/>
      <c r="DM104" s="69">
        <v>0</v>
      </c>
      <c r="DN104" s="21"/>
      <c r="DO104" s="21"/>
      <c r="DP104" s="21"/>
      <c r="DQ104" s="21"/>
      <c r="DR104" s="21"/>
      <c r="DS104" s="21"/>
      <c r="DT104" s="21"/>
      <c r="DU104" s="21"/>
      <c r="DV104" s="21"/>
      <c r="DW104" s="69">
        <v>0</v>
      </c>
      <c r="DX104" s="21"/>
      <c r="DY104" s="21"/>
      <c r="DZ104" s="21"/>
      <c r="EA104" s="21"/>
      <c r="EB104" s="21"/>
      <c r="EC104" s="21"/>
      <c r="ED104" s="21"/>
      <c r="EE104" s="21"/>
      <c r="EF104" s="21"/>
      <c r="EG104" s="69">
        <v>0</v>
      </c>
      <c r="EH104" s="21"/>
      <c r="EI104" s="21"/>
      <c r="EJ104" s="21"/>
      <c r="EK104" s="21"/>
      <c r="EL104" s="69">
        <v>0</v>
      </c>
      <c r="EM104" s="21"/>
      <c r="EN104" s="69">
        <v>0</v>
      </c>
      <c r="EO104" s="21"/>
      <c r="EP104" s="69">
        <v>0</v>
      </c>
      <c r="EQ104" s="69">
        <v>0</v>
      </c>
      <c r="ER104" s="21"/>
      <c r="ES104" s="21"/>
      <c r="ET104" s="69">
        <v>0</v>
      </c>
      <c r="EU104" s="21"/>
      <c r="EV104" s="21"/>
      <c r="EW104" s="21"/>
      <c r="EX104" s="21"/>
      <c r="EY104" s="21"/>
      <c r="EZ104" s="21"/>
      <c r="FA104" s="69">
        <v>0</v>
      </c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>
        <v>1.5734396027966799</v>
      </c>
      <c r="GE104" s="21">
        <v>2.528487200099748</v>
      </c>
      <c r="GF104" s="21">
        <v>3.3574798548364972</v>
      </c>
      <c r="GG104" s="21">
        <v>4.3392794003187367</v>
      </c>
      <c r="GH104" s="21">
        <v>5.2980656986273944</v>
      </c>
      <c r="GI104" s="21">
        <v>0.15031297624651535</v>
      </c>
      <c r="GJ104" s="21">
        <v>0.20900524112969365</v>
      </c>
      <c r="GK104" s="21">
        <v>0.36328095630603618</v>
      </c>
      <c r="GL104" s="21">
        <v>0.5489156464365974</v>
      </c>
      <c r="GM104" s="21">
        <v>2.669656917236876</v>
      </c>
      <c r="GN104" s="21">
        <v>0.10716977156486598</v>
      </c>
      <c r="GO104" s="21">
        <v>0.13933494606338565</v>
      </c>
      <c r="GP104" s="21">
        <v>0.26741342278137209</v>
      </c>
      <c r="GQ104" s="21">
        <v>0.63032534743219593</v>
      </c>
      <c r="GR104" s="21">
        <v>5.4462587632181645</v>
      </c>
      <c r="GS104" s="21"/>
      <c r="GT104" s="21"/>
      <c r="GU104" s="21"/>
      <c r="GV104" s="21"/>
      <c r="GW104" s="21"/>
      <c r="GX104" s="21">
        <v>0</v>
      </c>
      <c r="GY104" s="21">
        <v>0</v>
      </c>
      <c r="GZ104" s="21">
        <v>3.0377488673432047E-2</v>
      </c>
      <c r="HA104" s="21">
        <v>1.3891900354782414</v>
      </c>
      <c r="HB104" s="21">
        <f t="shared" si="1"/>
        <v>29.99220207356991</v>
      </c>
    </row>
    <row r="105" spans="1:210" x14ac:dyDescent="0.75">
      <c r="A105" s="67" t="s">
        <v>502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>
        <v>1.2723777405699979</v>
      </c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69">
        <v>0</v>
      </c>
      <c r="AD105" s="21"/>
      <c r="AE105" s="21"/>
      <c r="AF105" s="69">
        <v>0</v>
      </c>
      <c r="AG105" s="21"/>
      <c r="AH105" s="21"/>
      <c r="AI105" s="69">
        <v>0</v>
      </c>
      <c r="AJ105" s="21"/>
      <c r="AK105" s="21">
        <v>0.73308878931365862</v>
      </c>
      <c r="AL105" s="21">
        <v>3.7650052844571475</v>
      </c>
      <c r="AM105" s="21"/>
      <c r="AN105" s="21">
        <v>7.0841863261232492</v>
      </c>
      <c r="AO105" s="21"/>
      <c r="AP105" s="21"/>
      <c r="AQ105" s="21">
        <v>0.88043134428701086</v>
      </c>
      <c r="AR105" s="69">
        <v>0</v>
      </c>
      <c r="AS105" s="21"/>
      <c r="AT105" s="21"/>
      <c r="AU105" s="21">
        <v>2.1916070706363724E-2</v>
      </c>
      <c r="AV105" s="21"/>
      <c r="AW105" s="21"/>
      <c r="AX105" s="21"/>
      <c r="AY105" s="21"/>
      <c r="AZ105" s="21"/>
      <c r="BA105" s="21">
        <v>4.2522114154661839E-2</v>
      </c>
      <c r="BB105" s="69">
        <v>0</v>
      </c>
      <c r="BC105" s="21"/>
      <c r="BD105" s="21"/>
      <c r="BE105" s="21"/>
      <c r="BF105" s="21"/>
      <c r="BG105" s="69">
        <v>0</v>
      </c>
      <c r="BH105" s="21"/>
      <c r="BI105" s="69">
        <v>0</v>
      </c>
      <c r="BJ105" s="21"/>
      <c r="BK105" s="69">
        <v>0</v>
      </c>
      <c r="BL105" s="69">
        <v>0</v>
      </c>
      <c r="BM105" s="21"/>
      <c r="BN105" s="21">
        <v>6.8074086944382318E-3</v>
      </c>
      <c r="BO105" s="69">
        <v>0</v>
      </c>
      <c r="BP105" s="21"/>
      <c r="BQ105" s="21"/>
      <c r="BR105" s="21"/>
      <c r="BS105" s="21"/>
      <c r="BT105" s="21"/>
      <c r="BU105" s="21"/>
      <c r="BV105" s="69">
        <v>0</v>
      </c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69">
        <v>0</v>
      </c>
      <c r="DH105" s="21"/>
      <c r="DI105" s="21"/>
      <c r="DJ105" s="69">
        <v>0</v>
      </c>
      <c r="DK105" s="21"/>
      <c r="DL105" s="21"/>
      <c r="DM105" s="69">
        <v>0</v>
      </c>
      <c r="DN105" s="21"/>
      <c r="DO105" s="21"/>
      <c r="DP105" s="21"/>
      <c r="DQ105" s="21"/>
      <c r="DR105" s="21"/>
      <c r="DS105" s="21"/>
      <c r="DT105" s="21"/>
      <c r="DU105" s="21"/>
      <c r="DV105" s="21"/>
      <c r="DW105" s="69">
        <v>0</v>
      </c>
      <c r="DX105" s="21"/>
      <c r="DY105" s="21"/>
      <c r="DZ105" s="21"/>
      <c r="EA105" s="21"/>
      <c r="EB105" s="21"/>
      <c r="EC105" s="21"/>
      <c r="ED105" s="21"/>
      <c r="EE105" s="21"/>
      <c r="EF105" s="21"/>
      <c r="EG105" s="69">
        <v>0</v>
      </c>
      <c r="EH105" s="21"/>
      <c r="EI105" s="21"/>
      <c r="EJ105" s="21"/>
      <c r="EK105" s="21"/>
      <c r="EL105" s="69">
        <v>0</v>
      </c>
      <c r="EM105" s="21"/>
      <c r="EN105" s="69">
        <v>0</v>
      </c>
      <c r="EO105" s="21"/>
      <c r="EP105" s="69">
        <v>0</v>
      </c>
      <c r="EQ105" s="69">
        <v>0</v>
      </c>
      <c r="ER105" s="21"/>
      <c r="ES105" s="21"/>
      <c r="ET105" s="69">
        <v>0</v>
      </c>
      <c r="EU105" s="21"/>
      <c r="EV105" s="21"/>
      <c r="EW105" s="21"/>
      <c r="EX105" s="21"/>
      <c r="EY105" s="21"/>
      <c r="EZ105" s="21"/>
      <c r="FA105" s="69">
        <v>0</v>
      </c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>
        <v>4.55707545428727E-3</v>
      </c>
      <c r="GE105" s="21">
        <v>1.1811469230183941E-2</v>
      </c>
      <c r="GF105" s="21">
        <v>3.1376283232036041E-2</v>
      </c>
      <c r="GG105" s="21">
        <v>6.0233184642724327E-2</v>
      </c>
      <c r="GH105" s="21">
        <v>0.17455406454605193</v>
      </c>
      <c r="GI105" s="21">
        <v>4.725060730559871E-3</v>
      </c>
      <c r="GJ105" s="21">
        <v>6.6303595854022785E-3</v>
      </c>
      <c r="GK105" s="21">
        <v>9.8580300486504849E-3</v>
      </c>
      <c r="GL105" s="21">
        <v>2.2301378342941339E-2</v>
      </c>
      <c r="GM105" s="21">
        <v>0.23985463965817713</v>
      </c>
      <c r="GN105" s="21">
        <v>3.6189741648492229E-3</v>
      </c>
      <c r="GO105" s="21">
        <v>1.0368892390928038E-2</v>
      </c>
      <c r="GP105" s="21">
        <v>1.8436744445261746E-2</v>
      </c>
      <c r="GQ105" s="21">
        <v>5.4927523424712438E-2</v>
      </c>
      <c r="GR105" s="21">
        <v>0.59683873983872293</v>
      </c>
      <c r="GS105" s="21"/>
      <c r="GT105" s="21"/>
      <c r="GU105" s="21"/>
      <c r="GV105" s="21"/>
      <c r="GW105" s="21"/>
      <c r="GX105" s="21">
        <v>0</v>
      </c>
      <c r="GY105" s="21">
        <v>0</v>
      </c>
      <c r="GZ105" s="21">
        <v>-0.61063719870060063</v>
      </c>
      <c r="HA105" s="21">
        <v>0.48012130304147688</v>
      </c>
      <c r="HB105" s="21">
        <f t="shared" si="1"/>
        <v>14.925911602382898</v>
      </c>
    </row>
    <row r="106" spans="1:210" x14ac:dyDescent="0.75">
      <c r="A106" s="67" t="s">
        <v>728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>
        <v>0.41705977659857285</v>
      </c>
      <c r="T106" s="21"/>
      <c r="U106" s="21"/>
      <c r="V106" s="21"/>
      <c r="W106" s="21"/>
      <c r="X106" s="21"/>
      <c r="Y106" s="21"/>
      <c r="Z106" s="21"/>
      <c r="AA106" s="21"/>
      <c r="AB106" s="21"/>
      <c r="AC106" s="69">
        <v>0</v>
      </c>
      <c r="AD106" s="21"/>
      <c r="AE106" s="21"/>
      <c r="AF106" s="69">
        <v>0</v>
      </c>
      <c r="AG106" s="21"/>
      <c r="AH106" s="21"/>
      <c r="AI106" s="69">
        <v>0</v>
      </c>
      <c r="AJ106" s="21"/>
      <c r="AK106" s="21">
        <v>0.14815878822917858</v>
      </c>
      <c r="AL106" s="21">
        <v>0.75210560742015764</v>
      </c>
      <c r="AM106" s="21"/>
      <c r="AN106" s="21">
        <v>1.3962320846024747</v>
      </c>
      <c r="AO106" s="21"/>
      <c r="AP106" s="21"/>
      <c r="AQ106" s="21">
        <v>0.17779258518389179</v>
      </c>
      <c r="AR106" s="69">
        <v>0</v>
      </c>
      <c r="AS106" s="21"/>
      <c r="AT106" s="21"/>
      <c r="AU106" s="21">
        <v>4.4406274238766082E-3</v>
      </c>
      <c r="AV106" s="21"/>
      <c r="AW106" s="21"/>
      <c r="AX106" s="21"/>
      <c r="AY106" s="21"/>
      <c r="AZ106" s="21"/>
      <c r="BA106" s="21">
        <v>8.6148232571677062E-3</v>
      </c>
      <c r="BB106" s="69">
        <v>0</v>
      </c>
      <c r="BC106" s="21"/>
      <c r="BD106" s="21"/>
      <c r="BE106" s="21"/>
      <c r="BF106" s="21"/>
      <c r="BG106" s="69">
        <v>0</v>
      </c>
      <c r="BH106" s="21"/>
      <c r="BI106" s="69">
        <v>0</v>
      </c>
      <c r="BJ106" s="21"/>
      <c r="BK106" s="69">
        <v>0</v>
      </c>
      <c r="BL106" s="69">
        <v>0</v>
      </c>
      <c r="BM106" s="21"/>
      <c r="BN106" s="21">
        <v>1.3793897800407895E-3</v>
      </c>
      <c r="BO106" s="69">
        <v>0</v>
      </c>
      <c r="BP106" s="21"/>
      <c r="BQ106" s="21"/>
      <c r="BR106" s="21"/>
      <c r="BS106" s="21"/>
      <c r="BT106" s="21"/>
      <c r="BU106" s="21"/>
      <c r="BV106" s="69">
        <v>0</v>
      </c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69">
        <v>0</v>
      </c>
      <c r="DH106" s="21"/>
      <c r="DI106" s="21"/>
      <c r="DJ106" s="69">
        <v>0</v>
      </c>
      <c r="DK106" s="21"/>
      <c r="DL106" s="21"/>
      <c r="DM106" s="69">
        <v>0</v>
      </c>
      <c r="DN106" s="21"/>
      <c r="DO106" s="21"/>
      <c r="DP106" s="21"/>
      <c r="DQ106" s="21"/>
      <c r="DR106" s="21"/>
      <c r="DS106" s="21"/>
      <c r="DT106" s="21"/>
      <c r="DU106" s="21"/>
      <c r="DV106" s="21"/>
      <c r="DW106" s="69">
        <v>0</v>
      </c>
      <c r="DX106" s="21"/>
      <c r="DY106" s="21"/>
      <c r="DZ106" s="21"/>
      <c r="EA106" s="21"/>
      <c r="EB106" s="21"/>
      <c r="EC106" s="21"/>
      <c r="ED106" s="21"/>
      <c r="EE106" s="21"/>
      <c r="EF106" s="21"/>
      <c r="EG106" s="69">
        <v>0</v>
      </c>
      <c r="EH106" s="21"/>
      <c r="EI106" s="21"/>
      <c r="EJ106" s="21"/>
      <c r="EK106" s="21"/>
      <c r="EL106" s="69">
        <v>0</v>
      </c>
      <c r="EM106" s="21"/>
      <c r="EN106" s="69">
        <v>0</v>
      </c>
      <c r="EO106" s="21"/>
      <c r="EP106" s="69">
        <v>0</v>
      </c>
      <c r="EQ106" s="69">
        <v>0</v>
      </c>
      <c r="ER106" s="21"/>
      <c r="ES106" s="21"/>
      <c r="ET106" s="69">
        <v>0</v>
      </c>
      <c r="EU106" s="21"/>
      <c r="EV106" s="21"/>
      <c r="EW106" s="21"/>
      <c r="EX106" s="21"/>
      <c r="EY106" s="21"/>
      <c r="EZ106" s="21"/>
      <c r="FA106" s="69">
        <v>0</v>
      </c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>
        <v>1.4890153433572834E-2</v>
      </c>
      <c r="GE106" s="21">
        <v>2.2796547778409872E-2</v>
      </c>
      <c r="GF106" s="21">
        <v>3.470903218676185E-2</v>
      </c>
      <c r="GG106" s="21">
        <v>6.5911650871585223E-2</v>
      </c>
      <c r="GH106" s="21">
        <v>0.11318725503715785</v>
      </c>
      <c r="GI106" s="21">
        <v>4.8192321271189366E-4</v>
      </c>
      <c r="GJ106" s="21">
        <v>2.0350736086604385E-3</v>
      </c>
      <c r="GK106" s="21">
        <v>3.7651156191116121E-3</v>
      </c>
      <c r="GL106" s="21">
        <v>6.5994938464197673E-3</v>
      </c>
      <c r="GM106" s="21">
        <v>9.0547767347801081E-2</v>
      </c>
      <c r="GN106" s="21">
        <v>8.8393219561760461E-4</v>
      </c>
      <c r="GO106" s="21">
        <v>5.5337783639302653E-4</v>
      </c>
      <c r="GP106" s="21">
        <v>3.893049629828906E-3</v>
      </c>
      <c r="GQ106" s="21">
        <v>2.3202160457927796E-2</v>
      </c>
      <c r="GR106" s="21">
        <v>0.33132231403074541</v>
      </c>
      <c r="GS106" s="21"/>
      <c r="GT106" s="21"/>
      <c r="GU106" s="21"/>
      <c r="GV106" s="21"/>
      <c r="GW106" s="21"/>
      <c r="GX106" s="21">
        <v>0</v>
      </c>
      <c r="GY106" s="21">
        <v>0</v>
      </c>
      <c r="GZ106" s="21">
        <v>0.17420184789949761</v>
      </c>
      <c r="HA106" s="21">
        <v>8.8700279074975394E-2</v>
      </c>
      <c r="HB106" s="21">
        <f t="shared" si="1"/>
        <v>3.883464656562539</v>
      </c>
    </row>
    <row r="107" spans="1:210" x14ac:dyDescent="0.75">
      <c r="A107" s="67" t="s">
        <v>323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69">
        <v>0</v>
      </c>
      <c r="AD107" s="21"/>
      <c r="AE107" s="21"/>
      <c r="AF107" s="69">
        <v>0</v>
      </c>
      <c r="AG107" s="21"/>
      <c r="AH107" s="21"/>
      <c r="AI107" s="69">
        <v>0</v>
      </c>
      <c r="AJ107" s="21"/>
      <c r="AK107" s="21">
        <v>0.33515613330485189</v>
      </c>
      <c r="AL107" s="21">
        <v>1.7364466486315828</v>
      </c>
      <c r="AM107" s="21"/>
      <c r="AN107" s="21">
        <v>3.2985695461195172</v>
      </c>
      <c r="AO107" s="21"/>
      <c r="AP107" s="21"/>
      <c r="AQ107" s="21">
        <v>0.40261990489152522</v>
      </c>
      <c r="AR107" s="69">
        <v>0</v>
      </c>
      <c r="AS107" s="21"/>
      <c r="AT107" s="21"/>
      <c r="AU107" s="21">
        <v>9.9981581108669979E-3</v>
      </c>
      <c r="AV107" s="21"/>
      <c r="AW107" s="21"/>
      <c r="AX107" s="21"/>
      <c r="AY107" s="21"/>
      <c r="AZ107" s="21"/>
      <c r="BA107" s="21">
        <v>1.9399338743949949E-2</v>
      </c>
      <c r="BB107" s="69">
        <v>0</v>
      </c>
      <c r="BC107" s="21"/>
      <c r="BD107" s="21"/>
      <c r="BE107" s="21"/>
      <c r="BF107" s="21"/>
      <c r="BG107" s="69">
        <v>0</v>
      </c>
      <c r="BH107" s="21"/>
      <c r="BI107" s="69">
        <v>0</v>
      </c>
      <c r="BJ107" s="21"/>
      <c r="BK107" s="69">
        <v>0</v>
      </c>
      <c r="BL107" s="69">
        <v>0</v>
      </c>
      <c r="BM107" s="21"/>
      <c r="BN107" s="21">
        <v>3.1054124240175161E-3</v>
      </c>
      <c r="BO107" s="69">
        <v>0</v>
      </c>
      <c r="BP107" s="21"/>
      <c r="BQ107" s="21"/>
      <c r="BR107" s="21"/>
      <c r="BS107" s="21"/>
      <c r="BT107" s="21"/>
      <c r="BU107" s="21"/>
      <c r="BV107" s="69">
        <v>0</v>
      </c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69">
        <v>0</v>
      </c>
      <c r="DH107" s="21"/>
      <c r="DI107" s="21"/>
      <c r="DJ107" s="69">
        <v>0</v>
      </c>
      <c r="DK107" s="21"/>
      <c r="DL107" s="21"/>
      <c r="DM107" s="69">
        <v>0</v>
      </c>
      <c r="DN107" s="21"/>
      <c r="DO107" s="21"/>
      <c r="DP107" s="21"/>
      <c r="DQ107" s="21"/>
      <c r="DR107" s="21"/>
      <c r="DS107" s="21"/>
      <c r="DT107" s="21"/>
      <c r="DU107" s="21"/>
      <c r="DV107" s="21"/>
      <c r="DW107" s="69">
        <v>0</v>
      </c>
      <c r="DX107" s="21"/>
      <c r="DY107" s="21"/>
      <c r="DZ107" s="21"/>
      <c r="EA107" s="21"/>
      <c r="EB107" s="21"/>
      <c r="EC107" s="21"/>
      <c r="ED107" s="21"/>
      <c r="EE107" s="21"/>
      <c r="EF107" s="21"/>
      <c r="EG107" s="69">
        <v>0</v>
      </c>
      <c r="EH107" s="21"/>
      <c r="EI107" s="21"/>
      <c r="EJ107" s="21"/>
      <c r="EK107" s="21"/>
      <c r="EL107" s="69">
        <v>0</v>
      </c>
      <c r="EM107" s="21"/>
      <c r="EN107" s="69">
        <v>0</v>
      </c>
      <c r="EO107" s="21"/>
      <c r="EP107" s="69">
        <v>0</v>
      </c>
      <c r="EQ107" s="69">
        <v>0</v>
      </c>
      <c r="ER107" s="21"/>
      <c r="ES107" s="21"/>
      <c r="ET107" s="69">
        <v>0</v>
      </c>
      <c r="EU107" s="21"/>
      <c r="EV107" s="21"/>
      <c r="EW107" s="21"/>
      <c r="EX107" s="21"/>
      <c r="EY107" s="21"/>
      <c r="EZ107" s="21"/>
      <c r="FA107" s="69">
        <v>0</v>
      </c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>
        <v>0</v>
      </c>
      <c r="GY107" s="21">
        <v>0</v>
      </c>
      <c r="GZ107" s="21">
        <v>4.7963480214002131E-2</v>
      </c>
      <c r="HA107" s="21">
        <v>9.8377528342550452E-2</v>
      </c>
      <c r="HB107" s="21">
        <f t="shared" si="1"/>
        <v>5.9516361507828641</v>
      </c>
    </row>
    <row r="108" spans="1:210" x14ac:dyDescent="0.75">
      <c r="A108" s="67" t="s">
        <v>328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69">
        <v>0</v>
      </c>
      <c r="AD108" s="21"/>
      <c r="AE108" s="21"/>
      <c r="AF108" s="69">
        <v>0</v>
      </c>
      <c r="AG108" s="21"/>
      <c r="AH108" s="21"/>
      <c r="AI108" s="69">
        <v>0</v>
      </c>
      <c r="AJ108" s="21"/>
      <c r="AK108" s="21"/>
      <c r="AL108" s="21"/>
      <c r="AM108" s="21"/>
      <c r="AN108" s="21"/>
      <c r="AO108" s="21"/>
      <c r="AP108" s="21"/>
      <c r="AQ108" s="21">
        <v>7.3616466350249476</v>
      </c>
      <c r="AR108" s="69">
        <v>0</v>
      </c>
      <c r="AS108" s="21"/>
      <c r="AT108" s="21"/>
      <c r="AU108" s="21"/>
      <c r="AV108" s="21"/>
      <c r="AW108" s="21"/>
      <c r="AX108" s="21"/>
      <c r="AY108" s="21"/>
      <c r="AZ108" s="21"/>
      <c r="BA108" s="21"/>
      <c r="BB108" s="69">
        <v>0</v>
      </c>
      <c r="BC108" s="21"/>
      <c r="BD108" s="21"/>
      <c r="BE108" s="21"/>
      <c r="BF108" s="21"/>
      <c r="BG108" s="69">
        <v>0</v>
      </c>
      <c r="BH108" s="21"/>
      <c r="BI108" s="69">
        <v>0</v>
      </c>
      <c r="BJ108" s="21"/>
      <c r="BK108" s="69">
        <v>0</v>
      </c>
      <c r="BL108" s="69">
        <v>0</v>
      </c>
      <c r="BM108" s="21"/>
      <c r="BN108" s="21"/>
      <c r="BO108" s="69">
        <v>0</v>
      </c>
      <c r="BP108" s="21"/>
      <c r="BQ108" s="21"/>
      <c r="BR108" s="21"/>
      <c r="BS108" s="21"/>
      <c r="BT108" s="21"/>
      <c r="BU108" s="21"/>
      <c r="BV108" s="69">
        <v>0</v>
      </c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69">
        <v>0</v>
      </c>
      <c r="DH108" s="21"/>
      <c r="DI108" s="21"/>
      <c r="DJ108" s="69">
        <v>0</v>
      </c>
      <c r="DK108" s="21"/>
      <c r="DL108" s="21"/>
      <c r="DM108" s="69">
        <v>0</v>
      </c>
      <c r="DN108" s="21"/>
      <c r="DO108" s="21"/>
      <c r="DP108" s="21"/>
      <c r="DQ108" s="21"/>
      <c r="DR108" s="21"/>
      <c r="DS108" s="21"/>
      <c r="DT108" s="21"/>
      <c r="DU108" s="21"/>
      <c r="DV108" s="21"/>
      <c r="DW108" s="69">
        <v>0</v>
      </c>
      <c r="DX108" s="21"/>
      <c r="DY108" s="21"/>
      <c r="DZ108" s="21"/>
      <c r="EA108" s="21"/>
      <c r="EB108" s="21"/>
      <c r="EC108" s="21"/>
      <c r="ED108" s="21"/>
      <c r="EE108" s="21"/>
      <c r="EF108" s="21"/>
      <c r="EG108" s="69">
        <v>0</v>
      </c>
      <c r="EH108" s="21"/>
      <c r="EI108" s="21"/>
      <c r="EJ108" s="21"/>
      <c r="EK108" s="21"/>
      <c r="EL108" s="69">
        <v>0</v>
      </c>
      <c r="EM108" s="21"/>
      <c r="EN108" s="69">
        <v>0</v>
      </c>
      <c r="EO108" s="21"/>
      <c r="EP108" s="69">
        <v>0</v>
      </c>
      <c r="EQ108" s="69">
        <v>0</v>
      </c>
      <c r="ER108" s="21"/>
      <c r="ES108" s="21"/>
      <c r="ET108" s="69">
        <v>0</v>
      </c>
      <c r="EU108" s="21"/>
      <c r="EV108" s="21"/>
      <c r="EW108" s="21"/>
      <c r="EX108" s="21"/>
      <c r="EY108" s="21"/>
      <c r="EZ108" s="21"/>
      <c r="FA108" s="69">
        <v>0</v>
      </c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>
        <v>0</v>
      </c>
      <c r="GY108" s="21">
        <v>0</v>
      </c>
      <c r="GZ108" s="21">
        <v>26.304866676082913</v>
      </c>
      <c r="HA108" s="21">
        <v>48.425587897559261</v>
      </c>
      <c r="HB108" s="21">
        <f t="shared" si="1"/>
        <v>82.092101208667117</v>
      </c>
    </row>
    <row r="109" spans="1:210" x14ac:dyDescent="0.75">
      <c r="A109" s="67" t="s">
        <v>507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69">
        <v>0</v>
      </c>
      <c r="AD109" s="21"/>
      <c r="AE109" s="21"/>
      <c r="AF109" s="69">
        <v>0</v>
      </c>
      <c r="AG109" s="21"/>
      <c r="AH109" s="21"/>
      <c r="AI109" s="69">
        <v>0</v>
      </c>
      <c r="AJ109" s="21"/>
      <c r="AK109" s="21"/>
      <c r="AL109" s="21"/>
      <c r="AM109" s="21"/>
      <c r="AN109" s="21"/>
      <c r="AO109" s="21"/>
      <c r="AP109" s="21"/>
      <c r="AQ109" s="21">
        <v>2.2782495433394279</v>
      </c>
      <c r="AR109" s="69">
        <v>0</v>
      </c>
      <c r="AS109" s="21"/>
      <c r="AT109" s="21"/>
      <c r="AU109" s="21"/>
      <c r="AV109" s="21"/>
      <c r="AW109" s="21"/>
      <c r="AX109" s="21"/>
      <c r="AY109" s="21"/>
      <c r="AZ109" s="21"/>
      <c r="BA109" s="21"/>
      <c r="BB109" s="69">
        <v>0</v>
      </c>
      <c r="BC109" s="21"/>
      <c r="BD109" s="21"/>
      <c r="BE109" s="21"/>
      <c r="BF109" s="21"/>
      <c r="BG109" s="69">
        <v>0</v>
      </c>
      <c r="BH109" s="21"/>
      <c r="BI109" s="69">
        <v>0</v>
      </c>
      <c r="BJ109" s="21"/>
      <c r="BK109" s="69">
        <v>0</v>
      </c>
      <c r="BL109" s="69">
        <v>0</v>
      </c>
      <c r="BM109" s="21"/>
      <c r="BN109" s="21"/>
      <c r="BO109" s="69">
        <v>0</v>
      </c>
      <c r="BP109" s="21"/>
      <c r="BQ109" s="21"/>
      <c r="BR109" s="21"/>
      <c r="BS109" s="21"/>
      <c r="BT109" s="21"/>
      <c r="BU109" s="21"/>
      <c r="BV109" s="69">
        <v>0</v>
      </c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69">
        <v>0</v>
      </c>
      <c r="DH109" s="21"/>
      <c r="DI109" s="21"/>
      <c r="DJ109" s="69">
        <v>0</v>
      </c>
      <c r="DK109" s="21"/>
      <c r="DL109" s="21"/>
      <c r="DM109" s="69">
        <v>0</v>
      </c>
      <c r="DN109" s="21"/>
      <c r="DO109" s="21"/>
      <c r="DP109" s="21"/>
      <c r="DQ109" s="21"/>
      <c r="DR109" s="21"/>
      <c r="DS109" s="21"/>
      <c r="DT109" s="21"/>
      <c r="DU109" s="21"/>
      <c r="DV109" s="21"/>
      <c r="DW109" s="69">
        <v>0</v>
      </c>
      <c r="DX109" s="21"/>
      <c r="DY109" s="21"/>
      <c r="DZ109" s="21"/>
      <c r="EA109" s="21"/>
      <c r="EB109" s="21"/>
      <c r="EC109" s="21"/>
      <c r="ED109" s="21"/>
      <c r="EE109" s="21"/>
      <c r="EF109" s="21"/>
      <c r="EG109" s="69">
        <v>0</v>
      </c>
      <c r="EH109" s="21"/>
      <c r="EI109" s="21"/>
      <c r="EJ109" s="21"/>
      <c r="EK109" s="21"/>
      <c r="EL109" s="69">
        <v>0</v>
      </c>
      <c r="EM109" s="21"/>
      <c r="EN109" s="69">
        <v>0</v>
      </c>
      <c r="EO109" s="21"/>
      <c r="EP109" s="69">
        <v>0</v>
      </c>
      <c r="EQ109" s="69">
        <v>0</v>
      </c>
      <c r="ER109" s="21"/>
      <c r="ES109" s="21"/>
      <c r="ET109" s="69">
        <v>0</v>
      </c>
      <c r="EU109" s="21"/>
      <c r="EV109" s="21"/>
      <c r="EW109" s="21"/>
      <c r="EX109" s="21"/>
      <c r="EY109" s="21"/>
      <c r="EZ109" s="21"/>
      <c r="FA109" s="69">
        <v>0</v>
      </c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>
        <v>2.1071695919835501E-15</v>
      </c>
      <c r="GE109" s="21">
        <v>3.2619820479132079E-15</v>
      </c>
      <c r="GF109" s="21">
        <v>4.2820289430072436E-15</v>
      </c>
      <c r="GG109" s="21">
        <v>5.8097180643116325E-15</v>
      </c>
      <c r="GH109" s="21">
        <v>8.0004236145707107E-15</v>
      </c>
      <c r="GI109" s="21">
        <v>1.4768898629572191E-16</v>
      </c>
      <c r="GJ109" s="21">
        <v>1.9537119434822669E-16</v>
      </c>
      <c r="GK109" s="21">
        <v>3.245956393764151E-16</v>
      </c>
      <c r="GL109" s="21">
        <v>6.2139405664875842E-16</v>
      </c>
      <c r="GM109" s="21">
        <v>4.211904827673237E-15</v>
      </c>
      <c r="GN109" s="21">
        <v>9.7305508041436413E-17</v>
      </c>
      <c r="GO109" s="21">
        <v>1.5874470300555187E-16</v>
      </c>
      <c r="GP109" s="21">
        <v>2.6754997254804053E-16</v>
      </c>
      <c r="GQ109" s="21">
        <v>7.0802144629312086E-16</v>
      </c>
      <c r="GR109" s="21">
        <v>2.9389810591099002E-14</v>
      </c>
      <c r="GS109" s="21"/>
      <c r="GT109" s="21"/>
      <c r="GU109" s="21"/>
      <c r="GV109" s="21"/>
      <c r="GW109" s="21"/>
      <c r="GX109" s="21">
        <v>0</v>
      </c>
      <c r="GY109" s="21">
        <v>0</v>
      </c>
      <c r="GZ109" s="21">
        <v>2.4040045932100726</v>
      </c>
      <c r="HA109" s="21">
        <v>20.591569118912652</v>
      </c>
      <c r="HB109" s="21">
        <f t="shared" si="1"/>
        <v>25.273823255462212</v>
      </c>
    </row>
    <row r="110" spans="1:210" x14ac:dyDescent="0.75">
      <c r="A110" s="67" t="s">
        <v>326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>
        <v>3.9771086499897183E-2</v>
      </c>
      <c r="W110" s="21"/>
      <c r="X110" s="21"/>
      <c r="Y110" s="21"/>
      <c r="Z110" s="21"/>
      <c r="AA110" s="21"/>
      <c r="AB110" s="21"/>
      <c r="AC110" s="69">
        <v>0</v>
      </c>
      <c r="AD110" s="21"/>
      <c r="AE110" s="21"/>
      <c r="AF110" s="69">
        <v>0</v>
      </c>
      <c r="AG110" s="21"/>
      <c r="AH110" s="21"/>
      <c r="AI110" s="69">
        <v>0</v>
      </c>
      <c r="AJ110" s="21"/>
      <c r="AK110" s="21"/>
      <c r="AL110" s="21"/>
      <c r="AM110" s="21"/>
      <c r="AN110" s="21"/>
      <c r="AO110" s="21"/>
      <c r="AP110" s="21"/>
      <c r="AQ110" s="21"/>
      <c r="AR110" s="69">
        <v>0</v>
      </c>
      <c r="AS110" s="21"/>
      <c r="AT110" s="21"/>
      <c r="AU110" s="21"/>
      <c r="AV110" s="21"/>
      <c r="AW110" s="21"/>
      <c r="AX110" s="21"/>
      <c r="AY110" s="21"/>
      <c r="AZ110" s="21"/>
      <c r="BA110" s="21"/>
      <c r="BB110" s="69">
        <v>0</v>
      </c>
      <c r="BC110" s="21"/>
      <c r="BD110" s="21"/>
      <c r="BE110" s="21"/>
      <c r="BF110" s="21"/>
      <c r="BG110" s="69">
        <v>0</v>
      </c>
      <c r="BH110" s="21"/>
      <c r="BI110" s="69">
        <v>0</v>
      </c>
      <c r="BJ110" s="21"/>
      <c r="BK110" s="69">
        <v>0</v>
      </c>
      <c r="BL110" s="69">
        <v>0</v>
      </c>
      <c r="BM110" s="21"/>
      <c r="BN110" s="21"/>
      <c r="BO110" s="69">
        <v>0</v>
      </c>
      <c r="BP110" s="21"/>
      <c r="BQ110" s="21"/>
      <c r="BR110" s="21"/>
      <c r="BS110" s="21"/>
      <c r="BT110" s="21"/>
      <c r="BU110" s="21"/>
      <c r="BV110" s="69">
        <v>0</v>
      </c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69">
        <v>0</v>
      </c>
      <c r="DH110" s="21"/>
      <c r="DI110" s="21"/>
      <c r="DJ110" s="69">
        <v>0</v>
      </c>
      <c r="DK110" s="21"/>
      <c r="DL110" s="21"/>
      <c r="DM110" s="69">
        <v>0</v>
      </c>
      <c r="DN110" s="21"/>
      <c r="DO110" s="21"/>
      <c r="DP110" s="21"/>
      <c r="DQ110" s="21"/>
      <c r="DR110" s="21"/>
      <c r="DS110" s="21"/>
      <c r="DT110" s="21"/>
      <c r="DU110" s="21"/>
      <c r="DV110" s="21"/>
      <c r="DW110" s="69">
        <v>0</v>
      </c>
      <c r="DX110" s="21"/>
      <c r="DY110" s="21"/>
      <c r="DZ110" s="21"/>
      <c r="EA110" s="21"/>
      <c r="EB110" s="21"/>
      <c r="EC110" s="21"/>
      <c r="ED110" s="21"/>
      <c r="EE110" s="21"/>
      <c r="EF110" s="21"/>
      <c r="EG110" s="69">
        <v>0</v>
      </c>
      <c r="EH110" s="21"/>
      <c r="EI110" s="21"/>
      <c r="EJ110" s="21"/>
      <c r="EK110" s="21"/>
      <c r="EL110" s="69">
        <v>0</v>
      </c>
      <c r="EM110" s="21"/>
      <c r="EN110" s="69">
        <v>0</v>
      </c>
      <c r="EO110" s="21"/>
      <c r="EP110" s="69">
        <v>0</v>
      </c>
      <c r="EQ110" s="69">
        <v>0</v>
      </c>
      <c r="ER110" s="21"/>
      <c r="ES110" s="21"/>
      <c r="ET110" s="69">
        <v>0</v>
      </c>
      <c r="EU110" s="21"/>
      <c r="EV110" s="21"/>
      <c r="EW110" s="21"/>
      <c r="EX110" s="21"/>
      <c r="EY110" s="21"/>
      <c r="EZ110" s="21"/>
      <c r="FA110" s="69">
        <v>0</v>
      </c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>
        <v>0.62396477765680658</v>
      </c>
      <c r="GE110" s="21">
        <v>1.0634362596129983</v>
      </c>
      <c r="GF110" s="21">
        <v>0.86833944112743888</v>
      </c>
      <c r="GG110" s="21">
        <v>1.0261810630375343</v>
      </c>
      <c r="GH110" s="21">
        <v>0.63924166908248536</v>
      </c>
      <c r="GI110" s="21">
        <v>2.0139242939106964E-2</v>
      </c>
      <c r="GJ110" s="21">
        <v>2.7918404275740293E-2</v>
      </c>
      <c r="GK110" s="21">
        <v>4.4613516018681326E-2</v>
      </c>
      <c r="GL110" s="21">
        <v>4.3943017970169515E-2</v>
      </c>
      <c r="GM110" s="21">
        <v>2.8495461279140065E-2</v>
      </c>
      <c r="GN110" s="21">
        <v>1.3965091795627185E-2</v>
      </c>
      <c r="GO110" s="21">
        <v>1.0087315283660426E-2</v>
      </c>
      <c r="GP110" s="21">
        <v>5.3136952813484718E-2</v>
      </c>
      <c r="GQ110" s="21">
        <v>0.15701961185907934</v>
      </c>
      <c r="GR110" s="21">
        <v>4.2183320426700539E-2</v>
      </c>
      <c r="GS110" s="21"/>
      <c r="GT110" s="21"/>
      <c r="GU110" s="21"/>
      <c r="GV110" s="21"/>
      <c r="GW110" s="21"/>
      <c r="GX110" s="21">
        <v>0</v>
      </c>
      <c r="GY110" s="21">
        <v>0</v>
      </c>
      <c r="GZ110" s="21">
        <v>-4.9108793848456955E-2</v>
      </c>
      <c r="HA110" s="21">
        <v>2.1022339320432692E-3</v>
      </c>
      <c r="HB110" s="21">
        <f t="shared" si="1"/>
        <v>4.6554296717621373</v>
      </c>
    </row>
    <row r="111" spans="1:210" x14ac:dyDescent="0.75">
      <c r="A111" s="67" t="s">
        <v>325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>
        <v>9.1188121643464834E-2</v>
      </c>
      <c r="X111" s="21"/>
      <c r="Y111" s="21"/>
      <c r="Z111" s="21"/>
      <c r="AA111" s="21"/>
      <c r="AB111" s="21"/>
      <c r="AC111" s="69">
        <v>0</v>
      </c>
      <c r="AD111" s="21"/>
      <c r="AE111" s="21"/>
      <c r="AF111" s="69">
        <v>0</v>
      </c>
      <c r="AG111" s="21"/>
      <c r="AH111" s="21"/>
      <c r="AI111" s="69">
        <v>0</v>
      </c>
      <c r="AJ111" s="21"/>
      <c r="AK111" s="21"/>
      <c r="AL111" s="21"/>
      <c r="AM111" s="21"/>
      <c r="AN111" s="21"/>
      <c r="AO111" s="21"/>
      <c r="AP111" s="21"/>
      <c r="AQ111" s="21"/>
      <c r="AR111" s="69">
        <v>0</v>
      </c>
      <c r="AS111" s="21"/>
      <c r="AT111" s="21"/>
      <c r="AU111" s="21"/>
      <c r="AV111" s="21"/>
      <c r="AW111" s="21"/>
      <c r="AX111" s="21"/>
      <c r="AY111" s="21"/>
      <c r="AZ111" s="21"/>
      <c r="BA111" s="21"/>
      <c r="BB111" s="69">
        <v>0</v>
      </c>
      <c r="BC111" s="21"/>
      <c r="BD111" s="21"/>
      <c r="BE111" s="21"/>
      <c r="BF111" s="21"/>
      <c r="BG111" s="69">
        <v>0</v>
      </c>
      <c r="BH111" s="21"/>
      <c r="BI111" s="69">
        <v>0</v>
      </c>
      <c r="BJ111" s="21"/>
      <c r="BK111" s="69">
        <v>0</v>
      </c>
      <c r="BL111" s="69">
        <v>0</v>
      </c>
      <c r="BM111" s="21"/>
      <c r="BN111" s="21"/>
      <c r="BO111" s="69">
        <v>0</v>
      </c>
      <c r="BP111" s="21"/>
      <c r="BQ111" s="21"/>
      <c r="BR111" s="21"/>
      <c r="BS111" s="21"/>
      <c r="BT111" s="21"/>
      <c r="BU111" s="21"/>
      <c r="BV111" s="69">
        <v>0</v>
      </c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69">
        <v>0</v>
      </c>
      <c r="DH111" s="21"/>
      <c r="DI111" s="21"/>
      <c r="DJ111" s="69">
        <v>0</v>
      </c>
      <c r="DK111" s="21"/>
      <c r="DL111" s="21"/>
      <c r="DM111" s="69">
        <v>0</v>
      </c>
      <c r="DN111" s="21"/>
      <c r="DO111" s="21"/>
      <c r="DP111" s="21"/>
      <c r="DQ111" s="21"/>
      <c r="DR111" s="21"/>
      <c r="DS111" s="21"/>
      <c r="DT111" s="21"/>
      <c r="DU111" s="21"/>
      <c r="DV111" s="21"/>
      <c r="DW111" s="69">
        <v>0</v>
      </c>
      <c r="DX111" s="21"/>
      <c r="DY111" s="21"/>
      <c r="DZ111" s="21"/>
      <c r="EA111" s="21"/>
      <c r="EB111" s="21"/>
      <c r="EC111" s="21"/>
      <c r="ED111" s="21"/>
      <c r="EE111" s="21"/>
      <c r="EF111" s="21"/>
      <c r="EG111" s="69">
        <v>0</v>
      </c>
      <c r="EH111" s="21"/>
      <c r="EI111" s="21"/>
      <c r="EJ111" s="21"/>
      <c r="EK111" s="21"/>
      <c r="EL111" s="69">
        <v>0</v>
      </c>
      <c r="EM111" s="21"/>
      <c r="EN111" s="69">
        <v>0</v>
      </c>
      <c r="EO111" s="21"/>
      <c r="EP111" s="69">
        <v>0</v>
      </c>
      <c r="EQ111" s="69">
        <v>0</v>
      </c>
      <c r="ER111" s="21"/>
      <c r="ES111" s="21"/>
      <c r="ET111" s="69">
        <v>0</v>
      </c>
      <c r="EU111" s="21"/>
      <c r="EV111" s="21"/>
      <c r="EW111" s="21"/>
      <c r="EX111" s="21"/>
      <c r="EY111" s="21"/>
      <c r="EZ111" s="21"/>
      <c r="FA111" s="69">
        <v>0</v>
      </c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>
        <v>2.9358308599751835E-2</v>
      </c>
      <c r="GE111" s="21">
        <v>7.2397459427131772E-2</v>
      </c>
      <c r="GF111" s="21">
        <v>0.2372810122497564</v>
      </c>
      <c r="GG111" s="21">
        <v>0.71095247236131087</v>
      </c>
      <c r="GH111" s="21">
        <v>1.5434462582704229</v>
      </c>
      <c r="GI111" s="21"/>
      <c r="GJ111" s="21">
        <v>3.5294287868487956E-3</v>
      </c>
      <c r="GK111" s="21">
        <v>2.9887019078136665E-2</v>
      </c>
      <c r="GL111" s="21">
        <v>0.10303364143463263</v>
      </c>
      <c r="GM111" s="21">
        <v>1.1269270581444328</v>
      </c>
      <c r="GN111" s="21"/>
      <c r="GO111" s="21">
        <v>3.9816468879395302E-3</v>
      </c>
      <c r="GP111" s="21"/>
      <c r="GQ111" s="21">
        <v>0.13597900054540923</v>
      </c>
      <c r="GR111" s="21">
        <v>2.3188229680468315</v>
      </c>
      <c r="GS111" s="21"/>
      <c r="GT111" s="21"/>
      <c r="GU111" s="21"/>
      <c r="GV111" s="21"/>
      <c r="GW111" s="21"/>
      <c r="GX111" s="21">
        <v>0</v>
      </c>
      <c r="GY111" s="21">
        <v>0</v>
      </c>
      <c r="GZ111" s="21"/>
      <c r="HA111" s="21">
        <v>1.2169483986049414</v>
      </c>
      <c r="HB111" s="21">
        <f t="shared" si="1"/>
        <v>7.6237327940810111</v>
      </c>
    </row>
    <row r="112" spans="1:210" x14ac:dyDescent="0.75">
      <c r="A112" s="67" t="s">
        <v>729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>
        <v>5.2967722868581625E-2</v>
      </c>
      <c r="Y112" s="21"/>
      <c r="Z112" s="21"/>
      <c r="AA112" s="21"/>
      <c r="AB112" s="21"/>
      <c r="AC112" s="69">
        <v>0</v>
      </c>
      <c r="AD112" s="21"/>
      <c r="AE112" s="21"/>
      <c r="AF112" s="69">
        <v>0</v>
      </c>
      <c r="AG112" s="21"/>
      <c r="AH112" s="21"/>
      <c r="AI112" s="69">
        <v>0</v>
      </c>
      <c r="AJ112" s="21"/>
      <c r="AK112" s="21"/>
      <c r="AL112" s="21"/>
      <c r="AM112" s="21"/>
      <c r="AN112" s="21"/>
      <c r="AO112" s="21"/>
      <c r="AP112" s="21"/>
      <c r="AQ112" s="21"/>
      <c r="AR112" s="69">
        <v>0</v>
      </c>
      <c r="AS112" s="21"/>
      <c r="AT112" s="21"/>
      <c r="AU112" s="21"/>
      <c r="AV112" s="21"/>
      <c r="AW112" s="21"/>
      <c r="AX112" s="21"/>
      <c r="AY112" s="21"/>
      <c r="AZ112" s="21"/>
      <c r="BA112" s="21"/>
      <c r="BB112" s="69">
        <v>0</v>
      </c>
      <c r="BC112" s="21"/>
      <c r="BD112" s="21"/>
      <c r="BE112" s="21"/>
      <c r="BF112" s="21"/>
      <c r="BG112" s="69">
        <v>0</v>
      </c>
      <c r="BH112" s="21"/>
      <c r="BI112" s="69">
        <v>0</v>
      </c>
      <c r="BJ112" s="21"/>
      <c r="BK112" s="69">
        <v>0</v>
      </c>
      <c r="BL112" s="69">
        <v>0</v>
      </c>
      <c r="BM112" s="21"/>
      <c r="BN112" s="21"/>
      <c r="BO112" s="69">
        <v>0</v>
      </c>
      <c r="BP112" s="21"/>
      <c r="BQ112" s="21"/>
      <c r="BR112" s="21"/>
      <c r="BS112" s="21"/>
      <c r="BT112" s="21"/>
      <c r="BU112" s="21"/>
      <c r="BV112" s="69">
        <v>0</v>
      </c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69">
        <v>0</v>
      </c>
      <c r="DH112" s="21"/>
      <c r="DI112" s="21"/>
      <c r="DJ112" s="69">
        <v>0</v>
      </c>
      <c r="DK112" s="21"/>
      <c r="DL112" s="21"/>
      <c r="DM112" s="69">
        <v>0</v>
      </c>
      <c r="DN112" s="21"/>
      <c r="DO112" s="21"/>
      <c r="DP112" s="21"/>
      <c r="DQ112" s="21"/>
      <c r="DR112" s="21"/>
      <c r="DS112" s="21"/>
      <c r="DT112" s="21"/>
      <c r="DU112" s="21"/>
      <c r="DV112" s="21"/>
      <c r="DW112" s="69">
        <v>0</v>
      </c>
      <c r="DX112" s="21"/>
      <c r="DY112" s="21"/>
      <c r="DZ112" s="21"/>
      <c r="EA112" s="21"/>
      <c r="EB112" s="21"/>
      <c r="EC112" s="21"/>
      <c r="ED112" s="21"/>
      <c r="EE112" s="21"/>
      <c r="EF112" s="21"/>
      <c r="EG112" s="69">
        <v>0</v>
      </c>
      <c r="EH112" s="21"/>
      <c r="EI112" s="21"/>
      <c r="EJ112" s="21"/>
      <c r="EK112" s="21"/>
      <c r="EL112" s="69">
        <v>0</v>
      </c>
      <c r="EM112" s="21"/>
      <c r="EN112" s="69">
        <v>0</v>
      </c>
      <c r="EO112" s="21"/>
      <c r="EP112" s="69">
        <v>0</v>
      </c>
      <c r="EQ112" s="69">
        <v>0</v>
      </c>
      <c r="ER112" s="21"/>
      <c r="ES112" s="21"/>
      <c r="ET112" s="69">
        <v>0</v>
      </c>
      <c r="EU112" s="21"/>
      <c r="EV112" s="21"/>
      <c r="EW112" s="21"/>
      <c r="EX112" s="21"/>
      <c r="EY112" s="21"/>
      <c r="EZ112" s="21"/>
      <c r="FA112" s="69">
        <v>0</v>
      </c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>
        <v>0</v>
      </c>
      <c r="GY112" s="21">
        <v>0</v>
      </c>
      <c r="GZ112" s="21"/>
      <c r="HA112" s="21">
        <v>5.5988265867549716</v>
      </c>
      <c r="HB112" s="21">
        <f t="shared" si="1"/>
        <v>5.6517943096235532</v>
      </c>
    </row>
    <row r="113" spans="1:210" x14ac:dyDescent="0.75">
      <c r="A113" s="67" t="s">
        <v>329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>
        <v>1.711028926373799</v>
      </c>
      <c r="U113" s="21">
        <v>0.78684624238871437</v>
      </c>
      <c r="V113" s="21"/>
      <c r="W113" s="21"/>
      <c r="X113" s="21"/>
      <c r="Y113" s="21">
        <v>0.27326685138275997</v>
      </c>
      <c r="Z113" s="21">
        <v>0.49854232349175603</v>
      </c>
      <c r="AA113" s="21">
        <v>0.28681954586011738</v>
      </c>
      <c r="AB113" s="21">
        <v>7.918088929777034E-2</v>
      </c>
      <c r="AC113" s="69">
        <v>1.4129273106020799E-2</v>
      </c>
      <c r="AD113" s="21"/>
      <c r="AE113" s="21"/>
      <c r="AF113" s="69">
        <v>0</v>
      </c>
      <c r="AG113" s="21"/>
      <c r="AH113" s="21"/>
      <c r="AI113" s="69">
        <v>0</v>
      </c>
      <c r="AJ113" s="21"/>
      <c r="AK113" s="21"/>
      <c r="AL113" s="21"/>
      <c r="AM113" s="21"/>
      <c r="AN113" s="21"/>
      <c r="AO113" s="21"/>
      <c r="AP113" s="21"/>
      <c r="AQ113" s="21"/>
      <c r="AR113" s="69">
        <v>0</v>
      </c>
      <c r="AS113" s="21"/>
      <c r="AT113" s="21"/>
      <c r="AU113" s="21"/>
      <c r="AV113" s="21"/>
      <c r="AW113" s="21"/>
      <c r="AX113" s="21"/>
      <c r="AY113" s="21"/>
      <c r="AZ113" s="21"/>
      <c r="BA113" s="21"/>
      <c r="BB113" s="69">
        <v>0</v>
      </c>
      <c r="BC113" s="21"/>
      <c r="BD113" s="21"/>
      <c r="BE113" s="21"/>
      <c r="BF113" s="21"/>
      <c r="BG113" s="69">
        <v>0</v>
      </c>
      <c r="BH113" s="21"/>
      <c r="BI113" s="69">
        <v>0</v>
      </c>
      <c r="BJ113" s="21"/>
      <c r="BK113" s="69">
        <v>0</v>
      </c>
      <c r="BL113" s="69">
        <v>0</v>
      </c>
      <c r="BM113" s="21"/>
      <c r="BN113" s="21">
        <v>4.9889760608051503E-2</v>
      </c>
      <c r="BO113" s="69">
        <v>0</v>
      </c>
      <c r="BP113" s="21"/>
      <c r="BQ113" s="21"/>
      <c r="BR113" s="21"/>
      <c r="BS113" s="21"/>
      <c r="BT113" s="21"/>
      <c r="BU113" s="21"/>
      <c r="BV113" s="69">
        <v>0</v>
      </c>
      <c r="BW113" s="21">
        <v>19.307302368454362</v>
      </c>
      <c r="BX113" s="21"/>
      <c r="BY113" s="21">
        <v>5.5794607552586244E-3</v>
      </c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69">
        <v>0</v>
      </c>
      <c r="DH113" s="21"/>
      <c r="DI113" s="21"/>
      <c r="DJ113" s="69">
        <v>0</v>
      </c>
      <c r="DK113" s="21"/>
      <c r="DL113" s="21"/>
      <c r="DM113" s="69">
        <v>0</v>
      </c>
      <c r="DN113" s="21"/>
      <c r="DO113" s="21"/>
      <c r="DP113" s="21"/>
      <c r="DQ113" s="21"/>
      <c r="DR113" s="21"/>
      <c r="DS113" s="21"/>
      <c r="DT113" s="21"/>
      <c r="DU113" s="21"/>
      <c r="DV113" s="21"/>
      <c r="DW113" s="69">
        <v>0</v>
      </c>
      <c r="DX113" s="21"/>
      <c r="DY113" s="21"/>
      <c r="DZ113" s="21"/>
      <c r="EA113" s="21"/>
      <c r="EB113" s="21"/>
      <c r="EC113" s="21"/>
      <c r="ED113" s="21"/>
      <c r="EE113" s="21"/>
      <c r="EF113" s="21"/>
      <c r="EG113" s="69">
        <v>0</v>
      </c>
      <c r="EH113" s="21"/>
      <c r="EI113" s="21"/>
      <c r="EJ113" s="21"/>
      <c r="EK113" s="21"/>
      <c r="EL113" s="69">
        <v>0</v>
      </c>
      <c r="EM113" s="21"/>
      <c r="EN113" s="69">
        <v>0</v>
      </c>
      <c r="EO113" s="21"/>
      <c r="EP113" s="69">
        <v>0</v>
      </c>
      <c r="EQ113" s="69">
        <v>0</v>
      </c>
      <c r="ER113" s="21"/>
      <c r="ES113" s="21"/>
      <c r="ET113" s="69">
        <v>0</v>
      </c>
      <c r="EU113" s="21"/>
      <c r="EV113" s="21"/>
      <c r="EW113" s="21"/>
      <c r="EX113" s="21"/>
      <c r="EY113" s="21"/>
      <c r="EZ113" s="21"/>
      <c r="FA113" s="69">
        <v>0</v>
      </c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>
        <v>1.2669097170416109E-2</v>
      </c>
      <c r="GE113" s="21">
        <v>4.9209248219136154E-3</v>
      </c>
      <c r="GF113" s="21">
        <v>1.7743010946098495E-2</v>
      </c>
      <c r="GG113" s="21">
        <v>2.0362577054504581E-2</v>
      </c>
      <c r="GH113" s="21">
        <v>6.9569094325980102E-2</v>
      </c>
      <c r="GI113" s="21"/>
      <c r="GJ113" s="21"/>
      <c r="GK113" s="21">
        <v>2.3040003798722963E-2</v>
      </c>
      <c r="GL113" s="21"/>
      <c r="GM113" s="21">
        <v>0.17357875489881255</v>
      </c>
      <c r="GN113" s="21"/>
      <c r="GO113" s="21"/>
      <c r="GP113" s="21">
        <v>2.0469073264337881E-3</v>
      </c>
      <c r="GQ113" s="21">
        <v>1.2170751099484732E-2</v>
      </c>
      <c r="GR113" s="21">
        <v>1.4942729911137467</v>
      </c>
      <c r="GS113" s="21"/>
      <c r="GT113" s="21"/>
      <c r="GU113" s="21"/>
      <c r="GV113" s="21"/>
      <c r="GW113" s="21"/>
      <c r="GX113" s="21">
        <v>0</v>
      </c>
      <c r="GY113" s="21">
        <v>0</v>
      </c>
      <c r="GZ113" s="21">
        <v>5.5465359938868053</v>
      </c>
      <c r="HA113" s="21">
        <v>1.9948442152453616</v>
      </c>
      <c r="HB113" s="21">
        <f t="shared" si="1"/>
        <v>32.384339963406894</v>
      </c>
    </row>
    <row r="114" spans="1:210" x14ac:dyDescent="0.75">
      <c r="A114" s="67" t="s">
        <v>330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69">
        <v>0</v>
      </c>
      <c r="AD114" s="21"/>
      <c r="AE114" s="21"/>
      <c r="AF114" s="69">
        <v>0</v>
      </c>
      <c r="AG114" s="21"/>
      <c r="AH114" s="21"/>
      <c r="AI114" s="69">
        <v>0</v>
      </c>
      <c r="AJ114" s="21">
        <v>42.287658261338144</v>
      </c>
      <c r="AK114" s="21"/>
      <c r="AL114" s="21"/>
      <c r="AM114" s="21"/>
      <c r="AN114" s="21"/>
      <c r="AO114" s="21"/>
      <c r="AP114" s="21"/>
      <c r="AQ114" s="21">
        <v>0.21316521595129664</v>
      </c>
      <c r="AR114" s="69">
        <v>0</v>
      </c>
      <c r="AS114" s="21"/>
      <c r="AT114" s="21"/>
      <c r="AU114" s="21"/>
      <c r="AV114" s="21"/>
      <c r="AW114" s="21"/>
      <c r="AX114" s="21"/>
      <c r="AY114" s="21"/>
      <c r="AZ114" s="21"/>
      <c r="BA114" s="21"/>
      <c r="BB114" s="69">
        <v>0</v>
      </c>
      <c r="BC114" s="21"/>
      <c r="BD114" s="21"/>
      <c r="BE114" s="21"/>
      <c r="BF114" s="21"/>
      <c r="BG114" s="69">
        <v>0</v>
      </c>
      <c r="BH114" s="21"/>
      <c r="BI114" s="69">
        <v>0</v>
      </c>
      <c r="BJ114" s="21"/>
      <c r="BK114" s="69">
        <v>0</v>
      </c>
      <c r="BL114" s="69">
        <v>0</v>
      </c>
      <c r="BM114" s="21"/>
      <c r="BN114" s="21">
        <v>7.6818236629279921</v>
      </c>
      <c r="BO114" s="69">
        <v>0</v>
      </c>
      <c r="BP114" s="21"/>
      <c r="BQ114" s="21"/>
      <c r="BR114" s="21"/>
      <c r="BS114" s="21"/>
      <c r="BT114" s="21"/>
      <c r="BU114" s="21"/>
      <c r="BV114" s="69">
        <v>0</v>
      </c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69">
        <v>0</v>
      </c>
      <c r="DH114" s="21"/>
      <c r="DI114" s="21"/>
      <c r="DJ114" s="69">
        <v>0</v>
      </c>
      <c r="DK114" s="21"/>
      <c r="DL114" s="21"/>
      <c r="DM114" s="69">
        <v>0</v>
      </c>
      <c r="DN114" s="21"/>
      <c r="DO114" s="21"/>
      <c r="DP114" s="21"/>
      <c r="DQ114" s="21"/>
      <c r="DR114" s="21"/>
      <c r="DS114" s="21"/>
      <c r="DT114" s="21"/>
      <c r="DU114" s="21"/>
      <c r="DV114" s="21"/>
      <c r="DW114" s="69">
        <v>0</v>
      </c>
      <c r="DX114" s="21"/>
      <c r="DY114" s="21"/>
      <c r="DZ114" s="21"/>
      <c r="EA114" s="21"/>
      <c r="EB114" s="21"/>
      <c r="EC114" s="21"/>
      <c r="ED114" s="21"/>
      <c r="EE114" s="21"/>
      <c r="EF114" s="21"/>
      <c r="EG114" s="69">
        <v>0</v>
      </c>
      <c r="EH114" s="21"/>
      <c r="EI114" s="21"/>
      <c r="EJ114" s="21"/>
      <c r="EK114" s="21"/>
      <c r="EL114" s="69">
        <v>0</v>
      </c>
      <c r="EM114" s="21"/>
      <c r="EN114" s="69">
        <v>0</v>
      </c>
      <c r="EO114" s="21"/>
      <c r="EP114" s="69">
        <v>0</v>
      </c>
      <c r="EQ114" s="69">
        <v>0</v>
      </c>
      <c r="ER114" s="21"/>
      <c r="ES114" s="21"/>
      <c r="ET114" s="69">
        <v>0</v>
      </c>
      <c r="EU114" s="21"/>
      <c r="EV114" s="21"/>
      <c r="EW114" s="21"/>
      <c r="EX114" s="21"/>
      <c r="EY114" s="21"/>
      <c r="EZ114" s="21"/>
      <c r="FA114" s="69">
        <v>0</v>
      </c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>
        <v>0</v>
      </c>
      <c r="GY114" s="21">
        <v>26.46301153516071</v>
      </c>
      <c r="GZ114" s="21"/>
      <c r="HA114" s="21">
        <v>12.601048088591419</v>
      </c>
      <c r="HB114" s="21">
        <f t="shared" si="1"/>
        <v>89.24670676396957</v>
      </c>
    </row>
    <row r="115" spans="1:210" x14ac:dyDescent="0.75">
      <c r="A115" s="67" t="s">
        <v>512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69">
        <v>0</v>
      </c>
      <c r="AD115" s="21"/>
      <c r="AE115" s="21"/>
      <c r="AF115" s="69">
        <v>0</v>
      </c>
      <c r="AG115" s="21"/>
      <c r="AH115" s="21"/>
      <c r="AI115" s="69">
        <v>0</v>
      </c>
      <c r="AJ115" s="21">
        <v>4.9638669161515203</v>
      </c>
      <c r="AK115" s="21"/>
      <c r="AL115" s="21"/>
      <c r="AM115" s="21"/>
      <c r="AN115" s="21"/>
      <c r="AO115" s="21"/>
      <c r="AP115" s="21"/>
      <c r="AQ115" s="21">
        <v>2.2355715115448475E-2</v>
      </c>
      <c r="AR115" s="69">
        <v>0</v>
      </c>
      <c r="AS115" s="21"/>
      <c r="AT115" s="21"/>
      <c r="AU115" s="21"/>
      <c r="AV115" s="21"/>
      <c r="AW115" s="21"/>
      <c r="AX115" s="21"/>
      <c r="AY115" s="21"/>
      <c r="AZ115" s="21"/>
      <c r="BA115" s="21"/>
      <c r="BB115" s="69">
        <v>0</v>
      </c>
      <c r="BC115" s="21"/>
      <c r="BD115" s="21"/>
      <c r="BE115" s="21"/>
      <c r="BF115" s="21"/>
      <c r="BG115" s="69">
        <v>0</v>
      </c>
      <c r="BH115" s="21"/>
      <c r="BI115" s="69">
        <v>0</v>
      </c>
      <c r="BJ115" s="21"/>
      <c r="BK115" s="69">
        <v>0</v>
      </c>
      <c r="BL115" s="69">
        <v>0</v>
      </c>
      <c r="BM115" s="21"/>
      <c r="BN115" s="21">
        <v>0.82445944282955308</v>
      </c>
      <c r="BO115" s="69">
        <v>0</v>
      </c>
      <c r="BP115" s="21"/>
      <c r="BQ115" s="21"/>
      <c r="BR115" s="21"/>
      <c r="BS115" s="21"/>
      <c r="BT115" s="21"/>
      <c r="BU115" s="21"/>
      <c r="BV115" s="69">
        <v>0</v>
      </c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69">
        <v>0</v>
      </c>
      <c r="DH115" s="21"/>
      <c r="DI115" s="21"/>
      <c r="DJ115" s="69">
        <v>0</v>
      </c>
      <c r="DK115" s="21"/>
      <c r="DL115" s="21"/>
      <c r="DM115" s="69">
        <v>0</v>
      </c>
      <c r="DN115" s="21"/>
      <c r="DO115" s="21"/>
      <c r="DP115" s="21"/>
      <c r="DQ115" s="21"/>
      <c r="DR115" s="21"/>
      <c r="DS115" s="21"/>
      <c r="DT115" s="21"/>
      <c r="DU115" s="21"/>
      <c r="DV115" s="21"/>
      <c r="DW115" s="69">
        <v>0</v>
      </c>
      <c r="DX115" s="21"/>
      <c r="DY115" s="21"/>
      <c r="DZ115" s="21"/>
      <c r="EA115" s="21"/>
      <c r="EB115" s="21"/>
      <c r="EC115" s="21"/>
      <c r="ED115" s="21"/>
      <c r="EE115" s="21"/>
      <c r="EF115" s="21"/>
      <c r="EG115" s="69">
        <v>0</v>
      </c>
      <c r="EH115" s="21"/>
      <c r="EI115" s="21"/>
      <c r="EJ115" s="21"/>
      <c r="EK115" s="21"/>
      <c r="EL115" s="69">
        <v>0</v>
      </c>
      <c r="EM115" s="21"/>
      <c r="EN115" s="69">
        <v>0</v>
      </c>
      <c r="EO115" s="21"/>
      <c r="EP115" s="69">
        <v>0</v>
      </c>
      <c r="EQ115" s="69">
        <v>0</v>
      </c>
      <c r="ER115" s="21"/>
      <c r="ES115" s="21"/>
      <c r="ET115" s="69">
        <v>0</v>
      </c>
      <c r="EU115" s="21"/>
      <c r="EV115" s="21"/>
      <c r="EW115" s="21"/>
      <c r="EX115" s="21"/>
      <c r="EY115" s="21"/>
      <c r="EZ115" s="21"/>
      <c r="FA115" s="69">
        <v>0</v>
      </c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>
        <v>2.3373752331777528E-3</v>
      </c>
      <c r="GE115" s="21">
        <v>7.7608068677916002E-3</v>
      </c>
      <c r="GF115" s="21">
        <v>1.5372608317477726E-2</v>
      </c>
      <c r="GG115" s="21">
        <v>2.478506661376018E-2</v>
      </c>
      <c r="GH115" s="21">
        <v>3.3127058031431358E-2</v>
      </c>
      <c r="GI115" s="21">
        <v>2.162138290999999E-4</v>
      </c>
      <c r="GJ115" s="21">
        <v>1.1607519092729E-4</v>
      </c>
      <c r="GK115" s="21">
        <v>6.5660166638237022E-4</v>
      </c>
      <c r="GL115" s="21">
        <v>1.256379707138278E-3</v>
      </c>
      <c r="GM115" s="21">
        <v>6.2865519706849062E-3</v>
      </c>
      <c r="GN115" s="21">
        <v>1.7901420412981246E-5</v>
      </c>
      <c r="GO115" s="21">
        <v>3.9115950172789331E-4</v>
      </c>
      <c r="GP115" s="21">
        <v>7.8547870327172532E-5</v>
      </c>
      <c r="GQ115" s="21">
        <v>6.2682669438036932E-4</v>
      </c>
      <c r="GR115" s="21">
        <v>5.3026149658863576E-3</v>
      </c>
      <c r="GS115" s="21"/>
      <c r="GT115" s="21"/>
      <c r="GU115" s="21"/>
      <c r="GV115" s="21"/>
      <c r="GW115" s="21"/>
      <c r="GX115" s="21">
        <v>0</v>
      </c>
      <c r="GY115" s="21">
        <v>24.648698240437533</v>
      </c>
      <c r="GZ115" s="21"/>
      <c r="HA115" s="21">
        <v>7.60658704170263</v>
      </c>
      <c r="HB115" s="21">
        <f t="shared" si="1"/>
        <v>38.164299144117294</v>
      </c>
    </row>
    <row r="116" spans="1:210" x14ac:dyDescent="0.75">
      <c r="A116" s="67" t="s">
        <v>331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69">
        <v>0</v>
      </c>
      <c r="AD116" s="21"/>
      <c r="AE116" s="21"/>
      <c r="AF116" s="69">
        <v>0</v>
      </c>
      <c r="AG116" s="21"/>
      <c r="AH116" s="21"/>
      <c r="AI116" s="69">
        <v>0</v>
      </c>
      <c r="AJ116" s="21">
        <v>10.558862376351291</v>
      </c>
      <c r="AK116" s="21"/>
      <c r="AL116" s="21"/>
      <c r="AM116" s="21"/>
      <c r="AN116" s="21"/>
      <c r="AO116" s="21"/>
      <c r="AP116" s="21"/>
      <c r="AQ116" s="21">
        <v>5.2856385319079865E-2</v>
      </c>
      <c r="AR116" s="69">
        <v>0</v>
      </c>
      <c r="AS116" s="21"/>
      <c r="AT116" s="21"/>
      <c r="AU116" s="21"/>
      <c r="AV116" s="21"/>
      <c r="AW116" s="21"/>
      <c r="AX116" s="21"/>
      <c r="AY116" s="21"/>
      <c r="AZ116" s="21"/>
      <c r="BA116" s="21"/>
      <c r="BB116" s="69">
        <v>0</v>
      </c>
      <c r="BC116" s="21"/>
      <c r="BD116" s="21"/>
      <c r="BE116" s="21"/>
      <c r="BF116" s="21"/>
      <c r="BG116" s="69">
        <v>0</v>
      </c>
      <c r="BH116" s="21"/>
      <c r="BI116" s="69">
        <v>0</v>
      </c>
      <c r="BJ116" s="21"/>
      <c r="BK116" s="69">
        <v>0</v>
      </c>
      <c r="BL116" s="69">
        <v>0</v>
      </c>
      <c r="BM116" s="21"/>
      <c r="BN116" s="21">
        <v>1.9149487253393065</v>
      </c>
      <c r="BO116" s="69">
        <v>0</v>
      </c>
      <c r="BP116" s="21"/>
      <c r="BQ116" s="21"/>
      <c r="BR116" s="21"/>
      <c r="BS116" s="21"/>
      <c r="BT116" s="21"/>
      <c r="BU116" s="21"/>
      <c r="BV116" s="69">
        <v>0</v>
      </c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69">
        <v>0</v>
      </c>
      <c r="DH116" s="21"/>
      <c r="DI116" s="21"/>
      <c r="DJ116" s="69">
        <v>0</v>
      </c>
      <c r="DK116" s="21"/>
      <c r="DL116" s="21"/>
      <c r="DM116" s="69">
        <v>0</v>
      </c>
      <c r="DN116" s="21"/>
      <c r="DO116" s="21"/>
      <c r="DP116" s="21"/>
      <c r="DQ116" s="21"/>
      <c r="DR116" s="21"/>
      <c r="DS116" s="21"/>
      <c r="DT116" s="21"/>
      <c r="DU116" s="21"/>
      <c r="DV116" s="21"/>
      <c r="DW116" s="69">
        <v>0</v>
      </c>
      <c r="DX116" s="21"/>
      <c r="DY116" s="21"/>
      <c r="DZ116" s="21"/>
      <c r="EA116" s="21"/>
      <c r="EB116" s="21"/>
      <c r="EC116" s="21"/>
      <c r="ED116" s="21"/>
      <c r="EE116" s="21"/>
      <c r="EF116" s="21"/>
      <c r="EG116" s="69">
        <v>0</v>
      </c>
      <c r="EH116" s="21"/>
      <c r="EI116" s="21"/>
      <c r="EJ116" s="21"/>
      <c r="EK116" s="21"/>
      <c r="EL116" s="69">
        <v>0</v>
      </c>
      <c r="EM116" s="21"/>
      <c r="EN116" s="69">
        <v>0</v>
      </c>
      <c r="EO116" s="21"/>
      <c r="EP116" s="69">
        <v>0</v>
      </c>
      <c r="EQ116" s="69">
        <v>0</v>
      </c>
      <c r="ER116" s="21"/>
      <c r="ES116" s="21"/>
      <c r="ET116" s="69">
        <v>0</v>
      </c>
      <c r="EU116" s="21"/>
      <c r="EV116" s="21"/>
      <c r="EW116" s="21"/>
      <c r="EX116" s="21"/>
      <c r="EY116" s="21"/>
      <c r="EZ116" s="21"/>
      <c r="FA116" s="69">
        <v>0</v>
      </c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>
        <v>6.9913465415890632E-4</v>
      </c>
      <c r="GE116" s="21">
        <v>4.9121805844509429E-3</v>
      </c>
      <c r="GF116" s="21">
        <v>7.6501656594612742E-3</v>
      </c>
      <c r="GG116" s="21">
        <v>3.0657094898614394E-3</v>
      </c>
      <c r="GH116" s="21">
        <v>1.8460717528265159E-2</v>
      </c>
      <c r="GI116" s="21">
        <v>2.9401831554491773E-4</v>
      </c>
      <c r="GJ116" s="21">
        <v>5.7213520635260491E-4</v>
      </c>
      <c r="GK116" s="21"/>
      <c r="GL116" s="21">
        <v>3.116057253205282E-3</v>
      </c>
      <c r="GM116" s="21">
        <v>1.3630472619654034E-2</v>
      </c>
      <c r="GN116" s="21"/>
      <c r="GO116" s="21">
        <v>1.808456214512609E-4</v>
      </c>
      <c r="GP116" s="21"/>
      <c r="GQ116" s="21">
        <v>1.0858777717390128E-3</v>
      </c>
      <c r="GR116" s="21">
        <v>2.9185661712058955E-2</v>
      </c>
      <c r="GS116" s="21"/>
      <c r="GT116" s="21"/>
      <c r="GU116" s="21"/>
      <c r="GV116" s="21"/>
      <c r="GW116" s="21"/>
      <c r="GX116" s="21">
        <v>0</v>
      </c>
      <c r="GY116" s="21">
        <v>0</v>
      </c>
      <c r="GZ116" s="21">
        <v>-4.6734982036021645E-2</v>
      </c>
      <c r="HA116" s="21">
        <v>1.9263440374625411</v>
      </c>
      <c r="HB116" s="21">
        <f t="shared" si="1"/>
        <v>14.489129518852403</v>
      </c>
    </row>
    <row r="117" spans="1:210" x14ac:dyDescent="0.75">
      <c r="A117" s="68" t="s">
        <v>332</v>
      </c>
      <c r="B117" s="69">
        <v>1.0974264940095037E-2</v>
      </c>
      <c r="C117" s="69">
        <v>2.381874399264346E-2</v>
      </c>
      <c r="D117" s="69">
        <v>7.9055998017639277E-4</v>
      </c>
      <c r="E117" s="69">
        <v>1.454612742061125E-2</v>
      </c>
      <c r="F117" s="69">
        <v>7.0678947620655817E-5</v>
      </c>
      <c r="G117" s="69">
        <v>2.2298102049133822E-2</v>
      </c>
      <c r="H117" s="69">
        <v>1.9851647460242559E-2</v>
      </c>
      <c r="I117" s="69">
        <v>1.644723192312034E-2</v>
      </c>
      <c r="J117" s="69">
        <v>2.7968799843361421E-3</v>
      </c>
      <c r="K117" s="69">
        <v>3.2226737830840485E-2</v>
      </c>
      <c r="L117" s="69">
        <v>3.154071479645791E-3</v>
      </c>
      <c r="M117" s="69">
        <v>2.1300930237519347E-2</v>
      </c>
      <c r="N117" s="69">
        <v>7.2004172865495243E-3</v>
      </c>
      <c r="O117" s="69">
        <v>1.3108057403738167E-2</v>
      </c>
      <c r="P117" s="69">
        <v>2.3779871479609744E-3</v>
      </c>
      <c r="Q117" s="69">
        <v>2.2236652682673321E-3</v>
      </c>
      <c r="R117" s="69">
        <v>2.7558540099425766E-2</v>
      </c>
      <c r="S117" s="69">
        <v>9.05407912404004E-3</v>
      </c>
      <c r="T117" s="69">
        <v>0</v>
      </c>
      <c r="U117" s="69">
        <v>0</v>
      </c>
      <c r="V117" s="69">
        <v>0</v>
      </c>
      <c r="W117" s="69">
        <v>0</v>
      </c>
      <c r="X117" s="69">
        <v>0</v>
      </c>
      <c r="Y117" s="69">
        <v>0</v>
      </c>
      <c r="Z117" s="69">
        <v>0</v>
      </c>
      <c r="AA117" s="69">
        <v>0</v>
      </c>
      <c r="AB117" s="69">
        <v>0</v>
      </c>
      <c r="AC117" s="69">
        <v>0</v>
      </c>
      <c r="AD117" s="69">
        <v>0</v>
      </c>
      <c r="AE117" s="69">
        <v>0</v>
      </c>
      <c r="AF117" s="69">
        <v>0</v>
      </c>
      <c r="AG117" s="69">
        <v>0</v>
      </c>
      <c r="AH117" s="69">
        <v>0</v>
      </c>
      <c r="AI117" s="69">
        <v>0</v>
      </c>
      <c r="AJ117" s="69">
        <v>1.9201275515352303</v>
      </c>
      <c r="AK117" s="69">
        <v>7.5087275289584237E-3</v>
      </c>
      <c r="AL117" s="69">
        <v>0</v>
      </c>
      <c r="AM117" s="69">
        <v>5.3687022880795549E-2</v>
      </c>
      <c r="AN117" s="69">
        <v>0</v>
      </c>
      <c r="AO117" s="69">
        <v>0.13553894298492403</v>
      </c>
      <c r="AP117" s="69">
        <v>0</v>
      </c>
      <c r="AQ117" s="69">
        <v>9.9109789358112297E-3</v>
      </c>
      <c r="AR117" s="69">
        <v>0</v>
      </c>
      <c r="AS117" s="69">
        <v>0</v>
      </c>
      <c r="AT117" s="69">
        <v>0</v>
      </c>
      <c r="AU117" s="69">
        <v>0</v>
      </c>
      <c r="AV117" s="69">
        <v>0</v>
      </c>
      <c r="AW117" s="69">
        <v>0</v>
      </c>
      <c r="AX117" s="69">
        <v>0</v>
      </c>
      <c r="AY117" s="69">
        <v>0</v>
      </c>
      <c r="AZ117" s="69">
        <v>0</v>
      </c>
      <c r="BA117" s="69">
        <v>0</v>
      </c>
      <c r="BB117" s="69">
        <v>0</v>
      </c>
      <c r="BC117" s="69">
        <v>0</v>
      </c>
      <c r="BD117" s="69">
        <v>0</v>
      </c>
      <c r="BE117" s="69">
        <v>0</v>
      </c>
      <c r="BF117" s="69">
        <v>0</v>
      </c>
      <c r="BG117" s="69">
        <v>0</v>
      </c>
      <c r="BH117" s="69">
        <v>0</v>
      </c>
      <c r="BI117" s="69">
        <v>0</v>
      </c>
      <c r="BJ117" s="69">
        <v>0</v>
      </c>
      <c r="BK117" s="69">
        <v>0</v>
      </c>
      <c r="BL117" s="69">
        <v>0</v>
      </c>
      <c r="BM117" s="69">
        <v>0</v>
      </c>
      <c r="BN117" s="69">
        <v>0.36336593640884424</v>
      </c>
      <c r="BO117" s="69">
        <v>0</v>
      </c>
      <c r="BP117" s="69">
        <v>0</v>
      </c>
      <c r="BQ117" s="69">
        <v>0</v>
      </c>
      <c r="BR117" s="69">
        <v>0</v>
      </c>
      <c r="BS117" s="69">
        <v>0</v>
      </c>
      <c r="BT117" s="69">
        <v>0</v>
      </c>
      <c r="BU117" s="69">
        <v>0</v>
      </c>
      <c r="BV117" s="69">
        <v>0</v>
      </c>
      <c r="BW117" s="69">
        <v>0</v>
      </c>
      <c r="BX117" s="69">
        <v>0</v>
      </c>
      <c r="BY117" s="69">
        <v>0</v>
      </c>
      <c r="BZ117" s="69">
        <v>0</v>
      </c>
      <c r="CA117" s="69">
        <v>0</v>
      </c>
      <c r="CB117" s="69">
        <v>0</v>
      </c>
      <c r="CC117" s="69">
        <v>0</v>
      </c>
      <c r="CD117" s="69">
        <v>0</v>
      </c>
      <c r="CE117" s="69">
        <v>0</v>
      </c>
      <c r="CF117" s="69">
        <v>0</v>
      </c>
      <c r="CG117" s="69">
        <v>0</v>
      </c>
      <c r="CH117" s="69">
        <v>0</v>
      </c>
      <c r="CI117" s="69">
        <v>0</v>
      </c>
      <c r="CJ117" s="69">
        <v>0</v>
      </c>
      <c r="CK117" s="69">
        <v>0</v>
      </c>
      <c r="CL117" s="69">
        <v>0</v>
      </c>
      <c r="CM117" s="69">
        <v>0</v>
      </c>
      <c r="CN117" s="69">
        <v>0</v>
      </c>
      <c r="CO117" s="69">
        <v>0</v>
      </c>
      <c r="CP117" s="69">
        <v>0</v>
      </c>
      <c r="CQ117" s="69">
        <v>0</v>
      </c>
      <c r="CR117" s="69">
        <v>0</v>
      </c>
      <c r="CS117" s="69">
        <v>0</v>
      </c>
      <c r="CT117" s="69">
        <v>0</v>
      </c>
      <c r="CU117" s="69">
        <v>0</v>
      </c>
      <c r="CV117" s="69">
        <v>0</v>
      </c>
      <c r="CW117" s="69">
        <v>0</v>
      </c>
      <c r="CX117" s="69">
        <v>0</v>
      </c>
      <c r="CY117" s="69">
        <v>0</v>
      </c>
      <c r="CZ117" s="69">
        <v>0</v>
      </c>
      <c r="DA117" s="69">
        <v>0</v>
      </c>
      <c r="DB117" s="69">
        <v>0</v>
      </c>
      <c r="DC117" s="69">
        <v>0</v>
      </c>
      <c r="DD117" s="69">
        <v>0</v>
      </c>
      <c r="DE117" s="69">
        <v>0</v>
      </c>
      <c r="DF117" s="69">
        <v>0</v>
      </c>
      <c r="DG117" s="69">
        <v>0</v>
      </c>
      <c r="DH117" s="69">
        <v>0</v>
      </c>
      <c r="DI117" s="69">
        <v>0</v>
      </c>
      <c r="DJ117" s="69">
        <v>0</v>
      </c>
      <c r="DK117" s="69">
        <v>0</v>
      </c>
      <c r="DL117" s="69">
        <v>0</v>
      </c>
      <c r="DM117" s="69">
        <v>0</v>
      </c>
      <c r="DN117" s="69">
        <v>0</v>
      </c>
      <c r="DO117" s="69">
        <v>0</v>
      </c>
      <c r="DP117" s="69">
        <v>0</v>
      </c>
      <c r="DQ117" s="69">
        <v>0</v>
      </c>
      <c r="DR117" s="69">
        <v>0</v>
      </c>
      <c r="DS117" s="69">
        <v>0</v>
      </c>
      <c r="DT117" s="69">
        <v>0</v>
      </c>
      <c r="DU117" s="69">
        <v>0</v>
      </c>
      <c r="DV117" s="69">
        <v>0</v>
      </c>
      <c r="DW117" s="69">
        <v>0</v>
      </c>
      <c r="DX117" s="69">
        <v>0</v>
      </c>
      <c r="DY117" s="69">
        <v>0</v>
      </c>
      <c r="DZ117" s="69">
        <v>0</v>
      </c>
      <c r="EA117" s="69">
        <v>0</v>
      </c>
      <c r="EB117" s="69">
        <v>0</v>
      </c>
      <c r="EC117" s="69">
        <v>0</v>
      </c>
      <c r="ED117" s="69">
        <v>0</v>
      </c>
      <c r="EE117" s="69">
        <v>0</v>
      </c>
      <c r="EF117" s="69">
        <v>0</v>
      </c>
      <c r="EG117" s="69">
        <v>0</v>
      </c>
      <c r="EH117" s="69">
        <v>0</v>
      </c>
      <c r="EI117" s="69">
        <v>0</v>
      </c>
      <c r="EJ117" s="69">
        <v>0</v>
      </c>
      <c r="EK117" s="69">
        <v>0</v>
      </c>
      <c r="EL117" s="69">
        <v>0</v>
      </c>
      <c r="EM117" s="69">
        <v>0</v>
      </c>
      <c r="EN117" s="69">
        <v>0</v>
      </c>
      <c r="EO117" s="69">
        <v>0</v>
      </c>
      <c r="EP117" s="69">
        <v>0</v>
      </c>
      <c r="EQ117" s="69">
        <v>0</v>
      </c>
      <c r="ER117" s="69">
        <v>0</v>
      </c>
      <c r="ES117" s="69">
        <v>0</v>
      </c>
      <c r="ET117" s="69">
        <v>0</v>
      </c>
      <c r="EU117" s="69">
        <v>0</v>
      </c>
      <c r="EV117" s="69">
        <v>0</v>
      </c>
      <c r="EW117" s="69">
        <v>0</v>
      </c>
      <c r="EX117" s="69">
        <v>0</v>
      </c>
      <c r="EY117" s="69">
        <v>0</v>
      </c>
      <c r="EZ117" s="69">
        <v>0</v>
      </c>
      <c r="FA117" s="69">
        <v>0</v>
      </c>
      <c r="FB117" s="69">
        <v>0</v>
      </c>
      <c r="FC117" s="69">
        <v>0</v>
      </c>
      <c r="FD117" s="69">
        <v>0</v>
      </c>
      <c r="FE117" s="69">
        <v>0</v>
      </c>
      <c r="FF117" s="69">
        <v>0</v>
      </c>
      <c r="FG117" s="69">
        <v>0</v>
      </c>
      <c r="FH117" s="69">
        <v>0</v>
      </c>
      <c r="FI117" s="69">
        <v>0</v>
      </c>
      <c r="FJ117" s="69">
        <v>0</v>
      </c>
      <c r="FK117" s="69">
        <v>0</v>
      </c>
      <c r="FL117" s="69">
        <v>0</v>
      </c>
      <c r="FM117" s="69">
        <v>0</v>
      </c>
      <c r="FN117" s="69">
        <v>0</v>
      </c>
      <c r="FO117" s="69">
        <v>0</v>
      </c>
      <c r="FP117" s="69">
        <v>0</v>
      </c>
      <c r="FQ117" s="69">
        <v>0</v>
      </c>
      <c r="FR117" s="69">
        <v>0</v>
      </c>
      <c r="FS117" s="69">
        <v>0</v>
      </c>
      <c r="FT117" s="69">
        <v>0</v>
      </c>
      <c r="FU117" s="69">
        <v>0</v>
      </c>
      <c r="FV117" s="69">
        <v>0</v>
      </c>
      <c r="FW117" s="69">
        <v>0</v>
      </c>
      <c r="FX117" s="69">
        <v>0</v>
      </c>
      <c r="FY117" s="69">
        <v>0</v>
      </c>
      <c r="FZ117" s="69">
        <v>0</v>
      </c>
      <c r="GA117" s="69">
        <v>0</v>
      </c>
      <c r="GB117" s="69">
        <v>0</v>
      </c>
      <c r="GC117" s="69">
        <v>0</v>
      </c>
      <c r="GD117" s="69">
        <v>7.2831810595326729E-2</v>
      </c>
      <c r="GE117" s="69">
        <v>0.14242471286121913</v>
      </c>
      <c r="GF117" s="69">
        <v>0.22218338766677137</v>
      </c>
      <c r="GG117" s="69">
        <v>0.32570792469480564</v>
      </c>
      <c r="GH117" s="69">
        <v>0.32317118774841153</v>
      </c>
      <c r="GI117" s="69">
        <v>4.7824369663122309E-3</v>
      </c>
      <c r="GJ117" s="69">
        <v>8.1180680749672624E-3</v>
      </c>
      <c r="GK117" s="69">
        <v>1.3249129077928508E-2</v>
      </c>
      <c r="GL117" s="69">
        <v>2.0399617527930278E-2</v>
      </c>
      <c r="GM117" s="69">
        <v>9.9375531760812888E-2</v>
      </c>
      <c r="GN117" s="69">
        <v>4.2331439917747968E-3</v>
      </c>
      <c r="GO117" s="69">
        <v>9.0364417633846915E-3</v>
      </c>
      <c r="GP117" s="69">
        <v>1.4309799094425183E-2</v>
      </c>
      <c r="GQ117" s="69">
        <v>2.6988631041447768E-2</v>
      </c>
      <c r="GR117" s="69">
        <v>0.14748288932182552</v>
      </c>
      <c r="GS117" s="69">
        <v>0</v>
      </c>
      <c r="GT117" s="69">
        <v>0</v>
      </c>
      <c r="GU117" s="69">
        <v>0</v>
      </c>
      <c r="GV117" s="69">
        <v>0</v>
      </c>
      <c r="GW117" s="69">
        <v>0</v>
      </c>
      <c r="GX117" s="21">
        <v>0</v>
      </c>
      <c r="GY117" s="21">
        <v>0</v>
      </c>
      <c r="GZ117" s="69">
        <v>7.2265142538381899E-2</v>
      </c>
      <c r="HA117" s="69">
        <v>3.9418589627841798</v>
      </c>
      <c r="HB117" s="21">
        <f t="shared" si="1"/>
        <v>8.1683567003604338</v>
      </c>
    </row>
    <row r="118" spans="1:210" x14ac:dyDescent="0.75">
      <c r="A118" s="67" t="s">
        <v>510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69">
        <v>0</v>
      </c>
      <c r="AD118" s="21"/>
      <c r="AE118" s="21"/>
      <c r="AF118" s="69">
        <v>0</v>
      </c>
      <c r="AG118" s="21"/>
      <c r="AH118" s="21"/>
      <c r="AI118" s="69">
        <v>0</v>
      </c>
      <c r="AJ118" s="21"/>
      <c r="AK118" s="21">
        <v>9.1951916414672236E-2</v>
      </c>
      <c r="AL118" s="21"/>
      <c r="AM118" s="21">
        <v>0.65719482919918926</v>
      </c>
      <c r="AN118" s="21"/>
      <c r="AO118" s="21">
        <v>1.6577978352673668</v>
      </c>
      <c r="AP118" s="21"/>
      <c r="AQ118" s="21"/>
      <c r="AR118" s="69">
        <v>0</v>
      </c>
      <c r="AS118" s="21"/>
      <c r="AT118" s="21"/>
      <c r="AU118" s="21"/>
      <c r="AV118" s="21"/>
      <c r="AW118" s="21"/>
      <c r="AX118" s="21"/>
      <c r="AY118" s="21"/>
      <c r="AZ118" s="21"/>
      <c r="BA118" s="21"/>
      <c r="BB118" s="69">
        <v>0</v>
      </c>
      <c r="BC118" s="21"/>
      <c r="BD118" s="21"/>
      <c r="BE118" s="21"/>
      <c r="BF118" s="21"/>
      <c r="BG118" s="69">
        <v>0</v>
      </c>
      <c r="BH118" s="21"/>
      <c r="BI118" s="69">
        <v>0</v>
      </c>
      <c r="BJ118" s="21"/>
      <c r="BK118" s="69">
        <v>0</v>
      </c>
      <c r="BL118" s="69">
        <v>0</v>
      </c>
      <c r="BM118" s="21"/>
      <c r="BN118" s="21">
        <v>6.4779805381425595E-2</v>
      </c>
      <c r="BO118" s="69">
        <v>0</v>
      </c>
      <c r="BP118" s="21"/>
      <c r="BQ118" s="21"/>
      <c r="BR118" s="21"/>
      <c r="BS118" s="21"/>
      <c r="BT118" s="21"/>
      <c r="BU118" s="21"/>
      <c r="BV118" s="69">
        <v>0</v>
      </c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69">
        <v>0</v>
      </c>
      <c r="DH118" s="21"/>
      <c r="DI118" s="21"/>
      <c r="DJ118" s="69">
        <v>0</v>
      </c>
      <c r="DK118" s="21"/>
      <c r="DL118" s="21"/>
      <c r="DM118" s="69">
        <v>0</v>
      </c>
      <c r="DN118" s="21"/>
      <c r="DO118" s="21"/>
      <c r="DP118" s="21"/>
      <c r="DQ118" s="21"/>
      <c r="DR118" s="21"/>
      <c r="DS118" s="21"/>
      <c r="DT118" s="21"/>
      <c r="DU118" s="21"/>
      <c r="DV118" s="21"/>
      <c r="DW118" s="69">
        <v>0</v>
      </c>
      <c r="DX118" s="21"/>
      <c r="DY118" s="21"/>
      <c r="DZ118" s="21"/>
      <c r="EA118" s="21"/>
      <c r="EB118" s="21"/>
      <c r="EC118" s="21"/>
      <c r="ED118" s="21"/>
      <c r="EE118" s="21"/>
      <c r="EF118" s="21"/>
      <c r="EG118" s="69">
        <v>0</v>
      </c>
      <c r="EH118" s="21"/>
      <c r="EI118" s="21"/>
      <c r="EJ118" s="21"/>
      <c r="EK118" s="21"/>
      <c r="EL118" s="69">
        <v>0</v>
      </c>
      <c r="EM118" s="21"/>
      <c r="EN118" s="69">
        <v>0</v>
      </c>
      <c r="EO118" s="21"/>
      <c r="EP118" s="69">
        <v>0</v>
      </c>
      <c r="EQ118" s="69">
        <v>0</v>
      </c>
      <c r="ER118" s="21"/>
      <c r="ES118" s="21"/>
      <c r="ET118" s="69">
        <v>0</v>
      </c>
      <c r="EU118" s="21"/>
      <c r="EV118" s="21"/>
      <c r="EW118" s="21"/>
      <c r="EX118" s="21"/>
      <c r="EY118" s="21"/>
      <c r="EZ118" s="21"/>
      <c r="FA118" s="69">
        <v>0</v>
      </c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>
        <v>0.15157965765619658</v>
      </c>
      <c r="GE118" s="21">
        <v>0.46133314789312002</v>
      </c>
      <c r="GF118" s="21">
        <v>0.94241755338339062</v>
      </c>
      <c r="GG118" s="21">
        <v>2.2153203728678141</v>
      </c>
      <c r="GH118" s="21">
        <v>4.3779897709530822</v>
      </c>
      <c r="GI118" s="21">
        <v>1.8782043400460621E-2</v>
      </c>
      <c r="GJ118" s="21">
        <v>6.7010110792498065E-2</v>
      </c>
      <c r="GK118" s="21">
        <v>0.11279213959307863</v>
      </c>
      <c r="GL118" s="21">
        <v>0.54976870445633097</v>
      </c>
      <c r="GM118" s="21">
        <v>3.2578034454450431</v>
      </c>
      <c r="GN118" s="21">
        <v>5.4130671729792926E-2</v>
      </c>
      <c r="GO118" s="21">
        <v>5.2163989676378253E-2</v>
      </c>
      <c r="GP118" s="21">
        <v>0.18343013349252812</v>
      </c>
      <c r="GQ118" s="21">
        <v>0.32604992795283982</v>
      </c>
      <c r="GR118" s="21">
        <v>9.8449244159119118</v>
      </c>
      <c r="GS118" s="21"/>
      <c r="GT118" s="21"/>
      <c r="GU118" s="21"/>
      <c r="GV118" s="21"/>
      <c r="GW118" s="21"/>
      <c r="GX118" s="21">
        <v>0</v>
      </c>
      <c r="GY118" s="21">
        <v>0</v>
      </c>
      <c r="GZ118" s="21"/>
      <c r="HA118" s="21"/>
      <c r="HB118" s="21">
        <f t="shared" si="1"/>
        <v>25.08722047146712</v>
      </c>
    </row>
    <row r="119" spans="1:210" x14ac:dyDescent="0.75">
      <c r="A119" s="67" t="s">
        <v>511</v>
      </c>
      <c r="B119" s="21">
        <v>0.38223366662092489</v>
      </c>
      <c r="C119" s="21">
        <v>0.82717316482658365</v>
      </c>
      <c r="D119" s="21">
        <v>2.7604807569803245E-2</v>
      </c>
      <c r="E119" s="21">
        <v>0.50608732388939148</v>
      </c>
      <c r="F119" s="21">
        <v>2.4682531638101904E-3</v>
      </c>
      <c r="G119" s="21">
        <v>0.77444024356715879</v>
      </c>
      <c r="H119" s="21">
        <v>0.68989077984349789</v>
      </c>
      <c r="I119" s="21">
        <v>0.5719898716942281</v>
      </c>
      <c r="J119" s="21">
        <v>9.761829943107718E-2</v>
      </c>
      <c r="K119" s="21">
        <v>1.1164818661208162</v>
      </c>
      <c r="L119" s="21">
        <v>0.11001750140529458</v>
      </c>
      <c r="M119" s="21">
        <v>0.73998499329058021</v>
      </c>
      <c r="N119" s="21">
        <v>0.25098052220432482</v>
      </c>
      <c r="O119" s="21">
        <v>0.45630489972732108</v>
      </c>
      <c r="P119" s="21">
        <v>8.3009839724036721E-2</v>
      </c>
      <c r="Q119" s="21">
        <v>7.762505895025254E-2</v>
      </c>
      <c r="R119" s="21">
        <v>0.95604715775045357</v>
      </c>
      <c r="S119" s="21">
        <v>0.31701455368441867</v>
      </c>
      <c r="T119" s="21"/>
      <c r="U119" s="21"/>
      <c r="V119" s="21"/>
      <c r="W119" s="21"/>
      <c r="X119" s="21"/>
      <c r="Y119" s="21"/>
      <c r="Z119" s="21"/>
      <c r="AA119" s="21"/>
      <c r="AB119" s="21"/>
      <c r="AC119" s="69">
        <v>0</v>
      </c>
      <c r="AD119" s="21"/>
      <c r="AE119" s="21"/>
      <c r="AF119" s="69">
        <v>0</v>
      </c>
      <c r="AG119" s="21"/>
      <c r="AH119" s="21"/>
      <c r="AI119" s="69">
        <v>0</v>
      </c>
      <c r="AJ119" s="21"/>
      <c r="AK119" s="21">
        <v>0.16811458212619557</v>
      </c>
      <c r="AL119" s="21"/>
      <c r="AM119" s="21">
        <v>1.1926099782441504</v>
      </c>
      <c r="AN119" s="21"/>
      <c r="AO119" s="21">
        <v>2.9670777676022553</v>
      </c>
      <c r="AP119" s="21"/>
      <c r="AQ119" s="21"/>
      <c r="AR119" s="69">
        <v>0</v>
      </c>
      <c r="AS119" s="21"/>
      <c r="AT119" s="21"/>
      <c r="AU119" s="21"/>
      <c r="AV119" s="21"/>
      <c r="AW119" s="21"/>
      <c r="AX119" s="21"/>
      <c r="AY119" s="21"/>
      <c r="AZ119" s="21"/>
      <c r="BA119" s="21"/>
      <c r="BB119" s="69">
        <v>0</v>
      </c>
      <c r="BC119" s="21"/>
      <c r="BD119" s="21"/>
      <c r="BE119" s="21"/>
      <c r="BF119" s="21"/>
      <c r="BG119" s="69">
        <v>0</v>
      </c>
      <c r="BH119" s="21"/>
      <c r="BI119" s="69">
        <v>0</v>
      </c>
      <c r="BJ119" s="21"/>
      <c r="BK119" s="69">
        <v>0</v>
      </c>
      <c r="BL119" s="69">
        <v>0</v>
      </c>
      <c r="BM119" s="21"/>
      <c r="BN119" s="21">
        <v>0.11848024187358465</v>
      </c>
      <c r="BO119" s="69">
        <v>0</v>
      </c>
      <c r="BP119" s="21"/>
      <c r="BQ119" s="21"/>
      <c r="BR119" s="21"/>
      <c r="BS119" s="21"/>
      <c r="BT119" s="21"/>
      <c r="BU119" s="21"/>
      <c r="BV119" s="69">
        <v>0</v>
      </c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69">
        <v>0</v>
      </c>
      <c r="DH119" s="21"/>
      <c r="DI119" s="21"/>
      <c r="DJ119" s="69">
        <v>0</v>
      </c>
      <c r="DK119" s="21"/>
      <c r="DL119" s="21"/>
      <c r="DM119" s="69">
        <v>0</v>
      </c>
      <c r="DN119" s="21"/>
      <c r="DO119" s="21"/>
      <c r="DP119" s="21"/>
      <c r="DQ119" s="21"/>
      <c r="DR119" s="21"/>
      <c r="DS119" s="21"/>
      <c r="DT119" s="21"/>
      <c r="DU119" s="21"/>
      <c r="DV119" s="21"/>
      <c r="DW119" s="69">
        <v>0</v>
      </c>
      <c r="DX119" s="21"/>
      <c r="DY119" s="21"/>
      <c r="DZ119" s="21"/>
      <c r="EA119" s="21"/>
      <c r="EB119" s="21"/>
      <c r="EC119" s="21"/>
      <c r="ED119" s="21"/>
      <c r="EE119" s="21"/>
      <c r="EF119" s="21"/>
      <c r="EG119" s="69">
        <v>0</v>
      </c>
      <c r="EH119" s="21"/>
      <c r="EI119" s="21"/>
      <c r="EJ119" s="21"/>
      <c r="EK119" s="21"/>
      <c r="EL119" s="69">
        <v>0</v>
      </c>
      <c r="EM119" s="21"/>
      <c r="EN119" s="69">
        <v>0</v>
      </c>
      <c r="EO119" s="21"/>
      <c r="EP119" s="69">
        <v>0</v>
      </c>
      <c r="EQ119" s="69">
        <v>0</v>
      </c>
      <c r="ER119" s="21"/>
      <c r="ES119" s="21"/>
      <c r="ET119" s="69">
        <v>0</v>
      </c>
      <c r="EU119" s="21"/>
      <c r="EV119" s="21"/>
      <c r="EW119" s="21"/>
      <c r="EX119" s="21"/>
      <c r="EY119" s="21"/>
      <c r="EZ119" s="21"/>
      <c r="FA119" s="69">
        <v>0</v>
      </c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>
        <v>1.9147616011365134E-2</v>
      </c>
      <c r="GE119" s="21">
        <v>3.7964657921538157E-2</v>
      </c>
      <c r="GF119" s="21">
        <v>9.3462825028003543E-2</v>
      </c>
      <c r="GG119" s="21">
        <v>0.1823216847034852</v>
      </c>
      <c r="GH119" s="21">
        <v>0.67729765171844647</v>
      </c>
      <c r="GI119" s="21">
        <v>2.063215864545801E-3</v>
      </c>
      <c r="GJ119" s="21">
        <v>1.3651800832666894E-2</v>
      </c>
      <c r="GK119" s="21">
        <v>6.3403633022882985E-3</v>
      </c>
      <c r="GL119" s="21">
        <v>6.3525371620083648E-2</v>
      </c>
      <c r="GM119" s="21">
        <v>0.60134219478986917</v>
      </c>
      <c r="GN119" s="21">
        <v>1.1898893311621181E-3</v>
      </c>
      <c r="GO119" s="21">
        <v>3.6501716211572942E-3</v>
      </c>
      <c r="GP119" s="21">
        <v>1.4118771452629957E-2</v>
      </c>
      <c r="GQ119" s="21">
        <v>5.3760028844386305E-2</v>
      </c>
      <c r="GR119" s="21">
        <v>1.5611230162482392</v>
      </c>
      <c r="GS119" s="21"/>
      <c r="GT119" s="21"/>
      <c r="GU119" s="21"/>
      <c r="GV119" s="21"/>
      <c r="GW119" s="21"/>
      <c r="GX119" s="21">
        <v>0</v>
      </c>
      <c r="GY119" s="21">
        <v>0</v>
      </c>
      <c r="GZ119" s="21">
        <v>1.1800483786415801E-2</v>
      </c>
      <c r="HA119" s="21">
        <v>0.8062015590813213</v>
      </c>
      <c r="HB119" s="21">
        <f t="shared" si="1"/>
        <v>16.582216675467759</v>
      </c>
    </row>
    <row r="120" spans="1:210" x14ac:dyDescent="0.75">
      <c r="A120" s="68" t="s">
        <v>333</v>
      </c>
      <c r="B120" s="69">
        <v>0</v>
      </c>
      <c r="C120" s="69">
        <v>0</v>
      </c>
      <c r="D120" s="69">
        <v>0</v>
      </c>
      <c r="E120" s="69">
        <v>0</v>
      </c>
      <c r="F120" s="69">
        <v>0</v>
      </c>
      <c r="G120" s="69">
        <v>0</v>
      </c>
      <c r="H120" s="69">
        <v>0</v>
      </c>
      <c r="I120" s="69">
        <v>0</v>
      </c>
      <c r="J120" s="69">
        <v>0</v>
      </c>
      <c r="K120" s="69">
        <v>0</v>
      </c>
      <c r="L120" s="69">
        <v>0</v>
      </c>
      <c r="M120" s="69">
        <v>0</v>
      </c>
      <c r="N120" s="69">
        <v>0</v>
      </c>
      <c r="O120" s="69">
        <v>0</v>
      </c>
      <c r="P120" s="69">
        <v>0</v>
      </c>
      <c r="Q120" s="69">
        <v>0</v>
      </c>
      <c r="R120" s="69">
        <v>0</v>
      </c>
      <c r="S120" s="69">
        <v>0</v>
      </c>
      <c r="T120" s="69">
        <v>0</v>
      </c>
      <c r="U120" s="69">
        <v>0</v>
      </c>
      <c r="V120" s="69">
        <v>0</v>
      </c>
      <c r="W120" s="69">
        <v>0</v>
      </c>
      <c r="X120" s="69">
        <v>0</v>
      </c>
      <c r="Y120" s="69">
        <v>0</v>
      </c>
      <c r="Z120" s="69">
        <v>0</v>
      </c>
      <c r="AA120" s="69">
        <v>0</v>
      </c>
      <c r="AB120" s="69">
        <v>0</v>
      </c>
      <c r="AC120" s="69">
        <v>0</v>
      </c>
      <c r="AD120" s="69">
        <v>0</v>
      </c>
      <c r="AE120" s="69">
        <v>0</v>
      </c>
      <c r="AF120" s="69">
        <v>0</v>
      </c>
      <c r="AG120" s="69">
        <v>0</v>
      </c>
      <c r="AH120" s="69">
        <v>0</v>
      </c>
      <c r="AI120" s="69">
        <v>0.50293064770185758</v>
      </c>
      <c r="AJ120" s="69">
        <v>0</v>
      </c>
      <c r="AK120" s="69">
        <v>5.37370561622472E-2</v>
      </c>
      <c r="AL120" s="69">
        <v>0</v>
      </c>
      <c r="AM120" s="69">
        <v>0</v>
      </c>
      <c r="AN120" s="69">
        <v>0</v>
      </c>
      <c r="AO120" s="69">
        <v>0.47396876360767037</v>
      </c>
      <c r="AP120" s="69">
        <v>0</v>
      </c>
      <c r="AQ120" s="69">
        <v>0.31592175890782093</v>
      </c>
      <c r="AR120" s="69">
        <v>0.11685380515440554</v>
      </c>
      <c r="AS120" s="69">
        <v>0</v>
      </c>
      <c r="AT120" s="69">
        <v>0</v>
      </c>
      <c r="AU120" s="69">
        <v>7.7200566678584925</v>
      </c>
      <c r="AV120" s="69">
        <v>0</v>
      </c>
      <c r="AW120" s="69">
        <v>0</v>
      </c>
      <c r="AX120" s="69">
        <v>0</v>
      </c>
      <c r="AY120" s="69">
        <v>0</v>
      </c>
      <c r="AZ120" s="69">
        <v>0</v>
      </c>
      <c r="BA120" s="69">
        <v>3.045727591832654E-5</v>
      </c>
      <c r="BB120" s="69">
        <v>1.6703418637925682</v>
      </c>
      <c r="BC120" s="69">
        <v>0</v>
      </c>
      <c r="BD120" s="69">
        <v>0</v>
      </c>
      <c r="BE120" s="69">
        <v>0</v>
      </c>
      <c r="BF120" s="69">
        <v>0</v>
      </c>
      <c r="BG120" s="69">
        <v>0</v>
      </c>
      <c r="BH120" s="69">
        <v>0.89460847262697429</v>
      </c>
      <c r="BI120" s="69">
        <v>0</v>
      </c>
      <c r="BJ120" s="69">
        <v>18.553101992766127</v>
      </c>
      <c r="BK120" s="69">
        <v>0</v>
      </c>
      <c r="BL120" s="69">
        <v>0</v>
      </c>
      <c r="BM120" s="69">
        <v>0</v>
      </c>
      <c r="BN120" s="69">
        <v>13.551815436681474</v>
      </c>
      <c r="BO120" s="69">
        <v>0</v>
      </c>
      <c r="BP120" s="69">
        <v>0</v>
      </c>
      <c r="BQ120" s="69">
        <v>0</v>
      </c>
      <c r="BR120" s="69">
        <v>0</v>
      </c>
      <c r="BS120" s="69">
        <v>0</v>
      </c>
      <c r="BT120" s="69">
        <v>0</v>
      </c>
      <c r="BU120" s="69">
        <v>0</v>
      </c>
      <c r="BV120" s="69">
        <v>0</v>
      </c>
      <c r="BW120" s="69">
        <v>0</v>
      </c>
      <c r="BX120" s="69">
        <v>0</v>
      </c>
      <c r="BY120" s="69">
        <v>0</v>
      </c>
      <c r="BZ120" s="69">
        <v>0</v>
      </c>
      <c r="CA120" s="69">
        <v>0</v>
      </c>
      <c r="CB120" s="69">
        <v>0</v>
      </c>
      <c r="CC120" s="69">
        <v>0</v>
      </c>
      <c r="CD120" s="69">
        <v>0</v>
      </c>
      <c r="CE120" s="69">
        <v>0</v>
      </c>
      <c r="CF120" s="69">
        <v>0</v>
      </c>
      <c r="CG120" s="69">
        <v>0</v>
      </c>
      <c r="CH120" s="69">
        <v>0</v>
      </c>
      <c r="CI120" s="69">
        <v>0</v>
      </c>
      <c r="CJ120" s="69">
        <v>0</v>
      </c>
      <c r="CK120" s="69">
        <v>0</v>
      </c>
      <c r="CL120" s="69">
        <v>0</v>
      </c>
      <c r="CM120" s="69">
        <v>0</v>
      </c>
      <c r="CN120" s="69">
        <v>0</v>
      </c>
      <c r="CO120" s="69">
        <v>0</v>
      </c>
      <c r="CP120" s="69">
        <v>0</v>
      </c>
      <c r="CQ120" s="69">
        <v>0</v>
      </c>
      <c r="CR120" s="69">
        <v>0</v>
      </c>
      <c r="CS120" s="69">
        <v>0</v>
      </c>
      <c r="CT120" s="69">
        <v>0</v>
      </c>
      <c r="CU120" s="69">
        <v>0</v>
      </c>
      <c r="CV120" s="69">
        <v>0</v>
      </c>
      <c r="CW120" s="69">
        <v>0</v>
      </c>
      <c r="CX120" s="69">
        <v>0</v>
      </c>
      <c r="CY120" s="69">
        <v>0</v>
      </c>
      <c r="CZ120" s="69">
        <v>0</v>
      </c>
      <c r="DA120" s="69">
        <v>0</v>
      </c>
      <c r="DB120" s="69">
        <v>0</v>
      </c>
      <c r="DC120" s="69">
        <v>0</v>
      </c>
      <c r="DD120" s="69">
        <v>0</v>
      </c>
      <c r="DE120" s="69">
        <v>0</v>
      </c>
      <c r="DF120" s="69">
        <v>0</v>
      </c>
      <c r="DG120" s="69">
        <v>0</v>
      </c>
      <c r="DH120" s="69">
        <v>0</v>
      </c>
      <c r="DI120" s="69">
        <v>0</v>
      </c>
      <c r="DJ120" s="69">
        <v>0</v>
      </c>
      <c r="DK120" s="69">
        <v>0</v>
      </c>
      <c r="DL120" s="69">
        <v>0</v>
      </c>
      <c r="DM120" s="69">
        <v>0</v>
      </c>
      <c r="DN120" s="69">
        <v>0</v>
      </c>
      <c r="DO120" s="69">
        <v>0</v>
      </c>
      <c r="DP120" s="69">
        <v>0</v>
      </c>
      <c r="DQ120" s="69">
        <v>0</v>
      </c>
      <c r="DR120" s="69">
        <v>0</v>
      </c>
      <c r="DS120" s="69">
        <v>0</v>
      </c>
      <c r="DT120" s="69">
        <v>0</v>
      </c>
      <c r="DU120" s="69">
        <v>0</v>
      </c>
      <c r="DV120" s="69">
        <v>0</v>
      </c>
      <c r="DW120" s="69">
        <v>0</v>
      </c>
      <c r="DX120" s="69">
        <v>0</v>
      </c>
      <c r="DY120" s="69">
        <v>0</v>
      </c>
      <c r="DZ120" s="69">
        <v>0</v>
      </c>
      <c r="EA120" s="69">
        <v>0</v>
      </c>
      <c r="EB120" s="69">
        <v>0</v>
      </c>
      <c r="EC120" s="69">
        <v>0</v>
      </c>
      <c r="ED120" s="69">
        <v>0</v>
      </c>
      <c r="EE120" s="69">
        <v>0</v>
      </c>
      <c r="EF120" s="69">
        <v>0</v>
      </c>
      <c r="EG120" s="69">
        <v>0</v>
      </c>
      <c r="EH120" s="69">
        <v>0</v>
      </c>
      <c r="EI120" s="69">
        <v>0</v>
      </c>
      <c r="EJ120" s="69">
        <v>0</v>
      </c>
      <c r="EK120" s="69">
        <v>0</v>
      </c>
      <c r="EL120" s="69">
        <v>0</v>
      </c>
      <c r="EM120" s="69">
        <v>0</v>
      </c>
      <c r="EN120" s="69">
        <v>0</v>
      </c>
      <c r="EO120" s="69">
        <v>0</v>
      </c>
      <c r="EP120" s="69">
        <v>0</v>
      </c>
      <c r="EQ120" s="69">
        <v>0</v>
      </c>
      <c r="ER120" s="69">
        <v>0</v>
      </c>
      <c r="ES120" s="69">
        <v>0</v>
      </c>
      <c r="ET120" s="69">
        <v>0</v>
      </c>
      <c r="EU120" s="69">
        <v>0</v>
      </c>
      <c r="EV120" s="69">
        <v>0</v>
      </c>
      <c r="EW120" s="69">
        <v>0</v>
      </c>
      <c r="EX120" s="69">
        <v>0</v>
      </c>
      <c r="EY120" s="69">
        <v>0</v>
      </c>
      <c r="EZ120" s="69">
        <v>0</v>
      </c>
      <c r="FA120" s="69">
        <v>0</v>
      </c>
      <c r="FB120" s="69">
        <v>0</v>
      </c>
      <c r="FC120" s="69">
        <v>0</v>
      </c>
      <c r="FD120" s="69">
        <v>0</v>
      </c>
      <c r="FE120" s="69">
        <v>0</v>
      </c>
      <c r="FF120" s="69">
        <v>0</v>
      </c>
      <c r="FG120" s="69">
        <v>0</v>
      </c>
      <c r="FH120" s="69">
        <v>0</v>
      </c>
      <c r="FI120" s="69">
        <v>0</v>
      </c>
      <c r="FJ120" s="69">
        <v>0</v>
      </c>
      <c r="FK120" s="69">
        <v>0</v>
      </c>
      <c r="FL120" s="69">
        <v>0</v>
      </c>
      <c r="FM120" s="69">
        <v>0</v>
      </c>
      <c r="FN120" s="69">
        <v>0</v>
      </c>
      <c r="FO120" s="69">
        <v>0</v>
      </c>
      <c r="FP120" s="69">
        <v>0</v>
      </c>
      <c r="FQ120" s="69">
        <v>0</v>
      </c>
      <c r="FR120" s="69">
        <v>0</v>
      </c>
      <c r="FS120" s="69">
        <v>0</v>
      </c>
      <c r="FT120" s="69">
        <v>0</v>
      </c>
      <c r="FU120" s="69">
        <v>0</v>
      </c>
      <c r="FV120" s="69">
        <v>0</v>
      </c>
      <c r="FW120" s="69">
        <v>0</v>
      </c>
      <c r="FX120" s="69">
        <v>0</v>
      </c>
      <c r="FY120" s="69">
        <v>0</v>
      </c>
      <c r="FZ120" s="69">
        <v>0</v>
      </c>
      <c r="GA120" s="69">
        <v>0</v>
      </c>
      <c r="GB120" s="69">
        <v>0</v>
      </c>
      <c r="GC120" s="69">
        <v>0</v>
      </c>
      <c r="GD120" s="69">
        <v>0.34196662210223083</v>
      </c>
      <c r="GE120" s="69">
        <v>0.67643180930101665</v>
      </c>
      <c r="GF120" s="69">
        <v>1.16317103157152</v>
      </c>
      <c r="GG120" s="69">
        <v>2.3594792391544748</v>
      </c>
      <c r="GH120" s="69">
        <v>4.1479476503226431</v>
      </c>
      <c r="GI120" s="69">
        <v>0.17429591470971384</v>
      </c>
      <c r="GJ120" s="69">
        <v>0.32071264664823201</v>
      </c>
      <c r="GK120" s="69">
        <v>0.53423097379277029</v>
      </c>
      <c r="GL120" s="69">
        <v>1.1509908875408661</v>
      </c>
      <c r="GM120" s="69">
        <v>4.0565153656262529</v>
      </c>
      <c r="GN120" s="69">
        <v>0.34506877268643077</v>
      </c>
      <c r="GO120" s="69">
        <v>0.58225580588870174</v>
      </c>
      <c r="GP120" s="69">
        <v>1.3382988232856903</v>
      </c>
      <c r="GQ120" s="69">
        <v>3.4897307386156942</v>
      </c>
      <c r="GR120" s="69">
        <v>17.485206243475325</v>
      </c>
      <c r="GS120" s="69">
        <v>0</v>
      </c>
      <c r="GT120" s="69">
        <v>0</v>
      </c>
      <c r="GU120" s="69">
        <v>0</v>
      </c>
      <c r="GV120" s="69">
        <v>0</v>
      </c>
      <c r="GW120" s="69">
        <v>0</v>
      </c>
      <c r="GX120" s="21">
        <v>0</v>
      </c>
      <c r="GY120" s="21">
        <v>2.8025695069235113</v>
      </c>
      <c r="GZ120" s="69">
        <v>-4.1670165195386921E-4</v>
      </c>
      <c r="HA120" s="69">
        <v>9.7013065571622717E-2</v>
      </c>
      <c r="HB120" s="21">
        <f t="shared" si="1"/>
        <v>84.918835318100278</v>
      </c>
    </row>
    <row r="121" spans="1:210" x14ac:dyDescent="0.75">
      <c r="A121" s="67" t="s">
        <v>334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69">
        <v>0</v>
      </c>
      <c r="AD121" s="21"/>
      <c r="AE121" s="21"/>
      <c r="AF121" s="69">
        <v>0</v>
      </c>
      <c r="AG121" s="21"/>
      <c r="AH121" s="21"/>
      <c r="AI121" s="69">
        <v>0</v>
      </c>
      <c r="AJ121" s="21"/>
      <c r="AK121" s="21"/>
      <c r="AL121" s="21"/>
      <c r="AM121" s="21"/>
      <c r="AN121" s="21"/>
      <c r="AO121" s="21"/>
      <c r="AP121" s="21"/>
      <c r="AQ121" s="21"/>
      <c r="AR121" s="69">
        <v>0</v>
      </c>
      <c r="AS121" s="21"/>
      <c r="AT121" s="21"/>
      <c r="AU121" s="21"/>
      <c r="AV121" s="21"/>
      <c r="AW121" s="21"/>
      <c r="AX121" s="21"/>
      <c r="AY121" s="21"/>
      <c r="AZ121" s="21"/>
      <c r="BA121" s="21"/>
      <c r="BB121" s="69">
        <v>0</v>
      </c>
      <c r="BC121" s="21"/>
      <c r="BD121" s="21"/>
      <c r="BE121" s="21"/>
      <c r="BF121" s="21"/>
      <c r="BG121" s="69">
        <v>0</v>
      </c>
      <c r="BH121" s="21"/>
      <c r="BI121" s="69">
        <v>0</v>
      </c>
      <c r="BJ121" s="21"/>
      <c r="BK121" s="69">
        <v>0</v>
      </c>
      <c r="BL121" s="69">
        <v>0</v>
      </c>
      <c r="BM121" s="21"/>
      <c r="BN121" s="21">
        <v>0.8726678361880259</v>
      </c>
      <c r="BO121" s="69">
        <v>0</v>
      </c>
      <c r="BP121" s="21"/>
      <c r="BQ121" s="21"/>
      <c r="BR121" s="21"/>
      <c r="BS121" s="21"/>
      <c r="BT121" s="21"/>
      <c r="BU121" s="21"/>
      <c r="BV121" s="69">
        <v>0</v>
      </c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69">
        <v>0</v>
      </c>
      <c r="DH121" s="21"/>
      <c r="DI121" s="21"/>
      <c r="DJ121" s="69">
        <v>0</v>
      </c>
      <c r="DK121" s="21"/>
      <c r="DL121" s="21"/>
      <c r="DM121" s="69">
        <v>0</v>
      </c>
      <c r="DN121" s="21"/>
      <c r="DO121" s="21"/>
      <c r="DP121" s="21"/>
      <c r="DQ121" s="21"/>
      <c r="DR121" s="21"/>
      <c r="DS121" s="21"/>
      <c r="DT121" s="21"/>
      <c r="DU121" s="21"/>
      <c r="DV121" s="21"/>
      <c r="DW121" s="69">
        <v>0</v>
      </c>
      <c r="DX121" s="21"/>
      <c r="DY121" s="21"/>
      <c r="DZ121" s="21"/>
      <c r="EA121" s="21"/>
      <c r="EB121" s="21"/>
      <c r="EC121" s="21"/>
      <c r="ED121" s="21"/>
      <c r="EE121" s="21"/>
      <c r="EF121" s="21"/>
      <c r="EG121" s="69">
        <v>0</v>
      </c>
      <c r="EH121" s="21"/>
      <c r="EI121" s="21"/>
      <c r="EJ121" s="21"/>
      <c r="EK121" s="21"/>
      <c r="EL121" s="69">
        <v>0</v>
      </c>
      <c r="EM121" s="21"/>
      <c r="EN121" s="69">
        <v>0</v>
      </c>
      <c r="EO121" s="21"/>
      <c r="EP121" s="69">
        <v>0</v>
      </c>
      <c r="EQ121" s="69">
        <v>0</v>
      </c>
      <c r="ER121" s="21"/>
      <c r="ES121" s="21"/>
      <c r="ET121" s="69">
        <v>0</v>
      </c>
      <c r="EU121" s="21"/>
      <c r="EV121" s="21"/>
      <c r="EW121" s="21"/>
      <c r="EX121" s="21"/>
      <c r="EY121" s="21"/>
      <c r="EZ121" s="21"/>
      <c r="FA121" s="69">
        <v>0</v>
      </c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>
        <v>1.2454867139464669</v>
      </c>
      <c r="GE121" s="21">
        <v>1.7264567745468262</v>
      </c>
      <c r="GF121" s="21">
        <v>2.3171021746324238</v>
      </c>
      <c r="GG121" s="21">
        <v>3.9338899236379845</v>
      </c>
      <c r="GH121" s="21">
        <v>6.4123702151205224</v>
      </c>
      <c r="GI121" s="21">
        <v>7.2365869918969636E-2</v>
      </c>
      <c r="GJ121" s="21">
        <v>0.1372142015200683</v>
      </c>
      <c r="GK121" s="21">
        <v>0.41501216774845495</v>
      </c>
      <c r="GL121" s="21">
        <v>0.87094144352595282</v>
      </c>
      <c r="GM121" s="21">
        <v>4.9738725821152725</v>
      </c>
      <c r="GN121" s="21">
        <v>2.7305100351309508E-2</v>
      </c>
      <c r="GO121" s="21">
        <v>3.139948048673312E-2</v>
      </c>
      <c r="GP121" s="21">
        <v>0.11082519535594018</v>
      </c>
      <c r="GQ121" s="21">
        <v>0.42090613071339544</v>
      </c>
      <c r="GR121" s="21">
        <v>8.1406084232474001</v>
      </c>
      <c r="GS121" s="21"/>
      <c r="GT121" s="21"/>
      <c r="GU121" s="21"/>
      <c r="GV121" s="21"/>
      <c r="GW121" s="21"/>
      <c r="GX121" s="21">
        <v>0</v>
      </c>
      <c r="GY121" s="21">
        <v>0</v>
      </c>
      <c r="GZ121" s="21">
        <v>-4.8326907389715762E-2</v>
      </c>
      <c r="HA121" s="21"/>
      <c r="HB121" s="21">
        <f t="shared" si="1"/>
        <v>31.66009732566603</v>
      </c>
    </row>
    <row r="122" spans="1:210" x14ac:dyDescent="0.75">
      <c r="A122" s="67" t="s">
        <v>516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69">
        <v>0</v>
      </c>
      <c r="AD122" s="21"/>
      <c r="AE122" s="21"/>
      <c r="AF122" s="69">
        <v>0</v>
      </c>
      <c r="AG122" s="21"/>
      <c r="AH122" s="21"/>
      <c r="AI122" s="69">
        <v>0.17347611844381203</v>
      </c>
      <c r="AJ122" s="21"/>
      <c r="AK122" s="21"/>
      <c r="AL122" s="21"/>
      <c r="AM122" s="21"/>
      <c r="AN122" s="21"/>
      <c r="AO122" s="21">
        <v>0.19227664102785355</v>
      </c>
      <c r="AP122" s="21"/>
      <c r="AQ122" s="21"/>
      <c r="AR122" s="69">
        <v>0</v>
      </c>
      <c r="AS122" s="21"/>
      <c r="AT122" s="21"/>
      <c r="AU122" s="21"/>
      <c r="AV122" s="21"/>
      <c r="AW122" s="21"/>
      <c r="AX122" s="21"/>
      <c r="AY122" s="21"/>
      <c r="AZ122" s="21"/>
      <c r="BA122" s="21"/>
      <c r="BB122" s="69">
        <v>0</v>
      </c>
      <c r="BC122" s="21">
        <v>0.11225741021653371</v>
      </c>
      <c r="BD122" s="21"/>
      <c r="BE122" s="21"/>
      <c r="BF122" s="21"/>
      <c r="BG122" s="69">
        <v>0</v>
      </c>
      <c r="BH122" s="21"/>
      <c r="BI122" s="69">
        <v>0</v>
      </c>
      <c r="BJ122" s="21"/>
      <c r="BK122" s="69">
        <v>0</v>
      </c>
      <c r="BL122" s="69">
        <v>0</v>
      </c>
      <c r="BM122" s="21"/>
      <c r="BN122" s="21">
        <v>2.3974414610698025</v>
      </c>
      <c r="BO122" s="69">
        <v>0</v>
      </c>
      <c r="BP122" s="21"/>
      <c r="BQ122" s="21"/>
      <c r="BR122" s="21"/>
      <c r="BS122" s="21"/>
      <c r="BT122" s="21"/>
      <c r="BU122" s="21"/>
      <c r="BV122" s="69">
        <v>0</v>
      </c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69">
        <v>0</v>
      </c>
      <c r="DH122" s="21"/>
      <c r="DI122" s="21"/>
      <c r="DJ122" s="69">
        <v>0</v>
      </c>
      <c r="DK122" s="21"/>
      <c r="DL122" s="21"/>
      <c r="DM122" s="69">
        <v>0</v>
      </c>
      <c r="DN122" s="21"/>
      <c r="DO122" s="21"/>
      <c r="DP122" s="21"/>
      <c r="DQ122" s="21"/>
      <c r="DR122" s="21"/>
      <c r="DS122" s="21"/>
      <c r="DT122" s="21"/>
      <c r="DU122" s="21"/>
      <c r="DV122" s="21"/>
      <c r="DW122" s="69">
        <v>0</v>
      </c>
      <c r="DX122" s="21"/>
      <c r="DY122" s="21"/>
      <c r="DZ122" s="21"/>
      <c r="EA122" s="21"/>
      <c r="EB122" s="21"/>
      <c r="EC122" s="21"/>
      <c r="ED122" s="21"/>
      <c r="EE122" s="21"/>
      <c r="EF122" s="21"/>
      <c r="EG122" s="69">
        <v>0</v>
      </c>
      <c r="EH122" s="21"/>
      <c r="EI122" s="21"/>
      <c r="EJ122" s="21"/>
      <c r="EK122" s="21"/>
      <c r="EL122" s="69">
        <v>0</v>
      </c>
      <c r="EM122" s="21"/>
      <c r="EN122" s="69">
        <v>0</v>
      </c>
      <c r="EO122" s="21"/>
      <c r="EP122" s="69">
        <v>0</v>
      </c>
      <c r="EQ122" s="69">
        <v>0</v>
      </c>
      <c r="ER122" s="21"/>
      <c r="ES122" s="21"/>
      <c r="ET122" s="69">
        <v>0</v>
      </c>
      <c r="EU122" s="21"/>
      <c r="EV122" s="21"/>
      <c r="EW122" s="21"/>
      <c r="EX122" s="21"/>
      <c r="EY122" s="21"/>
      <c r="EZ122" s="21"/>
      <c r="FA122" s="69">
        <v>0</v>
      </c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>
        <v>0</v>
      </c>
      <c r="GY122" s="21">
        <v>0</v>
      </c>
      <c r="GZ122" s="21">
        <v>0.2878922627448473</v>
      </c>
      <c r="HA122" s="21">
        <v>3.6068146513179916E-3</v>
      </c>
      <c r="HB122" s="21">
        <f t="shared" si="1"/>
        <v>3.1669507081541672</v>
      </c>
    </row>
    <row r="123" spans="1:210" x14ac:dyDescent="0.75">
      <c r="A123" s="68" t="s">
        <v>517</v>
      </c>
      <c r="B123" s="69">
        <v>0</v>
      </c>
      <c r="C123" s="69">
        <v>0</v>
      </c>
      <c r="D123" s="69">
        <v>0</v>
      </c>
      <c r="E123" s="69">
        <v>0</v>
      </c>
      <c r="F123" s="69">
        <v>0</v>
      </c>
      <c r="G123" s="69">
        <v>0</v>
      </c>
      <c r="H123" s="69">
        <v>0</v>
      </c>
      <c r="I123" s="69">
        <v>0</v>
      </c>
      <c r="J123" s="69">
        <v>0</v>
      </c>
      <c r="K123" s="69">
        <v>0</v>
      </c>
      <c r="L123" s="69">
        <v>0</v>
      </c>
      <c r="M123" s="69">
        <v>0</v>
      </c>
      <c r="N123" s="69">
        <v>0</v>
      </c>
      <c r="O123" s="69">
        <v>0</v>
      </c>
      <c r="P123" s="69">
        <v>0</v>
      </c>
      <c r="Q123" s="69">
        <v>0</v>
      </c>
      <c r="R123" s="69">
        <v>0</v>
      </c>
      <c r="S123" s="69">
        <v>0</v>
      </c>
      <c r="T123" s="69">
        <v>0</v>
      </c>
      <c r="U123" s="69">
        <v>0</v>
      </c>
      <c r="V123" s="69">
        <v>0</v>
      </c>
      <c r="W123" s="69">
        <v>0</v>
      </c>
      <c r="X123" s="69">
        <v>0</v>
      </c>
      <c r="Y123" s="69">
        <v>0</v>
      </c>
      <c r="Z123" s="69">
        <v>0</v>
      </c>
      <c r="AA123" s="69">
        <v>0</v>
      </c>
      <c r="AB123" s="69">
        <v>0</v>
      </c>
      <c r="AC123" s="69">
        <v>0</v>
      </c>
      <c r="AD123" s="69">
        <v>0</v>
      </c>
      <c r="AE123" s="69">
        <v>0</v>
      </c>
      <c r="AF123" s="69">
        <v>0</v>
      </c>
      <c r="AG123" s="69">
        <v>0</v>
      </c>
      <c r="AH123" s="69">
        <v>0</v>
      </c>
      <c r="AI123" s="69">
        <v>1.3946341246147775</v>
      </c>
      <c r="AJ123" s="69">
        <v>0</v>
      </c>
      <c r="AK123" s="69">
        <v>0.22237156687220608</v>
      </c>
      <c r="AL123" s="69">
        <v>0</v>
      </c>
      <c r="AM123" s="69">
        <v>0</v>
      </c>
      <c r="AN123" s="69">
        <v>0</v>
      </c>
      <c r="AO123" s="69">
        <v>0</v>
      </c>
      <c r="AP123" s="69">
        <v>0</v>
      </c>
      <c r="AQ123" s="69">
        <v>0.60253258854974634</v>
      </c>
      <c r="AR123" s="69">
        <v>0</v>
      </c>
      <c r="AS123" s="69">
        <v>0</v>
      </c>
      <c r="AT123" s="69">
        <v>0</v>
      </c>
      <c r="AU123" s="69">
        <v>0</v>
      </c>
      <c r="AV123" s="69">
        <v>0</v>
      </c>
      <c r="AW123" s="69">
        <v>0</v>
      </c>
      <c r="AX123" s="69">
        <v>0</v>
      </c>
      <c r="AY123" s="69">
        <v>0</v>
      </c>
      <c r="AZ123" s="69">
        <v>0</v>
      </c>
      <c r="BA123" s="69">
        <v>3.7553456702247003</v>
      </c>
      <c r="BB123" s="69">
        <v>7.5027689542260525</v>
      </c>
      <c r="BC123" s="69">
        <v>45.769777855388185</v>
      </c>
      <c r="BD123" s="69">
        <v>0</v>
      </c>
      <c r="BE123" s="69">
        <v>0</v>
      </c>
      <c r="BF123" s="69">
        <v>2.9183011695285282E-2</v>
      </c>
      <c r="BG123" s="69">
        <v>0</v>
      </c>
      <c r="BH123" s="69">
        <v>0</v>
      </c>
      <c r="BI123" s="69">
        <v>0</v>
      </c>
      <c r="BJ123" s="69">
        <v>83.833125194012283</v>
      </c>
      <c r="BK123" s="69">
        <v>4.1594078081259882</v>
      </c>
      <c r="BL123" s="69">
        <v>8.6040728823234783E-2</v>
      </c>
      <c r="BM123" s="69">
        <v>0</v>
      </c>
      <c r="BN123" s="69">
        <v>0.41923448021809812</v>
      </c>
      <c r="BO123" s="69">
        <v>0</v>
      </c>
      <c r="BP123" s="69">
        <v>0</v>
      </c>
      <c r="BQ123" s="69">
        <v>0</v>
      </c>
      <c r="BR123" s="69">
        <v>0</v>
      </c>
      <c r="BS123" s="69">
        <v>0</v>
      </c>
      <c r="BT123" s="69">
        <v>0</v>
      </c>
      <c r="BU123" s="69">
        <v>0</v>
      </c>
      <c r="BV123" s="69">
        <v>0.15518780296787657</v>
      </c>
      <c r="BW123" s="69">
        <v>0</v>
      </c>
      <c r="BX123" s="69">
        <v>0</v>
      </c>
      <c r="BY123" s="69">
        <v>0</v>
      </c>
      <c r="BZ123" s="69">
        <v>0</v>
      </c>
      <c r="CA123" s="69">
        <v>0</v>
      </c>
      <c r="CB123" s="69">
        <v>0</v>
      </c>
      <c r="CC123" s="69">
        <v>0</v>
      </c>
      <c r="CD123" s="69">
        <v>0</v>
      </c>
      <c r="CE123" s="69">
        <v>0</v>
      </c>
      <c r="CF123" s="69">
        <v>0</v>
      </c>
      <c r="CG123" s="69">
        <v>0</v>
      </c>
      <c r="CH123" s="69">
        <v>0</v>
      </c>
      <c r="CI123" s="69">
        <v>0</v>
      </c>
      <c r="CJ123" s="69">
        <v>0</v>
      </c>
      <c r="CK123" s="69">
        <v>0</v>
      </c>
      <c r="CL123" s="69">
        <v>0</v>
      </c>
      <c r="CM123" s="69">
        <v>0</v>
      </c>
      <c r="CN123" s="69">
        <v>0</v>
      </c>
      <c r="CO123" s="69">
        <v>0</v>
      </c>
      <c r="CP123" s="69">
        <v>0</v>
      </c>
      <c r="CQ123" s="69">
        <v>0</v>
      </c>
      <c r="CR123" s="69">
        <v>0</v>
      </c>
      <c r="CS123" s="69">
        <v>0</v>
      </c>
      <c r="CT123" s="69">
        <v>0</v>
      </c>
      <c r="CU123" s="69">
        <v>0</v>
      </c>
      <c r="CV123" s="69">
        <v>0</v>
      </c>
      <c r="CW123" s="69">
        <v>0</v>
      </c>
      <c r="CX123" s="69">
        <v>0</v>
      </c>
      <c r="CY123" s="69">
        <v>0</v>
      </c>
      <c r="CZ123" s="69">
        <v>0</v>
      </c>
      <c r="DA123" s="69">
        <v>0</v>
      </c>
      <c r="DB123" s="69">
        <v>0</v>
      </c>
      <c r="DC123" s="69">
        <v>0</v>
      </c>
      <c r="DD123" s="69">
        <v>0</v>
      </c>
      <c r="DE123" s="69">
        <v>0</v>
      </c>
      <c r="DF123" s="69">
        <v>0</v>
      </c>
      <c r="DG123" s="69">
        <v>0</v>
      </c>
      <c r="DH123" s="69">
        <v>0</v>
      </c>
      <c r="DI123" s="69">
        <v>0</v>
      </c>
      <c r="DJ123" s="69">
        <v>0</v>
      </c>
      <c r="DK123" s="69">
        <v>0</v>
      </c>
      <c r="DL123" s="69">
        <v>0</v>
      </c>
      <c r="DM123" s="69">
        <v>0</v>
      </c>
      <c r="DN123" s="69">
        <v>0</v>
      </c>
      <c r="DO123" s="69">
        <v>0</v>
      </c>
      <c r="DP123" s="69">
        <v>0</v>
      </c>
      <c r="DQ123" s="69">
        <v>0</v>
      </c>
      <c r="DR123" s="69">
        <v>0</v>
      </c>
      <c r="DS123" s="69">
        <v>0</v>
      </c>
      <c r="DT123" s="69">
        <v>0</v>
      </c>
      <c r="DU123" s="69">
        <v>0</v>
      </c>
      <c r="DV123" s="69">
        <v>0</v>
      </c>
      <c r="DW123" s="69">
        <v>0</v>
      </c>
      <c r="DX123" s="69">
        <v>0</v>
      </c>
      <c r="DY123" s="69">
        <v>0</v>
      </c>
      <c r="DZ123" s="69">
        <v>0</v>
      </c>
      <c r="EA123" s="69">
        <v>0</v>
      </c>
      <c r="EB123" s="69">
        <v>0</v>
      </c>
      <c r="EC123" s="69">
        <v>0</v>
      </c>
      <c r="ED123" s="69">
        <v>0</v>
      </c>
      <c r="EE123" s="69">
        <v>0</v>
      </c>
      <c r="EF123" s="69">
        <v>0</v>
      </c>
      <c r="EG123" s="69">
        <v>0</v>
      </c>
      <c r="EH123" s="69">
        <v>0</v>
      </c>
      <c r="EI123" s="69">
        <v>0</v>
      </c>
      <c r="EJ123" s="69">
        <v>0</v>
      </c>
      <c r="EK123" s="69">
        <v>0</v>
      </c>
      <c r="EL123" s="69">
        <v>0</v>
      </c>
      <c r="EM123" s="69">
        <v>0</v>
      </c>
      <c r="EN123" s="69">
        <v>0</v>
      </c>
      <c r="EO123" s="69">
        <v>0</v>
      </c>
      <c r="EP123" s="69">
        <v>0</v>
      </c>
      <c r="EQ123" s="69">
        <v>0</v>
      </c>
      <c r="ER123" s="69">
        <v>0</v>
      </c>
      <c r="ES123" s="69">
        <v>0</v>
      </c>
      <c r="ET123" s="69">
        <v>0</v>
      </c>
      <c r="EU123" s="69">
        <v>0</v>
      </c>
      <c r="EV123" s="69">
        <v>0</v>
      </c>
      <c r="EW123" s="69">
        <v>0</v>
      </c>
      <c r="EX123" s="69">
        <v>0</v>
      </c>
      <c r="EY123" s="69">
        <v>0</v>
      </c>
      <c r="EZ123" s="69">
        <v>0</v>
      </c>
      <c r="FA123" s="69">
        <v>0</v>
      </c>
      <c r="FB123" s="69">
        <v>0</v>
      </c>
      <c r="FC123" s="69">
        <v>0</v>
      </c>
      <c r="FD123" s="69">
        <v>0</v>
      </c>
      <c r="FE123" s="69">
        <v>0</v>
      </c>
      <c r="FF123" s="69">
        <v>0</v>
      </c>
      <c r="FG123" s="69">
        <v>0</v>
      </c>
      <c r="FH123" s="69">
        <v>0</v>
      </c>
      <c r="FI123" s="69">
        <v>0</v>
      </c>
      <c r="FJ123" s="69">
        <v>0</v>
      </c>
      <c r="FK123" s="69">
        <v>0</v>
      </c>
      <c r="FL123" s="69">
        <v>0</v>
      </c>
      <c r="FM123" s="69">
        <v>0</v>
      </c>
      <c r="FN123" s="69">
        <v>0</v>
      </c>
      <c r="FO123" s="69">
        <v>0</v>
      </c>
      <c r="FP123" s="69">
        <v>0</v>
      </c>
      <c r="FQ123" s="69">
        <v>0</v>
      </c>
      <c r="FR123" s="69">
        <v>0</v>
      </c>
      <c r="FS123" s="69">
        <v>0</v>
      </c>
      <c r="FT123" s="69">
        <v>0</v>
      </c>
      <c r="FU123" s="69">
        <v>0</v>
      </c>
      <c r="FV123" s="69">
        <v>0</v>
      </c>
      <c r="FW123" s="69">
        <v>0</v>
      </c>
      <c r="FX123" s="69">
        <v>0</v>
      </c>
      <c r="FY123" s="69">
        <v>0</v>
      </c>
      <c r="FZ123" s="69">
        <v>0</v>
      </c>
      <c r="GA123" s="69">
        <v>0</v>
      </c>
      <c r="GB123" s="69">
        <v>0</v>
      </c>
      <c r="GC123" s="69">
        <v>0</v>
      </c>
      <c r="GD123" s="69">
        <v>0</v>
      </c>
      <c r="GE123" s="69">
        <v>0</v>
      </c>
      <c r="GF123" s="69">
        <v>0</v>
      </c>
      <c r="GG123" s="69">
        <v>0</v>
      </c>
      <c r="GH123" s="69">
        <v>0</v>
      </c>
      <c r="GI123" s="69">
        <v>0</v>
      </c>
      <c r="GJ123" s="69">
        <v>0</v>
      </c>
      <c r="GK123" s="69">
        <v>0</v>
      </c>
      <c r="GL123" s="69">
        <v>0</v>
      </c>
      <c r="GM123" s="69">
        <v>0</v>
      </c>
      <c r="GN123" s="69">
        <v>0</v>
      </c>
      <c r="GO123" s="69">
        <v>0</v>
      </c>
      <c r="GP123" s="69">
        <v>0</v>
      </c>
      <c r="GQ123" s="69">
        <v>0</v>
      </c>
      <c r="GR123" s="69">
        <v>0</v>
      </c>
      <c r="GS123" s="69">
        <v>0</v>
      </c>
      <c r="GT123" s="69">
        <v>0</v>
      </c>
      <c r="GU123" s="69">
        <v>0</v>
      </c>
      <c r="GV123" s="69">
        <v>0</v>
      </c>
      <c r="GW123" s="69">
        <v>0</v>
      </c>
      <c r="GX123" s="21">
        <v>0</v>
      </c>
      <c r="GY123" s="21">
        <v>0</v>
      </c>
      <c r="GZ123" s="69">
        <v>-0.55870524328130255</v>
      </c>
      <c r="HA123" s="69">
        <v>235.65526220226192</v>
      </c>
      <c r="HB123" s="21">
        <f t="shared" si="1"/>
        <v>383.02616674469903</v>
      </c>
    </row>
    <row r="124" spans="1:210" x14ac:dyDescent="0.75">
      <c r="A124" s="67" t="s">
        <v>518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69">
        <v>0</v>
      </c>
      <c r="AD124" s="21"/>
      <c r="AE124" s="21"/>
      <c r="AF124" s="69">
        <v>0</v>
      </c>
      <c r="AG124" s="21"/>
      <c r="AH124" s="21"/>
      <c r="AI124" s="69">
        <v>0</v>
      </c>
      <c r="AJ124" s="21"/>
      <c r="AK124" s="21"/>
      <c r="AL124" s="21"/>
      <c r="AM124" s="21"/>
      <c r="AN124" s="21"/>
      <c r="AO124" s="21"/>
      <c r="AP124" s="21"/>
      <c r="AQ124" s="21"/>
      <c r="AR124" s="69">
        <v>0</v>
      </c>
      <c r="AS124" s="21"/>
      <c r="AT124" s="21"/>
      <c r="AU124" s="21"/>
      <c r="AV124" s="21"/>
      <c r="AW124" s="21"/>
      <c r="AX124" s="21"/>
      <c r="AY124" s="21"/>
      <c r="AZ124" s="21"/>
      <c r="BA124" s="21"/>
      <c r="BB124" s="69">
        <v>0</v>
      </c>
      <c r="BC124" s="21"/>
      <c r="BD124" s="21"/>
      <c r="BE124" s="21"/>
      <c r="BF124" s="21"/>
      <c r="BG124" s="69">
        <v>0</v>
      </c>
      <c r="BH124" s="21"/>
      <c r="BI124" s="69">
        <v>0</v>
      </c>
      <c r="BJ124" s="21"/>
      <c r="BK124" s="69">
        <v>0</v>
      </c>
      <c r="BL124" s="69">
        <v>0</v>
      </c>
      <c r="BM124" s="21"/>
      <c r="BN124" s="21">
        <v>10.038725397618256</v>
      </c>
      <c r="BO124" s="69">
        <v>0</v>
      </c>
      <c r="BP124" s="21"/>
      <c r="BQ124" s="21"/>
      <c r="BR124" s="21"/>
      <c r="BS124" s="21"/>
      <c r="BT124" s="21"/>
      <c r="BU124" s="21"/>
      <c r="BV124" s="69">
        <v>0</v>
      </c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69">
        <v>0</v>
      </c>
      <c r="DH124" s="21"/>
      <c r="DI124" s="21"/>
      <c r="DJ124" s="69">
        <v>0</v>
      </c>
      <c r="DK124" s="21"/>
      <c r="DL124" s="21"/>
      <c r="DM124" s="69">
        <v>0</v>
      </c>
      <c r="DN124" s="21"/>
      <c r="DO124" s="21"/>
      <c r="DP124" s="21"/>
      <c r="DQ124" s="21"/>
      <c r="DR124" s="21"/>
      <c r="DS124" s="21"/>
      <c r="DT124" s="21"/>
      <c r="DU124" s="21"/>
      <c r="DV124" s="21"/>
      <c r="DW124" s="69">
        <v>0</v>
      </c>
      <c r="DX124" s="21"/>
      <c r="DY124" s="21"/>
      <c r="DZ124" s="21"/>
      <c r="EA124" s="21"/>
      <c r="EB124" s="21"/>
      <c r="EC124" s="21"/>
      <c r="ED124" s="21"/>
      <c r="EE124" s="21"/>
      <c r="EF124" s="21"/>
      <c r="EG124" s="69">
        <v>0</v>
      </c>
      <c r="EH124" s="21"/>
      <c r="EI124" s="21"/>
      <c r="EJ124" s="21"/>
      <c r="EK124" s="21"/>
      <c r="EL124" s="69">
        <v>0</v>
      </c>
      <c r="EM124" s="21"/>
      <c r="EN124" s="69">
        <v>0</v>
      </c>
      <c r="EO124" s="21"/>
      <c r="EP124" s="69">
        <v>0</v>
      </c>
      <c r="EQ124" s="69">
        <v>0</v>
      </c>
      <c r="ER124" s="21"/>
      <c r="ES124" s="21"/>
      <c r="ET124" s="69">
        <v>0</v>
      </c>
      <c r="EU124" s="21"/>
      <c r="EV124" s="21"/>
      <c r="EW124" s="21"/>
      <c r="EX124" s="21"/>
      <c r="EY124" s="21"/>
      <c r="EZ124" s="21"/>
      <c r="FA124" s="69">
        <v>0</v>
      </c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>
        <v>0.6393707714097786</v>
      </c>
      <c r="GE124" s="21">
        <v>2.0313520680143009</v>
      </c>
      <c r="GF124" s="21">
        <v>4.5551820933565992</v>
      </c>
      <c r="GG124" s="21">
        <v>9.2335516899689694</v>
      </c>
      <c r="GH124" s="21">
        <v>19.361437934506277</v>
      </c>
      <c r="GI124" s="21">
        <v>0.12117880488008002</v>
      </c>
      <c r="GJ124" s="21">
        <v>0.26333888081866458</v>
      </c>
      <c r="GK124" s="21">
        <v>0.50232605107514894</v>
      </c>
      <c r="GL124" s="21">
        <v>1.5104597420355219</v>
      </c>
      <c r="GM124" s="21">
        <v>11.597359387888165</v>
      </c>
      <c r="GN124" s="21">
        <v>0.19785956054743256</v>
      </c>
      <c r="GO124" s="21">
        <v>0.33882843438565663</v>
      </c>
      <c r="GP124" s="21">
        <v>0.78131764325479813</v>
      </c>
      <c r="GQ124" s="21">
        <v>1.5870615571954589</v>
      </c>
      <c r="GR124" s="21">
        <v>24.374221681977513</v>
      </c>
      <c r="GS124" s="21"/>
      <c r="GT124" s="21"/>
      <c r="GU124" s="21"/>
      <c r="GV124" s="21"/>
      <c r="GW124" s="21"/>
      <c r="GX124" s="21">
        <v>0</v>
      </c>
      <c r="GY124" s="21">
        <v>0</v>
      </c>
      <c r="GZ124" s="21">
        <v>1.9811270394018293E-2</v>
      </c>
      <c r="HA124" s="21">
        <v>10.749944430010641</v>
      </c>
      <c r="HB124" s="21">
        <f t="shared" si="1"/>
        <v>97.903327399337272</v>
      </c>
    </row>
    <row r="125" spans="1:210" x14ac:dyDescent="0.75">
      <c r="A125" s="67" t="s">
        <v>519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69">
        <v>0</v>
      </c>
      <c r="AD125" s="21"/>
      <c r="AE125" s="21"/>
      <c r="AF125" s="69">
        <v>0</v>
      </c>
      <c r="AG125" s="21"/>
      <c r="AH125" s="21"/>
      <c r="AI125" s="69">
        <v>0</v>
      </c>
      <c r="AJ125" s="21"/>
      <c r="AK125" s="21"/>
      <c r="AL125" s="21"/>
      <c r="AM125" s="21"/>
      <c r="AN125" s="21"/>
      <c r="AO125" s="21"/>
      <c r="AP125" s="21"/>
      <c r="AQ125" s="21"/>
      <c r="AR125" s="69">
        <v>0</v>
      </c>
      <c r="AS125" s="21"/>
      <c r="AT125" s="21"/>
      <c r="AU125" s="21"/>
      <c r="AV125" s="21"/>
      <c r="AW125" s="21"/>
      <c r="AX125" s="21"/>
      <c r="AY125" s="21"/>
      <c r="AZ125" s="21"/>
      <c r="BA125" s="21"/>
      <c r="BB125" s="69">
        <v>0</v>
      </c>
      <c r="BC125" s="21"/>
      <c r="BD125" s="21"/>
      <c r="BE125" s="21"/>
      <c r="BF125" s="21"/>
      <c r="BG125" s="69">
        <v>0</v>
      </c>
      <c r="BH125" s="21"/>
      <c r="BI125" s="69">
        <v>0</v>
      </c>
      <c r="BJ125" s="21"/>
      <c r="BK125" s="69">
        <v>0</v>
      </c>
      <c r="BL125" s="69">
        <v>0</v>
      </c>
      <c r="BM125" s="21"/>
      <c r="BN125" s="21"/>
      <c r="BO125" s="69">
        <v>0</v>
      </c>
      <c r="BP125" s="21"/>
      <c r="BQ125" s="21"/>
      <c r="BR125" s="21"/>
      <c r="BS125" s="21"/>
      <c r="BT125" s="21"/>
      <c r="BU125" s="21"/>
      <c r="BV125" s="69">
        <v>0</v>
      </c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69">
        <v>0</v>
      </c>
      <c r="DH125" s="21"/>
      <c r="DI125" s="21"/>
      <c r="DJ125" s="69">
        <v>0</v>
      </c>
      <c r="DK125" s="21"/>
      <c r="DL125" s="21"/>
      <c r="DM125" s="69">
        <v>0</v>
      </c>
      <c r="DN125" s="21"/>
      <c r="DO125" s="21"/>
      <c r="DP125" s="21"/>
      <c r="DQ125" s="21"/>
      <c r="DR125" s="21"/>
      <c r="DS125" s="21"/>
      <c r="DT125" s="21"/>
      <c r="DU125" s="21"/>
      <c r="DV125" s="21"/>
      <c r="DW125" s="69">
        <v>0</v>
      </c>
      <c r="DX125" s="21"/>
      <c r="DY125" s="21"/>
      <c r="DZ125" s="21"/>
      <c r="EA125" s="21"/>
      <c r="EB125" s="21"/>
      <c r="EC125" s="21"/>
      <c r="ED125" s="21"/>
      <c r="EE125" s="21"/>
      <c r="EF125" s="21"/>
      <c r="EG125" s="69">
        <v>0</v>
      </c>
      <c r="EH125" s="21"/>
      <c r="EI125" s="21"/>
      <c r="EJ125" s="21"/>
      <c r="EK125" s="21"/>
      <c r="EL125" s="69">
        <v>0</v>
      </c>
      <c r="EM125" s="21"/>
      <c r="EN125" s="69">
        <v>0</v>
      </c>
      <c r="EO125" s="21"/>
      <c r="EP125" s="69">
        <v>0</v>
      </c>
      <c r="EQ125" s="69">
        <v>0</v>
      </c>
      <c r="ER125" s="21"/>
      <c r="ES125" s="21"/>
      <c r="ET125" s="69">
        <v>0</v>
      </c>
      <c r="EU125" s="21"/>
      <c r="EV125" s="21"/>
      <c r="EW125" s="21"/>
      <c r="EX125" s="21"/>
      <c r="EY125" s="21"/>
      <c r="EZ125" s="21"/>
      <c r="FA125" s="69">
        <v>0</v>
      </c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>
        <v>0.72643474568526178</v>
      </c>
      <c r="GE125" s="21">
        <v>1.0368329893062369</v>
      </c>
      <c r="GF125" s="21">
        <v>1.4744549662637465</v>
      </c>
      <c r="GG125" s="21">
        <v>1.8691717213828944</v>
      </c>
      <c r="GH125" s="21">
        <v>2.0352396515342228</v>
      </c>
      <c r="GI125" s="21">
        <v>8.4608518353197548E-2</v>
      </c>
      <c r="GJ125" s="21">
        <v>9.8046713531370996E-2</v>
      </c>
      <c r="GK125" s="21">
        <v>0.21169661866007239</v>
      </c>
      <c r="GL125" s="21">
        <v>0.30193518926762369</v>
      </c>
      <c r="GM125" s="21">
        <v>0.71924764698467192</v>
      </c>
      <c r="GN125" s="21">
        <v>5.5352979710875314E-2</v>
      </c>
      <c r="GO125" s="21">
        <v>7.0773437123693189E-2</v>
      </c>
      <c r="GP125" s="21">
        <v>0.13430267971561741</v>
      </c>
      <c r="GQ125" s="21">
        <v>0.32415689113733087</v>
      </c>
      <c r="GR125" s="21">
        <v>1.3318994479564992</v>
      </c>
      <c r="GS125" s="21"/>
      <c r="GT125" s="21"/>
      <c r="GU125" s="21"/>
      <c r="GV125" s="21"/>
      <c r="GW125" s="21"/>
      <c r="GX125" s="21">
        <v>0</v>
      </c>
      <c r="GY125" s="21">
        <v>0</v>
      </c>
      <c r="GZ125" s="21">
        <v>-0.27365834523948862</v>
      </c>
      <c r="HA125" s="21">
        <v>17.346088056226922</v>
      </c>
      <c r="HB125" s="21">
        <f t="shared" si="1"/>
        <v>27.546583907600748</v>
      </c>
    </row>
    <row r="126" spans="1:210" x14ac:dyDescent="0.75">
      <c r="A126" s="67" t="s">
        <v>520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69">
        <v>0</v>
      </c>
      <c r="AD126" s="21"/>
      <c r="AE126" s="21"/>
      <c r="AF126" s="69">
        <v>0</v>
      </c>
      <c r="AG126" s="21"/>
      <c r="AH126" s="21"/>
      <c r="AI126" s="69">
        <v>0</v>
      </c>
      <c r="AJ126" s="21"/>
      <c r="AK126" s="21"/>
      <c r="AL126" s="21"/>
      <c r="AM126" s="21"/>
      <c r="AN126" s="21"/>
      <c r="AO126" s="21"/>
      <c r="AP126" s="21"/>
      <c r="AQ126" s="21"/>
      <c r="AR126" s="69">
        <v>0</v>
      </c>
      <c r="AS126" s="21"/>
      <c r="AT126" s="21"/>
      <c r="AU126" s="21"/>
      <c r="AV126" s="21"/>
      <c r="AW126" s="21"/>
      <c r="AX126" s="21"/>
      <c r="AY126" s="21"/>
      <c r="AZ126" s="21"/>
      <c r="BA126" s="21"/>
      <c r="BB126" s="69">
        <v>0</v>
      </c>
      <c r="BC126" s="21"/>
      <c r="BD126" s="21"/>
      <c r="BE126" s="21"/>
      <c r="BF126" s="21"/>
      <c r="BG126" s="69">
        <v>0</v>
      </c>
      <c r="BH126" s="21"/>
      <c r="BI126" s="69">
        <v>0</v>
      </c>
      <c r="BJ126" s="21"/>
      <c r="BK126" s="69">
        <v>0</v>
      </c>
      <c r="BL126" s="69">
        <v>0</v>
      </c>
      <c r="BM126" s="21"/>
      <c r="BN126" s="21">
        <v>0.11747783312801816</v>
      </c>
      <c r="BO126" s="69">
        <v>0</v>
      </c>
      <c r="BP126" s="21"/>
      <c r="BQ126" s="21"/>
      <c r="BR126" s="21"/>
      <c r="BS126" s="21"/>
      <c r="BT126" s="21"/>
      <c r="BU126" s="21"/>
      <c r="BV126" s="69">
        <v>0</v>
      </c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69">
        <v>0</v>
      </c>
      <c r="DH126" s="21"/>
      <c r="DI126" s="21"/>
      <c r="DJ126" s="69">
        <v>0</v>
      </c>
      <c r="DK126" s="21"/>
      <c r="DL126" s="21"/>
      <c r="DM126" s="69">
        <v>0</v>
      </c>
      <c r="DN126" s="21"/>
      <c r="DO126" s="21"/>
      <c r="DP126" s="21"/>
      <c r="DQ126" s="21"/>
      <c r="DR126" s="21"/>
      <c r="DS126" s="21"/>
      <c r="DT126" s="21"/>
      <c r="DU126" s="21"/>
      <c r="DV126" s="21"/>
      <c r="DW126" s="69">
        <v>0</v>
      </c>
      <c r="DX126" s="21"/>
      <c r="DY126" s="21"/>
      <c r="DZ126" s="21"/>
      <c r="EA126" s="21"/>
      <c r="EB126" s="21"/>
      <c r="EC126" s="21"/>
      <c r="ED126" s="21"/>
      <c r="EE126" s="21"/>
      <c r="EF126" s="21"/>
      <c r="EG126" s="69">
        <v>0</v>
      </c>
      <c r="EH126" s="21"/>
      <c r="EI126" s="21"/>
      <c r="EJ126" s="21"/>
      <c r="EK126" s="21"/>
      <c r="EL126" s="69">
        <v>0</v>
      </c>
      <c r="EM126" s="21"/>
      <c r="EN126" s="69">
        <v>0</v>
      </c>
      <c r="EO126" s="21"/>
      <c r="EP126" s="69">
        <v>0</v>
      </c>
      <c r="EQ126" s="69">
        <v>0</v>
      </c>
      <c r="ER126" s="21"/>
      <c r="ES126" s="21"/>
      <c r="ET126" s="69">
        <v>0</v>
      </c>
      <c r="EU126" s="21"/>
      <c r="EV126" s="21"/>
      <c r="EW126" s="21"/>
      <c r="EX126" s="21"/>
      <c r="EY126" s="21"/>
      <c r="EZ126" s="21"/>
      <c r="FA126" s="69">
        <v>0</v>
      </c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>
        <v>3.8484401624629336E-2</v>
      </c>
      <c r="GE126" s="21">
        <v>0.11829665725717832</v>
      </c>
      <c r="GF126" s="21">
        <v>0.24099991507755633</v>
      </c>
      <c r="GG126" s="21">
        <v>0.59239253478282805</v>
      </c>
      <c r="GH126" s="21">
        <v>2.2861571127568396</v>
      </c>
      <c r="GI126" s="21"/>
      <c r="GJ126" s="21">
        <v>4.7865168268781217E-3</v>
      </c>
      <c r="GK126" s="21">
        <v>6.7362987705506611E-2</v>
      </c>
      <c r="GL126" s="21">
        <v>0.1670532702968599</v>
      </c>
      <c r="GM126" s="21">
        <v>5.9845511660085808</v>
      </c>
      <c r="GN126" s="21">
        <v>1.2294942531712909E-2</v>
      </c>
      <c r="GO126" s="21">
        <v>1.8447931545951358E-2</v>
      </c>
      <c r="GP126" s="21">
        <v>0.11983317958599092</v>
      </c>
      <c r="GQ126" s="21">
        <v>0.83974012191809755</v>
      </c>
      <c r="GR126" s="21">
        <v>13.183413139442091</v>
      </c>
      <c r="GS126" s="21"/>
      <c r="GT126" s="21"/>
      <c r="GU126" s="21"/>
      <c r="GV126" s="21"/>
      <c r="GW126" s="21"/>
      <c r="GX126" s="21">
        <v>0</v>
      </c>
      <c r="GY126" s="21">
        <v>0</v>
      </c>
      <c r="GZ126" s="21">
        <v>0.19068210400247843</v>
      </c>
      <c r="HA126" s="21">
        <v>2.2472610019647883</v>
      </c>
      <c r="HB126" s="21">
        <f t="shared" si="1"/>
        <v>26.229234816455985</v>
      </c>
    </row>
    <row r="127" spans="1:210" x14ac:dyDescent="0.75">
      <c r="A127" s="67" t="s">
        <v>521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69">
        <v>0</v>
      </c>
      <c r="AD127" s="21"/>
      <c r="AE127" s="21"/>
      <c r="AF127" s="69">
        <v>0</v>
      </c>
      <c r="AG127" s="21"/>
      <c r="AH127" s="21"/>
      <c r="AI127" s="69">
        <v>0</v>
      </c>
      <c r="AJ127" s="21"/>
      <c r="AK127" s="21"/>
      <c r="AL127" s="21"/>
      <c r="AM127" s="21"/>
      <c r="AN127" s="21"/>
      <c r="AO127" s="21">
        <v>1.2827766098764097</v>
      </c>
      <c r="AP127" s="21"/>
      <c r="AQ127" s="21">
        <v>7.7454625170632792</v>
      </c>
      <c r="AR127" s="69">
        <v>0</v>
      </c>
      <c r="AS127" s="21"/>
      <c r="AT127" s="21"/>
      <c r="AU127" s="21"/>
      <c r="AV127" s="21"/>
      <c r="AW127" s="21"/>
      <c r="AX127" s="21"/>
      <c r="AY127" s="21"/>
      <c r="AZ127" s="21"/>
      <c r="BA127" s="21"/>
      <c r="BB127" s="69">
        <v>0</v>
      </c>
      <c r="BC127" s="21"/>
      <c r="BD127" s="21"/>
      <c r="BE127" s="21"/>
      <c r="BF127" s="21"/>
      <c r="BG127" s="69">
        <v>0</v>
      </c>
      <c r="BH127" s="21"/>
      <c r="BI127" s="69">
        <v>0</v>
      </c>
      <c r="BJ127" s="21"/>
      <c r="BK127" s="69">
        <v>0</v>
      </c>
      <c r="BL127" s="69">
        <v>0</v>
      </c>
      <c r="BM127" s="21"/>
      <c r="BN127" s="21">
        <v>6.2366193485062835</v>
      </c>
      <c r="BO127" s="69">
        <v>0</v>
      </c>
      <c r="BP127" s="21"/>
      <c r="BQ127" s="21"/>
      <c r="BR127" s="21"/>
      <c r="BS127" s="21"/>
      <c r="BT127" s="21"/>
      <c r="BU127" s="21"/>
      <c r="BV127" s="69">
        <v>0</v>
      </c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69">
        <v>0</v>
      </c>
      <c r="DH127" s="21"/>
      <c r="DI127" s="21"/>
      <c r="DJ127" s="69">
        <v>0</v>
      </c>
      <c r="DK127" s="21"/>
      <c r="DL127" s="21"/>
      <c r="DM127" s="69">
        <v>0</v>
      </c>
      <c r="DN127" s="21"/>
      <c r="DO127" s="21"/>
      <c r="DP127" s="21"/>
      <c r="DQ127" s="21"/>
      <c r="DR127" s="21"/>
      <c r="DS127" s="21"/>
      <c r="DT127" s="21"/>
      <c r="DU127" s="21"/>
      <c r="DV127" s="21"/>
      <c r="DW127" s="69">
        <v>0</v>
      </c>
      <c r="DX127" s="21"/>
      <c r="DY127" s="21"/>
      <c r="DZ127" s="21"/>
      <c r="EA127" s="21"/>
      <c r="EB127" s="21"/>
      <c r="EC127" s="21"/>
      <c r="ED127" s="21"/>
      <c r="EE127" s="21"/>
      <c r="EF127" s="21"/>
      <c r="EG127" s="69">
        <v>0</v>
      </c>
      <c r="EH127" s="21"/>
      <c r="EI127" s="21"/>
      <c r="EJ127" s="21"/>
      <c r="EK127" s="21"/>
      <c r="EL127" s="69">
        <v>0</v>
      </c>
      <c r="EM127" s="21"/>
      <c r="EN127" s="69">
        <v>0</v>
      </c>
      <c r="EO127" s="21"/>
      <c r="EP127" s="69">
        <v>0</v>
      </c>
      <c r="EQ127" s="69">
        <v>0</v>
      </c>
      <c r="ER127" s="21"/>
      <c r="ES127" s="21"/>
      <c r="ET127" s="69">
        <v>0</v>
      </c>
      <c r="EU127" s="21"/>
      <c r="EV127" s="21"/>
      <c r="EW127" s="21"/>
      <c r="EX127" s="21"/>
      <c r="EY127" s="21"/>
      <c r="EZ127" s="21"/>
      <c r="FA127" s="69">
        <v>0</v>
      </c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>
        <v>3.7524213682186875</v>
      </c>
      <c r="GE127" s="21">
        <v>6.4542843765833702</v>
      </c>
      <c r="GF127" s="21">
        <v>9.7099847410791202</v>
      </c>
      <c r="GG127" s="21">
        <v>13.778790387003919</v>
      </c>
      <c r="GH127" s="21">
        <v>16.194102834644923</v>
      </c>
      <c r="GI127" s="21">
        <v>0.40932699383877147</v>
      </c>
      <c r="GJ127" s="21">
        <v>0.57313196311184922</v>
      </c>
      <c r="GK127" s="21">
        <v>1.0116500160538036</v>
      </c>
      <c r="GL127" s="21">
        <v>1.6427012564108707</v>
      </c>
      <c r="GM127" s="21">
        <v>7.2107320875995002</v>
      </c>
      <c r="GN127" s="21">
        <v>0.37408193718352889</v>
      </c>
      <c r="GO127" s="21">
        <v>0.55341876987815231</v>
      </c>
      <c r="GP127" s="21">
        <v>0.8593039426844058</v>
      </c>
      <c r="GQ127" s="21">
        <v>2.09641693023999</v>
      </c>
      <c r="GR127" s="21">
        <v>13.124564293012753</v>
      </c>
      <c r="GS127" s="21"/>
      <c r="GT127" s="21"/>
      <c r="GU127" s="21"/>
      <c r="GV127" s="21"/>
      <c r="GW127" s="21"/>
      <c r="GX127" s="21">
        <v>0</v>
      </c>
      <c r="GY127" s="21">
        <v>0</v>
      </c>
      <c r="GZ127" s="21">
        <v>-1.4786752244488364</v>
      </c>
      <c r="HA127" s="21">
        <v>24.607155334923192</v>
      </c>
      <c r="HB127" s="21">
        <f t="shared" si="1"/>
        <v>116.13825048346399</v>
      </c>
    </row>
    <row r="128" spans="1:210" x14ac:dyDescent="0.75">
      <c r="A128" s="67" t="s">
        <v>522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69">
        <v>0</v>
      </c>
      <c r="AD128" s="21"/>
      <c r="AE128" s="21"/>
      <c r="AF128" s="69">
        <v>0</v>
      </c>
      <c r="AG128" s="21"/>
      <c r="AH128" s="21"/>
      <c r="AI128" s="69">
        <v>0</v>
      </c>
      <c r="AJ128" s="21"/>
      <c r="AK128" s="21"/>
      <c r="AL128" s="21"/>
      <c r="AM128" s="21"/>
      <c r="AN128" s="21"/>
      <c r="AO128" s="21"/>
      <c r="AP128" s="21"/>
      <c r="AQ128" s="21"/>
      <c r="AR128" s="69">
        <v>0</v>
      </c>
      <c r="AS128" s="21"/>
      <c r="AT128" s="21"/>
      <c r="AU128" s="21"/>
      <c r="AV128" s="21"/>
      <c r="AW128" s="21"/>
      <c r="AX128" s="21"/>
      <c r="AY128" s="21"/>
      <c r="AZ128" s="21"/>
      <c r="BA128" s="21"/>
      <c r="BB128" s="69">
        <v>0</v>
      </c>
      <c r="BC128" s="21"/>
      <c r="BD128" s="21"/>
      <c r="BE128" s="21"/>
      <c r="BF128" s="21"/>
      <c r="BG128" s="69">
        <v>0</v>
      </c>
      <c r="BH128" s="21"/>
      <c r="BI128" s="69">
        <v>0</v>
      </c>
      <c r="BJ128" s="21"/>
      <c r="BK128" s="69">
        <v>0</v>
      </c>
      <c r="BL128" s="69">
        <v>0</v>
      </c>
      <c r="BM128" s="21"/>
      <c r="BN128" s="21">
        <v>2.117163115676314</v>
      </c>
      <c r="BO128" s="69">
        <v>0</v>
      </c>
      <c r="BP128" s="21"/>
      <c r="BQ128" s="21"/>
      <c r="BR128" s="21"/>
      <c r="BS128" s="21"/>
      <c r="BT128" s="21"/>
      <c r="BU128" s="21"/>
      <c r="BV128" s="69">
        <v>0</v>
      </c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69">
        <v>0</v>
      </c>
      <c r="DH128" s="21"/>
      <c r="DI128" s="21"/>
      <c r="DJ128" s="69">
        <v>0</v>
      </c>
      <c r="DK128" s="21"/>
      <c r="DL128" s="21"/>
      <c r="DM128" s="69">
        <v>0</v>
      </c>
      <c r="DN128" s="21"/>
      <c r="DO128" s="21"/>
      <c r="DP128" s="21"/>
      <c r="DQ128" s="21"/>
      <c r="DR128" s="21"/>
      <c r="DS128" s="21"/>
      <c r="DT128" s="21"/>
      <c r="DU128" s="21"/>
      <c r="DV128" s="21"/>
      <c r="DW128" s="69">
        <v>0</v>
      </c>
      <c r="DX128" s="21"/>
      <c r="DY128" s="21"/>
      <c r="DZ128" s="21"/>
      <c r="EA128" s="21"/>
      <c r="EB128" s="21"/>
      <c r="EC128" s="21"/>
      <c r="ED128" s="21"/>
      <c r="EE128" s="21"/>
      <c r="EF128" s="21"/>
      <c r="EG128" s="69">
        <v>0</v>
      </c>
      <c r="EH128" s="21"/>
      <c r="EI128" s="21"/>
      <c r="EJ128" s="21"/>
      <c r="EK128" s="21"/>
      <c r="EL128" s="69">
        <v>0</v>
      </c>
      <c r="EM128" s="21"/>
      <c r="EN128" s="69">
        <v>0</v>
      </c>
      <c r="EO128" s="21"/>
      <c r="EP128" s="69">
        <v>0</v>
      </c>
      <c r="EQ128" s="69">
        <v>0</v>
      </c>
      <c r="ER128" s="21"/>
      <c r="ES128" s="21"/>
      <c r="ET128" s="69">
        <v>0</v>
      </c>
      <c r="EU128" s="21"/>
      <c r="EV128" s="21"/>
      <c r="EW128" s="21"/>
      <c r="EX128" s="21"/>
      <c r="EY128" s="21"/>
      <c r="EZ128" s="21"/>
      <c r="FA128" s="69">
        <v>0</v>
      </c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>
        <v>0.21503103216560332</v>
      </c>
      <c r="GE128" s="21">
        <v>0.45184761446299604</v>
      </c>
      <c r="GF128" s="21">
        <v>1.0719996230360451</v>
      </c>
      <c r="GG128" s="21">
        <v>1.7281144392391006</v>
      </c>
      <c r="GH128" s="21">
        <v>2.826947727932819</v>
      </c>
      <c r="GI128" s="21">
        <v>2.4390078739314732E-3</v>
      </c>
      <c r="GJ128" s="21">
        <v>3.9563624467142781E-2</v>
      </c>
      <c r="GK128" s="21">
        <v>7.0893701947121621E-2</v>
      </c>
      <c r="GL128" s="21">
        <v>0.1321480906082457</v>
      </c>
      <c r="GM128" s="21">
        <v>1.4389482644866203</v>
      </c>
      <c r="GN128" s="21">
        <v>7.7012438766211298E-3</v>
      </c>
      <c r="GO128" s="21">
        <v>1.0826449353980128E-2</v>
      </c>
      <c r="GP128" s="21">
        <v>4.8057893290695652E-2</v>
      </c>
      <c r="GQ128" s="21">
        <v>0.15281214398173593</v>
      </c>
      <c r="GR128" s="21">
        <v>3.1537689343960404</v>
      </c>
      <c r="GS128" s="21"/>
      <c r="GT128" s="21"/>
      <c r="GU128" s="21"/>
      <c r="GV128" s="21"/>
      <c r="GW128" s="21"/>
      <c r="GX128" s="21">
        <v>0</v>
      </c>
      <c r="GY128" s="21">
        <v>0</v>
      </c>
      <c r="GZ128" s="21">
        <v>-0.34975183164088058</v>
      </c>
      <c r="HA128" s="21">
        <v>5.7021032216883407</v>
      </c>
      <c r="HB128" s="21">
        <f t="shared" si="1"/>
        <v>18.820614296842475</v>
      </c>
    </row>
    <row r="129" spans="1:210" x14ac:dyDescent="0.75">
      <c r="A129" s="67" t="s">
        <v>527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69">
        <v>0</v>
      </c>
      <c r="AD129" s="21"/>
      <c r="AE129" s="21"/>
      <c r="AF129" s="69">
        <v>0</v>
      </c>
      <c r="AG129" s="21"/>
      <c r="AH129" s="21"/>
      <c r="AI129" s="69">
        <v>0</v>
      </c>
      <c r="AJ129" s="21"/>
      <c r="AK129" s="21"/>
      <c r="AL129" s="21"/>
      <c r="AM129" s="21"/>
      <c r="AN129" s="21">
        <v>23.892441309805015</v>
      </c>
      <c r="AO129" s="21">
        <v>26.336266828651993</v>
      </c>
      <c r="AP129" s="21"/>
      <c r="AQ129" s="21"/>
      <c r="AR129" s="69">
        <v>0.59995173405219748</v>
      </c>
      <c r="AS129" s="21"/>
      <c r="AT129" s="21"/>
      <c r="AU129" s="21"/>
      <c r="AV129" s="21"/>
      <c r="AW129" s="21"/>
      <c r="AX129" s="21"/>
      <c r="AY129" s="21"/>
      <c r="AZ129" s="21"/>
      <c r="BA129" s="21"/>
      <c r="BB129" s="69">
        <v>0</v>
      </c>
      <c r="BC129" s="21"/>
      <c r="BD129" s="21"/>
      <c r="BE129" s="21"/>
      <c r="BF129" s="21"/>
      <c r="BG129" s="69">
        <v>0</v>
      </c>
      <c r="BH129" s="21"/>
      <c r="BI129" s="69">
        <v>0</v>
      </c>
      <c r="BJ129" s="21"/>
      <c r="BK129" s="69">
        <v>0.45136216784863303</v>
      </c>
      <c r="BL129" s="69">
        <v>0</v>
      </c>
      <c r="BM129" s="21"/>
      <c r="BN129" s="21">
        <v>7.3609888817334896</v>
      </c>
      <c r="BO129" s="69">
        <v>0</v>
      </c>
      <c r="BP129" s="21"/>
      <c r="BQ129" s="21"/>
      <c r="BR129" s="21"/>
      <c r="BS129" s="21"/>
      <c r="BT129" s="21"/>
      <c r="BU129" s="21"/>
      <c r="BV129" s="69">
        <v>0</v>
      </c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69">
        <v>0</v>
      </c>
      <c r="DH129" s="21"/>
      <c r="DI129" s="21"/>
      <c r="DJ129" s="69">
        <v>0</v>
      </c>
      <c r="DK129" s="21"/>
      <c r="DL129" s="21"/>
      <c r="DM129" s="69">
        <v>0</v>
      </c>
      <c r="DN129" s="21"/>
      <c r="DO129" s="21"/>
      <c r="DP129" s="21"/>
      <c r="DQ129" s="21"/>
      <c r="DR129" s="21"/>
      <c r="DS129" s="21"/>
      <c r="DT129" s="21"/>
      <c r="DU129" s="21"/>
      <c r="DV129" s="21"/>
      <c r="DW129" s="69">
        <v>0</v>
      </c>
      <c r="DX129" s="21"/>
      <c r="DY129" s="21"/>
      <c r="DZ129" s="21"/>
      <c r="EA129" s="21"/>
      <c r="EB129" s="21"/>
      <c r="EC129" s="21"/>
      <c r="ED129" s="21"/>
      <c r="EE129" s="21"/>
      <c r="EF129" s="21"/>
      <c r="EG129" s="69">
        <v>0</v>
      </c>
      <c r="EH129" s="21"/>
      <c r="EI129" s="21"/>
      <c r="EJ129" s="21"/>
      <c r="EK129" s="21"/>
      <c r="EL129" s="69">
        <v>0</v>
      </c>
      <c r="EM129" s="21"/>
      <c r="EN129" s="69">
        <v>0</v>
      </c>
      <c r="EO129" s="21"/>
      <c r="EP129" s="69">
        <v>0</v>
      </c>
      <c r="EQ129" s="69">
        <v>0</v>
      </c>
      <c r="ER129" s="21"/>
      <c r="ES129" s="21"/>
      <c r="ET129" s="69">
        <v>0</v>
      </c>
      <c r="EU129" s="21"/>
      <c r="EV129" s="21"/>
      <c r="EW129" s="21"/>
      <c r="EX129" s="21"/>
      <c r="EY129" s="21"/>
      <c r="EZ129" s="21"/>
      <c r="FA129" s="69">
        <v>0</v>
      </c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>
        <v>17.652364230232212</v>
      </c>
      <c r="GE129" s="21">
        <v>27.656258765121116</v>
      </c>
      <c r="GF129" s="21">
        <v>36.471837556035418</v>
      </c>
      <c r="GG129" s="21">
        <v>50.814424679928159</v>
      </c>
      <c r="GH129" s="21">
        <v>63.333019934541149</v>
      </c>
      <c r="GI129" s="21">
        <v>1.6687491452698189</v>
      </c>
      <c r="GJ129" s="21">
        <v>2.5781283993503101</v>
      </c>
      <c r="GK129" s="21">
        <v>3.599562909596651</v>
      </c>
      <c r="GL129" s="21">
        <v>6.3500904240280169</v>
      </c>
      <c r="GM129" s="21">
        <v>27.288059548530061</v>
      </c>
      <c r="GN129" s="21">
        <v>1.9132578552218682</v>
      </c>
      <c r="GO129" s="21">
        <v>2.6227437918689747</v>
      </c>
      <c r="GP129" s="21">
        <v>4.3643963068590121</v>
      </c>
      <c r="GQ129" s="21">
        <v>10.351030425102115</v>
      </c>
      <c r="GR129" s="21">
        <v>53.78226657273639</v>
      </c>
      <c r="GS129" s="21"/>
      <c r="GT129" s="21"/>
      <c r="GU129" s="21"/>
      <c r="GV129" s="21"/>
      <c r="GW129" s="21"/>
      <c r="GX129" s="21">
        <v>0</v>
      </c>
      <c r="GY129" s="21">
        <v>0</v>
      </c>
      <c r="GZ129" s="21">
        <v>6.0724157173555628</v>
      </c>
      <c r="HA129" s="21">
        <v>42.622653534242986</v>
      </c>
      <c r="HB129" s="21">
        <f t="shared" si="1"/>
        <v>417.78227071811108</v>
      </c>
    </row>
    <row r="130" spans="1:210" x14ac:dyDescent="0.75">
      <c r="A130" s="67" t="s">
        <v>730</v>
      </c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69">
        <v>0</v>
      </c>
      <c r="AD130" s="21"/>
      <c r="AE130" s="21"/>
      <c r="AF130" s="69">
        <v>0</v>
      </c>
      <c r="AG130" s="21"/>
      <c r="AH130" s="21"/>
      <c r="AI130" s="69">
        <v>0</v>
      </c>
      <c r="AJ130" s="21"/>
      <c r="AK130" s="21"/>
      <c r="AL130" s="21"/>
      <c r="AM130" s="21"/>
      <c r="AN130" s="21"/>
      <c r="AO130" s="21"/>
      <c r="AP130" s="21"/>
      <c r="AQ130" s="21"/>
      <c r="AR130" s="69">
        <v>0</v>
      </c>
      <c r="AS130" s="21"/>
      <c r="AT130" s="21"/>
      <c r="AU130" s="21"/>
      <c r="AV130" s="21"/>
      <c r="AW130" s="21"/>
      <c r="AX130" s="21"/>
      <c r="AY130" s="21"/>
      <c r="AZ130" s="21"/>
      <c r="BA130" s="21"/>
      <c r="BB130" s="69">
        <v>0</v>
      </c>
      <c r="BC130" s="21"/>
      <c r="BD130" s="21"/>
      <c r="BE130" s="21"/>
      <c r="BF130" s="21"/>
      <c r="BG130" s="69">
        <v>0</v>
      </c>
      <c r="BH130" s="21"/>
      <c r="BI130" s="69">
        <v>0</v>
      </c>
      <c r="BJ130" s="21"/>
      <c r="BK130" s="69">
        <v>0</v>
      </c>
      <c r="BL130" s="69">
        <v>0</v>
      </c>
      <c r="BM130" s="21"/>
      <c r="BN130" s="21">
        <v>6.9822862889453896</v>
      </c>
      <c r="BO130" s="69">
        <v>0</v>
      </c>
      <c r="BP130" s="21"/>
      <c r="BQ130" s="21"/>
      <c r="BR130" s="21"/>
      <c r="BS130" s="21"/>
      <c r="BT130" s="21"/>
      <c r="BU130" s="21"/>
      <c r="BV130" s="69">
        <v>0</v>
      </c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69">
        <v>0</v>
      </c>
      <c r="DH130" s="21"/>
      <c r="DI130" s="21"/>
      <c r="DJ130" s="69">
        <v>0</v>
      </c>
      <c r="DK130" s="21"/>
      <c r="DL130" s="21"/>
      <c r="DM130" s="69">
        <v>0</v>
      </c>
      <c r="DN130" s="21"/>
      <c r="DO130" s="21"/>
      <c r="DP130" s="21"/>
      <c r="DQ130" s="21"/>
      <c r="DR130" s="21"/>
      <c r="DS130" s="21"/>
      <c r="DT130" s="21"/>
      <c r="DU130" s="21"/>
      <c r="DV130" s="21"/>
      <c r="DW130" s="69">
        <v>0</v>
      </c>
      <c r="DX130" s="21"/>
      <c r="DY130" s="21"/>
      <c r="DZ130" s="21"/>
      <c r="EA130" s="21"/>
      <c r="EB130" s="21"/>
      <c r="EC130" s="21"/>
      <c r="ED130" s="21"/>
      <c r="EE130" s="21"/>
      <c r="EF130" s="21"/>
      <c r="EG130" s="69">
        <v>0</v>
      </c>
      <c r="EH130" s="21"/>
      <c r="EI130" s="21"/>
      <c r="EJ130" s="21"/>
      <c r="EK130" s="21"/>
      <c r="EL130" s="69">
        <v>0</v>
      </c>
      <c r="EM130" s="21"/>
      <c r="EN130" s="69">
        <v>0</v>
      </c>
      <c r="EO130" s="21"/>
      <c r="EP130" s="69">
        <v>0</v>
      </c>
      <c r="EQ130" s="69">
        <v>0</v>
      </c>
      <c r="ER130" s="21"/>
      <c r="ES130" s="21"/>
      <c r="ET130" s="69">
        <v>0</v>
      </c>
      <c r="EU130" s="21"/>
      <c r="EV130" s="21"/>
      <c r="EW130" s="21"/>
      <c r="EX130" s="21"/>
      <c r="EY130" s="21"/>
      <c r="EZ130" s="21"/>
      <c r="FA130" s="69">
        <v>0</v>
      </c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>
        <v>2.0756192146845369</v>
      </c>
      <c r="GE130" s="21">
        <v>4.0999423917297557</v>
      </c>
      <c r="GF130" s="21">
        <v>6.6925482864596395</v>
      </c>
      <c r="GG130" s="21">
        <v>10.289061806483893</v>
      </c>
      <c r="GH130" s="21">
        <v>13.950928574165831</v>
      </c>
      <c r="GI130" s="21">
        <v>0.1338035248029078</v>
      </c>
      <c r="GJ130" s="21">
        <v>0.28135808276666224</v>
      </c>
      <c r="GK130" s="21">
        <v>0.5314923353668709</v>
      </c>
      <c r="GL130" s="21">
        <v>1.0988869124231835</v>
      </c>
      <c r="GM130" s="21">
        <v>8.1231725279774398</v>
      </c>
      <c r="GN130" s="21">
        <v>0.16510853076747825</v>
      </c>
      <c r="GO130" s="21">
        <v>0.22848350283817701</v>
      </c>
      <c r="GP130" s="21">
        <v>0.56669242073856807</v>
      </c>
      <c r="GQ130" s="21">
        <v>1.4447670877867138</v>
      </c>
      <c r="GR130" s="21">
        <v>20.277052479868278</v>
      </c>
      <c r="GS130" s="21"/>
      <c r="GT130" s="21"/>
      <c r="GU130" s="21"/>
      <c r="GV130" s="21"/>
      <c r="GW130" s="21"/>
      <c r="GX130" s="21">
        <v>0</v>
      </c>
      <c r="GY130" s="21">
        <v>0</v>
      </c>
      <c r="GZ130" s="21">
        <v>8.1439381118801488E-2</v>
      </c>
      <c r="HA130" s="21">
        <v>3.3517726792969658</v>
      </c>
      <c r="HB130" s="21">
        <f t="shared" si="1"/>
        <v>80.374416028221091</v>
      </c>
    </row>
    <row r="131" spans="1:210" x14ac:dyDescent="0.75">
      <c r="A131" s="67" t="s">
        <v>531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>
        <v>4.4822088330798593</v>
      </c>
      <c r="AA131" s="21">
        <v>2.5362718964172606</v>
      </c>
      <c r="AB131" s="21">
        <v>0.71869588776029281</v>
      </c>
      <c r="AC131" s="69">
        <v>0.19319558070739881</v>
      </c>
      <c r="AD131" s="21">
        <v>0.53160389375039507</v>
      </c>
      <c r="AE131" s="21">
        <v>0.23061269701315976</v>
      </c>
      <c r="AF131" s="69">
        <v>0</v>
      </c>
      <c r="AG131" s="21">
        <v>0.97626606927441661</v>
      </c>
      <c r="AH131" s="21"/>
      <c r="AI131" s="69">
        <v>0</v>
      </c>
      <c r="AJ131" s="21"/>
      <c r="AK131" s="21"/>
      <c r="AL131" s="21"/>
      <c r="AM131" s="21"/>
      <c r="AN131" s="21"/>
      <c r="AO131" s="21"/>
      <c r="AP131" s="21"/>
      <c r="AQ131" s="21"/>
      <c r="AR131" s="69">
        <v>0</v>
      </c>
      <c r="AS131" s="21"/>
      <c r="AT131" s="21"/>
      <c r="AU131" s="21"/>
      <c r="AV131" s="21"/>
      <c r="AW131" s="21"/>
      <c r="AX131" s="21"/>
      <c r="AY131" s="21"/>
      <c r="AZ131" s="21"/>
      <c r="BA131" s="21"/>
      <c r="BB131" s="69">
        <v>0</v>
      </c>
      <c r="BC131" s="21"/>
      <c r="BD131" s="21"/>
      <c r="BE131" s="21"/>
      <c r="BF131" s="21"/>
      <c r="BG131" s="69">
        <v>0</v>
      </c>
      <c r="BH131" s="21"/>
      <c r="BI131" s="69">
        <v>0</v>
      </c>
      <c r="BJ131" s="21"/>
      <c r="BK131" s="69">
        <v>0</v>
      </c>
      <c r="BL131" s="69">
        <v>0</v>
      </c>
      <c r="BM131" s="21"/>
      <c r="BN131" s="21"/>
      <c r="BO131" s="69">
        <v>0</v>
      </c>
      <c r="BP131" s="21"/>
      <c r="BQ131" s="21"/>
      <c r="BR131" s="21"/>
      <c r="BS131" s="21"/>
      <c r="BT131" s="21"/>
      <c r="BU131" s="21"/>
      <c r="BV131" s="69">
        <v>0</v>
      </c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69">
        <v>0</v>
      </c>
      <c r="DH131" s="21"/>
      <c r="DI131" s="21"/>
      <c r="DJ131" s="69">
        <v>0</v>
      </c>
      <c r="DK131" s="21"/>
      <c r="DL131" s="21"/>
      <c r="DM131" s="69">
        <v>0</v>
      </c>
      <c r="DN131" s="21"/>
      <c r="DO131" s="21"/>
      <c r="DP131" s="21"/>
      <c r="DQ131" s="21"/>
      <c r="DR131" s="21"/>
      <c r="DS131" s="21"/>
      <c r="DT131" s="21"/>
      <c r="DU131" s="21"/>
      <c r="DV131" s="21"/>
      <c r="DW131" s="69">
        <v>0</v>
      </c>
      <c r="DX131" s="21"/>
      <c r="DY131" s="21"/>
      <c r="DZ131" s="21"/>
      <c r="EA131" s="21"/>
      <c r="EB131" s="21"/>
      <c r="EC131" s="21"/>
      <c r="ED131" s="21"/>
      <c r="EE131" s="21"/>
      <c r="EF131" s="21"/>
      <c r="EG131" s="69">
        <v>0</v>
      </c>
      <c r="EH131" s="21"/>
      <c r="EI131" s="21"/>
      <c r="EJ131" s="21"/>
      <c r="EK131" s="21"/>
      <c r="EL131" s="69">
        <v>0</v>
      </c>
      <c r="EM131" s="21"/>
      <c r="EN131" s="69">
        <v>0</v>
      </c>
      <c r="EO131" s="21"/>
      <c r="EP131" s="69">
        <v>0</v>
      </c>
      <c r="EQ131" s="69">
        <v>0</v>
      </c>
      <c r="ER131" s="21"/>
      <c r="ES131" s="21"/>
      <c r="ET131" s="69">
        <v>0</v>
      </c>
      <c r="EU131" s="21"/>
      <c r="EV131" s="21"/>
      <c r="EW131" s="21"/>
      <c r="EX131" s="21"/>
      <c r="EY131" s="21"/>
      <c r="EZ131" s="21"/>
      <c r="FA131" s="69">
        <v>0</v>
      </c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>
        <v>0</v>
      </c>
      <c r="GY131" s="21">
        <v>0</v>
      </c>
      <c r="GZ131" s="21">
        <v>-3.0359018234370132E-13</v>
      </c>
      <c r="HA131" s="21"/>
      <c r="HB131" s="21">
        <f t="shared" si="1"/>
        <v>9.6688548580024793</v>
      </c>
    </row>
    <row r="132" spans="1:210" x14ac:dyDescent="0.75">
      <c r="A132" s="67" t="s">
        <v>61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69">
        <v>0</v>
      </c>
      <c r="AD132" s="21"/>
      <c r="AE132" s="21"/>
      <c r="AF132" s="69">
        <v>0</v>
      </c>
      <c r="AG132" s="21"/>
      <c r="AH132" s="21"/>
      <c r="AI132" s="69">
        <v>0</v>
      </c>
      <c r="AJ132" s="21"/>
      <c r="AK132" s="21">
        <v>0.12492978252552688</v>
      </c>
      <c r="AL132" s="21"/>
      <c r="AM132" s="21">
        <v>5.5120047117952028E-2</v>
      </c>
      <c r="AN132" s="21"/>
      <c r="AO132" s="21">
        <v>4.0179514513619061</v>
      </c>
      <c r="AP132" s="21"/>
      <c r="AQ132" s="21">
        <v>1.3474967234377073</v>
      </c>
      <c r="AR132" s="69">
        <v>15.877826384017631</v>
      </c>
      <c r="AS132" s="21"/>
      <c r="AT132" s="21"/>
      <c r="AU132" s="21"/>
      <c r="AV132" s="21"/>
      <c r="AW132" s="21"/>
      <c r="AX132" s="21"/>
      <c r="AY132" s="21"/>
      <c r="AZ132" s="21"/>
      <c r="BA132" s="21"/>
      <c r="BB132" s="69">
        <v>0</v>
      </c>
      <c r="BC132" s="21"/>
      <c r="BD132" s="21"/>
      <c r="BE132" s="21"/>
      <c r="BF132" s="21"/>
      <c r="BG132" s="69">
        <v>7.0407926335845847E-3</v>
      </c>
      <c r="BH132" s="21"/>
      <c r="BI132" s="69">
        <v>0</v>
      </c>
      <c r="BJ132" s="21">
        <v>9.9290784923712655E-2</v>
      </c>
      <c r="BK132" s="69">
        <v>0.39337763955822314</v>
      </c>
      <c r="BL132" s="69">
        <v>0</v>
      </c>
      <c r="BM132" s="21"/>
      <c r="BN132" s="21">
        <v>20.675471822727403</v>
      </c>
      <c r="BO132" s="69">
        <v>0</v>
      </c>
      <c r="BP132" s="21"/>
      <c r="BQ132" s="21"/>
      <c r="BR132" s="21"/>
      <c r="BS132" s="21"/>
      <c r="BT132" s="21"/>
      <c r="BU132" s="21"/>
      <c r="BV132" s="69">
        <v>0</v>
      </c>
      <c r="BW132" s="21"/>
      <c r="BX132" s="21"/>
      <c r="BY132" s="21"/>
      <c r="BZ132" s="21"/>
      <c r="CA132" s="21"/>
      <c r="CB132" s="21"/>
      <c r="CC132" s="21">
        <v>0.24294557914250445</v>
      </c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69">
        <v>0</v>
      </c>
      <c r="DH132" s="21"/>
      <c r="DI132" s="21"/>
      <c r="DJ132" s="69">
        <v>0</v>
      </c>
      <c r="DK132" s="21"/>
      <c r="DL132" s="21"/>
      <c r="DM132" s="69">
        <v>0</v>
      </c>
      <c r="DN132" s="21"/>
      <c r="DO132" s="21"/>
      <c r="DP132" s="21"/>
      <c r="DQ132" s="21"/>
      <c r="DR132" s="21"/>
      <c r="DS132" s="21"/>
      <c r="DT132" s="21"/>
      <c r="DU132" s="21"/>
      <c r="DV132" s="21"/>
      <c r="DW132" s="69">
        <v>0</v>
      </c>
      <c r="DX132" s="21"/>
      <c r="DY132" s="21"/>
      <c r="DZ132" s="21"/>
      <c r="EA132" s="21"/>
      <c r="EB132" s="21"/>
      <c r="EC132" s="21"/>
      <c r="ED132" s="21"/>
      <c r="EE132" s="21"/>
      <c r="EF132" s="21"/>
      <c r="EG132" s="69">
        <v>0</v>
      </c>
      <c r="EH132" s="21"/>
      <c r="EI132" s="21"/>
      <c r="EJ132" s="21"/>
      <c r="EK132" s="21"/>
      <c r="EL132" s="69">
        <v>0</v>
      </c>
      <c r="EM132" s="21"/>
      <c r="EN132" s="69">
        <v>0</v>
      </c>
      <c r="EO132" s="21"/>
      <c r="EP132" s="69">
        <v>0</v>
      </c>
      <c r="EQ132" s="69">
        <v>0</v>
      </c>
      <c r="ER132" s="21"/>
      <c r="ES132" s="21"/>
      <c r="ET132" s="69">
        <v>0</v>
      </c>
      <c r="EU132" s="21"/>
      <c r="EV132" s="21"/>
      <c r="EW132" s="21"/>
      <c r="EX132" s="21"/>
      <c r="EY132" s="21"/>
      <c r="EZ132" s="21"/>
      <c r="FA132" s="69">
        <v>0</v>
      </c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>
        <v>6.1417904120952977</v>
      </c>
      <c r="GE132" s="21">
        <v>9.5046251789781273</v>
      </c>
      <c r="GF132" s="21">
        <v>12.475321708659887</v>
      </c>
      <c r="GG132" s="21">
        <v>16.929778401893653</v>
      </c>
      <c r="GH132" s="21">
        <v>23.3578875960036</v>
      </c>
      <c r="GI132" s="21">
        <v>0.43077607550460295</v>
      </c>
      <c r="GJ132" s="21">
        <v>0.56980384970230091</v>
      </c>
      <c r="GK132" s="21">
        <v>0.94668546593879521</v>
      </c>
      <c r="GL132" s="21">
        <v>1.812433563909233</v>
      </c>
      <c r="GM132" s="21">
        <v>12.303422668614054</v>
      </c>
      <c r="GN132" s="21">
        <v>0.28379521320172885</v>
      </c>
      <c r="GO132" s="21">
        <v>0.4630317966671868</v>
      </c>
      <c r="GP132" s="21">
        <v>0.78033909319165295</v>
      </c>
      <c r="GQ132" s="21">
        <v>2.0653515185920792</v>
      </c>
      <c r="GR132" s="21">
        <v>27.889743887229411</v>
      </c>
      <c r="GS132" s="21"/>
      <c r="GT132" s="21"/>
      <c r="GU132" s="21"/>
      <c r="GV132" s="21"/>
      <c r="GW132" s="21"/>
      <c r="GX132" s="21">
        <v>0</v>
      </c>
      <c r="GY132" s="21">
        <v>0</v>
      </c>
      <c r="GZ132" s="21">
        <v>11.122014173171763</v>
      </c>
      <c r="HA132" s="21">
        <v>72.732345923902841</v>
      </c>
      <c r="HB132" s="21">
        <f t="shared" si="1"/>
        <v>242.65059753470237</v>
      </c>
    </row>
    <row r="133" spans="1:210" x14ac:dyDescent="0.75">
      <c r="A133" s="68" t="s">
        <v>335</v>
      </c>
      <c r="B133" s="69">
        <v>0</v>
      </c>
      <c r="C133" s="69">
        <v>0</v>
      </c>
      <c r="D133" s="69">
        <v>0</v>
      </c>
      <c r="E133" s="69">
        <v>0</v>
      </c>
      <c r="F133" s="69">
        <v>0</v>
      </c>
      <c r="G133" s="69">
        <v>0</v>
      </c>
      <c r="H133" s="69">
        <v>0</v>
      </c>
      <c r="I133" s="69">
        <v>0</v>
      </c>
      <c r="J133" s="69">
        <v>0</v>
      </c>
      <c r="K133" s="69">
        <v>0</v>
      </c>
      <c r="L133" s="69">
        <v>0</v>
      </c>
      <c r="M133" s="69">
        <v>0</v>
      </c>
      <c r="N133" s="69">
        <v>0</v>
      </c>
      <c r="O133" s="69">
        <v>0</v>
      </c>
      <c r="P133" s="69">
        <v>0</v>
      </c>
      <c r="Q133" s="69">
        <v>0</v>
      </c>
      <c r="R133" s="69">
        <v>0</v>
      </c>
      <c r="S133" s="69">
        <v>0</v>
      </c>
      <c r="T133" s="69">
        <v>0</v>
      </c>
      <c r="U133" s="69">
        <v>0</v>
      </c>
      <c r="V133" s="69">
        <v>0</v>
      </c>
      <c r="W133" s="69">
        <v>0</v>
      </c>
      <c r="X133" s="69">
        <v>0</v>
      </c>
      <c r="Y133" s="69">
        <v>0</v>
      </c>
      <c r="Z133" s="69">
        <v>0</v>
      </c>
      <c r="AA133" s="69">
        <v>0</v>
      </c>
      <c r="AB133" s="69">
        <v>0</v>
      </c>
      <c r="AC133" s="69">
        <v>0</v>
      </c>
      <c r="AD133" s="69">
        <v>0</v>
      </c>
      <c r="AE133" s="69">
        <v>0</v>
      </c>
      <c r="AF133" s="69">
        <v>0</v>
      </c>
      <c r="AG133" s="69">
        <v>0</v>
      </c>
      <c r="AH133" s="69">
        <v>0</v>
      </c>
      <c r="AI133" s="69">
        <v>0</v>
      </c>
      <c r="AJ133" s="69">
        <v>0</v>
      </c>
      <c r="AK133" s="69">
        <v>0</v>
      </c>
      <c r="AL133" s="69">
        <v>0</v>
      </c>
      <c r="AM133" s="69">
        <v>0</v>
      </c>
      <c r="AN133" s="69">
        <v>0</v>
      </c>
      <c r="AO133" s="69">
        <v>0</v>
      </c>
      <c r="AP133" s="69">
        <v>0</v>
      </c>
      <c r="AQ133" s="69">
        <v>0</v>
      </c>
      <c r="AR133" s="69">
        <v>0</v>
      </c>
      <c r="AS133" s="69">
        <v>0</v>
      </c>
      <c r="AT133" s="69">
        <v>0</v>
      </c>
      <c r="AU133" s="69">
        <v>0</v>
      </c>
      <c r="AV133" s="69">
        <v>0</v>
      </c>
      <c r="AW133" s="69">
        <v>0</v>
      </c>
      <c r="AX133" s="69">
        <v>0</v>
      </c>
      <c r="AY133" s="69">
        <v>0</v>
      </c>
      <c r="AZ133" s="69">
        <v>0</v>
      </c>
      <c r="BA133" s="69">
        <v>0</v>
      </c>
      <c r="BB133" s="69">
        <v>0</v>
      </c>
      <c r="BC133" s="69">
        <v>0</v>
      </c>
      <c r="BD133" s="69">
        <v>0</v>
      </c>
      <c r="BE133" s="69">
        <v>0</v>
      </c>
      <c r="BF133" s="69">
        <v>0</v>
      </c>
      <c r="BG133" s="69">
        <v>0</v>
      </c>
      <c r="BH133" s="69">
        <v>0</v>
      </c>
      <c r="BI133" s="69">
        <v>0</v>
      </c>
      <c r="BJ133" s="69">
        <v>0</v>
      </c>
      <c r="BK133" s="69">
        <v>0</v>
      </c>
      <c r="BL133" s="69">
        <v>0</v>
      </c>
      <c r="BM133" s="69">
        <v>0</v>
      </c>
      <c r="BN133" s="69">
        <v>157.86636714458126</v>
      </c>
      <c r="BO133" s="69">
        <v>0</v>
      </c>
      <c r="BP133" s="69">
        <v>0</v>
      </c>
      <c r="BQ133" s="69">
        <v>0</v>
      </c>
      <c r="BR133" s="69">
        <v>0</v>
      </c>
      <c r="BS133" s="69">
        <v>0</v>
      </c>
      <c r="BT133" s="69">
        <v>0</v>
      </c>
      <c r="BU133" s="69">
        <v>0</v>
      </c>
      <c r="BV133" s="69">
        <v>0</v>
      </c>
      <c r="BW133" s="69">
        <v>0</v>
      </c>
      <c r="BX133" s="69">
        <v>0</v>
      </c>
      <c r="BY133" s="69">
        <v>0</v>
      </c>
      <c r="BZ133" s="69">
        <v>0</v>
      </c>
      <c r="CA133" s="69">
        <v>0</v>
      </c>
      <c r="CB133" s="69">
        <v>0</v>
      </c>
      <c r="CC133" s="69">
        <v>0</v>
      </c>
      <c r="CD133" s="69">
        <v>0</v>
      </c>
      <c r="CE133" s="69">
        <v>0</v>
      </c>
      <c r="CF133" s="69">
        <v>0</v>
      </c>
      <c r="CG133" s="69">
        <v>0</v>
      </c>
      <c r="CH133" s="69">
        <v>0</v>
      </c>
      <c r="CI133" s="69">
        <v>0</v>
      </c>
      <c r="CJ133" s="69">
        <v>0</v>
      </c>
      <c r="CK133" s="69">
        <v>0</v>
      </c>
      <c r="CL133" s="69">
        <v>0</v>
      </c>
      <c r="CM133" s="69">
        <v>0</v>
      </c>
      <c r="CN133" s="69">
        <v>0</v>
      </c>
      <c r="CO133" s="69">
        <v>0</v>
      </c>
      <c r="CP133" s="69">
        <v>0</v>
      </c>
      <c r="CQ133" s="69">
        <v>0</v>
      </c>
      <c r="CR133" s="69">
        <v>0</v>
      </c>
      <c r="CS133" s="69">
        <v>0</v>
      </c>
      <c r="CT133" s="69">
        <v>0</v>
      </c>
      <c r="CU133" s="69">
        <v>0</v>
      </c>
      <c r="CV133" s="69">
        <v>0</v>
      </c>
      <c r="CW133" s="69">
        <v>0</v>
      </c>
      <c r="CX133" s="69">
        <v>0</v>
      </c>
      <c r="CY133" s="69">
        <v>0</v>
      </c>
      <c r="CZ133" s="69">
        <v>0</v>
      </c>
      <c r="DA133" s="69">
        <v>0</v>
      </c>
      <c r="DB133" s="69">
        <v>0</v>
      </c>
      <c r="DC133" s="69">
        <v>0</v>
      </c>
      <c r="DD133" s="69">
        <v>0</v>
      </c>
      <c r="DE133" s="69">
        <v>0</v>
      </c>
      <c r="DF133" s="69">
        <v>0</v>
      </c>
      <c r="DG133" s="69">
        <v>0</v>
      </c>
      <c r="DH133" s="69">
        <v>0</v>
      </c>
      <c r="DI133" s="69">
        <v>0</v>
      </c>
      <c r="DJ133" s="69">
        <v>0</v>
      </c>
      <c r="DK133" s="69">
        <v>0</v>
      </c>
      <c r="DL133" s="69">
        <v>0</v>
      </c>
      <c r="DM133" s="69">
        <v>0</v>
      </c>
      <c r="DN133" s="69">
        <v>0</v>
      </c>
      <c r="DO133" s="69">
        <v>0</v>
      </c>
      <c r="DP133" s="69">
        <v>0</v>
      </c>
      <c r="DQ133" s="69">
        <v>0</v>
      </c>
      <c r="DR133" s="69">
        <v>0</v>
      </c>
      <c r="DS133" s="69">
        <v>0</v>
      </c>
      <c r="DT133" s="69">
        <v>0</v>
      </c>
      <c r="DU133" s="69">
        <v>0</v>
      </c>
      <c r="DV133" s="69">
        <v>0</v>
      </c>
      <c r="DW133" s="69">
        <v>0</v>
      </c>
      <c r="DX133" s="69">
        <v>0</v>
      </c>
      <c r="DY133" s="69">
        <v>0</v>
      </c>
      <c r="DZ133" s="69">
        <v>0</v>
      </c>
      <c r="EA133" s="69">
        <v>0</v>
      </c>
      <c r="EB133" s="69">
        <v>0</v>
      </c>
      <c r="EC133" s="69">
        <v>0</v>
      </c>
      <c r="ED133" s="69">
        <v>0</v>
      </c>
      <c r="EE133" s="69">
        <v>0</v>
      </c>
      <c r="EF133" s="69">
        <v>0</v>
      </c>
      <c r="EG133" s="69">
        <v>0</v>
      </c>
      <c r="EH133" s="69">
        <v>0</v>
      </c>
      <c r="EI133" s="69">
        <v>0</v>
      </c>
      <c r="EJ133" s="69">
        <v>0</v>
      </c>
      <c r="EK133" s="69">
        <v>0</v>
      </c>
      <c r="EL133" s="69">
        <v>0</v>
      </c>
      <c r="EM133" s="69">
        <v>0</v>
      </c>
      <c r="EN133" s="69">
        <v>0</v>
      </c>
      <c r="EO133" s="69">
        <v>0</v>
      </c>
      <c r="EP133" s="69">
        <v>0</v>
      </c>
      <c r="EQ133" s="69">
        <v>0</v>
      </c>
      <c r="ER133" s="69">
        <v>0</v>
      </c>
      <c r="ES133" s="69">
        <v>0</v>
      </c>
      <c r="ET133" s="69">
        <v>0</v>
      </c>
      <c r="EU133" s="69">
        <v>0</v>
      </c>
      <c r="EV133" s="69">
        <v>0</v>
      </c>
      <c r="EW133" s="69">
        <v>0</v>
      </c>
      <c r="EX133" s="69">
        <v>0</v>
      </c>
      <c r="EY133" s="69">
        <v>0</v>
      </c>
      <c r="EZ133" s="69">
        <v>0</v>
      </c>
      <c r="FA133" s="69">
        <v>0</v>
      </c>
      <c r="FB133" s="69">
        <v>0</v>
      </c>
      <c r="FC133" s="69">
        <v>0</v>
      </c>
      <c r="FD133" s="69">
        <v>0</v>
      </c>
      <c r="FE133" s="69">
        <v>0</v>
      </c>
      <c r="FF133" s="69">
        <v>0</v>
      </c>
      <c r="FG133" s="69">
        <v>0</v>
      </c>
      <c r="FH133" s="69">
        <v>0</v>
      </c>
      <c r="FI133" s="69">
        <v>0</v>
      </c>
      <c r="FJ133" s="69">
        <v>0</v>
      </c>
      <c r="FK133" s="69">
        <v>0</v>
      </c>
      <c r="FL133" s="69">
        <v>0</v>
      </c>
      <c r="FM133" s="69">
        <v>0</v>
      </c>
      <c r="FN133" s="69">
        <v>0</v>
      </c>
      <c r="FO133" s="69">
        <v>0</v>
      </c>
      <c r="FP133" s="69">
        <v>0</v>
      </c>
      <c r="FQ133" s="69">
        <v>0</v>
      </c>
      <c r="FR133" s="69">
        <v>0</v>
      </c>
      <c r="FS133" s="69">
        <v>0</v>
      </c>
      <c r="FT133" s="69">
        <v>0</v>
      </c>
      <c r="FU133" s="69">
        <v>0</v>
      </c>
      <c r="FV133" s="69">
        <v>0</v>
      </c>
      <c r="FW133" s="69">
        <v>0</v>
      </c>
      <c r="FX133" s="69">
        <v>0</v>
      </c>
      <c r="FY133" s="69">
        <v>0</v>
      </c>
      <c r="FZ133" s="69">
        <v>0</v>
      </c>
      <c r="GA133" s="69">
        <v>0</v>
      </c>
      <c r="GB133" s="69">
        <v>0</v>
      </c>
      <c r="GC133" s="69">
        <v>0</v>
      </c>
      <c r="GD133" s="69">
        <v>5.9384099196234983</v>
      </c>
      <c r="GE133" s="69">
        <v>11.19632568369452</v>
      </c>
      <c r="GF133" s="69">
        <v>15.843911702205824</v>
      </c>
      <c r="GG133" s="69">
        <v>33.62437340102499</v>
      </c>
      <c r="GH133" s="69">
        <v>54.920977277292891</v>
      </c>
      <c r="GI133" s="69">
        <v>0.4799209218721463</v>
      </c>
      <c r="GJ133" s="69">
        <v>1.2805768029972517</v>
      </c>
      <c r="GK133" s="69">
        <v>2.1354403555924923</v>
      </c>
      <c r="GL133" s="69">
        <v>9.526658493023044</v>
      </c>
      <c r="GM133" s="69">
        <v>59.082848456906305</v>
      </c>
      <c r="GN133" s="69">
        <v>0.15817458502239098</v>
      </c>
      <c r="GO133" s="69">
        <v>1.2901764512429499</v>
      </c>
      <c r="GP133" s="69">
        <v>0.59036475966513946</v>
      </c>
      <c r="GQ133" s="69">
        <v>1.6541168634105075</v>
      </c>
      <c r="GR133" s="69">
        <v>80.420341874387148</v>
      </c>
      <c r="GS133" s="69">
        <v>0</v>
      </c>
      <c r="GT133" s="69">
        <v>0</v>
      </c>
      <c r="GU133" s="69">
        <v>0</v>
      </c>
      <c r="GV133" s="69">
        <v>0</v>
      </c>
      <c r="GW133" s="69">
        <v>0</v>
      </c>
      <c r="GX133" s="21">
        <v>0</v>
      </c>
      <c r="GY133" s="21">
        <v>0</v>
      </c>
      <c r="GZ133" s="69">
        <v>0.42638170112771628</v>
      </c>
      <c r="HA133" s="69">
        <v>5.164187249606524</v>
      </c>
      <c r="HB133" s="21">
        <f t="shared" si="1"/>
        <v>441.59955364327641</v>
      </c>
    </row>
    <row r="134" spans="1:210" x14ac:dyDescent="0.75">
      <c r="A134" s="67" t="s">
        <v>532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69">
        <v>0</v>
      </c>
      <c r="AD134" s="21"/>
      <c r="AE134" s="21"/>
      <c r="AF134" s="69">
        <v>0</v>
      </c>
      <c r="AG134" s="21"/>
      <c r="AH134" s="21"/>
      <c r="AI134" s="69">
        <v>0</v>
      </c>
      <c r="AJ134" s="21"/>
      <c r="AK134" s="21"/>
      <c r="AL134" s="21"/>
      <c r="AM134" s="21"/>
      <c r="AN134" s="21"/>
      <c r="AO134" s="21"/>
      <c r="AP134" s="21"/>
      <c r="AQ134" s="21"/>
      <c r="AR134" s="69">
        <v>0</v>
      </c>
      <c r="AS134" s="21"/>
      <c r="AT134" s="21"/>
      <c r="AU134" s="21"/>
      <c r="AV134" s="21"/>
      <c r="AW134" s="21"/>
      <c r="AX134" s="21"/>
      <c r="AY134" s="21"/>
      <c r="AZ134" s="21"/>
      <c r="BA134" s="21"/>
      <c r="BB134" s="69">
        <v>0</v>
      </c>
      <c r="BC134" s="21"/>
      <c r="BD134" s="21"/>
      <c r="BE134" s="21"/>
      <c r="BF134" s="21"/>
      <c r="BG134" s="69">
        <v>0</v>
      </c>
      <c r="BH134" s="21"/>
      <c r="BI134" s="69">
        <v>0</v>
      </c>
      <c r="BJ134" s="21"/>
      <c r="BK134" s="69">
        <v>0</v>
      </c>
      <c r="BL134" s="69">
        <v>0</v>
      </c>
      <c r="BM134" s="21"/>
      <c r="BN134" s="21">
        <v>1.8111088234756345</v>
      </c>
      <c r="BO134" s="69">
        <v>0</v>
      </c>
      <c r="BP134" s="21"/>
      <c r="BQ134" s="21"/>
      <c r="BR134" s="21"/>
      <c r="BS134" s="21"/>
      <c r="BT134" s="21"/>
      <c r="BU134" s="21"/>
      <c r="BV134" s="69">
        <v>0</v>
      </c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69">
        <v>0</v>
      </c>
      <c r="DH134" s="21"/>
      <c r="DI134" s="21"/>
      <c r="DJ134" s="69">
        <v>0</v>
      </c>
      <c r="DK134" s="21"/>
      <c r="DL134" s="21"/>
      <c r="DM134" s="69">
        <v>0</v>
      </c>
      <c r="DN134" s="21"/>
      <c r="DO134" s="21"/>
      <c r="DP134" s="21"/>
      <c r="DQ134" s="21"/>
      <c r="DR134" s="21"/>
      <c r="DS134" s="21"/>
      <c r="DT134" s="21"/>
      <c r="DU134" s="21"/>
      <c r="DV134" s="21"/>
      <c r="DW134" s="69">
        <v>0</v>
      </c>
      <c r="DX134" s="21"/>
      <c r="DY134" s="21"/>
      <c r="DZ134" s="21"/>
      <c r="EA134" s="21"/>
      <c r="EB134" s="21"/>
      <c r="EC134" s="21"/>
      <c r="ED134" s="21"/>
      <c r="EE134" s="21"/>
      <c r="EF134" s="21"/>
      <c r="EG134" s="69">
        <v>0</v>
      </c>
      <c r="EH134" s="21"/>
      <c r="EI134" s="21"/>
      <c r="EJ134" s="21"/>
      <c r="EK134" s="21"/>
      <c r="EL134" s="69">
        <v>0</v>
      </c>
      <c r="EM134" s="21"/>
      <c r="EN134" s="69">
        <v>0</v>
      </c>
      <c r="EO134" s="21"/>
      <c r="EP134" s="69">
        <v>0</v>
      </c>
      <c r="EQ134" s="69">
        <v>0</v>
      </c>
      <c r="ER134" s="21"/>
      <c r="ES134" s="21"/>
      <c r="ET134" s="69">
        <v>0</v>
      </c>
      <c r="EU134" s="21"/>
      <c r="EV134" s="21"/>
      <c r="EW134" s="21"/>
      <c r="EX134" s="21"/>
      <c r="EY134" s="21"/>
      <c r="EZ134" s="21"/>
      <c r="FA134" s="69">
        <v>0</v>
      </c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>
        <v>0.55954405914689087</v>
      </c>
      <c r="GE134" s="21">
        <v>1.3539781950476795</v>
      </c>
      <c r="GF134" s="21">
        <v>1.6150343083212999</v>
      </c>
      <c r="GG134" s="21">
        <v>1.9979419975469914</v>
      </c>
      <c r="GH134" s="21">
        <v>1.7126446223912644</v>
      </c>
      <c r="GI134" s="21">
        <v>4.1371153283921318E-2</v>
      </c>
      <c r="GJ134" s="21">
        <v>0.1102472685982506</v>
      </c>
      <c r="GK134" s="21">
        <v>0.15502897056818138</v>
      </c>
      <c r="GL134" s="21">
        <v>9.3799210286085899E-2</v>
      </c>
      <c r="GM134" s="21">
        <v>0.59948684623736592</v>
      </c>
      <c r="GN134" s="21">
        <v>0.20959082912585408</v>
      </c>
      <c r="GO134" s="21">
        <v>0.40220230551712827</v>
      </c>
      <c r="GP134" s="21">
        <v>0.26514784882998554</v>
      </c>
      <c r="GQ134" s="21">
        <v>2.3088811464591652</v>
      </c>
      <c r="GR134" s="21">
        <v>2.1545483598401183</v>
      </c>
      <c r="GS134" s="21"/>
      <c r="GT134" s="21"/>
      <c r="GU134" s="21"/>
      <c r="GV134" s="21"/>
      <c r="GW134" s="21"/>
      <c r="GX134" s="21">
        <v>0</v>
      </c>
      <c r="GY134" s="21">
        <v>0</v>
      </c>
      <c r="GZ134" s="21">
        <v>0.67797458576784086</v>
      </c>
      <c r="HA134" s="21">
        <v>4.5621307915357422E-2</v>
      </c>
      <c r="HB134" s="21">
        <f t="shared" si="1"/>
        <v>16.114151838359014</v>
      </c>
    </row>
    <row r="135" spans="1:210" x14ac:dyDescent="0.75">
      <c r="A135" s="67" t="s">
        <v>336</v>
      </c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69">
        <v>0</v>
      </c>
      <c r="AD135" s="21"/>
      <c r="AE135" s="21"/>
      <c r="AF135" s="69">
        <v>0</v>
      </c>
      <c r="AG135" s="21"/>
      <c r="AH135" s="21"/>
      <c r="AI135" s="69">
        <v>0.21879675727401421</v>
      </c>
      <c r="AJ135" s="21"/>
      <c r="AK135" s="21"/>
      <c r="AL135" s="21"/>
      <c r="AM135" s="21"/>
      <c r="AN135" s="21"/>
      <c r="AO135" s="21"/>
      <c r="AP135" s="21"/>
      <c r="AQ135" s="21"/>
      <c r="AR135" s="69">
        <v>0</v>
      </c>
      <c r="AS135" s="21"/>
      <c r="AT135" s="21">
        <v>23.88044300775654</v>
      </c>
      <c r="AU135" s="21"/>
      <c r="AV135" s="21"/>
      <c r="AW135" s="21"/>
      <c r="AX135" s="21"/>
      <c r="AY135" s="21"/>
      <c r="AZ135" s="21"/>
      <c r="BA135" s="21"/>
      <c r="BB135" s="69">
        <v>0</v>
      </c>
      <c r="BC135" s="21"/>
      <c r="BD135" s="21"/>
      <c r="BE135" s="21"/>
      <c r="BF135" s="21">
        <v>4.9438644008165058</v>
      </c>
      <c r="BG135" s="69">
        <v>0</v>
      </c>
      <c r="BH135" s="21">
        <v>7.6106045064411446E-2</v>
      </c>
      <c r="BI135" s="69">
        <v>0</v>
      </c>
      <c r="BJ135" s="21">
        <v>14.332295661512561</v>
      </c>
      <c r="BK135" s="69">
        <v>7.6114699525177754</v>
      </c>
      <c r="BL135" s="69">
        <v>1.2260388405415599</v>
      </c>
      <c r="BM135" s="21"/>
      <c r="BN135" s="21">
        <v>7.1564752714715247</v>
      </c>
      <c r="BO135" s="69">
        <v>1.4776670932679903</v>
      </c>
      <c r="BP135" s="21"/>
      <c r="BQ135" s="21"/>
      <c r="BR135" s="21"/>
      <c r="BS135" s="21">
        <v>2.2716716884061707</v>
      </c>
      <c r="BT135" s="21"/>
      <c r="BU135" s="21"/>
      <c r="BV135" s="69">
        <v>1.6371016034567354</v>
      </c>
      <c r="BW135" s="21">
        <v>5.943677487351156</v>
      </c>
      <c r="BX135" s="21">
        <v>1.5434715466600724</v>
      </c>
      <c r="BY135" s="21">
        <v>1.3208680771188301E-2</v>
      </c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69">
        <v>0</v>
      </c>
      <c r="DH135" s="21"/>
      <c r="DI135" s="21"/>
      <c r="DJ135" s="69">
        <v>0</v>
      </c>
      <c r="DK135" s="21"/>
      <c r="DL135" s="21"/>
      <c r="DM135" s="69">
        <v>0</v>
      </c>
      <c r="DN135" s="21"/>
      <c r="DO135" s="21"/>
      <c r="DP135" s="21"/>
      <c r="DQ135" s="21"/>
      <c r="DR135" s="21"/>
      <c r="DS135" s="21"/>
      <c r="DT135" s="21"/>
      <c r="DU135" s="21"/>
      <c r="DV135" s="21"/>
      <c r="DW135" s="69">
        <v>0</v>
      </c>
      <c r="DX135" s="21"/>
      <c r="DY135" s="21"/>
      <c r="DZ135" s="21"/>
      <c r="EA135" s="21"/>
      <c r="EB135" s="21"/>
      <c r="EC135" s="21"/>
      <c r="ED135" s="21"/>
      <c r="EE135" s="21"/>
      <c r="EF135" s="21"/>
      <c r="EG135" s="69">
        <v>0</v>
      </c>
      <c r="EH135" s="21"/>
      <c r="EI135" s="21"/>
      <c r="EJ135" s="21"/>
      <c r="EK135" s="21"/>
      <c r="EL135" s="69">
        <v>0</v>
      </c>
      <c r="EM135" s="21"/>
      <c r="EN135" s="69">
        <v>0</v>
      </c>
      <c r="EO135" s="21"/>
      <c r="EP135" s="69">
        <v>0</v>
      </c>
      <c r="EQ135" s="69">
        <v>0</v>
      </c>
      <c r="ER135" s="21"/>
      <c r="ES135" s="21"/>
      <c r="ET135" s="69">
        <v>0</v>
      </c>
      <c r="EU135" s="21"/>
      <c r="EV135" s="21"/>
      <c r="EW135" s="21"/>
      <c r="EX135" s="21"/>
      <c r="EY135" s="21"/>
      <c r="EZ135" s="21"/>
      <c r="FA135" s="69">
        <v>0</v>
      </c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>
        <v>11.424356169519392</v>
      </c>
      <c r="GE135" s="21">
        <v>19.724133700254981</v>
      </c>
      <c r="GF135" s="21">
        <v>28.852115082949826</v>
      </c>
      <c r="GG135" s="21">
        <v>40.040453524193381</v>
      </c>
      <c r="GH135" s="21">
        <v>51.598895534683422</v>
      </c>
      <c r="GI135" s="21">
        <v>0.77295041238459117</v>
      </c>
      <c r="GJ135" s="21">
        <v>1.0664744708608553</v>
      </c>
      <c r="GK135" s="21">
        <v>2.098485980600211</v>
      </c>
      <c r="GL135" s="21">
        <v>4.079846583707635</v>
      </c>
      <c r="GM135" s="21">
        <v>25.329793593418344</v>
      </c>
      <c r="GN135" s="21">
        <v>0.77365205373336798</v>
      </c>
      <c r="GO135" s="21">
        <v>1.2761495584837033</v>
      </c>
      <c r="GP135" s="21">
        <v>2.072984193601259</v>
      </c>
      <c r="GQ135" s="21">
        <v>6.3543881089778509</v>
      </c>
      <c r="GR135" s="21">
        <v>80.499195328415283</v>
      </c>
      <c r="GS135" s="21"/>
      <c r="GT135" s="21"/>
      <c r="GU135" s="21"/>
      <c r="GV135" s="21"/>
      <c r="GW135" s="21"/>
      <c r="GX135" s="21">
        <v>0</v>
      </c>
      <c r="GY135" s="21">
        <v>0</v>
      </c>
      <c r="GZ135" s="21">
        <v>-1.8287337154220689</v>
      </c>
      <c r="HA135" s="21">
        <v>24.725250298908065</v>
      </c>
      <c r="HB135" s="21">
        <f t="shared" si="1"/>
        <v>371.19267891613839</v>
      </c>
    </row>
    <row r="136" spans="1:210" x14ac:dyDescent="0.75">
      <c r="A136" s="67" t="s">
        <v>337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69">
        <v>0</v>
      </c>
      <c r="AD136" s="21"/>
      <c r="AE136" s="21"/>
      <c r="AF136" s="69">
        <v>0</v>
      </c>
      <c r="AG136" s="21"/>
      <c r="AH136" s="21"/>
      <c r="AI136" s="69">
        <v>0.3926079631077537</v>
      </c>
      <c r="AJ136" s="21">
        <v>0.49689055467671178</v>
      </c>
      <c r="AK136" s="21">
        <v>0.68013493568287176</v>
      </c>
      <c r="AL136" s="21"/>
      <c r="AM136" s="21">
        <v>0.31402092239425744</v>
      </c>
      <c r="AN136" s="21">
        <v>1.8752077944007199</v>
      </c>
      <c r="AO136" s="21">
        <v>2.9150613720516256</v>
      </c>
      <c r="AP136" s="21"/>
      <c r="AQ136" s="21">
        <v>0.37692697584674989</v>
      </c>
      <c r="AR136" s="69">
        <v>3.377263008551791</v>
      </c>
      <c r="AS136" s="21"/>
      <c r="AT136" s="21">
        <v>8.9896391657419888E-2</v>
      </c>
      <c r="AU136" s="21">
        <v>2.8522936919147153</v>
      </c>
      <c r="AV136" s="21">
        <v>10.50242176182198</v>
      </c>
      <c r="AW136" s="21"/>
      <c r="AX136" s="21">
        <v>3.1523599009732863</v>
      </c>
      <c r="AY136" s="21">
        <v>3.4791289807310964E-2</v>
      </c>
      <c r="AZ136" s="21"/>
      <c r="BA136" s="21">
        <v>1.2232538155999976E-3</v>
      </c>
      <c r="BB136" s="69">
        <v>0.11510643701720275</v>
      </c>
      <c r="BC136" s="21">
        <v>5.6729486224318136E-2</v>
      </c>
      <c r="BD136" s="21">
        <v>9.0941919570183896E-2</v>
      </c>
      <c r="BE136" s="21">
        <v>0.10909408117528598</v>
      </c>
      <c r="BF136" s="21">
        <v>6.2154147217213511</v>
      </c>
      <c r="BG136" s="69">
        <v>0</v>
      </c>
      <c r="BH136" s="21"/>
      <c r="BI136" s="69">
        <v>0.42547028432903589</v>
      </c>
      <c r="BJ136" s="21">
        <v>22.454908999882541</v>
      </c>
      <c r="BK136" s="69">
        <v>8.8630057635742183</v>
      </c>
      <c r="BL136" s="69">
        <v>0.52089748820427217</v>
      </c>
      <c r="BM136" s="21">
        <v>2.5882340603111932E-2</v>
      </c>
      <c r="BN136" s="21">
        <v>0.48054850956149198</v>
      </c>
      <c r="BO136" s="69">
        <v>0.21076550462971816</v>
      </c>
      <c r="BP136" s="21">
        <v>1.3008319224470577E-3</v>
      </c>
      <c r="BQ136" s="21"/>
      <c r="BR136" s="21"/>
      <c r="BS136" s="21">
        <v>5.962868462656768E-4</v>
      </c>
      <c r="BT136" s="21"/>
      <c r="BU136" s="21"/>
      <c r="BV136" s="69">
        <v>0.38805276809048828</v>
      </c>
      <c r="BW136" s="21">
        <v>1.1077345953984985E-2</v>
      </c>
      <c r="BX136" s="21">
        <v>1.6021727024431612E-2</v>
      </c>
      <c r="BY136" s="21">
        <v>2.9923527896897298E-2</v>
      </c>
      <c r="BZ136" s="21">
        <v>3.4027987198187171E-2</v>
      </c>
      <c r="CA136" s="21">
        <v>4.5022307567216979E-2</v>
      </c>
      <c r="CB136" s="21"/>
      <c r="CC136" s="21">
        <v>1.196618866862412</v>
      </c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69">
        <v>0</v>
      </c>
      <c r="DH136" s="21"/>
      <c r="DI136" s="21"/>
      <c r="DJ136" s="69">
        <v>0</v>
      </c>
      <c r="DK136" s="21"/>
      <c r="DL136" s="21"/>
      <c r="DM136" s="69">
        <v>0</v>
      </c>
      <c r="DN136" s="21"/>
      <c r="DO136" s="21"/>
      <c r="DP136" s="21"/>
      <c r="DQ136" s="21"/>
      <c r="DR136" s="21"/>
      <c r="DS136" s="21"/>
      <c r="DT136" s="21"/>
      <c r="DU136" s="21"/>
      <c r="DV136" s="21"/>
      <c r="DW136" s="69">
        <v>0</v>
      </c>
      <c r="DX136" s="21"/>
      <c r="DY136" s="21"/>
      <c r="DZ136" s="21"/>
      <c r="EA136" s="21"/>
      <c r="EB136" s="21"/>
      <c r="EC136" s="21"/>
      <c r="ED136" s="21"/>
      <c r="EE136" s="21"/>
      <c r="EF136" s="21"/>
      <c r="EG136" s="69">
        <v>0</v>
      </c>
      <c r="EH136" s="21"/>
      <c r="EI136" s="21"/>
      <c r="EJ136" s="21"/>
      <c r="EK136" s="21"/>
      <c r="EL136" s="69">
        <v>0</v>
      </c>
      <c r="EM136" s="21"/>
      <c r="EN136" s="69">
        <v>0</v>
      </c>
      <c r="EO136" s="21"/>
      <c r="EP136" s="69">
        <v>0</v>
      </c>
      <c r="EQ136" s="69">
        <v>0</v>
      </c>
      <c r="ER136" s="21"/>
      <c r="ES136" s="21"/>
      <c r="ET136" s="69">
        <v>0</v>
      </c>
      <c r="EU136" s="21"/>
      <c r="EV136" s="21"/>
      <c r="EW136" s="21"/>
      <c r="EX136" s="21"/>
      <c r="EY136" s="21"/>
      <c r="EZ136" s="21"/>
      <c r="FA136" s="69">
        <v>0</v>
      </c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>
        <v>0.3376523819406041</v>
      </c>
      <c r="GE136" s="21">
        <v>0.82476773702476569</v>
      </c>
      <c r="GF136" s="21">
        <v>1.4160469635242583</v>
      </c>
      <c r="GG136" s="21">
        <v>2.2712181526997499</v>
      </c>
      <c r="GH136" s="21">
        <v>3.5721569367463872</v>
      </c>
      <c r="GI136" s="21">
        <v>5.1724693686585707E-2</v>
      </c>
      <c r="GJ136" s="21">
        <v>6.5504421023154763E-2</v>
      </c>
      <c r="GK136" s="21">
        <v>0.1610881210400775</v>
      </c>
      <c r="GL136" s="21">
        <v>0.42856263165401859</v>
      </c>
      <c r="GM136" s="21">
        <v>3.2319318962394989</v>
      </c>
      <c r="GN136" s="21">
        <v>7.9947286544610516E-2</v>
      </c>
      <c r="GO136" s="21">
        <v>0.10176343211802467</v>
      </c>
      <c r="GP136" s="21">
        <v>0.36834931045305791</v>
      </c>
      <c r="GQ136" s="21">
        <v>0.53629607903191145</v>
      </c>
      <c r="GR136" s="21">
        <v>9.0567884481418481</v>
      </c>
      <c r="GS136" s="21"/>
      <c r="GT136" s="21"/>
      <c r="GU136" s="21"/>
      <c r="GV136" s="21"/>
      <c r="GW136" s="21"/>
      <c r="GX136" s="21">
        <v>0</v>
      </c>
      <c r="GY136" s="21">
        <v>0</v>
      </c>
      <c r="GZ136" s="21">
        <v>0.30228940922171033</v>
      </c>
      <c r="HA136" s="21">
        <v>2.2357168042462905</v>
      </c>
      <c r="HB136" s="21">
        <f t="shared" ref="HB136:HB199" si="2">SUM(B136:HA136)</f>
        <v>93.394311707894389</v>
      </c>
    </row>
    <row r="137" spans="1:210" x14ac:dyDescent="0.75">
      <c r="A137" s="67" t="s">
        <v>731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69">
        <v>0</v>
      </c>
      <c r="AD137" s="21"/>
      <c r="AE137" s="21"/>
      <c r="AF137" s="69">
        <v>0</v>
      </c>
      <c r="AG137" s="21"/>
      <c r="AH137" s="21"/>
      <c r="AI137" s="69">
        <v>0.15189515807050408</v>
      </c>
      <c r="AJ137" s="21">
        <v>5.0077882415701457E-2</v>
      </c>
      <c r="AK137" s="21">
        <v>3.5877847069892095E-3</v>
      </c>
      <c r="AL137" s="21">
        <v>1.1400657072146558E-3</v>
      </c>
      <c r="AM137" s="21">
        <v>1.4135279364565923E-3</v>
      </c>
      <c r="AN137" s="21">
        <v>3.3686235333688669E-2</v>
      </c>
      <c r="AO137" s="21">
        <v>4.7812737654027784E-3</v>
      </c>
      <c r="AP137" s="21"/>
      <c r="AQ137" s="21">
        <v>4.667434521713628E-2</v>
      </c>
      <c r="AR137" s="69">
        <v>0.11661508872450664</v>
      </c>
      <c r="AS137" s="21"/>
      <c r="AT137" s="21">
        <v>1.7333037838202697E-2</v>
      </c>
      <c r="AU137" s="21">
        <v>1.531636799765162E-2</v>
      </c>
      <c r="AV137" s="21">
        <v>7.7934848078748883E-2</v>
      </c>
      <c r="AW137" s="21">
        <v>2.8556343574572755E-4</v>
      </c>
      <c r="AX137" s="21">
        <v>5.7051256049491468E-2</v>
      </c>
      <c r="AY137" s="21">
        <v>2.5106716567463235E-3</v>
      </c>
      <c r="AZ137" s="21">
        <v>1.3900861464895588E-2</v>
      </c>
      <c r="BA137" s="21">
        <v>7.9593155037755506E-3</v>
      </c>
      <c r="BB137" s="69">
        <v>1.5443166565143787E-2</v>
      </c>
      <c r="BC137" s="21">
        <v>7.5819940645216424E-2</v>
      </c>
      <c r="BD137" s="21">
        <v>3.6756528636916419E-2</v>
      </c>
      <c r="BE137" s="21">
        <v>6.2360695153980156E-2</v>
      </c>
      <c r="BF137" s="21">
        <v>6.4434514390095704E-2</v>
      </c>
      <c r="BG137" s="69">
        <v>3.345793561281199E-2</v>
      </c>
      <c r="BH137" s="21">
        <v>0.16638126016019408</v>
      </c>
      <c r="BI137" s="69">
        <v>5.7141278856412646E-2</v>
      </c>
      <c r="BJ137" s="21">
        <v>0.40472522837374492</v>
      </c>
      <c r="BK137" s="69">
        <v>1.686762583063917</v>
      </c>
      <c r="BL137" s="69">
        <v>1.1746750695193406</v>
      </c>
      <c r="BM137" s="21">
        <v>6.7394891624477232E-2</v>
      </c>
      <c r="BN137" s="21">
        <v>0.69809113202894202</v>
      </c>
      <c r="BO137" s="69">
        <v>0.13611019704830421</v>
      </c>
      <c r="BP137" s="21">
        <v>5.1020480287314748E-2</v>
      </c>
      <c r="BQ137" s="21">
        <v>1.4618225973773193</v>
      </c>
      <c r="BR137" s="21"/>
      <c r="BS137" s="21">
        <v>5.3425108419372565E-5</v>
      </c>
      <c r="BT137" s="21"/>
      <c r="BU137" s="21">
        <v>0.15145151804505524</v>
      </c>
      <c r="BV137" s="69">
        <v>1.1022144167766426</v>
      </c>
      <c r="BW137" s="21">
        <v>9.5247861671981102</v>
      </c>
      <c r="BX137" s="21">
        <v>6.676714639520851</v>
      </c>
      <c r="BY137" s="21">
        <v>1.8790569735720712</v>
      </c>
      <c r="BZ137" s="21">
        <v>2.7786222540327659</v>
      </c>
      <c r="CA137" s="21">
        <v>1.701145181929636E-2</v>
      </c>
      <c r="CB137" s="21">
        <v>3.1379521724893687E-2</v>
      </c>
      <c r="CC137" s="21">
        <v>2.6568123197401441</v>
      </c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69">
        <v>0</v>
      </c>
      <c r="DH137" s="21"/>
      <c r="DI137" s="21"/>
      <c r="DJ137" s="69">
        <v>0</v>
      </c>
      <c r="DK137" s="21"/>
      <c r="DL137" s="21"/>
      <c r="DM137" s="69">
        <v>0</v>
      </c>
      <c r="DN137" s="21"/>
      <c r="DO137" s="21"/>
      <c r="DP137" s="21"/>
      <c r="DQ137" s="21"/>
      <c r="DR137" s="21"/>
      <c r="DS137" s="21"/>
      <c r="DT137" s="21"/>
      <c r="DU137" s="21"/>
      <c r="DV137" s="21"/>
      <c r="DW137" s="69">
        <v>0</v>
      </c>
      <c r="DX137" s="21"/>
      <c r="DY137" s="21"/>
      <c r="DZ137" s="21"/>
      <c r="EA137" s="21"/>
      <c r="EB137" s="21"/>
      <c r="EC137" s="21"/>
      <c r="ED137" s="21"/>
      <c r="EE137" s="21"/>
      <c r="EF137" s="21"/>
      <c r="EG137" s="69">
        <v>0</v>
      </c>
      <c r="EH137" s="21"/>
      <c r="EI137" s="21"/>
      <c r="EJ137" s="21"/>
      <c r="EK137" s="21"/>
      <c r="EL137" s="69">
        <v>0</v>
      </c>
      <c r="EM137" s="21"/>
      <c r="EN137" s="69">
        <v>0</v>
      </c>
      <c r="EO137" s="21"/>
      <c r="EP137" s="69">
        <v>0</v>
      </c>
      <c r="EQ137" s="69">
        <v>0</v>
      </c>
      <c r="ER137" s="21"/>
      <c r="ES137" s="21"/>
      <c r="ET137" s="69">
        <v>0</v>
      </c>
      <c r="EU137" s="21"/>
      <c r="EV137" s="21"/>
      <c r="EW137" s="21"/>
      <c r="EX137" s="21"/>
      <c r="EY137" s="21"/>
      <c r="EZ137" s="21"/>
      <c r="FA137" s="69">
        <v>0</v>
      </c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>
        <v>5.6788641302683018E-2</v>
      </c>
      <c r="GE137" s="21">
        <v>9.8756529474204852E-2</v>
      </c>
      <c r="GF137" s="21">
        <v>0.31422918074706957</v>
      </c>
      <c r="GG137" s="21">
        <v>0.33015458751886301</v>
      </c>
      <c r="GH137" s="21">
        <v>0.62758894975017643</v>
      </c>
      <c r="GI137" s="21"/>
      <c r="GJ137" s="21">
        <v>2.6263927871882076E-4</v>
      </c>
      <c r="GK137" s="21">
        <v>3.7232211121804143E-3</v>
      </c>
      <c r="GL137" s="21">
        <v>8.9554074232872597E-3</v>
      </c>
      <c r="GM137" s="21">
        <v>0.23313819663284666</v>
      </c>
      <c r="GN137" s="21"/>
      <c r="GO137" s="21">
        <v>1.6101715419993372E-2</v>
      </c>
      <c r="GP137" s="21">
        <v>5.0109245287179097E-2</v>
      </c>
      <c r="GQ137" s="21">
        <v>3.4971716721591946E-2</v>
      </c>
      <c r="GR137" s="21">
        <v>1.9164815587777091</v>
      </c>
      <c r="GS137" s="21"/>
      <c r="GT137" s="21"/>
      <c r="GU137" s="21"/>
      <c r="GV137" s="21"/>
      <c r="GW137" s="21"/>
      <c r="GX137" s="21">
        <v>0</v>
      </c>
      <c r="GY137" s="21">
        <v>0</v>
      </c>
      <c r="GZ137" s="21">
        <v>0.32643052437584902</v>
      </c>
      <c r="HA137" s="21">
        <v>2.7296368659528314</v>
      </c>
      <c r="HB137" s="21">
        <f t="shared" si="2"/>
        <v>38.359992450560426</v>
      </c>
    </row>
    <row r="138" spans="1:210" x14ac:dyDescent="0.75">
      <c r="A138" s="67" t="s">
        <v>536</v>
      </c>
      <c r="B138" s="21">
        <v>6.800617419964336E-2</v>
      </c>
      <c r="C138" s="21">
        <v>0.14766736842619305</v>
      </c>
      <c r="D138" s="21">
        <v>4.8974376966673611E-3</v>
      </c>
      <c r="E138" s="21">
        <v>9.0147850418695649E-2</v>
      </c>
      <c r="F138" s="21">
        <v>4.3783465790616413E-4</v>
      </c>
      <c r="G138" s="21">
        <v>2.9144379237997325E-2</v>
      </c>
      <c r="H138" s="21">
        <v>2.5944741552043959E-2</v>
      </c>
      <c r="I138" s="21">
        <v>2.1493030855627329E-2</v>
      </c>
      <c r="J138" s="21">
        <v>3.6533344416256885E-3</v>
      </c>
      <c r="K138" s="21">
        <v>1.2318988002417623E-2</v>
      </c>
      <c r="L138" s="21">
        <v>1.2045563538739977E-3</v>
      </c>
      <c r="M138" s="21">
        <v>8.1396236310310611E-3</v>
      </c>
      <c r="N138" s="21">
        <v>1.9106970721631866E-2</v>
      </c>
      <c r="O138" s="21">
        <v>3.4790268527388847E-2</v>
      </c>
      <c r="P138" s="21">
        <v>6.3093224679506323E-3</v>
      </c>
      <c r="Q138" s="21">
        <v>5.8998408769127507E-3</v>
      </c>
      <c r="R138" s="21">
        <v>3.5296848277127237E-2</v>
      </c>
      <c r="S138" s="21">
        <v>1.1589978514946593E-2</v>
      </c>
      <c r="T138" s="21">
        <v>0.44893583196228037</v>
      </c>
      <c r="U138" s="21">
        <v>4.6592927548233097E-2</v>
      </c>
      <c r="V138" s="21">
        <v>9.2680471364920639E-3</v>
      </c>
      <c r="W138" s="21">
        <v>2.1208505745239831E-2</v>
      </c>
      <c r="X138" s="21">
        <v>1.2343748478157722E-2</v>
      </c>
      <c r="Y138" s="21">
        <v>6.372589560043905E-2</v>
      </c>
      <c r="Z138" s="21">
        <v>4.2085985868440437E-2</v>
      </c>
      <c r="AA138" s="21">
        <v>2.4244844419562879E-2</v>
      </c>
      <c r="AB138" s="21">
        <v>6.6711001091749305E-3</v>
      </c>
      <c r="AC138" s="69">
        <v>1.0947999012693822E-2</v>
      </c>
      <c r="AD138" s="21">
        <v>8.0443532723229766E-2</v>
      </c>
      <c r="AE138" s="21">
        <v>3.483487792986345E-2</v>
      </c>
      <c r="AF138" s="69">
        <v>0.52964716393100708</v>
      </c>
      <c r="AG138" s="21">
        <v>0.18257696741443274</v>
      </c>
      <c r="AH138" s="21"/>
      <c r="AI138" s="69">
        <v>12.59361815605698</v>
      </c>
      <c r="AJ138" s="21">
        <v>1.3090499957883985</v>
      </c>
      <c r="AK138" s="21">
        <v>0.14806246104899778</v>
      </c>
      <c r="AL138" s="21">
        <v>0.35910684587925662</v>
      </c>
      <c r="AM138" s="21">
        <v>0.28316033865123835</v>
      </c>
      <c r="AN138" s="21">
        <v>1.4024102032398429</v>
      </c>
      <c r="AO138" s="21">
        <v>0.77457657291820492</v>
      </c>
      <c r="AP138" s="21"/>
      <c r="AQ138" s="21">
        <v>0.81947707903213995</v>
      </c>
      <c r="AR138" s="69">
        <v>5.8220687830144557</v>
      </c>
      <c r="AS138" s="21"/>
      <c r="AT138" s="21">
        <v>0.17663533917255927</v>
      </c>
      <c r="AU138" s="21">
        <v>0.10342343586466315</v>
      </c>
      <c r="AV138" s="21">
        <v>0.1960417900387165</v>
      </c>
      <c r="AW138" s="21">
        <v>2.3549249807660144E-3</v>
      </c>
      <c r="AX138" s="21">
        <v>2.00885902765445</v>
      </c>
      <c r="AY138" s="21">
        <v>3.6388366811280715E-2</v>
      </c>
      <c r="AZ138" s="21">
        <v>0.1695362290483961</v>
      </c>
      <c r="BA138" s="21">
        <v>1.9348987560255135E-2</v>
      </c>
      <c r="BB138" s="69">
        <v>7.3252715492277414</v>
      </c>
      <c r="BC138" s="21">
        <v>1.9144477433086557</v>
      </c>
      <c r="BD138" s="21">
        <v>0.21666550701213097</v>
      </c>
      <c r="BE138" s="21">
        <v>0.78957379726562771</v>
      </c>
      <c r="BF138" s="21">
        <v>0.43290618932182084</v>
      </c>
      <c r="BG138" s="69">
        <v>0.36975265624454645</v>
      </c>
      <c r="BH138" s="21">
        <v>39.288960955791914</v>
      </c>
      <c r="BI138" s="69">
        <v>3.6842786080591954</v>
      </c>
      <c r="BJ138" s="21">
        <v>21.214797562033553</v>
      </c>
      <c r="BK138" s="69">
        <v>30.132736554305019</v>
      </c>
      <c r="BL138" s="69">
        <v>121.1791338861325</v>
      </c>
      <c r="BM138" s="21">
        <v>0.79528506902446194</v>
      </c>
      <c r="BN138" s="21">
        <v>4.1196587360458885</v>
      </c>
      <c r="BO138" s="69">
        <v>3.489526552801923</v>
      </c>
      <c r="BP138" s="21">
        <v>0.79945675607619204</v>
      </c>
      <c r="BQ138" s="21">
        <v>0.88176627000900298</v>
      </c>
      <c r="BR138" s="21">
        <v>0.22561180550475524</v>
      </c>
      <c r="BS138" s="21">
        <v>0.33841615116848855</v>
      </c>
      <c r="BT138" s="21"/>
      <c r="BU138" s="21">
        <v>0.326824594886783</v>
      </c>
      <c r="BV138" s="69">
        <v>3.265737886540764</v>
      </c>
      <c r="BW138" s="21">
        <v>52.248901396639887</v>
      </c>
      <c r="BX138" s="21">
        <v>3.8428871049504938</v>
      </c>
      <c r="BY138" s="21">
        <v>2.2302069983039288</v>
      </c>
      <c r="BZ138" s="21">
        <v>2.6518393065665178</v>
      </c>
      <c r="CA138" s="21">
        <v>3.6455684385674807E-2</v>
      </c>
      <c r="CB138" s="21">
        <v>3.7371498989335464E-2</v>
      </c>
      <c r="CC138" s="21">
        <v>6.0201341188483548</v>
      </c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69">
        <v>0</v>
      </c>
      <c r="DH138" s="21"/>
      <c r="DI138" s="21"/>
      <c r="DJ138" s="69">
        <v>0</v>
      </c>
      <c r="DK138" s="21"/>
      <c r="DL138" s="21"/>
      <c r="DM138" s="69">
        <v>0</v>
      </c>
      <c r="DN138" s="21"/>
      <c r="DO138" s="21"/>
      <c r="DP138" s="21"/>
      <c r="DQ138" s="21"/>
      <c r="DR138" s="21"/>
      <c r="DS138" s="21"/>
      <c r="DT138" s="21"/>
      <c r="DU138" s="21"/>
      <c r="DV138" s="21"/>
      <c r="DW138" s="69">
        <v>0</v>
      </c>
      <c r="DX138" s="21"/>
      <c r="DY138" s="21"/>
      <c r="DZ138" s="21"/>
      <c r="EA138" s="21"/>
      <c r="EB138" s="21"/>
      <c r="EC138" s="21"/>
      <c r="ED138" s="21"/>
      <c r="EE138" s="21"/>
      <c r="EF138" s="21"/>
      <c r="EG138" s="69">
        <v>0</v>
      </c>
      <c r="EH138" s="21"/>
      <c r="EI138" s="21"/>
      <c r="EJ138" s="21"/>
      <c r="EK138" s="21"/>
      <c r="EL138" s="69">
        <v>0</v>
      </c>
      <c r="EM138" s="21"/>
      <c r="EN138" s="69">
        <v>0</v>
      </c>
      <c r="EO138" s="21"/>
      <c r="EP138" s="69">
        <v>0</v>
      </c>
      <c r="EQ138" s="69">
        <v>0</v>
      </c>
      <c r="ER138" s="21"/>
      <c r="ES138" s="21"/>
      <c r="ET138" s="69">
        <v>0</v>
      </c>
      <c r="EU138" s="21"/>
      <c r="EV138" s="21"/>
      <c r="EW138" s="21"/>
      <c r="EX138" s="21"/>
      <c r="EY138" s="21"/>
      <c r="EZ138" s="21"/>
      <c r="FA138" s="69">
        <v>0</v>
      </c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>
        <v>0.3283119793733521</v>
      </c>
      <c r="GE138" s="21">
        <v>0.43928200461595612</v>
      </c>
      <c r="GF138" s="21">
        <v>1.0370237014972683</v>
      </c>
      <c r="GG138" s="21">
        <v>1.7981581284231107</v>
      </c>
      <c r="GH138" s="21">
        <v>7.7185758194623713</v>
      </c>
      <c r="GI138" s="21">
        <v>3.025819786825525E-2</v>
      </c>
      <c r="GJ138" s="21">
        <v>6.4727460143472068E-2</v>
      </c>
      <c r="GK138" s="21">
        <v>9.3992931086943232E-2</v>
      </c>
      <c r="GL138" s="21">
        <v>4.8121717521757888E-2</v>
      </c>
      <c r="GM138" s="21">
        <v>4.3139085648614941</v>
      </c>
      <c r="GN138" s="21">
        <v>1.9726497006098905E-2</v>
      </c>
      <c r="GO138" s="21">
        <v>5.6403428758902766E-2</v>
      </c>
      <c r="GP138" s="21">
        <v>2.4968689230928084E-2</v>
      </c>
      <c r="GQ138" s="21">
        <v>9.2978554903561522E-2</v>
      </c>
      <c r="GR138" s="21">
        <v>53.546536642296424</v>
      </c>
      <c r="GS138" s="21"/>
      <c r="GT138" s="21"/>
      <c r="GU138" s="21"/>
      <c r="GV138" s="21"/>
      <c r="GW138" s="21"/>
      <c r="GX138" s="21">
        <v>0</v>
      </c>
      <c r="GY138" s="21">
        <v>0</v>
      </c>
      <c r="GZ138" s="21">
        <v>15.94514880207325</v>
      </c>
      <c r="HA138" s="21">
        <v>116.35414560026797</v>
      </c>
      <c r="HB138" s="21">
        <f t="shared" si="2"/>
        <v>538.03456817233564</v>
      </c>
    </row>
    <row r="139" spans="1:210" x14ac:dyDescent="0.75">
      <c r="A139" s="67" t="s">
        <v>338</v>
      </c>
      <c r="B139" s="21">
        <v>2.2202354118404601</v>
      </c>
      <c r="C139" s="21">
        <v>4.8271062586762739</v>
      </c>
      <c r="D139" s="21">
        <v>0.15992110969394138</v>
      </c>
      <c r="E139" s="21">
        <v>2.93941310963393</v>
      </c>
      <c r="F139" s="21">
        <v>1.4292019569267796E-2</v>
      </c>
      <c r="G139" s="21">
        <v>8.2238653472916319</v>
      </c>
      <c r="H139" s="21">
        <v>7.321329419210123</v>
      </c>
      <c r="I139" s="21">
        <v>6.0572596374212315</v>
      </c>
      <c r="J139" s="21">
        <v>1.0324119477481111</v>
      </c>
      <c r="K139" s="21">
        <v>8.378266617788702</v>
      </c>
      <c r="L139" s="21">
        <v>0.81701904909527223</v>
      </c>
      <c r="M139" s="21">
        <v>5.5372240981783634</v>
      </c>
      <c r="N139" s="21">
        <v>1.3108410736928222</v>
      </c>
      <c r="O139" s="21">
        <v>2.388630976713586</v>
      </c>
      <c r="P139" s="21">
        <v>0.43351711898146134</v>
      </c>
      <c r="Q139" s="21">
        <v>0.40536215786350749</v>
      </c>
      <c r="R139" s="21">
        <v>0.47986057774273405</v>
      </c>
      <c r="S139" s="21">
        <v>0.15791610938661424</v>
      </c>
      <c r="T139" s="21">
        <v>3.6714386529305543</v>
      </c>
      <c r="U139" s="21">
        <v>1.2511584734457288</v>
      </c>
      <c r="V139" s="21">
        <v>0.25388417026816928</v>
      </c>
      <c r="W139" s="21">
        <v>0.56953739431060169</v>
      </c>
      <c r="X139" s="21">
        <v>0.33825501925837081</v>
      </c>
      <c r="Y139" s="21">
        <v>1.7580698855344201</v>
      </c>
      <c r="Z139" s="21">
        <v>5.8471425996436477E-3</v>
      </c>
      <c r="AA139" s="21">
        <v>3.3690725595681651E-3</v>
      </c>
      <c r="AB139" s="21">
        <v>9.2685965607267832E-4</v>
      </c>
      <c r="AC139" s="69">
        <v>1.4941252984140793E-3</v>
      </c>
      <c r="AD139" s="21">
        <v>1.0955199529147235E-2</v>
      </c>
      <c r="AE139" s="21">
        <v>4.7435189785638319E-3</v>
      </c>
      <c r="AF139" s="69">
        <v>0</v>
      </c>
      <c r="AG139" s="21">
        <v>1.6958271021604725E-2</v>
      </c>
      <c r="AH139" s="21"/>
      <c r="AI139" s="69">
        <v>13.44698553915971</v>
      </c>
      <c r="AJ139" s="21">
        <v>0.10660693792261221</v>
      </c>
      <c r="AK139" s="21">
        <v>0.15938798167016011</v>
      </c>
      <c r="AL139" s="21">
        <v>0.12683302461378354</v>
      </c>
      <c r="AM139" s="21">
        <v>6.6461839737426739E-2</v>
      </c>
      <c r="AN139" s="21">
        <v>0.16236611357325748</v>
      </c>
      <c r="AO139" s="21">
        <v>6.0392795553110674E-2</v>
      </c>
      <c r="AP139" s="21">
        <v>0.18261207996006706</v>
      </c>
      <c r="AQ139" s="21">
        <v>0.1527392457547484</v>
      </c>
      <c r="AR139" s="69">
        <v>8.5489315906118701</v>
      </c>
      <c r="AS139" s="21">
        <v>0.41756379622718953</v>
      </c>
      <c r="AT139" s="21">
        <v>2.186514194020269</v>
      </c>
      <c r="AU139" s="21">
        <v>0.3080474740421289</v>
      </c>
      <c r="AV139" s="21">
        <v>0.11151548752145091</v>
      </c>
      <c r="AW139" s="21"/>
      <c r="AX139" s="21">
        <v>3.1652566463672138</v>
      </c>
      <c r="AY139" s="21"/>
      <c r="AZ139" s="21"/>
      <c r="BA139" s="21"/>
      <c r="BB139" s="69">
        <v>2.746992470105885</v>
      </c>
      <c r="BC139" s="21"/>
      <c r="BD139" s="21"/>
      <c r="BE139" s="21"/>
      <c r="BF139" s="21">
        <v>0.21076576953703258</v>
      </c>
      <c r="BG139" s="69">
        <v>0</v>
      </c>
      <c r="BH139" s="21"/>
      <c r="BI139" s="69">
        <v>0.25024193809077511</v>
      </c>
      <c r="BJ139" s="21">
        <v>29.815460042606741</v>
      </c>
      <c r="BK139" s="69">
        <v>3.6376055272349307E-2</v>
      </c>
      <c r="BL139" s="69">
        <v>0</v>
      </c>
      <c r="BM139" s="21"/>
      <c r="BN139" s="21">
        <v>1.2123996927960246</v>
      </c>
      <c r="BO139" s="69">
        <v>0</v>
      </c>
      <c r="BP139" s="21"/>
      <c r="BQ139" s="21"/>
      <c r="BR139" s="21"/>
      <c r="BS139" s="21"/>
      <c r="BT139" s="21"/>
      <c r="BU139" s="21"/>
      <c r="BV139" s="69">
        <v>2.4104470567131293E-2</v>
      </c>
      <c r="BW139" s="21">
        <v>2.0866192997232864</v>
      </c>
      <c r="BX139" s="21"/>
      <c r="BY139" s="21">
        <v>1.5300246925910466</v>
      </c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69">
        <v>0</v>
      </c>
      <c r="DH139" s="21"/>
      <c r="DI139" s="21"/>
      <c r="DJ139" s="69">
        <v>0</v>
      </c>
      <c r="DK139" s="21"/>
      <c r="DL139" s="21"/>
      <c r="DM139" s="69">
        <v>0</v>
      </c>
      <c r="DN139" s="21"/>
      <c r="DO139" s="21"/>
      <c r="DP139" s="21"/>
      <c r="DQ139" s="21"/>
      <c r="DR139" s="21"/>
      <c r="DS139" s="21"/>
      <c r="DT139" s="21"/>
      <c r="DU139" s="21"/>
      <c r="DV139" s="21"/>
      <c r="DW139" s="69">
        <v>0</v>
      </c>
      <c r="DX139" s="21"/>
      <c r="DY139" s="21"/>
      <c r="DZ139" s="21"/>
      <c r="EA139" s="21"/>
      <c r="EB139" s="21"/>
      <c r="EC139" s="21"/>
      <c r="ED139" s="21"/>
      <c r="EE139" s="21"/>
      <c r="EF139" s="21"/>
      <c r="EG139" s="69">
        <v>0</v>
      </c>
      <c r="EH139" s="21"/>
      <c r="EI139" s="21"/>
      <c r="EJ139" s="21"/>
      <c r="EK139" s="21"/>
      <c r="EL139" s="69">
        <v>0</v>
      </c>
      <c r="EM139" s="21"/>
      <c r="EN139" s="69">
        <v>0</v>
      </c>
      <c r="EO139" s="21"/>
      <c r="EP139" s="69">
        <v>0</v>
      </c>
      <c r="EQ139" s="69">
        <v>0</v>
      </c>
      <c r="ER139" s="21"/>
      <c r="ES139" s="21"/>
      <c r="ET139" s="69">
        <v>0</v>
      </c>
      <c r="EU139" s="21"/>
      <c r="EV139" s="21"/>
      <c r="EW139" s="21"/>
      <c r="EX139" s="21"/>
      <c r="EY139" s="21"/>
      <c r="EZ139" s="21"/>
      <c r="FA139" s="69">
        <v>0</v>
      </c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>
        <v>9.1468301753916332</v>
      </c>
      <c r="GE139" s="21">
        <v>14.260161618698183</v>
      </c>
      <c r="GF139" s="21">
        <v>18.255558063665795</v>
      </c>
      <c r="GG139" s="21">
        <v>22.431569871643227</v>
      </c>
      <c r="GH139" s="21">
        <v>20.884152689710014</v>
      </c>
      <c r="GI139" s="21">
        <v>0.69551665002303753</v>
      </c>
      <c r="GJ139" s="21">
        <v>0.84646578282233964</v>
      </c>
      <c r="GK139" s="21">
        <v>1.3340420569327902</v>
      </c>
      <c r="GL139" s="21">
        <v>1.8520424558225042</v>
      </c>
      <c r="GM139" s="21">
        <v>7.2328595556537474</v>
      </c>
      <c r="GN139" s="21">
        <v>0.9670781830409968</v>
      </c>
      <c r="GO139" s="21">
        <v>1.1510214285371081</v>
      </c>
      <c r="GP139" s="21">
        <v>1.751121906107233</v>
      </c>
      <c r="GQ139" s="21">
        <v>3.6368502567304377</v>
      </c>
      <c r="GR139" s="21">
        <v>24.873689809243388</v>
      </c>
      <c r="GS139" s="21"/>
      <c r="GT139" s="21"/>
      <c r="GU139" s="21"/>
      <c r="GV139" s="21"/>
      <c r="GW139" s="21"/>
      <c r="GX139" s="21">
        <v>0</v>
      </c>
      <c r="GY139" s="21">
        <v>0</v>
      </c>
      <c r="GZ139" s="21">
        <v>9.4319830931961981</v>
      </c>
      <c r="HA139" s="21">
        <v>10.14252898544761</v>
      </c>
      <c r="HB139" s="21">
        <f t="shared" si="2"/>
        <v>276.59978158661045</v>
      </c>
    </row>
    <row r="140" spans="1:210" x14ac:dyDescent="0.75">
      <c r="A140" s="67" t="s">
        <v>732</v>
      </c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69">
        <v>0</v>
      </c>
      <c r="AD140" s="21"/>
      <c r="AE140" s="21"/>
      <c r="AF140" s="69">
        <v>0</v>
      </c>
      <c r="AG140" s="21"/>
      <c r="AH140" s="21"/>
      <c r="AI140" s="69">
        <v>0</v>
      </c>
      <c r="AJ140" s="21"/>
      <c r="AK140" s="21"/>
      <c r="AL140" s="21"/>
      <c r="AM140" s="21"/>
      <c r="AN140" s="21"/>
      <c r="AO140" s="21"/>
      <c r="AP140" s="21"/>
      <c r="AQ140" s="21"/>
      <c r="AR140" s="69">
        <v>0</v>
      </c>
      <c r="AS140" s="21"/>
      <c r="AT140" s="21"/>
      <c r="AU140" s="21"/>
      <c r="AV140" s="21"/>
      <c r="AW140" s="21"/>
      <c r="AX140" s="21"/>
      <c r="AY140" s="21"/>
      <c r="AZ140" s="21"/>
      <c r="BA140" s="21"/>
      <c r="BB140" s="69">
        <v>0</v>
      </c>
      <c r="BC140" s="21"/>
      <c r="BD140" s="21"/>
      <c r="BE140" s="21"/>
      <c r="BF140" s="21"/>
      <c r="BG140" s="69">
        <v>0</v>
      </c>
      <c r="BH140" s="21"/>
      <c r="BI140" s="69">
        <v>0</v>
      </c>
      <c r="BJ140" s="21"/>
      <c r="BK140" s="69">
        <v>0</v>
      </c>
      <c r="BL140" s="69">
        <v>0</v>
      </c>
      <c r="BM140" s="21"/>
      <c r="BN140" s="21"/>
      <c r="BO140" s="69">
        <v>0</v>
      </c>
      <c r="BP140" s="21"/>
      <c r="BQ140" s="21"/>
      <c r="BR140" s="21"/>
      <c r="BS140" s="21"/>
      <c r="BT140" s="21"/>
      <c r="BU140" s="21"/>
      <c r="BV140" s="69">
        <v>0</v>
      </c>
      <c r="BW140" s="21">
        <v>1.739479058192289E-3</v>
      </c>
      <c r="BX140" s="21"/>
      <c r="BY140" s="21">
        <v>52.09342663136654</v>
      </c>
      <c r="BZ140" s="21"/>
      <c r="CA140" s="21"/>
      <c r="CB140" s="21"/>
      <c r="CC140" s="21">
        <v>1.7600957700247E-4</v>
      </c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69">
        <v>0</v>
      </c>
      <c r="DH140" s="21"/>
      <c r="DI140" s="21"/>
      <c r="DJ140" s="69">
        <v>0</v>
      </c>
      <c r="DK140" s="21"/>
      <c r="DL140" s="21"/>
      <c r="DM140" s="69">
        <v>0</v>
      </c>
      <c r="DN140" s="21"/>
      <c r="DO140" s="21"/>
      <c r="DP140" s="21"/>
      <c r="DQ140" s="21"/>
      <c r="DR140" s="21"/>
      <c r="DS140" s="21"/>
      <c r="DT140" s="21"/>
      <c r="DU140" s="21"/>
      <c r="DV140" s="21"/>
      <c r="DW140" s="69">
        <v>0</v>
      </c>
      <c r="DX140" s="21"/>
      <c r="DY140" s="21"/>
      <c r="DZ140" s="21"/>
      <c r="EA140" s="21"/>
      <c r="EB140" s="21"/>
      <c r="EC140" s="21"/>
      <c r="ED140" s="21"/>
      <c r="EE140" s="21"/>
      <c r="EF140" s="21"/>
      <c r="EG140" s="69">
        <v>0</v>
      </c>
      <c r="EH140" s="21"/>
      <c r="EI140" s="21"/>
      <c r="EJ140" s="21"/>
      <c r="EK140" s="21"/>
      <c r="EL140" s="69">
        <v>0</v>
      </c>
      <c r="EM140" s="21"/>
      <c r="EN140" s="69">
        <v>0</v>
      </c>
      <c r="EO140" s="21"/>
      <c r="EP140" s="69">
        <v>0</v>
      </c>
      <c r="EQ140" s="69">
        <v>0</v>
      </c>
      <c r="ER140" s="21"/>
      <c r="ES140" s="21"/>
      <c r="ET140" s="69">
        <v>0</v>
      </c>
      <c r="EU140" s="21"/>
      <c r="EV140" s="21"/>
      <c r="EW140" s="21"/>
      <c r="EX140" s="21"/>
      <c r="EY140" s="21"/>
      <c r="EZ140" s="21"/>
      <c r="FA140" s="69">
        <v>0</v>
      </c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>
        <v>3.0997344273985226</v>
      </c>
      <c r="GE140" s="21">
        <v>5.0029122443725926</v>
      </c>
      <c r="GF140" s="21">
        <v>5.6516803439279588</v>
      </c>
      <c r="GG140" s="21">
        <v>6.2587196361647734</v>
      </c>
      <c r="GH140" s="21">
        <v>9.072777758251382</v>
      </c>
      <c r="GI140" s="21">
        <v>0.41567711864490681</v>
      </c>
      <c r="GJ140" s="21">
        <v>0.63291952873817292</v>
      </c>
      <c r="GK140" s="21">
        <v>0.82814646846246487</v>
      </c>
      <c r="GL140" s="21">
        <v>0.82724527675021819</v>
      </c>
      <c r="GM140" s="21">
        <v>3.6785742443374327</v>
      </c>
      <c r="GN140" s="21">
        <v>0.33993225991637532</v>
      </c>
      <c r="GO140" s="21">
        <v>0.82601278738535977</v>
      </c>
      <c r="GP140" s="21">
        <v>1.6355768500933561</v>
      </c>
      <c r="GQ140" s="21">
        <v>1.8135567810300495</v>
      </c>
      <c r="GR140" s="21">
        <v>16.264572291796913</v>
      </c>
      <c r="GS140" s="21"/>
      <c r="GT140" s="21"/>
      <c r="GU140" s="21"/>
      <c r="GV140" s="21"/>
      <c r="GW140" s="21"/>
      <c r="GX140" s="21">
        <v>0</v>
      </c>
      <c r="GY140" s="21">
        <v>0</v>
      </c>
      <c r="GZ140" s="21">
        <v>3.3631785632856044</v>
      </c>
      <c r="HA140" s="21">
        <v>0.58104051283395863</v>
      </c>
      <c r="HB140" s="21">
        <f t="shared" si="2"/>
        <v>112.38759921339178</v>
      </c>
    </row>
    <row r="141" spans="1:210" x14ac:dyDescent="0.75">
      <c r="A141" s="67" t="s">
        <v>733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69">
        <v>0</v>
      </c>
      <c r="AD141" s="21"/>
      <c r="AE141" s="21"/>
      <c r="AF141" s="69">
        <v>0</v>
      </c>
      <c r="AG141" s="21"/>
      <c r="AH141" s="21"/>
      <c r="AI141" s="69">
        <v>0</v>
      </c>
      <c r="AJ141" s="21"/>
      <c r="AK141" s="21">
        <v>2.3977540990636127E-2</v>
      </c>
      <c r="AL141" s="21"/>
      <c r="AM141" s="21">
        <v>8.091210055886211E-2</v>
      </c>
      <c r="AN141" s="21"/>
      <c r="AO141" s="21"/>
      <c r="AP141" s="21"/>
      <c r="AQ141" s="21">
        <v>0.30831496281893317</v>
      </c>
      <c r="AR141" s="69">
        <v>6.1067821305114638</v>
      </c>
      <c r="AS141" s="21"/>
      <c r="AT141" s="21">
        <v>0.16592395859086656</v>
      </c>
      <c r="AU141" s="21">
        <v>2.0745121427385005</v>
      </c>
      <c r="AV141" s="21">
        <v>0.35685727816827051</v>
      </c>
      <c r="AW141" s="21"/>
      <c r="AX141" s="21">
        <v>18.777175186953524</v>
      </c>
      <c r="AY141" s="21">
        <v>2.9371830320558547E-2</v>
      </c>
      <c r="AZ141" s="21">
        <v>7.0384416111948047</v>
      </c>
      <c r="BA141" s="21"/>
      <c r="BB141" s="69">
        <v>1.9124029150284547</v>
      </c>
      <c r="BC141" s="21">
        <v>7.0049113722558849E-3</v>
      </c>
      <c r="BD141" s="21">
        <v>1.7418567946212908</v>
      </c>
      <c r="BE141" s="21"/>
      <c r="BF141" s="21">
        <v>0.473259446222353</v>
      </c>
      <c r="BG141" s="69">
        <v>2.8892417804226813</v>
      </c>
      <c r="BH141" s="21"/>
      <c r="BI141" s="69">
        <v>0.56985624515480282</v>
      </c>
      <c r="BJ141" s="21">
        <v>29.832483863986131</v>
      </c>
      <c r="BK141" s="69">
        <v>10.016907773007087</v>
      </c>
      <c r="BL141" s="69">
        <v>24.519091229542006</v>
      </c>
      <c r="BM141" s="21"/>
      <c r="BN141" s="21"/>
      <c r="BO141" s="69">
        <v>0</v>
      </c>
      <c r="BP141" s="21"/>
      <c r="BQ141" s="21"/>
      <c r="BR141" s="21"/>
      <c r="BS141" s="21"/>
      <c r="BT141" s="21"/>
      <c r="BU141" s="21"/>
      <c r="BV141" s="69">
        <v>0.29048472858973784</v>
      </c>
      <c r="BW141" s="21">
        <v>0.11091605196259401</v>
      </c>
      <c r="BX141" s="21">
        <v>1.1450621447675441E-2</v>
      </c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69">
        <v>0</v>
      </c>
      <c r="DH141" s="21"/>
      <c r="DI141" s="21"/>
      <c r="DJ141" s="69">
        <v>0</v>
      </c>
      <c r="DK141" s="21"/>
      <c r="DL141" s="21"/>
      <c r="DM141" s="69">
        <v>0</v>
      </c>
      <c r="DN141" s="21"/>
      <c r="DO141" s="21"/>
      <c r="DP141" s="21"/>
      <c r="DQ141" s="21"/>
      <c r="DR141" s="21"/>
      <c r="DS141" s="21"/>
      <c r="DT141" s="21"/>
      <c r="DU141" s="21"/>
      <c r="DV141" s="21"/>
      <c r="DW141" s="69">
        <v>0</v>
      </c>
      <c r="DX141" s="21"/>
      <c r="DY141" s="21"/>
      <c r="DZ141" s="21"/>
      <c r="EA141" s="21"/>
      <c r="EB141" s="21"/>
      <c r="EC141" s="21"/>
      <c r="ED141" s="21"/>
      <c r="EE141" s="21"/>
      <c r="EF141" s="21"/>
      <c r="EG141" s="69">
        <v>0</v>
      </c>
      <c r="EH141" s="21"/>
      <c r="EI141" s="21"/>
      <c r="EJ141" s="21"/>
      <c r="EK141" s="21"/>
      <c r="EL141" s="69">
        <v>0</v>
      </c>
      <c r="EM141" s="21"/>
      <c r="EN141" s="69">
        <v>0</v>
      </c>
      <c r="EO141" s="21"/>
      <c r="EP141" s="69">
        <v>0</v>
      </c>
      <c r="EQ141" s="69">
        <v>0</v>
      </c>
      <c r="ER141" s="21"/>
      <c r="ES141" s="21"/>
      <c r="ET141" s="69">
        <v>0</v>
      </c>
      <c r="EU141" s="21"/>
      <c r="EV141" s="21"/>
      <c r="EW141" s="21"/>
      <c r="EX141" s="21"/>
      <c r="EY141" s="21"/>
      <c r="EZ141" s="21"/>
      <c r="FA141" s="69">
        <v>0</v>
      </c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>
        <v>0</v>
      </c>
      <c r="GY141" s="21">
        <v>0</v>
      </c>
      <c r="GZ141" s="21">
        <v>-2.136343494385768</v>
      </c>
      <c r="HA141" s="21">
        <v>4.5899448989199696</v>
      </c>
      <c r="HB141" s="21">
        <f t="shared" si="2"/>
        <v>109.79082650873767</v>
      </c>
    </row>
    <row r="142" spans="1:210" x14ac:dyDescent="0.75">
      <c r="A142" s="67" t="s">
        <v>339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69">
        <v>0</v>
      </c>
      <c r="AD142" s="21"/>
      <c r="AE142" s="21"/>
      <c r="AF142" s="69">
        <v>0</v>
      </c>
      <c r="AG142" s="21"/>
      <c r="AH142" s="21"/>
      <c r="AI142" s="69">
        <v>0</v>
      </c>
      <c r="AJ142" s="21"/>
      <c r="AK142" s="21"/>
      <c r="AL142" s="21"/>
      <c r="AM142" s="21"/>
      <c r="AN142" s="21"/>
      <c r="AO142" s="21"/>
      <c r="AP142" s="21"/>
      <c r="AQ142" s="21"/>
      <c r="AR142" s="69">
        <v>0</v>
      </c>
      <c r="AS142" s="21"/>
      <c r="AT142" s="21"/>
      <c r="AU142" s="21"/>
      <c r="AV142" s="21"/>
      <c r="AW142" s="21"/>
      <c r="AX142" s="21"/>
      <c r="AY142" s="21"/>
      <c r="AZ142" s="21"/>
      <c r="BA142" s="21"/>
      <c r="BB142" s="69">
        <v>0</v>
      </c>
      <c r="BC142" s="21"/>
      <c r="BD142" s="21"/>
      <c r="BE142" s="21"/>
      <c r="BF142" s="21"/>
      <c r="BG142" s="69">
        <v>0</v>
      </c>
      <c r="BH142" s="21"/>
      <c r="BI142" s="69">
        <v>0</v>
      </c>
      <c r="BJ142" s="21">
        <v>27.911871346386267</v>
      </c>
      <c r="BK142" s="69">
        <v>0</v>
      </c>
      <c r="BL142" s="69">
        <v>0</v>
      </c>
      <c r="BM142" s="21"/>
      <c r="BN142" s="21"/>
      <c r="BO142" s="69">
        <v>0</v>
      </c>
      <c r="BP142" s="21"/>
      <c r="BQ142" s="21"/>
      <c r="BR142" s="21"/>
      <c r="BS142" s="21"/>
      <c r="BT142" s="21"/>
      <c r="BU142" s="21"/>
      <c r="BV142" s="69">
        <v>0</v>
      </c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69">
        <v>0</v>
      </c>
      <c r="DH142" s="21"/>
      <c r="DI142" s="21"/>
      <c r="DJ142" s="69">
        <v>0</v>
      </c>
      <c r="DK142" s="21"/>
      <c r="DL142" s="21"/>
      <c r="DM142" s="69">
        <v>0</v>
      </c>
      <c r="DN142" s="21"/>
      <c r="DO142" s="21"/>
      <c r="DP142" s="21"/>
      <c r="DQ142" s="21"/>
      <c r="DR142" s="21"/>
      <c r="DS142" s="21"/>
      <c r="DT142" s="21"/>
      <c r="DU142" s="21"/>
      <c r="DV142" s="21"/>
      <c r="DW142" s="69">
        <v>0</v>
      </c>
      <c r="DX142" s="21"/>
      <c r="DY142" s="21"/>
      <c r="DZ142" s="21"/>
      <c r="EA142" s="21"/>
      <c r="EB142" s="21"/>
      <c r="EC142" s="21"/>
      <c r="ED142" s="21"/>
      <c r="EE142" s="21"/>
      <c r="EF142" s="21"/>
      <c r="EG142" s="69">
        <v>0</v>
      </c>
      <c r="EH142" s="21"/>
      <c r="EI142" s="21"/>
      <c r="EJ142" s="21"/>
      <c r="EK142" s="21"/>
      <c r="EL142" s="69">
        <v>0</v>
      </c>
      <c r="EM142" s="21"/>
      <c r="EN142" s="69">
        <v>0</v>
      </c>
      <c r="EO142" s="21"/>
      <c r="EP142" s="69">
        <v>0</v>
      </c>
      <c r="EQ142" s="69">
        <v>0</v>
      </c>
      <c r="ER142" s="21"/>
      <c r="ES142" s="21"/>
      <c r="ET142" s="69">
        <v>0</v>
      </c>
      <c r="EU142" s="21"/>
      <c r="EV142" s="21"/>
      <c r="EW142" s="21"/>
      <c r="EX142" s="21"/>
      <c r="EY142" s="21"/>
      <c r="EZ142" s="21"/>
      <c r="FA142" s="69">
        <v>0</v>
      </c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>
        <v>0.11101811606070594</v>
      </c>
      <c r="GE142" s="21">
        <v>0.18259960837475964</v>
      </c>
      <c r="GF142" s="21">
        <v>0.30453655304715405</v>
      </c>
      <c r="GG142" s="21">
        <v>0.44313232070203906</v>
      </c>
      <c r="GH142" s="21">
        <v>0.68132143254477806</v>
      </c>
      <c r="GI142" s="21">
        <v>7.3654573456411092E-3</v>
      </c>
      <c r="GJ142" s="21">
        <v>8.2224915737604629E-3</v>
      </c>
      <c r="GK142" s="21">
        <v>2.5126619852943941E-2</v>
      </c>
      <c r="GL142" s="21">
        <v>4.7649856754628919E-2</v>
      </c>
      <c r="GM142" s="21">
        <v>0.33749417410903976</v>
      </c>
      <c r="GN142" s="21">
        <v>6.3953116924549804E-3</v>
      </c>
      <c r="GO142" s="21">
        <v>1.5270565837371495E-2</v>
      </c>
      <c r="GP142" s="21">
        <v>1.4353599567848874E-2</v>
      </c>
      <c r="GQ142" s="21">
        <v>8.7548436316056077E-2</v>
      </c>
      <c r="GR142" s="21">
        <v>0.92355074192244235</v>
      </c>
      <c r="GS142" s="21"/>
      <c r="GT142" s="21"/>
      <c r="GU142" s="21"/>
      <c r="GV142" s="21"/>
      <c r="GW142" s="21"/>
      <c r="GX142" s="21">
        <v>0</v>
      </c>
      <c r="GY142" s="21">
        <v>0</v>
      </c>
      <c r="GZ142" s="21">
        <v>6.7890333890153078</v>
      </c>
      <c r="HA142" s="21">
        <v>1.0062491873909467</v>
      </c>
      <c r="HB142" s="21">
        <f t="shared" si="2"/>
        <v>38.902739208494147</v>
      </c>
    </row>
    <row r="143" spans="1:210" x14ac:dyDescent="0.75">
      <c r="A143" s="68" t="s">
        <v>734</v>
      </c>
      <c r="B143" s="69">
        <v>0</v>
      </c>
      <c r="C143" s="69">
        <v>0</v>
      </c>
      <c r="D143" s="69">
        <v>0</v>
      </c>
      <c r="E143" s="69">
        <v>0</v>
      </c>
      <c r="F143" s="69">
        <v>0</v>
      </c>
      <c r="G143" s="69">
        <v>0</v>
      </c>
      <c r="H143" s="69">
        <v>0</v>
      </c>
      <c r="I143" s="69">
        <v>0</v>
      </c>
      <c r="J143" s="69">
        <v>0</v>
      </c>
      <c r="K143" s="69">
        <v>0</v>
      </c>
      <c r="L143" s="69">
        <v>0</v>
      </c>
      <c r="M143" s="69">
        <v>0</v>
      </c>
      <c r="N143" s="69">
        <v>0</v>
      </c>
      <c r="O143" s="69">
        <v>0</v>
      </c>
      <c r="P143" s="69">
        <v>0</v>
      </c>
      <c r="Q143" s="69">
        <v>0</v>
      </c>
      <c r="R143" s="69">
        <v>0</v>
      </c>
      <c r="S143" s="69">
        <v>0</v>
      </c>
      <c r="T143" s="69">
        <v>0</v>
      </c>
      <c r="U143" s="69">
        <v>0</v>
      </c>
      <c r="V143" s="69">
        <v>0</v>
      </c>
      <c r="W143" s="69">
        <v>0</v>
      </c>
      <c r="X143" s="69">
        <v>0</v>
      </c>
      <c r="Y143" s="69">
        <v>0</v>
      </c>
      <c r="Z143" s="69">
        <v>0</v>
      </c>
      <c r="AA143" s="69">
        <v>0</v>
      </c>
      <c r="AB143" s="69">
        <v>0</v>
      </c>
      <c r="AC143" s="69">
        <v>0</v>
      </c>
      <c r="AD143" s="69">
        <v>0</v>
      </c>
      <c r="AE143" s="69">
        <v>0</v>
      </c>
      <c r="AF143" s="69">
        <v>0</v>
      </c>
      <c r="AG143" s="69">
        <v>0</v>
      </c>
      <c r="AH143" s="69">
        <v>0</v>
      </c>
      <c r="AI143" s="69">
        <v>0</v>
      </c>
      <c r="AJ143" s="69">
        <v>0</v>
      </c>
      <c r="AK143" s="69">
        <v>0.32752672466996252</v>
      </c>
      <c r="AL143" s="69">
        <v>0</v>
      </c>
      <c r="AM143" s="69">
        <v>0</v>
      </c>
      <c r="AN143" s="69">
        <v>0</v>
      </c>
      <c r="AO143" s="69">
        <v>0</v>
      </c>
      <c r="AP143" s="69">
        <v>0</v>
      </c>
      <c r="AQ143" s="69">
        <v>0</v>
      </c>
      <c r="AR143" s="69">
        <v>0</v>
      </c>
      <c r="AS143" s="69">
        <v>0</v>
      </c>
      <c r="AT143" s="69">
        <v>0</v>
      </c>
      <c r="AU143" s="69">
        <v>0</v>
      </c>
      <c r="AV143" s="69">
        <v>0</v>
      </c>
      <c r="AW143" s="69">
        <v>0</v>
      </c>
      <c r="AX143" s="69">
        <v>0</v>
      </c>
      <c r="AY143" s="69">
        <v>0</v>
      </c>
      <c r="AZ143" s="69">
        <v>0</v>
      </c>
      <c r="BA143" s="69">
        <v>0</v>
      </c>
      <c r="BB143" s="69">
        <v>0</v>
      </c>
      <c r="BC143" s="69">
        <v>0</v>
      </c>
      <c r="BD143" s="69">
        <v>0</v>
      </c>
      <c r="BE143" s="69">
        <v>0</v>
      </c>
      <c r="BF143" s="69">
        <v>0</v>
      </c>
      <c r="BG143" s="69">
        <v>0</v>
      </c>
      <c r="BH143" s="69">
        <v>5.214877231559778</v>
      </c>
      <c r="BI143" s="69">
        <v>0</v>
      </c>
      <c r="BJ143" s="69">
        <v>164.06113563496052</v>
      </c>
      <c r="BK143" s="69">
        <v>5.2169757070005458</v>
      </c>
      <c r="BL143" s="69">
        <v>0</v>
      </c>
      <c r="BM143" s="69">
        <v>0</v>
      </c>
      <c r="BN143" s="69">
        <v>0.73128176141747703</v>
      </c>
      <c r="BO143" s="69">
        <v>0</v>
      </c>
      <c r="BP143" s="69">
        <v>0</v>
      </c>
      <c r="BQ143" s="69">
        <v>0</v>
      </c>
      <c r="BR143" s="69">
        <v>0</v>
      </c>
      <c r="BS143" s="69">
        <v>0</v>
      </c>
      <c r="BT143" s="69">
        <v>0</v>
      </c>
      <c r="BU143" s="69">
        <v>0</v>
      </c>
      <c r="BV143" s="69">
        <v>6.7359554228652724E-2</v>
      </c>
      <c r="BW143" s="69">
        <v>0</v>
      </c>
      <c r="BX143" s="69">
        <v>0</v>
      </c>
      <c r="BY143" s="69">
        <v>0</v>
      </c>
      <c r="BZ143" s="69">
        <v>0</v>
      </c>
      <c r="CA143" s="69">
        <v>0</v>
      </c>
      <c r="CB143" s="69">
        <v>0</v>
      </c>
      <c r="CC143" s="69">
        <v>0</v>
      </c>
      <c r="CD143" s="69">
        <v>0</v>
      </c>
      <c r="CE143" s="69">
        <v>0</v>
      </c>
      <c r="CF143" s="69">
        <v>0</v>
      </c>
      <c r="CG143" s="69">
        <v>0</v>
      </c>
      <c r="CH143" s="69">
        <v>0</v>
      </c>
      <c r="CI143" s="69">
        <v>0</v>
      </c>
      <c r="CJ143" s="69">
        <v>0</v>
      </c>
      <c r="CK143" s="69">
        <v>0</v>
      </c>
      <c r="CL143" s="69">
        <v>0</v>
      </c>
      <c r="CM143" s="69">
        <v>0</v>
      </c>
      <c r="CN143" s="69">
        <v>0</v>
      </c>
      <c r="CO143" s="69">
        <v>0</v>
      </c>
      <c r="CP143" s="69">
        <v>0</v>
      </c>
      <c r="CQ143" s="69">
        <v>0</v>
      </c>
      <c r="CR143" s="69">
        <v>0</v>
      </c>
      <c r="CS143" s="69">
        <v>0</v>
      </c>
      <c r="CT143" s="69">
        <v>0</v>
      </c>
      <c r="CU143" s="69">
        <v>0</v>
      </c>
      <c r="CV143" s="69">
        <v>0</v>
      </c>
      <c r="CW143" s="69">
        <v>0</v>
      </c>
      <c r="CX143" s="69">
        <v>0</v>
      </c>
      <c r="CY143" s="69">
        <v>0</v>
      </c>
      <c r="CZ143" s="69">
        <v>0</v>
      </c>
      <c r="DA143" s="69">
        <v>0</v>
      </c>
      <c r="DB143" s="69">
        <v>0</v>
      </c>
      <c r="DC143" s="69">
        <v>0</v>
      </c>
      <c r="DD143" s="69">
        <v>0</v>
      </c>
      <c r="DE143" s="69">
        <v>0</v>
      </c>
      <c r="DF143" s="69">
        <v>0</v>
      </c>
      <c r="DG143" s="69">
        <v>0</v>
      </c>
      <c r="DH143" s="69">
        <v>0</v>
      </c>
      <c r="DI143" s="69">
        <v>0</v>
      </c>
      <c r="DJ143" s="69">
        <v>0</v>
      </c>
      <c r="DK143" s="69">
        <v>0</v>
      </c>
      <c r="DL143" s="69">
        <v>0</v>
      </c>
      <c r="DM143" s="69">
        <v>0</v>
      </c>
      <c r="DN143" s="69">
        <v>0</v>
      </c>
      <c r="DO143" s="69">
        <v>0</v>
      </c>
      <c r="DP143" s="69">
        <v>0</v>
      </c>
      <c r="DQ143" s="69">
        <v>0</v>
      </c>
      <c r="DR143" s="69">
        <v>0</v>
      </c>
      <c r="DS143" s="69">
        <v>0</v>
      </c>
      <c r="DT143" s="69">
        <v>0</v>
      </c>
      <c r="DU143" s="69">
        <v>0</v>
      </c>
      <c r="DV143" s="69">
        <v>0</v>
      </c>
      <c r="DW143" s="69">
        <v>0</v>
      </c>
      <c r="DX143" s="69">
        <v>0</v>
      </c>
      <c r="DY143" s="69">
        <v>0</v>
      </c>
      <c r="DZ143" s="69">
        <v>0</v>
      </c>
      <c r="EA143" s="69">
        <v>0</v>
      </c>
      <c r="EB143" s="69">
        <v>0</v>
      </c>
      <c r="EC143" s="69">
        <v>0</v>
      </c>
      <c r="ED143" s="69">
        <v>0</v>
      </c>
      <c r="EE143" s="69">
        <v>0</v>
      </c>
      <c r="EF143" s="69">
        <v>0</v>
      </c>
      <c r="EG143" s="69">
        <v>0</v>
      </c>
      <c r="EH143" s="69">
        <v>0</v>
      </c>
      <c r="EI143" s="69">
        <v>0</v>
      </c>
      <c r="EJ143" s="69">
        <v>0</v>
      </c>
      <c r="EK143" s="69">
        <v>0</v>
      </c>
      <c r="EL143" s="69">
        <v>0</v>
      </c>
      <c r="EM143" s="69">
        <v>0</v>
      </c>
      <c r="EN143" s="69">
        <v>0</v>
      </c>
      <c r="EO143" s="69">
        <v>0</v>
      </c>
      <c r="EP143" s="69">
        <v>0</v>
      </c>
      <c r="EQ143" s="69">
        <v>0</v>
      </c>
      <c r="ER143" s="69">
        <v>0</v>
      </c>
      <c r="ES143" s="69">
        <v>0</v>
      </c>
      <c r="ET143" s="69">
        <v>0</v>
      </c>
      <c r="EU143" s="69">
        <v>0</v>
      </c>
      <c r="EV143" s="69">
        <v>0</v>
      </c>
      <c r="EW143" s="69">
        <v>0</v>
      </c>
      <c r="EX143" s="69">
        <v>0</v>
      </c>
      <c r="EY143" s="69">
        <v>0</v>
      </c>
      <c r="EZ143" s="69">
        <v>0</v>
      </c>
      <c r="FA143" s="69">
        <v>0</v>
      </c>
      <c r="FB143" s="69">
        <v>0</v>
      </c>
      <c r="FC143" s="69">
        <v>0</v>
      </c>
      <c r="FD143" s="69">
        <v>0</v>
      </c>
      <c r="FE143" s="69">
        <v>0</v>
      </c>
      <c r="FF143" s="69">
        <v>0</v>
      </c>
      <c r="FG143" s="69">
        <v>0</v>
      </c>
      <c r="FH143" s="69">
        <v>0</v>
      </c>
      <c r="FI143" s="69">
        <v>0</v>
      </c>
      <c r="FJ143" s="69">
        <v>0</v>
      </c>
      <c r="FK143" s="69">
        <v>0</v>
      </c>
      <c r="FL143" s="69">
        <v>0</v>
      </c>
      <c r="FM143" s="69">
        <v>0</v>
      </c>
      <c r="FN143" s="69">
        <v>0</v>
      </c>
      <c r="FO143" s="69">
        <v>0</v>
      </c>
      <c r="FP143" s="69">
        <v>0</v>
      </c>
      <c r="FQ143" s="69">
        <v>0</v>
      </c>
      <c r="FR143" s="69">
        <v>0</v>
      </c>
      <c r="FS143" s="69">
        <v>0</v>
      </c>
      <c r="FT143" s="69">
        <v>0</v>
      </c>
      <c r="FU143" s="69">
        <v>0</v>
      </c>
      <c r="FV143" s="69">
        <v>0</v>
      </c>
      <c r="FW143" s="69">
        <v>0</v>
      </c>
      <c r="FX143" s="69">
        <v>0</v>
      </c>
      <c r="FY143" s="69">
        <v>0</v>
      </c>
      <c r="FZ143" s="69">
        <v>0</v>
      </c>
      <c r="GA143" s="69">
        <v>0</v>
      </c>
      <c r="GB143" s="69">
        <v>0</v>
      </c>
      <c r="GC143" s="69">
        <v>0</v>
      </c>
      <c r="GD143" s="69">
        <v>0</v>
      </c>
      <c r="GE143" s="69">
        <v>0</v>
      </c>
      <c r="GF143" s="69">
        <v>0</v>
      </c>
      <c r="GG143" s="69">
        <v>0</v>
      </c>
      <c r="GH143" s="69">
        <v>0</v>
      </c>
      <c r="GI143" s="69">
        <v>0</v>
      </c>
      <c r="GJ143" s="69">
        <v>0</v>
      </c>
      <c r="GK143" s="69">
        <v>0</v>
      </c>
      <c r="GL143" s="69">
        <v>0</v>
      </c>
      <c r="GM143" s="69">
        <v>0</v>
      </c>
      <c r="GN143" s="69">
        <v>0</v>
      </c>
      <c r="GO143" s="69">
        <v>0</v>
      </c>
      <c r="GP143" s="69">
        <v>0</v>
      </c>
      <c r="GQ143" s="69">
        <v>0</v>
      </c>
      <c r="GR143" s="69">
        <v>0</v>
      </c>
      <c r="GS143" s="69">
        <v>0</v>
      </c>
      <c r="GT143" s="69">
        <v>0</v>
      </c>
      <c r="GU143" s="69">
        <v>0</v>
      </c>
      <c r="GV143" s="69">
        <v>0</v>
      </c>
      <c r="GW143" s="69">
        <v>0</v>
      </c>
      <c r="GX143" s="21">
        <v>0</v>
      </c>
      <c r="GY143" s="21">
        <v>0</v>
      </c>
      <c r="GZ143" s="69">
        <v>-10.437267816952582</v>
      </c>
      <c r="HA143" s="69">
        <v>11.361923692232539</v>
      </c>
      <c r="HB143" s="21">
        <f t="shared" si="2"/>
        <v>176.54381248911693</v>
      </c>
    </row>
    <row r="144" spans="1:210" x14ac:dyDescent="0.75">
      <c r="A144" s="67" t="s">
        <v>340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69">
        <v>0</v>
      </c>
      <c r="AD144" s="21"/>
      <c r="AE144" s="21"/>
      <c r="AF144" s="69">
        <v>0</v>
      </c>
      <c r="AG144" s="21"/>
      <c r="AH144" s="21"/>
      <c r="AI144" s="69">
        <v>0.20386226443152919</v>
      </c>
      <c r="AJ144" s="21"/>
      <c r="AK144" s="21"/>
      <c r="AL144" s="21"/>
      <c r="AM144" s="21"/>
      <c r="AN144" s="21"/>
      <c r="AO144" s="21"/>
      <c r="AP144" s="21"/>
      <c r="AQ144" s="21"/>
      <c r="AR144" s="69">
        <v>0</v>
      </c>
      <c r="AS144" s="21"/>
      <c r="AT144" s="21"/>
      <c r="AU144" s="21"/>
      <c r="AV144" s="21"/>
      <c r="AW144" s="21"/>
      <c r="AX144" s="21"/>
      <c r="AY144" s="21"/>
      <c r="AZ144" s="21"/>
      <c r="BA144" s="21"/>
      <c r="BB144" s="69">
        <v>6.0621022216813456</v>
      </c>
      <c r="BC144" s="21">
        <v>40.217117143518088</v>
      </c>
      <c r="BD144" s="21"/>
      <c r="BE144" s="21">
        <v>0.63523596095671231</v>
      </c>
      <c r="BF144" s="21">
        <v>3.5218875212746983E-2</v>
      </c>
      <c r="BG144" s="69">
        <v>0.32474060444598024</v>
      </c>
      <c r="BH144" s="21">
        <v>5.391786353607535</v>
      </c>
      <c r="BI144" s="69">
        <v>0</v>
      </c>
      <c r="BJ144" s="21">
        <v>190.66242118210712</v>
      </c>
      <c r="BK144" s="69">
        <v>7.285497234132389E-2</v>
      </c>
      <c r="BL144" s="69">
        <v>0</v>
      </c>
      <c r="BM144" s="21"/>
      <c r="BN144" s="21"/>
      <c r="BO144" s="69">
        <v>0</v>
      </c>
      <c r="BP144" s="21"/>
      <c r="BQ144" s="21"/>
      <c r="BR144" s="21"/>
      <c r="BS144" s="21"/>
      <c r="BT144" s="21"/>
      <c r="BU144" s="21"/>
      <c r="BV144" s="69">
        <v>8.2709019170113834E-2</v>
      </c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69">
        <v>0</v>
      </c>
      <c r="DH144" s="21"/>
      <c r="DI144" s="21"/>
      <c r="DJ144" s="69">
        <v>0</v>
      </c>
      <c r="DK144" s="21"/>
      <c r="DL144" s="21"/>
      <c r="DM144" s="69">
        <v>0</v>
      </c>
      <c r="DN144" s="21"/>
      <c r="DO144" s="21"/>
      <c r="DP144" s="21"/>
      <c r="DQ144" s="21"/>
      <c r="DR144" s="21"/>
      <c r="DS144" s="21"/>
      <c r="DT144" s="21"/>
      <c r="DU144" s="21"/>
      <c r="DV144" s="21"/>
      <c r="DW144" s="69">
        <v>0</v>
      </c>
      <c r="DX144" s="21"/>
      <c r="DY144" s="21"/>
      <c r="DZ144" s="21"/>
      <c r="EA144" s="21"/>
      <c r="EB144" s="21"/>
      <c r="EC144" s="21"/>
      <c r="ED144" s="21"/>
      <c r="EE144" s="21"/>
      <c r="EF144" s="21"/>
      <c r="EG144" s="69">
        <v>0</v>
      </c>
      <c r="EH144" s="21"/>
      <c r="EI144" s="21"/>
      <c r="EJ144" s="21"/>
      <c r="EK144" s="21"/>
      <c r="EL144" s="69">
        <v>0</v>
      </c>
      <c r="EM144" s="21"/>
      <c r="EN144" s="69">
        <v>0</v>
      </c>
      <c r="EO144" s="21"/>
      <c r="EP144" s="69">
        <v>0</v>
      </c>
      <c r="EQ144" s="69">
        <v>0</v>
      </c>
      <c r="ER144" s="21"/>
      <c r="ES144" s="21"/>
      <c r="ET144" s="69">
        <v>0</v>
      </c>
      <c r="EU144" s="21"/>
      <c r="EV144" s="21"/>
      <c r="EW144" s="21"/>
      <c r="EX144" s="21"/>
      <c r="EY144" s="21"/>
      <c r="EZ144" s="21"/>
      <c r="FA144" s="69">
        <v>0</v>
      </c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>
        <v>0.190138362722332</v>
      </c>
      <c r="GE144" s="21">
        <v>0.3317508336249862</v>
      </c>
      <c r="GF144" s="21">
        <v>0.43831151726959061</v>
      </c>
      <c r="GG144" s="21">
        <v>0.69954326144611745</v>
      </c>
      <c r="GH144" s="21">
        <v>0.85660184162746411</v>
      </c>
      <c r="GI144" s="21">
        <v>1.0055743075185386E-2</v>
      </c>
      <c r="GJ144" s="21">
        <v>1.4784536687837167E-2</v>
      </c>
      <c r="GK144" s="21">
        <v>2.7524503216611623E-2</v>
      </c>
      <c r="GL144" s="21">
        <v>5.1484987579320296E-2</v>
      </c>
      <c r="GM144" s="21">
        <v>0.40645332303941323</v>
      </c>
      <c r="GN144" s="21">
        <v>1.0379319039014456E-2</v>
      </c>
      <c r="GO144" s="21">
        <v>1.4645388635429359E-2</v>
      </c>
      <c r="GP144" s="21">
        <v>3.0280639895918688E-2</v>
      </c>
      <c r="GQ144" s="21">
        <v>0.13688368138830281</v>
      </c>
      <c r="GR144" s="21">
        <v>1.1059712893146827</v>
      </c>
      <c r="GS144" s="21"/>
      <c r="GT144" s="21"/>
      <c r="GU144" s="21"/>
      <c r="GV144" s="21"/>
      <c r="GW144" s="21"/>
      <c r="GX144" s="21">
        <v>0</v>
      </c>
      <c r="GY144" s="21">
        <v>0</v>
      </c>
      <c r="GZ144" s="21">
        <v>-1.5842085773280594</v>
      </c>
      <c r="HA144" s="21">
        <v>85.579942259984321</v>
      </c>
      <c r="HB144" s="21">
        <f t="shared" si="2"/>
        <v>332.00859150869098</v>
      </c>
    </row>
    <row r="145" spans="1:210" x14ac:dyDescent="0.75">
      <c r="A145" s="67" t="s">
        <v>64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69">
        <v>0</v>
      </c>
      <c r="AD145" s="21"/>
      <c r="AE145" s="21"/>
      <c r="AF145" s="69">
        <v>0</v>
      </c>
      <c r="AG145" s="21"/>
      <c r="AH145" s="21"/>
      <c r="AI145" s="69">
        <v>0.14634436388294761</v>
      </c>
      <c r="AJ145" s="21">
        <v>0.1563377336708337</v>
      </c>
      <c r="AK145" s="21">
        <v>3.4799967456896591E-2</v>
      </c>
      <c r="AL145" s="21"/>
      <c r="AM145" s="21"/>
      <c r="AN145" s="21">
        <v>0.31496059875420451</v>
      </c>
      <c r="AO145" s="21">
        <v>3.0650452377121119E-3</v>
      </c>
      <c r="AP145" s="21"/>
      <c r="AQ145" s="21">
        <v>0.37167357887859415</v>
      </c>
      <c r="AR145" s="69">
        <v>1.7943034925340229</v>
      </c>
      <c r="AS145" s="21">
        <v>0.47291937143645213</v>
      </c>
      <c r="AT145" s="21">
        <v>0.12445894465192354</v>
      </c>
      <c r="AU145" s="21">
        <v>7.7153913562359719E-2</v>
      </c>
      <c r="AV145" s="21">
        <v>6.4324667475620392E-2</v>
      </c>
      <c r="AW145" s="21">
        <v>1.6774443622037095E-3</v>
      </c>
      <c r="AX145" s="21">
        <v>0.48520642292132615</v>
      </c>
      <c r="AY145" s="21">
        <v>5.2065051135888785E-4</v>
      </c>
      <c r="AZ145" s="21">
        <v>1.0801647590042212E-2</v>
      </c>
      <c r="BA145" s="21">
        <v>6.5962434857938547E-5</v>
      </c>
      <c r="BB145" s="69">
        <v>0.12413333105357721</v>
      </c>
      <c r="BC145" s="21">
        <v>0.36418433568947756</v>
      </c>
      <c r="BD145" s="21"/>
      <c r="BE145" s="21"/>
      <c r="BF145" s="21">
        <v>4.5917639996303106E-2</v>
      </c>
      <c r="BG145" s="69">
        <v>4.1665523566986142E-2</v>
      </c>
      <c r="BH145" s="21">
        <v>0.42391881837522921</v>
      </c>
      <c r="BI145" s="69">
        <v>1.4404407926867695</v>
      </c>
      <c r="BJ145" s="21">
        <v>10.949131757115866</v>
      </c>
      <c r="BK145" s="69">
        <v>6.612105246240656</v>
      </c>
      <c r="BL145" s="69">
        <v>0.22485969800087544</v>
      </c>
      <c r="BM145" s="21">
        <v>2.0282554791736851E-2</v>
      </c>
      <c r="BN145" s="21">
        <v>1.3255942879986191</v>
      </c>
      <c r="BO145" s="69">
        <v>6.7958654390112117E-2</v>
      </c>
      <c r="BP145" s="21">
        <v>1.6106947549198388E-2</v>
      </c>
      <c r="BQ145" s="21"/>
      <c r="BR145" s="21"/>
      <c r="BS145" s="21"/>
      <c r="BT145" s="21"/>
      <c r="BU145" s="21">
        <v>2.5259021448647917E-2</v>
      </c>
      <c r="BV145" s="69">
        <v>0.64827124511287981</v>
      </c>
      <c r="BW145" s="21">
        <v>5.6851812347870272</v>
      </c>
      <c r="BX145" s="21">
        <v>0.76103973806385961</v>
      </c>
      <c r="BY145" s="21">
        <v>0.48150030338958139</v>
      </c>
      <c r="BZ145" s="21">
        <v>0.22403057275795929</v>
      </c>
      <c r="CA145" s="21">
        <v>0.15924279512623973</v>
      </c>
      <c r="CB145" s="21">
        <v>3.7592387386853554E-2</v>
      </c>
      <c r="CC145" s="21">
        <v>2.0828108545082706</v>
      </c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69">
        <v>0</v>
      </c>
      <c r="DH145" s="21"/>
      <c r="DI145" s="21"/>
      <c r="DJ145" s="69">
        <v>0</v>
      </c>
      <c r="DK145" s="21"/>
      <c r="DL145" s="21"/>
      <c r="DM145" s="69">
        <v>0</v>
      </c>
      <c r="DN145" s="21"/>
      <c r="DO145" s="21"/>
      <c r="DP145" s="21"/>
      <c r="DQ145" s="21"/>
      <c r="DR145" s="21"/>
      <c r="DS145" s="21"/>
      <c r="DT145" s="21"/>
      <c r="DU145" s="21"/>
      <c r="DV145" s="21"/>
      <c r="DW145" s="69">
        <v>0</v>
      </c>
      <c r="DX145" s="21"/>
      <c r="DY145" s="21"/>
      <c r="DZ145" s="21"/>
      <c r="EA145" s="21"/>
      <c r="EB145" s="21"/>
      <c r="EC145" s="21"/>
      <c r="ED145" s="21"/>
      <c r="EE145" s="21"/>
      <c r="EF145" s="21"/>
      <c r="EG145" s="69">
        <v>0</v>
      </c>
      <c r="EH145" s="21"/>
      <c r="EI145" s="21"/>
      <c r="EJ145" s="21"/>
      <c r="EK145" s="21"/>
      <c r="EL145" s="69">
        <v>0</v>
      </c>
      <c r="EM145" s="21"/>
      <c r="EN145" s="69">
        <v>0</v>
      </c>
      <c r="EO145" s="21"/>
      <c r="EP145" s="69">
        <v>0</v>
      </c>
      <c r="EQ145" s="69">
        <v>0</v>
      </c>
      <c r="ER145" s="21"/>
      <c r="ES145" s="21"/>
      <c r="ET145" s="69">
        <v>0</v>
      </c>
      <c r="EU145" s="21"/>
      <c r="EV145" s="21"/>
      <c r="EW145" s="21"/>
      <c r="EX145" s="21"/>
      <c r="EY145" s="21"/>
      <c r="EZ145" s="21"/>
      <c r="FA145" s="69">
        <v>0</v>
      </c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>
        <v>1.6242525702822601</v>
      </c>
      <c r="GE145" s="21">
        <v>2.946106718167099</v>
      </c>
      <c r="GF145" s="21">
        <v>4.1983506490532871</v>
      </c>
      <c r="GG145" s="21">
        <v>6.6663791794814538</v>
      </c>
      <c r="GH145" s="21">
        <v>12.281276517754511</v>
      </c>
      <c r="GI145" s="21">
        <v>0.11427466042438886</v>
      </c>
      <c r="GJ145" s="21">
        <v>9.3032190447796273E-2</v>
      </c>
      <c r="GK145" s="21">
        <v>0.258729187372639</v>
      </c>
      <c r="GL145" s="21">
        <v>0.65764552602967297</v>
      </c>
      <c r="GM145" s="21">
        <v>8.0849336487146264</v>
      </c>
      <c r="GN145" s="21">
        <v>5.401464967115277E-2</v>
      </c>
      <c r="GO145" s="21">
        <v>7.975955276749111E-2</v>
      </c>
      <c r="GP145" s="21">
        <v>0.18051627654082686</v>
      </c>
      <c r="GQ145" s="21">
        <v>0.58740349599770103</v>
      </c>
      <c r="GR145" s="21">
        <v>18.612564780460808</v>
      </c>
      <c r="GS145" s="21"/>
      <c r="GT145" s="21"/>
      <c r="GU145" s="21"/>
      <c r="GV145" s="21"/>
      <c r="GW145" s="21"/>
      <c r="GX145" s="21">
        <v>0</v>
      </c>
      <c r="GY145" s="21">
        <v>390.70903217274986</v>
      </c>
      <c r="GZ145" s="21"/>
      <c r="HA145" s="21">
        <v>10.50342522250291</v>
      </c>
      <c r="HB145" s="21">
        <f t="shared" si="2"/>
        <v>493.47153854381656</v>
      </c>
    </row>
    <row r="146" spans="1:210" x14ac:dyDescent="0.75">
      <c r="A146" s="67" t="s">
        <v>539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69">
        <v>0</v>
      </c>
      <c r="AD146" s="21"/>
      <c r="AE146" s="21"/>
      <c r="AF146" s="69">
        <v>0</v>
      </c>
      <c r="AG146" s="21"/>
      <c r="AH146" s="21"/>
      <c r="AI146" s="69">
        <v>3.1033633273926574E-2</v>
      </c>
      <c r="AJ146" s="21"/>
      <c r="AK146" s="21">
        <v>7.3081859764061952E-2</v>
      </c>
      <c r="AL146" s="21"/>
      <c r="AM146" s="21"/>
      <c r="AN146" s="21">
        <v>7.3013985837183507E-2</v>
      </c>
      <c r="AO146" s="21"/>
      <c r="AP146" s="21"/>
      <c r="AQ146" s="21">
        <v>6.2726608620583921E-2</v>
      </c>
      <c r="AR146" s="69">
        <v>3.3291458139279216E-2</v>
      </c>
      <c r="AS146" s="21"/>
      <c r="AT146" s="21">
        <v>0.19857084563762523</v>
      </c>
      <c r="AU146" s="21">
        <v>9.0093974567115548E-4</v>
      </c>
      <c r="AV146" s="21">
        <v>4.3229575319440475E-3</v>
      </c>
      <c r="AW146" s="21"/>
      <c r="AX146" s="21">
        <v>0.5324452473019764</v>
      </c>
      <c r="AY146" s="21">
        <v>1.6101608632586039E-2</v>
      </c>
      <c r="AZ146" s="21">
        <v>4.0305057170511837E-4</v>
      </c>
      <c r="BA146" s="21"/>
      <c r="BB146" s="69">
        <v>5.4498786727143278E-3</v>
      </c>
      <c r="BC146" s="21">
        <v>0.26535481524702209</v>
      </c>
      <c r="BD146" s="21">
        <v>4.1964110868735485E-2</v>
      </c>
      <c r="BE146" s="21">
        <v>0.18883260764249582</v>
      </c>
      <c r="BF146" s="21">
        <v>3.0857006938728921E-3</v>
      </c>
      <c r="BG146" s="69">
        <v>0</v>
      </c>
      <c r="BH146" s="21">
        <v>5.0005448743670182E-2</v>
      </c>
      <c r="BI146" s="69">
        <v>1.2405162197226001</v>
      </c>
      <c r="BJ146" s="21">
        <v>2.2462458093572217</v>
      </c>
      <c r="BK146" s="69">
        <v>5.2073784514986308</v>
      </c>
      <c r="BL146" s="69">
        <v>1.4979701100833489</v>
      </c>
      <c r="BM146" s="21"/>
      <c r="BN146" s="21">
        <v>0.39424274861906267</v>
      </c>
      <c r="BO146" s="69">
        <v>5.0831261617035828E-2</v>
      </c>
      <c r="BP146" s="21">
        <v>1.4875350926139898E-2</v>
      </c>
      <c r="BQ146" s="21"/>
      <c r="BR146" s="21"/>
      <c r="BS146" s="21"/>
      <c r="BT146" s="21"/>
      <c r="BU146" s="21">
        <v>0.15595800986047459</v>
      </c>
      <c r="BV146" s="69">
        <v>1.4962822952957437</v>
      </c>
      <c r="BW146" s="21">
        <v>1.4861682171063115</v>
      </c>
      <c r="BX146" s="21">
        <v>0.29554692422372647</v>
      </c>
      <c r="BY146" s="21">
        <v>0.23762323670773888</v>
      </c>
      <c r="BZ146" s="21">
        <v>0.14547535197502223</v>
      </c>
      <c r="CA146" s="21"/>
      <c r="CB146" s="21"/>
      <c r="CC146" s="21">
        <v>0.14841079163904738</v>
      </c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69">
        <v>0</v>
      </c>
      <c r="DH146" s="21"/>
      <c r="DI146" s="21"/>
      <c r="DJ146" s="69">
        <v>0</v>
      </c>
      <c r="DK146" s="21"/>
      <c r="DL146" s="21"/>
      <c r="DM146" s="69">
        <v>0</v>
      </c>
      <c r="DN146" s="21"/>
      <c r="DO146" s="21"/>
      <c r="DP146" s="21"/>
      <c r="DQ146" s="21"/>
      <c r="DR146" s="21"/>
      <c r="DS146" s="21"/>
      <c r="DT146" s="21"/>
      <c r="DU146" s="21"/>
      <c r="DV146" s="21"/>
      <c r="DW146" s="69">
        <v>0</v>
      </c>
      <c r="DX146" s="21"/>
      <c r="DY146" s="21"/>
      <c r="DZ146" s="21"/>
      <c r="EA146" s="21"/>
      <c r="EB146" s="21"/>
      <c r="EC146" s="21"/>
      <c r="ED146" s="21"/>
      <c r="EE146" s="21"/>
      <c r="EF146" s="21"/>
      <c r="EG146" s="69">
        <v>0</v>
      </c>
      <c r="EH146" s="21"/>
      <c r="EI146" s="21"/>
      <c r="EJ146" s="21"/>
      <c r="EK146" s="21"/>
      <c r="EL146" s="69">
        <v>0</v>
      </c>
      <c r="EM146" s="21"/>
      <c r="EN146" s="69">
        <v>0</v>
      </c>
      <c r="EO146" s="21"/>
      <c r="EP146" s="69">
        <v>0</v>
      </c>
      <c r="EQ146" s="69">
        <v>0</v>
      </c>
      <c r="ER146" s="21"/>
      <c r="ES146" s="21"/>
      <c r="ET146" s="69">
        <v>0</v>
      </c>
      <c r="EU146" s="21"/>
      <c r="EV146" s="21"/>
      <c r="EW146" s="21"/>
      <c r="EX146" s="21"/>
      <c r="EY146" s="21"/>
      <c r="EZ146" s="21"/>
      <c r="FA146" s="69">
        <v>0</v>
      </c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>
        <v>0.42411210117552134</v>
      </c>
      <c r="GE146" s="21">
        <v>1.4020877092373893</v>
      </c>
      <c r="GF146" s="21">
        <v>3.649495458405132</v>
      </c>
      <c r="GG146" s="21">
        <v>9.0942591971768554</v>
      </c>
      <c r="GH146" s="21">
        <v>23.385049500556725</v>
      </c>
      <c r="GI146" s="21">
        <v>3.0716089574291072E-2</v>
      </c>
      <c r="GJ146" s="21">
        <v>0.13699077897129108</v>
      </c>
      <c r="GK146" s="21">
        <v>0.23211090300275911</v>
      </c>
      <c r="GL146" s="21">
        <v>0.48997822460061052</v>
      </c>
      <c r="GM146" s="21">
        <v>13.381613703272675</v>
      </c>
      <c r="GN146" s="21">
        <v>0.10545645020447685</v>
      </c>
      <c r="GO146" s="21">
        <v>0.25758977155917362</v>
      </c>
      <c r="GP146" s="21">
        <v>0.38862699342638651</v>
      </c>
      <c r="GQ146" s="21">
        <v>1.353348850021443</v>
      </c>
      <c r="GR146" s="21">
        <v>52.259802883317064</v>
      </c>
      <c r="GS146" s="21"/>
      <c r="GT146" s="21"/>
      <c r="GU146" s="21"/>
      <c r="GV146" s="21"/>
      <c r="GW146" s="21"/>
      <c r="GX146" s="21">
        <v>0</v>
      </c>
      <c r="GY146" s="21">
        <v>88.627206383720534</v>
      </c>
      <c r="GZ146" s="21"/>
      <c r="HA146" s="21">
        <v>14.646226814356854</v>
      </c>
      <c r="HB146" s="21">
        <f t="shared" si="2"/>
        <v>226.06278134813633</v>
      </c>
    </row>
    <row r="147" spans="1:210" x14ac:dyDescent="0.75">
      <c r="A147" s="67" t="s">
        <v>735</v>
      </c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69">
        <v>0</v>
      </c>
      <c r="AD147" s="21"/>
      <c r="AE147" s="21"/>
      <c r="AF147" s="69">
        <v>0</v>
      </c>
      <c r="AG147" s="21"/>
      <c r="AH147" s="21"/>
      <c r="AI147" s="69">
        <v>0</v>
      </c>
      <c r="AJ147" s="21"/>
      <c r="AK147" s="21"/>
      <c r="AL147" s="21"/>
      <c r="AM147" s="21"/>
      <c r="AN147" s="21"/>
      <c r="AO147" s="21"/>
      <c r="AP147" s="21"/>
      <c r="AQ147" s="21"/>
      <c r="AR147" s="69">
        <v>0</v>
      </c>
      <c r="AS147" s="21"/>
      <c r="AT147" s="21"/>
      <c r="AU147" s="21"/>
      <c r="AV147" s="21"/>
      <c r="AW147" s="21"/>
      <c r="AX147" s="21"/>
      <c r="AY147" s="21"/>
      <c r="AZ147" s="21"/>
      <c r="BA147" s="21"/>
      <c r="BB147" s="69">
        <v>0</v>
      </c>
      <c r="BC147" s="21"/>
      <c r="BD147" s="21"/>
      <c r="BE147" s="21"/>
      <c r="BF147" s="21"/>
      <c r="BG147" s="69">
        <v>0</v>
      </c>
      <c r="BH147" s="21"/>
      <c r="BI147" s="69">
        <v>0</v>
      </c>
      <c r="BJ147" s="21"/>
      <c r="BK147" s="69">
        <v>0</v>
      </c>
      <c r="BL147" s="69">
        <v>0</v>
      </c>
      <c r="BM147" s="21"/>
      <c r="BN147" s="21"/>
      <c r="BO147" s="69">
        <v>0</v>
      </c>
      <c r="BP147" s="21"/>
      <c r="BQ147" s="21"/>
      <c r="BR147" s="21"/>
      <c r="BS147" s="21"/>
      <c r="BT147" s="21"/>
      <c r="BU147" s="21"/>
      <c r="BV147" s="69">
        <v>0</v>
      </c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69">
        <v>0</v>
      </c>
      <c r="DH147" s="21"/>
      <c r="DI147" s="21"/>
      <c r="DJ147" s="69">
        <v>0</v>
      </c>
      <c r="DK147" s="21"/>
      <c r="DL147" s="21"/>
      <c r="DM147" s="69">
        <v>0</v>
      </c>
      <c r="DN147" s="21"/>
      <c r="DO147" s="21"/>
      <c r="DP147" s="21"/>
      <c r="DQ147" s="21"/>
      <c r="DR147" s="21"/>
      <c r="DS147" s="21"/>
      <c r="DT147" s="21"/>
      <c r="DU147" s="21"/>
      <c r="DV147" s="21"/>
      <c r="DW147" s="69">
        <v>0</v>
      </c>
      <c r="DX147" s="21"/>
      <c r="DY147" s="21"/>
      <c r="DZ147" s="21"/>
      <c r="EA147" s="21"/>
      <c r="EB147" s="21"/>
      <c r="EC147" s="21"/>
      <c r="ED147" s="21"/>
      <c r="EE147" s="21"/>
      <c r="EF147" s="21"/>
      <c r="EG147" s="69">
        <v>0</v>
      </c>
      <c r="EH147" s="21"/>
      <c r="EI147" s="21"/>
      <c r="EJ147" s="21"/>
      <c r="EK147" s="21"/>
      <c r="EL147" s="69">
        <v>0</v>
      </c>
      <c r="EM147" s="21"/>
      <c r="EN147" s="69">
        <v>0</v>
      </c>
      <c r="EO147" s="21"/>
      <c r="EP147" s="69">
        <v>0</v>
      </c>
      <c r="EQ147" s="69">
        <v>0</v>
      </c>
      <c r="ER147" s="21"/>
      <c r="ES147" s="21"/>
      <c r="ET147" s="69">
        <v>0</v>
      </c>
      <c r="EU147" s="21"/>
      <c r="EV147" s="21"/>
      <c r="EW147" s="21"/>
      <c r="EX147" s="21"/>
      <c r="EY147" s="21"/>
      <c r="EZ147" s="21"/>
      <c r="FA147" s="69">
        <v>0</v>
      </c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>
        <v>0.46409044851634979</v>
      </c>
      <c r="GE147" s="21">
        <v>0.97212580235171975</v>
      </c>
      <c r="GF147" s="21">
        <v>1.5907709347716257</v>
      </c>
      <c r="GG147" s="21">
        <v>2.5676652071672827</v>
      </c>
      <c r="GH147" s="21">
        <v>3.7413600220610661</v>
      </c>
      <c r="GI147" s="21">
        <v>4.758029647176748E-2</v>
      </c>
      <c r="GJ147" s="21">
        <v>5.264548434633376E-2</v>
      </c>
      <c r="GK147" s="21">
        <v>0.11557108662278602</v>
      </c>
      <c r="GL147" s="21">
        <v>0.28843382727553912</v>
      </c>
      <c r="GM147" s="21">
        <v>1.7639613811496249</v>
      </c>
      <c r="GN147" s="21">
        <v>1.3739768540355421E-2</v>
      </c>
      <c r="GO147" s="21">
        <v>7.3261638580575342E-2</v>
      </c>
      <c r="GP147" s="21">
        <v>0.14293771085944382</v>
      </c>
      <c r="GQ147" s="21">
        <v>0.40254731314163705</v>
      </c>
      <c r="GR147" s="21">
        <v>5.505390723328965</v>
      </c>
      <c r="GS147" s="21"/>
      <c r="GT147" s="21"/>
      <c r="GU147" s="21"/>
      <c r="GV147" s="21"/>
      <c r="GW147" s="21"/>
      <c r="GX147" s="21">
        <v>0</v>
      </c>
      <c r="GY147" s="21">
        <v>26.972463539061955</v>
      </c>
      <c r="GZ147" s="21"/>
      <c r="HA147" s="21">
        <v>2.8874555417627379</v>
      </c>
      <c r="HB147" s="21">
        <f t="shared" si="2"/>
        <v>47.60200072600977</v>
      </c>
    </row>
    <row r="148" spans="1:210" x14ac:dyDescent="0.75">
      <c r="A148" s="68" t="s">
        <v>341</v>
      </c>
      <c r="B148" s="69">
        <v>0</v>
      </c>
      <c r="C148" s="69">
        <v>0</v>
      </c>
      <c r="D148" s="69">
        <v>0</v>
      </c>
      <c r="E148" s="69">
        <v>0</v>
      </c>
      <c r="F148" s="69">
        <v>0</v>
      </c>
      <c r="G148" s="69">
        <v>0</v>
      </c>
      <c r="H148" s="69">
        <v>0</v>
      </c>
      <c r="I148" s="69">
        <v>0</v>
      </c>
      <c r="J148" s="69">
        <v>0</v>
      </c>
      <c r="K148" s="69">
        <v>0</v>
      </c>
      <c r="L148" s="69">
        <v>0</v>
      </c>
      <c r="M148" s="69">
        <v>0</v>
      </c>
      <c r="N148" s="69">
        <v>0</v>
      </c>
      <c r="O148" s="69">
        <v>0</v>
      </c>
      <c r="P148" s="69">
        <v>0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  <c r="AE148" s="69">
        <v>0</v>
      </c>
      <c r="AF148" s="69">
        <v>0</v>
      </c>
      <c r="AG148" s="69">
        <v>0</v>
      </c>
      <c r="AH148" s="69">
        <v>0</v>
      </c>
      <c r="AI148" s="69">
        <v>0.18841786922306764</v>
      </c>
      <c r="AJ148" s="69">
        <v>5.4227244094039633E-3</v>
      </c>
      <c r="AK148" s="69">
        <v>2.1656975999688505E-3</v>
      </c>
      <c r="AL148" s="69">
        <v>0</v>
      </c>
      <c r="AM148" s="69">
        <v>1.2910405458767324E-2</v>
      </c>
      <c r="AN148" s="69">
        <v>4.8454188698045735E-2</v>
      </c>
      <c r="AO148" s="69">
        <v>5.7005530342781512E-3</v>
      </c>
      <c r="AP148" s="69">
        <v>0</v>
      </c>
      <c r="AQ148" s="69">
        <v>0.10124514078323524</v>
      </c>
      <c r="AR148" s="69">
        <v>0.24991801572739003</v>
      </c>
      <c r="AS148" s="69">
        <v>1.3242090217537918E-2</v>
      </c>
      <c r="AT148" s="69">
        <v>0.56908698609203179</v>
      </c>
      <c r="AU148" s="69">
        <v>8.6342762793749969E-3</v>
      </c>
      <c r="AV148" s="69">
        <v>1.7222542387967589E-2</v>
      </c>
      <c r="AW148" s="69">
        <v>2.1436975096579768E-3</v>
      </c>
      <c r="AX148" s="69">
        <v>6.6095822841243865E-2</v>
      </c>
      <c r="AY148" s="69">
        <v>3.1531127255191561E-2</v>
      </c>
      <c r="AZ148" s="69">
        <v>5.6414519836272018E-3</v>
      </c>
      <c r="BA148" s="69">
        <v>1.5305612090045096E-3</v>
      </c>
      <c r="BB148" s="69">
        <v>1.7221941128039403E-2</v>
      </c>
      <c r="BC148" s="69">
        <v>9.5961436654820848E-2</v>
      </c>
      <c r="BD148" s="69">
        <v>4.1104680742547174E-2</v>
      </c>
      <c r="BE148" s="69">
        <v>0</v>
      </c>
      <c r="BF148" s="69">
        <v>8.5716269189974124E-4</v>
      </c>
      <c r="BG148" s="69">
        <v>1.2981894389857409E-3</v>
      </c>
      <c r="BH148" s="69">
        <v>6.4980912581995325</v>
      </c>
      <c r="BI148" s="69">
        <v>1.4476379174247433E-2</v>
      </c>
      <c r="BJ148" s="69">
        <v>0.30549713716384386</v>
      </c>
      <c r="BK148" s="69">
        <v>0.71596650913092907</v>
      </c>
      <c r="BL148" s="69">
        <v>1.5826182837315861</v>
      </c>
      <c r="BM148" s="69">
        <v>6.384302704488338E-3</v>
      </c>
      <c r="BN148" s="69">
        <v>0.59443268182241094</v>
      </c>
      <c r="BO148" s="69">
        <v>3.4214072942238363</v>
      </c>
      <c r="BP148" s="69">
        <v>1.2840397951277234E-2</v>
      </c>
      <c r="BQ148" s="69">
        <v>0</v>
      </c>
      <c r="BR148" s="69">
        <v>0</v>
      </c>
      <c r="BS148" s="69">
        <v>1.4345248791493236E-4</v>
      </c>
      <c r="BT148" s="69">
        <v>0</v>
      </c>
      <c r="BU148" s="69">
        <v>0.26022629151300108</v>
      </c>
      <c r="BV148" s="69">
        <v>0.36776971161704031</v>
      </c>
      <c r="BW148" s="69">
        <v>10.325891619991705</v>
      </c>
      <c r="BX148" s="69">
        <v>1.8749262089389787</v>
      </c>
      <c r="BY148" s="69">
        <v>8.3813832286201961</v>
      </c>
      <c r="BZ148" s="69">
        <v>0.94956257039147107</v>
      </c>
      <c r="CA148" s="69">
        <v>0</v>
      </c>
      <c r="CB148" s="69">
        <v>1.6981299167518098E-2</v>
      </c>
      <c r="CC148" s="69">
        <v>0.26160475559911522</v>
      </c>
      <c r="CD148" s="69">
        <v>0</v>
      </c>
      <c r="CE148" s="69">
        <v>0</v>
      </c>
      <c r="CF148" s="69">
        <v>0</v>
      </c>
      <c r="CG148" s="69">
        <v>0</v>
      </c>
      <c r="CH148" s="69">
        <v>0</v>
      </c>
      <c r="CI148" s="69">
        <v>0</v>
      </c>
      <c r="CJ148" s="69">
        <v>0</v>
      </c>
      <c r="CK148" s="69">
        <v>0</v>
      </c>
      <c r="CL148" s="69">
        <v>0</v>
      </c>
      <c r="CM148" s="69">
        <v>0</v>
      </c>
      <c r="CN148" s="69">
        <v>0</v>
      </c>
      <c r="CO148" s="69">
        <v>0</v>
      </c>
      <c r="CP148" s="69">
        <v>0</v>
      </c>
      <c r="CQ148" s="69">
        <v>0</v>
      </c>
      <c r="CR148" s="69">
        <v>0</v>
      </c>
      <c r="CS148" s="69">
        <v>0</v>
      </c>
      <c r="CT148" s="69">
        <v>0</v>
      </c>
      <c r="CU148" s="69">
        <v>0</v>
      </c>
      <c r="CV148" s="69">
        <v>0</v>
      </c>
      <c r="CW148" s="69">
        <v>0</v>
      </c>
      <c r="CX148" s="69">
        <v>0</v>
      </c>
      <c r="CY148" s="69">
        <v>0</v>
      </c>
      <c r="CZ148" s="69">
        <v>0</v>
      </c>
      <c r="DA148" s="69">
        <v>0</v>
      </c>
      <c r="DB148" s="69">
        <v>0</v>
      </c>
      <c r="DC148" s="69">
        <v>0</v>
      </c>
      <c r="DD148" s="69">
        <v>0</v>
      </c>
      <c r="DE148" s="69">
        <v>0</v>
      </c>
      <c r="DF148" s="69">
        <v>0</v>
      </c>
      <c r="DG148" s="69">
        <v>0</v>
      </c>
      <c r="DH148" s="69">
        <v>0</v>
      </c>
      <c r="DI148" s="69">
        <v>0</v>
      </c>
      <c r="DJ148" s="69">
        <v>0</v>
      </c>
      <c r="DK148" s="69">
        <v>0</v>
      </c>
      <c r="DL148" s="69">
        <v>0</v>
      </c>
      <c r="DM148" s="69">
        <v>0</v>
      </c>
      <c r="DN148" s="69">
        <v>0</v>
      </c>
      <c r="DO148" s="69">
        <v>0</v>
      </c>
      <c r="DP148" s="69">
        <v>0</v>
      </c>
      <c r="DQ148" s="69">
        <v>0</v>
      </c>
      <c r="DR148" s="69">
        <v>0</v>
      </c>
      <c r="DS148" s="69">
        <v>0</v>
      </c>
      <c r="DT148" s="69">
        <v>0</v>
      </c>
      <c r="DU148" s="69">
        <v>0</v>
      </c>
      <c r="DV148" s="69">
        <v>0</v>
      </c>
      <c r="DW148" s="69">
        <v>0</v>
      </c>
      <c r="DX148" s="69">
        <v>0</v>
      </c>
      <c r="DY148" s="69">
        <v>0</v>
      </c>
      <c r="DZ148" s="69">
        <v>0</v>
      </c>
      <c r="EA148" s="69">
        <v>0</v>
      </c>
      <c r="EB148" s="69">
        <v>0</v>
      </c>
      <c r="EC148" s="69">
        <v>0</v>
      </c>
      <c r="ED148" s="69">
        <v>0</v>
      </c>
      <c r="EE148" s="69">
        <v>0</v>
      </c>
      <c r="EF148" s="69">
        <v>0</v>
      </c>
      <c r="EG148" s="69">
        <v>0</v>
      </c>
      <c r="EH148" s="69">
        <v>0</v>
      </c>
      <c r="EI148" s="69">
        <v>0</v>
      </c>
      <c r="EJ148" s="69">
        <v>0</v>
      </c>
      <c r="EK148" s="69">
        <v>0</v>
      </c>
      <c r="EL148" s="69">
        <v>0</v>
      </c>
      <c r="EM148" s="69">
        <v>0</v>
      </c>
      <c r="EN148" s="69">
        <v>0</v>
      </c>
      <c r="EO148" s="69">
        <v>0</v>
      </c>
      <c r="EP148" s="69">
        <v>0</v>
      </c>
      <c r="EQ148" s="69">
        <v>0</v>
      </c>
      <c r="ER148" s="69">
        <v>0</v>
      </c>
      <c r="ES148" s="69">
        <v>0</v>
      </c>
      <c r="ET148" s="69">
        <v>0</v>
      </c>
      <c r="EU148" s="69">
        <v>0</v>
      </c>
      <c r="EV148" s="69">
        <v>0</v>
      </c>
      <c r="EW148" s="69">
        <v>0</v>
      </c>
      <c r="EX148" s="69">
        <v>0</v>
      </c>
      <c r="EY148" s="69">
        <v>0</v>
      </c>
      <c r="EZ148" s="69">
        <v>0</v>
      </c>
      <c r="FA148" s="69">
        <v>0</v>
      </c>
      <c r="FB148" s="69">
        <v>0</v>
      </c>
      <c r="FC148" s="69">
        <v>0</v>
      </c>
      <c r="FD148" s="69">
        <v>0</v>
      </c>
      <c r="FE148" s="69">
        <v>0</v>
      </c>
      <c r="FF148" s="69">
        <v>0</v>
      </c>
      <c r="FG148" s="69">
        <v>0</v>
      </c>
      <c r="FH148" s="69">
        <v>0</v>
      </c>
      <c r="FI148" s="69">
        <v>0</v>
      </c>
      <c r="FJ148" s="69">
        <v>0</v>
      </c>
      <c r="FK148" s="69">
        <v>0</v>
      </c>
      <c r="FL148" s="69">
        <v>0</v>
      </c>
      <c r="FM148" s="69">
        <v>0</v>
      </c>
      <c r="FN148" s="69">
        <v>0</v>
      </c>
      <c r="FO148" s="69">
        <v>0</v>
      </c>
      <c r="FP148" s="69">
        <v>0</v>
      </c>
      <c r="FQ148" s="69">
        <v>0</v>
      </c>
      <c r="FR148" s="69">
        <v>0</v>
      </c>
      <c r="FS148" s="69">
        <v>0</v>
      </c>
      <c r="FT148" s="69">
        <v>0</v>
      </c>
      <c r="FU148" s="69">
        <v>0</v>
      </c>
      <c r="FV148" s="69">
        <v>0</v>
      </c>
      <c r="FW148" s="69">
        <v>0</v>
      </c>
      <c r="FX148" s="69">
        <v>0</v>
      </c>
      <c r="FY148" s="69">
        <v>0</v>
      </c>
      <c r="FZ148" s="69">
        <v>0</v>
      </c>
      <c r="GA148" s="69">
        <v>0</v>
      </c>
      <c r="GB148" s="69">
        <v>0</v>
      </c>
      <c r="GC148" s="69">
        <v>0</v>
      </c>
      <c r="GD148" s="69">
        <v>1.3618299067420321</v>
      </c>
      <c r="GE148" s="69">
        <v>2.2893254934964493</v>
      </c>
      <c r="GF148" s="69">
        <v>3.4288315172779003</v>
      </c>
      <c r="GG148" s="69">
        <v>5.0374826329386853</v>
      </c>
      <c r="GH148" s="69">
        <v>8.6040038398983185</v>
      </c>
      <c r="GI148" s="69">
        <v>0.10000469101901875</v>
      </c>
      <c r="GJ148" s="69">
        <v>0.16667162180636894</v>
      </c>
      <c r="GK148" s="69">
        <v>0.2921196632160471</v>
      </c>
      <c r="GL148" s="69">
        <v>0.69187951717801199</v>
      </c>
      <c r="GM148" s="69">
        <v>6.3146888157435583</v>
      </c>
      <c r="GN148" s="69">
        <v>0.10212307590667939</v>
      </c>
      <c r="GO148" s="69">
        <v>0.1458967501643067</v>
      </c>
      <c r="GP148" s="69">
        <v>0.21696091615518254</v>
      </c>
      <c r="GQ148" s="69">
        <v>0.87067572410967009</v>
      </c>
      <c r="GR148" s="69">
        <v>17.881556860942002</v>
      </c>
      <c r="GS148" s="69">
        <v>0</v>
      </c>
      <c r="GT148" s="69">
        <v>0</v>
      </c>
      <c r="GU148" s="69">
        <v>0</v>
      </c>
      <c r="GV148" s="69">
        <v>0</v>
      </c>
      <c r="GW148" s="69">
        <v>0</v>
      </c>
      <c r="GX148" s="21">
        <v>0</v>
      </c>
      <c r="GY148" s="21">
        <v>41.977815618161756</v>
      </c>
      <c r="GZ148" s="69">
        <v>0</v>
      </c>
      <c r="HA148" s="69">
        <v>22.602674873173012</v>
      </c>
      <c r="HB148" s="21">
        <f t="shared" si="2"/>
        <v>149.16055146172417</v>
      </c>
    </row>
    <row r="149" spans="1:210" x14ac:dyDescent="0.75">
      <c r="A149" s="67" t="s">
        <v>342</v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69">
        <v>0</v>
      </c>
      <c r="AD149" s="21"/>
      <c r="AE149" s="21"/>
      <c r="AF149" s="69">
        <v>0</v>
      </c>
      <c r="AG149" s="21"/>
      <c r="AH149" s="21"/>
      <c r="AI149" s="69">
        <v>2.6637616480579496</v>
      </c>
      <c r="AJ149" s="21">
        <v>0.54363646169369961</v>
      </c>
      <c r="AK149" s="21">
        <v>0.30715740888060045</v>
      </c>
      <c r="AL149" s="21">
        <v>3.6765501542729757E-3</v>
      </c>
      <c r="AM149" s="21">
        <v>0.14435636522416845</v>
      </c>
      <c r="AN149" s="21">
        <v>10.829796815199572</v>
      </c>
      <c r="AO149" s="21">
        <v>2.0572627637329237</v>
      </c>
      <c r="AP149" s="21"/>
      <c r="AQ149" s="21">
        <v>2.477019928882938</v>
      </c>
      <c r="AR149" s="69">
        <v>3.3858626563072241</v>
      </c>
      <c r="AS149" s="21">
        <v>0.16516445576069161</v>
      </c>
      <c r="AT149" s="21">
        <v>0.70730338065166498</v>
      </c>
      <c r="AU149" s="21">
        <v>0.24753273518772043</v>
      </c>
      <c r="AV149" s="21">
        <v>0.36306466172605123</v>
      </c>
      <c r="AW149" s="21">
        <v>2.8873898607484471E-3</v>
      </c>
      <c r="AX149" s="21">
        <v>3.1913295680179488</v>
      </c>
      <c r="AY149" s="21">
        <v>0.35564648980083624</v>
      </c>
      <c r="AZ149" s="21">
        <v>0.90885007107989535</v>
      </c>
      <c r="BA149" s="21">
        <v>2.6898295559648427E-2</v>
      </c>
      <c r="BB149" s="69">
        <v>8.7547362846205115</v>
      </c>
      <c r="BC149" s="21">
        <v>2.8480353706183092</v>
      </c>
      <c r="BD149" s="21">
        <v>0.40820282255598056</v>
      </c>
      <c r="BE149" s="21">
        <v>0.63822218635318739</v>
      </c>
      <c r="BF149" s="21">
        <v>3.1878524102716951E-2</v>
      </c>
      <c r="BG149" s="69">
        <v>2.1377671818554034</v>
      </c>
      <c r="BH149" s="21">
        <v>6.2257371925918905</v>
      </c>
      <c r="BI149" s="69">
        <v>7.4460570601259937</v>
      </c>
      <c r="BJ149" s="21">
        <v>15.387730280985785</v>
      </c>
      <c r="BK149" s="69">
        <v>15.881046190963374</v>
      </c>
      <c r="BL149" s="69">
        <v>0.91423779465747024</v>
      </c>
      <c r="BM149" s="21">
        <v>0.21141441680248341</v>
      </c>
      <c r="BN149" s="21">
        <v>13.049389382779756</v>
      </c>
      <c r="BO149" s="69">
        <v>2.8968041802494406</v>
      </c>
      <c r="BP149" s="21">
        <v>4.768760370126611E-2</v>
      </c>
      <c r="BQ149" s="21">
        <v>2.6207200874445657</v>
      </c>
      <c r="BR149" s="21">
        <v>0.53685534645465105</v>
      </c>
      <c r="BS149" s="21">
        <v>0.53796524111843769</v>
      </c>
      <c r="BT149" s="21"/>
      <c r="BU149" s="21">
        <v>2.8915826033093732</v>
      </c>
      <c r="BV149" s="69">
        <v>1.2938832095017017</v>
      </c>
      <c r="BW149" s="21">
        <v>9.2105813643888208</v>
      </c>
      <c r="BX149" s="21">
        <v>8.2750509283048714</v>
      </c>
      <c r="BY149" s="21">
        <v>2.5995101507720646</v>
      </c>
      <c r="BZ149" s="21">
        <v>0.9077661009585748</v>
      </c>
      <c r="CA149" s="21">
        <v>3.1303666590235869E-3</v>
      </c>
      <c r="CB149" s="21">
        <v>0.20129630864733392</v>
      </c>
      <c r="CC149" s="21">
        <v>4.23220714197085</v>
      </c>
      <c r="CD149" s="21">
        <v>0.5355960501966025</v>
      </c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69">
        <v>0</v>
      </c>
      <c r="DH149" s="21"/>
      <c r="DI149" s="21"/>
      <c r="DJ149" s="69">
        <v>0</v>
      </c>
      <c r="DK149" s="21"/>
      <c r="DL149" s="21"/>
      <c r="DM149" s="69">
        <v>0</v>
      </c>
      <c r="DN149" s="21"/>
      <c r="DO149" s="21"/>
      <c r="DP149" s="21"/>
      <c r="DQ149" s="21"/>
      <c r="DR149" s="21"/>
      <c r="DS149" s="21"/>
      <c r="DT149" s="21"/>
      <c r="DU149" s="21"/>
      <c r="DV149" s="21"/>
      <c r="DW149" s="69">
        <v>0</v>
      </c>
      <c r="DX149" s="21"/>
      <c r="DY149" s="21"/>
      <c r="DZ149" s="21"/>
      <c r="EA149" s="21"/>
      <c r="EB149" s="21"/>
      <c r="EC149" s="21"/>
      <c r="ED149" s="21"/>
      <c r="EE149" s="21"/>
      <c r="EF149" s="21"/>
      <c r="EG149" s="69">
        <v>0</v>
      </c>
      <c r="EH149" s="21"/>
      <c r="EI149" s="21"/>
      <c r="EJ149" s="21"/>
      <c r="EK149" s="21"/>
      <c r="EL149" s="69">
        <v>0</v>
      </c>
      <c r="EM149" s="21"/>
      <c r="EN149" s="69">
        <v>0</v>
      </c>
      <c r="EO149" s="21"/>
      <c r="EP149" s="69">
        <v>0</v>
      </c>
      <c r="EQ149" s="69">
        <v>0</v>
      </c>
      <c r="ER149" s="21"/>
      <c r="ES149" s="21"/>
      <c r="ET149" s="69">
        <v>0</v>
      </c>
      <c r="EU149" s="21"/>
      <c r="EV149" s="21"/>
      <c r="EW149" s="21"/>
      <c r="EX149" s="21"/>
      <c r="EY149" s="21"/>
      <c r="EZ149" s="21"/>
      <c r="FA149" s="69">
        <v>0</v>
      </c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>
        <v>0.19126172055341037</v>
      </c>
      <c r="GE149" s="21">
        <v>0.44142945205174483</v>
      </c>
      <c r="GF149" s="21">
        <v>0.93960703098243492</v>
      </c>
      <c r="GG149" s="21">
        <v>1.5317715858667882</v>
      </c>
      <c r="GH149" s="21">
        <v>2.645053032074554</v>
      </c>
      <c r="GI149" s="21">
        <v>3.7564552364859914E-2</v>
      </c>
      <c r="GJ149" s="21">
        <v>8.5265245320163996E-2</v>
      </c>
      <c r="GK149" s="21">
        <v>0.23175019295050375</v>
      </c>
      <c r="GL149" s="21">
        <v>0.50581276058194258</v>
      </c>
      <c r="GM149" s="21">
        <v>2.824585062902361</v>
      </c>
      <c r="GN149" s="21">
        <v>9.6267722936593456E-2</v>
      </c>
      <c r="GO149" s="21">
        <v>0.14540920555544834</v>
      </c>
      <c r="GP149" s="21">
        <v>0.31197927507356077</v>
      </c>
      <c r="GQ149" s="21">
        <v>0.99553828001181355</v>
      </c>
      <c r="GR149" s="21">
        <v>11.10468945750012</v>
      </c>
      <c r="GS149" s="21"/>
      <c r="GT149" s="21"/>
      <c r="GU149" s="21"/>
      <c r="GV149" s="21"/>
      <c r="GW149" s="21"/>
      <c r="GX149" s="21">
        <v>0</v>
      </c>
      <c r="GY149" s="21">
        <v>0</v>
      </c>
      <c r="GZ149" s="21"/>
      <c r="HA149" s="21">
        <v>1.3261801670351849</v>
      </c>
      <c r="HB149" s="21">
        <f t="shared" si="2"/>
        <v>162.52046376223046</v>
      </c>
    </row>
    <row r="150" spans="1:210" x14ac:dyDescent="0.75">
      <c r="A150" s="68" t="s">
        <v>343</v>
      </c>
      <c r="B150" s="69">
        <v>0</v>
      </c>
      <c r="C150" s="69">
        <v>0</v>
      </c>
      <c r="D150" s="69">
        <v>0</v>
      </c>
      <c r="E150" s="69">
        <v>0</v>
      </c>
      <c r="F150" s="69">
        <v>0</v>
      </c>
      <c r="G150" s="69">
        <v>0</v>
      </c>
      <c r="H150" s="69">
        <v>0</v>
      </c>
      <c r="I150" s="69">
        <v>0</v>
      </c>
      <c r="J150" s="69">
        <v>0</v>
      </c>
      <c r="K150" s="69">
        <v>0</v>
      </c>
      <c r="L150" s="69">
        <v>0</v>
      </c>
      <c r="M150" s="69">
        <v>0</v>
      </c>
      <c r="N150" s="69">
        <v>0</v>
      </c>
      <c r="O150" s="69">
        <v>0</v>
      </c>
      <c r="P150" s="69">
        <v>0</v>
      </c>
      <c r="Q150" s="69">
        <v>0</v>
      </c>
      <c r="R150" s="69">
        <v>0</v>
      </c>
      <c r="S150" s="69">
        <v>0</v>
      </c>
      <c r="T150" s="69">
        <v>0</v>
      </c>
      <c r="U150" s="69">
        <v>0</v>
      </c>
      <c r="V150" s="69">
        <v>0</v>
      </c>
      <c r="W150" s="69">
        <v>0</v>
      </c>
      <c r="X150" s="69">
        <v>0</v>
      </c>
      <c r="Y150" s="69">
        <v>0</v>
      </c>
      <c r="Z150" s="69">
        <v>0</v>
      </c>
      <c r="AA150" s="69">
        <v>0</v>
      </c>
      <c r="AB150" s="69">
        <v>0</v>
      </c>
      <c r="AC150" s="69">
        <v>0</v>
      </c>
      <c r="AD150" s="69">
        <v>0</v>
      </c>
      <c r="AE150" s="69">
        <v>0</v>
      </c>
      <c r="AF150" s="69">
        <v>0</v>
      </c>
      <c r="AG150" s="69">
        <v>0</v>
      </c>
      <c r="AH150" s="69">
        <v>0</v>
      </c>
      <c r="AI150" s="69">
        <v>0.13991876064508774</v>
      </c>
      <c r="AJ150" s="69">
        <v>0.97845104118726001</v>
      </c>
      <c r="AK150" s="69">
        <v>0</v>
      </c>
      <c r="AL150" s="69">
        <v>1.4228113037384544E-5</v>
      </c>
      <c r="AM150" s="69">
        <v>4.3493030430719309E-2</v>
      </c>
      <c r="AN150" s="69">
        <v>0.44950955460879488</v>
      </c>
      <c r="AO150" s="69">
        <v>0.46045173595299577</v>
      </c>
      <c r="AP150" s="69">
        <v>0</v>
      </c>
      <c r="AQ150" s="69">
        <v>0.13274815512854635</v>
      </c>
      <c r="AR150" s="69">
        <v>2.0888265586797705</v>
      </c>
      <c r="AS150" s="69">
        <v>4.7523526393754177E-3</v>
      </c>
      <c r="AT150" s="69">
        <v>0.10392501039802891</v>
      </c>
      <c r="AU150" s="69">
        <v>3.1203315357120728E-2</v>
      </c>
      <c r="AV150" s="69">
        <v>5.6002493460803403E-2</v>
      </c>
      <c r="AW150" s="69">
        <v>8.3925426093617533E-4</v>
      </c>
      <c r="AX150" s="69">
        <v>0.558325694474756</v>
      </c>
      <c r="AY150" s="69">
        <v>1.6696852581651194E-2</v>
      </c>
      <c r="AZ150" s="69">
        <v>0.12797955662326563</v>
      </c>
      <c r="BA150" s="69">
        <v>1.6566199764515739E-2</v>
      </c>
      <c r="BB150" s="69">
        <v>6.4099559433694903E-3</v>
      </c>
      <c r="BC150" s="69">
        <v>9.6888748438206829E-2</v>
      </c>
      <c r="BD150" s="69">
        <v>0.10116893384443468</v>
      </c>
      <c r="BE150" s="69">
        <v>1.1922730640911641E-2</v>
      </c>
      <c r="BF150" s="69">
        <v>0.13221413491940193</v>
      </c>
      <c r="BG150" s="69">
        <v>2.0739073058449208E-4</v>
      </c>
      <c r="BH150" s="69">
        <v>0</v>
      </c>
      <c r="BI150" s="69">
        <v>0.40092799940840967</v>
      </c>
      <c r="BJ150" s="69">
        <v>1.3992837881682345</v>
      </c>
      <c r="BK150" s="69">
        <v>1.8005805895161424</v>
      </c>
      <c r="BL150" s="69">
        <v>0.27534197420259737</v>
      </c>
      <c r="BM150" s="69">
        <v>0.22115363573469027</v>
      </c>
      <c r="BN150" s="69">
        <v>7.9550200616793134</v>
      </c>
      <c r="BO150" s="69">
        <v>0.25238783952574417</v>
      </c>
      <c r="BP150" s="69">
        <v>4.692917367655253E-3</v>
      </c>
      <c r="BQ150" s="69">
        <v>0</v>
      </c>
      <c r="BR150" s="69">
        <v>0</v>
      </c>
      <c r="BS150" s="69">
        <v>5.5468845929228545E-6</v>
      </c>
      <c r="BT150" s="69">
        <v>0</v>
      </c>
      <c r="BU150" s="69">
        <v>1.9920274489218026</v>
      </c>
      <c r="BV150" s="69">
        <v>0.37814975361652781</v>
      </c>
      <c r="BW150" s="69">
        <v>0</v>
      </c>
      <c r="BX150" s="69">
        <v>7.6740967143230137</v>
      </c>
      <c r="BY150" s="69">
        <v>0.79274609141941732</v>
      </c>
      <c r="BZ150" s="69">
        <v>0.18361026841213271</v>
      </c>
      <c r="CA150" s="69">
        <v>0</v>
      </c>
      <c r="CB150" s="69">
        <v>1.4705983641916881E-2</v>
      </c>
      <c r="CC150" s="69">
        <v>1.5802852064475421</v>
      </c>
      <c r="CD150" s="69">
        <v>0</v>
      </c>
      <c r="CE150" s="69">
        <v>0</v>
      </c>
      <c r="CF150" s="69">
        <v>0</v>
      </c>
      <c r="CG150" s="69">
        <v>0</v>
      </c>
      <c r="CH150" s="69">
        <v>0</v>
      </c>
      <c r="CI150" s="69">
        <v>0</v>
      </c>
      <c r="CJ150" s="69">
        <v>0</v>
      </c>
      <c r="CK150" s="69">
        <v>0</v>
      </c>
      <c r="CL150" s="69">
        <v>0</v>
      </c>
      <c r="CM150" s="69">
        <v>0</v>
      </c>
      <c r="CN150" s="69">
        <v>0</v>
      </c>
      <c r="CO150" s="69">
        <v>0</v>
      </c>
      <c r="CP150" s="69">
        <v>0</v>
      </c>
      <c r="CQ150" s="69">
        <v>0</v>
      </c>
      <c r="CR150" s="69">
        <v>0</v>
      </c>
      <c r="CS150" s="69">
        <v>0</v>
      </c>
      <c r="CT150" s="69">
        <v>0</v>
      </c>
      <c r="CU150" s="69">
        <v>0</v>
      </c>
      <c r="CV150" s="69">
        <v>0</v>
      </c>
      <c r="CW150" s="69">
        <v>0</v>
      </c>
      <c r="CX150" s="69">
        <v>0</v>
      </c>
      <c r="CY150" s="69">
        <v>0</v>
      </c>
      <c r="CZ150" s="69">
        <v>0</v>
      </c>
      <c r="DA150" s="69">
        <v>0</v>
      </c>
      <c r="DB150" s="69">
        <v>0</v>
      </c>
      <c r="DC150" s="69">
        <v>0</v>
      </c>
      <c r="DD150" s="69">
        <v>0</v>
      </c>
      <c r="DE150" s="69">
        <v>0</v>
      </c>
      <c r="DF150" s="69">
        <v>0</v>
      </c>
      <c r="DG150" s="69">
        <v>0</v>
      </c>
      <c r="DH150" s="69">
        <v>0</v>
      </c>
      <c r="DI150" s="69">
        <v>0</v>
      </c>
      <c r="DJ150" s="69">
        <v>0</v>
      </c>
      <c r="DK150" s="69">
        <v>0</v>
      </c>
      <c r="DL150" s="69">
        <v>0</v>
      </c>
      <c r="DM150" s="69">
        <v>0</v>
      </c>
      <c r="DN150" s="69">
        <v>0</v>
      </c>
      <c r="DO150" s="69">
        <v>0</v>
      </c>
      <c r="DP150" s="69">
        <v>0</v>
      </c>
      <c r="DQ150" s="69">
        <v>0</v>
      </c>
      <c r="DR150" s="69">
        <v>0</v>
      </c>
      <c r="DS150" s="69">
        <v>0</v>
      </c>
      <c r="DT150" s="69">
        <v>0</v>
      </c>
      <c r="DU150" s="69">
        <v>0</v>
      </c>
      <c r="DV150" s="69">
        <v>0</v>
      </c>
      <c r="DW150" s="69">
        <v>0</v>
      </c>
      <c r="DX150" s="69">
        <v>0</v>
      </c>
      <c r="DY150" s="69">
        <v>0</v>
      </c>
      <c r="DZ150" s="69">
        <v>0</v>
      </c>
      <c r="EA150" s="69">
        <v>0</v>
      </c>
      <c r="EB150" s="69">
        <v>0</v>
      </c>
      <c r="EC150" s="69">
        <v>0</v>
      </c>
      <c r="ED150" s="69">
        <v>0</v>
      </c>
      <c r="EE150" s="69">
        <v>0</v>
      </c>
      <c r="EF150" s="69">
        <v>0</v>
      </c>
      <c r="EG150" s="69">
        <v>0</v>
      </c>
      <c r="EH150" s="69">
        <v>0</v>
      </c>
      <c r="EI150" s="69">
        <v>0</v>
      </c>
      <c r="EJ150" s="69">
        <v>0</v>
      </c>
      <c r="EK150" s="69">
        <v>0</v>
      </c>
      <c r="EL150" s="69">
        <v>0</v>
      </c>
      <c r="EM150" s="69">
        <v>0</v>
      </c>
      <c r="EN150" s="69">
        <v>0</v>
      </c>
      <c r="EO150" s="69">
        <v>0</v>
      </c>
      <c r="EP150" s="69">
        <v>0</v>
      </c>
      <c r="EQ150" s="69">
        <v>0</v>
      </c>
      <c r="ER150" s="69">
        <v>0</v>
      </c>
      <c r="ES150" s="69">
        <v>0</v>
      </c>
      <c r="ET150" s="69">
        <v>0</v>
      </c>
      <c r="EU150" s="69">
        <v>0</v>
      </c>
      <c r="EV150" s="69">
        <v>0</v>
      </c>
      <c r="EW150" s="69">
        <v>0</v>
      </c>
      <c r="EX150" s="69">
        <v>0</v>
      </c>
      <c r="EY150" s="69">
        <v>0</v>
      </c>
      <c r="EZ150" s="69">
        <v>0</v>
      </c>
      <c r="FA150" s="69">
        <v>0</v>
      </c>
      <c r="FB150" s="69">
        <v>0</v>
      </c>
      <c r="FC150" s="69">
        <v>0</v>
      </c>
      <c r="FD150" s="69">
        <v>0</v>
      </c>
      <c r="FE150" s="69">
        <v>0</v>
      </c>
      <c r="FF150" s="69">
        <v>0</v>
      </c>
      <c r="FG150" s="69">
        <v>0</v>
      </c>
      <c r="FH150" s="69">
        <v>0</v>
      </c>
      <c r="FI150" s="69">
        <v>0</v>
      </c>
      <c r="FJ150" s="69">
        <v>0</v>
      </c>
      <c r="FK150" s="69">
        <v>0</v>
      </c>
      <c r="FL150" s="69">
        <v>0</v>
      </c>
      <c r="FM150" s="69">
        <v>0</v>
      </c>
      <c r="FN150" s="69">
        <v>0</v>
      </c>
      <c r="FO150" s="69">
        <v>0</v>
      </c>
      <c r="FP150" s="69">
        <v>0</v>
      </c>
      <c r="FQ150" s="69">
        <v>0</v>
      </c>
      <c r="FR150" s="69">
        <v>0</v>
      </c>
      <c r="FS150" s="69">
        <v>0</v>
      </c>
      <c r="FT150" s="69">
        <v>0</v>
      </c>
      <c r="FU150" s="69">
        <v>0</v>
      </c>
      <c r="FV150" s="69">
        <v>0</v>
      </c>
      <c r="FW150" s="69">
        <v>0</v>
      </c>
      <c r="FX150" s="69">
        <v>0</v>
      </c>
      <c r="FY150" s="69">
        <v>0</v>
      </c>
      <c r="FZ150" s="69">
        <v>0</v>
      </c>
      <c r="GA150" s="69">
        <v>0</v>
      </c>
      <c r="GB150" s="69">
        <v>0</v>
      </c>
      <c r="GC150" s="69">
        <v>0</v>
      </c>
      <c r="GD150" s="69">
        <v>0.38075787000047023</v>
      </c>
      <c r="GE150" s="69">
        <v>0.72717252947424804</v>
      </c>
      <c r="GF150" s="69">
        <v>1.1315618226809367</v>
      </c>
      <c r="GG150" s="69">
        <v>1.9214087359468444</v>
      </c>
      <c r="GH150" s="69">
        <v>3.7367092910505146</v>
      </c>
      <c r="GI150" s="69">
        <v>7.7132360712814207E-2</v>
      </c>
      <c r="GJ150" s="69">
        <v>0.17889937987060286</v>
      </c>
      <c r="GK150" s="69">
        <v>0.3804559495501974</v>
      </c>
      <c r="GL150" s="69">
        <v>0.54988384107333221</v>
      </c>
      <c r="GM150" s="69">
        <v>2.7085597704352438</v>
      </c>
      <c r="GN150" s="69">
        <v>0.16485819092869106</v>
      </c>
      <c r="GO150" s="69">
        <v>0.22611660058608191</v>
      </c>
      <c r="GP150" s="69">
        <v>0.40557075355650035</v>
      </c>
      <c r="GQ150" s="69">
        <v>1.0795559693122181</v>
      </c>
      <c r="GR150" s="69">
        <v>11.076323130154572</v>
      </c>
      <c r="GS150" s="69">
        <v>0</v>
      </c>
      <c r="GT150" s="69">
        <v>0</v>
      </c>
      <c r="GU150" s="69">
        <v>0</v>
      </c>
      <c r="GV150" s="69">
        <v>0</v>
      </c>
      <c r="GW150" s="69">
        <v>0</v>
      </c>
      <c r="GX150" s="21">
        <v>0</v>
      </c>
      <c r="GY150" s="21">
        <v>0</v>
      </c>
      <c r="GZ150" s="69">
        <v>0</v>
      </c>
      <c r="HA150" s="69">
        <v>0</v>
      </c>
      <c r="HB150" s="21">
        <f t="shared" si="2"/>
        <v>55.228497703426576</v>
      </c>
    </row>
    <row r="151" spans="1:210" x14ac:dyDescent="0.75">
      <c r="A151" s="67" t="s">
        <v>65</v>
      </c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69">
        <v>0</v>
      </c>
      <c r="AD151" s="21"/>
      <c r="AE151" s="21"/>
      <c r="AF151" s="69">
        <v>0</v>
      </c>
      <c r="AG151" s="21"/>
      <c r="AH151" s="21"/>
      <c r="AI151" s="69">
        <v>24.637050160824643</v>
      </c>
      <c r="AJ151" s="21"/>
      <c r="AK151" s="21">
        <v>6.1555339759147218E-2</v>
      </c>
      <c r="AL151" s="21"/>
      <c r="AM151" s="21">
        <v>5.3684849548774609E-2</v>
      </c>
      <c r="AN151" s="21">
        <v>0.47664971589461791</v>
      </c>
      <c r="AO151" s="21">
        <v>0.57616046751696381</v>
      </c>
      <c r="AP151" s="21"/>
      <c r="AQ151" s="21">
        <v>0.22684998315917054</v>
      </c>
      <c r="AR151" s="69">
        <v>0.86734702324238611</v>
      </c>
      <c r="AS151" s="21"/>
      <c r="AT151" s="21">
        <v>5.1752419490398249E-4</v>
      </c>
      <c r="AU151" s="21">
        <v>0.16016496615620718</v>
      </c>
      <c r="AV151" s="21">
        <v>8.4565428943439991E-2</v>
      </c>
      <c r="AW151" s="21"/>
      <c r="AX151" s="21">
        <v>0.67531804066083723</v>
      </c>
      <c r="AY151" s="21">
        <v>5.8983960922951481E-2</v>
      </c>
      <c r="AZ151" s="21">
        <v>2.7425698760227605E-2</v>
      </c>
      <c r="BA151" s="21">
        <v>2.5111517191770983E-4</v>
      </c>
      <c r="BB151" s="69">
        <v>0.52269569588529485</v>
      </c>
      <c r="BC151" s="21">
        <v>0.25035855747007923</v>
      </c>
      <c r="BD151" s="21">
        <v>1.317290405743674E-2</v>
      </c>
      <c r="BE151" s="21">
        <v>1.3597193091101089E-2</v>
      </c>
      <c r="BF151" s="21">
        <v>2.65015157427325E-2</v>
      </c>
      <c r="BG151" s="69">
        <v>0.84922499361958748</v>
      </c>
      <c r="BH151" s="21">
        <v>0.31337961816820231</v>
      </c>
      <c r="BI151" s="69">
        <v>0.13437019044128407</v>
      </c>
      <c r="BJ151" s="21">
        <v>10.97620827614408</v>
      </c>
      <c r="BK151" s="69">
        <v>4.5216474187043927</v>
      </c>
      <c r="BL151" s="69">
        <v>1.0714032713553092</v>
      </c>
      <c r="BM151" s="21">
        <v>7.8244924613186467E-2</v>
      </c>
      <c r="BN151" s="21">
        <v>3.5158620927301181</v>
      </c>
      <c r="BO151" s="69">
        <v>0.18897664562820179</v>
      </c>
      <c r="BP151" s="21"/>
      <c r="BQ151" s="21"/>
      <c r="BR151" s="21"/>
      <c r="BS151" s="21"/>
      <c r="BT151" s="21"/>
      <c r="BU151" s="21">
        <v>3.6250813984040131</v>
      </c>
      <c r="BV151" s="69">
        <v>0.27764655378396996</v>
      </c>
      <c r="BW151" s="21">
        <v>63.695006851059361</v>
      </c>
      <c r="BX151" s="21">
        <v>5.4779763303606526</v>
      </c>
      <c r="BY151" s="21">
        <v>1.3007752551265352</v>
      </c>
      <c r="BZ151" s="21">
        <v>0.84737405752755379</v>
      </c>
      <c r="CA151" s="21">
        <v>0.1112592444318601</v>
      </c>
      <c r="CB151" s="21"/>
      <c r="CC151" s="21">
        <v>4.6710551600389749</v>
      </c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69">
        <v>0</v>
      </c>
      <c r="DH151" s="21"/>
      <c r="DI151" s="21"/>
      <c r="DJ151" s="69">
        <v>0</v>
      </c>
      <c r="DK151" s="21"/>
      <c r="DL151" s="21"/>
      <c r="DM151" s="69">
        <v>0</v>
      </c>
      <c r="DN151" s="21"/>
      <c r="DO151" s="21"/>
      <c r="DP151" s="21"/>
      <c r="DQ151" s="21"/>
      <c r="DR151" s="21"/>
      <c r="DS151" s="21"/>
      <c r="DT151" s="21"/>
      <c r="DU151" s="21"/>
      <c r="DV151" s="21"/>
      <c r="DW151" s="69">
        <v>0</v>
      </c>
      <c r="DX151" s="21"/>
      <c r="DY151" s="21"/>
      <c r="DZ151" s="21"/>
      <c r="EA151" s="21"/>
      <c r="EB151" s="21"/>
      <c r="EC151" s="21"/>
      <c r="ED151" s="21"/>
      <c r="EE151" s="21"/>
      <c r="EF151" s="21"/>
      <c r="EG151" s="69">
        <v>0</v>
      </c>
      <c r="EH151" s="21"/>
      <c r="EI151" s="21"/>
      <c r="EJ151" s="21"/>
      <c r="EK151" s="21"/>
      <c r="EL151" s="69">
        <v>0</v>
      </c>
      <c r="EM151" s="21"/>
      <c r="EN151" s="69">
        <v>0</v>
      </c>
      <c r="EO151" s="21"/>
      <c r="EP151" s="69">
        <v>0</v>
      </c>
      <c r="EQ151" s="69">
        <v>0</v>
      </c>
      <c r="ER151" s="21"/>
      <c r="ES151" s="21"/>
      <c r="ET151" s="69">
        <v>0</v>
      </c>
      <c r="EU151" s="21"/>
      <c r="EV151" s="21"/>
      <c r="EW151" s="21"/>
      <c r="EX151" s="21"/>
      <c r="EY151" s="21"/>
      <c r="EZ151" s="21"/>
      <c r="FA151" s="69">
        <v>0</v>
      </c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>
        <v>1.3048550586374259</v>
      </c>
      <c r="GE151" s="21">
        <v>3.3964309791864569</v>
      </c>
      <c r="GF151" s="21">
        <v>5.0111553822565513</v>
      </c>
      <c r="GG151" s="21">
        <v>9.5556878884535159</v>
      </c>
      <c r="GH151" s="21">
        <v>18.846947797056561</v>
      </c>
      <c r="GI151" s="21">
        <v>7.5228522659375796E-2</v>
      </c>
      <c r="GJ151" s="21">
        <v>7.1969618472647046E-3</v>
      </c>
      <c r="GK151" s="21">
        <v>0.31270312886322721</v>
      </c>
      <c r="GL151" s="21">
        <v>0.76758869127747242</v>
      </c>
      <c r="GM151" s="21">
        <v>5.588232447972084</v>
      </c>
      <c r="GN151" s="21">
        <v>9.8454726136119622E-2</v>
      </c>
      <c r="GO151" s="21">
        <v>0.25515692203490209</v>
      </c>
      <c r="GP151" s="21">
        <v>0.1909447178743264</v>
      </c>
      <c r="GQ151" s="21">
        <v>0.7266450826452745</v>
      </c>
      <c r="GR151" s="21">
        <v>16.51368149709209</v>
      </c>
      <c r="GS151" s="21"/>
      <c r="GT151" s="21"/>
      <c r="GU151" s="21"/>
      <c r="GV151" s="21"/>
      <c r="GW151" s="21"/>
      <c r="GX151" s="21">
        <v>0</v>
      </c>
      <c r="GY151" s="21">
        <v>1145.3866538613861</v>
      </c>
      <c r="GZ151" s="21"/>
      <c r="HA151" s="21">
        <v>35.802820127863491</v>
      </c>
      <c r="HB151" s="21">
        <f t="shared" si="2"/>
        <v>1374.2287262163823</v>
      </c>
    </row>
    <row r="152" spans="1:210" x14ac:dyDescent="0.75">
      <c r="A152" s="68" t="s">
        <v>344</v>
      </c>
      <c r="B152" s="69">
        <v>0</v>
      </c>
      <c r="C152" s="69">
        <v>0</v>
      </c>
      <c r="D152" s="69">
        <v>0</v>
      </c>
      <c r="E152" s="69">
        <v>0</v>
      </c>
      <c r="F152" s="69">
        <v>0</v>
      </c>
      <c r="G152" s="69">
        <v>0</v>
      </c>
      <c r="H152" s="69">
        <v>0</v>
      </c>
      <c r="I152" s="69">
        <v>0</v>
      </c>
      <c r="J152" s="69">
        <v>0</v>
      </c>
      <c r="K152" s="69">
        <v>0</v>
      </c>
      <c r="L152" s="69">
        <v>0</v>
      </c>
      <c r="M152" s="69">
        <v>0</v>
      </c>
      <c r="N152" s="69">
        <v>0</v>
      </c>
      <c r="O152" s="69">
        <v>0</v>
      </c>
      <c r="P152" s="69">
        <v>0</v>
      </c>
      <c r="Q152" s="69">
        <v>0</v>
      </c>
      <c r="R152" s="69">
        <v>0</v>
      </c>
      <c r="S152" s="69">
        <v>0</v>
      </c>
      <c r="T152" s="69">
        <v>0</v>
      </c>
      <c r="U152" s="69">
        <v>0</v>
      </c>
      <c r="V152" s="69">
        <v>0</v>
      </c>
      <c r="W152" s="69">
        <v>0</v>
      </c>
      <c r="X152" s="69">
        <v>0</v>
      </c>
      <c r="Y152" s="69">
        <v>0</v>
      </c>
      <c r="Z152" s="69">
        <v>0</v>
      </c>
      <c r="AA152" s="69">
        <v>0</v>
      </c>
      <c r="AB152" s="69">
        <v>0</v>
      </c>
      <c r="AC152" s="69">
        <v>0</v>
      </c>
      <c r="AD152" s="69">
        <v>0</v>
      </c>
      <c r="AE152" s="69">
        <v>0</v>
      </c>
      <c r="AF152" s="69">
        <v>4.2398454702058622E-2</v>
      </c>
      <c r="AG152" s="69">
        <v>2.8373288507918582E-2</v>
      </c>
      <c r="AH152" s="69">
        <v>0</v>
      </c>
      <c r="AI152" s="69">
        <v>2.1060739184015742</v>
      </c>
      <c r="AJ152" s="69">
        <v>1.8758020931999454E-2</v>
      </c>
      <c r="AK152" s="69">
        <v>2.5995975774252424E-2</v>
      </c>
      <c r="AL152" s="69">
        <v>0</v>
      </c>
      <c r="AM152" s="69">
        <v>4.8582042874200398E-2</v>
      </c>
      <c r="AN152" s="69">
        <v>0.65652421312094167</v>
      </c>
      <c r="AO152" s="69">
        <v>1.1710074528529645E-2</v>
      </c>
      <c r="AP152" s="69">
        <v>0</v>
      </c>
      <c r="AQ152" s="69">
        <v>0.27784998685572759</v>
      </c>
      <c r="AR152" s="69">
        <v>0.86406433168119501</v>
      </c>
      <c r="AS152" s="69">
        <v>0.11807779797067662</v>
      </c>
      <c r="AT152" s="69">
        <v>5.4871185570277807E-2</v>
      </c>
      <c r="AU152" s="69">
        <v>1.5235815530240471E-2</v>
      </c>
      <c r="AV152" s="69">
        <v>7.9134965744964827E-2</v>
      </c>
      <c r="AW152" s="69">
        <v>0</v>
      </c>
      <c r="AX152" s="69">
        <v>0.94517109628051121</v>
      </c>
      <c r="AY152" s="69">
        <v>1.9305684864894042E-2</v>
      </c>
      <c r="AZ152" s="69">
        <v>6.4959952604327076E-2</v>
      </c>
      <c r="BA152" s="69">
        <v>5.4215106930230669E-2</v>
      </c>
      <c r="BB152" s="69">
        <v>1.20092783813116E-2</v>
      </c>
      <c r="BC152" s="69">
        <v>0.38203131821977881</v>
      </c>
      <c r="BD152" s="69">
        <v>5.9593963454854154E-2</v>
      </c>
      <c r="BE152" s="69">
        <v>6.4953349089420895E-2</v>
      </c>
      <c r="BF152" s="69">
        <v>0.36548690283516821</v>
      </c>
      <c r="BG152" s="69">
        <v>1.6710384850131478E-3</v>
      </c>
      <c r="BH152" s="69">
        <v>0.84076079214638821</v>
      </c>
      <c r="BI152" s="69">
        <v>0.53354335662720365</v>
      </c>
      <c r="BJ152" s="69">
        <v>1.1987875965812149</v>
      </c>
      <c r="BK152" s="69">
        <v>7.9836780443256794</v>
      </c>
      <c r="BL152" s="69">
        <v>12.423637741676259</v>
      </c>
      <c r="BM152" s="69">
        <v>0.15865809423748434</v>
      </c>
      <c r="BN152" s="69">
        <v>1.3559019500909157</v>
      </c>
      <c r="BO152" s="69">
        <v>0.70038731051710013</v>
      </c>
      <c r="BP152" s="69">
        <v>8.0705396755822736E-2</v>
      </c>
      <c r="BQ152" s="69">
        <v>0</v>
      </c>
      <c r="BR152" s="69">
        <v>0</v>
      </c>
      <c r="BS152" s="69">
        <v>0</v>
      </c>
      <c r="BT152" s="69">
        <v>0</v>
      </c>
      <c r="BU152" s="69">
        <v>4.0943044362098571E-2</v>
      </c>
      <c r="BV152" s="69">
        <v>1.2867661923406217</v>
      </c>
      <c r="BW152" s="69">
        <v>1.4433144888040161</v>
      </c>
      <c r="BX152" s="69">
        <v>0.86180028232089345</v>
      </c>
      <c r="BY152" s="69">
        <v>0.92213036773057477</v>
      </c>
      <c r="BZ152" s="69">
        <v>1.0249221371814725</v>
      </c>
      <c r="CA152" s="69">
        <v>6.4944357064451695E-3</v>
      </c>
      <c r="CB152" s="69">
        <v>2.5478039171907642E-2</v>
      </c>
      <c r="CC152" s="69">
        <v>3.9807922576791559</v>
      </c>
      <c r="CD152" s="69">
        <v>0</v>
      </c>
      <c r="CE152" s="69">
        <v>0</v>
      </c>
      <c r="CF152" s="69">
        <v>0</v>
      </c>
      <c r="CG152" s="69">
        <v>0</v>
      </c>
      <c r="CH152" s="69">
        <v>0</v>
      </c>
      <c r="CI152" s="69">
        <v>0</v>
      </c>
      <c r="CJ152" s="69">
        <v>0</v>
      </c>
      <c r="CK152" s="69">
        <v>0</v>
      </c>
      <c r="CL152" s="69">
        <v>0</v>
      </c>
      <c r="CM152" s="69">
        <v>0</v>
      </c>
      <c r="CN152" s="69">
        <v>0</v>
      </c>
      <c r="CO152" s="69">
        <v>0</v>
      </c>
      <c r="CP152" s="69">
        <v>0</v>
      </c>
      <c r="CQ152" s="69">
        <v>0</v>
      </c>
      <c r="CR152" s="69">
        <v>0</v>
      </c>
      <c r="CS152" s="69">
        <v>0</v>
      </c>
      <c r="CT152" s="69">
        <v>0</v>
      </c>
      <c r="CU152" s="69">
        <v>0</v>
      </c>
      <c r="CV152" s="69">
        <v>0</v>
      </c>
      <c r="CW152" s="69">
        <v>0</v>
      </c>
      <c r="CX152" s="69">
        <v>0</v>
      </c>
      <c r="CY152" s="69">
        <v>0</v>
      </c>
      <c r="CZ152" s="69">
        <v>0</v>
      </c>
      <c r="DA152" s="69">
        <v>0</v>
      </c>
      <c r="DB152" s="69">
        <v>0</v>
      </c>
      <c r="DC152" s="69">
        <v>0</v>
      </c>
      <c r="DD152" s="69">
        <v>0</v>
      </c>
      <c r="DE152" s="69">
        <v>0</v>
      </c>
      <c r="DF152" s="69">
        <v>0</v>
      </c>
      <c r="DG152" s="69">
        <v>0</v>
      </c>
      <c r="DH152" s="69">
        <v>0</v>
      </c>
      <c r="DI152" s="69">
        <v>0</v>
      </c>
      <c r="DJ152" s="69">
        <v>0</v>
      </c>
      <c r="DK152" s="69">
        <v>0</v>
      </c>
      <c r="DL152" s="69">
        <v>0</v>
      </c>
      <c r="DM152" s="69">
        <v>0</v>
      </c>
      <c r="DN152" s="69">
        <v>0</v>
      </c>
      <c r="DO152" s="69">
        <v>0</v>
      </c>
      <c r="DP152" s="69">
        <v>0</v>
      </c>
      <c r="DQ152" s="69">
        <v>0</v>
      </c>
      <c r="DR152" s="69">
        <v>0</v>
      </c>
      <c r="DS152" s="69">
        <v>0</v>
      </c>
      <c r="DT152" s="69">
        <v>0</v>
      </c>
      <c r="DU152" s="69">
        <v>0</v>
      </c>
      <c r="DV152" s="69">
        <v>0</v>
      </c>
      <c r="DW152" s="69">
        <v>0</v>
      </c>
      <c r="DX152" s="69">
        <v>0</v>
      </c>
      <c r="DY152" s="69">
        <v>0</v>
      </c>
      <c r="DZ152" s="69">
        <v>0</v>
      </c>
      <c r="EA152" s="69">
        <v>0</v>
      </c>
      <c r="EB152" s="69">
        <v>0</v>
      </c>
      <c r="EC152" s="69">
        <v>0</v>
      </c>
      <c r="ED152" s="69">
        <v>0</v>
      </c>
      <c r="EE152" s="69">
        <v>0</v>
      </c>
      <c r="EF152" s="69">
        <v>0</v>
      </c>
      <c r="EG152" s="69">
        <v>0</v>
      </c>
      <c r="EH152" s="69">
        <v>0</v>
      </c>
      <c r="EI152" s="69">
        <v>0</v>
      </c>
      <c r="EJ152" s="69">
        <v>0</v>
      </c>
      <c r="EK152" s="69">
        <v>0</v>
      </c>
      <c r="EL152" s="69">
        <v>0</v>
      </c>
      <c r="EM152" s="69">
        <v>0</v>
      </c>
      <c r="EN152" s="69">
        <v>0</v>
      </c>
      <c r="EO152" s="69">
        <v>0</v>
      </c>
      <c r="EP152" s="69">
        <v>0</v>
      </c>
      <c r="EQ152" s="69">
        <v>0</v>
      </c>
      <c r="ER152" s="69">
        <v>0</v>
      </c>
      <c r="ES152" s="69">
        <v>0</v>
      </c>
      <c r="ET152" s="69">
        <v>0</v>
      </c>
      <c r="EU152" s="69">
        <v>0</v>
      </c>
      <c r="EV152" s="69">
        <v>0</v>
      </c>
      <c r="EW152" s="69">
        <v>0</v>
      </c>
      <c r="EX152" s="69">
        <v>0</v>
      </c>
      <c r="EY152" s="69">
        <v>0</v>
      </c>
      <c r="EZ152" s="69">
        <v>0</v>
      </c>
      <c r="FA152" s="69">
        <v>0</v>
      </c>
      <c r="FB152" s="69">
        <v>0</v>
      </c>
      <c r="FC152" s="69">
        <v>0</v>
      </c>
      <c r="FD152" s="69">
        <v>0</v>
      </c>
      <c r="FE152" s="69">
        <v>0</v>
      </c>
      <c r="FF152" s="69">
        <v>0</v>
      </c>
      <c r="FG152" s="69">
        <v>0</v>
      </c>
      <c r="FH152" s="69">
        <v>0</v>
      </c>
      <c r="FI152" s="69">
        <v>0</v>
      </c>
      <c r="FJ152" s="69">
        <v>0</v>
      </c>
      <c r="FK152" s="69">
        <v>1057.4010485097169</v>
      </c>
      <c r="FL152" s="69">
        <v>0</v>
      </c>
      <c r="FM152" s="69">
        <v>0</v>
      </c>
      <c r="FN152" s="69">
        <v>0</v>
      </c>
      <c r="FO152" s="69">
        <v>0</v>
      </c>
      <c r="FP152" s="69">
        <v>0</v>
      </c>
      <c r="FQ152" s="69">
        <v>0</v>
      </c>
      <c r="FR152" s="69">
        <v>0</v>
      </c>
      <c r="FS152" s="69">
        <v>0</v>
      </c>
      <c r="FT152" s="69">
        <v>0</v>
      </c>
      <c r="FU152" s="69">
        <v>0</v>
      </c>
      <c r="FV152" s="69">
        <v>0</v>
      </c>
      <c r="FW152" s="69">
        <v>0</v>
      </c>
      <c r="FX152" s="69">
        <v>0</v>
      </c>
      <c r="FY152" s="69">
        <v>0</v>
      </c>
      <c r="FZ152" s="69">
        <v>0</v>
      </c>
      <c r="GA152" s="69">
        <v>0</v>
      </c>
      <c r="GB152" s="69">
        <v>0</v>
      </c>
      <c r="GC152" s="69">
        <v>0</v>
      </c>
      <c r="GD152" s="69">
        <v>4.8810905673720963E-2</v>
      </c>
      <c r="GE152" s="69">
        <v>0.15115165097230407</v>
      </c>
      <c r="GF152" s="69">
        <v>0.35939292522611993</v>
      </c>
      <c r="GG152" s="69">
        <v>0.65800629578919156</v>
      </c>
      <c r="GH152" s="69">
        <v>1.6767207606875001</v>
      </c>
      <c r="GI152" s="69">
        <v>3.0623179997912205E-3</v>
      </c>
      <c r="GJ152" s="69">
        <v>1.7726494786739874E-2</v>
      </c>
      <c r="GK152" s="69">
        <v>4.0578112096612162E-2</v>
      </c>
      <c r="GL152" s="69">
        <v>2.1128222854529585E-2</v>
      </c>
      <c r="GM152" s="69">
        <v>1.2091174968991216</v>
      </c>
      <c r="GN152" s="69">
        <v>0</v>
      </c>
      <c r="GO152" s="69">
        <v>3.0558875516583237E-2</v>
      </c>
      <c r="GP152" s="69">
        <v>4.0913749419868176E-3</v>
      </c>
      <c r="GQ152" s="69">
        <v>7.6254971254682113E-2</v>
      </c>
      <c r="GR152" s="69">
        <v>3.4079232182346315</v>
      </c>
      <c r="GS152" s="69">
        <v>0</v>
      </c>
      <c r="GT152" s="69">
        <v>0</v>
      </c>
      <c r="GU152" s="69">
        <v>0</v>
      </c>
      <c r="GV152" s="69">
        <v>0</v>
      </c>
      <c r="GW152" s="69">
        <v>0</v>
      </c>
      <c r="GX152" s="21">
        <v>0</v>
      </c>
      <c r="GY152" s="21">
        <v>0</v>
      </c>
      <c r="GZ152" s="69">
        <v>0</v>
      </c>
      <c r="HA152" s="69">
        <v>0.16563225157952138</v>
      </c>
      <c r="HB152" s="21">
        <f t="shared" si="2"/>
        <v>1106.4569536758252</v>
      </c>
    </row>
    <row r="153" spans="1:210" x14ac:dyDescent="0.75">
      <c r="A153" s="68" t="s">
        <v>66</v>
      </c>
      <c r="B153" s="69">
        <v>0</v>
      </c>
      <c r="C153" s="69">
        <v>0</v>
      </c>
      <c r="D153" s="69">
        <v>0</v>
      </c>
      <c r="E153" s="69">
        <v>0</v>
      </c>
      <c r="F153" s="69">
        <v>0</v>
      </c>
      <c r="G153" s="69">
        <v>0</v>
      </c>
      <c r="H153" s="69">
        <v>0</v>
      </c>
      <c r="I153" s="69">
        <v>0</v>
      </c>
      <c r="J153" s="69">
        <v>0</v>
      </c>
      <c r="K153" s="69">
        <v>0</v>
      </c>
      <c r="L153" s="69">
        <v>0</v>
      </c>
      <c r="M153" s="69">
        <v>0</v>
      </c>
      <c r="N153" s="69">
        <v>0</v>
      </c>
      <c r="O153" s="69">
        <v>0</v>
      </c>
      <c r="P153" s="69">
        <v>0</v>
      </c>
      <c r="Q153" s="69">
        <v>0</v>
      </c>
      <c r="R153" s="69">
        <v>0</v>
      </c>
      <c r="S153" s="69">
        <v>0</v>
      </c>
      <c r="T153" s="69">
        <v>0</v>
      </c>
      <c r="U153" s="69">
        <v>0</v>
      </c>
      <c r="V153" s="69">
        <v>0</v>
      </c>
      <c r="W153" s="69">
        <v>0</v>
      </c>
      <c r="X153" s="69">
        <v>0</v>
      </c>
      <c r="Y153" s="69">
        <v>0</v>
      </c>
      <c r="Z153" s="69">
        <v>0</v>
      </c>
      <c r="AA153" s="69">
        <v>0</v>
      </c>
      <c r="AB153" s="69">
        <v>0</v>
      </c>
      <c r="AC153" s="69">
        <v>0</v>
      </c>
      <c r="AD153" s="69">
        <v>0</v>
      </c>
      <c r="AE153" s="69">
        <v>0</v>
      </c>
      <c r="AF153" s="69">
        <v>0</v>
      </c>
      <c r="AG153" s="69">
        <v>0</v>
      </c>
      <c r="AH153" s="69">
        <v>0</v>
      </c>
      <c r="AI153" s="69">
        <v>1.0844366612283032</v>
      </c>
      <c r="AJ153" s="69">
        <v>1.3056406253103354</v>
      </c>
      <c r="AK153" s="69">
        <v>5.9582301412499865E-2</v>
      </c>
      <c r="AL153" s="69">
        <v>0</v>
      </c>
      <c r="AM153" s="69">
        <v>3.2486941894906023E-2</v>
      </c>
      <c r="AN153" s="69">
        <v>3.2337095138306142</v>
      </c>
      <c r="AO153" s="69">
        <v>0.23062668744693982</v>
      </c>
      <c r="AP153" s="69">
        <v>0</v>
      </c>
      <c r="AQ153" s="69">
        <v>0.86985896347705915</v>
      </c>
      <c r="AR153" s="69">
        <v>2.6147955422860205</v>
      </c>
      <c r="AS153" s="69">
        <v>2.0024858355198811E-2</v>
      </c>
      <c r="AT153" s="69">
        <v>1.7394734370630576</v>
      </c>
      <c r="AU153" s="69">
        <v>0.30614701472407618</v>
      </c>
      <c r="AV153" s="69">
        <v>0.41078750984057322</v>
      </c>
      <c r="AW153" s="69">
        <v>2.802786808914087E-3</v>
      </c>
      <c r="AX153" s="69">
        <v>0.89812910455896022</v>
      </c>
      <c r="AY153" s="69">
        <v>9.5087263853471146E-2</v>
      </c>
      <c r="AZ153" s="69">
        <v>0.58494754481181932</v>
      </c>
      <c r="BA153" s="69">
        <v>0.24571106633698192</v>
      </c>
      <c r="BB153" s="69">
        <v>0.18157178557272904</v>
      </c>
      <c r="BC153" s="69">
        <v>0.93743092111796467</v>
      </c>
      <c r="BD153" s="69">
        <v>0.73624911505022406</v>
      </c>
      <c r="BE153" s="69">
        <v>0.88672992386610228</v>
      </c>
      <c r="BF153" s="69">
        <v>0.14301605656407457</v>
      </c>
      <c r="BG153" s="69">
        <v>5.6801922023784722E-3</v>
      </c>
      <c r="BH153" s="69">
        <v>0.75686748004042725</v>
      </c>
      <c r="BI153" s="69">
        <v>0.36329414905396207</v>
      </c>
      <c r="BJ153" s="69">
        <v>12.69663015135621</v>
      </c>
      <c r="BK153" s="69">
        <v>110.8099048684783</v>
      </c>
      <c r="BL153" s="69">
        <v>52.016584440804685</v>
      </c>
      <c r="BM153" s="69">
        <v>0.1624907650665382</v>
      </c>
      <c r="BN153" s="69">
        <v>3.7728013150991999</v>
      </c>
      <c r="BO153" s="69">
        <v>15.839114756441557</v>
      </c>
      <c r="BP153" s="69">
        <v>0.18281913879863496</v>
      </c>
      <c r="BQ153" s="69">
        <v>1.3497067257345883</v>
      </c>
      <c r="BR153" s="69">
        <v>8.6860899941965559E-3</v>
      </c>
      <c r="BS153" s="69">
        <v>1.4013202419490281E-4</v>
      </c>
      <c r="BT153" s="69">
        <v>0</v>
      </c>
      <c r="BU153" s="69">
        <v>0.55477695568950924</v>
      </c>
      <c r="BV153" s="69">
        <v>13.61909860278428</v>
      </c>
      <c r="BW153" s="69">
        <v>23.322211124909433</v>
      </c>
      <c r="BX153" s="69">
        <v>8.8143593561990521</v>
      </c>
      <c r="BY153" s="69">
        <v>3.0193513821858731</v>
      </c>
      <c r="BZ153" s="69">
        <v>5.3252691384042699</v>
      </c>
      <c r="CA153" s="69">
        <v>0.14515560712888073</v>
      </c>
      <c r="CB153" s="69">
        <v>7.3445588475710311E-2</v>
      </c>
      <c r="CC153" s="69">
        <v>16.430030997865295</v>
      </c>
      <c r="CD153" s="69">
        <v>0</v>
      </c>
      <c r="CE153" s="69">
        <v>0</v>
      </c>
      <c r="CF153" s="69">
        <v>0</v>
      </c>
      <c r="CG153" s="69">
        <v>0</v>
      </c>
      <c r="CH153" s="69">
        <v>0</v>
      </c>
      <c r="CI153" s="69">
        <v>0</v>
      </c>
      <c r="CJ153" s="69">
        <v>0</v>
      </c>
      <c r="CK153" s="69">
        <v>0</v>
      </c>
      <c r="CL153" s="69">
        <v>0</v>
      </c>
      <c r="CM153" s="69">
        <v>0</v>
      </c>
      <c r="CN153" s="69">
        <v>0</v>
      </c>
      <c r="CO153" s="69">
        <v>0</v>
      </c>
      <c r="CP153" s="69">
        <v>0</v>
      </c>
      <c r="CQ153" s="69">
        <v>0</v>
      </c>
      <c r="CR153" s="69">
        <v>0</v>
      </c>
      <c r="CS153" s="69">
        <v>0</v>
      </c>
      <c r="CT153" s="69">
        <v>0</v>
      </c>
      <c r="CU153" s="69">
        <v>0</v>
      </c>
      <c r="CV153" s="69">
        <v>0</v>
      </c>
      <c r="CW153" s="69">
        <v>0</v>
      </c>
      <c r="CX153" s="69">
        <v>0</v>
      </c>
      <c r="CY153" s="69">
        <v>0</v>
      </c>
      <c r="CZ153" s="69">
        <v>0</v>
      </c>
      <c r="DA153" s="69">
        <v>0</v>
      </c>
      <c r="DB153" s="69">
        <v>0</v>
      </c>
      <c r="DC153" s="69">
        <v>0</v>
      </c>
      <c r="DD153" s="69">
        <v>0</v>
      </c>
      <c r="DE153" s="69">
        <v>0</v>
      </c>
      <c r="DF153" s="69">
        <v>0</v>
      </c>
      <c r="DG153" s="69">
        <v>0</v>
      </c>
      <c r="DH153" s="69">
        <v>0</v>
      </c>
      <c r="DI153" s="69">
        <v>0</v>
      </c>
      <c r="DJ153" s="69">
        <v>0</v>
      </c>
      <c r="DK153" s="69">
        <v>0</v>
      </c>
      <c r="DL153" s="69">
        <v>0</v>
      </c>
      <c r="DM153" s="69">
        <v>0</v>
      </c>
      <c r="DN153" s="69">
        <v>0</v>
      </c>
      <c r="DO153" s="69">
        <v>0</v>
      </c>
      <c r="DP153" s="69">
        <v>0</v>
      </c>
      <c r="DQ153" s="69">
        <v>0</v>
      </c>
      <c r="DR153" s="69">
        <v>0</v>
      </c>
      <c r="DS153" s="69">
        <v>0</v>
      </c>
      <c r="DT153" s="69">
        <v>0</v>
      </c>
      <c r="DU153" s="69">
        <v>0</v>
      </c>
      <c r="DV153" s="69">
        <v>0</v>
      </c>
      <c r="DW153" s="69">
        <v>0</v>
      </c>
      <c r="DX153" s="69">
        <v>0</v>
      </c>
      <c r="DY153" s="69">
        <v>0</v>
      </c>
      <c r="DZ153" s="69">
        <v>0</v>
      </c>
      <c r="EA153" s="69">
        <v>0</v>
      </c>
      <c r="EB153" s="69">
        <v>0</v>
      </c>
      <c r="EC153" s="69">
        <v>0</v>
      </c>
      <c r="ED153" s="69">
        <v>0</v>
      </c>
      <c r="EE153" s="69">
        <v>0</v>
      </c>
      <c r="EF153" s="69">
        <v>0</v>
      </c>
      <c r="EG153" s="69">
        <v>0</v>
      </c>
      <c r="EH153" s="69">
        <v>0</v>
      </c>
      <c r="EI153" s="69">
        <v>0</v>
      </c>
      <c r="EJ153" s="69">
        <v>0</v>
      </c>
      <c r="EK153" s="69">
        <v>0</v>
      </c>
      <c r="EL153" s="69">
        <v>0</v>
      </c>
      <c r="EM153" s="69">
        <v>0</v>
      </c>
      <c r="EN153" s="69">
        <v>0</v>
      </c>
      <c r="EO153" s="69">
        <v>0</v>
      </c>
      <c r="EP153" s="69">
        <v>0</v>
      </c>
      <c r="EQ153" s="69">
        <v>0</v>
      </c>
      <c r="ER153" s="69">
        <v>0</v>
      </c>
      <c r="ES153" s="69">
        <v>0</v>
      </c>
      <c r="ET153" s="69">
        <v>0</v>
      </c>
      <c r="EU153" s="69">
        <v>0</v>
      </c>
      <c r="EV153" s="69">
        <v>0</v>
      </c>
      <c r="EW153" s="69">
        <v>0</v>
      </c>
      <c r="EX153" s="69">
        <v>0</v>
      </c>
      <c r="EY153" s="69">
        <v>0</v>
      </c>
      <c r="EZ153" s="69">
        <v>0</v>
      </c>
      <c r="FA153" s="69">
        <v>0</v>
      </c>
      <c r="FB153" s="69">
        <v>0</v>
      </c>
      <c r="FC153" s="69">
        <v>0</v>
      </c>
      <c r="FD153" s="69">
        <v>0</v>
      </c>
      <c r="FE153" s="69">
        <v>0</v>
      </c>
      <c r="FF153" s="69">
        <v>0</v>
      </c>
      <c r="FG153" s="69">
        <v>0</v>
      </c>
      <c r="FH153" s="69">
        <v>0</v>
      </c>
      <c r="FI153" s="69">
        <v>0</v>
      </c>
      <c r="FJ153" s="69">
        <v>0</v>
      </c>
      <c r="FK153" s="69">
        <v>0</v>
      </c>
      <c r="FL153" s="69">
        <v>0</v>
      </c>
      <c r="FM153" s="69">
        <v>0</v>
      </c>
      <c r="FN153" s="69">
        <v>0</v>
      </c>
      <c r="FO153" s="69">
        <v>0</v>
      </c>
      <c r="FP153" s="69">
        <v>0</v>
      </c>
      <c r="FQ153" s="69">
        <v>0</v>
      </c>
      <c r="FR153" s="69">
        <v>0</v>
      </c>
      <c r="FS153" s="69">
        <v>0</v>
      </c>
      <c r="FT153" s="69">
        <v>0</v>
      </c>
      <c r="FU153" s="69">
        <v>0</v>
      </c>
      <c r="FV153" s="69">
        <v>0</v>
      </c>
      <c r="FW153" s="69">
        <v>0</v>
      </c>
      <c r="FX153" s="69">
        <v>0</v>
      </c>
      <c r="FY153" s="69">
        <v>0</v>
      </c>
      <c r="FZ153" s="69">
        <v>0</v>
      </c>
      <c r="GA153" s="69">
        <v>0</v>
      </c>
      <c r="GB153" s="69">
        <v>0</v>
      </c>
      <c r="GC153" s="69">
        <v>0</v>
      </c>
      <c r="GD153" s="69">
        <v>1.9831135007166261</v>
      </c>
      <c r="GE153" s="69">
        <v>4.412596559877441</v>
      </c>
      <c r="GF153" s="69">
        <v>8.7360657406251896</v>
      </c>
      <c r="GG153" s="69">
        <v>17.389574624895925</v>
      </c>
      <c r="GH153" s="69">
        <v>44.820817231500399</v>
      </c>
      <c r="GI153" s="69">
        <v>0.2530256117791857</v>
      </c>
      <c r="GJ153" s="69">
        <v>0.3854132474942209</v>
      </c>
      <c r="GK153" s="69">
        <v>0.84995138627236211</v>
      </c>
      <c r="GL153" s="69">
        <v>3.505588930601065</v>
      </c>
      <c r="GM153" s="69">
        <v>29.317814662894357</v>
      </c>
      <c r="GN153" s="69">
        <v>0.86306436164035027</v>
      </c>
      <c r="GO153" s="69">
        <v>1.7381616652116889</v>
      </c>
      <c r="GP153" s="69">
        <v>3.4048698438996978</v>
      </c>
      <c r="GQ153" s="69">
        <v>15.814874576002818</v>
      </c>
      <c r="GR153" s="69">
        <v>157.00389366039585</v>
      </c>
      <c r="GS153" s="69">
        <v>0</v>
      </c>
      <c r="GT153" s="69">
        <v>0</v>
      </c>
      <c r="GU153" s="69">
        <v>0</v>
      </c>
      <c r="GV153" s="69">
        <v>0</v>
      </c>
      <c r="GW153" s="69">
        <v>0</v>
      </c>
      <c r="GX153" s="21">
        <v>0</v>
      </c>
      <c r="GY153" s="21">
        <v>0</v>
      </c>
      <c r="GZ153" s="69">
        <v>0</v>
      </c>
      <c r="HA153" s="69">
        <v>96.545856868138699</v>
      </c>
      <c r="HB153" s="21">
        <f t="shared" si="2"/>
        <v>672.91234705609384</v>
      </c>
    </row>
    <row r="154" spans="1:210" x14ac:dyDescent="0.75">
      <c r="A154" s="67" t="s">
        <v>736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69">
        <v>0</v>
      </c>
      <c r="AD154" s="21"/>
      <c r="AE154" s="21"/>
      <c r="AF154" s="69">
        <v>0</v>
      </c>
      <c r="AG154" s="21"/>
      <c r="AH154" s="21"/>
      <c r="AI154" s="69">
        <v>2.4756425906713272E-2</v>
      </c>
      <c r="AJ154" s="21"/>
      <c r="AK154" s="21">
        <v>7.5508841704682852E-3</v>
      </c>
      <c r="AL154" s="21">
        <v>4.448649146549715E-4</v>
      </c>
      <c r="AM154" s="21">
        <v>1.5865893418667658E-4</v>
      </c>
      <c r="AN154" s="21">
        <v>8.9959112148784437E-3</v>
      </c>
      <c r="AO154" s="21">
        <v>2.6475628869492532E-3</v>
      </c>
      <c r="AP154" s="21"/>
      <c r="AQ154" s="21">
        <v>3.5543896589339152E-2</v>
      </c>
      <c r="AR154" s="69">
        <v>3.2948997910447697E-2</v>
      </c>
      <c r="AS154" s="21">
        <v>4.8870025755037337E-3</v>
      </c>
      <c r="AT154" s="21">
        <v>2.1527383778399575E-2</v>
      </c>
      <c r="AU154" s="21">
        <v>9.3867825273604349E-2</v>
      </c>
      <c r="AV154" s="21">
        <v>1.7738103391557165E-3</v>
      </c>
      <c r="AW154" s="21"/>
      <c r="AX154" s="21">
        <v>9.0803416492439004E-2</v>
      </c>
      <c r="AY154" s="21">
        <v>1.2412098591785177E-3</v>
      </c>
      <c r="AZ154" s="21">
        <v>2.7630928991072517E-3</v>
      </c>
      <c r="BA154" s="21">
        <v>3.7270175669896575E-3</v>
      </c>
      <c r="BB154" s="69">
        <v>9.1951194405272263E-5</v>
      </c>
      <c r="BC154" s="21">
        <v>1.6820830866999686E-2</v>
      </c>
      <c r="BD154" s="21">
        <v>8.1141867954630902E-3</v>
      </c>
      <c r="BE154" s="21"/>
      <c r="BF154" s="21">
        <v>6.6392996215974675E-3</v>
      </c>
      <c r="BG154" s="69">
        <v>6.4675667032736339E-3</v>
      </c>
      <c r="BH154" s="21">
        <v>1.0304509572782153E-2</v>
      </c>
      <c r="BI154" s="69">
        <v>3.842814567864079E-4</v>
      </c>
      <c r="BJ154" s="21">
        <v>0.22355158549910553</v>
      </c>
      <c r="BK154" s="69">
        <v>0.69485201442980926</v>
      </c>
      <c r="BL154" s="69">
        <v>0.31718083144647991</v>
      </c>
      <c r="BM154" s="21">
        <v>1.3819773738829901E-2</v>
      </c>
      <c r="BN154" s="21">
        <v>0.33187928668628502</v>
      </c>
      <c r="BO154" s="69">
        <v>0.35590146203638434</v>
      </c>
      <c r="BP154" s="21">
        <v>2.2552975017517636E-2</v>
      </c>
      <c r="BQ154" s="21">
        <v>0.17847797649759031</v>
      </c>
      <c r="BR154" s="21">
        <v>1.0790082342901665E-2</v>
      </c>
      <c r="BS154" s="21">
        <v>2.9204279849442201E-4</v>
      </c>
      <c r="BT154" s="21"/>
      <c r="BU154" s="21">
        <v>1.1966856724010759E-2</v>
      </c>
      <c r="BV154" s="69">
        <v>1.6154578502254964</v>
      </c>
      <c r="BW154" s="21">
        <v>1.3844434669433254</v>
      </c>
      <c r="BX154" s="21">
        <v>0.17070921663036395</v>
      </c>
      <c r="BY154" s="21">
        <v>1.7651041071919671E-2</v>
      </c>
      <c r="BZ154" s="21">
        <v>9.7156317760153668E-2</v>
      </c>
      <c r="CA154" s="21"/>
      <c r="CB154" s="21"/>
      <c r="CC154" s="21">
        <v>0.10526388715241265</v>
      </c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69">
        <v>0</v>
      </c>
      <c r="DH154" s="21"/>
      <c r="DI154" s="21"/>
      <c r="DJ154" s="69">
        <v>0</v>
      </c>
      <c r="DK154" s="21"/>
      <c r="DL154" s="21"/>
      <c r="DM154" s="69">
        <v>0</v>
      </c>
      <c r="DN154" s="21"/>
      <c r="DO154" s="21"/>
      <c r="DP154" s="21"/>
      <c r="DQ154" s="21"/>
      <c r="DR154" s="21"/>
      <c r="DS154" s="21"/>
      <c r="DT154" s="21"/>
      <c r="DU154" s="21"/>
      <c r="DV154" s="21"/>
      <c r="DW154" s="69">
        <v>0</v>
      </c>
      <c r="DX154" s="21"/>
      <c r="DY154" s="21"/>
      <c r="DZ154" s="21"/>
      <c r="EA154" s="21"/>
      <c r="EB154" s="21"/>
      <c r="EC154" s="21"/>
      <c r="ED154" s="21"/>
      <c r="EE154" s="21"/>
      <c r="EF154" s="21"/>
      <c r="EG154" s="69">
        <v>0</v>
      </c>
      <c r="EH154" s="21"/>
      <c r="EI154" s="21"/>
      <c r="EJ154" s="21"/>
      <c r="EK154" s="21"/>
      <c r="EL154" s="69">
        <v>0</v>
      </c>
      <c r="EM154" s="21"/>
      <c r="EN154" s="69">
        <v>0</v>
      </c>
      <c r="EO154" s="21"/>
      <c r="EP154" s="69">
        <v>0</v>
      </c>
      <c r="EQ154" s="69">
        <v>0</v>
      </c>
      <c r="ER154" s="21"/>
      <c r="ES154" s="21"/>
      <c r="ET154" s="69">
        <v>0</v>
      </c>
      <c r="EU154" s="21"/>
      <c r="EV154" s="21"/>
      <c r="EW154" s="21"/>
      <c r="EX154" s="21"/>
      <c r="EY154" s="21"/>
      <c r="EZ154" s="21"/>
      <c r="FA154" s="69">
        <v>0</v>
      </c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>
        <v>2.061051828947482E-2</v>
      </c>
      <c r="GE154" s="21">
        <v>5.225603332267964E-2</v>
      </c>
      <c r="GF154" s="21">
        <v>8.7177765089111403E-2</v>
      </c>
      <c r="GG154" s="21">
        <v>0.13894165521332213</v>
      </c>
      <c r="GH154" s="21">
        <v>0.1926571993067073</v>
      </c>
      <c r="GI154" s="21">
        <v>1.8728589115224314E-3</v>
      </c>
      <c r="GJ154" s="21">
        <v>3.8921313994191376E-3</v>
      </c>
      <c r="GK154" s="21">
        <v>8.9817266985683254E-3</v>
      </c>
      <c r="GL154" s="21">
        <v>1.6581694852898302E-2</v>
      </c>
      <c r="GM154" s="21">
        <v>8.88870264186256E-2</v>
      </c>
      <c r="GN154" s="21">
        <v>4.1238558526090615E-3</v>
      </c>
      <c r="GO154" s="21">
        <v>6.7915904606170177E-3</v>
      </c>
      <c r="GP154" s="21">
        <v>1.3221992913133277E-2</v>
      </c>
      <c r="GQ154" s="21">
        <v>3.8433576959678778E-2</v>
      </c>
      <c r="GR154" s="21">
        <v>0.40893921318759446</v>
      </c>
      <c r="GS154" s="21"/>
      <c r="GT154" s="21"/>
      <c r="GU154" s="21"/>
      <c r="GV154" s="21"/>
      <c r="GW154" s="21"/>
      <c r="GX154" s="21">
        <v>0</v>
      </c>
      <c r="GY154" s="21">
        <v>0</v>
      </c>
      <c r="GZ154" s="21"/>
      <c r="HA154" s="21">
        <v>4.283835020751634</v>
      </c>
      <c r="HB154" s="21">
        <f t="shared" si="2"/>
        <v>11.301611114151999</v>
      </c>
    </row>
    <row r="155" spans="1:210" x14ac:dyDescent="0.75">
      <c r="A155" s="67" t="s">
        <v>345</v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69">
        <v>0</v>
      </c>
      <c r="AD155" s="21"/>
      <c r="AE155" s="21"/>
      <c r="AF155" s="69">
        <v>0</v>
      </c>
      <c r="AG155" s="21"/>
      <c r="AH155" s="21"/>
      <c r="AI155" s="69">
        <v>0.75908891811417023</v>
      </c>
      <c r="AJ155" s="21">
        <v>0.1735697364862179</v>
      </c>
      <c r="AK155" s="21">
        <v>7.3934381332295494E-4</v>
      </c>
      <c r="AL155" s="21">
        <v>2.1149759803335135E-2</v>
      </c>
      <c r="AM155" s="21"/>
      <c r="AN155" s="21">
        <v>0.4711731689904512</v>
      </c>
      <c r="AO155" s="21">
        <v>2.6755306033928002E-2</v>
      </c>
      <c r="AP155" s="21"/>
      <c r="AQ155" s="21">
        <v>0.78826772372159681</v>
      </c>
      <c r="AR155" s="69">
        <v>0.30022549578464108</v>
      </c>
      <c r="AS155" s="21"/>
      <c r="AT155" s="21">
        <v>0.3151510321911854</v>
      </c>
      <c r="AU155" s="21">
        <v>5.869994440405623E-2</v>
      </c>
      <c r="AV155" s="21">
        <v>6.9158922453876309E-2</v>
      </c>
      <c r="AW155" s="21">
        <v>4.2492099613731805E-4</v>
      </c>
      <c r="AX155" s="21">
        <v>1.1140064825535612</v>
      </c>
      <c r="AY155" s="21">
        <v>3.5786269948770023E-2</v>
      </c>
      <c r="AZ155" s="21">
        <v>3.7829332783587792E-2</v>
      </c>
      <c r="BA155" s="21">
        <v>2.7466557353344124E-2</v>
      </c>
      <c r="BB155" s="69">
        <v>0.16459842005384878</v>
      </c>
      <c r="BC155" s="21">
        <v>0.88325738406739718</v>
      </c>
      <c r="BD155" s="21">
        <v>0.18281623546940393</v>
      </c>
      <c r="BE155" s="21">
        <v>4.4678719730554942E-2</v>
      </c>
      <c r="BF155" s="21">
        <v>2.6760842124302483E-3</v>
      </c>
      <c r="BG155" s="69">
        <v>1.3541537101263539</v>
      </c>
      <c r="BH155" s="21">
        <v>1.15577229164156</v>
      </c>
      <c r="BI155" s="69">
        <v>0.19819296700941841</v>
      </c>
      <c r="BJ155" s="21">
        <v>7.6113973671440229</v>
      </c>
      <c r="BK155" s="69">
        <v>11.808310464652546</v>
      </c>
      <c r="BL155" s="69">
        <v>12.973095828152287</v>
      </c>
      <c r="BM155" s="21">
        <v>2.4864513355107296</v>
      </c>
      <c r="BN155" s="21">
        <v>2.2956304485838652</v>
      </c>
      <c r="BO155" s="69">
        <v>1.8479816906255289</v>
      </c>
      <c r="BP155" s="21">
        <v>0.47596499274504023</v>
      </c>
      <c r="BQ155" s="21">
        <v>1.3847546356052614</v>
      </c>
      <c r="BR155" s="21">
        <v>0.30983079833841604</v>
      </c>
      <c r="BS155" s="21">
        <v>1.4359971012600956E-2</v>
      </c>
      <c r="BT155" s="21"/>
      <c r="BU155" s="21">
        <v>0.76680612726714437</v>
      </c>
      <c r="BV155" s="69">
        <v>3.1358171115028455</v>
      </c>
      <c r="BW155" s="21">
        <v>78.000626979155072</v>
      </c>
      <c r="BX155" s="21">
        <v>15.910146146356048</v>
      </c>
      <c r="BY155" s="21">
        <v>6.1484044018652613</v>
      </c>
      <c r="BZ155" s="21">
        <v>2.5855560127085422</v>
      </c>
      <c r="CA155" s="21">
        <v>0.16483583365797871</v>
      </c>
      <c r="CB155" s="21">
        <v>1.4179318911977939E-2</v>
      </c>
      <c r="CC155" s="21">
        <v>4.4746521224835352</v>
      </c>
      <c r="CD155" s="21">
        <v>5.9543476980413693E-2</v>
      </c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69">
        <v>0</v>
      </c>
      <c r="DH155" s="21"/>
      <c r="DI155" s="21"/>
      <c r="DJ155" s="69">
        <v>0</v>
      </c>
      <c r="DK155" s="21"/>
      <c r="DL155" s="21"/>
      <c r="DM155" s="69">
        <v>0</v>
      </c>
      <c r="DN155" s="21"/>
      <c r="DO155" s="21"/>
      <c r="DP155" s="21"/>
      <c r="DQ155" s="21"/>
      <c r="DR155" s="21"/>
      <c r="DS155" s="21"/>
      <c r="DT155" s="21"/>
      <c r="DU155" s="21"/>
      <c r="DV155" s="21"/>
      <c r="DW155" s="69">
        <v>0</v>
      </c>
      <c r="DX155" s="21"/>
      <c r="DY155" s="21"/>
      <c r="DZ155" s="21"/>
      <c r="EA155" s="21"/>
      <c r="EB155" s="21"/>
      <c r="EC155" s="21"/>
      <c r="ED155" s="21"/>
      <c r="EE155" s="21"/>
      <c r="EF155" s="21"/>
      <c r="EG155" s="69">
        <v>0</v>
      </c>
      <c r="EH155" s="21"/>
      <c r="EI155" s="21"/>
      <c r="EJ155" s="21"/>
      <c r="EK155" s="21"/>
      <c r="EL155" s="69">
        <v>0</v>
      </c>
      <c r="EM155" s="21"/>
      <c r="EN155" s="69">
        <v>0</v>
      </c>
      <c r="EO155" s="21"/>
      <c r="EP155" s="69">
        <v>0</v>
      </c>
      <c r="EQ155" s="69">
        <v>0</v>
      </c>
      <c r="ER155" s="21"/>
      <c r="ES155" s="21"/>
      <c r="ET155" s="69">
        <v>0</v>
      </c>
      <c r="EU155" s="21"/>
      <c r="EV155" s="21"/>
      <c r="EW155" s="21"/>
      <c r="EX155" s="21"/>
      <c r="EY155" s="21"/>
      <c r="EZ155" s="21"/>
      <c r="FA155" s="69">
        <v>0</v>
      </c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>
        <v>7.7995045499001892</v>
      </c>
      <c r="GE155" s="21">
        <v>20.160324880202424</v>
      </c>
      <c r="GF155" s="21">
        <v>30.981549882753139</v>
      </c>
      <c r="GG155" s="21">
        <v>52.160261769818476</v>
      </c>
      <c r="GH155" s="21">
        <v>80.876059225421997</v>
      </c>
      <c r="GI155" s="21">
        <v>0.41457685967006552</v>
      </c>
      <c r="GJ155" s="21">
        <v>0.95367470089158612</v>
      </c>
      <c r="GK155" s="21">
        <v>1.2967282228875079</v>
      </c>
      <c r="GL155" s="21">
        <v>2.7572574858365373</v>
      </c>
      <c r="GM155" s="21">
        <v>28.170898941581317</v>
      </c>
      <c r="GN155" s="21">
        <v>0.64017851889771171</v>
      </c>
      <c r="GO155" s="21">
        <v>1.4048159665515891</v>
      </c>
      <c r="GP155" s="21">
        <v>2.2917331400632595</v>
      </c>
      <c r="GQ155" s="21">
        <v>11.392846008536951</v>
      </c>
      <c r="GR155" s="21">
        <v>114.72652456403492</v>
      </c>
      <c r="GS155" s="21"/>
      <c r="GT155" s="21"/>
      <c r="GU155" s="21"/>
      <c r="GV155" s="21"/>
      <c r="GW155" s="21"/>
      <c r="GX155" s="21">
        <v>0</v>
      </c>
      <c r="GY155" s="21">
        <v>0</v>
      </c>
      <c r="GZ155" s="21"/>
      <c r="HA155" s="21">
        <v>8.8340426305740536</v>
      </c>
      <c r="HB155" s="21">
        <f t="shared" si="2"/>
        <v>525.51496113862402</v>
      </c>
    </row>
    <row r="156" spans="1:210" x14ac:dyDescent="0.75">
      <c r="A156" s="68" t="s">
        <v>346</v>
      </c>
      <c r="B156" s="69">
        <v>0</v>
      </c>
      <c r="C156" s="69">
        <v>0</v>
      </c>
      <c r="D156" s="69">
        <v>0</v>
      </c>
      <c r="E156" s="69">
        <v>0</v>
      </c>
      <c r="F156" s="69">
        <v>0</v>
      </c>
      <c r="G156" s="69">
        <v>0</v>
      </c>
      <c r="H156" s="69">
        <v>0</v>
      </c>
      <c r="I156" s="69">
        <v>0</v>
      </c>
      <c r="J156" s="69">
        <v>0</v>
      </c>
      <c r="K156" s="69">
        <v>0</v>
      </c>
      <c r="L156" s="69">
        <v>0</v>
      </c>
      <c r="M156" s="69">
        <v>0</v>
      </c>
      <c r="N156" s="69">
        <v>0</v>
      </c>
      <c r="O156" s="69">
        <v>0</v>
      </c>
      <c r="P156" s="69">
        <v>0</v>
      </c>
      <c r="Q156" s="69">
        <v>0</v>
      </c>
      <c r="R156" s="69">
        <v>0</v>
      </c>
      <c r="S156" s="69">
        <v>0</v>
      </c>
      <c r="T156" s="69">
        <v>0.42045948723155174</v>
      </c>
      <c r="U156" s="69">
        <v>2.2535360215553867E-2</v>
      </c>
      <c r="V156" s="69">
        <v>8.4654499754990009E-3</v>
      </c>
      <c r="W156" s="69">
        <v>1.9373159123552863E-2</v>
      </c>
      <c r="X156" s="69">
        <v>1.1274793709298538E-2</v>
      </c>
      <c r="Y156" s="69">
        <v>5.8206505075295005E-2</v>
      </c>
      <c r="Z156" s="69">
        <v>2.5833663240415809E-5</v>
      </c>
      <c r="AA156" s="69">
        <v>1.4885599648965474E-5</v>
      </c>
      <c r="AB156" s="69">
        <v>4.0950389103406238E-6</v>
      </c>
      <c r="AC156" s="69">
        <v>3.6303750559439907E-3</v>
      </c>
      <c r="AD156" s="69">
        <v>2.9923782702281684E-2</v>
      </c>
      <c r="AE156" s="69">
        <v>1.2957084943000852E-2</v>
      </c>
      <c r="AF156" s="69">
        <v>0.1224309250261532</v>
      </c>
      <c r="AG156" s="69">
        <v>4.559767197416055E-2</v>
      </c>
      <c r="AH156" s="69">
        <v>0</v>
      </c>
      <c r="AI156" s="69">
        <v>0.11021245080322993</v>
      </c>
      <c r="AJ156" s="69">
        <v>0.1117149131019694</v>
      </c>
      <c r="AK156" s="69">
        <v>1.3749417397185004E-2</v>
      </c>
      <c r="AL156" s="69">
        <v>1.0778296991577675E-3</v>
      </c>
      <c r="AM156" s="69">
        <v>8.0059817314250502E-4</v>
      </c>
      <c r="AN156" s="69">
        <v>5.7583259537007332E-2</v>
      </c>
      <c r="AO156" s="69">
        <v>0.18667593116727865</v>
      </c>
      <c r="AP156" s="69">
        <v>0</v>
      </c>
      <c r="AQ156" s="69">
        <v>8.1468134499849784E-2</v>
      </c>
      <c r="AR156" s="69">
        <v>0.27378138992616491</v>
      </c>
      <c r="AS156" s="69">
        <v>4.969286230740973E-3</v>
      </c>
      <c r="AT156" s="69">
        <v>8.1306289607754476E-2</v>
      </c>
      <c r="AU156" s="69">
        <v>1.9592919602265946E-2</v>
      </c>
      <c r="AV156" s="69">
        <v>4.8484611615829135E-2</v>
      </c>
      <c r="AW156" s="69">
        <v>4.6408961346766409E-4</v>
      </c>
      <c r="AX156" s="69">
        <v>8.1566709073463139E-2</v>
      </c>
      <c r="AY156" s="69">
        <v>1.0172785298593039E-2</v>
      </c>
      <c r="AZ156" s="69">
        <v>3.9733228317369055E-3</v>
      </c>
      <c r="BA156" s="69">
        <v>9.1236803837354656E-3</v>
      </c>
      <c r="BB156" s="69">
        <v>5.1410275411865186E-2</v>
      </c>
      <c r="BC156" s="69">
        <v>3.7449056155674461E-2</v>
      </c>
      <c r="BD156" s="69">
        <v>2.1916431368996861E-2</v>
      </c>
      <c r="BE156" s="69">
        <v>7.6062654079544281E-2</v>
      </c>
      <c r="BF156" s="69">
        <v>3.9305563883806661E-3</v>
      </c>
      <c r="BG156" s="69">
        <v>9.1285118388044303E-2</v>
      </c>
      <c r="BH156" s="69">
        <v>1.8083438458069947E-2</v>
      </c>
      <c r="BI156" s="69">
        <v>0.30912279259670478</v>
      </c>
      <c r="BJ156" s="69">
        <v>0.53051901633928966</v>
      </c>
      <c r="BK156" s="69">
        <v>3.6449091112026784</v>
      </c>
      <c r="BL156" s="69">
        <v>0.50916285884895585</v>
      </c>
      <c r="BM156" s="69">
        <v>0.78489757084484435</v>
      </c>
      <c r="BN156" s="69">
        <v>1.173406827214079</v>
      </c>
      <c r="BO156" s="69">
        <v>11.58898714797308</v>
      </c>
      <c r="BP156" s="69">
        <v>5.9826599168447861E-2</v>
      </c>
      <c r="BQ156" s="69">
        <v>8.3609571548325015</v>
      </c>
      <c r="BR156" s="69">
        <v>2.587905387369353E-2</v>
      </c>
      <c r="BS156" s="69">
        <v>0.17786038166917637</v>
      </c>
      <c r="BT156" s="69">
        <v>0</v>
      </c>
      <c r="BU156" s="69">
        <v>0.1486541250781824</v>
      </c>
      <c r="BV156" s="69">
        <v>0.87008447336125916</v>
      </c>
      <c r="BW156" s="69">
        <v>17.952884991621477</v>
      </c>
      <c r="BX156" s="69">
        <v>21.848912980735516</v>
      </c>
      <c r="BY156" s="69">
        <v>1.6726757346897898</v>
      </c>
      <c r="BZ156" s="69">
        <v>1.7816885593219984</v>
      </c>
      <c r="CA156" s="69">
        <v>2.5771337565748235E-2</v>
      </c>
      <c r="CB156" s="69">
        <v>7.0826637363481368E-2</v>
      </c>
      <c r="CC156" s="69">
        <v>1.0196890969069434</v>
      </c>
      <c r="CD156" s="69">
        <v>0</v>
      </c>
      <c r="CE156" s="69">
        <v>0</v>
      </c>
      <c r="CF156" s="69">
        <v>0</v>
      </c>
      <c r="CG156" s="69">
        <v>0</v>
      </c>
      <c r="CH156" s="69">
        <v>0</v>
      </c>
      <c r="CI156" s="69">
        <v>0</v>
      </c>
      <c r="CJ156" s="69">
        <v>0</v>
      </c>
      <c r="CK156" s="69">
        <v>0</v>
      </c>
      <c r="CL156" s="69">
        <v>0</v>
      </c>
      <c r="CM156" s="69">
        <v>0</v>
      </c>
      <c r="CN156" s="69">
        <v>0</v>
      </c>
      <c r="CO156" s="69">
        <v>0</v>
      </c>
      <c r="CP156" s="69">
        <v>0</v>
      </c>
      <c r="CQ156" s="69">
        <v>0</v>
      </c>
      <c r="CR156" s="69">
        <v>0</v>
      </c>
      <c r="CS156" s="69">
        <v>0</v>
      </c>
      <c r="CT156" s="69">
        <v>0</v>
      </c>
      <c r="CU156" s="69">
        <v>0</v>
      </c>
      <c r="CV156" s="69">
        <v>0</v>
      </c>
      <c r="CW156" s="69">
        <v>0</v>
      </c>
      <c r="CX156" s="69">
        <v>0</v>
      </c>
      <c r="CY156" s="69">
        <v>0</v>
      </c>
      <c r="CZ156" s="69">
        <v>0</v>
      </c>
      <c r="DA156" s="69">
        <v>0</v>
      </c>
      <c r="DB156" s="69">
        <v>0</v>
      </c>
      <c r="DC156" s="69">
        <v>0</v>
      </c>
      <c r="DD156" s="69">
        <v>0</v>
      </c>
      <c r="DE156" s="69">
        <v>0</v>
      </c>
      <c r="DF156" s="69">
        <v>0</v>
      </c>
      <c r="DG156" s="69">
        <v>0</v>
      </c>
      <c r="DH156" s="69">
        <v>0</v>
      </c>
      <c r="DI156" s="69">
        <v>0</v>
      </c>
      <c r="DJ156" s="69">
        <v>0</v>
      </c>
      <c r="DK156" s="69">
        <v>0</v>
      </c>
      <c r="DL156" s="69">
        <v>0</v>
      </c>
      <c r="DM156" s="69">
        <v>0</v>
      </c>
      <c r="DN156" s="69">
        <v>0</v>
      </c>
      <c r="DO156" s="69">
        <v>0</v>
      </c>
      <c r="DP156" s="69">
        <v>0</v>
      </c>
      <c r="DQ156" s="69">
        <v>0</v>
      </c>
      <c r="DR156" s="69">
        <v>0</v>
      </c>
      <c r="DS156" s="69">
        <v>0</v>
      </c>
      <c r="DT156" s="69">
        <v>0</v>
      </c>
      <c r="DU156" s="69">
        <v>0</v>
      </c>
      <c r="DV156" s="69">
        <v>0</v>
      </c>
      <c r="DW156" s="69">
        <v>0</v>
      </c>
      <c r="DX156" s="69">
        <v>0</v>
      </c>
      <c r="DY156" s="69">
        <v>0</v>
      </c>
      <c r="DZ156" s="69">
        <v>0</v>
      </c>
      <c r="EA156" s="69">
        <v>0</v>
      </c>
      <c r="EB156" s="69">
        <v>0</v>
      </c>
      <c r="EC156" s="69">
        <v>0</v>
      </c>
      <c r="ED156" s="69">
        <v>0</v>
      </c>
      <c r="EE156" s="69">
        <v>0</v>
      </c>
      <c r="EF156" s="69">
        <v>0</v>
      </c>
      <c r="EG156" s="69">
        <v>0</v>
      </c>
      <c r="EH156" s="69">
        <v>0</v>
      </c>
      <c r="EI156" s="69">
        <v>0</v>
      </c>
      <c r="EJ156" s="69">
        <v>0</v>
      </c>
      <c r="EK156" s="69">
        <v>0</v>
      </c>
      <c r="EL156" s="69">
        <v>0</v>
      </c>
      <c r="EM156" s="69">
        <v>0</v>
      </c>
      <c r="EN156" s="69">
        <v>0</v>
      </c>
      <c r="EO156" s="69">
        <v>0</v>
      </c>
      <c r="EP156" s="69">
        <v>0</v>
      </c>
      <c r="EQ156" s="69">
        <v>0</v>
      </c>
      <c r="ER156" s="69">
        <v>0</v>
      </c>
      <c r="ES156" s="69">
        <v>0</v>
      </c>
      <c r="ET156" s="69">
        <v>0</v>
      </c>
      <c r="EU156" s="69">
        <v>0</v>
      </c>
      <c r="EV156" s="69">
        <v>0</v>
      </c>
      <c r="EW156" s="69">
        <v>0</v>
      </c>
      <c r="EX156" s="69">
        <v>0</v>
      </c>
      <c r="EY156" s="69">
        <v>0</v>
      </c>
      <c r="EZ156" s="69">
        <v>0</v>
      </c>
      <c r="FA156" s="69">
        <v>0</v>
      </c>
      <c r="FB156" s="69">
        <v>0</v>
      </c>
      <c r="FC156" s="69">
        <v>0</v>
      </c>
      <c r="FD156" s="69">
        <v>0</v>
      </c>
      <c r="FE156" s="69">
        <v>0</v>
      </c>
      <c r="FF156" s="69">
        <v>0</v>
      </c>
      <c r="FG156" s="69">
        <v>0</v>
      </c>
      <c r="FH156" s="69">
        <v>0</v>
      </c>
      <c r="FI156" s="69">
        <v>0</v>
      </c>
      <c r="FJ156" s="69">
        <v>0</v>
      </c>
      <c r="FK156" s="69">
        <v>0</v>
      </c>
      <c r="FL156" s="69">
        <v>0</v>
      </c>
      <c r="FM156" s="69">
        <v>0</v>
      </c>
      <c r="FN156" s="69">
        <v>0</v>
      </c>
      <c r="FO156" s="69">
        <v>0</v>
      </c>
      <c r="FP156" s="69">
        <v>0</v>
      </c>
      <c r="FQ156" s="69">
        <v>0</v>
      </c>
      <c r="FR156" s="69">
        <v>0</v>
      </c>
      <c r="FS156" s="69">
        <v>0</v>
      </c>
      <c r="FT156" s="69">
        <v>0</v>
      </c>
      <c r="FU156" s="69">
        <v>0</v>
      </c>
      <c r="FV156" s="69">
        <v>0</v>
      </c>
      <c r="FW156" s="69">
        <v>0</v>
      </c>
      <c r="FX156" s="69">
        <v>0</v>
      </c>
      <c r="FY156" s="69">
        <v>0</v>
      </c>
      <c r="FZ156" s="69">
        <v>0</v>
      </c>
      <c r="GA156" s="69">
        <v>0</v>
      </c>
      <c r="GB156" s="69">
        <v>0</v>
      </c>
      <c r="GC156" s="69">
        <v>0</v>
      </c>
      <c r="GD156" s="69">
        <v>2.0148437356848135</v>
      </c>
      <c r="GE156" s="69">
        <v>5.1053658058984448</v>
      </c>
      <c r="GF156" s="69">
        <v>8.5251340666902191</v>
      </c>
      <c r="GG156" s="69">
        <v>13.669559789811888</v>
      </c>
      <c r="GH156" s="69">
        <v>20.046035754343798</v>
      </c>
      <c r="GI156" s="69">
        <v>0.18316389467550831</v>
      </c>
      <c r="GJ156" s="69">
        <v>0.38853342541108271</v>
      </c>
      <c r="GK156" s="69">
        <v>0.88410864277631696</v>
      </c>
      <c r="GL156" s="69">
        <v>1.6516536526292533</v>
      </c>
      <c r="GM156" s="69">
        <v>10.507185361300467</v>
      </c>
      <c r="GN156" s="69">
        <v>0.40329393945478387</v>
      </c>
      <c r="GO156" s="69">
        <v>0.66426452696861937</v>
      </c>
      <c r="GP156" s="69">
        <v>1.3241317937850055</v>
      </c>
      <c r="GQ156" s="69">
        <v>3.8207966215042477</v>
      </c>
      <c r="GR156" s="69">
        <v>52.414674740194968</v>
      </c>
      <c r="GS156" s="69">
        <v>0</v>
      </c>
      <c r="GT156" s="69">
        <v>0</v>
      </c>
      <c r="GU156" s="69">
        <v>0</v>
      </c>
      <c r="GV156" s="69">
        <v>0</v>
      </c>
      <c r="GW156" s="69">
        <v>0</v>
      </c>
      <c r="GX156" s="21">
        <v>0</v>
      </c>
      <c r="GY156" s="21">
        <v>0</v>
      </c>
      <c r="GZ156" s="69">
        <v>0</v>
      </c>
      <c r="HA156" s="69">
        <v>16.826708753465578</v>
      </c>
      <c r="HB156" s="21">
        <f t="shared" si="2"/>
        <v>213.13792551395002</v>
      </c>
    </row>
    <row r="157" spans="1:210" x14ac:dyDescent="0.75">
      <c r="A157" s="67" t="s">
        <v>737</v>
      </c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>
        <v>4.4873677295145784E-2</v>
      </c>
      <c r="U157" s="21">
        <v>1.5431460165381376E-3</v>
      </c>
      <c r="V157" s="21">
        <v>3.1027535281126923E-4</v>
      </c>
      <c r="W157" s="21">
        <v>7.1052357836495609E-4</v>
      </c>
      <c r="X157" s="21">
        <v>4.132384092266548E-4</v>
      </c>
      <c r="Y157" s="21">
        <v>2.1328644243575057E-3</v>
      </c>
      <c r="Z157" s="21"/>
      <c r="AA157" s="21"/>
      <c r="AB157" s="21"/>
      <c r="AC157" s="69">
        <v>0</v>
      </c>
      <c r="AD157" s="21"/>
      <c r="AE157" s="21"/>
      <c r="AF157" s="69">
        <v>0</v>
      </c>
      <c r="AG157" s="21"/>
      <c r="AH157" s="21"/>
      <c r="AI157" s="69">
        <v>5.975394349302849E-2</v>
      </c>
      <c r="AJ157" s="21"/>
      <c r="AK157" s="21"/>
      <c r="AL157" s="21">
        <v>4.2612440515460426E-3</v>
      </c>
      <c r="AM157" s="21"/>
      <c r="AN157" s="21">
        <v>1.0391597185863868E-2</v>
      </c>
      <c r="AO157" s="21">
        <v>4.5647121537262827E-4</v>
      </c>
      <c r="AP157" s="21"/>
      <c r="AQ157" s="21">
        <v>2.4167678290816286E-2</v>
      </c>
      <c r="AR157" s="69">
        <v>0.17998425681900737</v>
      </c>
      <c r="AS157" s="21"/>
      <c r="AT157" s="21">
        <v>2.3525415410377555E-3</v>
      </c>
      <c r="AU157" s="21">
        <v>4.6957384373806175E-3</v>
      </c>
      <c r="AV157" s="21">
        <v>1.7623305621148142E-2</v>
      </c>
      <c r="AW157" s="21"/>
      <c r="AX157" s="21">
        <v>2.9437505771765833E-4</v>
      </c>
      <c r="AY157" s="21">
        <v>1.4854986636837434E-3</v>
      </c>
      <c r="AZ157" s="21">
        <v>1.8918392310272033E-2</v>
      </c>
      <c r="BA157" s="21"/>
      <c r="BB157" s="69">
        <v>3.6916601501100342E-2</v>
      </c>
      <c r="BC157" s="21">
        <v>2.3786653799224129E-4</v>
      </c>
      <c r="BD157" s="21"/>
      <c r="BE157" s="21">
        <v>8.4582570040365335E-3</v>
      </c>
      <c r="BF157" s="21"/>
      <c r="BG157" s="69">
        <v>0</v>
      </c>
      <c r="BH157" s="21"/>
      <c r="BI157" s="69">
        <v>6.2021007794296645E-2</v>
      </c>
      <c r="BJ157" s="21">
        <v>6.3834615045265483E-2</v>
      </c>
      <c r="BK157" s="69">
        <v>5.1246172700922621</v>
      </c>
      <c r="BL157" s="69">
        <v>1.8594921479268594</v>
      </c>
      <c r="BM157" s="21"/>
      <c r="BN157" s="21">
        <v>0.36881358210227821</v>
      </c>
      <c r="BO157" s="69">
        <v>17.495859949778279</v>
      </c>
      <c r="BP157" s="21">
        <v>8.2070134577611498</v>
      </c>
      <c r="BQ157" s="21">
        <v>8.6585082183049451</v>
      </c>
      <c r="BR157" s="21">
        <v>1.4203918862298314E-2</v>
      </c>
      <c r="BS157" s="21">
        <v>2.4784584315094462</v>
      </c>
      <c r="BT157" s="21"/>
      <c r="BU157" s="21"/>
      <c r="BV157" s="69">
        <v>1.0741988626344834</v>
      </c>
      <c r="BW157" s="21">
        <v>1.1442832669647569</v>
      </c>
      <c r="BX157" s="21">
        <v>9.0253257761573974E-2</v>
      </c>
      <c r="BY157" s="21">
        <v>0.13412625479009119</v>
      </c>
      <c r="BZ157" s="21">
        <v>0.11839268812609982</v>
      </c>
      <c r="CA157" s="21">
        <v>7.0995366011077886E-3</v>
      </c>
      <c r="CB157" s="21">
        <v>8.1089184116828906E-3</v>
      </c>
      <c r="CC157" s="21">
        <v>8.5202452260543918E-2</v>
      </c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69">
        <v>0</v>
      </c>
      <c r="DH157" s="21"/>
      <c r="DI157" s="21"/>
      <c r="DJ157" s="69">
        <v>0</v>
      </c>
      <c r="DK157" s="21"/>
      <c r="DL157" s="21"/>
      <c r="DM157" s="69">
        <v>0</v>
      </c>
      <c r="DN157" s="21"/>
      <c r="DO157" s="21"/>
      <c r="DP157" s="21"/>
      <c r="DQ157" s="21"/>
      <c r="DR157" s="21"/>
      <c r="DS157" s="21"/>
      <c r="DT157" s="21"/>
      <c r="DU157" s="21"/>
      <c r="DV157" s="21"/>
      <c r="DW157" s="69">
        <v>0</v>
      </c>
      <c r="DX157" s="21"/>
      <c r="DY157" s="21"/>
      <c r="DZ157" s="21"/>
      <c r="EA157" s="21"/>
      <c r="EB157" s="21"/>
      <c r="EC157" s="21"/>
      <c r="ED157" s="21"/>
      <c r="EE157" s="21"/>
      <c r="EF157" s="21"/>
      <c r="EG157" s="69">
        <v>0</v>
      </c>
      <c r="EH157" s="21"/>
      <c r="EI157" s="21"/>
      <c r="EJ157" s="21"/>
      <c r="EK157" s="21"/>
      <c r="EL157" s="69">
        <v>0</v>
      </c>
      <c r="EM157" s="21"/>
      <c r="EN157" s="69">
        <v>0</v>
      </c>
      <c r="EO157" s="21"/>
      <c r="EP157" s="69">
        <v>0</v>
      </c>
      <c r="EQ157" s="69">
        <v>0</v>
      </c>
      <c r="ER157" s="21"/>
      <c r="ES157" s="21"/>
      <c r="ET157" s="69">
        <v>0</v>
      </c>
      <c r="EU157" s="21"/>
      <c r="EV157" s="21"/>
      <c r="EW157" s="21"/>
      <c r="EX157" s="21"/>
      <c r="EY157" s="21"/>
      <c r="EZ157" s="21"/>
      <c r="FA157" s="69">
        <v>0</v>
      </c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7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>
        <v>0</v>
      </c>
      <c r="GY157" s="21">
        <v>0.1249906560205014</v>
      </c>
      <c r="GZ157" s="21"/>
      <c r="HA157" s="21">
        <v>1.0260132243072033</v>
      </c>
      <c r="HB157" s="21">
        <f t="shared" si="2"/>
        <v>48.56547320986158</v>
      </c>
    </row>
    <row r="158" spans="1:210" x14ac:dyDescent="0.75">
      <c r="A158" s="67" t="s">
        <v>738</v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69">
        <v>0</v>
      </c>
      <c r="AD158" s="21"/>
      <c r="AE158" s="21"/>
      <c r="AF158" s="69">
        <v>0</v>
      </c>
      <c r="AG158" s="21"/>
      <c r="AH158" s="21"/>
      <c r="AI158" s="69">
        <v>1.207940240370724</v>
      </c>
      <c r="AJ158" s="21">
        <v>2.0245751844828005E-2</v>
      </c>
      <c r="AK158" s="21">
        <v>3.1874717807389812E-2</v>
      </c>
      <c r="AL158" s="21">
        <v>0.10158598034748292</v>
      </c>
      <c r="AM158" s="21">
        <v>1.6897327410967177E-2</v>
      </c>
      <c r="AN158" s="21">
        <v>0.7941380362209568</v>
      </c>
      <c r="AO158" s="21">
        <v>3.2078395805176636E-2</v>
      </c>
      <c r="AP158" s="21">
        <v>2.9981404361742511E-2</v>
      </c>
      <c r="AQ158" s="21">
        <v>1.0537210747763766</v>
      </c>
      <c r="AR158" s="69">
        <v>1.2007538162388101</v>
      </c>
      <c r="AS158" s="21">
        <v>0.26530058300773429</v>
      </c>
      <c r="AT158" s="21">
        <v>0.27812930876952224</v>
      </c>
      <c r="AU158" s="21">
        <v>8.848829895652438E-2</v>
      </c>
      <c r="AV158" s="21">
        <v>4.9955112458809167E-2</v>
      </c>
      <c r="AW158" s="21">
        <v>1.6591428118951418E-3</v>
      </c>
      <c r="AX158" s="21">
        <v>0.22845759520257808</v>
      </c>
      <c r="AY158" s="21">
        <v>4.4396104170055635E-2</v>
      </c>
      <c r="AZ158" s="21">
        <v>8.1803731297167739E-2</v>
      </c>
      <c r="BA158" s="21">
        <v>2.956738897033948E-3</v>
      </c>
      <c r="BB158" s="69">
        <v>0.32412670214324946</v>
      </c>
      <c r="BC158" s="21">
        <v>0.39508308181320378</v>
      </c>
      <c r="BD158" s="21">
        <v>0.1562730062149873</v>
      </c>
      <c r="BE158" s="21">
        <v>0.10180935178766905</v>
      </c>
      <c r="BF158" s="21">
        <v>8.7737724420698104E-2</v>
      </c>
      <c r="BG158" s="69">
        <v>1.2743360080812668E-2</v>
      </c>
      <c r="BH158" s="21">
        <v>0.86356068245738138</v>
      </c>
      <c r="BI158" s="69">
        <v>0.10425786505803096</v>
      </c>
      <c r="BJ158" s="21">
        <v>2.7968613884050657</v>
      </c>
      <c r="BK158" s="69">
        <v>16.605066627358497</v>
      </c>
      <c r="BL158" s="69">
        <v>1.588912262153904</v>
      </c>
      <c r="BM158" s="21">
        <v>4.0993869150011866E-2</v>
      </c>
      <c r="BN158" s="21">
        <v>0.87293078871478713</v>
      </c>
      <c r="BO158" s="69">
        <v>1.2433740879614479</v>
      </c>
      <c r="BP158" s="21">
        <v>0.32861709942428646</v>
      </c>
      <c r="BQ158" s="21">
        <v>0.52757070110423332</v>
      </c>
      <c r="BR158" s="21"/>
      <c r="BS158" s="21">
        <v>1.0345767169783326</v>
      </c>
      <c r="BT158" s="21"/>
      <c r="BU158" s="21">
        <v>0.34775847923644754</v>
      </c>
      <c r="BV158" s="69">
        <v>1.1271784511557297</v>
      </c>
      <c r="BW158" s="21">
        <v>0.93571670678481134</v>
      </c>
      <c r="BX158" s="21">
        <v>0.32272900614351674</v>
      </c>
      <c r="BY158" s="21">
        <v>0.24926360735414288</v>
      </c>
      <c r="BZ158" s="21">
        <v>5.0883050754093898E-2</v>
      </c>
      <c r="CA158" s="21">
        <v>6.9850290504959939E-3</v>
      </c>
      <c r="CB158" s="21">
        <v>0.20894459366250184</v>
      </c>
      <c r="CC158" s="21">
        <v>1.0666544594756646</v>
      </c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69">
        <v>0</v>
      </c>
      <c r="DH158" s="21"/>
      <c r="DI158" s="21"/>
      <c r="DJ158" s="69">
        <v>0</v>
      </c>
      <c r="DK158" s="21"/>
      <c r="DL158" s="21"/>
      <c r="DM158" s="69">
        <v>0</v>
      </c>
      <c r="DN158" s="21"/>
      <c r="DO158" s="21"/>
      <c r="DP158" s="21"/>
      <c r="DQ158" s="21"/>
      <c r="DR158" s="21"/>
      <c r="DS158" s="21"/>
      <c r="DT158" s="21"/>
      <c r="DU158" s="21"/>
      <c r="DV158" s="21"/>
      <c r="DW158" s="69">
        <v>0</v>
      </c>
      <c r="DX158" s="21"/>
      <c r="DY158" s="21"/>
      <c r="DZ158" s="21"/>
      <c r="EA158" s="21"/>
      <c r="EB158" s="21"/>
      <c r="EC158" s="21"/>
      <c r="ED158" s="21"/>
      <c r="EE158" s="21"/>
      <c r="EF158" s="21"/>
      <c r="EG158" s="69">
        <v>0</v>
      </c>
      <c r="EH158" s="21"/>
      <c r="EI158" s="21"/>
      <c r="EJ158" s="21"/>
      <c r="EK158" s="21"/>
      <c r="EL158" s="69">
        <v>0</v>
      </c>
      <c r="EM158" s="21"/>
      <c r="EN158" s="69">
        <v>0</v>
      </c>
      <c r="EO158" s="21"/>
      <c r="EP158" s="69">
        <v>0</v>
      </c>
      <c r="EQ158" s="69">
        <v>0</v>
      </c>
      <c r="ER158" s="21"/>
      <c r="ES158" s="21"/>
      <c r="ET158" s="69">
        <v>0</v>
      </c>
      <c r="EU158" s="21"/>
      <c r="EV158" s="21"/>
      <c r="EW158" s="21"/>
      <c r="EX158" s="21"/>
      <c r="EY158" s="21"/>
      <c r="EZ158" s="21"/>
      <c r="FA158" s="69">
        <v>0</v>
      </c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7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>
        <v>4.5272682417143812</v>
      </c>
      <c r="GE158" s="21">
        <v>5.8098654183957565</v>
      </c>
      <c r="GF158" s="21">
        <v>7.1052301451486723</v>
      </c>
      <c r="GG158" s="21">
        <v>7.6143902419690805</v>
      </c>
      <c r="GH158" s="21">
        <v>6.3879545249649112</v>
      </c>
      <c r="GI158" s="21">
        <v>0.30444362694471983</v>
      </c>
      <c r="GJ158" s="21">
        <v>0.31866992462444654</v>
      </c>
      <c r="GK158" s="21">
        <v>0.51541572144294834</v>
      </c>
      <c r="GL158" s="21">
        <v>0.6848434302642159</v>
      </c>
      <c r="GM158" s="21">
        <v>3.255222250652356</v>
      </c>
      <c r="GN158" s="21">
        <v>0.12795650527581412</v>
      </c>
      <c r="GO158" s="21">
        <v>0.23616980925803258</v>
      </c>
      <c r="GP158" s="21">
        <v>0.31780580808797387</v>
      </c>
      <c r="GQ158" s="21">
        <v>0.89264519140839527</v>
      </c>
      <c r="GR158" s="21">
        <v>10.291596904597927</v>
      </c>
      <c r="GS158" s="21">
        <v>23.112958214597963</v>
      </c>
      <c r="GT158" s="21"/>
      <c r="GU158" s="21"/>
      <c r="GV158" s="21"/>
      <c r="GW158" s="21"/>
      <c r="GX158" s="21">
        <v>0</v>
      </c>
      <c r="GY158" s="21">
        <v>0</v>
      </c>
      <c r="GZ158" s="21"/>
      <c r="HA158" s="21">
        <v>23.107168998931378</v>
      </c>
      <c r="HB158" s="21">
        <f t="shared" si="2"/>
        <v>131.54057701787875</v>
      </c>
    </row>
    <row r="159" spans="1:210" x14ac:dyDescent="0.75">
      <c r="A159" s="67" t="s">
        <v>739</v>
      </c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69">
        <v>0</v>
      </c>
      <c r="AD159" s="21"/>
      <c r="AE159" s="21"/>
      <c r="AF159" s="69">
        <v>0</v>
      </c>
      <c r="AG159" s="21"/>
      <c r="AH159" s="21"/>
      <c r="AI159" s="69">
        <v>0.34678545907793423</v>
      </c>
      <c r="AJ159" s="21">
        <v>2.3415834833293868E-2</v>
      </c>
      <c r="AK159" s="21">
        <v>2.1630266992644486E-2</v>
      </c>
      <c r="AL159" s="21">
        <v>4.2118811607580534E-3</v>
      </c>
      <c r="AM159" s="21">
        <v>1.6721375472085319E-2</v>
      </c>
      <c r="AN159" s="21">
        <v>0.25035709296394409</v>
      </c>
      <c r="AO159" s="21">
        <v>0.10163792965107735</v>
      </c>
      <c r="AP159" s="21"/>
      <c r="AQ159" s="21">
        <v>0.47482558890581777</v>
      </c>
      <c r="AR159" s="69">
        <v>0.66654434047859845</v>
      </c>
      <c r="AS159" s="21"/>
      <c r="AT159" s="21">
        <v>2.6529898515658044E-2</v>
      </c>
      <c r="AU159" s="21">
        <v>0.12233604365613793</v>
      </c>
      <c r="AV159" s="21">
        <v>2.4295329705526465E-2</v>
      </c>
      <c r="AW159" s="21"/>
      <c r="AX159" s="21">
        <v>0.20653838346779466</v>
      </c>
      <c r="AY159" s="21">
        <v>1.2096358309156664E-2</v>
      </c>
      <c r="AZ159" s="21">
        <v>1.2090704843264721E-2</v>
      </c>
      <c r="BA159" s="21">
        <v>1.1173218573885372E-2</v>
      </c>
      <c r="BB159" s="69">
        <v>0.21142556603142271</v>
      </c>
      <c r="BC159" s="21">
        <v>1.0288007015441913</v>
      </c>
      <c r="BD159" s="21">
        <v>7.7515499684845862E-2</v>
      </c>
      <c r="BE159" s="21">
        <v>7.380737024620658E-2</v>
      </c>
      <c r="BF159" s="21">
        <v>6.7556465778969468E-2</v>
      </c>
      <c r="BG159" s="69">
        <v>0</v>
      </c>
      <c r="BH159" s="21">
        <v>1.2554211412812506</v>
      </c>
      <c r="BI159" s="69">
        <v>0.23542938439604272</v>
      </c>
      <c r="BJ159" s="21">
        <v>4.0274368764850959</v>
      </c>
      <c r="BK159" s="69">
        <v>4.8239708773889172</v>
      </c>
      <c r="BL159" s="69">
        <v>8.6012697106601941</v>
      </c>
      <c r="BM159" s="21">
        <v>4.3255898426463442E-2</v>
      </c>
      <c r="BN159" s="21">
        <v>1.4128282671636294</v>
      </c>
      <c r="BO159" s="69">
        <v>0.12438317207104704</v>
      </c>
      <c r="BP159" s="21">
        <v>5.8995443872001049E-2</v>
      </c>
      <c r="BQ159" s="21">
        <v>0.17820724753169112</v>
      </c>
      <c r="BR159" s="21">
        <v>3.8034138420226717E-2</v>
      </c>
      <c r="BS159" s="21">
        <v>4.4670019462456659E-4</v>
      </c>
      <c r="BT159" s="21"/>
      <c r="BU159" s="21">
        <v>0.13147458090064709</v>
      </c>
      <c r="BV159" s="69">
        <v>1.8290561387617206</v>
      </c>
      <c r="BW159" s="21">
        <v>4.2768614971507368</v>
      </c>
      <c r="BX159" s="21">
        <v>0.54893802199927455</v>
      </c>
      <c r="BY159" s="21">
        <v>0.44333105888709584</v>
      </c>
      <c r="BZ159" s="21">
        <v>0.97226958859648915</v>
      </c>
      <c r="CA159" s="21">
        <v>0.14679585313271265</v>
      </c>
      <c r="CB159" s="21">
        <v>2.1024858689815545E-2</v>
      </c>
      <c r="CC159" s="21">
        <v>0.67857612127933298</v>
      </c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69">
        <v>0</v>
      </c>
      <c r="DH159" s="21"/>
      <c r="DI159" s="21"/>
      <c r="DJ159" s="69">
        <v>0</v>
      </c>
      <c r="DK159" s="21"/>
      <c r="DL159" s="21"/>
      <c r="DM159" s="69">
        <v>0</v>
      </c>
      <c r="DN159" s="21"/>
      <c r="DO159" s="21"/>
      <c r="DP159" s="21"/>
      <c r="DQ159" s="21"/>
      <c r="DR159" s="21"/>
      <c r="DS159" s="21"/>
      <c r="DT159" s="21"/>
      <c r="DU159" s="21"/>
      <c r="DV159" s="21"/>
      <c r="DW159" s="69">
        <v>0</v>
      </c>
      <c r="DX159" s="21"/>
      <c r="DY159" s="21"/>
      <c r="DZ159" s="21"/>
      <c r="EA159" s="21"/>
      <c r="EB159" s="21"/>
      <c r="EC159" s="21"/>
      <c r="ED159" s="21"/>
      <c r="EE159" s="21"/>
      <c r="EF159" s="21"/>
      <c r="EG159" s="69">
        <v>0</v>
      </c>
      <c r="EH159" s="21"/>
      <c r="EI159" s="21"/>
      <c r="EJ159" s="21"/>
      <c r="EK159" s="21"/>
      <c r="EL159" s="69">
        <v>0</v>
      </c>
      <c r="EM159" s="21"/>
      <c r="EN159" s="69">
        <v>0</v>
      </c>
      <c r="EO159" s="21"/>
      <c r="EP159" s="69">
        <v>0</v>
      </c>
      <c r="EQ159" s="69">
        <v>0</v>
      </c>
      <c r="ER159" s="21"/>
      <c r="ES159" s="21"/>
      <c r="ET159" s="69">
        <v>0</v>
      </c>
      <c r="EU159" s="21"/>
      <c r="EV159" s="21"/>
      <c r="EW159" s="21"/>
      <c r="EX159" s="21"/>
      <c r="EY159" s="21"/>
      <c r="EZ159" s="21"/>
      <c r="FA159" s="69">
        <v>0</v>
      </c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7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>
        <v>2.2973688542529684</v>
      </c>
      <c r="GE159" s="21">
        <v>2.9484369691764756</v>
      </c>
      <c r="GF159" s="21">
        <v>3.605909907384155</v>
      </c>
      <c r="GG159" s="21">
        <v>3.8638999726156955</v>
      </c>
      <c r="GH159" s="21">
        <v>3.2404481006927512</v>
      </c>
      <c r="GI159" s="21">
        <v>0.15444515769744041</v>
      </c>
      <c r="GJ159" s="21">
        <v>0.161667367339625</v>
      </c>
      <c r="GK159" s="21">
        <v>0.26148104514355525</v>
      </c>
      <c r="GL159" s="21">
        <v>0.34743118930683758</v>
      </c>
      <c r="GM159" s="21">
        <v>1.6511427541967385</v>
      </c>
      <c r="GN159" s="21">
        <v>6.4914632418718726E-2</v>
      </c>
      <c r="GO159" s="21">
        <v>0.11981018590367168</v>
      </c>
      <c r="GP159" s="21">
        <v>0.16122811419902941</v>
      </c>
      <c r="GQ159" s="21">
        <v>0.45284024171910969</v>
      </c>
      <c r="GR159" s="21">
        <v>5.2178996581755239</v>
      </c>
      <c r="GS159" s="21"/>
      <c r="GT159" s="21"/>
      <c r="GU159" s="21"/>
      <c r="GV159" s="21"/>
      <c r="GW159" s="21"/>
      <c r="GX159" s="21">
        <v>0</v>
      </c>
      <c r="GY159" s="21">
        <v>0</v>
      </c>
      <c r="GZ159" s="21"/>
      <c r="HA159" s="21">
        <v>0.97285105497517832</v>
      </c>
      <c r="HB159" s="21">
        <f t="shared" si="2"/>
        <v>59.150077092379703</v>
      </c>
    </row>
    <row r="160" spans="1:210" x14ac:dyDescent="0.75">
      <c r="A160" s="67" t="s">
        <v>740</v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69">
        <v>0</v>
      </c>
      <c r="AD160" s="21"/>
      <c r="AE160" s="21"/>
      <c r="AF160" s="69">
        <v>0</v>
      </c>
      <c r="AG160" s="21"/>
      <c r="AH160" s="21"/>
      <c r="AI160" s="69">
        <v>0.67361232114175096</v>
      </c>
      <c r="AJ160" s="21">
        <v>0.38877666965011176</v>
      </c>
      <c r="AK160" s="21">
        <v>1.1616537688723798E-2</v>
      </c>
      <c r="AL160" s="21">
        <v>5.208576677105916E-2</v>
      </c>
      <c r="AM160" s="21">
        <v>9.247726558745617E-3</v>
      </c>
      <c r="AN160" s="21">
        <v>0.86949185369332471</v>
      </c>
      <c r="AO160" s="21">
        <v>0.12541106834830068</v>
      </c>
      <c r="AP160" s="21"/>
      <c r="AQ160" s="21">
        <v>0.44493773630952393</v>
      </c>
      <c r="AR160" s="69">
        <v>0.35804045216415409</v>
      </c>
      <c r="AS160" s="21">
        <v>0.18760087668901568</v>
      </c>
      <c r="AT160" s="21">
        <v>1.1328406947640381</v>
      </c>
      <c r="AU160" s="21">
        <v>0.13793969074904355</v>
      </c>
      <c r="AV160" s="21">
        <v>0.10415317559619881</v>
      </c>
      <c r="AW160" s="21">
        <v>9.4401247227666775E-3</v>
      </c>
      <c r="AX160" s="21">
        <v>1.6721163603876459</v>
      </c>
      <c r="AY160" s="21">
        <v>7.5150894942676655E-2</v>
      </c>
      <c r="AZ160" s="21">
        <v>5.2945214324110021E-2</v>
      </c>
      <c r="BA160" s="21">
        <v>0.12963519319823069</v>
      </c>
      <c r="BB160" s="69">
        <v>7.7034622777006401E-2</v>
      </c>
      <c r="BC160" s="21">
        <v>1.2995950985299347</v>
      </c>
      <c r="BD160" s="21">
        <v>8.5499079453619994E-2</v>
      </c>
      <c r="BE160" s="21">
        <v>0.10068757455035879</v>
      </c>
      <c r="BF160" s="21">
        <v>1.9482007101932357E-2</v>
      </c>
      <c r="BG160" s="69">
        <v>0.12470193856045238</v>
      </c>
      <c r="BH160" s="21">
        <v>0.68333937461256322</v>
      </c>
      <c r="BI160" s="69">
        <v>0.19851327594835472</v>
      </c>
      <c r="BJ160" s="21">
        <v>4.3938202079141719</v>
      </c>
      <c r="BK160" s="69">
        <v>12.665823548109739</v>
      </c>
      <c r="BL160" s="69">
        <v>6.6069152776031572</v>
      </c>
      <c r="BM160" s="21">
        <v>0.13784898649606805</v>
      </c>
      <c r="BN160" s="21">
        <v>2.2146834544971683</v>
      </c>
      <c r="BO160" s="69">
        <v>1.4043096685596539</v>
      </c>
      <c r="BP160" s="21">
        <v>1.4977861532601353</v>
      </c>
      <c r="BQ160" s="21">
        <v>5.5974198777097772</v>
      </c>
      <c r="BR160" s="21">
        <v>0.24269699578504977</v>
      </c>
      <c r="BS160" s="21">
        <v>35.47376809053258</v>
      </c>
      <c r="BT160" s="21"/>
      <c r="BU160" s="21">
        <v>1.1109610785247688</v>
      </c>
      <c r="BV160" s="69">
        <v>2.7176031916392756</v>
      </c>
      <c r="BW160" s="21">
        <v>8.1309115390834608E-4</v>
      </c>
      <c r="BX160" s="21">
        <v>2.9110026083208056</v>
      </c>
      <c r="BY160" s="21">
        <v>0.26895885845421263</v>
      </c>
      <c r="BZ160" s="21">
        <v>1.3383896745879382</v>
      </c>
      <c r="CA160" s="21">
        <v>9.384360639509913E-2</v>
      </c>
      <c r="CB160" s="21">
        <v>4.73969103408554E-2</v>
      </c>
      <c r="CC160" s="21">
        <v>2.2211501076877354</v>
      </c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69">
        <v>0</v>
      </c>
      <c r="DH160" s="21"/>
      <c r="DI160" s="21"/>
      <c r="DJ160" s="69">
        <v>0</v>
      </c>
      <c r="DK160" s="21"/>
      <c r="DL160" s="21"/>
      <c r="DM160" s="69">
        <v>0</v>
      </c>
      <c r="DN160" s="21"/>
      <c r="DO160" s="21"/>
      <c r="DP160" s="21"/>
      <c r="DQ160" s="21"/>
      <c r="DR160" s="21"/>
      <c r="DS160" s="21"/>
      <c r="DT160" s="21"/>
      <c r="DU160" s="21"/>
      <c r="DV160" s="21"/>
      <c r="DW160" s="69">
        <v>0</v>
      </c>
      <c r="DX160" s="21"/>
      <c r="DY160" s="21"/>
      <c r="DZ160" s="21"/>
      <c r="EA160" s="21"/>
      <c r="EB160" s="21"/>
      <c r="EC160" s="21"/>
      <c r="ED160" s="21"/>
      <c r="EE160" s="21"/>
      <c r="EF160" s="21"/>
      <c r="EG160" s="69">
        <v>0</v>
      </c>
      <c r="EH160" s="21"/>
      <c r="EI160" s="21"/>
      <c r="EJ160" s="21"/>
      <c r="EK160" s="21"/>
      <c r="EL160" s="69">
        <v>0</v>
      </c>
      <c r="EM160" s="21"/>
      <c r="EN160" s="69">
        <v>0</v>
      </c>
      <c r="EO160" s="21"/>
      <c r="EP160" s="69">
        <v>0</v>
      </c>
      <c r="EQ160" s="69">
        <v>0</v>
      </c>
      <c r="ER160" s="21"/>
      <c r="ES160" s="21"/>
      <c r="ET160" s="69">
        <v>0</v>
      </c>
      <c r="EU160" s="21"/>
      <c r="EV160" s="21"/>
      <c r="EW160" s="21"/>
      <c r="EX160" s="21"/>
      <c r="EY160" s="21"/>
      <c r="EZ160" s="21"/>
      <c r="FA160" s="69">
        <v>0</v>
      </c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7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>
        <v>6.6122119905772552</v>
      </c>
      <c r="GE160" s="21">
        <v>8.4849123673556868</v>
      </c>
      <c r="GF160" s="21">
        <v>10.376459169310639</v>
      </c>
      <c r="GG160" s="21">
        <v>11.121134930843736</v>
      </c>
      <c r="GH160" s="21">
        <v>9.332838519513567</v>
      </c>
      <c r="GI160" s="21">
        <v>0.44477090329539182</v>
      </c>
      <c r="GJ160" s="21">
        <v>0.46554061273931852</v>
      </c>
      <c r="GK160" s="21">
        <v>0.75296184940235622</v>
      </c>
      <c r="GL160" s="21">
        <v>1.0004866935564856</v>
      </c>
      <c r="GM160" s="21">
        <v>4.7563019538062719</v>
      </c>
      <c r="GN160" s="21">
        <v>0.18693036730088053</v>
      </c>
      <c r="GO160" s="21">
        <v>0.34502616691224564</v>
      </c>
      <c r="GP160" s="21">
        <v>0.46428058080507761</v>
      </c>
      <c r="GQ160" s="21">
        <v>1.3040958733707657</v>
      </c>
      <c r="GR160" s="21">
        <v>15.043550732936952</v>
      </c>
      <c r="GS160" s="21"/>
      <c r="GT160" s="21"/>
      <c r="GU160" s="21"/>
      <c r="GV160" s="21"/>
      <c r="GW160" s="21"/>
      <c r="GX160" s="21">
        <v>0</v>
      </c>
      <c r="GY160" s="21">
        <v>0</v>
      </c>
      <c r="GZ160" s="21"/>
      <c r="HA160" s="21">
        <v>9.2589185817961445E-5</v>
      </c>
      <c r="HB160" s="21">
        <f t="shared" si="2"/>
        <v>160.66068201771816</v>
      </c>
    </row>
    <row r="161" spans="1:210" x14ac:dyDescent="0.75">
      <c r="A161" s="67" t="s">
        <v>741</v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69">
        <v>0</v>
      </c>
      <c r="AD161" s="21"/>
      <c r="AE161" s="21"/>
      <c r="AF161" s="69">
        <v>0</v>
      </c>
      <c r="AG161" s="21"/>
      <c r="AH161" s="21"/>
      <c r="AI161" s="69">
        <v>0</v>
      </c>
      <c r="AJ161" s="21"/>
      <c r="AK161" s="21"/>
      <c r="AL161" s="21"/>
      <c r="AM161" s="21"/>
      <c r="AN161" s="21"/>
      <c r="AO161" s="21"/>
      <c r="AP161" s="21"/>
      <c r="AQ161" s="21"/>
      <c r="AR161" s="69">
        <v>0</v>
      </c>
      <c r="AS161" s="21"/>
      <c r="AT161" s="21"/>
      <c r="AU161" s="21"/>
      <c r="AV161" s="21"/>
      <c r="AW161" s="21"/>
      <c r="AX161" s="21"/>
      <c r="AY161" s="21"/>
      <c r="AZ161" s="21"/>
      <c r="BA161" s="21"/>
      <c r="BB161" s="69">
        <v>0</v>
      </c>
      <c r="BC161" s="21"/>
      <c r="BD161" s="21"/>
      <c r="BE161" s="21"/>
      <c r="BF161" s="21"/>
      <c r="BG161" s="69">
        <v>0</v>
      </c>
      <c r="BH161" s="21"/>
      <c r="BI161" s="69">
        <v>0</v>
      </c>
      <c r="BJ161" s="21"/>
      <c r="BK161" s="69">
        <v>0</v>
      </c>
      <c r="BL161" s="69">
        <v>0</v>
      </c>
      <c r="BM161" s="21"/>
      <c r="BN161" s="21"/>
      <c r="BO161" s="69">
        <v>0</v>
      </c>
      <c r="BP161" s="21"/>
      <c r="BQ161" s="21"/>
      <c r="BR161" s="21"/>
      <c r="BS161" s="21"/>
      <c r="BT161" s="21"/>
      <c r="BU161" s="21"/>
      <c r="BV161" s="69">
        <v>0</v>
      </c>
      <c r="BW161" s="21">
        <v>3.1798432842953717</v>
      </c>
      <c r="BX161" s="21">
        <v>0.66757227708385891</v>
      </c>
      <c r="BY161" s="21"/>
      <c r="BZ161" s="21"/>
      <c r="CA161" s="21"/>
      <c r="CB161" s="21"/>
      <c r="CC161" s="21">
        <v>1.2779975333554022E-2</v>
      </c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69">
        <v>0</v>
      </c>
      <c r="DH161" s="21"/>
      <c r="DI161" s="21"/>
      <c r="DJ161" s="69">
        <v>0</v>
      </c>
      <c r="DK161" s="21"/>
      <c r="DL161" s="21"/>
      <c r="DM161" s="69">
        <v>0</v>
      </c>
      <c r="DN161" s="21"/>
      <c r="DO161" s="21"/>
      <c r="DP161" s="21"/>
      <c r="DQ161" s="21"/>
      <c r="DR161" s="21"/>
      <c r="DS161" s="21"/>
      <c r="DT161" s="21"/>
      <c r="DU161" s="21"/>
      <c r="DV161" s="21"/>
      <c r="DW161" s="69">
        <v>0</v>
      </c>
      <c r="DX161" s="21"/>
      <c r="DY161" s="21"/>
      <c r="DZ161" s="21"/>
      <c r="EA161" s="21"/>
      <c r="EB161" s="21"/>
      <c r="EC161" s="21"/>
      <c r="ED161" s="21"/>
      <c r="EE161" s="21"/>
      <c r="EF161" s="21"/>
      <c r="EG161" s="69">
        <v>0</v>
      </c>
      <c r="EH161" s="21"/>
      <c r="EI161" s="21"/>
      <c r="EJ161" s="21"/>
      <c r="EK161" s="21"/>
      <c r="EL161" s="69">
        <v>0</v>
      </c>
      <c r="EM161" s="21"/>
      <c r="EN161" s="69">
        <v>0</v>
      </c>
      <c r="EO161" s="21"/>
      <c r="EP161" s="69">
        <v>0</v>
      </c>
      <c r="EQ161" s="69">
        <v>0</v>
      </c>
      <c r="ER161" s="21"/>
      <c r="ES161" s="21"/>
      <c r="ET161" s="69">
        <v>0</v>
      </c>
      <c r="EU161" s="21"/>
      <c r="EV161" s="21"/>
      <c r="EW161" s="21"/>
      <c r="EX161" s="21"/>
      <c r="EY161" s="21"/>
      <c r="EZ161" s="21"/>
      <c r="FA161" s="69">
        <v>0</v>
      </c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7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>
        <v>11.744496498872453</v>
      </c>
      <c r="GE161" s="21">
        <v>15.855699642791759</v>
      </c>
      <c r="GF161" s="21">
        <v>21.07617341113253</v>
      </c>
      <c r="GG161" s="21">
        <v>28.85192979849246</v>
      </c>
      <c r="GH161" s="21">
        <v>42.145646481062442</v>
      </c>
      <c r="GI161" s="21">
        <v>1.3384599609481165</v>
      </c>
      <c r="GJ161" s="21">
        <v>2.0973058990018463</v>
      </c>
      <c r="GK161" s="21">
        <v>3.3607137420096018</v>
      </c>
      <c r="GL161" s="21">
        <v>6.9719047214168066</v>
      </c>
      <c r="GM161" s="21">
        <v>41.888056839621058</v>
      </c>
      <c r="GN161" s="21">
        <v>2.2071235475451498</v>
      </c>
      <c r="GO161" s="21">
        <v>3.2956809327072083</v>
      </c>
      <c r="GP161" s="21">
        <v>6.1341429832923868</v>
      </c>
      <c r="GQ161" s="21">
        <v>15.011170568998677</v>
      </c>
      <c r="GR161" s="21">
        <v>207.90270817873528</v>
      </c>
      <c r="GS161" s="21"/>
      <c r="GT161" s="21"/>
      <c r="GU161" s="21"/>
      <c r="GV161" s="21"/>
      <c r="GW161" s="21"/>
      <c r="GX161" s="21">
        <v>0</v>
      </c>
      <c r="GY161" s="21">
        <v>0</v>
      </c>
      <c r="GZ161" s="21"/>
      <c r="HA161" s="21">
        <v>0.3620298025850025</v>
      </c>
      <c r="HB161" s="21">
        <f t="shared" si="2"/>
        <v>414.10343854592554</v>
      </c>
    </row>
    <row r="162" spans="1:210" x14ac:dyDescent="0.75">
      <c r="A162" s="67" t="s">
        <v>348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69">
        <v>0</v>
      </c>
      <c r="AD162" s="21"/>
      <c r="AE162" s="21"/>
      <c r="AF162" s="69">
        <v>0</v>
      </c>
      <c r="AG162" s="21"/>
      <c r="AH162" s="21"/>
      <c r="AI162" s="69">
        <v>1.3100779668263036</v>
      </c>
      <c r="AJ162" s="21">
        <v>1.4568014609375965</v>
      </c>
      <c r="AK162" s="21"/>
      <c r="AL162" s="21">
        <v>3.8296282892822262E-2</v>
      </c>
      <c r="AM162" s="21">
        <v>4.824752430962074E-3</v>
      </c>
      <c r="AN162" s="21">
        <v>0.12485158745290288</v>
      </c>
      <c r="AO162" s="21">
        <v>1.1421839787209496</v>
      </c>
      <c r="AP162" s="21"/>
      <c r="AQ162" s="21">
        <v>0.86129537447761628</v>
      </c>
      <c r="AR162" s="69">
        <v>0.33026892721238016</v>
      </c>
      <c r="AS162" s="21"/>
      <c r="AT162" s="21">
        <v>1.1030374572092592</v>
      </c>
      <c r="AU162" s="21">
        <v>0.22410010034766839</v>
      </c>
      <c r="AV162" s="21">
        <v>0.88055415579718721</v>
      </c>
      <c r="AW162" s="21"/>
      <c r="AX162" s="21">
        <v>0.68156679817871546</v>
      </c>
      <c r="AY162" s="21"/>
      <c r="AZ162" s="21">
        <v>4.8768870506097718E-2</v>
      </c>
      <c r="BA162" s="21">
        <v>7.5052481682797809E-2</v>
      </c>
      <c r="BB162" s="69">
        <v>3.9699574175696688E-2</v>
      </c>
      <c r="BC162" s="21">
        <v>0.43246372618167783</v>
      </c>
      <c r="BD162" s="21">
        <v>1.0106135177348525E-2</v>
      </c>
      <c r="BE162" s="21">
        <v>4.4350836929118349E-2</v>
      </c>
      <c r="BF162" s="21">
        <v>0.15495379811677124</v>
      </c>
      <c r="BG162" s="69">
        <v>0.11251742005697013</v>
      </c>
      <c r="BH162" s="21">
        <v>0.72360051057068342</v>
      </c>
      <c r="BI162" s="69">
        <v>0.73593672093511031</v>
      </c>
      <c r="BJ162" s="21">
        <v>4.2776058542175308</v>
      </c>
      <c r="BK162" s="69">
        <v>102.56300516077562</v>
      </c>
      <c r="BL162" s="69">
        <v>4.2210502438525079</v>
      </c>
      <c r="BM162" s="21"/>
      <c r="BN162" s="21">
        <v>11.849198003650329</v>
      </c>
      <c r="BO162" s="69">
        <v>6.5292775281604962</v>
      </c>
      <c r="BP162" s="21">
        <v>1.1217492627720504</v>
      </c>
      <c r="BQ162" s="21">
        <v>15.14415172914353</v>
      </c>
      <c r="BR162" s="21"/>
      <c r="BS162" s="21">
        <v>2.3644875508596888E-3</v>
      </c>
      <c r="BT162" s="21"/>
      <c r="BU162" s="21">
        <v>1.4832197444280371</v>
      </c>
      <c r="BV162" s="69">
        <v>3.5203190820432324</v>
      </c>
      <c r="BW162" s="21">
        <v>12.641893275973366</v>
      </c>
      <c r="BX162" s="21">
        <v>0.14001015302936748</v>
      </c>
      <c r="BY162" s="21">
        <v>0.69887964002047598</v>
      </c>
      <c r="BZ162" s="21">
        <v>3.6744164956926562</v>
      </c>
      <c r="CA162" s="21">
        <v>1.3437702007230372</v>
      </c>
      <c r="CB162" s="21">
        <v>1.008037509255451</v>
      </c>
      <c r="CC162" s="21">
        <v>10.128936599088002</v>
      </c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69">
        <v>0</v>
      </c>
      <c r="DH162" s="21"/>
      <c r="DI162" s="21"/>
      <c r="DJ162" s="69">
        <v>0</v>
      </c>
      <c r="DK162" s="21"/>
      <c r="DL162" s="21"/>
      <c r="DM162" s="69">
        <v>0</v>
      </c>
      <c r="DN162" s="21"/>
      <c r="DO162" s="21"/>
      <c r="DP162" s="21"/>
      <c r="DQ162" s="21"/>
      <c r="DR162" s="21"/>
      <c r="DS162" s="21"/>
      <c r="DT162" s="21"/>
      <c r="DU162" s="21"/>
      <c r="DV162" s="21"/>
      <c r="DW162" s="69">
        <v>0</v>
      </c>
      <c r="DX162" s="21"/>
      <c r="DY162" s="21"/>
      <c r="DZ162" s="21"/>
      <c r="EA162" s="21"/>
      <c r="EB162" s="21"/>
      <c r="EC162" s="21"/>
      <c r="ED162" s="21"/>
      <c r="EE162" s="21"/>
      <c r="EF162" s="21"/>
      <c r="EG162" s="69">
        <v>0</v>
      </c>
      <c r="EH162" s="21"/>
      <c r="EI162" s="21"/>
      <c r="EJ162" s="21"/>
      <c r="EK162" s="21"/>
      <c r="EL162" s="69">
        <v>0</v>
      </c>
      <c r="EM162" s="21"/>
      <c r="EN162" s="69">
        <v>0</v>
      </c>
      <c r="EO162" s="21"/>
      <c r="EP162" s="69">
        <v>0</v>
      </c>
      <c r="EQ162" s="69">
        <v>0</v>
      </c>
      <c r="ER162" s="21"/>
      <c r="ES162" s="21"/>
      <c r="ET162" s="69">
        <v>0</v>
      </c>
      <c r="EU162" s="21"/>
      <c r="EV162" s="21"/>
      <c r="EW162" s="21"/>
      <c r="EX162" s="21"/>
      <c r="EY162" s="21"/>
      <c r="EZ162" s="21"/>
      <c r="FA162" s="69">
        <v>0</v>
      </c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7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>
        <v>1.8113290927649404E-13</v>
      </c>
      <c r="GE162" s="21">
        <v>2.4478092246026857E-13</v>
      </c>
      <c r="GF162" s="21">
        <v>3.2569048910391838E-13</v>
      </c>
      <c r="GG162" s="21">
        <v>4.4619022699109858E-13</v>
      </c>
      <c r="GH162" s="21">
        <v>6.5084320846064343E-13</v>
      </c>
      <c r="GI162" s="21">
        <v>2.0581526739011619E-14</v>
      </c>
      <c r="GJ162" s="21">
        <v>3.2262524687245403E-14</v>
      </c>
      <c r="GK162" s="21">
        <v>5.1707564652444392E-14</v>
      </c>
      <c r="GL162" s="21">
        <v>1.0729398974219457E-13</v>
      </c>
      <c r="GM162" s="21">
        <v>6.4459640601562712E-13</v>
      </c>
      <c r="GN162" s="21">
        <v>3.3949004129520528E-14</v>
      </c>
      <c r="GO162" s="21">
        <v>5.0664770584983176E-14</v>
      </c>
      <c r="GP162" s="21">
        <v>9.4387333945277138E-14</v>
      </c>
      <c r="GQ162" s="21">
        <v>2.310134451287709E-13</v>
      </c>
      <c r="GR162" s="21">
        <v>3.3938647658044033E-12</v>
      </c>
      <c r="GS162" s="21"/>
      <c r="GT162" s="21"/>
      <c r="GU162" s="21"/>
      <c r="GV162" s="21"/>
      <c r="GW162" s="21"/>
      <c r="GX162" s="21">
        <v>0</v>
      </c>
      <c r="GY162" s="21">
        <v>0</v>
      </c>
      <c r="GZ162" s="21"/>
      <c r="HA162" s="21">
        <v>1.4387175496492197</v>
      </c>
      <c r="HB162" s="21">
        <f t="shared" si="2"/>
        <v>192.32191143684895</v>
      </c>
    </row>
    <row r="163" spans="1:210" x14ac:dyDescent="0.75">
      <c r="A163" s="68" t="s">
        <v>742</v>
      </c>
      <c r="B163" s="69">
        <v>0</v>
      </c>
      <c r="C163" s="69">
        <v>0</v>
      </c>
      <c r="D163" s="69">
        <v>0</v>
      </c>
      <c r="E163" s="69">
        <v>0</v>
      </c>
      <c r="F163" s="69">
        <v>0</v>
      </c>
      <c r="G163" s="69">
        <v>0</v>
      </c>
      <c r="H163" s="69">
        <v>0</v>
      </c>
      <c r="I163" s="69">
        <v>0</v>
      </c>
      <c r="J163" s="69">
        <v>0</v>
      </c>
      <c r="K163" s="69">
        <v>0</v>
      </c>
      <c r="L163" s="69">
        <v>0</v>
      </c>
      <c r="M163" s="69">
        <v>0</v>
      </c>
      <c r="N163" s="69">
        <v>0</v>
      </c>
      <c r="O163" s="69">
        <v>0</v>
      </c>
      <c r="P163" s="69">
        <v>0</v>
      </c>
      <c r="Q163" s="69">
        <v>0</v>
      </c>
      <c r="R163" s="69">
        <v>0</v>
      </c>
      <c r="S163" s="69">
        <v>0</v>
      </c>
      <c r="T163" s="69">
        <v>0</v>
      </c>
      <c r="U163" s="69">
        <v>0</v>
      </c>
      <c r="V163" s="69">
        <v>0</v>
      </c>
      <c r="W163" s="69">
        <v>0</v>
      </c>
      <c r="X163" s="69">
        <v>0</v>
      </c>
      <c r="Y163" s="69">
        <v>0</v>
      </c>
      <c r="Z163" s="69">
        <v>0.12396612892889214</v>
      </c>
      <c r="AA163" s="69">
        <v>7.1382477957657953E-2</v>
      </c>
      <c r="AB163" s="69">
        <v>1.9648805756613728E-2</v>
      </c>
      <c r="AC163" s="69">
        <v>3.2075898215306063E-2</v>
      </c>
      <c r="AD163" s="69">
        <v>0.23549821187990497</v>
      </c>
      <c r="AE163" s="69">
        <v>0.10200038133002658</v>
      </c>
      <c r="AF163" s="69">
        <v>0</v>
      </c>
      <c r="AG163" s="69">
        <v>0</v>
      </c>
      <c r="AH163" s="69">
        <v>0</v>
      </c>
      <c r="AI163" s="69">
        <v>4.4469654834714731</v>
      </c>
      <c r="AJ163" s="69">
        <v>8.8229745509390931E-2</v>
      </c>
      <c r="AK163" s="69">
        <v>0.10454956500108521</v>
      </c>
      <c r="AL163" s="69">
        <v>6.5714918758892515E-2</v>
      </c>
      <c r="AM163" s="69">
        <v>7.4179838884444751E-2</v>
      </c>
      <c r="AN163" s="69">
        <v>1.4457742504400763</v>
      </c>
      <c r="AO163" s="69">
        <v>1.1234791649215434</v>
      </c>
      <c r="AP163" s="69">
        <v>0</v>
      </c>
      <c r="AQ163" s="69">
        <v>1.8999205864107005</v>
      </c>
      <c r="AR163" s="69">
        <v>5.7455350082183863</v>
      </c>
      <c r="AS163" s="69">
        <v>1.4588811662530553E-2</v>
      </c>
      <c r="AT163" s="69">
        <v>0.44873564447239256</v>
      </c>
      <c r="AU163" s="69">
        <v>0.34127766522274833</v>
      </c>
      <c r="AV163" s="69">
        <v>0.67400677880330373</v>
      </c>
      <c r="AW163" s="69">
        <v>7.5445495267749216E-3</v>
      </c>
      <c r="AX163" s="69">
        <v>2.2102495667962745</v>
      </c>
      <c r="AY163" s="69">
        <v>0.46852090366254551</v>
      </c>
      <c r="AZ163" s="69">
        <v>0.37889790610647345</v>
      </c>
      <c r="BA163" s="69">
        <v>0.72844327151650834</v>
      </c>
      <c r="BB163" s="69">
        <v>1.7618813583093811</v>
      </c>
      <c r="BC163" s="69">
        <v>1.0271724238546727</v>
      </c>
      <c r="BD163" s="69">
        <v>0.36254839348824186</v>
      </c>
      <c r="BE163" s="69">
        <v>0.24380181200014922</v>
      </c>
      <c r="BF163" s="69">
        <v>0.28588905671032117</v>
      </c>
      <c r="BG163" s="69">
        <v>0.11101429420050629</v>
      </c>
      <c r="BH163" s="69">
        <v>2.3634469972175145</v>
      </c>
      <c r="BI163" s="69">
        <v>1.4636202391815778</v>
      </c>
      <c r="BJ163" s="69">
        <v>103.09891714152178</v>
      </c>
      <c r="BK163" s="69">
        <v>46.039385443572016</v>
      </c>
      <c r="BL163" s="69">
        <v>22.094737627538841</v>
      </c>
      <c r="BM163" s="69">
        <v>0.2469559839737937</v>
      </c>
      <c r="BN163" s="69">
        <v>8.1452954812426963</v>
      </c>
      <c r="BO163" s="69">
        <v>21.48190651675073</v>
      </c>
      <c r="BP163" s="69">
        <v>1.1255845241690918</v>
      </c>
      <c r="BQ163" s="69">
        <v>11.554353015569024</v>
      </c>
      <c r="BR163" s="69">
        <v>6.8933133852723047</v>
      </c>
      <c r="BS163" s="69">
        <v>6.6782288729345551E-2</v>
      </c>
      <c r="BT163" s="69">
        <v>0</v>
      </c>
      <c r="BU163" s="69">
        <v>3.0746575056573846</v>
      </c>
      <c r="BV163" s="69">
        <v>12.058261655291036</v>
      </c>
      <c r="BW163" s="69">
        <v>329.48199182856649</v>
      </c>
      <c r="BX163" s="69">
        <v>35.492674514439933</v>
      </c>
      <c r="BY163" s="69">
        <v>20.776733306294165</v>
      </c>
      <c r="BZ163" s="69">
        <v>8.8865057056269823</v>
      </c>
      <c r="CA163" s="69">
        <v>0.26845247369555375</v>
      </c>
      <c r="CB163" s="69">
        <v>0.65095042780538159</v>
      </c>
      <c r="CC163" s="69">
        <v>35.953586641518896</v>
      </c>
      <c r="CD163" s="69">
        <v>0</v>
      </c>
      <c r="CE163" s="69">
        <v>0</v>
      </c>
      <c r="CF163" s="69">
        <v>0</v>
      </c>
      <c r="CG163" s="69">
        <v>0</v>
      </c>
      <c r="CH163" s="69">
        <v>0</v>
      </c>
      <c r="CI163" s="69">
        <v>0</v>
      </c>
      <c r="CJ163" s="69">
        <v>0</v>
      </c>
      <c r="CK163" s="69">
        <v>0</v>
      </c>
      <c r="CL163" s="69">
        <v>0</v>
      </c>
      <c r="CM163" s="69">
        <v>0</v>
      </c>
      <c r="CN163" s="69">
        <v>0</v>
      </c>
      <c r="CO163" s="69">
        <v>0</v>
      </c>
      <c r="CP163" s="69">
        <v>0</v>
      </c>
      <c r="CQ163" s="69">
        <v>0</v>
      </c>
      <c r="CR163" s="69">
        <v>0</v>
      </c>
      <c r="CS163" s="69">
        <v>0</v>
      </c>
      <c r="CT163" s="69">
        <v>0</v>
      </c>
      <c r="CU163" s="69">
        <v>0</v>
      </c>
      <c r="CV163" s="69">
        <v>0</v>
      </c>
      <c r="CW163" s="69">
        <v>0</v>
      </c>
      <c r="CX163" s="69">
        <v>0</v>
      </c>
      <c r="CY163" s="69">
        <v>0</v>
      </c>
      <c r="CZ163" s="69">
        <v>0</v>
      </c>
      <c r="DA163" s="69">
        <v>0</v>
      </c>
      <c r="DB163" s="69">
        <v>0</v>
      </c>
      <c r="DC163" s="69">
        <v>0</v>
      </c>
      <c r="DD163" s="69">
        <v>0</v>
      </c>
      <c r="DE163" s="69">
        <v>0</v>
      </c>
      <c r="DF163" s="69">
        <v>0</v>
      </c>
      <c r="DG163" s="69">
        <v>0</v>
      </c>
      <c r="DH163" s="69">
        <v>0</v>
      </c>
      <c r="DI163" s="69">
        <v>0</v>
      </c>
      <c r="DJ163" s="69">
        <v>0</v>
      </c>
      <c r="DK163" s="69">
        <v>0</v>
      </c>
      <c r="DL163" s="69">
        <v>0</v>
      </c>
      <c r="DM163" s="69">
        <v>0</v>
      </c>
      <c r="DN163" s="69">
        <v>0</v>
      </c>
      <c r="DO163" s="69">
        <v>0</v>
      </c>
      <c r="DP163" s="69">
        <v>0</v>
      </c>
      <c r="DQ163" s="69">
        <v>0</v>
      </c>
      <c r="DR163" s="69">
        <v>0</v>
      </c>
      <c r="DS163" s="69">
        <v>0</v>
      </c>
      <c r="DT163" s="69">
        <v>0</v>
      </c>
      <c r="DU163" s="69">
        <v>0</v>
      </c>
      <c r="DV163" s="69">
        <v>0</v>
      </c>
      <c r="DW163" s="69">
        <v>0</v>
      </c>
      <c r="DX163" s="69">
        <v>0</v>
      </c>
      <c r="DY163" s="69">
        <v>0</v>
      </c>
      <c r="DZ163" s="69">
        <v>0</v>
      </c>
      <c r="EA163" s="69">
        <v>0</v>
      </c>
      <c r="EB163" s="69">
        <v>0</v>
      </c>
      <c r="EC163" s="69">
        <v>0</v>
      </c>
      <c r="ED163" s="69">
        <v>0</v>
      </c>
      <c r="EE163" s="69">
        <v>0</v>
      </c>
      <c r="EF163" s="69">
        <v>0</v>
      </c>
      <c r="EG163" s="69">
        <v>0</v>
      </c>
      <c r="EH163" s="69">
        <v>0</v>
      </c>
      <c r="EI163" s="69">
        <v>0</v>
      </c>
      <c r="EJ163" s="69">
        <v>0</v>
      </c>
      <c r="EK163" s="69">
        <v>0</v>
      </c>
      <c r="EL163" s="69">
        <v>0</v>
      </c>
      <c r="EM163" s="69">
        <v>0</v>
      </c>
      <c r="EN163" s="69">
        <v>0</v>
      </c>
      <c r="EO163" s="69">
        <v>0</v>
      </c>
      <c r="EP163" s="69">
        <v>0</v>
      </c>
      <c r="EQ163" s="69">
        <v>0</v>
      </c>
      <c r="ER163" s="69">
        <v>0</v>
      </c>
      <c r="ES163" s="69">
        <v>0</v>
      </c>
      <c r="ET163" s="69">
        <v>0</v>
      </c>
      <c r="EU163" s="69">
        <v>0</v>
      </c>
      <c r="EV163" s="69">
        <v>0</v>
      </c>
      <c r="EW163" s="69">
        <v>0</v>
      </c>
      <c r="EX163" s="69">
        <v>0</v>
      </c>
      <c r="EY163" s="69">
        <v>0</v>
      </c>
      <c r="EZ163" s="69">
        <v>0</v>
      </c>
      <c r="FA163" s="69">
        <v>0</v>
      </c>
      <c r="FB163" s="69">
        <v>0</v>
      </c>
      <c r="FC163" s="69">
        <v>0</v>
      </c>
      <c r="FD163" s="69">
        <v>0</v>
      </c>
      <c r="FE163" s="69">
        <v>0</v>
      </c>
      <c r="FF163" s="69">
        <v>0</v>
      </c>
      <c r="FG163" s="69">
        <v>0</v>
      </c>
      <c r="FH163" s="69">
        <v>0</v>
      </c>
      <c r="FI163" s="69">
        <v>0</v>
      </c>
      <c r="FJ163" s="69">
        <v>0</v>
      </c>
      <c r="FK163" s="69">
        <v>0</v>
      </c>
      <c r="FL163" s="69">
        <v>0</v>
      </c>
      <c r="FM163" s="69">
        <v>0</v>
      </c>
      <c r="FN163" s="69">
        <v>0</v>
      </c>
      <c r="FO163" s="69">
        <v>0</v>
      </c>
      <c r="FP163" s="69">
        <v>0</v>
      </c>
      <c r="FQ163" s="69">
        <v>0</v>
      </c>
      <c r="FR163" s="69">
        <v>0</v>
      </c>
      <c r="FS163" s="69">
        <v>0</v>
      </c>
      <c r="FT163" s="69">
        <v>0</v>
      </c>
      <c r="FU163" s="69">
        <v>0</v>
      </c>
      <c r="FV163" s="69">
        <v>0</v>
      </c>
      <c r="FW163" s="69">
        <v>0</v>
      </c>
      <c r="FX163" s="69">
        <v>0</v>
      </c>
      <c r="FY163" s="69">
        <v>0</v>
      </c>
      <c r="FZ163" s="69">
        <v>0</v>
      </c>
      <c r="GA163" s="69">
        <v>0</v>
      </c>
      <c r="GB163" s="69">
        <v>0</v>
      </c>
      <c r="GC163" s="69">
        <v>0</v>
      </c>
      <c r="GD163" s="69">
        <v>0.97435636801217995</v>
      </c>
      <c r="GE163" s="69">
        <v>1.6728942758576499</v>
      </c>
      <c r="GF163" s="69">
        <v>2.6753555091688241</v>
      </c>
      <c r="GG163" s="69">
        <v>4.5065878066490699</v>
      </c>
      <c r="GH163" s="69">
        <v>7.8442123207903904</v>
      </c>
      <c r="GI163" s="69">
        <v>7.6965969338125953E-2</v>
      </c>
      <c r="GJ163" s="69">
        <v>0.1472690740880146</v>
      </c>
      <c r="GK163" s="69">
        <v>0.15473036361852227</v>
      </c>
      <c r="GL163" s="69">
        <v>0.45186019018966334</v>
      </c>
      <c r="GM163" s="69">
        <v>6.2757729931630095</v>
      </c>
      <c r="GN163" s="69">
        <v>4.1508171683626277E-2</v>
      </c>
      <c r="GO163" s="69">
        <v>6.0950074937101806E-2</v>
      </c>
      <c r="GP163" s="69">
        <v>0.43544567243769883</v>
      </c>
      <c r="GQ163" s="69">
        <v>1.3095439875781114</v>
      </c>
      <c r="GR163" s="69">
        <v>12.83124472116606</v>
      </c>
      <c r="GS163" s="69">
        <v>0</v>
      </c>
      <c r="GT163" s="69">
        <v>0</v>
      </c>
      <c r="GU163" s="69">
        <v>0</v>
      </c>
      <c r="GV163" s="69">
        <v>0</v>
      </c>
      <c r="GW163" s="69">
        <v>0</v>
      </c>
      <c r="GX163" s="21">
        <v>0</v>
      </c>
      <c r="GY163" s="21">
        <v>0</v>
      </c>
      <c r="GZ163" s="69">
        <v>0</v>
      </c>
      <c r="HA163" s="69">
        <v>42.04329494332768</v>
      </c>
      <c r="HB163" s="21">
        <f t="shared" si="2"/>
        <v>777.36359804765789</v>
      </c>
    </row>
    <row r="164" spans="1:210" x14ac:dyDescent="0.75">
      <c r="A164" s="67" t="s">
        <v>349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69">
        <v>0</v>
      </c>
      <c r="AD164" s="21"/>
      <c r="AE164" s="21"/>
      <c r="AF164" s="69">
        <v>0</v>
      </c>
      <c r="AG164" s="21"/>
      <c r="AH164" s="21"/>
      <c r="AI164" s="69">
        <v>0</v>
      </c>
      <c r="AJ164" s="21"/>
      <c r="AK164" s="21"/>
      <c r="AL164" s="21"/>
      <c r="AM164" s="21"/>
      <c r="AN164" s="21"/>
      <c r="AO164" s="21"/>
      <c r="AP164" s="21"/>
      <c r="AQ164" s="21"/>
      <c r="AR164" s="69">
        <v>0</v>
      </c>
      <c r="AS164" s="21"/>
      <c r="AT164" s="21"/>
      <c r="AU164" s="21"/>
      <c r="AV164" s="21"/>
      <c r="AW164" s="21"/>
      <c r="AX164" s="21"/>
      <c r="AY164" s="21"/>
      <c r="AZ164" s="21"/>
      <c r="BA164" s="21"/>
      <c r="BB164" s="69">
        <v>0</v>
      </c>
      <c r="BC164" s="21"/>
      <c r="BD164" s="21"/>
      <c r="BE164" s="21"/>
      <c r="BF164" s="21"/>
      <c r="BG164" s="69">
        <v>0</v>
      </c>
      <c r="BH164" s="21"/>
      <c r="BI164" s="69">
        <v>0</v>
      </c>
      <c r="BJ164" s="21">
        <v>10.748883516887414</v>
      </c>
      <c r="BK164" s="69">
        <v>0</v>
      </c>
      <c r="BL164" s="69">
        <v>11.396414407144233</v>
      </c>
      <c r="BM164" s="21"/>
      <c r="BN164" s="21"/>
      <c r="BO164" s="69">
        <v>11.528000469531255</v>
      </c>
      <c r="BP164" s="21"/>
      <c r="BQ164" s="21"/>
      <c r="BR164" s="21"/>
      <c r="BS164" s="21"/>
      <c r="BT164" s="21"/>
      <c r="BU164" s="21"/>
      <c r="BV164" s="69">
        <v>0</v>
      </c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69">
        <v>0</v>
      </c>
      <c r="DH164" s="21"/>
      <c r="DI164" s="21"/>
      <c r="DJ164" s="69">
        <v>0</v>
      </c>
      <c r="DK164" s="21"/>
      <c r="DL164" s="21"/>
      <c r="DM164" s="69">
        <v>0</v>
      </c>
      <c r="DN164" s="21"/>
      <c r="DO164" s="21"/>
      <c r="DP164" s="21"/>
      <c r="DQ164" s="21"/>
      <c r="DR164" s="21"/>
      <c r="DS164" s="21"/>
      <c r="DT164" s="21"/>
      <c r="DU164" s="21"/>
      <c r="DV164" s="21"/>
      <c r="DW164" s="69">
        <v>0</v>
      </c>
      <c r="DX164" s="21"/>
      <c r="DY164" s="21"/>
      <c r="DZ164" s="21"/>
      <c r="EA164" s="21"/>
      <c r="EB164" s="21"/>
      <c r="EC164" s="21"/>
      <c r="ED164" s="21"/>
      <c r="EE164" s="21"/>
      <c r="EF164" s="21"/>
      <c r="EG164" s="69">
        <v>0</v>
      </c>
      <c r="EH164" s="21"/>
      <c r="EI164" s="21"/>
      <c r="EJ164" s="21"/>
      <c r="EK164" s="21"/>
      <c r="EL164" s="69">
        <v>0</v>
      </c>
      <c r="EM164" s="21"/>
      <c r="EN164" s="69">
        <v>0</v>
      </c>
      <c r="EO164" s="21"/>
      <c r="EP164" s="69">
        <v>0</v>
      </c>
      <c r="EQ164" s="69">
        <v>0</v>
      </c>
      <c r="ER164" s="21"/>
      <c r="ES164" s="21"/>
      <c r="ET164" s="69">
        <v>0</v>
      </c>
      <c r="EU164" s="21"/>
      <c r="EV164" s="21"/>
      <c r="EW164" s="21"/>
      <c r="EX164" s="21"/>
      <c r="EY164" s="21"/>
      <c r="EZ164" s="21"/>
      <c r="FA164" s="69">
        <v>0</v>
      </c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7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>
        <v>1.222635961496076</v>
      </c>
      <c r="GE164" s="21">
        <v>1.7209536764261864</v>
      </c>
      <c r="GF164" s="21">
        <v>2.4322985389470881</v>
      </c>
      <c r="GG164" s="21">
        <v>4.3087942410790019</v>
      </c>
      <c r="GH164" s="21">
        <v>7.0264298699217695</v>
      </c>
      <c r="GI164" s="21">
        <v>0.15147624824676412</v>
      </c>
      <c r="GJ164" s="21">
        <v>7.5296672459812364E-2</v>
      </c>
      <c r="GK164" s="21">
        <v>0.10928860778171738</v>
      </c>
      <c r="GL164" s="21">
        <v>0.62104511737653401</v>
      </c>
      <c r="GM164" s="21">
        <v>4.0060933275340282</v>
      </c>
      <c r="GN164" s="21">
        <v>2.2101458956356734E-2</v>
      </c>
      <c r="GO164" s="21">
        <v>3.6894395444283294E-2</v>
      </c>
      <c r="GP164" s="21">
        <v>0.19975634187231742</v>
      </c>
      <c r="GQ164" s="21">
        <v>0.40344880096416175</v>
      </c>
      <c r="GR164" s="21">
        <v>20.244522500809524</v>
      </c>
      <c r="GS164" s="21">
        <v>886.06494742340283</v>
      </c>
      <c r="GT164" s="21"/>
      <c r="GU164" s="21"/>
      <c r="GV164" s="21"/>
      <c r="GW164" s="21"/>
      <c r="GX164" s="21">
        <v>0</v>
      </c>
      <c r="GY164" s="21">
        <v>0</v>
      </c>
      <c r="GZ164" s="21"/>
      <c r="HA164" s="21">
        <v>146.46918125206741</v>
      </c>
      <c r="HB164" s="21">
        <f t="shared" si="2"/>
        <v>1108.7884628283487</v>
      </c>
    </row>
    <row r="165" spans="1:210" x14ac:dyDescent="0.75">
      <c r="A165" s="67" t="s">
        <v>350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69">
        <v>0</v>
      </c>
      <c r="AD165" s="21"/>
      <c r="AE165" s="21"/>
      <c r="AF165" s="69">
        <v>0</v>
      </c>
      <c r="AG165" s="21"/>
      <c r="AH165" s="21"/>
      <c r="AI165" s="69">
        <v>2.1077884829239404E-2</v>
      </c>
      <c r="AJ165" s="21"/>
      <c r="AK165" s="21">
        <v>8.3585134874297473E-3</v>
      </c>
      <c r="AL165" s="21"/>
      <c r="AM165" s="21">
        <v>1.8269346263902538E-3</v>
      </c>
      <c r="AN165" s="21">
        <v>1.9561935383619872E-4</v>
      </c>
      <c r="AO165" s="21">
        <v>4.2968991540520219E-3</v>
      </c>
      <c r="AP165" s="21"/>
      <c r="AQ165" s="21">
        <v>4.8456982339165636E-2</v>
      </c>
      <c r="AR165" s="69">
        <v>7.2112024167145759E-3</v>
      </c>
      <c r="AS165" s="21"/>
      <c r="AT165" s="21">
        <v>8.8051777464114203E-2</v>
      </c>
      <c r="AU165" s="21">
        <v>4.7553300381118226E-4</v>
      </c>
      <c r="AV165" s="21">
        <v>7.2189647932969808E-2</v>
      </c>
      <c r="AW165" s="21">
        <v>1.1274849831525004E-4</v>
      </c>
      <c r="AX165" s="21">
        <v>7.3784461604987526E-4</v>
      </c>
      <c r="AY165" s="21">
        <v>3.5203198395595471E-2</v>
      </c>
      <c r="AZ165" s="21">
        <v>1.9142609462577679E-2</v>
      </c>
      <c r="BA165" s="21">
        <v>1.010689263837988E-4</v>
      </c>
      <c r="BB165" s="69">
        <v>1.5342536255574843E-2</v>
      </c>
      <c r="BC165" s="21">
        <v>4.1402720024999512E-3</v>
      </c>
      <c r="BD165" s="21"/>
      <c r="BE165" s="21">
        <v>8.5331767662692379E-4</v>
      </c>
      <c r="BF165" s="21">
        <v>3.638395980848288E-3</v>
      </c>
      <c r="BG165" s="69">
        <v>3.1742266838327413E-2</v>
      </c>
      <c r="BH165" s="21">
        <v>0.13306163239980823</v>
      </c>
      <c r="BI165" s="69">
        <v>5.1806575668850052E-2</v>
      </c>
      <c r="BJ165" s="21">
        <v>0.16503867813208919</v>
      </c>
      <c r="BK165" s="69">
        <v>0.27734586235039826</v>
      </c>
      <c r="BL165" s="69">
        <v>2.8743157534103214</v>
      </c>
      <c r="BM165" s="21">
        <v>6.6504858541892797E-4</v>
      </c>
      <c r="BN165" s="21">
        <v>0.1626796047078321</v>
      </c>
      <c r="BO165" s="69">
        <v>0.16889523657011524</v>
      </c>
      <c r="BP165" s="21">
        <v>6.8930382142678853E-2</v>
      </c>
      <c r="BQ165" s="21">
        <v>0.33490302510989273</v>
      </c>
      <c r="BR165" s="21">
        <v>1.137803600248047E-2</v>
      </c>
      <c r="BS165" s="21">
        <v>2.2958770119475648E-2</v>
      </c>
      <c r="BT165" s="21"/>
      <c r="BU165" s="21">
        <v>3.7568800699036364E-4</v>
      </c>
      <c r="BV165" s="69">
        <v>0.8780511399154951</v>
      </c>
      <c r="BW165" s="21"/>
      <c r="BX165" s="21">
        <v>4.1308838207382479</v>
      </c>
      <c r="BY165" s="21">
        <v>1.3426782907914108</v>
      </c>
      <c r="BZ165" s="21">
        <v>5.6475610780053511</v>
      </c>
      <c r="CA165" s="21">
        <v>2.0159565304845702E-4</v>
      </c>
      <c r="CB165" s="21"/>
      <c r="CC165" s="21">
        <v>1.0542684425436659</v>
      </c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69">
        <v>0</v>
      </c>
      <c r="DH165" s="21"/>
      <c r="DI165" s="21"/>
      <c r="DJ165" s="69">
        <v>0</v>
      </c>
      <c r="DK165" s="21"/>
      <c r="DL165" s="21"/>
      <c r="DM165" s="69">
        <v>0</v>
      </c>
      <c r="DN165" s="21"/>
      <c r="DO165" s="21"/>
      <c r="DP165" s="21"/>
      <c r="DQ165" s="21"/>
      <c r="DR165" s="21"/>
      <c r="DS165" s="21"/>
      <c r="DT165" s="21"/>
      <c r="DU165" s="21"/>
      <c r="DV165" s="21"/>
      <c r="DW165" s="69">
        <v>0</v>
      </c>
      <c r="DX165" s="21"/>
      <c r="DY165" s="21"/>
      <c r="DZ165" s="21"/>
      <c r="EA165" s="21"/>
      <c r="EB165" s="21"/>
      <c r="EC165" s="21"/>
      <c r="ED165" s="21"/>
      <c r="EE165" s="21"/>
      <c r="EF165" s="21"/>
      <c r="EG165" s="69">
        <v>0</v>
      </c>
      <c r="EH165" s="21"/>
      <c r="EI165" s="21"/>
      <c r="EJ165" s="21"/>
      <c r="EK165" s="21"/>
      <c r="EL165" s="69">
        <v>0</v>
      </c>
      <c r="EM165" s="21"/>
      <c r="EN165" s="69">
        <v>0</v>
      </c>
      <c r="EO165" s="21"/>
      <c r="EP165" s="69">
        <v>0</v>
      </c>
      <c r="EQ165" s="69">
        <v>0</v>
      </c>
      <c r="ER165" s="21"/>
      <c r="ES165" s="21"/>
      <c r="ET165" s="69">
        <v>0</v>
      </c>
      <c r="EU165" s="21"/>
      <c r="EV165" s="21"/>
      <c r="EW165" s="21"/>
      <c r="EX165" s="21"/>
      <c r="EY165" s="21"/>
      <c r="EZ165" s="21"/>
      <c r="FA165" s="69">
        <v>0</v>
      </c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7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>
        <v>3.6549866830666966</v>
      </c>
      <c r="GE165" s="21">
        <v>6.7077083156482233</v>
      </c>
      <c r="GF165" s="21">
        <v>12.038586757039512</v>
      </c>
      <c r="GG165" s="21">
        <v>18.897695508886336</v>
      </c>
      <c r="GH165" s="21">
        <v>35.525485599189537</v>
      </c>
      <c r="GI165" s="21">
        <v>0.39646484890407768</v>
      </c>
      <c r="GJ165" s="21">
        <v>0.82048649641405502</v>
      </c>
      <c r="GK165" s="21">
        <v>1.0975699824648377</v>
      </c>
      <c r="GL165" s="21">
        <v>3.6448413672527087</v>
      </c>
      <c r="GM165" s="21">
        <v>26.119319152080195</v>
      </c>
      <c r="GN165" s="21">
        <v>0.23212968402210113</v>
      </c>
      <c r="GO165" s="21">
        <v>0.63300416897311018</v>
      </c>
      <c r="GP165" s="21">
        <v>1.5749748573801343</v>
      </c>
      <c r="GQ165" s="21">
        <v>5.2049163398185261</v>
      </c>
      <c r="GR165" s="21">
        <v>93.500552694333606</v>
      </c>
      <c r="GS165" s="21">
        <v>131.46378485320332</v>
      </c>
      <c r="GT165" s="21"/>
      <c r="GU165" s="21"/>
      <c r="GV165" s="21"/>
      <c r="GW165" s="21"/>
      <c r="GX165" s="21">
        <v>0</v>
      </c>
      <c r="GY165" s="21">
        <v>0</v>
      </c>
      <c r="GZ165" s="21"/>
      <c r="HA165" s="21"/>
      <c r="HB165" s="21">
        <f t="shared" si="2"/>
        <v>359.20166122279107</v>
      </c>
    </row>
    <row r="166" spans="1:210" x14ac:dyDescent="0.75">
      <c r="A166" s="67" t="s">
        <v>351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69">
        <v>0</v>
      </c>
      <c r="AD166" s="21"/>
      <c r="AE166" s="21"/>
      <c r="AF166" s="69">
        <v>0</v>
      </c>
      <c r="AG166" s="21"/>
      <c r="AH166" s="21"/>
      <c r="AI166" s="69">
        <v>0</v>
      </c>
      <c r="AJ166" s="21"/>
      <c r="AK166" s="21"/>
      <c r="AL166" s="21"/>
      <c r="AM166" s="21"/>
      <c r="AN166" s="21"/>
      <c r="AO166" s="21"/>
      <c r="AP166" s="21"/>
      <c r="AQ166" s="21"/>
      <c r="AR166" s="69">
        <v>0</v>
      </c>
      <c r="AS166" s="21"/>
      <c r="AT166" s="21"/>
      <c r="AU166" s="21"/>
      <c r="AV166" s="21"/>
      <c r="AW166" s="21"/>
      <c r="AX166" s="21"/>
      <c r="AY166" s="21"/>
      <c r="AZ166" s="21"/>
      <c r="BA166" s="21"/>
      <c r="BB166" s="69">
        <v>0</v>
      </c>
      <c r="BC166" s="21"/>
      <c r="BD166" s="21"/>
      <c r="BE166" s="21"/>
      <c r="BF166" s="21"/>
      <c r="BG166" s="69">
        <v>0</v>
      </c>
      <c r="BH166" s="21"/>
      <c r="BI166" s="69">
        <v>0</v>
      </c>
      <c r="BJ166" s="21"/>
      <c r="BK166" s="69">
        <v>0</v>
      </c>
      <c r="BL166" s="69">
        <v>0</v>
      </c>
      <c r="BM166" s="21"/>
      <c r="BN166" s="21"/>
      <c r="BO166" s="69">
        <v>0</v>
      </c>
      <c r="BP166" s="21"/>
      <c r="BQ166" s="21"/>
      <c r="BR166" s="21"/>
      <c r="BS166" s="21"/>
      <c r="BT166" s="21"/>
      <c r="BU166" s="21"/>
      <c r="BV166" s="69">
        <v>0</v>
      </c>
      <c r="BW166" s="21">
        <v>0.18601199268495092</v>
      </c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69">
        <v>0</v>
      </c>
      <c r="DH166" s="21"/>
      <c r="DI166" s="21"/>
      <c r="DJ166" s="69">
        <v>0</v>
      </c>
      <c r="DK166" s="21"/>
      <c r="DL166" s="21"/>
      <c r="DM166" s="69">
        <v>0</v>
      </c>
      <c r="DN166" s="21"/>
      <c r="DO166" s="21"/>
      <c r="DP166" s="21"/>
      <c r="DQ166" s="21"/>
      <c r="DR166" s="21"/>
      <c r="DS166" s="21"/>
      <c r="DT166" s="21"/>
      <c r="DU166" s="21"/>
      <c r="DV166" s="21"/>
      <c r="DW166" s="69">
        <v>0</v>
      </c>
      <c r="DX166" s="21"/>
      <c r="DY166" s="21"/>
      <c r="DZ166" s="21"/>
      <c r="EA166" s="21"/>
      <c r="EB166" s="21"/>
      <c r="EC166" s="21"/>
      <c r="ED166" s="21"/>
      <c r="EE166" s="21"/>
      <c r="EF166" s="21"/>
      <c r="EG166" s="69">
        <v>0</v>
      </c>
      <c r="EH166" s="21"/>
      <c r="EI166" s="21"/>
      <c r="EJ166" s="21"/>
      <c r="EK166" s="21"/>
      <c r="EL166" s="69">
        <v>0</v>
      </c>
      <c r="EM166" s="21"/>
      <c r="EN166" s="69">
        <v>0</v>
      </c>
      <c r="EO166" s="21"/>
      <c r="EP166" s="69">
        <v>0</v>
      </c>
      <c r="EQ166" s="69">
        <v>0</v>
      </c>
      <c r="ER166" s="21"/>
      <c r="ES166" s="21"/>
      <c r="ET166" s="69">
        <v>0</v>
      </c>
      <c r="EU166" s="21"/>
      <c r="EV166" s="21"/>
      <c r="EW166" s="21"/>
      <c r="EX166" s="21"/>
      <c r="EY166" s="21"/>
      <c r="EZ166" s="21"/>
      <c r="FA166" s="69">
        <v>0</v>
      </c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7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>
        <v>12.086539765372958</v>
      </c>
      <c r="GE166" s="21">
        <v>16.615446992287982</v>
      </c>
      <c r="GF166" s="21">
        <v>19.401748658101237</v>
      </c>
      <c r="GG166" s="21">
        <v>20.955047812954433</v>
      </c>
      <c r="GH166" s="21">
        <v>39.03624017283542</v>
      </c>
      <c r="GI166" s="21">
        <v>0.80686808397333776</v>
      </c>
      <c r="GJ166" s="21">
        <v>1.2146138227002863</v>
      </c>
      <c r="GK166" s="21">
        <v>2.4687119282146712</v>
      </c>
      <c r="GL166" s="21">
        <v>2.1983369711087932</v>
      </c>
      <c r="GM166" s="21">
        <v>13.822885893795799</v>
      </c>
      <c r="GN166" s="21">
        <v>1.1294060836692819</v>
      </c>
      <c r="GO166" s="21">
        <v>0.61994397505315668</v>
      </c>
      <c r="GP166" s="21">
        <v>2.6703365145502831</v>
      </c>
      <c r="GQ166" s="21">
        <v>2.3434731872573358</v>
      </c>
      <c r="GR166" s="21">
        <v>54.650448778657392</v>
      </c>
      <c r="GS166" s="21">
        <v>22.270327268357978</v>
      </c>
      <c r="GT166" s="21"/>
      <c r="GU166" s="21"/>
      <c r="GV166" s="21"/>
      <c r="GW166" s="21"/>
      <c r="GX166" s="21">
        <v>0</v>
      </c>
      <c r="GY166" s="21">
        <v>0</v>
      </c>
      <c r="GZ166" s="21"/>
      <c r="HA166" s="21">
        <v>2.1181534514900052E-2</v>
      </c>
      <c r="HB166" s="21">
        <f t="shared" si="2"/>
        <v>212.49756943609023</v>
      </c>
    </row>
    <row r="167" spans="1:210" x14ac:dyDescent="0.75">
      <c r="A167" s="67" t="s">
        <v>743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69">
        <v>0</v>
      </c>
      <c r="AD167" s="21"/>
      <c r="AE167" s="21"/>
      <c r="AF167" s="69">
        <v>0</v>
      </c>
      <c r="AG167" s="21"/>
      <c r="AH167" s="21"/>
      <c r="AI167" s="69">
        <v>0</v>
      </c>
      <c r="AJ167" s="21"/>
      <c r="AK167" s="21"/>
      <c r="AL167" s="21"/>
      <c r="AM167" s="21"/>
      <c r="AN167" s="21"/>
      <c r="AO167" s="21"/>
      <c r="AP167" s="21"/>
      <c r="AQ167" s="21"/>
      <c r="AR167" s="69">
        <v>0</v>
      </c>
      <c r="AS167" s="21"/>
      <c r="AT167" s="21"/>
      <c r="AU167" s="21"/>
      <c r="AV167" s="21"/>
      <c r="AW167" s="21"/>
      <c r="AX167" s="21"/>
      <c r="AY167" s="21"/>
      <c r="AZ167" s="21"/>
      <c r="BA167" s="21"/>
      <c r="BB167" s="69">
        <v>0</v>
      </c>
      <c r="BC167" s="21"/>
      <c r="BD167" s="21"/>
      <c r="BE167" s="21"/>
      <c r="BF167" s="21"/>
      <c r="BG167" s="69">
        <v>0</v>
      </c>
      <c r="BH167" s="21"/>
      <c r="BI167" s="69">
        <v>0</v>
      </c>
      <c r="BJ167" s="21"/>
      <c r="BK167" s="69">
        <v>0</v>
      </c>
      <c r="BL167" s="69">
        <v>0</v>
      </c>
      <c r="BM167" s="21"/>
      <c r="BN167" s="21"/>
      <c r="BO167" s="69">
        <v>0</v>
      </c>
      <c r="BP167" s="21"/>
      <c r="BQ167" s="21"/>
      <c r="BR167" s="21"/>
      <c r="BS167" s="21"/>
      <c r="BT167" s="21"/>
      <c r="BU167" s="21"/>
      <c r="BV167" s="69">
        <v>0</v>
      </c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69">
        <v>0</v>
      </c>
      <c r="DH167" s="21"/>
      <c r="DI167" s="21"/>
      <c r="DJ167" s="69">
        <v>0</v>
      </c>
      <c r="DK167" s="21"/>
      <c r="DL167" s="21"/>
      <c r="DM167" s="69">
        <v>0</v>
      </c>
      <c r="DN167" s="21"/>
      <c r="DO167" s="21"/>
      <c r="DP167" s="21"/>
      <c r="DQ167" s="21"/>
      <c r="DR167" s="21"/>
      <c r="DS167" s="21"/>
      <c r="DT167" s="21"/>
      <c r="DU167" s="21"/>
      <c r="DV167" s="21"/>
      <c r="DW167" s="69">
        <v>0</v>
      </c>
      <c r="DX167" s="21"/>
      <c r="DY167" s="21"/>
      <c r="DZ167" s="21"/>
      <c r="EA167" s="21"/>
      <c r="EB167" s="21"/>
      <c r="EC167" s="21"/>
      <c r="ED167" s="21"/>
      <c r="EE167" s="21"/>
      <c r="EF167" s="21"/>
      <c r="EG167" s="69">
        <v>0</v>
      </c>
      <c r="EH167" s="21"/>
      <c r="EI167" s="21"/>
      <c r="EJ167" s="21"/>
      <c r="EK167" s="21"/>
      <c r="EL167" s="69">
        <v>0</v>
      </c>
      <c r="EM167" s="21"/>
      <c r="EN167" s="69">
        <v>0</v>
      </c>
      <c r="EO167" s="21"/>
      <c r="EP167" s="69">
        <v>0</v>
      </c>
      <c r="EQ167" s="69">
        <v>0</v>
      </c>
      <c r="ER167" s="21"/>
      <c r="ES167" s="21"/>
      <c r="ET167" s="69">
        <v>0</v>
      </c>
      <c r="EU167" s="21"/>
      <c r="EV167" s="21"/>
      <c r="EW167" s="21"/>
      <c r="EX167" s="21"/>
      <c r="EY167" s="21"/>
      <c r="EZ167" s="21"/>
      <c r="FA167" s="69">
        <v>0</v>
      </c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>
        <v>3.2071160359206083E-2</v>
      </c>
      <c r="GF167" s="21">
        <v>2.743722204174941E-2</v>
      </c>
      <c r="GG167" s="21">
        <v>2.6223899046404046E-2</v>
      </c>
      <c r="GH167" s="21">
        <v>2.2140948326485138E-2</v>
      </c>
      <c r="GI167" s="21">
        <v>0.30802525058551361</v>
      </c>
      <c r="GJ167" s="21"/>
      <c r="GK167" s="21">
        <v>6.3441942792579475E-2</v>
      </c>
      <c r="GL167" s="21"/>
      <c r="GM167" s="21">
        <v>9.3127687242093388E-2</v>
      </c>
      <c r="GN167" s="21"/>
      <c r="GO167" s="21">
        <v>0.2270517218509395</v>
      </c>
      <c r="GP167" s="21">
        <v>2.5908671534669251E-3</v>
      </c>
      <c r="GQ167" s="21"/>
      <c r="GR167" s="21">
        <v>6.2844568496482882</v>
      </c>
      <c r="GS167" s="21">
        <v>90.711287252664022</v>
      </c>
      <c r="GT167" s="21"/>
      <c r="GU167" s="21"/>
      <c r="GV167" s="21"/>
      <c r="GW167" s="21"/>
      <c r="GX167" s="21">
        <v>0</v>
      </c>
      <c r="GY167" s="21">
        <v>0</v>
      </c>
      <c r="GZ167" s="21"/>
      <c r="HA167" s="21"/>
      <c r="HB167" s="21">
        <f t="shared" si="2"/>
        <v>97.797854801710741</v>
      </c>
    </row>
    <row r="168" spans="1:210" x14ac:dyDescent="0.75">
      <c r="A168" s="67" t="s">
        <v>744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69">
        <v>0</v>
      </c>
      <c r="AD168" s="21"/>
      <c r="AE168" s="21"/>
      <c r="AF168" s="69">
        <v>0</v>
      </c>
      <c r="AG168" s="21"/>
      <c r="AH168" s="21"/>
      <c r="AI168" s="69">
        <v>0</v>
      </c>
      <c r="AJ168" s="21"/>
      <c r="AK168" s="21"/>
      <c r="AL168" s="21"/>
      <c r="AM168" s="21"/>
      <c r="AN168" s="21"/>
      <c r="AO168" s="21"/>
      <c r="AP168" s="21"/>
      <c r="AQ168" s="21"/>
      <c r="AR168" s="69">
        <v>0</v>
      </c>
      <c r="AS168" s="21"/>
      <c r="AT168" s="21"/>
      <c r="AU168" s="21"/>
      <c r="AV168" s="21"/>
      <c r="AW168" s="21"/>
      <c r="AX168" s="21"/>
      <c r="AY168" s="21"/>
      <c r="AZ168" s="21"/>
      <c r="BA168" s="21"/>
      <c r="BB168" s="69">
        <v>0</v>
      </c>
      <c r="BC168" s="21"/>
      <c r="BD168" s="21"/>
      <c r="BE168" s="21"/>
      <c r="BF168" s="21"/>
      <c r="BG168" s="69">
        <v>0</v>
      </c>
      <c r="BH168" s="21"/>
      <c r="BI168" s="69">
        <v>0</v>
      </c>
      <c r="BJ168" s="21"/>
      <c r="BK168" s="69">
        <v>0</v>
      </c>
      <c r="BL168" s="69">
        <v>0</v>
      </c>
      <c r="BM168" s="21"/>
      <c r="BN168" s="21"/>
      <c r="BO168" s="69">
        <v>0</v>
      </c>
      <c r="BP168" s="21"/>
      <c r="BQ168" s="21"/>
      <c r="BR168" s="21"/>
      <c r="BS168" s="21"/>
      <c r="BT168" s="21"/>
      <c r="BU168" s="21"/>
      <c r="BV168" s="69">
        <v>0</v>
      </c>
      <c r="BW168" s="21">
        <v>6.4367803649513792E-4</v>
      </c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69">
        <v>0</v>
      </c>
      <c r="DH168" s="21"/>
      <c r="DI168" s="21"/>
      <c r="DJ168" s="69">
        <v>0</v>
      </c>
      <c r="DK168" s="21"/>
      <c r="DL168" s="21"/>
      <c r="DM168" s="69">
        <v>0</v>
      </c>
      <c r="DN168" s="21"/>
      <c r="DO168" s="21"/>
      <c r="DP168" s="21"/>
      <c r="DQ168" s="21"/>
      <c r="DR168" s="21"/>
      <c r="DS168" s="21"/>
      <c r="DT168" s="21"/>
      <c r="DU168" s="21"/>
      <c r="DV168" s="21"/>
      <c r="DW168" s="69">
        <v>0</v>
      </c>
      <c r="DX168" s="21"/>
      <c r="DY168" s="21"/>
      <c r="DZ168" s="21"/>
      <c r="EA168" s="21"/>
      <c r="EB168" s="21"/>
      <c r="EC168" s="21"/>
      <c r="ED168" s="21"/>
      <c r="EE168" s="21"/>
      <c r="EF168" s="21"/>
      <c r="EG168" s="69">
        <v>0</v>
      </c>
      <c r="EH168" s="21"/>
      <c r="EI168" s="21"/>
      <c r="EJ168" s="21"/>
      <c r="EK168" s="21"/>
      <c r="EL168" s="69">
        <v>0</v>
      </c>
      <c r="EM168" s="21"/>
      <c r="EN168" s="69">
        <v>0</v>
      </c>
      <c r="EO168" s="21"/>
      <c r="EP168" s="69">
        <v>0</v>
      </c>
      <c r="EQ168" s="69">
        <v>0</v>
      </c>
      <c r="ER168" s="21"/>
      <c r="ES168" s="21"/>
      <c r="ET168" s="69">
        <v>0</v>
      </c>
      <c r="EU168" s="21"/>
      <c r="EV168" s="21"/>
      <c r="EW168" s="21"/>
      <c r="EX168" s="21"/>
      <c r="EY168" s="21"/>
      <c r="EZ168" s="21"/>
      <c r="FA168" s="69">
        <v>0</v>
      </c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>
        <v>0.47801140799683461</v>
      </c>
      <c r="GE168" s="21">
        <v>0.48083901883104818</v>
      </c>
      <c r="GF168" s="21">
        <v>0.49578933658758134</v>
      </c>
      <c r="GG168" s="21">
        <v>1.4094577573499689</v>
      </c>
      <c r="GH168" s="21">
        <v>0.80232216441955084</v>
      </c>
      <c r="GI168" s="21">
        <v>3.2974541364791402E-2</v>
      </c>
      <c r="GJ168" s="21"/>
      <c r="GK168" s="21">
        <v>3.200047812110101E-2</v>
      </c>
      <c r="GL168" s="21">
        <v>0.2225384450081348</v>
      </c>
      <c r="GM168" s="21">
        <v>2.747109420851388</v>
      </c>
      <c r="GN168" s="21">
        <v>1.3630908249923666E-2</v>
      </c>
      <c r="GO168" s="21"/>
      <c r="GP168" s="21">
        <v>8.9952046507778586E-4</v>
      </c>
      <c r="GQ168" s="21">
        <v>9.0294034577478338E-2</v>
      </c>
      <c r="GR168" s="21">
        <v>8.4372742285918427</v>
      </c>
      <c r="GS168" s="21"/>
      <c r="GT168" s="21"/>
      <c r="GU168" s="21"/>
      <c r="GV168" s="21"/>
      <c r="GW168" s="21"/>
      <c r="GX168" s="21">
        <v>0</v>
      </c>
      <c r="GY168" s="21">
        <v>0</v>
      </c>
      <c r="GZ168" s="21"/>
      <c r="HA168" s="21">
        <v>7.3297580976907221E-5</v>
      </c>
      <c r="HB168" s="21">
        <f t="shared" si="2"/>
        <v>15.243858238032194</v>
      </c>
    </row>
    <row r="169" spans="1:210" x14ac:dyDescent="0.75">
      <c r="A169" s="67" t="s">
        <v>745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69">
        <v>0</v>
      </c>
      <c r="AD169" s="21"/>
      <c r="AE169" s="21"/>
      <c r="AF169" s="69">
        <v>0</v>
      </c>
      <c r="AG169" s="21"/>
      <c r="AH169" s="21"/>
      <c r="AI169" s="69">
        <v>8.0657213910324183E-2</v>
      </c>
      <c r="AJ169" s="21"/>
      <c r="AK169" s="21">
        <v>1.0438107714930689E-3</v>
      </c>
      <c r="AL169" s="21"/>
      <c r="AM169" s="21"/>
      <c r="AN169" s="21">
        <v>2.4233589777353841E-2</v>
      </c>
      <c r="AO169" s="21">
        <v>5.4555667717385093E-3</v>
      </c>
      <c r="AP169" s="21"/>
      <c r="AQ169" s="21">
        <v>5.3077688760953826E-2</v>
      </c>
      <c r="AR169" s="69">
        <v>0.34648639664274833</v>
      </c>
      <c r="AS169" s="21"/>
      <c r="AT169" s="21">
        <v>3.1821529715121803E-2</v>
      </c>
      <c r="AU169" s="21">
        <v>1.3783737853554299E-2</v>
      </c>
      <c r="AV169" s="21">
        <v>6.9172814630733583E-3</v>
      </c>
      <c r="AW169" s="21">
        <v>4.8690017731306881E-4</v>
      </c>
      <c r="AX169" s="21">
        <v>1.5043829490973109E-2</v>
      </c>
      <c r="AY169" s="21">
        <v>1.610616744617065E-2</v>
      </c>
      <c r="AZ169" s="21">
        <v>1.5664051287408772E-3</v>
      </c>
      <c r="BA169" s="21">
        <v>3.3913364254505154E-2</v>
      </c>
      <c r="BB169" s="69">
        <v>0.12073128384335254</v>
      </c>
      <c r="BC169" s="21">
        <v>2.4242560890312763E-3</v>
      </c>
      <c r="BD169" s="21">
        <v>1.4641646100918131E-2</v>
      </c>
      <c r="BE169" s="21"/>
      <c r="BF169" s="21">
        <v>2.5355038839300617E-3</v>
      </c>
      <c r="BG169" s="69">
        <v>0.78398722365259021</v>
      </c>
      <c r="BH169" s="21">
        <v>0.52587992758853852</v>
      </c>
      <c r="BI169" s="69">
        <v>3.5462042714079392E-2</v>
      </c>
      <c r="BJ169" s="21">
        <v>0.50763684505352358</v>
      </c>
      <c r="BK169" s="69">
        <v>1.1068445188878984</v>
      </c>
      <c r="BL169" s="69">
        <v>0.38944838745081101</v>
      </c>
      <c r="BM169" s="21">
        <v>9.4957902840648992E-2</v>
      </c>
      <c r="BN169" s="21">
        <v>1.4634884589425423</v>
      </c>
      <c r="BO169" s="69">
        <v>0.22000162014319979</v>
      </c>
      <c r="BP169" s="21">
        <v>5.9721748919513214E-2</v>
      </c>
      <c r="BQ169" s="21">
        <v>0.10146139509878233</v>
      </c>
      <c r="BR169" s="21">
        <v>8.4080031887884613E-3</v>
      </c>
      <c r="BS169" s="21">
        <v>1.2843450338333646E-3</v>
      </c>
      <c r="BT169" s="21"/>
      <c r="BU169" s="21">
        <v>0.18804537213165004</v>
      </c>
      <c r="BV169" s="69">
        <v>0.71113319973930189</v>
      </c>
      <c r="BW169" s="21">
        <v>1.3650158667923595</v>
      </c>
      <c r="BX169" s="21">
        <v>2.7715771750642522</v>
      </c>
      <c r="BY169" s="21">
        <v>0.43721082281654827</v>
      </c>
      <c r="BZ169" s="21">
        <v>0.40907604508398021</v>
      </c>
      <c r="CA169" s="21">
        <v>3.1683555306937929E-2</v>
      </c>
      <c r="CB169" s="21">
        <v>8.9900538792799991E-3</v>
      </c>
      <c r="CC169" s="21">
        <v>1.9226446879188739</v>
      </c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69">
        <v>0</v>
      </c>
      <c r="DH169" s="21"/>
      <c r="DI169" s="21"/>
      <c r="DJ169" s="69">
        <v>0</v>
      </c>
      <c r="DK169" s="21"/>
      <c r="DL169" s="21"/>
      <c r="DM169" s="69">
        <v>0</v>
      </c>
      <c r="DN169" s="21"/>
      <c r="DO169" s="21"/>
      <c r="DP169" s="21"/>
      <c r="DQ169" s="21"/>
      <c r="DR169" s="21"/>
      <c r="DS169" s="21"/>
      <c r="DT169" s="21"/>
      <c r="DU169" s="21"/>
      <c r="DV169" s="21"/>
      <c r="DW169" s="69">
        <v>0</v>
      </c>
      <c r="DX169" s="21"/>
      <c r="DY169" s="21"/>
      <c r="DZ169" s="21"/>
      <c r="EA169" s="21"/>
      <c r="EB169" s="21"/>
      <c r="EC169" s="21"/>
      <c r="ED169" s="21"/>
      <c r="EE169" s="21"/>
      <c r="EF169" s="21"/>
      <c r="EG169" s="69">
        <v>0</v>
      </c>
      <c r="EH169" s="21"/>
      <c r="EI169" s="21"/>
      <c r="EJ169" s="21"/>
      <c r="EK169" s="21"/>
      <c r="EL169" s="69">
        <v>0</v>
      </c>
      <c r="EM169" s="21"/>
      <c r="EN169" s="69">
        <v>0</v>
      </c>
      <c r="EO169" s="21"/>
      <c r="EP169" s="69">
        <v>0</v>
      </c>
      <c r="EQ169" s="69">
        <v>0</v>
      </c>
      <c r="ER169" s="21"/>
      <c r="ES169" s="21"/>
      <c r="ET169" s="69">
        <v>0</v>
      </c>
      <c r="EU169" s="21"/>
      <c r="EV169" s="21"/>
      <c r="EW169" s="21"/>
      <c r="EX169" s="21"/>
      <c r="EY169" s="21"/>
      <c r="EZ169" s="21"/>
      <c r="FA169" s="69">
        <v>0</v>
      </c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>
        <v>1.6681895441539525</v>
      </c>
      <c r="GE169" s="21">
        <v>1.6780560219126144</v>
      </c>
      <c r="GF169" s="21">
        <v>1.7302454648171328</v>
      </c>
      <c r="GG169" s="21">
        <v>4.9170398471931911</v>
      </c>
      <c r="GH169" s="21">
        <v>2.8002750198081729</v>
      </c>
      <c r="GI169" s="21">
        <v>0.11510874075268944</v>
      </c>
      <c r="GJ169" s="21"/>
      <c r="GK169" s="21">
        <v>0.11170640474379431</v>
      </c>
      <c r="GL169" s="21">
        <v>0.77680184455919654</v>
      </c>
      <c r="GM169" s="21">
        <v>9.5894984695045569</v>
      </c>
      <c r="GN169" s="21">
        <v>4.7582764508863604E-2</v>
      </c>
      <c r="GO169" s="21"/>
      <c r="GP169" s="21">
        <v>3.1400518691896925E-3</v>
      </c>
      <c r="GQ169" s="21">
        <v>0.31519673724629066</v>
      </c>
      <c r="GR169" s="21">
        <v>29.458024363430805</v>
      </c>
      <c r="GS169" s="21"/>
      <c r="GT169" s="21"/>
      <c r="GU169" s="21"/>
      <c r="GV169" s="21"/>
      <c r="GW169" s="21"/>
      <c r="GX169" s="21">
        <v>0</v>
      </c>
      <c r="GY169" s="21">
        <v>0</v>
      </c>
      <c r="GZ169" s="21"/>
      <c r="HA169" s="21">
        <v>0.43522535812979918</v>
      </c>
      <c r="HB169" s="21">
        <f t="shared" si="2"/>
        <v>67.560976002959478</v>
      </c>
    </row>
    <row r="170" spans="1:210" x14ac:dyDescent="0.75">
      <c r="A170" s="67" t="s">
        <v>352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69">
        <v>0</v>
      </c>
      <c r="AD170" s="21"/>
      <c r="AE170" s="21"/>
      <c r="AF170" s="69">
        <v>0</v>
      </c>
      <c r="AG170" s="21"/>
      <c r="AH170" s="21"/>
      <c r="AI170" s="69">
        <v>0</v>
      </c>
      <c r="AJ170" s="21"/>
      <c r="AK170" s="21"/>
      <c r="AL170" s="21"/>
      <c r="AM170" s="21"/>
      <c r="AN170" s="21"/>
      <c r="AO170" s="21"/>
      <c r="AP170" s="21"/>
      <c r="AQ170" s="21"/>
      <c r="AR170" s="69">
        <v>0</v>
      </c>
      <c r="AS170" s="21"/>
      <c r="AT170" s="21"/>
      <c r="AU170" s="21"/>
      <c r="AV170" s="21"/>
      <c r="AW170" s="21"/>
      <c r="AX170" s="21"/>
      <c r="AY170" s="21"/>
      <c r="AZ170" s="21"/>
      <c r="BA170" s="21"/>
      <c r="BB170" s="69">
        <v>0</v>
      </c>
      <c r="BC170" s="21"/>
      <c r="BD170" s="21"/>
      <c r="BE170" s="21"/>
      <c r="BF170" s="21"/>
      <c r="BG170" s="69">
        <v>0</v>
      </c>
      <c r="BH170" s="21"/>
      <c r="BI170" s="69">
        <v>0</v>
      </c>
      <c r="BJ170" s="21"/>
      <c r="BK170" s="69">
        <v>0</v>
      </c>
      <c r="BL170" s="69">
        <v>0</v>
      </c>
      <c r="BM170" s="21"/>
      <c r="BN170" s="21"/>
      <c r="BO170" s="69">
        <v>0</v>
      </c>
      <c r="BP170" s="21"/>
      <c r="BQ170" s="21"/>
      <c r="BR170" s="21"/>
      <c r="BS170" s="21"/>
      <c r="BT170" s="21"/>
      <c r="BU170" s="21"/>
      <c r="BV170" s="69">
        <v>0</v>
      </c>
      <c r="BW170" s="21">
        <v>6.6116053462945938</v>
      </c>
      <c r="BX170" s="21">
        <v>1.4913916200231785</v>
      </c>
      <c r="BY170" s="21">
        <v>6.538813454743668E-2</v>
      </c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69">
        <v>0</v>
      </c>
      <c r="DH170" s="21"/>
      <c r="DI170" s="21"/>
      <c r="DJ170" s="69">
        <v>0</v>
      </c>
      <c r="DK170" s="21"/>
      <c r="DL170" s="21"/>
      <c r="DM170" s="69">
        <v>0</v>
      </c>
      <c r="DN170" s="21"/>
      <c r="DO170" s="21"/>
      <c r="DP170" s="21"/>
      <c r="DQ170" s="21"/>
      <c r="DR170" s="21"/>
      <c r="DS170" s="21"/>
      <c r="DT170" s="21"/>
      <c r="DU170" s="21"/>
      <c r="DV170" s="21"/>
      <c r="DW170" s="69">
        <v>0</v>
      </c>
      <c r="DX170" s="21"/>
      <c r="DY170" s="21"/>
      <c r="DZ170" s="21"/>
      <c r="EA170" s="21"/>
      <c r="EB170" s="21"/>
      <c r="EC170" s="21"/>
      <c r="ED170" s="21"/>
      <c r="EE170" s="21"/>
      <c r="EF170" s="21"/>
      <c r="EG170" s="69">
        <v>0</v>
      </c>
      <c r="EH170" s="21"/>
      <c r="EI170" s="21"/>
      <c r="EJ170" s="21"/>
      <c r="EK170" s="21"/>
      <c r="EL170" s="69">
        <v>0</v>
      </c>
      <c r="EM170" s="21"/>
      <c r="EN170" s="69">
        <v>0</v>
      </c>
      <c r="EO170" s="21"/>
      <c r="EP170" s="69">
        <v>0</v>
      </c>
      <c r="EQ170" s="69">
        <v>0</v>
      </c>
      <c r="ER170" s="21"/>
      <c r="ES170" s="21"/>
      <c r="ET170" s="69">
        <v>0</v>
      </c>
      <c r="EU170" s="21"/>
      <c r="EV170" s="21"/>
      <c r="EW170" s="21"/>
      <c r="EX170" s="21"/>
      <c r="EY170" s="21"/>
      <c r="EZ170" s="21"/>
      <c r="FA170" s="69">
        <v>0</v>
      </c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>
        <v>9.4463793921004982</v>
      </c>
      <c r="GE170" s="21">
        <v>18.022042280399347</v>
      </c>
      <c r="GF170" s="21">
        <v>24.07334647320992</v>
      </c>
      <c r="GG170" s="21">
        <v>38.102833644112131</v>
      </c>
      <c r="GH170" s="21">
        <v>77.798261528324744</v>
      </c>
      <c r="GI170" s="21">
        <v>0.71563889922991508</v>
      </c>
      <c r="GJ170" s="21">
        <v>0.89376234417284817</v>
      </c>
      <c r="GK170" s="21">
        <v>2.0433103208672905</v>
      </c>
      <c r="GL170" s="21">
        <v>3.1682685087104154</v>
      </c>
      <c r="GM170" s="21">
        <v>42.095092202292079</v>
      </c>
      <c r="GN170" s="21">
        <v>0.77839593501104687</v>
      </c>
      <c r="GO170" s="21">
        <v>1.3553533079874966</v>
      </c>
      <c r="GP170" s="21">
        <v>2.3742478732497676</v>
      </c>
      <c r="GQ170" s="21">
        <v>5.8621071055176186</v>
      </c>
      <c r="GR170" s="21">
        <v>186.53591618341929</v>
      </c>
      <c r="GS170" s="21"/>
      <c r="GT170" s="21"/>
      <c r="GU170" s="21"/>
      <c r="GV170" s="21"/>
      <c r="GW170" s="21"/>
      <c r="GX170" s="21">
        <v>0</v>
      </c>
      <c r="GY170" s="21">
        <v>0</v>
      </c>
      <c r="GZ170" s="21"/>
      <c r="HA170" s="21">
        <v>0.7525613367504177</v>
      </c>
      <c r="HB170" s="21">
        <f t="shared" si="2"/>
        <v>422.18590243622003</v>
      </c>
    </row>
    <row r="171" spans="1:210" x14ac:dyDescent="0.75">
      <c r="A171" s="67" t="s">
        <v>746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69">
        <v>0</v>
      </c>
      <c r="AD171" s="21"/>
      <c r="AE171" s="21"/>
      <c r="AF171" s="69">
        <v>0</v>
      </c>
      <c r="AG171" s="21"/>
      <c r="AH171" s="21"/>
      <c r="AI171" s="69">
        <v>0</v>
      </c>
      <c r="AJ171" s="21"/>
      <c r="AK171" s="21"/>
      <c r="AL171" s="21"/>
      <c r="AM171" s="21"/>
      <c r="AN171" s="21"/>
      <c r="AO171" s="21"/>
      <c r="AP171" s="21"/>
      <c r="AQ171" s="21"/>
      <c r="AR171" s="69">
        <v>0</v>
      </c>
      <c r="AS171" s="21"/>
      <c r="AT171" s="21"/>
      <c r="AU171" s="21"/>
      <c r="AV171" s="21"/>
      <c r="AW171" s="21"/>
      <c r="AX171" s="21"/>
      <c r="AY171" s="21"/>
      <c r="AZ171" s="21"/>
      <c r="BA171" s="21"/>
      <c r="BB171" s="69">
        <v>0</v>
      </c>
      <c r="BC171" s="21"/>
      <c r="BD171" s="21"/>
      <c r="BE171" s="21"/>
      <c r="BF171" s="21"/>
      <c r="BG171" s="69">
        <v>0</v>
      </c>
      <c r="BH171" s="21"/>
      <c r="BI171" s="69">
        <v>0</v>
      </c>
      <c r="BJ171" s="21"/>
      <c r="BK171" s="69">
        <v>0</v>
      </c>
      <c r="BL171" s="69">
        <v>0</v>
      </c>
      <c r="BM171" s="21"/>
      <c r="BN171" s="21"/>
      <c r="BO171" s="69">
        <v>0</v>
      </c>
      <c r="BP171" s="21"/>
      <c r="BQ171" s="21"/>
      <c r="BR171" s="21"/>
      <c r="BS171" s="21"/>
      <c r="BT171" s="21"/>
      <c r="BU171" s="21"/>
      <c r="BV171" s="69">
        <v>0</v>
      </c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69">
        <v>0</v>
      </c>
      <c r="DH171" s="21"/>
      <c r="DI171" s="21"/>
      <c r="DJ171" s="69">
        <v>0</v>
      </c>
      <c r="DK171" s="21"/>
      <c r="DL171" s="21"/>
      <c r="DM171" s="69">
        <v>0</v>
      </c>
      <c r="DN171" s="21"/>
      <c r="DO171" s="21"/>
      <c r="DP171" s="21"/>
      <c r="DQ171" s="21"/>
      <c r="DR171" s="21"/>
      <c r="DS171" s="21"/>
      <c r="DT171" s="21"/>
      <c r="DU171" s="21"/>
      <c r="DV171" s="21"/>
      <c r="DW171" s="69">
        <v>0</v>
      </c>
      <c r="DX171" s="21"/>
      <c r="DY171" s="21"/>
      <c r="DZ171" s="21"/>
      <c r="EA171" s="21"/>
      <c r="EB171" s="21"/>
      <c r="EC171" s="21"/>
      <c r="ED171" s="21"/>
      <c r="EE171" s="21"/>
      <c r="EF171" s="21"/>
      <c r="EG171" s="69">
        <v>0</v>
      </c>
      <c r="EH171" s="21"/>
      <c r="EI171" s="21"/>
      <c r="EJ171" s="21"/>
      <c r="EK171" s="21"/>
      <c r="EL171" s="69">
        <v>0</v>
      </c>
      <c r="EM171" s="21"/>
      <c r="EN171" s="69">
        <v>0</v>
      </c>
      <c r="EO171" s="21"/>
      <c r="EP171" s="69">
        <v>0</v>
      </c>
      <c r="EQ171" s="69">
        <v>0</v>
      </c>
      <c r="ER171" s="21"/>
      <c r="ES171" s="21"/>
      <c r="ET171" s="69">
        <v>0</v>
      </c>
      <c r="EU171" s="21"/>
      <c r="EV171" s="21"/>
      <c r="EW171" s="21"/>
      <c r="EX171" s="21"/>
      <c r="EY171" s="21"/>
      <c r="EZ171" s="21"/>
      <c r="FA171" s="69">
        <v>0</v>
      </c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>
        <v>0.16115949674614335</v>
      </c>
      <c r="GF171" s="21">
        <v>0.31841838747043077</v>
      </c>
      <c r="GG171" s="21">
        <v>0.9422195969211361</v>
      </c>
      <c r="GH171" s="21">
        <v>3.7296266408141272</v>
      </c>
      <c r="GI171" s="21">
        <v>8.5173520651942187E-3</v>
      </c>
      <c r="GJ171" s="21">
        <v>1.5401865308699417E-2</v>
      </c>
      <c r="GK171" s="21">
        <v>5.2124814460556806E-2</v>
      </c>
      <c r="GL171" s="21">
        <v>0.21151416557216848</v>
      </c>
      <c r="GM171" s="21">
        <v>3.2236872101203655</v>
      </c>
      <c r="GN171" s="21"/>
      <c r="GO171" s="21">
        <v>1.1382898261358179E-2</v>
      </c>
      <c r="GP171" s="21">
        <v>3.9947143471621406E-2</v>
      </c>
      <c r="GQ171" s="21">
        <v>0.11670659986926489</v>
      </c>
      <c r="GR171" s="21">
        <v>16.581412325568525</v>
      </c>
      <c r="GS171" s="21"/>
      <c r="GT171" s="21"/>
      <c r="GU171" s="21"/>
      <c r="GV171" s="21"/>
      <c r="GW171" s="21"/>
      <c r="GX171" s="21">
        <v>0</v>
      </c>
      <c r="GY171" s="21">
        <v>0</v>
      </c>
      <c r="GZ171" s="21"/>
      <c r="HA171" s="21"/>
      <c r="HB171" s="21">
        <f t="shared" si="2"/>
        <v>25.41211849664959</v>
      </c>
    </row>
    <row r="172" spans="1:210" x14ac:dyDescent="0.75">
      <c r="A172" s="67" t="s">
        <v>747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69">
        <v>0</v>
      </c>
      <c r="AD172" s="21"/>
      <c r="AE172" s="21"/>
      <c r="AF172" s="69">
        <v>0</v>
      </c>
      <c r="AG172" s="21"/>
      <c r="AH172" s="21"/>
      <c r="AI172" s="69">
        <v>4.5489006580545261</v>
      </c>
      <c r="AJ172" s="21">
        <v>4.7826667552240067</v>
      </c>
      <c r="AK172" s="21">
        <v>0.76072405074030813</v>
      </c>
      <c r="AL172" s="21">
        <v>0.51682261339269975</v>
      </c>
      <c r="AM172" s="21">
        <v>0.22391462665190767</v>
      </c>
      <c r="AN172" s="21">
        <v>17.219931526935977</v>
      </c>
      <c r="AO172" s="21">
        <v>3.1652358872743314</v>
      </c>
      <c r="AP172" s="21">
        <v>1.6100145710606764E-2</v>
      </c>
      <c r="AQ172" s="21">
        <v>4.0244967513232455</v>
      </c>
      <c r="AR172" s="69">
        <v>9.6132372813087699</v>
      </c>
      <c r="AS172" s="21">
        <v>0.11552050932832413</v>
      </c>
      <c r="AT172" s="21">
        <v>2.1405892810851785</v>
      </c>
      <c r="AU172" s="21">
        <v>1.0335946307138828</v>
      </c>
      <c r="AV172" s="21">
        <v>0.82891751133594893</v>
      </c>
      <c r="AW172" s="21">
        <v>2.2936776778743765E-3</v>
      </c>
      <c r="AX172" s="21">
        <v>2.5495147778674538</v>
      </c>
      <c r="AY172" s="21">
        <v>9.2829280418229076E-2</v>
      </c>
      <c r="AZ172" s="21">
        <v>0.60147965292443606</v>
      </c>
      <c r="BA172" s="21">
        <v>0.30086195598559562</v>
      </c>
      <c r="BB172" s="69">
        <v>2.4508999717921602</v>
      </c>
      <c r="BC172" s="21">
        <v>5.3668024421611955</v>
      </c>
      <c r="BD172" s="21">
        <v>0.28120856570592156</v>
      </c>
      <c r="BE172" s="21">
        <v>0.25691600068464637</v>
      </c>
      <c r="BF172" s="21">
        <v>0.80337626779534432</v>
      </c>
      <c r="BG172" s="69">
        <v>0.603426130143351</v>
      </c>
      <c r="BH172" s="21">
        <v>4.680469011761673</v>
      </c>
      <c r="BI172" s="69">
        <v>1.2792944552560777</v>
      </c>
      <c r="BJ172" s="21">
        <v>47.354532510247374</v>
      </c>
      <c r="BK172" s="69">
        <v>28.478772675070683</v>
      </c>
      <c r="BL172" s="69">
        <v>18.601647358505105</v>
      </c>
      <c r="BM172" s="21">
        <v>0.36951842979393634</v>
      </c>
      <c r="BN172" s="21">
        <v>22.541856076933691</v>
      </c>
      <c r="BO172" s="69">
        <v>6.6735103714969686</v>
      </c>
      <c r="BP172" s="21">
        <v>0.97629113144869006</v>
      </c>
      <c r="BQ172" s="21">
        <v>3.5154231995070844</v>
      </c>
      <c r="BR172" s="21">
        <v>0.57692140393592251</v>
      </c>
      <c r="BS172" s="21">
        <v>2.9315976876760717</v>
      </c>
      <c r="BT172" s="21"/>
      <c r="BU172" s="21">
        <v>1.1514578274625706</v>
      </c>
      <c r="BV172" s="69">
        <v>3.6923574664426138</v>
      </c>
      <c r="BW172" s="21"/>
      <c r="BX172" s="21">
        <v>3.4476763697968735</v>
      </c>
      <c r="BY172" s="21">
        <v>1.1964353377677417</v>
      </c>
      <c r="BZ172" s="21">
        <v>4.9548448507012462E-2</v>
      </c>
      <c r="CA172" s="21">
        <v>0.17853330137535292</v>
      </c>
      <c r="CB172" s="21">
        <v>0.16601917461674204</v>
      </c>
      <c r="CC172" s="21">
        <v>5.3664332909387653</v>
      </c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69">
        <v>0</v>
      </c>
      <c r="DH172" s="21"/>
      <c r="DI172" s="21"/>
      <c r="DJ172" s="69">
        <v>0</v>
      </c>
      <c r="DK172" s="21"/>
      <c r="DL172" s="21"/>
      <c r="DM172" s="69">
        <v>0</v>
      </c>
      <c r="DN172" s="21"/>
      <c r="DO172" s="21"/>
      <c r="DP172" s="21"/>
      <c r="DQ172" s="21"/>
      <c r="DR172" s="21"/>
      <c r="DS172" s="21"/>
      <c r="DT172" s="21"/>
      <c r="DU172" s="21"/>
      <c r="DV172" s="21"/>
      <c r="DW172" s="69">
        <v>0</v>
      </c>
      <c r="DX172" s="21"/>
      <c r="DY172" s="21"/>
      <c r="DZ172" s="21"/>
      <c r="EA172" s="21"/>
      <c r="EB172" s="21"/>
      <c r="EC172" s="21"/>
      <c r="ED172" s="21"/>
      <c r="EE172" s="21"/>
      <c r="EF172" s="21"/>
      <c r="EG172" s="69">
        <v>0</v>
      </c>
      <c r="EH172" s="21"/>
      <c r="EI172" s="21"/>
      <c r="EJ172" s="21"/>
      <c r="EK172" s="21"/>
      <c r="EL172" s="69">
        <v>0</v>
      </c>
      <c r="EM172" s="21"/>
      <c r="EN172" s="69">
        <v>0</v>
      </c>
      <c r="EO172" s="21"/>
      <c r="EP172" s="69">
        <v>0</v>
      </c>
      <c r="EQ172" s="69">
        <v>0</v>
      </c>
      <c r="ER172" s="21"/>
      <c r="ES172" s="21"/>
      <c r="ET172" s="69">
        <v>0</v>
      </c>
      <c r="EU172" s="21"/>
      <c r="EV172" s="21"/>
      <c r="EW172" s="21"/>
      <c r="EX172" s="21"/>
      <c r="EY172" s="21"/>
      <c r="EZ172" s="21"/>
      <c r="FA172" s="69">
        <v>0</v>
      </c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>
        <v>-10.996569499513376</v>
      </c>
      <c r="GE172" s="21">
        <v>-17.213161971321519</v>
      </c>
      <c r="GF172" s="21">
        <v>-22.958735542987771</v>
      </c>
      <c r="GG172" s="21">
        <v>-31.155183877130096</v>
      </c>
      <c r="GH172" s="21">
        <v>-39.792428882069572</v>
      </c>
      <c r="GI172" s="21">
        <v>-0.96844749709411115</v>
      </c>
      <c r="GJ172" s="21">
        <v>-1.4166067921115895</v>
      </c>
      <c r="GK172" s="21">
        <v>-2.2313978387595355</v>
      </c>
      <c r="GL172" s="21">
        <v>-3.8368837262702891</v>
      </c>
      <c r="GM172" s="21">
        <v>-20.507770511527312</v>
      </c>
      <c r="GN172" s="21">
        <v>-1.0445761427530995</v>
      </c>
      <c r="GO172" s="21">
        <v>-1.4722149703335365</v>
      </c>
      <c r="GP172" s="21">
        <v>-2.5218108556445746</v>
      </c>
      <c r="GQ172" s="21">
        <v>-6.5086361791993559</v>
      </c>
      <c r="GR172" s="21">
        <v>-65.688319148453033</v>
      </c>
      <c r="GS172" s="21"/>
      <c r="GT172" s="21"/>
      <c r="GU172" s="21"/>
      <c r="GV172" s="21"/>
      <c r="GW172" s="21"/>
      <c r="GX172" s="21">
        <v>0</v>
      </c>
      <c r="GY172" s="21">
        <v>0</v>
      </c>
      <c r="GZ172" s="21"/>
      <c r="HA172" s="21">
        <v>316.05534385600868</v>
      </c>
      <c r="HB172" s="21">
        <f t="shared" si="2"/>
        <v>303.27115690161679</v>
      </c>
    </row>
    <row r="173" spans="1:210" x14ac:dyDescent="0.75">
      <c r="A173" s="67" t="s">
        <v>69</v>
      </c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69">
        <v>0</v>
      </c>
      <c r="AD173" s="21"/>
      <c r="AE173" s="21"/>
      <c r="AF173" s="69">
        <v>0</v>
      </c>
      <c r="AG173" s="21"/>
      <c r="AH173" s="21"/>
      <c r="AI173" s="69">
        <v>0</v>
      </c>
      <c r="AJ173" s="21"/>
      <c r="AK173" s="21"/>
      <c r="AL173" s="21"/>
      <c r="AM173" s="21"/>
      <c r="AN173" s="21"/>
      <c r="AO173" s="21"/>
      <c r="AP173" s="21"/>
      <c r="AQ173" s="21"/>
      <c r="AR173" s="69">
        <v>0</v>
      </c>
      <c r="AS173" s="21"/>
      <c r="AT173" s="21"/>
      <c r="AU173" s="21"/>
      <c r="AV173" s="21"/>
      <c r="AW173" s="21"/>
      <c r="AX173" s="21"/>
      <c r="AY173" s="21"/>
      <c r="AZ173" s="21"/>
      <c r="BA173" s="21"/>
      <c r="BB173" s="69">
        <v>0</v>
      </c>
      <c r="BC173" s="21"/>
      <c r="BD173" s="21"/>
      <c r="BE173" s="21"/>
      <c r="BF173" s="21"/>
      <c r="BG173" s="69">
        <v>0</v>
      </c>
      <c r="BH173" s="21"/>
      <c r="BI173" s="69">
        <v>0</v>
      </c>
      <c r="BJ173" s="21"/>
      <c r="BK173" s="69">
        <v>0</v>
      </c>
      <c r="BL173" s="69">
        <v>0</v>
      </c>
      <c r="BM173" s="21"/>
      <c r="BN173" s="21"/>
      <c r="BO173" s="69">
        <v>0</v>
      </c>
      <c r="BP173" s="21"/>
      <c r="BQ173" s="21"/>
      <c r="BR173" s="21"/>
      <c r="BS173" s="21"/>
      <c r="BT173" s="21"/>
      <c r="BU173" s="21"/>
      <c r="BV173" s="69">
        <v>0</v>
      </c>
      <c r="BW173" s="21"/>
      <c r="BX173" s="21"/>
      <c r="BY173" s="21"/>
      <c r="BZ173" s="21"/>
      <c r="CA173" s="21"/>
      <c r="CB173" s="21"/>
      <c r="CC173" s="21"/>
      <c r="CD173" s="21"/>
      <c r="CE173" s="21">
        <v>0.52383662899702055</v>
      </c>
      <c r="CF173" s="21">
        <v>1.1549749439541743</v>
      </c>
      <c r="CG173" s="21">
        <v>0.71543076777466019</v>
      </c>
      <c r="CH173" s="21">
        <v>0.8229195556845792</v>
      </c>
      <c r="CI173" s="21">
        <v>4.62514242385135E-2</v>
      </c>
      <c r="CJ173" s="21">
        <v>9.5065863362150171</v>
      </c>
      <c r="CK173" s="21">
        <v>4.6469358127180636</v>
      </c>
      <c r="CL173" s="21">
        <v>8.8067267957803175</v>
      </c>
      <c r="CM173" s="21">
        <v>0.57213166142638161</v>
      </c>
      <c r="CN173" s="21">
        <v>9.6218230552297079</v>
      </c>
      <c r="CO173" s="21">
        <v>1.1358549854535971</v>
      </c>
      <c r="CP173" s="21">
        <v>8.785664945125859</v>
      </c>
      <c r="CQ173" s="21">
        <v>1.0847306038411613</v>
      </c>
      <c r="CR173" s="21">
        <v>7.831985652019064</v>
      </c>
      <c r="CS173" s="21">
        <v>1.8105313232238027</v>
      </c>
      <c r="CT173" s="21">
        <v>1.7582471982096821</v>
      </c>
      <c r="CU173" s="21">
        <v>0.99499505464627513</v>
      </c>
      <c r="CV173" s="21">
        <v>0.27854055617767565</v>
      </c>
      <c r="CW173" s="21">
        <v>6.3563087401005469E-2</v>
      </c>
      <c r="CX173" s="21">
        <v>0.14969882294894712</v>
      </c>
      <c r="CY173" s="21">
        <v>0.29673674270995859</v>
      </c>
      <c r="CZ173" s="21">
        <v>4.9598798564040189E-2</v>
      </c>
      <c r="DA173" s="21">
        <v>6.1554875147637154E-2</v>
      </c>
      <c r="DB173" s="21">
        <v>6.4733156223136898E-2</v>
      </c>
      <c r="DC173" s="21">
        <v>0.42041890987160535</v>
      </c>
      <c r="DD173" s="21">
        <v>1.0569370873075248</v>
      </c>
      <c r="DE173" s="21">
        <v>0.3753615532732244</v>
      </c>
      <c r="DF173" s="21">
        <v>0.18413671140957963</v>
      </c>
      <c r="DG173" s="69">
        <v>0.18612090225542943</v>
      </c>
      <c r="DH173" s="21">
        <v>0.29981971181679262</v>
      </c>
      <c r="DI173" s="21">
        <v>1.3819731605214305</v>
      </c>
      <c r="DJ173" s="69">
        <v>22.982260595931599</v>
      </c>
      <c r="DK173" s="21">
        <v>2.1983502554127612</v>
      </c>
      <c r="DL173" s="21">
        <v>6.7060970410427717E-2</v>
      </c>
      <c r="DM173" s="69">
        <v>126.73344119524909</v>
      </c>
      <c r="DN173" s="21">
        <v>6.4466208350596412</v>
      </c>
      <c r="DO173" s="21">
        <v>1.6955581286219421</v>
      </c>
      <c r="DP173" s="21">
        <v>1.6400228357105313</v>
      </c>
      <c r="DQ173" s="21">
        <v>4.707564902561753</v>
      </c>
      <c r="DR173" s="21">
        <v>0.809485017777136</v>
      </c>
      <c r="DS173" s="21">
        <v>26.569941617650841</v>
      </c>
      <c r="DT173" s="21">
        <v>4.5695268009465231</v>
      </c>
      <c r="DU173" s="21">
        <v>0.63889903305734297</v>
      </c>
      <c r="DV173" s="21">
        <v>17.82652151079586</v>
      </c>
      <c r="DW173" s="69">
        <v>49.176648945382318</v>
      </c>
      <c r="DX173" s="21">
        <v>1.7723898668879645</v>
      </c>
      <c r="DY173" s="21">
        <v>209.8946630021814</v>
      </c>
      <c r="DZ173" s="21">
        <v>6.8494117796910077</v>
      </c>
      <c r="EA173" s="21">
        <v>3.567005667588599</v>
      </c>
      <c r="EB173" s="21">
        <v>81.661543288015835</v>
      </c>
      <c r="EC173" s="21">
        <v>57.290998587735714</v>
      </c>
      <c r="ED173" s="21">
        <v>29.718093657991023</v>
      </c>
      <c r="EE173" s="21">
        <v>23.255265179231497</v>
      </c>
      <c r="EF173" s="21">
        <v>6.9577139149904923</v>
      </c>
      <c r="EG173" s="69">
        <v>33.13010191732608</v>
      </c>
      <c r="EH173" s="21">
        <v>49.470309627779372</v>
      </c>
      <c r="EI173" s="21">
        <v>129.03054401319434</v>
      </c>
      <c r="EJ173" s="21">
        <v>71.854746217440962</v>
      </c>
      <c r="EK173" s="21">
        <v>5.8061909389178021</v>
      </c>
      <c r="EL173" s="69">
        <v>16.391347386010555</v>
      </c>
      <c r="EM173" s="21"/>
      <c r="EN173" s="69">
        <v>0</v>
      </c>
      <c r="EO173" s="21"/>
      <c r="EP173" s="69">
        <v>0</v>
      </c>
      <c r="EQ173" s="69">
        <v>0</v>
      </c>
      <c r="ER173" s="21"/>
      <c r="ES173" s="21"/>
      <c r="ET173" s="69">
        <v>0</v>
      </c>
      <c r="EU173" s="21"/>
      <c r="EV173" s="21"/>
      <c r="EW173" s="21"/>
      <c r="EX173" s="21"/>
      <c r="EY173" s="21"/>
      <c r="EZ173" s="21"/>
      <c r="FA173" s="69">
        <v>0</v>
      </c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>
        <v>0</v>
      </c>
      <c r="GY173" s="21">
        <v>0</v>
      </c>
      <c r="GZ173" s="21"/>
      <c r="HA173" s="21"/>
      <c r="HB173" s="21">
        <f t="shared" si="2"/>
        <v>1057.401048509716</v>
      </c>
    </row>
    <row r="174" spans="1:210" x14ac:dyDescent="0.75">
      <c r="A174" s="67" t="s">
        <v>541</v>
      </c>
      <c r="B174" s="21">
        <v>8.7838613899291911</v>
      </c>
      <c r="C174" s="21">
        <v>20.478504951450084</v>
      </c>
      <c r="D174" s="21">
        <v>0.72432016638213126</v>
      </c>
      <c r="E174" s="21">
        <v>12.696165093085812</v>
      </c>
      <c r="F174" s="21">
        <v>6.1203299820686605E-2</v>
      </c>
      <c r="G174" s="21">
        <v>35.124293635303324</v>
      </c>
      <c r="H174" s="21">
        <v>31.128001768737594</v>
      </c>
      <c r="I174" s="21">
        <v>24.21667720531309</v>
      </c>
      <c r="J174" s="21">
        <v>4.6211699818979026</v>
      </c>
      <c r="K174" s="21">
        <v>52.960053112746486</v>
      </c>
      <c r="L174" s="21">
        <v>4.9022310637985562</v>
      </c>
      <c r="M174" s="21">
        <v>38.542521817293306</v>
      </c>
      <c r="N174" s="21">
        <v>17.756822407864096</v>
      </c>
      <c r="O174" s="21">
        <v>30.033415360280454</v>
      </c>
      <c r="P174" s="21">
        <v>5.3602116691321999</v>
      </c>
      <c r="Q174" s="21">
        <v>6.476766522463107</v>
      </c>
      <c r="R174" s="21">
        <v>2.0070968034513106</v>
      </c>
      <c r="S174" s="21">
        <v>0.64724988806243666</v>
      </c>
      <c r="T174" s="21">
        <v>25.638885995407293</v>
      </c>
      <c r="U174" s="21">
        <v>7.6257253809239849</v>
      </c>
      <c r="V174" s="21">
        <v>0.98605052594761211</v>
      </c>
      <c r="W174" s="21">
        <v>1.6719516631919138</v>
      </c>
      <c r="X174" s="21">
        <v>1.2613017214582243</v>
      </c>
      <c r="Y174" s="21">
        <v>7.2641258010937051</v>
      </c>
      <c r="Z174" s="21">
        <v>16.058870853219819</v>
      </c>
      <c r="AA174" s="21">
        <v>7.6525662647647748</v>
      </c>
      <c r="AB174" s="21">
        <v>2.6146107602365882</v>
      </c>
      <c r="AC174" s="69">
        <v>1.3591747622545316</v>
      </c>
      <c r="AD174" s="21">
        <v>3.7263143475643394</v>
      </c>
      <c r="AE174" s="21">
        <v>1.9730130013902427</v>
      </c>
      <c r="AF174" s="69">
        <v>89.339956143368241</v>
      </c>
      <c r="AG174" s="21">
        <v>9.8498095292623891</v>
      </c>
      <c r="AH174" s="21">
        <v>1.1967473103763979E-2</v>
      </c>
      <c r="AI174" s="69">
        <v>28.617573922261393</v>
      </c>
      <c r="AJ174" s="21">
        <v>2.4472168544527908</v>
      </c>
      <c r="AK174" s="21">
        <v>0.7253315233581531</v>
      </c>
      <c r="AL174" s="21">
        <v>1.0502189975305694</v>
      </c>
      <c r="AM174" s="21">
        <v>0.36220043643339583</v>
      </c>
      <c r="AN174" s="21">
        <v>14.965688636876127</v>
      </c>
      <c r="AO174" s="21">
        <v>1.711899705561658</v>
      </c>
      <c r="AP174" s="21">
        <v>0.48895658830431193</v>
      </c>
      <c r="AQ174" s="21">
        <v>5.8840773628802934</v>
      </c>
      <c r="AR174" s="69">
        <v>3.8598531919704842</v>
      </c>
      <c r="AS174" s="21">
        <v>0.37282884779941183</v>
      </c>
      <c r="AT174" s="21">
        <v>2.8695793316907565</v>
      </c>
      <c r="AU174" s="21">
        <v>1.8673035377399141</v>
      </c>
      <c r="AV174" s="21">
        <v>8.5411675899308273E-2</v>
      </c>
      <c r="AW174" s="21">
        <v>2.7459016600883345E-3</v>
      </c>
      <c r="AX174" s="21">
        <v>0.31010638233359644</v>
      </c>
      <c r="AY174" s="21">
        <v>6.9548905397323418E-2</v>
      </c>
      <c r="AZ174" s="21">
        <v>4.5155521743714254E-2</v>
      </c>
      <c r="BA174" s="21">
        <v>0.1699244542134544</v>
      </c>
      <c r="BB174" s="69">
        <v>2.4187917154520542</v>
      </c>
      <c r="BC174" s="21">
        <v>1.2055464662584456</v>
      </c>
      <c r="BD174" s="21">
        <v>0.52456978155120559</v>
      </c>
      <c r="BE174" s="21">
        <v>0.27502047313025457</v>
      </c>
      <c r="BF174" s="21">
        <v>0.61980487760554814</v>
      </c>
      <c r="BG174" s="69">
        <v>0.81554733460019668</v>
      </c>
      <c r="BH174" s="21">
        <v>1.9315129144817826</v>
      </c>
      <c r="BI174" s="69">
        <v>0.88768852363984574</v>
      </c>
      <c r="BJ174" s="21">
        <v>55.031786817564772</v>
      </c>
      <c r="BK174" s="69">
        <v>34.302292325149118</v>
      </c>
      <c r="BL174" s="69">
        <v>18.010175039561524</v>
      </c>
      <c r="BM174" s="21">
        <v>0.30717162073508791</v>
      </c>
      <c r="BN174" s="21">
        <v>2.3515362999620986</v>
      </c>
      <c r="BO174" s="69">
        <v>0.27690704655902482</v>
      </c>
      <c r="BP174" s="21">
        <v>4.0815897525576836E-2</v>
      </c>
      <c r="BQ174" s="21">
        <v>6.7238952712639105E-2</v>
      </c>
      <c r="BR174" s="21">
        <v>2.9682116143357393E-2</v>
      </c>
      <c r="BS174" s="21">
        <v>0.11596157463198249</v>
      </c>
      <c r="BT174" s="21"/>
      <c r="BU174" s="21"/>
      <c r="BV174" s="69">
        <v>11.061051253489877</v>
      </c>
      <c r="BW174" s="21">
        <v>10.458910790998928</v>
      </c>
      <c r="BX174" s="21">
        <v>1.6507509244951173</v>
      </c>
      <c r="BY174" s="21">
        <v>0.74623097633164182</v>
      </c>
      <c r="BZ174" s="21">
        <v>1.7456711463947304E-2</v>
      </c>
      <c r="CA174" s="21">
        <v>0.3845667620289831</v>
      </c>
      <c r="CB174" s="21">
        <v>6.9330718590603066E-2</v>
      </c>
      <c r="CC174" s="21">
        <v>9.0518421890636223</v>
      </c>
      <c r="CD174" s="21">
        <v>2.3122288396513326</v>
      </c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69">
        <v>0</v>
      </c>
      <c r="DH174" s="21"/>
      <c r="DI174" s="21"/>
      <c r="DJ174" s="69">
        <v>0</v>
      </c>
      <c r="DK174" s="21"/>
      <c r="DL174" s="21"/>
      <c r="DM174" s="69">
        <v>0</v>
      </c>
      <c r="DN174" s="21"/>
      <c r="DO174" s="21"/>
      <c r="DP174" s="21"/>
      <c r="DQ174" s="21"/>
      <c r="DR174" s="21"/>
      <c r="DS174" s="21"/>
      <c r="DT174" s="21"/>
      <c r="DU174" s="21"/>
      <c r="DV174" s="21"/>
      <c r="DW174" s="69">
        <v>0</v>
      </c>
      <c r="DX174" s="21"/>
      <c r="DY174" s="21"/>
      <c r="DZ174" s="21"/>
      <c r="EA174" s="21"/>
      <c r="EB174" s="21"/>
      <c r="EC174" s="21"/>
      <c r="ED174" s="21"/>
      <c r="EE174" s="21"/>
      <c r="EF174" s="21"/>
      <c r="EG174" s="69">
        <v>0</v>
      </c>
      <c r="EH174" s="21"/>
      <c r="EI174" s="21"/>
      <c r="EJ174" s="21"/>
      <c r="EK174" s="21"/>
      <c r="EL174" s="69">
        <v>0</v>
      </c>
      <c r="EM174" s="21"/>
      <c r="EN174" s="69">
        <v>0</v>
      </c>
      <c r="EO174" s="21"/>
      <c r="EP174" s="69">
        <v>0</v>
      </c>
      <c r="EQ174" s="69">
        <v>0</v>
      </c>
      <c r="ER174" s="21"/>
      <c r="ES174" s="21"/>
      <c r="ET174" s="69">
        <v>0</v>
      </c>
      <c r="EU174" s="21"/>
      <c r="EV174" s="21"/>
      <c r="EW174" s="21"/>
      <c r="EX174" s="21"/>
      <c r="EY174" s="21"/>
      <c r="EZ174" s="21"/>
      <c r="FA174" s="69">
        <v>0</v>
      </c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>
        <v>0</v>
      </c>
      <c r="GY174" s="21">
        <v>0</v>
      </c>
      <c r="GZ174" s="21"/>
      <c r="HA174" s="21">
        <v>1.1445362658742457</v>
      </c>
      <c r="HB174" s="21">
        <f t="shared" si="2"/>
        <v>695.56946734755854</v>
      </c>
    </row>
    <row r="175" spans="1:210" x14ac:dyDescent="0.75">
      <c r="A175" s="67" t="s">
        <v>542</v>
      </c>
      <c r="B175" s="21">
        <v>6.4492706788222431</v>
      </c>
      <c r="C175" s="21">
        <v>15.035690531378913</v>
      </c>
      <c r="D175" s="21">
        <v>0.53180903064837459</v>
      </c>
      <c r="E175" s="21">
        <v>9.3217551636461859</v>
      </c>
      <c r="F175" s="21">
        <v>4.4936575095921756E-2</v>
      </c>
      <c r="G175" s="21">
        <v>28.363093431852366</v>
      </c>
      <c r="H175" s="21">
        <v>25.13606199972612</v>
      </c>
      <c r="I175" s="21">
        <v>19.555122882042635</v>
      </c>
      <c r="J175" s="21">
        <v>3.7316245366227943</v>
      </c>
      <c r="K175" s="21">
        <v>39.655078815968565</v>
      </c>
      <c r="L175" s="21">
        <v>3.6706602010984986</v>
      </c>
      <c r="M175" s="21">
        <v>28.859614947461129</v>
      </c>
      <c r="N175" s="21">
        <v>15.381612236651764</v>
      </c>
      <c r="O175" s="21">
        <v>26.016048288546386</v>
      </c>
      <c r="P175" s="21">
        <v>4.6432123668958214</v>
      </c>
      <c r="Q175" s="21">
        <v>5.6104132207648929</v>
      </c>
      <c r="R175" s="21">
        <v>1.5240093289558956</v>
      </c>
      <c r="S175" s="21">
        <v>0.49146352377056224</v>
      </c>
      <c r="T175" s="21">
        <v>23.461648747129647</v>
      </c>
      <c r="U175" s="21">
        <v>6.9781538231169069</v>
      </c>
      <c r="V175" s="21">
        <v>0.8583473451942214</v>
      </c>
      <c r="W175" s="21">
        <v>1.4554175811778722</v>
      </c>
      <c r="X175" s="21">
        <v>1.0979508205851181</v>
      </c>
      <c r="Y175" s="21">
        <v>6.3233505103945307</v>
      </c>
      <c r="Z175" s="21">
        <v>10.599847316932637</v>
      </c>
      <c r="AA175" s="21">
        <v>5.5617334669506295</v>
      </c>
      <c r="AB175" s="21">
        <v>1.4037692585082533</v>
      </c>
      <c r="AC175" s="69">
        <v>0.98782127473652837</v>
      </c>
      <c r="AD175" s="21">
        <v>2.54032947171941</v>
      </c>
      <c r="AE175" s="21">
        <v>2.0364230150610916</v>
      </c>
      <c r="AF175" s="69">
        <v>112.44873100286136</v>
      </c>
      <c r="AG175" s="21">
        <v>8.1887879657728799</v>
      </c>
      <c r="AH175" s="21">
        <v>1.8705643546936164E-2</v>
      </c>
      <c r="AI175" s="69">
        <v>44.730423233585796</v>
      </c>
      <c r="AJ175" s="21">
        <v>4.4145590591335617</v>
      </c>
      <c r="AK175" s="21">
        <v>1.3084328188937175</v>
      </c>
      <c r="AL175" s="21">
        <v>1.8945005961310408</v>
      </c>
      <c r="AM175" s="21">
        <v>0.65337700456329662</v>
      </c>
      <c r="AN175" s="21">
        <v>26.996756020163392</v>
      </c>
      <c r="AO175" s="21">
        <v>3.0881130700634776</v>
      </c>
      <c r="AP175" s="21">
        <v>0.88203369983102564</v>
      </c>
      <c r="AQ175" s="21">
        <v>10.614346243849399</v>
      </c>
      <c r="AR175" s="69">
        <v>11.705710429193996</v>
      </c>
      <c r="AS175" s="21">
        <v>1.1306716382552326</v>
      </c>
      <c r="AT175" s="21">
        <v>5.1477605358727656</v>
      </c>
      <c r="AU175" s="21">
        <v>1.4925045571381532</v>
      </c>
      <c r="AV175" s="21">
        <v>6.8268127241282034E-2</v>
      </c>
      <c r="AW175" s="21">
        <v>3.0672321789980885E-3</v>
      </c>
      <c r="AX175" s="21">
        <v>0.34639560790960472</v>
      </c>
      <c r="AY175" s="21">
        <v>7.7687647649370556E-2</v>
      </c>
      <c r="AZ175" s="21">
        <v>5.0439704875415194E-2</v>
      </c>
      <c r="BA175" s="21">
        <v>0.18980932985976923</v>
      </c>
      <c r="BB175" s="69">
        <v>2.7018432203030396</v>
      </c>
      <c r="BC175" s="21">
        <v>1.5753949594787744</v>
      </c>
      <c r="BD175" s="21">
        <v>0.68550206307310113</v>
      </c>
      <c r="BE175" s="21">
        <v>0.35939375150554087</v>
      </c>
      <c r="BF175" s="21">
        <v>3.711555659148952</v>
      </c>
      <c r="BG175" s="69">
        <v>4.883713301407079</v>
      </c>
      <c r="BH175" s="21">
        <v>2.3489491571350962</v>
      </c>
      <c r="BI175" s="69">
        <v>1.0795346972669595</v>
      </c>
      <c r="BJ175" s="21">
        <v>102.38681373486703</v>
      </c>
      <c r="BK175" s="69">
        <v>31.503473090515204</v>
      </c>
      <c r="BL175" s="69">
        <v>19.607914633117588</v>
      </c>
      <c r="BM175" s="21">
        <v>0.33442178678773193</v>
      </c>
      <c r="BN175" s="21">
        <v>7.6278159359071225</v>
      </c>
      <c r="BO175" s="69">
        <v>0.32855540202911349</v>
      </c>
      <c r="BP175" s="21">
        <v>4.8428827606004941E-2</v>
      </c>
      <c r="BQ175" s="21">
        <v>0.17851955912061063</v>
      </c>
      <c r="BR175" s="21">
        <v>7.8806080016217805E-2</v>
      </c>
      <c r="BS175" s="21">
        <v>0.30787822152295358</v>
      </c>
      <c r="BT175" s="21"/>
      <c r="BU175" s="21"/>
      <c r="BV175" s="69">
        <v>12.74047486499598</v>
      </c>
      <c r="BW175" s="21">
        <v>9.7232526514728228</v>
      </c>
      <c r="BX175" s="21">
        <v>3.4433660283270551</v>
      </c>
      <c r="BY175" s="21">
        <v>0.26087204057390412</v>
      </c>
      <c r="BZ175" s="21">
        <v>6.1026251733697981E-3</v>
      </c>
      <c r="CA175" s="21">
        <v>0.49656164318801438</v>
      </c>
      <c r="CB175" s="21">
        <v>8.9521453609558363E-2</v>
      </c>
      <c r="CC175" s="21">
        <v>11.687951417239931</v>
      </c>
      <c r="CD175" s="21">
        <v>3.1464709812357086</v>
      </c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69">
        <v>0</v>
      </c>
      <c r="DH175" s="21"/>
      <c r="DI175" s="21"/>
      <c r="DJ175" s="69">
        <v>0</v>
      </c>
      <c r="DK175" s="21"/>
      <c r="DL175" s="21"/>
      <c r="DM175" s="69">
        <v>0</v>
      </c>
      <c r="DN175" s="21"/>
      <c r="DO175" s="21"/>
      <c r="DP175" s="21"/>
      <c r="DQ175" s="21"/>
      <c r="DR175" s="21"/>
      <c r="DS175" s="21"/>
      <c r="DT175" s="21"/>
      <c r="DU175" s="21"/>
      <c r="DV175" s="21"/>
      <c r="DW175" s="69">
        <v>0</v>
      </c>
      <c r="DX175" s="21"/>
      <c r="DY175" s="21"/>
      <c r="DZ175" s="21"/>
      <c r="EA175" s="21"/>
      <c r="EB175" s="21"/>
      <c r="EC175" s="21"/>
      <c r="ED175" s="21"/>
      <c r="EE175" s="21"/>
      <c r="EF175" s="21"/>
      <c r="EG175" s="69">
        <v>0</v>
      </c>
      <c r="EH175" s="21"/>
      <c r="EI175" s="21"/>
      <c r="EJ175" s="21"/>
      <c r="EK175" s="21"/>
      <c r="EL175" s="69">
        <v>0</v>
      </c>
      <c r="EM175" s="21"/>
      <c r="EN175" s="69">
        <v>0</v>
      </c>
      <c r="EO175" s="21"/>
      <c r="EP175" s="69">
        <v>0</v>
      </c>
      <c r="EQ175" s="69">
        <v>0</v>
      </c>
      <c r="ER175" s="21"/>
      <c r="ES175" s="21"/>
      <c r="ET175" s="69">
        <v>0</v>
      </c>
      <c r="EU175" s="21"/>
      <c r="EV175" s="21"/>
      <c r="EW175" s="21"/>
      <c r="EX175" s="21"/>
      <c r="EY175" s="21"/>
      <c r="EZ175" s="21"/>
      <c r="FA175" s="69">
        <v>0</v>
      </c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>
        <v>0</v>
      </c>
      <c r="GY175" s="21">
        <v>0</v>
      </c>
      <c r="GZ175" s="21"/>
      <c r="HA175" s="21">
        <v>1.2429251212579713</v>
      </c>
      <c r="HB175" s="21">
        <f t="shared" si="2"/>
        <v>755.36336446790847</v>
      </c>
    </row>
    <row r="176" spans="1:210" x14ac:dyDescent="0.75">
      <c r="A176" s="67" t="s">
        <v>543</v>
      </c>
      <c r="B176" s="21">
        <v>0.70400390957553594</v>
      </c>
      <c r="C176" s="21">
        <v>1.6412995274051163</v>
      </c>
      <c r="D176" s="21">
        <v>5.8052399312910126E-2</v>
      </c>
      <c r="E176" s="21">
        <v>1.0175649939554561</v>
      </c>
      <c r="F176" s="21">
        <v>4.9052871442264879E-3</v>
      </c>
      <c r="G176" s="21">
        <v>2.0208285670659687</v>
      </c>
      <c r="H176" s="21">
        <v>1.7909073378978908</v>
      </c>
      <c r="I176" s="21">
        <v>1.3932736585120895</v>
      </c>
      <c r="J176" s="21">
        <v>0.26587274351051476</v>
      </c>
      <c r="K176" s="21">
        <v>3.2761506070940705</v>
      </c>
      <c r="L176" s="21">
        <v>0.30325587554808553</v>
      </c>
      <c r="M176" s="21">
        <v>2.3842707631324265</v>
      </c>
      <c r="N176" s="21">
        <v>1.1085444913571314</v>
      </c>
      <c r="O176" s="21">
        <v>1.8749625574638102</v>
      </c>
      <c r="P176" s="21">
        <v>0.33463380901377504</v>
      </c>
      <c r="Q176" s="21">
        <v>0.40433945248576675</v>
      </c>
      <c r="R176" s="21">
        <v>0.12380589180010512</v>
      </c>
      <c r="S176" s="21">
        <v>3.9925004848443087E-2</v>
      </c>
      <c r="T176" s="21">
        <v>1.1288628431571197</v>
      </c>
      <c r="U176" s="21">
        <v>0.33575554086816739</v>
      </c>
      <c r="V176" s="21">
        <v>3.1184314806928234E-2</v>
      </c>
      <c r="W176" s="21">
        <v>5.2876263066578354E-2</v>
      </c>
      <c r="X176" s="21">
        <v>3.9889264204462774E-2</v>
      </c>
      <c r="Y176" s="21">
        <v>0.22973141823613916</v>
      </c>
      <c r="Z176" s="21">
        <v>1.0139732531560262</v>
      </c>
      <c r="AA176" s="21">
        <v>0.46664817331333452</v>
      </c>
      <c r="AB176" s="21">
        <v>0.14025326787874845</v>
      </c>
      <c r="AC176" s="69">
        <v>8.2881532557256277E-2</v>
      </c>
      <c r="AD176" s="21">
        <v>0.34559011227861841</v>
      </c>
      <c r="AE176" s="21">
        <v>9.2528145647733914E-2</v>
      </c>
      <c r="AF176" s="69">
        <v>5.730377016904141</v>
      </c>
      <c r="AG176" s="21">
        <v>0.6981468427237465</v>
      </c>
      <c r="AH176" s="21">
        <v>5.1989963287525512E-4</v>
      </c>
      <c r="AI176" s="69">
        <v>1.243225369880689</v>
      </c>
      <c r="AJ176" s="21">
        <v>0.92906775485746662</v>
      </c>
      <c r="AK176" s="21">
        <v>0.27536674108285697</v>
      </c>
      <c r="AL176" s="21">
        <v>0.39870786455602514</v>
      </c>
      <c r="AM176" s="21">
        <v>0.13750671325807556</v>
      </c>
      <c r="AN176" s="21">
        <v>5.681612856032503</v>
      </c>
      <c r="AO176" s="21">
        <v>0.64991004499393423</v>
      </c>
      <c r="AP176" s="21">
        <v>0.18562874756770642</v>
      </c>
      <c r="AQ176" s="21">
        <v>2.2338463937071968</v>
      </c>
      <c r="AR176" s="69">
        <v>0.10099986928525381</v>
      </c>
      <c r="AS176" s="21">
        <v>9.7557246404723699E-3</v>
      </c>
      <c r="AT176" s="21"/>
      <c r="AU176" s="21">
        <v>7.0177698142776884E-2</v>
      </c>
      <c r="AV176" s="21">
        <v>3.2099734660092608E-3</v>
      </c>
      <c r="AW176" s="21">
        <v>5.3544922078769327E-4</v>
      </c>
      <c r="AX176" s="21">
        <v>6.0470563529384763E-2</v>
      </c>
      <c r="AY176" s="21">
        <v>1.3561995953065495E-2</v>
      </c>
      <c r="AZ176" s="21">
        <v>8.80530038033326E-3</v>
      </c>
      <c r="BA176" s="21">
        <v>3.3135169377639426E-2</v>
      </c>
      <c r="BB176" s="69">
        <v>0.4716629725351732</v>
      </c>
      <c r="BC176" s="21">
        <v>8.8144304781102217E-2</v>
      </c>
      <c r="BD176" s="21">
        <v>3.8354256760844904E-2</v>
      </c>
      <c r="BE176" s="21">
        <v>2.010829867045472E-2</v>
      </c>
      <c r="BF176" s="21"/>
      <c r="BG176" s="69">
        <v>0</v>
      </c>
      <c r="BH176" s="21">
        <v>3.1789462115833351</v>
      </c>
      <c r="BI176" s="69">
        <v>1.4609863843690634</v>
      </c>
      <c r="BJ176" s="21">
        <v>15.793450583731882</v>
      </c>
      <c r="BK176" s="69">
        <v>14.401055845743851</v>
      </c>
      <c r="BL176" s="69">
        <v>4.5254917745182635</v>
      </c>
      <c r="BM176" s="21">
        <v>7.718429387546516E-2</v>
      </c>
      <c r="BN176" s="21">
        <v>2.5161999150665029</v>
      </c>
      <c r="BO176" s="69">
        <v>0</v>
      </c>
      <c r="BP176" s="21"/>
      <c r="BQ176" s="21">
        <v>0.65350700560416153</v>
      </c>
      <c r="BR176" s="21">
        <v>0.28848561820615981</v>
      </c>
      <c r="BS176" s="21">
        <v>1.127050591147079</v>
      </c>
      <c r="BT176" s="21"/>
      <c r="BU176" s="21"/>
      <c r="BV176" s="69">
        <v>13.996441026971546</v>
      </c>
      <c r="BW176" s="21">
        <v>20.489712151385721</v>
      </c>
      <c r="BX176" s="21">
        <v>22.728752434910454</v>
      </c>
      <c r="BY176" s="21">
        <v>4.1405803797595793</v>
      </c>
      <c r="BZ176" s="21">
        <v>9.6861319451071751E-2</v>
      </c>
      <c r="CA176" s="21">
        <v>0.22206549690132132</v>
      </c>
      <c r="CB176" s="21">
        <v>4.0034558351113095E-2</v>
      </c>
      <c r="CC176" s="21">
        <v>5.2269255485872304</v>
      </c>
      <c r="CD176" s="21">
        <v>0.13584568992882734</v>
      </c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69">
        <v>0</v>
      </c>
      <c r="DH176" s="21"/>
      <c r="DI176" s="21"/>
      <c r="DJ176" s="69">
        <v>0</v>
      </c>
      <c r="DK176" s="21"/>
      <c r="DL176" s="21"/>
      <c r="DM176" s="69">
        <v>0</v>
      </c>
      <c r="DN176" s="21"/>
      <c r="DO176" s="21"/>
      <c r="DP176" s="21"/>
      <c r="DQ176" s="21"/>
      <c r="DR176" s="21"/>
      <c r="DS176" s="21"/>
      <c r="DT176" s="21"/>
      <c r="DU176" s="21"/>
      <c r="DV176" s="21"/>
      <c r="DW176" s="69">
        <v>0</v>
      </c>
      <c r="DX176" s="21"/>
      <c r="DY176" s="21"/>
      <c r="DZ176" s="21"/>
      <c r="EA176" s="21"/>
      <c r="EB176" s="21"/>
      <c r="EC176" s="21"/>
      <c r="ED176" s="21"/>
      <c r="EE176" s="21"/>
      <c r="EF176" s="21"/>
      <c r="EG176" s="69">
        <v>0</v>
      </c>
      <c r="EH176" s="21"/>
      <c r="EI176" s="21"/>
      <c r="EJ176" s="21"/>
      <c r="EK176" s="21"/>
      <c r="EL176" s="69">
        <v>0</v>
      </c>
      <c r="EM176" s="21"/>
      <c r="EN176" s="69">
        <v>0</v>
      </c>
      <c r="EO176" s="21"/>
      <c r="EP176" s="69">
        <v>0</v>
      </c>
      <c r="EQ176" s="69">
        <v>0</v>
      </c>
      <c r="ER176" s="21"/>
      <c r="ES176" s="21"/>
      <c r="ET176" s="69">
        <v>0</v>
      </c>
      <c r="EU176" s="21"/>
      <c r="EV176" s="21"/>
      <c r="EW176" s="21"/>
      <c r="EX176" s="21"/>
      <c r="EY176" s="21"/>
      <c r="EZ176" s="21"/>
      <c r="FA176" s="69">
        <v>0</v>
      </c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>
        <v>0</v>
      </c>
      <c r="GY176" s="21">
        <v>0</v>
      </c>
      <c r="GZ176" s="21"/>
      <c r="HA176" s="21">
        <v>0.25198867410097781</v>
      </c>
      <c r="HB176" s="21">
        <f t="shared" si="2"/>
        <v>153.14117433242853</v>
      </c>
    </row>
    <row r="177" spans="1:210" x14ac:dyDescent="0.75">
      <c r="A177" s="67" t="s">
        <v>544</v>
      </c>
      <c r="B177" s="21">
        <v>0.18817245120542189</v>
      </c>
      <c r="C177" s="21">
        <v>0.43870119332197205</v>
      </c>
      <c r="D177" s="21">
        <v>1.5516763654981058E-2</v>
      </c>
      <c r="E177" s="21">
        <v>0.27198385771589795</v>
      </c>
      <c r="F177" s="21">
        <v>1.3111289486333522E-3</v>
      </c>
      <c r="G177" s="21">
        <v>0.89810287572122682</v>
      </c>
      <c r="H177" s="21">
        <v>0.79592057264491201</v>
      </c>
      <c r="I177" s="21">
        <v>0.61920298424576559</v>
      </c>
      <c r="J177" s="21">
        <v>0.11815998616318579</v>
      </c>
      <c r="K177" s="21">
        <v>1.2600068742884185</v>
      </c>
      <c r="L177" s="21">
        <v>0.11663214964279855</v>
      </c>
      <c r="M177" s="21">
        <v>0.91699006303512409</v>
      </c>
      <c r="N177" s="21">
        <v>0.49711743666810426</v>
      </c>
      <c r="O177" s="21">
        <v>0.84081116065444617</v>
      </c>
      <c r="P177" s="21">
        <v>0.15006371206243208</v>
      </c>
      <c r="Q177" s="21">
        <v>0.18132262054491874</v>
      </c>
      <c r="R177" s="21">
        <v>5.5011362989539014E-2</v>
      </c>
      <c r="S177" s="21">
        <v>1.7740100266172815E-2</v>
      </c>
      <c r="T177" s="21">
        <v>0.1892081750634009</v>
      </c>
      <c r="U177" s="21">
        <v>5.6275829734480004E-2</v>
      </c>
      <c r="V177" s="21">
        <v>2.7062651386835796E-2</v>
      </c>
      <c r="W177" s="21">
        <v>4.5887552215561629E-2</v>
      </c>
      <c r="X177" s="21">
        <v>3.4617058541332089E-2</v>
      </c>
      <c r="Y177" s="21">
        <v>0.19936757702775434</v>
      </c>
      <c r="Z177" s="21">
        <v>0.56869622298892342</v>
      </c>
      <c r="AA177" s="21">
        <v>0.21522611443878623</v>
      </c>
      <c r="AB177" s="21">
        <v>0.20516882999852648</v>
      </c>
      <c r="AC177" s="69">
        <v>3.8226379596373955E-2</v>
      </c>
      <c r="AD177" s="21">
        <v>0.13207786827216672</v>
      </c>
      <c r="AE177" s="21">
        <v>3.992269212180756E-2</v>
      </c>
      <c r="AF177" s="69">
        <v>0</v>
      </c>
      <c r="AG177" s="21"/>
      <c r="AH177" s="21"/>
      <c r="AI177" s="69">
        <v>0</v>
      </c>
      <c r="AJ177" s="21">
        <v>0.52699768984089834</v>
      </c>
      <c r="AK177" s="21">
        <v>0.15619704338134707</v>
      </c>
      <c r="AL177" s="21">
        <v>0.22616017232742988</v>
      </c>
      <c r="AM177" s="21">
        <v>7.7998315887884861E-2</v>
      </c>
      <c r="AN177" s="21">
        <v>3.2227970823923755</v>
      </c>
      <c r="AO177" s="21">
        <v>0.3686502846810592</v>
      </c>
      <c r="AP177" s="21">
        <v>0.10529471141881204</v>
      </c>
      <c r="AQ177" s="21">
        <v>1.2671109106824185</v>
      </c>
      <c r="AR177" s="69">
        <v>0</v>
      </c>
      <c r="AS177" s="21"/>
      <c r="AT177" s="21"/>
      <c r="AU177" s="21"/>
      <c r="AV177" s="21"/>
      <c r="AW177" s="21"/>
      <c r="AX177" s="21"/>
      <c r="AY177" s="21"/>
      <c r="AZ177" s="21"/>
      <c r="BA177" s="21"/>
      <c r="BB177" s="69">
        <v>0</v>
      </c>
      <c r="BC177" s="21"/>
      <c r="BD177" s="21"/>
      <c r="BE177" s="21"/>
      <c r="BF177" s="21"/>
      <c r="BG177" s="69">
        <v>0</v>
      </c>
      <c r="BH177" s="21">
        <v>3.8465171686663409</v>
      </c>
      <c r="BI177" s="69">
        <v>1.7677899645443702</v>
      </c>
      <c r="BJ177" s="21">
        <v>3.7377006176356269</v>
      </c>
      <c r="BK177" s="69">
        <v>4.9176094103962207</v>
      </c>
      <c r="BL177" s="69">
        <v>10.427966565607147</v>
      </c>
      <c r="BM177" s="21">
        <v>0.1778536512772749</v>
      </c>
      <c r="BN177" s="21">
        <v>0.15393514241526998</v>
      </c>
      <c r="BO177" s="69">
        <v>2.459618605520919</v>
      </c>
      <c r="BP177" s="21">
        <v>0.36254599585837849</v>
      </c>
      <c r="BQ177" s="21">
        <v>2.6440487187800037</v>
      </c>
      <c r="BR177" s="21">
        <v>1.1671948772749268</v>
      </c>
      <c r="BS177" s="21">
        <v>4.5599766275921052</v>
      </c>
      <c r="BT177" s="21"/>
      <c r="BU177" s="21"/>
      <c r="BV177" s="69">
        <v>8.5700807927348386</v>
      </c>
      <c r="BW177" s="21">
        <v>39.204414876039493</v>
      </c>
      <c r="BX177" s="21">
        <v>58.491439826061359</v>
      </c>
      <c r="BY177" s="21">
        <v>14.872237290226504</v>
      </c>
      <c r="BZ177" s="21">
        <v>0.34790884248077703</v>
      </c>
      <c r="CA177" s="21">
        <v>1.1926791491354012</v>
      </c>
      <c r="CB177" s="21">
        <v>0.21501936886411024</v>
      </c>
      <c r="CC177" s="21">
        <v>28.073001897513667</v>
      </c>
      <c r="CD177" s="21">
        <v>5.439762599145409E-2</v>
      </c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69">
        <v>0</v>
      </c>
      <c r="DH177" s="21"/>
      <c r="DI177" s="21"/>
      <c r="DJ177" s="69">
        <v>0</v>
      </c>
      <c r="DK177" s="21"/>
      <c r="DL177" s="21"/>
      <c r="DM177" s="69">
        <v>0</v>
      </c>
      <c r="DN177" s="21"/>
      <c r="DO177" s="21"/>
      <c r="DP177" s="21"/>
      <c r="DQ177" s="21"/>
      <c r="DR177" s="21"/>
      <c r="DS177" s="21"/>
      <c r="DT177" s="21"/>
      <c r="DU177" s="21"/>
      <c r="DV177" s="21"/>
      <c r="DW177" s="69">
        <v>0</v>
      </c>
      <c r="DX177" s="21"/>
      <c r="DY177" s="21"/>
      <c r="DZ177" s="21"/>
      <c r="EA177" s="21"/>
      <c r="EB177" s="21"/>
      <c r="EC177" s="21"/>
      <c r="ED177" s="21"/>
      <c r="EE177" s="21"/>
      <c r="EF177" s="21"/>
      <c r="EG177" s="69">
        <v>0</v>
      </c>
      <c r="EH177" s="21"/>
      <c r="EI177" s="21"/>
      <c r="EJ177" s="21"/>
      <c r="EK177" s="21"/>
      <c r="EL177" s="69">
        <v>0</v>
      </c>
      <c r="EM177" s="21"/>
      <c r="EN177" s="69">
        <v>0</v>
      </c>
      <c r="EO177" s="21"/>
      <c r="EP177" s="69">
        <v>0</v>
      </c>
      <c r="EQ177" s="69">
        <v>0</v>
      </c>
      <c r="ER177" s="21"/>
      <c r="ES177" s="21"/>
      <c r="ET177" s="69">
        <v>0</v>
      </c>
      <c r="EU177" s="21"/>
      <c r="EV177" s="21"/>
      <c r="EW177" s="21"/>
      <c r="EX177" s="21"/>
      <c r="EY177" s="21"/>
      <c r="EZ177" s="21"/>
      <c r="FA177" s="69">
        <v>0</v>
      </c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>
        <v>0</v>
      </c>
      <c r="GY177" s="21">
        <v>0</v>
      </c>
      <c r="GZ177" s="21"/>
      <c r="HA177" s="21">
        <v>0.33347538204121752</v>
      </c>
      <c r="HB177" s="21">
        <f t="shared" si="2"/>
        <v>202.66312285242955</v>
      </c>
    </row>
    <row r="178" spans="1:210" x14ac:dyDescent="0.75">
      <c r="A178" s="67" t="s">
        <v>545</v>
      </c>
      <c r="B178" s="21">
        <v>0.1823315471783378</v>
      </c>
      <c r="C178" s="21">
        <v>0.43387829804214045</v>
      </c>
      <c r="D178" s="21">
        <v>9.3707687406696643E-3</v>
      </c>
      <c r="E178" s="21">
        <v>0.39781644900069851</v>
      </c>
      <c r="F178" s="21">
        <v>3.0636118525939588E-4</v>
      </c>
      <c r="G178" s="21">
        <v>1.8876999996831187</v>
      </c>
      <c r="H178" s="21">
        <v>0.34443798035079753</v>
      </c>
      <c r="I178" s="21">
        <v>0.40808172637435247</v>
      </c>
      <c r="J178" s="21">
        <v>6.5233669619161092E-2</v>
      </c>
      <c r="K178" s="21">
        <v>1.1961377554848329</v>
      </c>
      <c r="L178" s="21">
        <v>0.11072012426114311</v>
      </c>
      <c r="M178" s="21">
        <v>1.5968137717379498</v>
      </c>
      <c r="N178" s="21">
        <v>0.22537211926896164</v>
      </c>
      <c r="O178" s="21">
        <v>1.0307327657703644</v>
      </c>
      <c r="P178" s="21">
        <v>0.13433052435503967</v>
      </c>
      <c r="Q178" s="21">
        <v>0.14135679718873198</v>
      </c>
      <c r="R178" s="21">
        <v>4.2581768131503848E-2</v>
      </c>
      <c r="S178" s="21">
        <v>1.5540905128511685E-2</v>
      </c>
      <c r="T178" s="21">
        <v>0.12990296622985301</v>
      </c>
      <c r="U178" s="21">
        <v>1.9467875933525426E-2</v>
      </c>
      <c r="V178" s="21">
        <v>2.4067001612862401E-2</v>
      </c>
      <c r="W178" s="21">
        <v>4.0808115117627969E-2</v>
      </c>
      <c r="X178" s="21">
        <v>0.12662767064178165</v>
      </c>
      <c r="Y178" s="21">
        <v>0.49658736097379508</v>
      </c>
      <c r="Z178" s="21">
        <v>0.65091855141168842</v>
      </c>
      <c r="AA178" s="21">
        <v>0.30085669706780849</v>
      </c>
      <c r="AB178" s="21">
        <v>9.4251512393226641E-2</v>
      </c>
      <c r="AC178" s="69">
        <v>9.6511011580047323E-2</v>
      </c>
      <c r="AD178" s="21">
        <v>0.28080782245542735</v>
      </c>
      <c r="AE178" s="21">
        <v>0.12343996305149825</v>
      </c>
      <c r="AF178" s="69">
        <v>7.9988747191928091</v>
      </c>
      <c r="AG178" s="21"/>
      <c r="AH178" s="21"/>
      <c r="AI178" s="69">
        <v>0</v>
      </c>
      <c r="AJ178" s="21">
        <v>0.24234000064790723</v>
      </c>
      <c r="AK178" s="21">
        <v>4.3149426224635343E-2</v>
      </c>
      <c r="AL178" s="21">
        <v>4.2040024085460322E-2</v>
      </c>
      <c r="AM178" s="21">
        <v>5.6811968529084302E-2</v>
      </c>
      <c r="AN178" s="21">
        <v>0.70886296913785141</v>
      </c>
      <c r="AO178" s="21">
        <v>0.19603662034047195</v>
      </c>
      <c r="AP178" s="21">
        <v>2.908496559678676E-2</v>
      </c>
      <c r="AQ178" s="21">
        <v>0.30501097442414016</v>
      </c>
      <c r="AR178" s="69">
        <v>0.62802088379960619</v>
      </c>
      <c r="AS178" s="21">
        <v>4.3775373394658659E-3</v>
      </c>
      <c r="AT178" s="21"/>
      <c r="AU178" s="21"/>
      <c r="AV178" s="21"/>
      <c r="AW178" s="21">
        <v>5.5519007133050452E-5</v>
      </c>
      <c r="AX178" s="21">
        <v>6.2699981951391355E-3</v>
      </c>
      <c r="AY178" s="21">
        <v>1.4061997306653851E-3</v>
      </c>
      <c r="AZ178" s="21">
        <v>9.1299326928745059E-4</v>
      </c>
      <c r="BA178" s="21">
        <v>4.0895345801348444E-3</v>
      </c>
      <c r="BB178" s="69">
        <v>5.8212529846111125E-2</v>
      </c>
      <c r="BC178" s="21">
        <v>0.52539211609714875</v>
      </c>
      <c r="BD178" s="21">
        <v>4.7300914370477599E-2</v>
      </c>
      <c r="BE178" s="21">
        <v>2.4798835745349863E-2</v>
      </c>
      <c r="BF178" s="21"/>
      <c r="BG178" s="69">
        <v>0</v>
      </c>
      <c r="BH178" s="21">
        <v>1.2769975834697995</v>
      </c>
      <c r="BI178" s="69">
        <v>1.1007590957877358</v>
      </c>
      <c r="BJ178" s="21">
        <v>6.642337838924786</v>
      </c>
      <c r="BK178" s="69">
        <v>10.982380514028236</v>
      </c>
      <c r="BL178" s="69">
        <v>5.7606755814254536</v>
      </c>
      <c r="BM178" s="21">
        <v>0.17741162231678831</v>
      </c>
      <c r="BN178" s="21">
        <v>1.2624591392598572</v>
      </c>
      <c r="BO178" s="69">
        <v>0</v>
      </c>
      <c r="BP178" s="21"/>
      <c r="BQ178" s="21">
        <v>3.9540137103744634E-2</v>
      </c>
      <c r="BR178" s="21">
        <v>6.1203513659936218E-2</v>
      </c>
      <c r="BS178" s="21">
        <v>7.3255817665375061E-2</v>
      </c>
      <c r="BT178" s="21"/>
      <c r="BU178" s="21"/>
      <c r="BV178" s="69">
        <v>1.5093709219548923</v>
      </c>
      <c r="BW178" s="21">
        <v>8.9800748958181664</v>
      </c>
      <c r="BX178" s="21">
        <v>4.684664380019006E-2</v>
      </c>
      <c r="BY178" s="21">
        <v>1.2935171543176116</v>
      </c>
      <c r="BZ178" s="21">
        <v>0.6198785480383967</v>
      </c>
      <c r="CA178" s="21">
        <v>1.2658494688020761E-2</v>
      </c>
      <c r="CB178" s="21">
        <v>0.23685100738581222</v>
      </c>
      <c r="CC178" s="21">
        <v>1.0474586695317214</v>
      </c>
      <c r="CD178" s="21">
        <v>1.0868632186941842</v>
      </c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69">
        <v>0</v>
      </c>
      <c r="DH178" s="21"/>
      <c r="DI178" s="21"/>
      <c r="DJ178" s="69">
        <v>0</v>
      </c>
      <c r="DK178" s="21"/>
      <c r="DL178" s="21"/>
      <c r="DM178" s="69">
        <v>0</v>
      </c>
      <c r="DN178" s="21"/>
      <c r="DO178" s="21"/>
      <c r="DP178" s="21"/>
      <c r="DQ178" s="21"/>
      <c r="DR178" s="21"/>
      <c r="DS178" s="21"/>
      <c r="DT178" s="21"/>
      <c r="DU178" s="21"/>
      <c r="DV178" s="21"/>
      <c r="DW178" s="69">
        <v>0</v>
      </c>
      <c r="DX178" s="21"/>
      <c r="DY178" s="21"/>
      <c r="DZ178" s="21"/>
      <c r="EA178" s="21"/>
      <c r="EB178" s="21"/>
      <c r="EC178" s="21"/>
      <c r="ED178" s="21"/>
      <c r="EE178" s="21"/>
      <c r="EF178" s="21"/>
      <c r="EG178" s="69">
        <v>0</v>
      </c>
      <c r="EH178" s="21"/>
      <c r="EI178" s="21"/>
      <c r="EJ178" s="21"/>
      <c r="EK178" s="21"/>
      <c r="EL178" s="69">
        <v>0</v>
      </c>
      <c r="EM178" s="21"/>
      <c r="EN178" s="69">
        <v>0</v>
      </c>
      <c r="EO178" s="21"/>
      <c r="EP178" s="69">
        <v>0</v>
      </c>
      <c r="EQ178" s="69">
        <v>0</v>
      </c>
      <c r="ER178" s="21"/>
      <c r="ES178" s="21"/>
      <c r="ET178" s="69">
        <v>0</v>
      </c>
      <c r="EU178" s="21"/>
      <c r="EV178" s="21"/>
      <c r="EW178" s="21"/>
      <c r="EX178" s="21"/>
      <c r="EY178" s="21"/>
      <c r="EZ178" s="21"/>
      <c r="FA178" s="69">
        <v>0</v>
      </c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>
        <v>0</v>
      </c>
      <c r="GY178" s="21">
        <v>0</v>
      </c>
      <c r="GZ178" s="21"/>
      <c r="HA178" s="21">
        <v>0.10505585415667988</v>
      </c>
      <c r="HB178" s="21">
        <f t="shared" si="2"/>
        <v>63.845634862157759</v>
      </c>
    </row>
    <row r="179" spans="1:210" x14ac:dyDescent="0.75">
      <c r="A179" s="67" t="s">
        <v>546</v>
      </c>
      <c r="B179" s="21">
        <v>0.32633771694491387</v>
      </c>
      <c r="C179" s="21">
        <v>0.77655707641490868</v>
      </c>
      <c r="D179" s="21">
        <v>1.6771838577434167E-2</v>
      </c>
      <c r="E179" s="21">
        <v>0.71201343782292259</v>
      </c>
      <c r="F179" s="21">
        <v>5.4832644874285919E-4</v>
      </c>
      <c r="G179" s="21">
        <v>2.0065188874095607</v>
      </c>
      <c r="H179" s="21">
        <v>0.36611819316156924</v>
      </c>
      <c r="I179" s="21">
        <v>0.43376791424182409</v>
      </c>
      <c r="J179" s="21">
        <v>6.9339720404648211E-2</v>
      </c>
      <c r="K179" s="21">
        <v>1.7864619450978156</v>
      </c>
      <c r="L179" s="21">
        <v>0.165363301711733</v>
      </c>
      <c r="M179" s="21">
        <v>2.3848816940501036</v>
      </c>
      <c r="N179" s="21">
        <v>0.50042511847071358</v>
      </c>
      <c r="O179" s="21">
        <v>2.2886795762288314</v>
      </c>
      <c r="P179" s="21">
        <v>0.29827278006992447</v>
      </c>
      <c r="Q179" s="21">
        <v>0.31387419264310906</v>
      </c>
      <c r="R179" s="21">
        <v>5.1685702231073001E-2</v>
      </c>
      <c r="S179" s="21">
        <v>1.8863533153273094E-2</v>
      </c>
      <c r="T179" s="21">
        <v>0.27132477288359352</v>
      </c>
      <c r="U179" s="21">
        <v>4.0662020040739294E-2</v>
      </c>
      <c r="V179" s="21">
        <v>9.0255927365131255E-3</v>
      </c>
      <c r="W179" s="21">
        <v>1.5303835239683969E-2</v>
      </c>
      <c r="X179" s="21">
        <v>4.7487834287393456E-2</v>
      </c>
      <c r="Y179" s="21">
        <v>0.18622989894403563</v>
      </c>
      <c r="Z179" s="21">
        <v>0.92631036314590021</v>
      </c>
      <c r="AA179" s="21">
        <v>0.40226768656833201</v>
      </c>
      <c r="AB179" s="21">
        <v>0.23330962292608939</v>
      </c>
      <c r="AC179" s="69">
        <v>0.12904237045427966</v>
      </c>
      <c r="AD179" s="21">
        <v>0.54029313819238833</v>
      </c>
      <c r="AE179" s="21">
        <v>6.1322912641200926E-2</v>
      </c>
      <c r="AF179" s="69">
        <v>2.901066201864932</v>
      </c>
      <c r="AG179" s="21"/>
      <c r="AH179" s="21">
        <v>2.0139657309705373E-4</v>
      </c>
      <c r="AI179" s="69">
        <v>0.39909217267130975</v>
      </c>
      <c r="AJ179" s="21">
        <v>0.34024369195982057</v>
      </c>
      <c r="AK179" s="21">
        <v>6.0581497257434357E-2</v>
      </c>
      <c r="AL179" s="21">
        <v>5.9023904294275745E-2</v>
      </c>
      <c r="AM179" s="21">
        <v>7.976361256153075E-2</v>
      </c>
      <c r="AN179" s="21">
        <v>0.99523872686407755</v>
      </c>
      <c r="AO179" s="21">
        <v>0.27523406489082158</v>
      </c>
      <c r="AP179" s="21">
        <v>4.083509139522052E-2</v>
      </c>
      <c r="AQ179" s="21">
        <v>0.42823330753848482</v>
      </c>
      <c r="AR179" s="69">
        <v>0.71365961723446925</v>
      </c>
      <c r="AS179" s="21">
        <v>4.9744709176098986E-3</v>
      </c>
      <c r="AT179" s="21">
        <v>1.1605123088786102</v>
      </c>
      <c r="AU179" s="21"/>
      <c r="AV179" s="21"/>
      <c r="AW179" s="21">
        <v>3.3390865030274129E-4</v>
      </c>
      <c r="AX179" s="21">
        <v>3.7709727584325066E-2</v>
      </c>
      <c r="AY179" s="21">
        <v>8.4573244077889628E-3</v>
      </c>
      <c r="AZ179" s="21">
        <v>5.4910266956445441E-3</v>
      </c>
      <c r="BA179" s="21">
        <v>2.4595738334202182E-2</v>
      </c>
      <c r="BB179" s="69">
        <v>0.35010833722297902</v>
      </c>
      <c r="BC179" s="21"/>
      <c r="BD179" s="21"/>
      <c r="BE179" s="21"/>
      <c r="BF179" s="21">
        <v>0.17057362004479121</v>
      </c>
      <c r="BG179" s="69">
        <v>0.13365995666834588</v>
      </c>
      <c r="BH179" s="21">
        <v>1.2550508813917054</v>
      </c>
      <c r="BI179" s="69">
        <v>1.081841258943155</v>
      </c>
      <c r="BJ179" s="21">
        <v>12.004073795159041</v>
      </c>
      <c r="BK179" s="69">
        <v>10.758233536245484</v>
      </c>
      <c r="BL179" s="69">
        <v>13.487520938210535</v>
      </c>
      <c r="BM179" s="21">
        <v>0.41537540811966411</v>
      </c>
      <c r="BN179" s="21">
        <v>4.9918594983767859</v>
      </c>
      <c r="BO179" s="69">
        <v>0</v>
      </c>
      <c r="BP179" s="21"/>
      <c r="BQ179" s="21">
        <v>2.650519626424902E-2</v>
      </c>
      <c r="BR179" s="21">
        <v>4.1026947816643372E-2</v>
      </c>
      <c r="BS179" s="21">
        <v>4.9106046841069811E-2</v>
      </c>
      <c r="BT179" s="21"/>
      <c r="BU179" s="21"/>
      <c r="BV179" s="69">
        <v>6.0591444504710141</v>
      </c>
      <c r="BW179" s="21">
        <v>19.49965429684751</v>
      </c>
      <c r="BX179" s="21">
        <v>0.24377079686340533</v>
      </c>
      <c r="BY179" s="21"/>
      <c r="BZ179" s="21"/>
      <c r="CA179" s="21">
        <v>1.2332734726324117E-2</v>
      </c>
      <c r="CB179" s="21">
        <v>0.2307557664432355</v>
      </c>
      <c r="CC179" s="21">
        <v>1.0205028501807538</v>
      </c>
      <c r="CD179" s="21">
        <v>1.438571208489458</v>
      </c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69">
        <v>0</v>
      </c>
      <c r="DH179" s="21"/>
      <c r="DI179" s="21"/>
      <c r="DJ179" s="69">
        <v>0</v>
      </c>
      <c r="DK179" s="21"/>
      <c r="DL179" s="21"/>
      <c r="DM179" s="69">
        <v>0</v>
      </c>
      <c r="DN179" s="21"/>
      <c r="DO179" s="21"/>
      <c r="DP179" s="21"/>
      <c r="DQ179" s="21"/>
      <c r="DR179" s="21"/>
      <c r="DS179" s="21"/>
      <c r="DT179" s="21"/>
      <c r="DU179" s="21"/>
      <c r="DV179" s="21"/>
      <c r="DW179" s="69">
        <v>0</v>
      </c>
      <c r="DX179" s="21"/>
      <c r="DY179" s="21"/>
      <c r="DZ179" s="21"/>
      <c r="EA179" s="21"/>
      <c r="EB179" s="21"/>
      <c r="EC179" s="21"/>
      <c r="ED179" s="21"/>
      <c r="EE179" s="21"/>
      <c r="EF179" s="21"/>
      <c r="EG179" s="69">
        <v>0</v>
      </c>
      <c r="EH179" s="21"/>
      <c r="EI179" s="21"/>
      <c r="EJ179" s="21"/>
      <c r="EK179" s="21"/>
      <c r="EL179" s="69">
        <v>0</v>
      </c>
      <c r="EM179" s="21"/>
      <c r="EN179" s="69">
        <v>0</v>
      </c>
      <c r="EO179" s="21"/>
      <c r="EP179" s="69">
        <v>0</v>
      </c>
      <c r="EQ179" s="69">
        <v>0</v>
      </c>
      <c r="ER179" s="21"/>
      <c r="ES179" s="21"/>
      <c r="ET179" s="69">
        <v>0</v>
      </c>
      <c r="EU179" s="21"/>
      <c r="EV179" s="21"/>
      <c r="EW179" s="21"/>
      <c r="EX179" s="21"/>
      <c r="EY179" s="21"/>
      <c r="EZ179" s="21"/>
      <c r="FA179" s="69">
        <v>0</v>
      </c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>
        <v>0</v>
      </c>
      <c r="GY179" s="21">
        <v>0</v>
      </c>
      <c r="GZ179" s="21"/>
      <c r="HA179" s="21">
        <v>0.15852836522107169</v>
      </c>
      <c r="HB179" s="21">
        <f t="shared" si="2"/>
        <v>96.342504684264441</v>
      </c>
    </row>
    <row r="180" spans="1:210" x14ac:dyDescent="0.75">
      <c r="A180" s="67" t="s">
        <v>547</v>
      </c>
      <c r="B180" s="21">
        <v>8.05406279516276E-2</v>
      </c>
      <c r="C180" s="21">
        <v>0.19165542726798679</v>
      </c>
      <c r="D180" s="21">
        <v>4.1393143997446652E-3</v>
      </c>
      <c r="E180" s="21">
        <v>0.17572596244501953</v>
      </c>
      <c r="F180" s="21">
        <v>1.3532777307408359E-4</v>
      </c>
      <c r="G180" s="21">
        <v>2.8259745152613784</v>
      </c>
      <c r="H180" s="21">
        <v>0.51563964333466639</v>
      </c>
      <c r="I180" s="21">
        <v>0.6109172850936988</v>
      </c>
      <c r="J180" s="21">
        <v>9.7657831176392249E-2</v>
      </c>
      <c r="K180" s="21">
        <v>0.60431146914460909</v>
      </c>
      <c r="L180" s="21">
        <v>5.5937905687965292E-2</v>
      </c>
      <c r="M180" s="21">
        <v>0.80674058813415728</v>
      </c>
      <c r="N180" s="21">
        <v>6.4727922769779581E-2</v>
      </c>
      <c r="O180" s="21">
        <v>0.2960312530027035</v>
      </c>
      <c r="P180" s="21">
        <v>3.8580352504474467E-2</v>
      </c>
      <c r="Q180" s="21">
        <v>4.0598330801052844E-2</v>
      </c>
      <c r="R180" s="21">
        <v>6.8557921550851612E-3</v>
      </c>
      <c r="S180" s="21">
        <v>2.5021322537366968E-3</v>
      </c>
      <c r="T180" s="21">
        <v>5.3894728576339129E-3</v>
      </c>
      <c r="U180" s="21">
        <v>8.0769201800880597E-4</v>
      </c>
      <c r="V180" s="21">
        <v>4.0354998164246004E-3</v>
      </c>
      <c r="W180" s="21">
        <v>6.8426114609062569E-3</v>
      </c>
      <c r="X180" s="21">
        <v>2.1232638358908904E-2</v>
      </c>
      <c r="Y180" s="21">
        <v>8.3266633554282002E-2</v>
      </c>
      <c r="Z180" s="21">
        <v>0.82557931477955782</v>
      </c>
      <c r="AA180" s="21">
        <v>7.593185852938078E-2</v>
      </c>
      <c r="AB180" s="21">
        <v>7.1592011366113636E-2</v>
      </c>
      <c r="AC180" s="69">
        <v>2.4357976901447888E-2</v>
      </c>
      <c r="AD180" s="21">
        <v>0.40051891918270577</v>
      </c>
      <c r="AE180" s="21">
        <v>3.2028628882211828E-2</v>
      </c>
      <c r="AF180" s="69">
        <v>0</v>
      </c>
      <c r="AG180" s="21"/>
      <c r="AH180" s="21"/>
      <c r="AI180" s="69">
        <v>0</v>
      </c>
      <c r="AJ180" s="21">
        <v>0.23614740687474939</v>
      </c>
      <c r="AK180" s="21">
        <v>4.2046814738955642E-2</v>
      </c>
      <c r="AL180" s="21">
        <v>4.0965761517667128E-2</v>
      </c>
      <c r="AM180" s="21">
        <v>5.5360233604542529E-2</v>
      </c>
      <c r="AN180" s="21">
        <v>0.69074916045183543</v>
      </c>
      <c r="AO180" s="21">
        <v>0.19102723207941025</v>
      </c>
      <c r="AP180" s="21">
        <v>2.8341747901129272E-2</v>
      </c>
      <c r="AQ180" s="21">
        <v>0.29721692863758448</v>
      </c>
      <c r="AR180" s="69">
        <v>4.2804986928789708</v>
      </c>
      <c r="AS180" s="21">
        <v>2.9836655663813251E-2</v>
      </c>
      <c r="AT180" s="21">
        <v>0.6072642368104213</v>
      </c>
      <c r="AU180" s="21">
        <v>0.15440551681456055</v>
      </c>
      <c r="AV180" s="21"/>
      <c r="AW180" s="21"/>
      <c r="AX180" s="21"/>
      <c r="AY180" s="21"/>
      <c r="AZ180" s="21"/>
      <c r="BA180" s="21"/>
      <c r="BB180" s="69">
        <v>0</v>
      </c>
      <c r="BC180" s="21"/>
      <c r="BD180" s="21"/>
      <c r="BE180" s="21"/>
      <c r="BF180" s="21">
        <v>0.36477857674350705</v>
      </c>
      <c r="BG180" s="69">
        <v>0.28583721649499516</v>
      </c>
      <c r="BH180" s="21">
        <v>0.75489091331495717</v>
      </c>
      <c r="BI180" s="69">
        <v>0.6507083881091793</v>
      </c>
      <c r="BJ180" s="21">
        <v>3.492991192687493</v>
      </c>
      <c r="BK180" s="69">
        <v>7.5772665471647889</v>
      </c>
      <c r="BL180" s="69">
        <v>13.181620731120747</v>
      </c>
      <c r="BM180" s="21">
        <v>0.40595459432104869</v>
      </c>
      <c r="BN180" s="21">
        <v>1.4507079272368182</v>
      </c>
      <c r="BO180" s="69">
        <v>2.3237782111532601</v>
      </c>
      <c r="BP180" s="21">
        <v>0.2553622449939788</v>
      </c>
      <c r="BQ180" s="21">
        <v>5.4657931166850617E-2</v>
      </c>
      <c r="BR180" s="21">
        <v>8.4604093000916383E-2</v>
      </c>
      <c r="BS180" s="21">
        <v>0.1012644804194731</v>
      </c>
      <c r="BT180" s="21"/>
      <c r="BU180" s="21"/>
      <c r="BV180" s="69">
        <v>6.9427057860386725</v>
      </c>
      <c r="BW180" s="21">
        <v>6.0850122133220497</v>
      </c>
      <c r="BX180" s="21">
        <v>5.5140642247812934</v>
      </c>
      <c r="BY180" s="21">
        <v>0.77487304817961233</v>
      </c>
      <c r="BZ180" s="21">
        <v>0.37133421726676591</v>
      </c>
      <c r="CA180" s="21">
        <v>3.4817315268243894E-2</v>
      </c>
      <c r="CB180" s="21">
        <v>0.65146104643524427</v>
      </c>
      <c r="CC180" s="21">
        <v>2.881045466018481</v>
      </c>
      <c r="CD180" s="21">
        <v>0.33735121997586393</v>
      </c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69">
        <v>0</v>
      </c>
      <c r="DH180" s="21"/>
      <c r="DI180" s="21"/>
      <c r="DJ180" s="69">
        <v>0</v>
      </c>
      <c r="DK180" s="21"/>
      <c r="DL180" s="21"/>
      <c r="DM180" s="69">
        <v>0</v>
      </c>
      <c r="DN180" s="21"/>
      <c r="DO180" s="21"/>
      <c r="DP180" s="21"/>
      <c r="DQ180" s="21"/>
      <c r="DR180" s="21"/>
      <c r="DS180" s="21"/>
      <c r="DT180" s="21"/>
      <c r="DU180" s="21"/>
      <c r="DV180" s="21"/>
      <c r="DW180" s="69">
        <v>0</v>
      </c>
      <c r="DX180" s="21"/>
      <c r="DY180" s="21"/>
      <c r="DZ180" s="21"/>
      <c r="EA180" s="21"/>
      <c r="EB180" s="21"/>
      <c r="EC180" s="21"/>
      <c r="ED180" s="21"/>
      <c r="EE180" s="21"/>
      <c r="EF180" s="21"/>
      <c r="EG180" s="69">
        <v>0</v>
      </c>
      <c r="EH180" s="21"/>
      <c r="EI180" s="21"/>
      <c r="EJ180" s="21"/>
      <c r="EK180" s="21"/>
      <c r="EL180" s="69">
        <v>0</v>
      </c>
      <c r="EM180" s="21"/>
      <c r="EN180" s="69">
        <v>0</v>
      </c>
      <c r="EO180" s="21"/>
      <c r="EP180" s="69">
        <v>0</v>
      </c>
      <c r="EQ180" s="69">
        <v>0</v>
      </c>
      <c r="ER180" s="21"/>
      <c r="ES180" s="21"/>
      <c r="ET180" s="69">
        <v>0</v>
      </c>
      <c r="EU180" s="21"/>
      <c r="EV180" s="21"/>
      <c r="EW180" s="21"/>
      <c r="EX180" s="21"/>
      <c r="EY180" s="21"/>
      <c r="EZ180" s="21"/>
      <c r="FA180" s="69">
        <v>0</v>
      </c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>
        <v>0</v>
      </c>
      <c r="GY180" s="21">
        <v>0</v>
      </c>
      <c r="GZ180" s="21"/>
      <c r="HA180" s="21">
        <v>0.11405593726537747</v>
      </c>
      <c r="HB180" s="21">
        <f t="shared" si="2"/>
        <v>69.315258849317999</v>
      </c>
    </row>
    <row r="181" spans="1:210" x14ac:dyDescent="0.75">
      <c r="A181" s="67" t="s">
        <v>548</v>
      </c>
      <c r="B181" s="21">
        <v>9.7326696017200204E-2</v>
      </c>
      <c r="C181" s="21">
        <v>0.23159975262374424</v>
      </c>
      <c r="D181" s="21">
        <v>5.0020195341105127E-3</v>
      </c>
      <c r="E181" s="21">
        <v>0.21235031019981926</v>
      </c>
      <c r="F181" s="21">
        <v>1.6353243533904948E-4</v>
      </c>
      <c r="G181" s="21">
        <v>0.55714203170143728</v>
      </c>
      <c r="H181" s="21">
        <v>0.10165856661545626</v>
      </c>
      <c r="I181" s="21">
        <v>0.12044259266334839</v>
      </c>
      <c r="J181" s="21">
        <v>1.9253281365185539E-2</v>
      </c>
      <c r="K181" s="21">
        <v>0.40101282704826674</v>
      </c>
      <c r="L181" s="21">
        <v>3.7119629271378997E-2</v>
      </c>
      <c r="M181" s="21">
        <v>0.53534202221941352</v>
      </c>
      <c r="N181" s="21">
        <v>5.0252769294783832E-2</v>
      </c>
      <c r="O181" s="21">
        <v>0.2298295638823773</v>
      </c>
      <c r="P181" s="21">
        <v>2.9952599600862991E-2</v>
      </c>
      <c r="Q181" s="21">
        <v>3.1519295911209909E-2</v>
      </c>
      <c r="R181" s="21">
        <v>3.9437267391487984E-3</v>
      </c>
      <c r="S181" s="21">
        <v>1.4393268714584424E-3</v>
      </c>
      <c r="T181" s="21">
        <v>2.0061008232493047E-2</v>
      </c>
      <c r="U181" s="21">
        <v>3.0064380414575598E-3</v>
      </c>
      <c r="V181" s="21">
        <v>1.2144533010075833E-2</v>
      </c>
      <c r="W181" s="21">
        <v>2.0592324257797896E-2</v>
      </c>
      <c r="X181" s="21">
        <v>6.3898027300428054E-2</v>
      </c>
      <c r="Y181" s="21">
        <v>0.250584667535385</v>
      </c>
      <c r="Z181" s="21">
        <v>0.57127689089516953</v>
      </c>
      <c r="AA181" s="21">
        <v>6.1570286283091323E-2</v>
      </c>
      <c r="AB181" s="21">
        <v>0.2872657688383411</v>
      </c>
      <c r="AC181" s="69">
        <v>1.9750966723918302E-2</v>
      </c>
      <c r="AD181" s="21">
        <v>0.28648428544143256</v>
      </c>
      <c r="AE181" s="21">
        <v>1.1164340401478474</v>
      </c>
      <c r="AF181" s="69">
        <v>0</v>
      </c>
      <c r="AG181" s="21"/>
      <c r="AH181" s="21"/>
      <c r="AI181" s="69">
        <v>0</v>
      </c>
      <c r="AJ181" s="21"/>
      <c r="AK181" s="21"/>
      <c r="AL181" s="21"/>
      <c r="AM181" s="21"/>
      <c r="AN181" s="21"/>
      <c r="AO181" s="21"/>
      <c r="AP181" s="21"/>
      <c r="AQ181" s="21"/>
      <c r="AR181" s="69">
        <v>0</v>
      </c>
      <c r="AS181" s="21"/>
      <c r="AT181" s="21"/>
      <c r="AU181" s="21"/>
      <c r="AV181" s="21"/>
      <c r="AW181" s="21"/>
      <c r="AX181" s="21"/>
      <c r="AY181" s="21"/>
      <c r="AZ181" s="21"/>
      <c r="BA181" s="21"/>
      <c r="BB181" s="69">
        <v>0</v>
      </c>
      <c r="BC181" s="21"/>
      <c r="BD181" s="21"/>
      <c r="BE181" s="21"/>
      <c r="BF181" s="21"/>
      <c r="BG181" s="69">
        <v>0</v>
      </c>
      <c r="BH181" s="21">
        <v>1.0640813265143023</v>
      </c>
      <c r="BI181" s="69">
        <v>0.91722741998923962</v>
      </c>
      <c r="BJ181" s="21">
        <v>0.19196055218756428</v>
      </c>
      <c r="BK181" s="69">
        <v>25.840551235798497</v>
      </c>
      <c r="BL181" s="69">
        <v>6.2276499983258269</v>
      </c>
      <c r="BM181" s="21">
        <v>0.1917930412513765</v>
      </c>
      <c r="BN181" s="21">
        <v>6.0994099815598641</v>
      </c>
      <c r="BO181" s="69">
        <v>8.575931463797378</v>
      </c>
      <c r="BP181" s="21">
        <v>0.9424174394091358</v>
      </c>
      <c r="BQ181" s="21">
        <v>4.3825295870827974</v>
      </c>
      <c r="BR181" s="21">
        <v>6.7836438893555178</v>
      </c>
      <c r="BS181" s="21">
        <v>8.1194910250840895</v>
      </c>
      <c r="BT181" s="21"/>
      <c r="BU181" s="21"/>
      <c r="BV181" s="69">
        <v>22.166828327421008</v>
      </c>
      <c r="BW181" s="21">
        <v>84.441144806769955</v>
      </c>
      <c r="BX181" s="21">
        <v>26.37130904974957</v>
      </c>
      <c r="BY181" s="21">
        <v>27.261176652685631</v>
      </c>
      <c r="BZ181" s="21">
        <v>13.064085423899762</v>
      </c>
      <c r="CA181" s="21">
        <v>0.48497102122993047</v>
      </c>
      <c r="CB181" s="21">
        <v>9.0742128319520727</v>
      </c>
      <c r="CC181" s="21">
        <v>40.130134994619198</v>
      </c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69">
        <v>0</v>
      </c>
      <c r="DH181" s="21"/>
      <c r="DI181" s="21"/>
      <c r="DJ181" s="69">
        <v>0</v>
      </c>
      <c r="DK181" s="21"/>
      <c r="DL181" s="21"/>
      <c r="DM181" s="69">
        <v>0</v>
      </c>
      <c r="DN181" s="21"/>
      <c r="DO181" s="21"/>
      <c r="DP181" s="21"/>
      <c r="DQ181" s="21"/>
      <c r="DR181" s="21"/>
      <c r="DS181" s="21"/>
      <c r="DT181" s="21"/>
      <c r="DU181" s="21"/>
      <c r="DV181" s="21"/>
      <c r="DW181" s="69">
        <v>0</v>
      </c>
      <c r="DX181" s="21"/>
      <c r="DY181" s="21"/>
      <c r="DZ181" s="21"/>
      <c r="EA181" s="21"/>
      <c r="EB181" s="21"/>
      <c r="EC181" s="21"/>
      <c r="ED181" s="21"/>
      <c r="EE181" s="21"/>
      <c r="EF181" s="21"/>
      <c r="EG181" s="69">
        <v>0</v>
      </c>
      <c r="EH181" s="21"/>
      <c r="EI181" s="21"/>
      <c r="EJ181" s="21"/>
      <c r="EK181" s="21"/>
      <c r="EL181" s="69">
        <v>0</v>
      </c>
      <c r="EM181" s="21"/>
      <c r="EN181" s="69">
        <v>0</v>
      </c>
      <c r="EO181" s="21"/>
      <c r="EP181" s="69">
        <v>0</v>
      </c>
      <c r="EQ181" s="69">
        <v>0</v>
      </c>
      <c r="ER181" s="21"/>
      <c r="ES181" s="21"/>
      <c r="ET181" s="69">
        <v>0</v>
      </c>
      <c r="EU181" s="21"/>
      <c r="EV181" s="21"/>
      <c r="EW181" s="21"/>
      <c r="EX181" s="21"/>
      <c r="EY181" s="21"/>
      <c r="EZ181" s="21"/>
      <c r="FA181" s="69">
        <v>0</v>
      </c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>
        <v>0</v>
      </c>
      <c r="GY181" s="21">
        <v>0</v>
      </c>
      <c r="GZ181" s="21"/>
      <c r="HA181" s="21">
        <v>0.49067753390985697</v>
      </c>
      <c r="HB181" s="21">
        <f t="shared" si="2"/>
        <v>298.19964738329458</v>
      </c>
    </row>
    <row r="182" spans="1:210" x14ac:dyDescent="0.75">
      <c r="A182" s="67" t="s">
        <v>748</v>
      </c>
      <c r="B182" s="21">
        <v>0.36035668577746982</v>
      </c>
      <c r="C182" s="21">
        <v>0.63332101107631922</v>
      </c>
      <c r="D182" s="21">
        <v>4.5869956749634089E-3</v>
      </c>
      <c r="E182" s="21">
        <v>0.11278008136610741</v>
      </c>
      <c r="F182" s="21">
        <v>2.9091661577176621E-4</v>
      </c>
      <c r="G182" s="21">
        <v>0.54021531287320312</v>
      </c>
      <c r="H182" s="21">
        <v>0.51512970387299273</v>
      </c>
      <c r="I182" s="21">
        <v>0.73196160716987324</v>
      </c>
      <c r="J182" s="21">
        <v>0.10672688068553444</v>
      </c>
      <c r="K182" s="21">
        <v>2.8631779054729072</v>
      </c>
      <c r="L182" s="21">
        <v>0.26502918415715826</v>
      </c>
      <c r="M182" s="21">
        <v>1.474852825480613</v>
      </c>
      <c r="N182" s="21">
        <v>0.3007553084187759</v>
      </c>
      <c r="O182" s="21">
        <v>1.9687806824246503</v>
      </c>
      <c r="P182" s="21">
        <v>0.54311312323260841</v>
      </c>
      <c r="Q182" s="21">
        <v>0.34677305385158819</v>
      </c>
      <c r="R182" s="21">
        <v>5.3767006695658801E-2</v>
      </c>
      <c r="S182" s="21">
        <v>3.5415448887477052E-2</v>
      </c>
      <c r="T182" s="21">
        <v>0.27900304220679245</v>
      </c>
      <c r="U182" s="21"/>
      <c r="V182" s="21">
        <v>1.8782541609060555E-2</v>
      </c>
      <c r="W182" s="21">
        <v>3.1847761200736444E-2</v>
      </c>
      <c r="X182" s="21">
        <v>2.5989089575803644E-3</v>
      </c>
      <c r="Y182" s="21">
        <v>3.2885040796527112E-2</v>
      </c>
      <c r="Z182" s="21">
        <v>2.4961453959889237</v>
      </c>
      <c r="AA182" s="21">
        <v>0.31252160539120827</v>
      </c>
      <c r="AB182" s="21">
        <v>9.3508346255621724E-2</v>
      </c>
      <c r="AC182" s="69">
        <v>5.6973334933129866E-2</v>
      </c>
      <c r="AD182" s="21">
        <v>0.2234035525388792</v>
      </c>
      <c r="AE182" s="21">
        <v>0.54809579395204855</v>
      </c>
      <c r="AF182" s="69">
        <v>1.2416813472553723</v>
      </c>
      <c r="AG182" s="21"/>
      <c r="AH182" s="21">
        <v>9.2312752097466614E-5</v>
      </c>
      <c r="AI182" s="69">
        <v>0.20458091587652164</v>
      </c>
      <c r="AJ182" s="21">
        <v>0.34807698784176316</v>
      </c>
      <c r="AK182" s="21">
        <v>7.2417683674319985E-2</v>
      </c>
      <c r="AL182" s="21">
        <v>8.3462304265139134E-2</v>
      </c>
      <c r="AM182" s="21">
        <v>0.18971967627049025</v>
      </c>
      <c r="AN182" s="21">
        <v>0.84737152588173381</v>
      </c>
      <c r="AO182" s="21">
        <v>0.45336818478066371</v>
      </c>
      <c r="AP182" s="21">
        <v>5.5306231832044014E-2</v>
      </c>
      <c r="AQ182" s="21">
        <v>0.29023399445300108</v>
      </c>
      <c r="AR182" s="69">
        <v>3.8245786900367964</v>
      </c>
      <c r="AS182" s="21">
        <v>1.0391859813490183E-2</v>
      </c>
      <c r="AT182" s="21">
        <v>3.5316358240960732</v>
      </c>
      <c r="AU182" s="21">
        <v>4.3578950313784504E-2</v>
      </c>
      <c r="AV182" s="21">
        <v>7.6870550024492279E-2</v>
      </c>
      <c r="AW182" s="21">
        <v>1.229003373634064E-3</v>
      </c>
      <c r="AX182" s="21">
        <v>0.13879659115730475</v>
      </c>
      <c r="AY182" s="21">
        <v>3.1128514399571438E-2</v>
      </c>
      <c r="AZ182" s="21">
        <v>2.0210588517378246E-2</v>
      </c>
      <c r="BA182" s="21">
        <v>7.983242394592236E-4</v>
      </c>
      <c r="BB182" s="69">
        <v>1.136375612083996E-2</v>
      </c>
      <c r="BC182" s="21">
        <v>0.54681301886957867</v>
      </c>
      <c r="BD182" s="21">
        <v>0.28469308950238176</v>
      </c>
      <c r="BE182" s="21">
        <v>0.14925836547490121</v>
      </c>
      <c r="BF182" s="21">
        <v>0.65154557724029249</v>
      </c>
      <c r="BG182" s="69">
        <v>1.4636885435249054</v>
      </c>
      <c r="BH182" s="21">
        <v>2.7203059555687599</v>
      </c>
      <c r="BI182" s="69">
        <v>0.78257660246596428</v>
      </c>
      <c r="BJ182" s="21">
        <v>10.401010000359904</v>
      </c>
      <c r="BK182" s="69">
        <v>12.083203974359794</v>
      </c>
      <c r="BL182" s="69">
        <v>14.29419245056007</v>
      </c>
      <c r="BM182" s="21">
        <v>0.48447250758313887</v>
      </c>
      <c r="BN182" s="21">
        <v>3.8925096638718428</v>
      </c>
      <c r="BO182" s="69">
        <v>0.1688477866605459</v>
      </c>
      <c r="BP182" s="21">
        <v>3.9159861945872891E-2</v>
      </c>
      <c r="BQ182" s="21">
        <v>5.4752319466445723E-2</v>
      </c>
      <c r="BR182" s="21">
        <v>3.4589288258167476E-2</v>
      </c>
      <c r="BS182" s="21">
        <v>9.8100339549167387E-2</v>
      </c>
      <c r="BT182" s="21">
        <v>0.73046200945977457</v>
      </c>
      <c r="BU182" s="21">
        <v>0.25689525677947161</v>
      </c>
      <c r="BV182" s="69">
        <v>5.0367341745753915</v>
      </c>
      <c r="BW182" s="21">
        <v>4.4308492716548749</v>
      </c>
      <c r="BX182" s="21">
        <v>0.72486537849769295</v>
      </c>
      <c r="BY182" s="21">
        <v>0.2236433620346861</v>
      </c>
      <c r="BZ182" s="21">
        <v>0.27037749435533209</v>
      </c>
      <c r="CA182" s="21">
        <v>0.2928304267213841</v>
      </c>
      <c r="CB182" s="21">
        <v>1.3069453948859426</v>
      </c>
      <c r="CC182" s="21">
        <v>6.1201865552279511</v>
      </c>
      <c r="CD182" s="21">
        <v>4.5389753890687388</v>
      </c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69">
        <v>0</v>
      </c>
      <c r="DH182" s="21"/>
      <c r="DI182" s="21"/>
      <c r="DJ182" s="69">
        <v>0</v>
      </c>
      <c r="DK182" s="21"/>
      <c r="DL182" s="21"/>
      <c r="DM182" s="69">
        <v>0</v>
      </c>
      <c r="DN182" s="21"/>
      <c r="DO182" s="21"/>
      <c r="DP182" s="21"/>
      <c r="DQ182" s="21"/>
      <c r="DR182" s="21"/>
      <c r="DS182" s="21"/>
      <c r="DT182" s="21"/>
      <c r="DU182" s="21"/>
      <c r="DV182" s="21"/>
      <c r="DW182" s="69">
        <v>0</v>
      </c>
      <c r="DX182" s="21"/>
      <c r="DY182" s="21"/>
      <c r="DZ182" s="21"/>
      <c r="EA182" s="21"/>
      <c r="EB182" s="21"/>
      <c r="EC182" s="21"/>
      <c r="ED182" s="21"/>
      <c r="EE182" s="21"/>
      <c r="EF182" s="21"/>
      <c r="EG182" s="69">
        <v>0</v>
      </c>
      <c r="EH182" s="21"/>
      <c r="EI182" s="21"/>
      <c r="EJ182" s="21"/>
      <c r="EK182" s="21"/>
      <c r="EL182" s="69">
        <v>0</v>
      </c>
      <c r="EM182" s="21"/>
      <c r="EN182" s="69">
        <v>0</v>
      </c>
      <c r="EO182" s="21"/>
      <c r="EP182" s="69">
        <v>0</v>
      </c>
      <c r="EQ182" s="69">
        <v>0</v>
      </c>
      <c r="ER182" s="21"/>
      <c r="ES182" s="21"/>
      <c r="ET182" s="69">
        <v>0</v>
      </c>
      <c r="EU182" s="21"/>
      <c r="EV182" s="21"/>
      <c r="EW182" s="21"/>
      <c r="EX182" s="21"/>
      <c r="EY182" s="21"/>
      <c r="EZ182" s="21"/>
      <c r="FA182" s="69">
        <v>0</v>
      </c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>
        <v>0</v>
      </c>
      <c r="GY182" s="21">
        <v>0</v>
      </c>
      <c r="GZ182" s="21"/>
      <c r="HA182" s="21">
        <v>0.16236565549926715</v>
      </c>
      <c r="HB182" s="21">
        <f t="shared" si="2"/>
        <v>98.674542588562403</v>
      </c>
    </row>
    <row r="183" spans="1:210" x14ac:dyDescent="0.75">
      <c r="A183" s="67" t="s">
        <v>749</v>
      </c>
      <c r="B183" s="21">
        <v>0.39542922300068212</v>
      </c>
      <c r="C183" s="21">
        <v>0.6949604245016423</v>
      </c>
      <c r="D183" s="21">
        <v>5.0334355022300381E-3</v>
      </c>
      <c r="E183" s="21">
        <v>0.12375666028878167</v>
      </c>
      <c r="F183" s="21">
        <v>3.1923073963349745E-4</v>
      </c>
      <c r="G183" s="21">
        <v>0.6066791218127715</v>
      </c>
      <c r="H183" s="21">
        <v>0.57850717837517718</v>
      </c>
      <c r="I183" s="21">
        <v>0.82201635987818178</v>
      </c>
      <c r="J183" s="21">
        <v>0.11985770988930496</v>
      </c>
      <c r="K183" s="21">
        <v>2.632453093122094</v>
      </c>
      <c r="L183" s="21">
        <v>0.24367221270761447</v>
      </c>
      <c r="M183" s="21">
        <v>1.356004066291171</v>
      </c>
      <c r="N183" s="21">
        <v>0.37762229791442981</v>
      </c>
      <c r="O183" s="21">
        <v>2.4719613073347255</v>
      </c>
      <c r="P183" s="21">
        <v>0.68192188094983874</v>
      </c>
      <c r="Q183" s="21">
        <v>0.43540125073338853</v>
      </c>
      <c r="R183" s="21">
        <v>4.9052924415212439E-2</v>
      </c>
      <c r="S183" s="21">
        <v>3.2310359906059211E-2</v>
      </c>
      <c r="T183" s="21">
        <v>5.7059570067342479E-3</v>
      </c>
      <c r="U183" s="21"/>
      <c r="V183" s="21">
        <v>0.1041712713290185</v>
      </c>
      <c r="W183" s="21">
        <v>0.17663327159426115</v>
      </c>
      <c r="X183" s="21">
        <v>1.4414005080596863E-2</v>
      </c>
      <c r="Y183" s="21">
        <v>0.18238620623251267</v>
      </c>
      <c r="Z183" s="21">
        <v>0.87220497799511698</v>
      </c>
      <c r="AA183" s="21">
        <v>0.52433038012485833</v>
      </c>
      <c r="AB183" s="21">
        <v>0.27013891127348089</v>
      </c>
      <c r="AC183" s="69">
        <v>9.5586512571105675E-2</v>
      </c>
      <c r="AD183" s="21">
        <v>1.201795982214432</v>
      </c>
      <c r="AE183" s="21">
        <v>0.11550579272504961</v>
      </c>
      <c r="AF183" s="69">
        <v>6.9248464314016447</v>
      </c>
      <c r="AG183" s="21"/>
      <c r="AH183" s="21">
        <v>6.2201898664456133E-5</v>
      </c>
      <c r="AI183" s="69">
        <v>0.13785009231007697</v>
      </c>
      <c r="AJ183" s="21">
        <v>0.32661792857738564</v>
      </c>
      <c r="AK183" s="21">
        <v>6.7953109973565518E-2</v>
      </c>
      <c r="AL183" s="21">
        <v>7.8316826120570365E-2</v>
      </c>
      <c r="AM183" s="21">
        <v>0.17802339665732109</v>
      </c>
      <c r="AN183" s="21">
        <v>0.79513079630753847</v>
      </c>
      <c r="AO183" s="21">
        <v>0.42541788905409222</v>
      </c>
      <c r="AP183" s="21">
        <v>5.1896584690668601E-2</v>
      </c>
      <c r="AQ183" s="21">
        <v>0.27234097450324418</v>
      </c>
      <c r="AR183" s="69">
        <v>2.5549558479063483</v>
      </c>
      <c r="AS183" s="21">
        <v>6.9421353704306379E-3</v>
      </c>
      <c r="AT183" s="21">
        <v>2.2875977933107312</v>
      </c>
      <c r="AU183" s="21">
        <v>0.12079701974340752</v>
      </c>
      <c r="AV183" s="21">
        <v>0.21307840785825466</v>
      </c>
      <c r="AW183" s="21">
        <v>1.3911013154922272E-3</v>
      </c>
      <c r="AX183" s="21">
        <v>0.15710300287772286</v>
      </c>
      <c r="AY183" s="21">
        <v>3.5234172874985141E-2</v>
      </c>
      <c r="AZ183" s="21">
        <v>2.2876240111744574E-2</v>
      </c>
      <c r="BA183" s="21">
        <v>9.0361826787932335E-4</v>
      </c>
      <c r="BB183" s="69">
        <v>1.2862565252274232E-2</v>
      </c>
      <c r="BC183" s="21">
        <v>0.45781044698160406</v>
      </c>
      <c r="BD183" s="21">
        <v>0.23835473198333945</v>
      </c>
      <c r="BE183" s="21">
        <v>0.12496417725216251</v>
      </c>
      <c r="BF183" s="21">
        <v>0.63245180190251171</v>
      </c>
      <c r="BG183" s="69">
        <v>1.4207946291299638</v>
      </c>
      <c r="BH183" s="21">
        <v>0.48047116953945229</v>
      </c>
      <c r="BI183" s="69">
        <v>0.13822176680946827</v>
      </c>
      <c r="BJ183" s="21">
        <v>20.263328999602912</v>
      </c>
      <c r="BK183" s="69">
        <v>24.442960533441187</v>
      </c>
      <c r="BL183" s="69">
        <v>13.338406145450133</v>
      </c>
      <c r="BM183" s="21">
        <v>0.45207807959766072</v>
      </c>
      <c r="BN183" s="21">
        <v>3.4392632045617835</v>
      </c>
      <c r="BO183" s="69">
        <v>0.15303429210760813</v>
      </c>
      <c r="BP183" s="21">
        <v>3.5492332297884004E-2</v>
      </c>
      <c r="BQ183" s="21">
        <v>0.46079117545857856</v>
      </c>
      <c r="BR183" s="21">
        <v>0.29110070495779228</v>
      </c>
      <c r="BS183" s="21">
        <v>0.82560467235454915</v>
      </c>
      <c r="BT183" s="21">
        <v>3.7254321124783947</v>
      </c>
      <c r="BU183" s="21">
        <v>1.3101924901712902</v>
      </c>
      <c r="BV183" s="69">
        <v>5.9499023539392297</v>
      </c>
      <c r="BW183" s="21">
        <v>3.8175337604741895</v>
      </c>
      <c r="BX183" s="21">
        <v>0.45699127822083774</v>
      </c>
      <c r="BY183" s="21">
        <v>0.59104193744396993</v>
      </c>
      <c r="BZ183" s="21">
        <v>0.71455032982484223</v>
      </c>
      <c r="CA183" s="21">
        <v>0.22147623556296767</v>
      </c>
      <c r="CB183" s="21">
        <v>0.98848111306787623</v>
      </c>
      <c r="CC183" s="21">
        <v>4.6288764947388898</v>
      </c>
      <c r="CD183" s="21">
        <v>6.9594723612183413</v>
      </c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69">
        <v>0</v>
      </c>
      <c r="DH183" s="21"/>
      <c r="DI183" s="21"/>
      <c r="DJ183" s="69">
        <v>0</v>
      </c>
      <c r="DK183" s="21"/>
      <c r="DL183" s="21"/>
      <c r="DM183" s="69">
        <v>0</v>
      </c>
      <c r="DN183" s="21"/>
      <c r="DO183" s="21"/>
      <c r="DP183" s="21"/>
      <c r="DQ183" s="21"/>
      <c r="DR183" s="21"/>
      <c r="DS183" s="21"/>
      <c r="DT183" s="21"/>
      <c r="DU183" s="21"/>
      <c r="DV183" s="21"/>
      <c r="DW183" s="69">
        <v>0</v>
      </c>
      <c r="DX183" s="21"/>
      <c r="DY183" s="21"/>
      <c r="DZ183" s="21"/>
      <c r="EA183" s="21"/>
      <c r="EB183" s="21"/>
      <c r="EC183" s="21"/>
      <c r="ED183" s="21"/>
      <c r="EE183" s="21"/>
      <c r="EF183" s="21"/>
      <c r="EG183" s="69">
        <v>0</v>
      </c>
      <c r="EH183" s="21"/>
      <c r="EI183" s="21"/>
      <c r="EJ183" s="21"/>
      <c r="EK183" s="21"/>
      <c r="EL183" s="69">
        <v>0</v>
      </c>
      <c r="EM183" s="21"/>
      <c r="EN183" s="69">
        <v>0</v>
      </c>
      <c r="EO183" s="21"/>
      <c r="EP183" s="69">
        <v>0</v>
      </c>
      <c r="EQ183" s="69">
        <v>0</v>
      </c>
      <c r="ER183" s="21"/>
      <c r="ES183" s="21"/>
      <c r="ET183" s="69">
        <v>0</v>
      </c>
      <c r="EU183" s="21"/>
      <c r="EV183" s="21"/>
      <c r="EW183" s="21"/>
      <c r="EX183" s="21"/>
      <c r="EY183" s="21"/>
      <c r="EZ183" s="21"/>
      <c r="FA183" s="69">
        <v>0</v>
      </c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>
        <v>0</v>
      </c>
      <c r="GY183" s="21">
        <v>0</v>
      </c>
      <c r="GZ183" s="21"/>
      <c r="HA183" s="21">
        <v>0.20836455905738877</v>
      </c>
      <c r="HB183" s="21">
        <f t="shared" si="2"/>
        <v>126.62947403152097</v>
      </c>
    </row>
    <row r="184" spans="1:210" x14ac:dyDescent="0.75">
      <c r="A184" s="67" t="s">
        <v>750</v>
      </c>
      <c r="B184" s="21">
        <v>0.10791005880611163</v>
      </c>
      <c r="C184" s="21">
        <v>0.18965017230343431</v>
      </c>
      <c r="D184" s="21">
        <v>1.3735917566251204E-3</v>
      </c>
      <c r="E184" s="21">
        <v>3.3772386340266441E-2</v>
      </c>
      <c r="F184" s="21">
        <v>8.7115989114719026E-5</v>
      </c>
      <c r="G184" s="21">
        <v>8.6492348678181452E-2</v>
      </c>
      <c r="H184" s="21">
        <v>8.247596263960208E-2</v>
      </c>
      <c r="I184" s="21">
        <v>0.1171923065447024</v>
      </c>
      <c r="J184" s="21">
        <v>1.7087739569045846E-2</v>
      </c>
      <c r="K184" s="21">
        <v>0.70719842473152195</v>
      </c>
      <c r="L184" s="21">
        <v>6.5461605157527053E-2</v>
      </c>
      <c r="M184" s="21">
        <v>0.36428529044493685</v>
      </c>
      <c r="N184" s="21">
        <v>3.3447558630514629E-2</v>
      </c>
      <c r="O184" s="21">
        <v>0.2189517706345232</v>
      </c>
      <c r="P184" s="21">
        <v>6.0400623110632719E-2</v>
      </c>
      <c r="Q184" s="21">
        <v>3.8565277903701678E-2</v>
      </c>
      <c r="R184" s="21">
        <v>5.3793480045623695E-3</v>
      </c>
      <c r="S184" s="21">
        <v>3.5432886450588365E-3</v>
      </c>
      <c r="T184" s="21"/>
      <c r="U184" s="21"/>
      <c r="V184" s="21">
        <v>1.9014482236673187E-4</v>
      </c>
      <c r="W184" s="21">
        <v>3.2241040761868498E-4</v>
      </c>
      <c r="X184" s="21">
        <v>2.6310021954006657E-5</v>
      </c>
      <c r="Y184" s="21">
        <v>3.329112944843427E-4</v>
      </c>
      <c r="Z184" s="21">
        <v>0.7852512150280877</v>
      </c>
      <c r="AA184" s="21">
        <v>5.0947179532991251E-2</v>
      </c>
      <c r="AB184" s="21">
        <v>6.5745844689558325E-2</v>
      </c>
      <c r="AC184" s="69">
        <v>9.2877761836592226E-3</v>
      </c>
      <c r="AD184" s="21">
        <v>3.8742881468884862</v>
      </c>
      <c r="AE184" s="21">
        <v>0.58383939059338896</v>
      </c>
      <c r="AF184" s="69">
        <v>0</v>
      </c>
      <c r="AG184" s="21"/>
      <c r="AH184" s="21">
        <v>5.1440201501746336E-4</v>
      </c>
      <c r="AI184" s="69">
        <v>1.1400032278301988</v>
      </c>
      <c r="AJ184" s="21">
        <v>0.30908194726717025</v>
      </c>
      <c r="AK184" s="21">
        <v>6.4304735643173766E-2</v>
      </c>
      <c r="AL184" s="21">
        <v>7.4112028162578517E-2</v>
      </c>
      <c r="AM184" s="21">
        <v>0.16846539422260717</v>
      </c>
      <c r="AN184" s="21">
        <v>0.75244055317251679</v>
      </c>
      <c r="AO184" s="21">
        <v>0.40257737878578853</v>
      </c>
      <c r="AP184" s="21">
        <v>4.9110278552596462E-2</v>
      </c>
      <c r="AQ184" s="21">
        <v>0.25771910037742368</v>
      </c>
      <c r="AR184" s="69">
        <v>4.3993104737611368</v>
      </c>
      <c r="AS184" s="21">
        <v>1.1953478127784307E-2</v>
      </c>
      <c r="AT184" s="21">
        <v>2.7261914169782213</v>
      </c>
      <c r="AU184" s="21">
        <v>1.4089956630828617</v>
      </c>
      <c r="AV184" s="21">
        <v>2.4853804605992096</v>
      </c>
      <c r="AW184" s="21">
        <v>8.00603625263052E-3</v>
      </c>
      <c r="AX184" s="21">
        <v>0.90415580980966592</v>
      </c>
      <c r="AY184" s="21">
        <v>0.20277895091254991</v>
      </c>
      <c r="AZ184" s="21">
        <v>0.13165684312051881</v>
      </c>
      <c r="BA184" s="21">
        <v>5.2004843433141592E-3</v>
      </c>
      <c r="BB184" s="69">
        <v>7.4026357796301373E-2</v>
      </c>
      <c r="BC184" s="21">
        <v>0.94440245457863325</v>
      </c>
      <c r="BD184" s="21">
        <v>0.49169431460034652</v>
      </c>
      <c r="BE184" s="21">
        <v>0.25778458423008399</v>
      </c>
      <c r="BF184" s="21">
        <v>0.46033731755391166</v>
      </c>
      <c r="BG184" s="69">
        <v>1.0341417107220274</v>
      </c>
      <c r="BH184" s="21">
        <v>3.0923887445588565</v>
      </c>
      <c r="BI184" s="69">
        <v>0.88961724039415269</v>
      </c>
      <c r="BJ184" s="21">
        <v>11.63691496855081</v>
      </c>
      <c r="BK184" s="69">
        <v>43.82042806023734</v>
      </c>
      <c r="BL184" s="69">
        <v>23.591736509658645</v>
      </c>
      <c r="BM184" s="21">
        <v>0.79959380598847218</v>
      </c>
      <c r="BN184" s="21">
        <v>13.695549702197503</v>
      </c>
      <c r="BO184" s="69">
        <v>2.2611280971783678</v>
      </c>
      <c r="BP184" s="21">
        <v>0.52440997823354518</v>
      </c>
      <c r="BQ184" s="21">
        <v>0.48167160443767504</v>
      </c>
      <c r="BR184" s="21">
        <v>0.30429172926416487</v>
      </c>
      <c r="BS184" s="21">
        <v>0.8630163691144821</v>
      </c>
      <c r="BT184" s="21"/>
      <c r="BU184" s="21"/>
      <c r="BV184" s="69">
        <v>14.200507857693511</v>
      </c>
      <c r="BW184" s="21">
        <v>11.418810885429059</v>
      </c>
      <c r="BX184" s="21">
        <v>7.9326318545198866</v>
      </c>
      <c r="BY184" s="21">
        <v>1.2217577005226907</v>
      </c>
      <c r="BZ184" s="21">
        <v>1.4770650144555766</v>
      </c>
      <c r="CA184" s="21">
        <v>0.5510912036670127</v>
      </c>
      <c r="CB184" s="21">
        <v>2.4596013428619483</v>
      </c>
      <c r="CC184" s="21">
        <v>11.517863813367661</v>
      </c>
      <c r="CD184" s="21">
        <v>1.5037836407651699</v>
      </c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69">
        <v>0</v>
      </c>
      <c r="DH184" s="21"/>
      <c r="DI184" s="21"/>
      <c r="DJ184" s="69">
        <v>0</v>
      </c>
      <c r="DK184" s="21"/>
      <c r="DL184" s="21"/>
      <c r="DM184" s="69">
        <v>0</v>
      </c>
      <c r="DN184" s="21"/>
      <c r="DO184" s="21"/>
      <c r="DP184" s="21"/>
      <c r="DQ184" s="21"/>
      <c r="DR184" s="21"/>
      <c r="DS184" s="21"/>
      <c r="DT184" s="21"/>
      <c r="DU184" s="21"/>
      <c r="DV184" s="21"/>
      <c r="DW184" s="69">
        <v>0</v>
      </c>
      <c r="DX184" s="21"/>
      <c r="DY184" s="21"/>
      <c r="DZ184" s="21"/>
      <c r="EA184" s="21"/>
      <c r="EB184" s="21"/>
      <c r="EC184" s="21"/>
      <c r="ED184" s="21"/>
      <c r="EE184" s="21"/>
      <c r="EF184" s="21"/>
      <c r="EG184" s="69">
        <v>0</v>
      </c>
      <c r="EH184" s="21"/>
      <c r="EI184" s="21"/>
      <c r="EJ184" s="21"/>
      <c r="EK184" s="21"/>
      <c r="EL184" s="69">
        <v>0</v>
      </c>
      <c r="EM184" s="21"/>
      <c r="EN184" s="69">
        <v>0</v>
      </c>
      <c r="EO184" s="21"/>
      <c r="EP184" s="69">
        <v>0</v>
      </c>
      <c r="EQ184" s="69">
        <v>0</v>
      </c>
      <c r="ER184" s="21"/>
      <c r="ES184" s="21"/>
      <c r="ET184" s="69">
        <v>0</v>
      </c>
      <c r="EU184" s="21"/>
      <c r="EV184" s="21"/>
      <c r="EW184" s="21"/>
      <c r="EX184" s="21"/>
      <c r="EY184" s="21"/>
      <c r="EZ184" s="21"/>
      <c r="FA184" s="69">
        <v>0</v>
      </c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>
        <v>0</v>
      </c>
      <c r="GY184" s="21">
        <v>0</v>
      </c>
      <c r="GZ184" s="21"/>
      <c r="HA184" s="21">
        <v>0.29751552865825504</v>
      </c>
      <c r="HB184" s="21">
        <f t="shared" si="2"/>
        <v>180.80922725360568</v>
      </c>
    </row>
    <row r="185" spans="1:210" x14ac:dyDescent="0.75">
      <c r="A185" s="67" t="s">
        <v>751</v>
      </c>
      <c r="B185" s="21">
        <v>0.15617241883082075</v>
      </c>
      <c r="C185" s="21">
        <v>0.27447048466098889</v>
      </c>
      <c r="D185" s="21">
        <v>1.9879254027991657E-3</v>
      </c>
      <c r="E185" s="21">
        <v>4.8876956632236249E-2</v>
      </c>
      <c r="F185" s="21">
        <v>1.2607828120388882E-4</v>
      </c>
      <c r="G185" s="21">
        <v>0.26317520905253378</v>
      </c>
      <c r="H185" s="21">
        <v>0.2509543218701113</v>
      </c>
      <c r="I185" s="21">
        <v>0.35658772418132878</v>
      </c>
      <c r="J185" s="21">
        <v>5.1993841097453336E-2</v>
      </c>
      <c r="K185" s="21">
        <v>3.1778789133931706</v>
      </c>
      <c r="L185" s="21">
        <v>0.29415938637865346</v>
      </c>
      <c r="M185" s="21">
        <v>1.6369585995666758</v>
      </c>
      <c r="N185" s="21">
        <v>0.14302932507541877</v>
      </c>
      <c r="O185" s="21">
        <v>0.93628728852434939</v>
      </c>
      <c r="P185" s="21">
        <v>0.25828672439389988</v>
      </c>
      <c r="Q185" s="21">
        <v>0.16491385009129267</v>
      </c>
      <c r="R185" s="21">
        <v>2.1864132120375315E-2</v>
      </c>
      <c r="S185" s="21">
        <v>1.4401546620610316E-2</v>
      </c>
      <c r="T185" s="21"/>
      <c r="U185" s="21"/>
      <c r="V185" s="21">
        <v>3.6578476415256231E-3</v>
      </c>
      <c r="W185" s="21">
        <v>6.2022627512662654E-3</v>
      </c>
      <c r="X185" s="21">
        <v>5.0613027772766024E-4</v>
      </c>
      <c r="Y185" s="21">
        <v>6.4042700622062975E-3</v>
      </c>
      <c r="Z185" s="21">
        <v>1.0746005346151006</v>
      </c>
      <c r="AA185" s="21">
        <v>0.34599519056118605</v>
      </c>
      <c r="AB185" s="21">
        <v>9.2508422309000207E-2</v>
      </c>
      <c r="AC185" s="69">
        <v>6.3075638730381023E-2</v>
      </c>
      <c r="AD185" s="21">
        <v>1.7080754353873033</v>
      </c>
      <c r="AE185" s="21">
        <v>1.3372157200058798E-2</v>
      </c>
      <c r="AF185" s="69">
        <v>0</v>
      </c>
      <c r="AG185" s="21"/>
      <c r="AH185" s="21">
        <v>1.2942336425021358E-3</v>
      </c>
      <c r="AI185" s="69">
        <v>2.8682440716504209</v>
      </c>
      <c r="AJ185" s="21">
        <v>0.32336663854660053</v>
      </c>
      <c r="AK185" s="21">
        <v>6.727667659472375E-2</v>
      </c>
      <c r="AL185" s="21">
        <v>7.7537228022212398E-2</v>
      </c>
      <c r="AM185" s="21">
        <v>0.17625127809261301</v>
      </c>
      <c r="AN185" s="21">
        <v>0.78721573529890043</v>
      </c>
      <c r="AO185" s="21">
        <v>0.42118310332869219</v>
      </c>
      <c r="AP185" s="21">
        <v>5.1379984609431502E-2</v>
      </c>
      <c r="AQ185" s="21">
        <v>0.26962997973564706</v>
      </c>
      <c r="AR185" s="69">
        <v>26.337952401233643</v>
      </c>
      <c r="AS185" s="21">
        <v>7.1563518836989568E-2</v>
      </c>
      <c r="AT185" s="21">
        <v>2.7688685684772989</v>
      </c>
      <c r="AU185" s="21">
        <v>0.62654929043684149</v>
      </c>
      <c r="AV185" s="21">
        <v>1.1051938659959144</v>
      </c>
      <c r="AW185" s="21">
        <v>2.4888943467951636E-2</v>
      </c>
      <c r="AX185" s="21">
        <v>2.8108145062644327</v>
      </c>
      <c r="AY185" s="21">
        <v>0.63039357885679459</v>
      </c>
      <c r="AZ185" s="21">
        <v>0.40929114260741967</v>
      </c>
      <c r="BA185" s="21">
        <v>1.6167121499629206E-2</v>
      </c>
      <c r="BB185" s="69">
        <v>0.2301310881180611</v>
      </c>
      <c r="BC185" s="21">
        <v>0.37303941294974713</v>
      </c>
      <c r="BD185" s="21">
        <v>0.19421948511461584</v>
      </c>
      <c r="BE185" s="21">
        <v>0.10182503179917173</v>
      </c>
      <c r="BF185" s="21">
        <v>0.47597499792602999</v>
      </c>
      <c r="BG185" s="69">
        <v>1.0692715533723633</v>
      </c>
      <c r="BH185" s="21">
        <v>25.385095199117355</v>
      </c>
      <c r="BI185" s="69">
        <v>7.3027747167677672</v>
      </c>
      <c r="BJ185" s="21">
        <v>16.419671785919213</v>
      </c>
      <c r="BK185" s="69">
        <v>108.19304098328385</v>
      </c>
      <c r="BL185" s="69">
        <v>63.763020694030523</v>
      </c>
      <c r="BM185" s="21">
        <v>2.1611175750961826</v>
      </c>
      <c r="BN185" s="21">
        <v>22.838672475823103</v>
      </c>
      <c r="BO185" s="69">
        <v>29.37526191090415</v>
      </c>
      <c r="BP185" s="21">
        <v>6.8128296130260066</v>
      </c>
      <c r="BQ185" s="21">
        <v>23.73562418732779</v>
      </c>
      <c r="BR185" s="21">
        <v>14.994768349606661</v>
      </c>
      <c r="BS185" s="21">
        <v>42.527381759877066</v>
      </c>
      <c r="BT185" s="21">
        <v>73.534372377840938</v>
      </c>
      <c r="BU185" s="21">
        <v>25.861210069081643</v>
      </c>
      <c r="BV185" s="69">
        <v>133.89205541990606</v>
      </c>
      <c r="BW185" s="21">
        <v>228.67308245832803</v>
      </c>
      <c r="BX185" s="21">
        <v>49.806801489532617</v>
      </c>
      <c r="BY185" s="21">
        <v>20.507711585127741</v>
      </c>
      <c r="BZ185" s="21">
        <v>24.793151126429041</v>
      </c>
      <c r="CA185" s="21">
        <v>6.8413204763724691</v>
      </c>
      <c r="CB185" s="21">
        <v>30.533822566331583</v>
      </c>
      <c r="CC185" s="21">
        <v>142.98431371456553</v>
      </c>
      <c r="CD185" s="21">
        <v>0.23662236616229546</v>
      </c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69">
        <v>0</v>
      </c>
      <c r="DH185" s="21"/>
      <c r="DI185" s="21"/>
      <c r="DJ185" s="69">
        <v>0</v>
      </c>
      <c r="DK185" s="21"/>
      <c r="DL185" s="21"/>
      <c r="DM185" s="69">
        <v>0</v>
      </c>
      <c r="DN185" s="21"/>
      <c r="DO185" s="21"/>
      <c r="DP185" s="21"/>
      <c r="DQ185" s="21"/>
      <c r="DR185" s="21"/>
      <c r="DS185" s="21"/>
      <c r="DT185" s="21"/>
      <c r="DU185" s="21"/>
      <c r="DV185" s="21"/>
      <c r="DW185" s="69">
        <v>0</v>
      </c>
      <c r="DX185" s="21"/>
      <c r="DY185" s="21"/>
      <c r="DZ185" s="21"/>
      <c r="EA185" s="21"/>
      <c r="EB185" s="21"/>
      <c r="EC185" s="21"/>
      <c r="ED185" s="21"/>
      <c r="EE185" s="21"/>
      <c r="EF185" s="21"/>
      <c r="EG185" s="69">
        <v>0</v>
      </c>
      <c r="EH185" s="21"/>
      <c r="EI185" s="21"/>
      <c r="EJ185" s="21"/>
      <c r="EK185" s="21"/>
      <c r="EL185" s="69">
        <v>0</v>
      </c>
      <c r="EM185" s="21"/>
      <c r="EN185" s="69">
        <v>0</v>
      </c>
      <c r="EO185" s="21"/>
      <c r="EP185" s="69">
        <v>0</v>
      </c>
      <c r="EQ185" s="69">
        <v>0</v>
      </c>
      <c r="ER185" s="21"/>
      <c r="ES185" s="21"/>
      <c r="ET185" s="69">
        <v>0</v>
      </c>
      <c r="EU185" s="21"/>
      <c r="EV185" s="21"/>
      <c r="EW185" s="21"/>
      <c r="EX185" s="21"/>
      <c r="EY185" s="21"/>
      <c r="EZ185" s="21"/>
      <c r="FA185" s="69">
        <v>0</v>
      </c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>
        <v>0</v>
      </c>
      <c r="GY185" s="21">
        <v>0</v>
      </c>
      <c r="GZ185" s="21"/>
      <c r="HA185" s="21">
        <v>1.903365637259939</v>
      </c>
      <c r="HB185" s="21">
        <f t="shared" si="2"/>
        <v>1156.7331345899058</v>
      </c>
    </row>
    <row r="186" spans="1:210" x14ac:dyDescent="0.75">
      <c r="A186" s="67" t="s">
        <v>17</v>
      </c>
      <c r="B186" s="21">
        <v>21.307452290664642</v>
      </c>
      <c r="C186" s="21">
        <v>44.609839803444316</v>
      </c>
      <c r="D186" s="21">
        <v>1.3790356732424531</v>
      </c>
      <c r="E186" s="21">
        <v>24.103746744607118</v>
      </c>
      <c r="F186" s="21">
        <v>0.13654833054127383</v>
      </c>
      <c r="G186" s="21">
        <v>67.270699954041561</v>
      </c>
      <c r="H186" s="21">
        <v>70.110225997800555</v>
      </c>
      <c r="I186" s="21">
        <v>57.33037913544684</v>
      </c>
      <c r="J186" s="21">
        <v>9.0777571801840153</v>
      </c>
      <c r="K186" s="21">
        <v>74.98531391464202</v>
      </c>
      <c r="L186" s="21">
        <v>7.0780340295526134</v>
      </c>
      <c r="M186" s="21">
        <v>44.206372766932368</v>
      </c>
      <c r="N186" s="21">
        <v>33.398519153732607</v>
      </c>
      <c r="O186" s="21">
        <v>62.341645148827716</v>
      </c>
      <c r="P186" s="21">
        <v>11.45027092012602</v>
      </c>
      <c r="Q186" s="21">
        <v>8.3580275502066268</v>
      </c>
      <c r="R186" s="21">
        <v>3.780238123717131</v>
      </c>
      <c r="S186" s="21">
        <v>1.2642474962279091</v>
      </c>
      <c r="T186" s="21">
        <v>13.547269500122866</v>
      </c>
      <c r="U186" s="21">
        <v>4.7797540399061118</v>
      </c>
      <c r="V186" s="21">
        <v>1.3528454125373712</v>
      </c>
      <c r="W186" s="21">
        <v>2.6693137497851374</v>
      </c>
      <c r="X186" s="21">
        <v>1.6626668046429349</v>
      </c>
      <c r="Y186" s="21">
        <v>9.6893323339218487</v>
      </c>
      <c r="Z186" s="21"/>
      <c r="AA186" s="21"/>
      <c r="AB186" s="21"/>
      <c r="AC186" s="69">
        <v>0</v>
      </c>
      <c r="AD186" s="21"/>
      <c r="AE186" s="21"/>
      <c r="AF186" s="69">
        <v>0</v>
      </c>
      <c r="AG186" s="21"/>
      <c r="AH186" s="21"/>
      <c r="AI186" s="69">
        <v>0</v>
      </c>
      <c r="AJ186" s="21"/>
      <c r="AK186" s="21"/>
      <c r="AL186" s="21"/>
      <c r="AM186" s="21"/>
      <c r="AN186" s="21"/>
      <c r="AO186" s="21"/>
      <c r="AP186" s="21"/>
      <c r="AQ186" s="21"/>
      <c r="AR186" s="69">
        <v>0</v>
      </c>
      <c r="AS186" s="21"/>
      <c r="AT186" s="21"/>
      <c r="AU186" s="21"/>
      <c r="AV186" s="21"/>
      <c r="AW186" s="21"/>
      <c r="AX186" s="21"/>
      <c r="AY186" s="21"/>
      <c r="AZ186" s="21"/>
      <c r="BA186" s="21"/>
      <c r="BB186" s="69">
        <v>0</v>
      </c>
      <c r="BC186" s="21"/>
      <c r="BD186" s="21"/>
      <c r="BE186" s="21"/>
      <c r="BF186" s="21"/>
      <c r="BG186" s="69">
        <v>0</v>
      </c>
      <c r="BH186" s="21"/>
      <c r="BI186" s="69">
        <v>0</v>
      </c>
      <c r="BJ186" s="21"/>
      <c r="BK186" s="69">
        <v>0</v>
      </c>
      <c r="BL186" s="69">
        <v>0</v>
      </c>
      <c r="BM186" s="21"/>
      <c r="BN186" s="21"/>
      <c r="BO186" s="69">
        <v>0</v>
      </c>
      <c r="BP186" s="21"/>
      <c r="BQ186" s="21"/>
      <c r="BR186" s="21"/>
      <c r="BS186" s="21"/>
      <c r="BT186" s="21"/>
      <c r="BU186" s="21"/>
      <c r="BV186" s="69">
        <v>0</v>
      </c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69">
        <v>0</v>
      </c>
      <c r="DH186" s="21"/>
      <c r="DI186" s="21"/>
      <c r="DJ186" s="69">
        <v>0</v>
      </c>
      <c r="DK186" s="21"/>
      <c r="DL186" s="21"/>
      <c r="DM186" s="69">
        <v>0</v>
      </c>
      <c r="DN186" s="21"/>
      <c r="DO186" s="21"/>
      <c r="DP186" s="21"/>
      <c r="DQ186" s="21"/>
      <c r="DR186" s="21"/>
      <c r="DS186" s="21"/>
      <c r="DT186" s="21"/>
      <c r="DU186" s="21"/>
      <c r="DV186" s="21"/>
      <c r="DW186" s="69">
        <v>0</v>
      </c>
      <c r="DX186" s="21"/>
      <c r="DY186" s="21"/>
      <c r="DZ186" s="21"/>
      <c r="EA186" s="21"/>
      <c r="EB186" s="21"/>
      <c r="EC186" s="21"/>
      <c r="ED186" s="21"/>
      <c r="EE186" s="21"/>
      <c r="EF186" s="21"/>
      <c r="EG186" s="69">
        <v>0</v>
      </c>
      <c r="EH186" s="21"/>
      <c r="EI186" s="21"/>
      <c r="EJ186" s="21"/>
      <c r="EK186" s="21"/>
      <c r="EL186" s="69">
        <v>0</v>
      </c>
      <c r="EM186" s="21"/>
      <c r="EN186" s="69">
        <v>0</v>
      </c>
      <c r="EO186" s="21"/>
      <c r="EP186" s="69">
        <v>0</v>
      </c>
      <c r="EQ186" s="69">
        <v>0</v>
      </c>
      <c r="ER186" s="21"/>
      <c r="ES186" s="21"/>
      <c r="ET186" s="69">
        <v>0</v>
      </c>
      <c r="EU186" s="21"/>
      <c r="EV186" s="21"/>
      <c r="EW186" s="21"/>
      <c r="EX186" s="21"/>
      <c r="EY186" s="21"/>
      <c r="EZ186" s="21"/>
      <c r="FA186" s="69">
        <v>0</v>
      </c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>
        <v>0</v>
      </c>
      <c r="GY186" s="21">
        <v>0</v>
      </c>
      <c r="GZ186" s="21"/>
      <c r="HA186" s="21"/>
      <c r="HB186" s="21">
        <f t="shared" si="2"/>
        <v>575.88953605485415</v>
      </c>
    </row>
    <row r="187" spans="1:210" x14ac:dyDescent="0.75">
      <c r="A187" s="67" t="s">
        <v>549</v>
      </c>
      <c r="B187" s="21">
        <v>3.0925497511339946</v>
      </c>
      <c r="C187" s="21">
        <v>7.3533773152046402</v>
      </c>
      <c r="D187" s="21">
        <v>0.28144677377701671</v>
      </c>
      <c r="E187" s="21">
        <v>6.238923774028744</v>
      </c>
      <c r="F187" s="21">
        <v>1.9895609058422626E-2</v>
      </c>
      <c r="G187" s="21">
        <v>17.164663072147061</v>
      </c>
      <c r="H187" s="21">
        <v>10.275256495620855</v>
      </c>
      <c r="I187" s="21">
        <v>9.4473193879130566</v>
      </c>
      <c r="J187" s="21">
        <v>1.7089681445031972</v>
      </c>
      <c r="K187" s="21">
        <v>29.996912792304713</v>
      </c>
      <c r="L187" s="21">
        <v>2.8912906853062896</v>
      </c>
      <c r="M187" s="21">
        <v>17.069042719567136</v>
      </c>
      <c r="N187" s="21">
        <v>8.6798780934989814</v>
      </c>
      <c r="O187" s="21">
        <v>15.905855677873962</v>
      </c>
      <c r="P187" s="21">
        <v>2.8930577809102358</v>
      </c>
      <c r="Q187" s="21">
        <v>2.5801218613526151</v>
      </c>
      <c r="R187" s="21">
        <v>0.80120888312473071</v>
      </c>
      <c r="S187" s="21">
        <v>0.26406668991037696</v>
      </c>
      <c r="T187" s="21">
        <v>9.537429460011662</v>
      </c>
      <c r="U187" s="21">
        <v>2.7840573165739859</v>
      </c>
      <c r="V187" s="21">
        <v>0.44087959221652939</v>
      </c>
      <c r="W187" s="21">
        <v>0.97316438822963813</v>
      </c>
      <c r="X187" s="21">
        <v>0.79686244913676774</v>
      </c>
      <c r="Y187" s="21">
        <v>3.0708693847299151</v>
      </c>
      <c r="Z187" s="21"/>
      <c r="AA187" s="21"/>
      <c r="AB187" s="21"/>
      <c r="AC187" s="69">
        <v>0</v>
      </c>
      <c r="AD187" s="21"/>
      <c r="AE187" s="21"/>
      <c r="AF187" s="69">
        <v>151.56549812772585</v>
      </c>
      <c r="AG187" s="21">
        <v>10.118254425482217</v>
      </c>
      <c r="AH187" s="21"/>
      <c r="AI187" s="69">
        <v>0</v>
      </c>
      <c r="AJ187" s="21"/>
      <c r="AK187" s="21"/>
      <c r="AL187" s="21"/>
      <c r="AM187" s="21"/>
      <c r="AN187" s="21"/>
      <c r="AO187" s="21"/>
      <c r="AP187" s="21"/>
      <c r="AQ187" s="21"/>
      <c r="AR187" s="69">
        <v>0</v>
      </c>
      <c r="AS187" s="21"/>
      <c r="AT187" s="21"/>
      <c r="AU187" s="21"/>
      <c r="AV187" s="21"/>
      <c r="AW187" s="21"/>
      <c r="AX187" s="21"/>
      <c r="AY187" s="21"/>
      <c r="AZ187" s="21"/>
      <c r="BA187" s="21"/>
      <c r="BB187" s="69">
        <v>0</v>
      </c>
      <c r="BC187" s="21"/>
      <c r="BD187" s="21"/>
      <c r="BE187" s="21"/>
      <c r="BF187" s="21"/>
      <c r="BG187" s="69">
        <v>0</v>
      </c>
      <c r="BH187" s="21"/>
      <c r="BI187" s="69">
        <v>0</v>
      </c>
      <c r="BJ187" s="21"/>
      <c r="BK187" s="69">
        <v>0</v>
      </c>
      <c r="BL187" s="69">
        <v>0</v>
      </c>
      <c r="BM187" s="21"/>
      <c r="BN187" s="21"/>
      <c r="BO187" s="69">
        <v>0</v>
      </c>
      <c r="BP187" s="21"/>
      <c r="BQ187" s="21"/>
      <c r="BR187" s="21"/>
      <c r="BS187" s="21"/>
      <c r="BT187" s="21"/>
      <c r="BU187" s="21"/>
      <c r="BV187" s="69">
        <v>0</v>
      </c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69">
        <v>0</v>
      </c>
      <c r="DH187" s="21"/>
      <c r="DI187" s="21"/>
      <c r="DJ187" s="69">
        <v>0</v>
      </c>
      <c r="DK187" s="21"/>
      <c r="DL187" s="21"/>
      <c r="DM187" s="69">
        <v>0</v>
      </c>
      <c r="DN187" s="21"/>
      <c r="DO187" s="21"/>
      <c r="DP187" s="21"/>
      <c r="DQ187" s="21"/>
      <c r="DR187" s="21"/>
      <c r="DS187" s="21"/>
      <c r="DT187" s="21"/>
      <c r="DU187" s="21"/>
      <c r="DV187" s="21"/>
      <c r="DW187" s="69">
        <v>0</v>
      </c>
      <c r="DX187" s="21"/>
      <c r="DY187" s="21"/>
      <c r="DZ187" s="21"/>
      <c r="EA187" s="21"/>
      <c r="EB187" s="21"/>
      <c r="EC187" s="21"/>
      <c r="ED187" s="21"/>
      <c r="EE187" s="21"/>
      <c r="EF187" s="21"/>
      <c r="EG187" s="69">
        <v>0</v>
      </c>
      <c r="EH187" s="21"/>
      <c r="EI187" s="21"/>
      <c r="EJ187" s="21"/>
      <c r="EK187" s="21"/>
      <c r="EL187" s="69">
        <v>0</v>
      </c>
      <c r="EM187" s="21"/>
      <c r="EN187" s="69">
        <v>0</v>
      </c>
      <c r="EO187" s="21"/>
      <c r="EP187" s="69">
        <v>0</v>
      </c>
      <c r="EQ187" s="69">
        <v>0</v>
      </c>
      <c r="ER187" s="21"/>
      <c r="ES187" s="21"/>
      <c r="ET187" s="69">
        <v>0</v>
      </c>
      <c r="EU187" s="21"/>
      <c r="EV187" s="21"/>
      <c r="EW187" s="21"/>
      <c r="EX187" s="21"/>
      <c r="EY187" s="21"/>
      <c r="EZ187" s="21"/>
      <c r="FA187" s="69">
        <v>0</v>
      </c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>
        <v>0</v>
      </c>
      <c r="GY187" s="21">
        <v>0</v>
      </c>
      <c r="GZ187" s="21"/>
      <c r="HA187" s="21">
        <v>1.4269556942539006</v>
      </c>
      <c r="HB187" s="21">
        <f t="shared" si="2"/>
        <v>317.37780634559647</v>
      </c>
    </row>
    <row r="188" spans="1:210" x14ac:dyDescent="0.75">
      <c r="A188" s="67" t="s">
        <v>550</v>
      </c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>
        <v>44.46133787456337</v>
      </c>
      <c r="AA188" s="21">
        <v>17.70303259691493</v>
      </c>
      <c r="AB188" s="21">
        <v>6.819256274131436</v>
      </c>
      <c r="AC188" s="69">
        <v>3.3882390996703551</v>
      </c>
      <c r="AD188" s="21">
        <v>18.268877658977861</v>
      </c>
      <c r="AE188" s="21">
        <v>8.1097262539000017</v>
      </c>
      <c r="AF188" s="69">
        <v>0</v>
      </c>
      <c r="AG188" s="21"/>
      <c r="AH188" s="21"/>
      <c r="AI188" s="69">
        <v>0</v>
      </c>
      <c r="AJ188" s="21"/>
      <c r="AK188" s="21"/>
      <c r="AL188" s="21"/>
      <c r="AM188" s="21"/>
      <c r="AN188" s="21"/>
      <c r="AO188" s="21"/>
      <c r="AP188" s="21"/>
      <c r="AQ188" s="21"/>
      <c r="AR188" s="69">
        <v>0</v>
      </c>
      <c r="AS188" s="21"/>
      <c r="AT188" s="21"/>
      <c r="AU188" s="21"/>
      <c r="AV188" s="21"/>
      <c r="AW188" s="21"/>
      <c r="AX188" s="21"/>
      <c r="AY188" s="21"/>
      <c r="AZ188" s="21"/>
      <c r="BA188" s="21"/>
      <c r="BB188" s="69">
        <v>0</v>
      </c>
      <c r="BC188" s="21"/>
      <c r="BD188" s="21"/>
      <c r="BE188" s="21"/>
      <c r="BF188" s="21"/>
      <c r="BG188" s="69">
        <v>0</v>
      </c>
      <c r="BH188" s="21"/>
      <c r="BI188" s="69">
        <v>0</v>
      </c>
      <c r="BJ188" s="21"/>
      <c r="BK188" s="69">
        <v>0</v>
      </c>
      <c r="BL188" s="69">
        <v>0</v>
      </c>
      <c r="BM188" s="21"/>
      <c r="BN188" s="21"/>
      <c r="BO188" s="69">
        <v>0</v>
      </c>
      <c r="BP188" s="21"/>
      <c r="BQ188" s="21"/>
      <c r="BR188" s="21"/>
      <c r="BS188" s="21"/>
      <c r="BT188" s="21"/>
      <c r="BU188" s="21"/>
      <c r="BV188" s="69">
        <v>0</v>
      </c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69">
        <v>0</v>
      </c>
      <c r="DH188" s="21"/>
      <c r="DI188" s="21"/>
      <c r="DJ188" s="69">
        <v>0</v>
      </c>
      <c r="DK188" s="21"/>
      <c r="DL188" s="21"/>
      <c r="DM188" s="69">
        <v>0</v>
      </c>
      <c r="DN188" s="21"/>
      <c r="DO188" s="21"/>
      <c r="DP188" s="21"/>
      <c r="DQ188" s="21"/>
      <c r="DR188" s="21"/>
      <c r="DS188" s="21"/>
      <c r="DT188" s="21"/>
      <c r="DU188" s="21"/>
      <c r="DV188" s="21"/>
      <c r="DW188" s="69">
        <v>0</v>
      </c>
      <c r="DX188" s="21"/>
      <c r="DY188" s="21"/>
      <c r="DZ188" s="21"/>
      <c r="EA188" s="21"/>
      <c r="EB188" s="21"/>
      <c r="EC188" s="21"/>
      <c r="ED188" s="21"/>
      <c r="EE188" s="21"/>
      <c r="EF188" s="21"/>
      <c r="EG188" s="69">
        <v>0</v>
      </c>
      <c r="EH188" s="21"/>
      <c r="EI188" s="21"/>
      <c r="EJ188" s="21"/>
      <c r="EK188" s="21"/>
      <c r="EL188" s="69">
        <v>0</v>
      </c>
      <c r="EM188" s="21"/>
      <c r="EN188" s="69">
        <v>0</v>
      </c>
      <c r="EO188" s="21"/>
      <c r="EP188" s="69">
        <v>0</v>
      </c>
      <c r="EQ188" s="69">
        <v>0</v>
      </c>
      <c r="ER188" s="21"/>
      <c r="ES188" s="21"/>
      <c r="ET188" s="69">
        <v>0</v>
      </c>
      <c r="EU188" s="21"/>
      <c r="EV188" s="21"/>
      <c r="EW188" s="21"/>
      <c r="EX188" s="21"/>
      <c r="EY188" s="21"/>
      <c r="EZ188" s="21"/>
      <c r="FA188" s="69">
        <v>0</v>
      </c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>
        <v>0</v>
      </c>
      <c r="GY188" s="21">
        <v>0</v>
      </c>
      <c r="GZ188" s="21"/>
      <c r="HA188" s="21">
        <v>0.4459951439951988</v>
      </c>
      <c r="HB188" s="21">
        <f t="shared" si="2"/>
        <v>99.196464902153167</v>
      </c>
    </row>
    <row r="189" spans="1:210" x14ac:dyDescent="0.75">
      <c r="A189" s="67" t="s">
        <v>551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69">
        <v>0</v>
      </c>
      <c r="AD189" s="21"/>
      <c r="AE189" s="21"/>
      <c r="AF189" s="69">
        <v>0</v>
      </c>
      <c r="AG189" s="21"/>
      <c r="AH189" s="21">
        <v>3.591500571495853E-2</v>
      </c>
      <c r="AI189" s="69">
        <v>85.452036732979963</v>
      </c>
      <c r="AJ189" s="21"/>
      <c r="AK189" s="21"/>
      <c r="AL189" s="21"/>
      <c r="AM189" s="21"/>
      <c r="AN189" s="21"/>
      <c r="AO189" s="21"/>
      <c r="AP189" s="21"/>
      <c r="AQ189" s="21"/>
      <c r="AR189" s="69">
        <v>0</v>
      </c>
      <c r="AS189" s="21"/>
      <c r="AT189" s="21"/>
      <c r="AU189" s="21"/>
      <c r="AV189" s="21"/>
      <c r="AW189" s="21"/>
      <c r="AX189" s="21"/>
      <c r="AY189" s="21"/>
      <c r="AZ189" s="21"/>
      <c r="BA189" s="21"/>
      <c r="BB189" s="69">
        <v>0</v>
      </c>
      <c r="BC189" s="21"/>
      <c r="BD189" s="21"/>
      <c r="BE189" s="21"/>
      <c r="BF189" s="21"/>
      <c r="BG189" s="69">
        <v>0</v>
      </c>
      <c r="BH189" s="21"/>
      <c r="BI189" s="69">
        <v>0</v>
      </c>
      <c r="BJ189" s="21"/>
      <c r="BK189" s="69">
        <v>0</v>
      </c>
      <c r="BL189" s="69">
        <v>0</v>
      </c>
      <c r="BM189" s="21"/>
      <c r="BN189" s="21"/>
      <c r="BO189" s="69">
        <v>0</v>
      </c>
      <c r="BP189" s="21"/>
      <c r="BQ189" s="21"/>
      <c r="BR189" s="21"/>
      <c r="BS189" s="21"/>
      <c r="BT189" s="21"/>
      <c r="BU189" s="21"/>
      <c r="BV189" s="69">
        <v>0</v>
      </c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69">
        <v>0</v>
      </c>
      <c r="DH189" s="21"/>
      <c r="DI189" s="21"/>
      <c r="DJ189" s="69">
        <v>0</v>
      </c>
      <c r="DK189" s="21"/>
      <c r="DL189" s="21"/>
      <c r="DM189" s="69">
        <v>0</v>
      </c>
      <c r="DN189" s="21"/>
      <c r="DO189" s="21"/>
      <c r="DP189" s="21"/>
      <c r="DQ189" s="21"/>
      <c r="DR189" s="21"/>
      <c r="DS189" s="21"/>
      <c r="DT189" s="21"/>
      <c r="DU189" s="21"/>
      <c r="DV189" s="21"/>
      <c r="DW189" s="69">
        <v>0</v>
      </c>
      <c r="DX189" s="21"/>
      <c r="DY189" s="21"/>
      <c r="DZ189" s="21"/>
      <c r="EA189" s="21"/>
      <c r="EB189" s="21"/>
      <c r="EC189" s="21"/>
      <c r="ED189" s="21"/>
      <c r="EE189" s="21"/>
      <c r="EF189" s="21"/>
      <c r="EG189" s="69">
        <v>0</v>
      </c>
      <c r="EH189" s="21"/>
      <c r="EI189" s="21"/>
      <c r="EJ189" s="21"/>
      <c r="EK189" s="21"/>
      <c r="EL189" s="69">
        <v>0</v>
      </c>
      <c r="EM189" s="21"/>
      <c r="EN189" s="69">
        <v>0</v>
      </c>
      <c r="EO189" s="21"/>
      <c r="EP189" s="69">
        <v>0</v>
      </c>
      <c r="EQ189" s="69">
        <v>0</v>
      </c>
      <c r="ER189" s="21"/>
      <c r="ES189" s="21"/>
      <c r="ET189" s="69">
        <v>0</v>
      </c>
      <c r="EU189" s="21"/>
      <c r="EV189" s="21"/>
      <c r="EW189" s="21"/>
      <c r="EX189" s="21"/>
      <c r="EY189" s="21"/>
      <c r="EZ189" s="21"/>
      <c r="FA189" s="69">
        <v>0</v>
      </c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>
        <v>0</v>
      </c>
      <c r="GY189" s="21">
        <v>0</v>
      </c>
      <c r="GZ189" s="21"/>
      <c r="HA189" s="21">
        <v>0.38609650606147211</v>
      </c>
      <c r="HB189" s="21">
        <f t="shared" si="2"/>
        <v>85.874048244756395</v>
      </c>
    </row>
    <row r="190" spans="1:210" x14ac:dyDescent="0.75">
      <c r="A190" s="67" t="s">
        <v>552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69">
        <v>0</v>
      </c>
      <c r="AD190" s="21"/>
      <c r="AE190" s="21"/>
      <c r="AF190" s="69">
        <v>0</v>
      </c>
      <c r="AG190" s="21"/>
      <c r="AH190" s="21"/>
      <c r="AI190" s="69">
        <v>0</v>
      </c>
      <c r="AJ190" s="21">
        <v>11.623665314979625</v>
      </c>
      <c r="AK190" s="21">
        <v>3.2061784952244685</v>
      </c>
      <c r="AL190" s="21">
        <v>4.0538698318324018</v>
      </c>
      <c r="AM190" s="21">
        <v>2.3749785189996668</v>
      </c>
      <c r="AN190" s="21">
        <v>48.586467724558517</v>
      </c>
      <c r="AO190" s="21">
        <v>8.2423485283634239</v>
      </c>
      <c r="AP190" s="21">
        <v>1.9819964581034535</v>
      </c>
      <c r="AQ190" s="21">
        <v>22.282691255663789</v>
      </c>
      <c r="AR190" s="69">
        <v>94.063600601380472</v>
      </c>
      <c r="AS190" s="21">
        <v>4.3868498203383668</v>
      </c>
      <c r="AT190" s="21">
        <v>12.898544191211363</v>
      </c>
      <c r="AU190" s="21">
        <v>9.5217664396696602</v>
      </c>
      <c r="AV190" s="21">
        <v>6.6540160343861166</v>
      </c>
      <c r="AW190" s="21">
        <v>0.17615227759494115</v>
      </c>
      <c r="AX190" s="21">
        <v>19.916264442366575</v>
      </c>
      <c r="AY190" s="21">
        <v>4.4612996503377129</v>
      </c>
      <c r="AZ190" s="21">
        <v>2.8959340736770867</v>
      </c>
      <c r="BA190" s="21">
        <v>1.7889868806225819</v>
      </c>
      <c r="BB190" s="69">
        <v>25.404503691409126</v>
      </c>
      <c r="BC190" s="21">
        <v>13.485379375104065</v>
      </c>
      <c r="BD190" s="21">
        <v>5.9058123432990737</v>
      </c>
      <c r="BE190" s="21">
        <v>3.0958976515970913</v>
      </c>
      <c r="BF190" s="21">
        <v>16.71947354109761</v>
      </c>
      <c r="BG190" s="69">
        <v>26.147875866248494</v>
      </c>
      <c r="BH190" s="21">
        <v>36.635057496954822</v>
      </c>
      <c r="BI190" s="69">
        <v>13.969121059759821</v>
      </c>
      <c r="BJ190" s="21">
        <v>200.00579017533923</v>
      </c>
      <c r="BK190" s="69">
        <v>308.1662566645071</v>
      </c>
      <c r="BL190" s="69">
        <v>138.76809837535362</v>
      </c>
      <c r="BM190" s="21">
        <v>4.0235562719301914</v>
      </c>
      <c r="BN190" s="21">
        <v>69.679716315379608</v>
      </c>
      <c r="BO190" s="69">
        <v>65.998568918279076</v>
      </c>
      <c r="BP190" s="21">
        <v>13.017126831970069</v>
      </c>
      <c r="BQ190" s="21">
        <v>21.209613019425611</v>
      </c>
      <c r="BR190" s="21">
        <v>15.65140428693782</v>
      </c>
      <c r="BS190" s="21">
        <v>38.078942428020078</v>
      </c>
      <c r="BT190" s="21">
        <v>335.6775393724779</v>
      </c>
      <c r="BU190" s="21">
        <v>118.20316255624439</v>
      </c>
      <c r="BV190" s="69">
        <v>198.92802345801428</v>
      </c>
      <c r="BW190" s="21"/>
      <c r="BX190" s="21">
        <v>52.661472231845096</v>
      </c>
      <c r="BY190" s="21">
        <v>29.154385753374484</v>
      </c>
      <c r="BZ190" s="21">
        <v>16.897930450284424</v>
      </c>
      <c r="CA190" s="21">
        <v>1.5154392278812976</v>
      </c>
      <c r="CB190" s="21">
        <v>6.4572406297590845</v>
      </c>
      <c r="CC190" s="21">
        <v>37.194335178401829</v>
      </c>
      <c r="CD190" s="21">
        <v>3.0663964282911849</v>
      </c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69">
        <v>0</v>
      </c>
      <c r="DH190" s="21"/>
      <c r="DI190" s="21"/>
      <c r="DJ190" s="69">
        <v>0</v>
      </c>
      <c r="DK190" s="21"/>
      <c r="DL190" s="21"/>
      <c r="DM190" s="69">
        <v>0</v>
      </c>
      <c r="DN190" s="21"/>
      <c r="DO190" s="21"/>
      <c r="DP190" s="21"/>
      <c r="DQ190" s="21"/>
      <c r="DR190" s="21"/>
      <c r="DS190" s="21"/>
      <c r="DT190" s="21"/>
      <c r="DU190" s="21"/>
      <c r="DV190" s="21"/>
      <c r="DW190" s="69">
        <v>0</v>
      </c>
      <c r="DX190" s="21"/>
      <c r="DY190" s="21"/>
      <c r="DZ190" s="21"/>
      <c r="EA190" s="21"/>
      <c r="EB190" s="21"/>
      <c r="EC190" s="21"/>
      <c r="ED190" s="21"/>
      <c r="EE190" s="21"/>
      <c r="EF190" s="21"/>
      <c r="EG190" s="69">
        <v>0</v>
      </c>
      <c r="EH190" s="21"/>
      <c r="EI190" s="21"/>
      <c r="EJ190" s="21"/>
      <c r="EK190" s="21"/>
      <c r="EL190" s="69">
        <v>0</v>
      </c>
      <c r="EM190" s="21"/>
      <c r="EN190" s="69">
        <v>0</v>
      </c>
      <c r="EO190" s="21"/>
      <c r="EP190" s="69">
        <v>0</v>
      </c>
      <c r="EQ190" s="69">
        <v>0</v>
      </c>
      <c r="ER190" s="21"/>
      <c r="ES190" s="21"/>
      <c r="ET190" s="69">
        <v>0</v>
      </c>
      <c r="EU190" s="21"/>
      <c r="EV190" s="21"/>
      <c r="EW190" s="21"/>
      <c r="EX190" s="21"/>
      <c r="EY190" s="21"/>
      <c r="EZ190" s="21"/>
      <c r="FA190" s="69">
        <v>0</v>
      </c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>
        <v>0</v>
      </c>
      <c r="GY190" s="21">
        <v>0</v>
      </c>
      <c r="GZ190" s="21"/>
      <c r="HA190" s="21">
        <v>9.3707480126976126</v>
      </c>
      <c r="HB190" s="21">
        <f t="shared" si="2"/>
        <v>2084.2044781511941</v>
      </c>
    </row>
    <row r="191" spans="1:210" x14ac:dyDescent="0.75">
      <c r="A191" s="67" t="s">
        <v>75</v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69">
        <v>0</v>
      </c>
      <c r="AD191" s="21"/>
      <c r="AE191" s="21"/>
      <c r="AF191" s="69">
        <v>0</v>
      </c>
      <c r="AG191" s="21"/>
      <c r="AH191" s="21"/>
      <c r="AI191" s="69">
        <v>0</v>
      </c>
      <c r="AJ191" s="21"/>
      <c r="AK191" s="21"/>
      <c r="AL191" s="21"/>
      <c r="AM191" s="21"/>
      <c r="AN191" s="21"/>
      <c r="AO191" s="21"/>
      <c r="AP191" s="21"/>
      <c r="AQ191" s="21"/>
      <c r="AR191" s="69">
        <v>0</v>
      </c>
      <c r="AS191" s="21"/>
      <c r="AT191" s="21"/>
      <c r="AU191" s="21"/>
      <c r="AV191" s="21"/>
      <c r="AW191" s="21"/>
      <c r="AX191" s="21"/>
      <c r="AY191" s="21"/>
      <c r="AZ191" s="21"/>
      <c r="BA191" s="21"/>
      <c r="BB191" s="69">
        <v>0</v>
      </c>
      <c r="BC191" s="21"/>
      <c r="BD191" s="21"/>
      <c r="BE191" s="21"/>
      <c r="BF191" s="21"/>
      <c r="BG191" s="69">
        <v>0</v>
      </c>
      <c r="BH191" s="21"/>
      <c r="BI191" s="69">
        <v>0</v>
      </c>
      <c r="BJ191" s="21"/>
      <c r="BK191" s="69">
        <v>0</v>
      </c>
      <c r="BL191" s="69">
        <v>0</v>
      </c>
      <c r="BM191" s="21"/>
      <c r="BN191" s="21"/>
      <c r="BO191" s="69">
        <v>0</v>
      </c>
      <c r="BP191" s="21"/>
      <c r="BQ191" s="21"/>
      <c r="BR191" s="21"/>
      <c r="BS191" s="21"/>
      <c r="BT191" s="21"/>
      <c r="BU191" s="21"/>
      <c r="BV191" s="69">
        <v>0</v>
      </c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69">
        <v>0</v>
      </c>
      <c r="DH191" s="21"/>
      <c r="DI191" s="21"/>
      <c r="DJ191" s="69">
        <v>0</v>
      </c>
      <c r="DK191" s="21"/>
      <c r="DL191" s="21"/>
      <c r="DM191" s="69">
        <v>0</v>
      </c>
      <c r="DN191" s="21"/>
      <c r="DO191" s="21"/>
      <c r="DP191" s="21"/>
      <c r="DQ191" s="21"/>
      <c r="DR191" s="21"/>
      <c r="DS191" s="21"/>
      <c r="DT191" s="21"/>
      <c r="DU191" s="21"/>
      <c r="DV191" s="21"/>
      <c r="DW191" s="69">
        <v>0</v>
      </c>
      <c r="DX191" s="21"/>
      <c r="DY191" s="21"/>
      <c r="DZ191" s="21"/>
      <c r="EA191" s="21"/>
      <c r="EB191" s="21"/>
      <c r="EC191" s="21"/>
      <c r="ED191" s="21"/>
      <c r="EE191" s="21"/>
      <c r="EF191" s="21"/>
      <c r="EG191" s="69">
        <v>0</v>
      </c>
      <c r="EH191" s="21"/>
      <c r="EI191" s="21"/>
      <c r="EJ191" s="21"/>
      <c r="EK191" s="21"/>
      <c r="EL191" s="69">
        <v>0</v>
      </c>
      <c r="EM191" s="21"/>
      <c r="EN191" s="69">
        <v>0</v>
      </c>
      <c r="EO191" s="21"/>
      <c r="EP191" s="69">
        <v>0</v>
      </c>
      <c r="EQ191" s="69">
        <v>0</v>
      </c>
      <c r="ER191" s="21"/>
      <c r="ES191" s="21"/>
      <c r="ET191" s="69">
        <v>0</v>
      </c>
      <c r="EU191" s="21"/>
      <c r="EV191" s="21"/>
      <c r="EW191" s="21"/>
      <c r="EX191" s="21"/>
      <c r="EY191" s="21"/>
      <c r="EZ191" s="21"/>
      <c r="FA191" s="69">
        <v>0</v>
      </c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>
        <v>78.231388953976335</v>
      </c>
      <c r="GB191" s="21">
        <v>1898.7134591016725</v>
      </c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>
        <v>90.183618117278371</v>
      </c>
      <c r="GT191" s="21"/>
      <c r="GU191" s="21"/>
      <c r="GV191" s="21"/>
      <c r="GW191" s="21"/>
      <c r="GX191" s="21">
        <v>0</v>
      </c>
      <c r="GY191" s="21">
        <v>0</v>
      </c>
      <c r="GZ191" s="21"/>
      <c r="HA191" s="21">
        <v>65.20382103554229</v>
      </c>
      <c r="HB191" s="21">
        <f t="shared" si="2"/>
        <v>2132.3322872084696</v>
      </c>
    </row>
    <row r="192" spans="1:210" x14ac:dyDescent="0.75">
      <c r="A192" s="67" t="s">
        <v>662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69">
        <v>0</v>
      </c>
      <c r="AD192" s="21"/>
      <c r="AE192" s="21"/>
      <c r="AF192" s="69">
        <v>0</v>
      </c>
      <c r="AG192" s="21"/>
      <c r="AH192" s="21"/>
      <c r="AI192" s="69">
        <v>0</v>
      </c>
      <c r="AJ192" s="21"/>
      <c r="AK192" s="21"/>
      <c r="AL192" s="21"/>
      <c r="AM192" s="21"/>
      <c r="AN192" s="21"/>
      <c r="AO192" s="21"/>
      <c r="AP192" s="21"/>
      <c r="AQ192" s="21"/>
      <c r="AR192" s="69">
        <v>0</v>
      </c>
      <c r="AS192" s="21"/>
      <c r="AT192" s="21"/>
      <c r="AU192" s="21"/>
      <c r="AV192" s="21"/>
      <c r="AW192" s="21"/>
      <c r="AX192" s="21"/>
      <c r="AY192" s="21"/>
      <c r="AZ192" s="21"/>
      <c r="BA192" s="21"/>
      <c r="BB192" s="69">
        <v>0</v>
      </c>
      <c r="BC192" s="21"/>
      <c r="BD192" s="21"/>
      <c r="BE192" s="21"/>
      <c r="BF192" s="21"/>
      <c r="BG192" s="69">
        <v>0</v>
      </c>
      <c r="BH192" s="21"/>
      <c r="BI192" s="69">
        <v>0</v>
      </c>
      <c r="BJ192" s="21"/>
      <c r="BK192" s="69">
        <v>0</v>
      </c>
      <c r="BL192" s="69">
        <v>0</v>
      </c>
      <c r="BM192" s="21"/>
      <c r="BN192" s="21"/>
      <c r="BO192" s="69">
        <v>0</v>
      </c>
      <c r="BP192" s="21"/>
      <c r="BQ192" s="21"/>
      <c r="BR192" s="21"/>
      <c r="BS192" s="21"/>
      <c r="BT192" s="21"/>
      <c r="BU192" s="21"/>
      <c r="BV192" s="69">
        <v>0</v>
      </c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69">
        <v>0</v>
      </c>
      <c r="DH192" s="21"/>
      <c r="DI192" s="21"/>
      <c r="DJ192" s="69">
        <v>0</v>
      </c>
      <c r="DK192" s="21"/>
      <c r="DL192" s="21"/>
      <c r="DM192" s="69">
        <v>0</v>
      </c>
      <c r="DN192" s="21"/>
      <c r="DO192" s="21"/>
      <c r="DP192" s="21"/>
      <c r="DQ192" s="21"/>
      <c r="DR192" s="21"/>
      <c r="DS192" s="21"/>
      <c r="DT192" s="21"/>
      <c r="DU192" s="21"/>
      <c r="DV192" s="21"/>
      <c r="DW192" s="69">
        <v>0</v>
      </c>
      <c r="DX192" s="21"/>
      <c r="DY192" s="21"/>
      <c r="DZ192" s="21"/>
      <c r="EA192" s="21"/>
      <c r="EB192" s="21"/>
      <c r="EC192" s="21"/>
      <c r="ED192" s="21"/>
      <c r="EE192" s="21"/>
      <c r="EF192" s="21"/>
      <c r="EG192" s="69">
        <v>0</v>
      </c>
      <c r="EH192" s="21"/>
      <c r="EI192" s="21"/>
      <c r="EJ192" s="21"/>
      <c r="EK192" s="21"/>
      <c r="EL192" s="69">
        <v>0</v>
      </c>
      <c r="EM192" s="21"/>
      <c r="EN192" s="69">
        <v>0</v>
      </c>
      <c r="EO192" s="21"/>
      <c r="EP192" s="69">
        <v>0</v>
      </c>
      <c r="EQ192" s="69">
        <v>0</v>
      </c>
      <c r="ER192" s="21"/>
      <c r="ES192" s="21"/>
      <c r="ET192" s="69">
        <v>0</v>
      </c>
      <c r="EU192" s="21"/>
      <c r="EV192" s="21"/>
      <c r="EW192" s="21"/>
      <c r="EX192" s="21"/>
      <c r="EY192" s="21"/>
      <c r="EZ192" s="21"/>
      <c r="FA192" s="69">
        <v>0</v>
      </c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>
        <v>85.597245449008156</v>
      </c>
      <c r="FM192" s="21">
        <v>65.005763941712999</v>
      </c>
      <c r="FN192" s="21">
        <v>2.2156211197504523</v>
      </c>
      <c r="FO192" s="21">
        <v>0.57596561549478587</v>
      </c>
      <c r="FP192" s="21"/>
      <c r="FQ192" s="21"/>
      <c r="FR192" s="21"/>
      <c r="FS192" s="21"/>
      <c r="FT192" s="21"/>
      <c r="FU192" s="21"/>
      <c r="FV192" s="21"/>
      <c r="FW192" s="21"/>
      <c r="FX192" s="21">
        <v>55.779390045588769</v>
      </c>
      <c r="FY192" s="21">
        <v>27.679859403509258</v>
      </c>
      <c r="FZ192" s="21">
        <v>6.5899266890409534</v>
      </c>
      <c r="GA192" s="21"/>
      <c r="GB192" s="21"/>
      <c r="GC192" s="21">
        <v>2.4702853871837345</v>
      </c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>
        <v>26.628084599796413</v>
      </c>
      <c r="GT192" s="21"/>
      <c r="GU192" s="21"/>
      <c r="GV192" s="21"/>
      <c r="GW192" s="21"/>
      <c r="GX192" s="21">
        <v>0</v>
      </c>
      <c r="GY192" s="21">
        <v>0</v>
      </c>
      <c r="GZ192" s="21"/>
      <c r="HA192" s="21">
        <v>1.8140230314665977</v>
      </c>
      <c r="HB192" s="21">
        <f t="shared" si="2"/>
        <v>274.35616528255218</v>
      </c>
    </row>
    <row r="193" spans="1:210" x14ac:dyDescent="0.75">
      <c r="A193" s="67" t="s">
        <v>663</v>
      </c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69">
        <v>0</v>
      </c>
      <c r="AD193" s="21"/>
      <c r="AE193" s="21"/>
      <c r="AF193" s="69">
        <v>0</v>
      </c>
      <c r="AG193" s="21"/>
      <c r="AH193" s="21"/>
      <c r="AI193" s="69">
        <v>0</v>
      </c>
      <c r="AJ193" s="21"/>
      <c r="AK193" s="21"/>
      <c r="AL193" s="21"/>
      <c r="AM193" s="21"/>
      <c r="AN193" s="21"/>
      <c r="AO193" s="21"/>
      <c r="AP193" s="21"/>
      <c r="AQ193" s="21"/>
      <c r="AR193" s="69">
        <v>0</v>
      </c>
      <c r="AS193" s="21"/>
      <c r="AT193" s="21"/>
      <c r="AU193" s="21"/>
      <c r="AV193" s="21"/>
      <c r="AW193" s="21"/>
      <c r="AX193" s="21"/>
      <c r="AY193" s="21"/>
      <c r="AZ193" s="21"/>
      <c r="BA193" s="21"/>
      <c r="BB193" s="69">
        <v>0</v>
      </c>
      <c r="BC193" s="21"/>
      <c r="BD193" s="21"/>
      <c r="BE193" s="21"/>
      <c r="BF193" s="21"/>
      <c r="BG193" s="69">
        <v>0</v>
      </c>
      <c r="BH193" s="21"/>
      <c r="BI193" s="69">
        <v>0</v>
      </c>
      <c r="BJ193" s="21"/>
      <c r="BK193" s="69">
        <v>0</v>
      </c>
      <c r="BL193" s="69">
        <v>0</v>
      </c>
      <c r="BM193" s="21"/>
      <c r="BN193" s="21"/>
      <c r="BO193" s="69">
        <v>0</v>
      </c>
      <c r="BP193" s="21"/>
      <c r="BQ193" s="21"/>
      <c r="BR193" s="21"/>
      <c r="BS193" s="21"/>
      <c r="BT193" s="21"/>
      <c r="BU193" s="21"/>
      <c r="BV193" s="69">
        <v>0</v>
      </c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69">
        <v>0</v>
      </c>
      <c r="DH193" s="21"/>
      <c r="DI193" s="21"/>
      <c r="DJ193" s="69">
        <v>0</v>
      </c>
      <c r="DK193" s="21"/>
      <c r="DL193" s="21"/>
      <c r="DM193" s="69">
        <v>0</v>
      </c>
      <c r="DN193" s="21"/>
      <c r="DO193" s="21"/>
      <c r="DP193" s="21"/>
      <c r="DQ193" s="21"/>
      <c r="DR193" s="21"/>
      <c r="DS193" s="21"/>
      <c r="DT193" s="21"/>
      <c r="DU193" s="21"/>
      <c r="DV193" s="21"/>
      <c r="DW193" s="69">
        <v>0</v>
      </c>
      <c r="DX193" s="21"/>
      <c r="DY193" s="21"/>
      <c r="DZ193" s="21"/>
      <c r="EA193" s="21"/>
      <c r="EB193" s="21"/>
      <c r="EC193" s="21"/>
      <c r="ED193" s="21"/>
      <c r="EE193" s="21"/>
      <c r="EF193" s="21"/>
      <c r="EG193" s="69">
        <v>0</v>
      </c>
      <c r="EH193" s="21"/>
      <c r="EI193" s="21"/>
      <c r="EJ193" s="21"/>
      <c r="EK193" s="21"/>
      <c r="EL193" s="69">
        <v>0</v>
      </c>
      <c r="EM193" s="21"/>
      <c r="EN193" s="69">
        <v>0</v>
      </c>
      <c r="EO193" s="21"/>
      <c r="EP193" s="69">
        <v>0</v>
      </c>
      <c r="EQ193" s="69">
        <v>0</v>
      </c>
      <c r="ER193" s="21"/>
      <c r="ES193" s="21"/>
      <c r="ET193" s="69">
        <v>0</v>
      </c>
      <c r="EU193" s="21"/>
      <c r="EV193" s="21"/>
      <c r="EW193" s="21"/>
      <c r="EX193" s="21"/>
      <c r="EY193" s="21"/>
      <c r="EZ193" s="21"/>
      <c r="FA193" s="69">
        <v>0</v>
      </c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>
        <v>123.61348092446003</v>
      </c>
      <c r="FM193" s="21">
        <v>120.68170405724535</v>
      </c>
      <c r="FN193" s="21">
        <v>9.1467252074339349</v>
      </c>
      <c r="FO193" s="21">
        <v>1.6374384489522404</v>
      </c>
      <c r="FP193" s="21"/>
      <c r="FQ193" s="21"/>
      <c r="FR193" s="21"/>
      <c r="FS193" s="21"/>
      <c r="FT193" s="21"/>
      <c r="FU193" s="21"/>
      <c r="FV193" s="21"/>
      <c r="FW193" s="21"/>
      <c r="FX193" s="21">
        <v>87.705222625265364</v>
      </c>
      <c r="FY193" s="21">
        <v>43.602059366052934</v>
      </c>
      <c r="FZ193" s="21">
        <v>10.364751944042563</v>
      </c>
      <c r="GA193" s="21"/>
      <c r="GB193" s="21"/>
      <c r="GC193" s="21">
        <v>14.177792263307277</v>
      </c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>
        <v>42.241593296309311</v>
      </c>
      <c r="GT193" s="21"/>
      <c r="GU193" s="21"/>
      <c r="GV193" s="21"/>
      <c r="GW193" s="21"/>
      <c r="GX193" s="21">
        <v>0</v>
      </c>
      <c r="GY193" s="21">
        <v>0</v>
      </c>
      <c r="GZ193" s="21"/>
      <c r="HA193" s="21">
        <v>3.9826814890442179</v>
      </c>
      <c r="HB193" s="21">
        <f t="shared" si="2"/>
        <v>457.15344962211321</v>
      </c>
    </row>
    <row r="194" spans="1:210" x14ac:dyDescent="0.75">
      <c r="A194" s="67" t="s">
        <v>664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69">
        <v>0</v>
      </c>
      <c r="AD194" s="21"/>
      <c r="AE194" s="21"/>
      <c r="AF194" s="69">
        <v>0</v>
      </c>
      <c r="AG194" s="21"/>
      <c r="AH194" s="21"/>
      <c r="AI194" s="69">
        <v>0</v>
      </c>
      <c r="AJ194" s="21"/>
      <c r="AK194" s="21"/>
      <c r="AL194" s="21"/>
      <c r="AM194" s="21"/>
      <c r="AN194" s="21"/>
      <c r="AO194" s="21"/>
      <c r="AP194" s="21"/>
      <c r="AQ194" s="21"/>
      <c r="AR194" s="69">
        <v>0</v>
      </c>
      <c r="AS194" s="21"/>
      <c r="AT194" s="21"/>
      <c r="AU194" s="21"/>
      <c r="AV194" s="21"/>
      <c r="AW194" s="21"/>
      <c r="AX194" s="21"/>
      <c r="AY194" s="21"/>
      <c r="AZ194" s="21"/>
      <c r="BA194" s="21"/>
      <c r="BB194" s="69">
        <v>0</v>
      </c>
      <c r="BC194" s="21"/>
      <c r="BD194" s="21"/>
      <c r="BE194" s="21"/>
      <c r="BF194" s="21"/>
      <c r="BG194" s="69">
        <v>0</v>
      </c>
      <c r="BH194" s="21"/>
      <c r="BI194" s="69">
        <v>0</v>
      </c>
      <c r="BJ194" s="21"/>
      <c r="BK194" s="69">
        <v>0</v>
      </c>
      <c r="BL194" s="69">
        <v>0</v>
      </c>
      <c r="BM194" s="21"/>
      <c r="BN194" s="21"/>
      <c r="BO194" s="69">
        <v>0</v>
      </c>
      <c r="BP194" s="21"/>
      <c r="BQ194" s="21"/>
      <c r="BR194" s="21"/>
      <c r="BS194" s="21"/>
      <c r="BT194" s="21"/>
      <c r="BU194" s="21"/>
      <c r="BV194" s="69">
        <v>0</v>
      </c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69">
        <v>0</v>
      </c>
      <c r="DH194" s="21"/>
      <c r="DI194" s="21"/>
      <c r="DJ194" s="69">
        <v>0</v>
      </c>
      <c r="DK194" s="21"/>
      <c r="DL194" s="21"/>
      <c r="DM194" s="69">
        <v>0</v>
      </c>
      <c r="DN194" s="21"/>
      <c r="DO194" s="21"/>
      <c r="DP194" s="21"/>
      <c r="DQ194" s="21"/>
      <c r="DR194" s="21"/>
      <c r="DS194" s="21"/>
      <c r="DT194" s="21"/>
      <c r="DU194" s="21"/>
      <c r="DV194" s="21"/>
      <c r="DW194" s="69">
        <v>0</v>
      </c>
      <c r="DX194" s="21"/>
      <c r="DY194" s="21"/>
      <c r="DZ194" s="21"/>
      <c r="EA194" s="21"/>
      <c r="EB194" s="21"/>
      <c r="EC194" s="21"/>
      <c r="ED194" s="21"/>
      <c r="EE194" s="21"/>
      <c r="EF194" s="21"/>
      <c r="EG194" s="69">
        <v>0</v>
      </c>
      <c r="EH194" s="21"/>
      <c r="EI194" s="21"/>
      <c r="EJ194" s="21"/>
      <c r="EK194" s="21"/>
      <c r="EL194" s="69">
        <v>0</v>
      </c>
      <c r="EM194" s="21"/>
      <c r="EN194" s="69">
        <v>0</v>
      </c>
      <c r="EO194" s="21"/>
      <c r="EP194" s="69">
        <v>0</v>
      </c>
      <c r="EQ194" s="69">
        <v>0</v>
      </c>
      <c r="ER194" s="21"/>
      <c r="ES194" s="21"/>
      <c r="ET194" s="69">
        <v>0</v>
      </c>
      <c r="EU194" s="21"/>
      <c r="EV194" s="21"/>
      <c r="EW194" s="21"/>
      <c r="EX194" s="21"/>
      <c r="EY194" s="21"/>
      <c r="EZ194" s="21"/>
      <c r="FA194" s="69">
        <v>0</v>
      </c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>
        <v>152.40843301590269</v>
      </c>
      <c r="FM194" s="21">
        <v>165.77229812825473</v>
      </c>
      <c r="FN194" s="21">
        <v>16.149434176019128</v>
      </c>
      <c r="FO194" s="21">
        <v>5.9131926612201546</v>
      </c>
      <c r="FP194" s="21"/>
      <c r="FQ194" s="21"/>
      <c r="FR194" s="21"/>
      <c r="FS194" s="21"/>
      <c r="FT194" s="21"/>
      <c r="FU194" s="21"/>
      <c r="FV194" s="21"/>
      <c r="FW194" s="21"/>
      <c r="FX194" s="21">
        <v>135.0993436576633</v>
      </c>
      <c r="FY194" s="21">
        <v>66.488293765031145</v>
      </c>
      <c r="FZ194" s="21">
        <v>18.49061426932462</v>
      </c>
      <c r="GA194" s="21"/>
      <c r="GB194" s="21"/>
      <c r="GC194" s="21">
        <v>26.858802866807782</v>
      </c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>
        <v>30.040126155853809</v>
      </c>
      <c r="GT194" s="21"/>
      <c r="GU194" s="21"/>
      <c r="GV194" s="21"/>
      <c r="GW194" s="21"/>
      <c r="GX194" s="21">
        <v>0</v>
      </c>
      <c r="GY194" s="21">
        <v>0</v>
      </c>
      <c r="GZ194" s="21"/>
      <c r="HA194" s="21">
        <v>7.8914132547790592</v>
      </c>
      <c r="HB194" s="21">
        <f t="shared" si="2"/>
        <v>625.11195195085645</v>
      </c>
    </row>
    <row r="195" spans="1:210" x14ac:dyDescent="0.75">
      <c r="A195" s="67" t="s">
        <v>665</v>
      </c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69">
        <v>0</v>
      </c>
      <c r="AD195" s="21"/>
      <c r="AE195" s="21"/>
      <c r="AF195" s="69">
        <v>0</v>
      </c>
      <c r="AG195" s="21"/>
      <c r="AH195" s="21"/>
      <c r="AI195" s="69">
        <v>0</v>
      </c>
      <c r="AJ195" s="21"/>
      <c r="AK195" s="21"/>
      <c r="AL195" s="21"/>
      <c r="AM195" s="21"/>
      <c r="AN195" s="21"/>
      <c r="AO195" s="21"/>
      <c r="AP195" s="21"/>
      <c r="AQ195" s="21"/>
      <c r="AR195" s="69">
        <v>0</v>
      </c>
      <c r="AS195" s="21"/>
      <c r="AT195" s="21"/>
      <c r="AU195" s="21"/>
      <c r="AV195" s="21"/>
      <c r="AW195" s="21"/>
      <c r="AX195" s="21"/>
      <c r="AY195" s="21"/>
      <c r="AZ195" s="21"/>
      <c r="BA195" s="21"/>
      <c r="BB195" s="69">
        <v>0</v>
      </c>
      <c r="BC195" s="21"/>
      <c r="BD195" s="21"/>
      <c r="BE195" s="21"/>
      <c r="BF195" s="21"/>
      <c r="BG195" s="69">
        <v>0</v>
      </c>
      <c r="BH195" s="21"/>
      <c r="BI195" s="69">
        <v>0</v>
      </c>
      <c r="BJ195" s="21"/>
      <c r="BK195" s="69">
        <v>0</v>
      </c>
      <c r="BL195" s="69">
        <v>0</v>
      </c>
      <c r="BM195" s="21"/>
      <c r="BN195" s="21"/>
      <c r="BO195" s="69">
        <v>0</v>
      </c>
      <c r="BP195" s="21"/>
      <c r="BQ195" s="21"/>
      <c r="BR195" s="21"/>
      <c r="BS195" s="21"/>
      <c r="BT195" s="21"/>
      <c r="BU195" s="21"/>
      <c r="BV195" s="69">
        <v>0</v>
      </c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69">
        <v>0</v>
      </c>
      <c r="DH195" s="21"/>
      <c r="DI195" s="21"/>
      <c r="DJ195" s="69">
        <v>0</v>
      </c>
      <c r="DK195" s="21"/>
      <c r="DL195" s="21"/>
      <c r="DM195" s="69">
        <v>0</v>
      </c>
      <c r="DN195" s="21"/>
      <c r="DO195" s="21"/>
      <c r="DP195" s="21"/>
      <c r="DQ195" s="21"/>
      <c r="DR195" s="21"/>
      <c r="DS195" s="21"/>
      <c r="DT195" s="21"/>
      <c r="DU195" s="21"/>
      <c r="DV195" s="21"/>
      <c r="DW195" s="69">
        <v>0</v>
      </c>
      <c r="DX195" s="21"/>
      <c r="DY195" s="21"/>
      <c r="DZ195" s="21"/>
      <c r="EA195" s="21"/>
      <c r="EB195" s="21"/>
      <c r="EC195" s="21"/>
      <c r="ED195" s="21"/>
      <c r="EE195" s="21"/>
      <c r="EF195" s="21"/>
      <c r="EG195" s="69">
        <v>0</v>
      </c>
      <c r="EH195" s="21"/>
      <c r="EI195" s="21"/>
      <c r="EJ195" s="21"/>
      <c r="EK195" s="21"/>
      <c r="EL195" s="69">
        <v>0</v>
      </c>
      <c r="EM195" s="21"/>
      <c r="EN195" s="69">
        <v>0</v>
      </c>
      <c r="EO195" s="21"/>
      <c r="EP195" s="69">
        <v>0</v>
      </c>
      <c r="EQ195" s="69">
        <v>0</v>
      </c>
      <c r="ER195" s="21"/>
      <c r="ES195" s="21"/>
      <c r="ET195" s="69">
        <v>0</v>
      </c>
      <c r="EU195" s="21"/>
      <c r="EV195" s="21"/>
      <c r="EW195" s="21"/>
      <c r="EX195" s="21"/>
      <c r="EY195" s="21"/>
      <c r="EZ195" s="21"/>
      <c r="FA195" s="69">
        <v>0</v>
      </c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>
        <v>186.96133546195551</v>
      </c>
      <c r="FM195" s="21">
        <v>208.89940510401368</v>
      </c>
      <c r="FN195" s="21">
        <v>30.139355503194224</v>
      </c>
      <c r="FO195" s="21">
        <v>55.248738289772447</v>
      </c>
      <c r="FP195" s="21"/>
      <c r="FQ195" s="21"/>
      <c r="FR195" s="21"/>
      <c r="FS195" s="21"/>
      <c r="FT195" s="21"/>
      <c r="FU195" s="21"/>
      <c r="FV195" s="21"/>
      <c r="FW195" s="21"/>
      <c r="FX195" s="21">
        <v>145.70846870619744</v>
      </c>
      <c r="FY195" s="21">
        <v>73.074563883804984</v>
      </c>
      <c r="FZ195" s="21">
        <v>22.557967508451792</v>
      </c>
      <c r="GA195" s="21"/>
      <c r="GB195" s="21"/>
      <c r="GC195" s="21">
        <v>108.60527574641526</v>
      </c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>
        <v>35.809786372500689</v>
      </c>
      <c r="GT195" s="21"/>
      <c r="GU195" s="21"/>
      <c r="GV195" s="21"/>
      <c r="GW195" s="21"/>
      <c r="GX195" s="21">
        <v>0</v>
      </c>
      <c r="GY195" s="21">
        <v>0</v>
      </c>
      <c r="GZ195" s="21"/>
      <c r="HA195" s="21">
        <v>12.204181950543385</v>
      </c>
      <c r="HB195" s="21">
        <f t="shared" si="2"/>
        <v>879.20907852684945</v>
      </c>
    </row>
    <row r="196" spans="1:210" x14ac:dyDescent="0.75">
      <c r="A196" s="67" t="s">
        <v>666</v>
      </c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69">
        <v>0</v>
      </c>
      <c r="AD196" s="21"/>
      <c r="AE196" s="21"/>
      <c r="AF196" s="69">
        <v>0</v>
      </c>
      <c r="AG196" s="21"/>
      <c r="AH196" s="21"/>
      <c r="AI196" s="69">
        <v>0</v>
      </c>
      <c r="AJ196" s="21"/>
      <c r="AK196" s="21"/>
      <c r="AL196" s="21"/>
      <c r="AM196" s="21"/>
      <c r="AN196" s="21"/>
      <c r="AO196" s="21"/>
      <c r="AP196" s="21"/>
      <c r="AQ196" s="21"/>
      <c r="AR196" s="69">
        <v>0</v>
      </c>
      <c r="AS196" s="21"/>
      <c r="AT196" s="21"/>
      <c r="AU196" s="21"/>
      <c r="AV196" s="21"/>
      <c r="AW196" s="21"/>
      <c r="AX196" s="21"/>
      <c r="AY196" s="21"/>
      <c r="AZ196" s="21"/>
      <c r="BA196" s="21"/>
      <c r="BB196" s="69">
        <v>0</v>
      </c>
      <c r="BC196" s="21"/>
      <c r="BD196" s="21"/>
      <c r="BE196" s="21"/>
      <c r="BF196" s="21"/>
      <c r="BG196" s="69">
        <v>0</v>
      </c>
      <c r="BH196" s="21"/>
      <c r="BI196" s="69">
        <v>0</v>
      </c>
      <c r="BJ196" s="21"/>
      <c r="BK196" s="69">
        <v>0</v>
      </c>
      <c r="BL196" s="69">
        <v>0</v>
      </c>
      <c r="BM196" s="21"/>
      <c r="BN196" s="21"/>
      <c r="BO196" s="69">
        <v>0</v>
      </c>
      <c r="BP196" s="21"/>
      <c r="BQ196" s="21"/>
      <c r="BR196" s="21"/>
      <c r="BS196" s="21"/>
      <c r="BT196" s="21"/>
      <c r="BU196" s="21"/>
      <c r="BV196" s="69">
        <v>0</v>
      </c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69">
        <v>0</v>
      </c>
      <c r="DH196" s="21"/>
      <c r="DI196" s="21"/>
      <c r="DJ196" s="69">
        <v>0</v>
      </c>
      <c r="DK196" s="21"/>
      <c r="DL196" s="21"/>
      <c r="DM196" s="69">
        <v>0</v>
      </c>
      <c r="DN196" s="21"/>
      <c r="DO196" s="21"/>
      <c r="DP196" s="21"/>
      <c r="DQ196" s="21"/>
      <c r="DR196" s="21"/>
      <c r="DS196" s="21"/>
      <c r="DT196" s="21"/>
      <c r="DU196" s="21"/>
      <c r="DV196" s="21"/>
      <c r="DW196" s="69">
        <v>0</v>
      </c>
      <c r="DX196" s="21"/>
      <c r="DY196" s="21"/>
      <c r="DZ196" s="21"/>
      <c r="EA196" s="21"/>
      <c r="EB196" s="21"/>
      <c r="EC196" s="21"/>
      <c r="ED196" s="21"/>
      <c r="EE196" s="21"/>
      <c r="EF196" s="21"/>
      <c r="EG196" s="69">
        <v>0</v>
      </c>
      <c r="EH196" s="21"/>
      <c r="EI196" s="21"/>
      <c r="EJ196" s="21"/>
      <c r="EK196" s="21"/>
      <c r="EL196" s="69">
        <v>0</v>
      </c>
      <c r="EM196" s="21"/>
      <c r="EN196" s="69">
        <v>0</v>
      </c>
      <c r="EO196" s="21"/>
      <c r="EP196" s="69">
        <v>0</v>
      </c>
      <c r="EQ196" s="69">
        <v>0</v>
      </c>
      <c r="ER196" s="21"/>
      <c r="ES196" s="21"/>
      <c r="ET196" s="69">
        <v>0</v>
      </c>
      <c r="EU196" s="21"/>
      <c r="EV196" s="21"/>
      <c r="EW196" s="21"/>
      <c r="EX196" s="21"/>
      <c r="EY196" s="21"/>
      <c r="EZ196" s="21"/>
      <c r="FA196" s="69">
        <v>0</v>
      </c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>
        <v>141.59913386727342</v>
      </c>
      <c r="FM196" s="21">
        <v>189.15102280320281</v>
      </c>
      <c r="FN196" s="21">
        <v>94.303375805824786</v>
      </c>
      <c r="FO196" s="21">
        <v>137.7173889343745</v>
      </c>
      <c r="FP196" s="21"/>
      <c r="FQ196" s="21"/>
      <c r="FR196" s="21"/>
      <c r="FS196" s="21"/>
      <c r="FT196" s="21"/>
      <c r="FU196" s="21"/>
      <c r="FV196" s="21"/>
      <c r="FW196" s="21"/>
      <c r="FX196" s="21">
        <v>124.21917737164588</v>
      </c>
      <c r="FY196" s="21">
        <v>64.547092669532702</v>
      </c>
      <c r="FZ196" s="21">
        <v>22.675180356701759</v>
      </c>
      <c r="GA196" s="21"/>
      <c r="GB196" s="21"/>
      <c r="GC196" s="21">
        <v>350.81019983413989</v>
      </c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>
        <v>35.569658137319905</v>
      </c>
      <c r="GT196" s="21"/>
      <c r="GU196" s="21"/>
      <c r="GV196" s="21"/>
      <c r="GW196" s="21"/>
      <c r="GX196" s="21">
        <v>0</v>
      </c>
      <c r="GY196" s="21">
        <v>0</v>
      </c>
      <c r="GZ196" s="21"/>
      <c r="HA196" s="21">
        <v>26.478364644427582</v>
      </c>
      <c r="HB196" s="21">
        <f t="shared" si="2"/>
        <v>1187.0705944244432</v>
      </c>
    </row>
    <row r="197" spans="1:210" x14ac:dyDescent="0.75">
      <c r="A197" s="67" t="s">
        <v>656</v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69">
        <v>0</v>
      </c>
      <c r="AD197" s="21"/>
      <c r="AE197" s="21"/>
      <c r="AF197" s="69">
        <v>0</v>
      </c>
      <c r="AG197" s="21"/>
      <c r="AH197" s="21"/>
      <c r="AI197" s="69">
        <v>0</v>
      </c>
      <c r="AJ197" s="21"/>
      <c r="AK197" s="21"/>
      <c r="AL197" s="21"/>
      <c r="AM197" s="21"/>
      <c r="AN197" s="21"/>
      <c r="AO197" s="21"/>
      <c r="AP197" s="21"/>
      <c r="AQ197" s="21"/>
      <c r="AR197" s="69">
        <v>0</v>
      </c>
      <c r="AS197" s="21"/>
      <c r="AT197" s="21"/>
      <c r="AU197" s="21"/>
      <c r="AV197" s="21"/>
      <c r="AW197" s="21"/>
      <c r="AX197" s="21"/>
      <c r="AY197" s="21"/>
      <c r="AZ197" s="21"/>
      <c r="BA197" s="21"/>
      <c r="BB197" s="69">
        <v>0</v>
      </c>
      <c r="BC197" s="21"/>
      <c r="BD197" s="21"/>
      <c r="BE197" s="21"/>
      <c r="BF197" s="21"/>
      <c r="BG197" s="69">
        <v>0</v>
      </c>
      <c r="BH197" s="21"/>
      <c r="BI197" s="69">
        <v>0</v>
      </c>
      <c r="BJ197" s="21"/>
      <c r="BK197" s="69">
        <v>0</v>
      </c>
      <c r="BL197" s="69">
        <v>0</v>
      </c>
      <c r="BM197" s="21"/>
      <c r="BN197" s="21"/>
      <c r="BO197" s="69">
        <v>0</v>
      </c>
      <c r="BP197" s="21"/>
      <c r="BQ197" s="21"/>
      <c r="BR197" s="21"/>
      <c r="BS197" s="21"/>
      <c r="BT197" s="21"/>
      <c r="BU197" s="21"/>
      <c r="BV197" s="69">
        <v>0</v>
      </c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69">
        <v>0</v>
      </c>
      <c r="DH197" s="21"/>
      <c r="DI197" s="21"/>
      <c r="DJ197" s="69">
        <v>0</v>
      </c>
      <c r="DK197" s="21"/>
      <c r="DL197" s="21"/>
      <c r="DM197" s="69">
        <v>0</v>
      </c>
      <c r="DN197" s="21"/>
      <c r="DO197" s="21"/>
      <c r="DP197" s="21"/>
      <c r="DQ197" s="21"/>
      <c r="DR197" s="21"/>
      <c r="DS197" s="21"/>
      <c r="DT197" s="21"/>
      <c r="DU197" s="21"/>
      <c r="DV197" s="21"/>
      <c r="DW197" s="69">
        <v>0</v>
      </c>
      <c r="DX197" s="21"/>
      <c r="DY197" s="21"/>
      <c r="DZ197" s="21"/>
      <c r="EA197" s="21"/>
      <c r="EB197" s="21"/>
      <c r="EC197" s="21"/>
      <c r="ED197" s="21"/>
      <c r="EE197" s="21"/>
      <c r="EF197" s="21"/>
      <c r="EG197" s="69">
        <v>0</v>
      </c>
      <c r="EH197" s="21"/>
      <c r="EI197" s="21"/>
      <c r="EJ197" s="21"/>
      <c r="EK197" s="21"/>
      <c r="EL197" s="69">
        <v>0</v>
      </c>
      <c r="EM197" s="21"/>
      <c r="EN197" s="69">
        <v>0</v>
      </c>
      <c r="EO197" s="21"/>
      <c r="EP197" s="69">
        <v>0</v>
      </c>
      <c r="EQ197" s="69">
        <v>0</v>
      </c>
      <c r="ER197" s="21"/>
      <c r="ES197" s="21"/>
      <c r="ET197" s="69">
        <v>0</v>
      </c>
      <c r="EU197" s="21"/>
      <c r="EV197" s="21"/>
      <c r="EW197" s="21"/>
      <c r="EX197" s="21"/>
      <c r="EY197" s="21"/>
      <c r="EZ197" s="21"/>
      <c r="FA197" s="69">
        <v>0</v>
      </c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>
        <v>7.1483589300821295</v>
      </c>
      <c r="FQ197" s="21">
        <v>5.5052675270632934</v>
      </c>
      <c r="FR197" s="21">
        <v>0.59941013982434121</v>
      </c>
      <c r="FS197" s="21">
        <v>1.4345820018682027</v>
      </c>
      <c r="FT197" s="21"/>
      <c r="FU197" s="21"/>
      <c r="FV197" s="21"/>
      <c r="FW197" s="21"/>
      <c r="FX197" s="21">
        <v>1.8692486638984596</v>
      </c>
      <c r="FY197" s="21">
        <v>0.93032647676957025</v>
      </c>
      <c r="FZ197" s="21">
        <v>0.20980011584655126</v>
      </c>
      <c r="GA197" s="21"/>
      <c r="GB197" s="21"/>
      <c r="GC197" s="21">
        <v>0.38446333611621242</v>
      </c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>
        <v>2.0452936983898184</v>
      </c>
      <c r="GT197" s="21"/>
      <c r="GU197" s="21"/>
      <c r="GV197" s="21"/>
      <c r="GW197" s="21"/>
      <c r="GX197" s="21">
        <v>0</v>
      </c>
      <c r="GY197" s="21">
        <v>0</v>
      </c>
      <c r="GZ197" s="21"/>
      <c r="HA197" s="21">
        <v>9.2369336323898626E-2</v>
      </c>
      <c r="HB197" s="21">
        <f t="shared" si="2"/>
        <v>20.219120226182476</v>
      </c>
    </row>
    <row r="198" spans="1:210" x14ac:dyDescent="0.75">
      <c r="A198" s="67" t="s">
        <v>657</v>
      </c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69">
        <v>0</v>
      </c>
      <c r="AD198" s="21"/>
      <c r="AE198" s="21"/>
      <c r="AF198" s="69">
        <v>0</v>
      </c>
      <c r="AG198" s="21"/>
      <c r="AH198" s="21"/>
      <c r="AI198" s="69">
        <v>0</v>
      </c>
      <c r="AJ198" s="21"/>
      <c r="AK198" s="21"/>
      <c r="AL198" s="21"/>
      <c r="AM198" s="21"/>
      <c r="AN198" s="21"/>
      <c r="AO198" s="21"/>
      <c r="AP198" s="21"/>
      <c r="AQ198" s="21"/>
      <c r="AR198" s="69">
        <v>0</v>
      </c>
      <c r="AS198" s="21"/>
      <c r="AT198" s="21"/>
      <c r="AU198" s="21"/>
      <c r="AV198" s="21"/>
      <c r="AW198" s="21"/>
      <c r="AX198" s="21"/>
      <c r="AY198" s="21"/>
      <c r="AZ198" s="21"/>
      <c r="BA198" s="21"/>
      <c r="BB198" s="69">
        <v>0</v>
      </c>
      <c r="BC198" s="21"/>
      <c r="BD198" s="21"/>
      <c r="BE198" s="21"/>
      <c r="BF198" s="21"/>
      <c r="BG198" s="69">
        <v>0</v>
      </c>
      <c r="BH198" s="21"/>
      <c r="BI198" s="69">
        <v>0</v>
      </c>
      <c r="BJ198" s="21"/>
      <c r="BK198" s="69">
        <v>0</v>
      </c>
      <c r="BL198" s="69">
        <v>0</v>
      </c>
      <c r="BM198" s="21"/>
      <c r="BN198" s="21"/>
      <c r="BO198" s="69">
        <v>0</v>
      </c>
      <c r="BP198" s="21"/>
      <c r="BQ198" s="21"/>
      <c r="BR198" s="21"/>
      <c r="BS198" s="21"/>
      <c r="BT198" s="21"/>
      <c r="BU198" s="21"/>
      <c r="BV198" s="69">
        <v>0</v>
      </c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69">
        <v>0</v>
      </c>
      <c r="DH198" s="21"/>
      <c r="DI198" s="21"/>
      <c r="DJ198" s="69">
        <v>0</v>
      </c>
      <c r="DK198" s="21"/>
      <c r="DL198" s="21"/>
      <c r="DM198" s="69">
        <v>0</v>
      </c>
      <c r="DN198" s="21"/>
      <c r="DO198" s="21"/>
      <c r="DP198" s="21"/>
      <c r="DQ198" s="21"/>
      <c r="DR198" s="21"/>
      <c r="DS198" s="21"/>
      <c r="DT198" s="21"/>
      <c r="DU198" s="21"/>
      <c r="DV198" s="21"/>
      <c r="DW198" s="69">
        <v>0</v>
      </c>
      <c r="DX198" s="21"/>
      <c r="DY198" s="21"/>
      <c r="DZ198" s="21"/>
      <c r="EA198" s="21"/>
      <c r="EB198" s="21"/>
      <c r="EC198" s="21"/>
      <c r="ED198" s="21"/>
      <c r="EE198" s="21"/>
      <c r="EF198" s="21"/>
      <c r="EG198" s="69">
        <v>0</v>
      </c>
      <c r="EH198" s="21"/>
      <c r="EI198" s="21"/>
      <c r="EJ198" s="21"/>
      <c r="EK198" s="21"/>
      <c r="EL198" s="69">
        <v>0</v>
      </c>
      <c r="EM198" s="21"/>
      <c r="EN198" s="69">
        <v>0</v>
      </c>
      <c r="EO198" s="21"/>
      <c r="EP198" s="69">
        <v>0</v>
      </c>
      <c r="EQ198" s="69">
        <v>0</v>
      </c>
      <c r="ER198" s="21"/>
      <c r="ES198" s="21"/>
      <c r="ET198" s="69">
        <v>0</v>
      </c>
      <c r="EU198" s="21"/>
      <c r="EV198" s="21"/>
      <c r="EW198" s="21"/>
      <c r="EX198" s="21"/>
      <c r="EY198" s="21"/>
      <c r="EZ198" s="21"/>
      <c r="FA198" s="69">
        <v>0</v>
      </c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>
        <v>8.2934797070060533</v>
      </c>
      <c r="FQ198" s="21">
        <v>7.7248474228257731</v>
      </c>
      <c r="FR198" s="21">
        <v>1.3271171913518633</v>
      </c>
      <c r="FS198" s="21">
        <v>3.1593366315827991</v>
      </c>
      <c r="FT198" s="21"/>
      <c r="FU198" s="21"/>
      <c r="FV198" s="21"/>
      <c r="FW198" s="21"/>
      <c r="FX198" s="21">
        <v>2.0690808184723277</v>
      </c>
      <c r="FY198" s="21">
        <v>1.03746034236912</v>
      </c>
      <c r="FZ198" s="21">
        <v>0.43332766448763349</v>
      </c>
      <c r="GA198" s="21"/>
      <c r="GB198" s="21"/>
      <c r="GC198" s="21">
        <v>2.0716387548458068</v>
      </c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>
        <v>0.74516644321288505</v>
      </c>
      <c r="GT198" s="21"/>
      <c r="GU198" s="21"/>
      <c r="GV198" s="21"/>
      <c r="GW198" s="21"/>
      <c r="GX198" s="21">
        <v>0</v>
      </c>
      <c r="GY198" s="21">
        <v>0</v>
      </c>
      <c r="GZ198" s="21"/>
      <c r="HA198" s="21">
        <v>0.1593774110575962</v>
      </c>
      <c r="HB198" s="21">
        <f t="shared" si="2"/>
        <v>27.020832387211861</v>
      </c>
    </row>
    <row r="199" spans="1:210" x14ac:dyDescent="0.75">
      <c r="A199" s="67" t="s">
        <v>658</v>
      </c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69">
        <v>0</v>
      </c>
      <c r="AD199" s="21"/>
      <c r="AE199" s="21"/>
      <c r="AF199" s="69">
        <v>0</v>
      </c>
      <c r="AG199" s="21"/>
      <c r="AH199" s="21"/>
      <c r="AI199" s="69">
        <v>0</v>
      </c>
      <c r="AJ199" s="21"/>
      <c r="AK199" s="21"/>
      <c r="AL199" s="21"/>
      <c r="AM199" s="21"/>
      <c r="AN199" s="21"/>
      <c r="AO199" s="21"/>
      <c r="AP199" s="21"/>
      <c r="AQ199" s="21"/>
      <c r="AR199" s="69">
        <v>0</v>
      </c>
      <c r="AS199" s="21"/>
      <c r="AT199" s="21"/>
      <c r="AU199" s="21"/>
      <c r="AV199" s="21"/>
      <c r="AW199" s="21"/>
      <c r="AX199" s="21"/>
      <c r="AY199" s="21"/>
      <c r="AZ199" s="21"/>
      <c r="BA199" s="21"/>
      <c r="BB199" s="69">
        <v>0</v>
      </c>
      <c r="BC199" s="21"/>
      <c r="BD199" s="21"/>
      <c r="BE199" s="21"/>
      <c r="BF199" s="21"/>
      <c r="BG199" s="69">
        <v>0</v>
      </c>
      <c r="BH199" s="21"/>
      <c r="BI199" s="69">
        <v>0</v>
      </c>
      <c r="BJ199" s="21"/>
      <c r="BK199" s="69">
        <v>0</v>
      </c>
      <c r="BL199" s="69">
        <v>0</v>
      </c>
      <c r="BM199" s="21"/>
      <c r="BN199" s="21"/>
      <c r="BO199" s="69">
        <v>0</v>
      </c>
      <c r="BP199" s="21"/>
      <c r="BQ199" s="21"/>
      <c r="BR199" s="21"/>
      <c r="BS199" s="21"/>
      <c r="BT199" s="21"/>
      <c r="BU199" s="21"/>
      <c r="BV199" s="69">
        <v>0</v>
      </c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69">
        <v>0</v>
      </c>
      <c r="DH199" s="21"/>
      <c r="DI199" s="21"/>
      <c r="DJ199" s="69">
        <v>0</v>
      </c>
      <c r="DK199" s="21"/>
      <c r="DL199" s="21"/>
      <c r="DM199" s="69">
        <v>0</v>
      </c>
      <c r="DN199" s="21"/>
      <c r="DO199" s="21"/>
      <c r="DP199" s="21"/>
      <c r="DQ199" s="21"/>
      <c r="DR199" s="21"/>
      <c r="DS199" s="21"/>
      <c r="DT199" s="21"/>
      <c r="DU199" s="21"/>
      <c r="DV199" s="21"/>
      <c r="DW199" s="69">
        <v>0</v>
      </c>
      <c r="DX199" s="21"/>
      <c r="DY199" s="21"/>
      <c r="DZ199" s="21"/>
      <c r="EA199" s="21"/>
      <c r="EB199" s="21"/>
      <c r="EC199" s="21"/>
      <c r="ED199" s="21"/>
      <c r="EE199" s="21"/>
      <c r="EF199" s="21"/>
      <c r="EG199" s="69">
        <v>0</v>
      </c>
      <c r="EH199" s="21"/>
      <c r="EI199" s="21"/>
      <c r="EJ199" s="21"/>
      <c r="EK199" s="21"/>
      <c r="EL199" s="69">
        <v>0</v>
      </c>
      <c r="EM199" s="21"/>
      <c r="EN199" s="69">
        <v>0</v>
      </c>
      <c r="EO199" s="21"/>
      <c r="EP199" s="69">
        <v>0</v>
      </c>
      <c r="EQ199" s="69">
        <v>0</v>
      </c>
      <c r="ER199" s="21"/>
      <c r="ES199" s="21"/>
      <c r="ET199" s="69">
        <v>0</v>
      </c>
      <c r="EU199" s="21"/>
      <c r="EV199" s="21"/>
      <c r="EW199" s="21"/>
      <c r="EX199" s="21"/>
      <c r="EY199" s="21"/>
      <c r="EZ199" s="21"/>
      <c r="FA199" s="69">
        <v>0</v>
      </c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>
        <v>13.298150257289851</v>
      </c>
      <c r="FQ199" s="21">
        <v>13.229315981834025</v>
      </c>
      <c r="FR199" s="21">
        <v>2.2693899791976473</v>
      </c>
      <c r="FS199" s="21">
        <v>5.3875367756172068</v>
      </c>
      <c r="FT199" s="21"/>
      <c r="FU199" s="21"/>
      <c r="FV199" s="21"/>
      <c r="FW199" s="21"/>
      <c r="FX199" s="21">
        <v>2.7400065314742248</v>
      </c>
      <c r="FY199" s="21">
        <v>1.376299175134071</v>
      </c>
      <c r="FZ199" s="21">
        <v>0.63218377572087414</v>
      </c>
      <c r="GA199" s="21"/>
      <c r="GB199" s="21"/>
      <c r="GC199" s="21">
        <v>5.3330098081133714</v>
      </c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>
        <v>1.788769183400899</v>
      </c>
      <c r="GT199" s="21"/>
      <c r="GU199" s="21"/>
      <c r="GV199" s="21"/>
      <c r="GW199" s="21"/>
      <c r="GX199" s="21">
        <v>0</v>
      </c>
      <c r="GY199" s="21">
        <v>0</v>
      </c>
      <c r="GZ199" s="21"/>
      <c r="HA199" s="21">
        <v>2.4347971238300316E-3</v>
      </c>
      <c r="HB199" s="21">
        <f t="shared" si="2"/>
        <v>46.057096264906008</v>
      </c>
    </row>
    <row r="200" spans="1:210" x14ac:dyDescent="0.75">
      <c r="A200" s="67" t="s">
        <v>659</v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69">
        <v>0</v>
      </c>
      <c r="AD200" s="21"/>
      <c r="AE200" s="21"/>
      <c r="AF200" s="69">
        <v>0</v>
      </c>
      <c r="AG200" s="21"/>
      <c r="AH200" s="21"/>
      <c r="AI200" s="69">
        <v>0</v>
      </c>
      <c r="AJ200" s="21"/>
      <c r="AK200" s="21"/>
      <c r="AL200" s="21"/>
      <c r="AM200" s="21"/>
      <c r="AN200" s="21"/>
      <c r="AO200" s="21"/>
      <c r="AP200" s="21"/>
      <c r="AQ200" s="21"/>
      <c r="AR200" s="69">
        <v>0</v>
      </c>
      <c r="AS200" s="21"/>
      <c r="AT200" s="21"/>
      <c r="AU200" s="21"/>
      <c r="AV200" s="21"/>
      <c r="AW200" s="21"/>
      <c r="AX200" s="21"/>
      <c r="AY200" s="21"/>
      <c r="AZ200" s="21"/>
      <c r="BA200" s="21"/>
      <c r="BB200" s="69">
        <v>0</v>
      </c>
      <c r="BC200" s="21"/>
      <c r="BD200" s="21"/>
      <c r="BE200" s="21"/>
      <c r="BF200" s="21"/>
      <c r="BG200" s="69">
        <v>0</v>
      </c>
      <c r="BH200" s="21"/>
      <c r="BI200" s="69">
        <v>0</v>
      </c>
      <c r="BJ200" s="21"/>
      <c r="BK200" s="69">
        <v>0</v>
      </c>
      <c r="BL200" s="69">
        <v>0</v>
      </c>
      <c r="BM200" s="21"/>
      <c r="BN200" s="21"/>
      <c r="BO200" s="69">
        <v>0</v>
      </c>
      <c r="BP200" s="21"/>
      <c r="BQ200" s="21"/>
      <c r="BR200" s="21"/>
      <c r="BS200" s="21"/>
      <c r="BT200" s="21"/>
      <c r="BU200" s="21"/>
      <c r="BV200" s="69">
        <v>0</v>
      </c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69">
        <v>0</v>
      </c>
      <c r="DH200" s="21"/>
      <c r="DI200" s="21"/>
      <c r="DJ200" s="69">
        <v>0</v>
      </c>
      <c r="DK200" s="21"/>
      <c r="DL200" s="21"/>
      <c r="DM200" s="69">
        <v>0</v>
      </c>
      <c r="DN200" s="21"/>
      <c r="DO200" s="21"/>
      <c r="DP200" s="21"/>
      <c r="DQ200" s="21"/>
      <c r="DR200" s="21"/>
      <c r="DS200" s="21"/>
      <c r="DT200" s="21"/>
      <c r="DU200" s="21"/>
      <c r="DV200" s="21"/>
      <c r="DW200" s="69">
        <v>0</v>
      </c>
      <c r="DX200" s="21"/>
      <c r="DY200" s="21"/>
      <c r="DZ200" s="21"/>
      <c r="EA200" s="21"/>
      <c r="EB200" s="21"/>
      <c r="EC200" s="21"/>
      <c r="ED200" s="21"/>
      <c r="EE200" s="21"/>
      <c r="EF200" s="21"/>
      <c r="EG200" s="69">
        <v>0</v>
      </c>
      <c r="EH200" s="21"/>
      <c r="EI200" s="21"/>
      <c r="EJ200" s="21"/>
      <c r="EK200" s="21"/>
      <c r="EL200" s="69">
        <v>0</v>
      </c>
      <c r="EM200" s="21"/>
      <c r="EN200" s="69">
        <v>0</v>
      </c>
      <c r="EO200" s="21"/>
      <c r="EP200" s="69">
        <v>0</v>
      </c>
      <c r="EQ200" s="69">
        <v>0</v>
      </c>
      <c r="ER200" s="21"/>
      <c r="ES200" s="21"/>
      <c r="ET200" s="69">
        <v>0</v>
      </c>
      <c r="EU200" s="21"/>
      <c r="EV200" s="21"/>
      <c r="EW200" s="21"/>
      <c r="EX200" s="21"/>
      <c r="EY200" s="21"/>
      <c r="EZ200" s="21"/>
      <c r="FA200" s="69">
        <v>0</v>
      </c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>
        <v>13.9810948607635</v>
      </c>
      <c r="FQ200" s="21">
        <v>16.942873743963329</v>
      </c>
      <c r="FR200" s="21">
        <v>8.1024811137893096</v>
      </c>
      <c r="FS200" s="21">
        <v>18.058735288686758</v>
      </c>
      <c r="FT200" s="21"/>
      <c r="FU200" s="21"/>
      <c r="FV200" s="21"/>
      <c r="FW200" s="21"/>
      <c r="FX200" s="21">
        <v>3.2287627997391475</v>
      </c>
      <c r="FY200" s="21">
        <v>1.6255744037904278</v>
      </c>
      <c r="FZ200" s="21">
        <v>0.90249324782048379</v>
      </c>
      <c r="GA200" s="21"/>
      <c r="GB200" s="21"/>
      <c r="GC200" s="21">
        <v>22.848779353441415</v>
      </c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>
        <v>2.8198613424463708</v>
      </c>
      <c r="GT200" s="21"/>
      <c r="GU200" s="21"/>
      <c r="GV200" s="21"/>
      <c r="GW200" s="21"/>
      <c r="GX200" s="21">
        <v>0</v>
      </c>
      <c r="GY200" s="21">
        <v>0</v>
      </c>
      <c r="GZ200" s="21"/>
      <c r="HA200" s="21">
        <v>1.1906239185998513</v>
      </c>
      <c r="HB200" s="21">
        <f t="shared" ref="HB200:HB263" si="3">SUM(B200:HA200)</f>
        <v>89.701280073040593</v>
      </c>
    </row>
    <row r="201" spans="1:210" x14ac:dyDescent="0.75">
      <c r="A201" s="67" t="s">
        <v>660</v>
      </c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69">
        <v>0</v>
      </c>
      <c r="AD201" s="21"/>
      <c r="AE201" s="21"/>
      <c r="AF201" s="69">
        <v>0</v>
      </c>
      <c r="AG201" s="21"/>
      <c r="AH201" s="21"/>
      <c r="AI201" s="69">
        <v>0</v>
      </c>
      <c r="AJ201" s="21"/>
      <c r="AK201" s="21"/>
      <c r="AL201" s="21"/>
      <c r="AM201" s="21"/>
      <c r="AN201" s="21"/>
      <c r="AO201" s="21"/>
      <c r="AP201" s="21"/>
      <c r="AQ201" s="21"/>
      <c r="AR201" s="69">
        <v>0</v>
      </c>
      <c r="AS201" s="21"/>
      <c r="AT201" s="21"/>
      <c r="AU201" s="21"/>
      <c r="AV201" s="21"/>
      <c r="AW201" s="21"/>
      <c r="AX201" s="21"/>
      <c r="AY201" s="21"/>
      <c r="AZ201" s="21"/>
      <c r="BA201" s="21"/>
      <c r="BB201" s="69">
        <v>0</v>
      </c>
      <c r="BC201" s="21"/>
      <c r="BD201" s="21"/>
      <c r="BE201" s="21"/>
      <c r="BF201" s="21"/>
      <c r="BG201" s="69">
        <v>0</v>
      </c>
      <c r="BH201" s="21"/>
      <c r="BI201" s="69">
        <v>0</v>
      </c>
      <c r="BJ201" s="21"/>
      <c r="BK201" s="69">
        <v>0</v>
      </c>
      <c r="BL201" s="69">
        <v>0</v>
      </c>
      <c r="BM201" s="21"/>
      <c r="BN201" s="21"/>
      <c r="BO201" s="69">
        <v>0</v>
      </c>
      <c r="BP201" s="21"/>
      <c r="BQ201" s="21"/>
      <c r="BR201" s="21"/>
      <c r="BS201" s="21"/>
      <c r="BT201" s="21"/>
      <c r="BU201" s="21"/>
      <c r="BV201" s="69">
        <v>0</v>
      </c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69">
        <v>0</v>
      </c>
      <c r="DH201" s="21"/>
      <c r="DI201" s="21"/>
      <c r="DJ201" s="69">
        <v>0</v>
      </c>
      <c r="DK201" s="21"/>
      <c r="DL201" s="21"/>
      <c r="DM201" s="69">
        <v>0</v>
      </c>
      <c r="DN201" s="21"/>
      <c r="DO201" s="21"/>
      <c r="DP201" s="21"/>
      <c r="DQ201" s="21"/>
      <c r="DR201" s="21"/>
      <c r="DS201" s="21"/>
      <c r="DT201" s="21"/>
      <c r="DU201" s="21"/>
      <c r="DV201" s="21"/>
      <c r="DW201" s="69">
        <v>0</v>
      </c>
      <c r="DX201" s="21"/>
      <c r="DY201" s="21"/>
      <c r="DZ201" s="21"/>
      <c r="EA201" s="21"/>
      <c r="EB201" s="21"/>
      <c r="EC201" s="21"/>
      <c r="ED201" s="21"/>
      <c r="EE201" s="21"/>
      <c r="EF201" s="21"/>
      <c r="EG201" s="69">
        <v>0</v>
      </c>
      <c r="EH201" s="21"/>
      <c r="EI201" s="21"/>
      <c r="EJ201" s="21"/>
      <c r="EK201" s="21"/>
      <c r="EL201" s="69">
        <v>0</v>
      </c>
      <c r="EM201" s="21"/>
      <c r="EN201" s="69">
        <v>0</v>
      </c>
      <c r="EO201" s="21"/>
      <c r="EP201" s="69">
        <v>0</v>
      </c>
      <c r="EQ201" s="69">
        <v>0</v>
      </c>
      <c r="ER201" s="21"/>
      <c r="ES201" s="21"/>
      <c r="ET201" s="69">
        <v>0</v>
      </c>
      <c r="EU201" s="21"/>
      <c r="EV201" s="21"/>
      <c r="EW201" s="21"/>
      <c r="EX201" s="21"/>
      <c r="EY201" s="21"/>
      <c r="EZ201" s="21"/>
      <c r="FA201" s="69">
        <v>0</v>
      </c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>
        <v>20.629823139179074</v>
      </c>
      <c r="FQ201" s="21">
        <v>52.193659831450901</v>
      </c>
      <c r="FR201" s="21">
        <v>56.479749356799594</v>
      </c>
      <c r="FS201" s="21">
        <v>267.84876299632799</v>
      </c>
      <c r="FT201" s="21"/>
      <c r="FU201" s="21"/>
      <c r="FV201" s="21"/>
      <c r="FW201" s="21"/>
      <c r="FX201" s="21">
        <v>4.8355538208141171</v>
      </c>
      <c r="FY201" s="21">
        <v>2.4336145310589186</v>
      </c>
      <c r="FZ201" s="21">
        <v>1.8735186367633461</v>
      </c>
      <c r="GA201" s="21"/>
      <c r="GB201" s="21"/>
      <c r="GC201" s="21">
        <v>279.92169065464742</v>
      </c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>
        <v>16.013612756759336</v>
      </c>
      <c r="GT201" s="21"/>
      <c r="GU201" s="21"/>
      <c r="GV201" s="21"/>
      <c r="GW201" s="21"/>
      <c r="GX201" s="21">
        <v>0</v>
      </c>
      <c r="GY201" s="21">
        <v>0</v>
      </c>
      <c r="GZ201" s="21"/>
      <c r="HA201" s="21">
        <v>9.1696594468249284</v>
      </c>
      <c r="HB201" s="21">
        <f t="shared" si="3"/>
        <v>711.3996451706256</v>
      </c>
    </row>
    <row r="202" spans="1:210" x14ac:dyDescent="0.75">
      <c r="A202" s="67" t="s">
        <v>752</v>
      </c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69">
        <v>0</v>
      </c>
      <c r="AD202" s="21"/>
      <c r="AE202" s="21"/>
      <c r="AF202" s="69">
        <v>0</v>
      </c>
      <c r="AG202" s="21"/>
      <c r="AH202" s="21"/>
      <c r="AI202" s="69">
        <v>0</v>
      </c>
      <c r="AJ202" s="21"/>
      <c r="AK202" s="21"/>
      <c r="AL202" s="21"/>
      <c r="AM202" s="21"/>
      <c r="AN202" s="21"/>
      <c r="AO202" s="21"/>
      <c r="AP202" s="21"/>
      <c r="AQ202" s="21"/>
      <c r="AR202" s="69">
        <v>0</v>
      </c>
      <c r="AS202" s="21"/>
      <c r="AT202" s="21"/>
      <c r="AU202" s="21"/>
      <c r="AV202" s="21"/>
      <c r="AW202" s="21"/>
      <c r="AX202" s="21"/>
      <c r="AY202" s="21"/>
      <c r="AZ202" s="21"/>
      <c r="BA202" s="21"/>
      <c r="BB202" s="69">
        <v>0</v>
      </c>
      <c r="BC202" s="21"/>
      <c r="BD202" s="21"/>
      <c r="BE202" s="21"/>
      <c r="BF202" s="21"/>
      <c r="BG202" s="69">
        <v>0</v>
      </c>
      <c r="BH202" s="21"/>
      <c r="BI202" s="69">
        <v>0</v>
      </c>
      <c r="BJ202" s="21"/>
      <c r="BK202" s="69">
        <v>0</v>
      </c>
      <c r="BL202" s="69">
        <v>0</v>
      </c>
      <c r="BM202" s="21"/>
      <c r="BN202" s="21"/>
      <c r="BO202" s="69">
        <v>0</v>
      </c>
      <c r="BP202" s="21"/>
      <c r="BQ202" s="21"/>
      <c r="BR202" s="21"/>
      <c r="BS202" s="21"/>
      <c r="BT202" s="21"/>
      <c r="BU202" s="21"/>
      <c r="BV202" s="69">
        <v>0</v>
      </c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69">
        <v>0</v>
      </c>
      <c r="DH202" s="21"/>
      <c r="DI202" s="21"/>
      <c r="DJ202" s="69">
        <v>0</v>
      </c>
      <c r="DK202" s="21"/>
      <c r="DL202" s="21"/>
      <c r="DM202" s="69">
        <v>0</v>
      </c>
      <c r="DN202" s="21"/>
      <c r="DO202" s="21"/>
      <c r="DP202" s="21"/>
      <c r="DQ202" s="21"/>
      <c r="DR202" s="21"/>
      <c r="DS202" s="21"/>
      <c r="DT202" s="21"/>
      <c r="DU202" s="21"/>
      <c r="DV202" s="21"/>
      <c r="DW202" s="69">
        <v>0</v>
      </c>
      <c r="DX202" s="21"/>
      <c r="DY202" s="21"/>
      <c r="DZ202" s="21"/>
      <c r="EA202" s="21"/>
      <c r="EB202" s="21"/>
      <c r="EC202" s="21"/>
      <c r="ED202" s="21"/>
      <c r="EE202" s="21"/>
      <c r="EF202" s="21"/>
      <c r="EG202" s="69">
        <v>0</v>
      </c>
      <c r="EH202" s="21"/>
      <c r="EI202" s="21"/>
      <c r="EJ202" s="21"/>
      <c r="EK202" s="21"/>
      <c r="EL202" s="69">
        <v>0</v>
      </c>
      <c r="EM202" s="21"/>
      <c r="EN202" s="69">
        <v>0</v>
      </c>
      <c r="EO202" s="21"/>
      <c r="EP202" s="69">
        <v>0</v>
      </c>
      <c r="EQ202" s="69">
        <v>0</v>
      </c>
      <c r="ER202" s="21"/>
      <c r="ES202" s="21"/>
      <c r="ET202" s="69">
        <v>0</v>
      </c>
      <c r="EU202" s="21"/>
      <c r="EV202" s="21"/>
      <c r="EW202" s="21"/>
      <c r="EX202" s="21"/>
      <c r="EY202" s="21"/>
      <c r="EZ202" s="21"/>
      <c r="FA202" s="69">
        <v>0</v>
      </c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>
        <v>7.6940562126824421</v>
      </c>
      <c r="FU202" s="21">
        <v>3.2202087434062454</v>
      </c>
      <c r="FV202" s="21">
        <v>1.4261065320083235</v>
      </c>
      <c r="FW202" s="21">
        <v>3.8743610872839516</v>
      </c>
      <c r="FX202" s="21">
        <v>0.78103653851840316</v>
      </c>
      <c r="FY202" s="21">
        <v>0.39181851939108892</v>
      </c>
      <c r="FZ202" s="21">
        <v>8.4933921882504829E-2</v>
      </c>
      <c r="GA202" s="21"/>
      <c r="GB202" s="21"/>
      <c r="GC202" s="21">
        <v>0.40922188238979379</v>
      </c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>
        <v>1.8386842751440586</v>
      </c>
      <c r="GT202" s="21"/>
      <c r="GU202" s="21"/>
      <c r="GV202" s="21"/>
      <c r="GW202" s="21"/>
      <c r="GX202" s="21">
        <v>0</v>
      </c>
      <c r="GY202" s="21">
        <v>0</v>
      </c>
      <c r="GZ202" s="21"/>
      <c r="HA202" s="21">
        <v>5.1601388214555732E-2</v>
      </c>
      <c r="HB202" s="21">
        <f t="shared" si="3"/>
        <v>19.772029100921365</v>
      </c>
    </row>
    <row r="203" spans="1:210" x14ac:dyDescent="0.75">
      <c r="A203" s="67" t="s">
        <v>753</v>
      </c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69">
        <v>0</v>
      </c>
      <c r="AD203" s="21"/>
      <c r="AE203" s="21"/>
      <c r="AF203" s="69">
        <v>0</v>
      </c>
      <c r="AG203" s="21"/>
      <c r="AH203" s="21"/>
      <c r="AI203" s="69">
        <v>0</v>
      </c>
      <c r="AJ203" s="21"/>
      <c r="AK203" s="21"/>
      <c r="AL203" s="21"/>
      <c r="AM203" s="21"/>
      <c r="AN203" s="21"/>
      <c r="AO203" s="21"/>
      <c r="AP203" s="21"/>
      <c r="AQ203" s="21"/>
      <c r="AR203" s="69">
        <v>0</v>
      </c>
      <c r="AS203" s="21"/>
      <c r="AT203" s="21"/>
      <c r="AU203" s="21"/>
      <c r="AV203" s="21"/>
      <c r="AW203" s="21"/>
      <c r="AX203" s="21"/>
      <c r="AY203" s="21"/>
      <c r="AZ203" s="21"/>
      <c r="BA203" s="21"/>
      <c r="BB203" s="69">
        <v>0</v>
      </c>
      <c r="BC203" s="21"/>
      <c r="BD203" s="21"/>
      <c r="BE203" s="21"/>
      <c r="BF203" s="21"/>
      <c r="BG203" s="69">
        <v>0</v>
      </c>
      <c r="BH203" s="21"/>
      <c r="BI203" s="69">
        <v>0</v>
      </c>
      <c r="BJ203" s="21"/>
      <c r="BK203" s="69">
        <v>0</v>
      </c>
      <c r="BL203" s="69">
        <v>0</v>
      </c>
      <c r="BM203" s="21"/>
      <c r="BN203" s="21"/>
      <c r="BO203" s="69">
        <v>0</v>
      </c>
      <c r="BP203" s="21"/>
      <c r="BQ203" s="21"/>
      <c r="BR203" s="21"/>
      <c r="BS203" s="21"/>
      <c r="BT203" s="21"/>
      <c r="BU203" s="21"/>
      <c r="BV203" s="69">
        <v>0</v>
      </c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69">
        <v>0</v>
      </c>
      <c r="DH203" s="21"/>
      <c r="DI203" s="21"/>
      <c r="DJ203" s="69">
        <v>0</v>
      </c>
      <c r="DK203" s="21"/>
      <c r="DL203" s="21"/>
      <c r="DM203" s="69">
        <v>0</v>
      </c>
      <c r="DN203" s="21"/>
      <c r="DO203" s="21"/>
      <c r="DP203" s="21"/>
      <c r="DQ203" s="21"/>
      <c r="DR203" s="21"/>
      <c r="DS203" s="21"/>
      <c r="DT203" s="21"/>
      <c r="DU203" s="21"/>
      <c r="DV203" s="21"/>
      <c r="DW203" s="69">
        <v>0</v>
      </c>
      <c r="DX203" s="21"/>
      <c r="DY203" s="21"/>
      <c r="DZ203" s="21"/>
      <c r="EA203" s="21"/>
      <c r="EB203" s="21"/>
      <c r="EC203" s="21"/>
      <c r="ED203" s="21"/>
      <c r="EE203" s="21"/>
      <c r="EF203" s="21"/>
      <c r="EG203" s="69">
        <v>0</v>
      </c>
      <c r="EH203" s="21"/>
      <c r="EI203" s="21"/>
      <c r="EJ203" s="21"/>
      <c r="EK203" s="21"/>
      <c r="EL203" s="69">
        <v>0</v>
      </c>
      <c r="EM203" s="21"/>
      <c r="EN203" s="69">
        <v>0</v>
      </c>
      <c r="EO203" s="21"/>
      <c r="EP203" s="69">
        <v>0</v>
      </c>
      <c r="EQ203" s="69">
        <v>0</v>
      </c>
      <c r="ER203" s="21"/>
      <c r="ES203" s="21"/>
      <c r="ET203" s="69">
        <v>0</v>
      </c>
      <c r="EU203" s="21"/>
      <c r="EV203" s="21"/>
      <c r="EW203" s="21"/>
      <c r="EX203" s="21"/>
      <c r="EY203" s="21"/>
      <c r="EZ203" s="21"/>
      <c r="FA203" s="69">
        <v>0</v>
      </c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>
        <v>9.0991704445073971</v>
      </c>
      <c r="FU203" s="21">
        <v>4.8780321229661006</v>
      </c>
      <c r="FV203" s="21">
        <v>2.2777025784408509</v>
      </c>
      <c r="FW203" s="21">
        <v>6.3862444791620083</v>
      </c>
      <c r="FX203" s="21">
        <v>2.0713929646398999</v>
      </c>
      <c r="FY203" s="21">
        <v>1.0275310072511037</v>
      </c>
      <c r="FZ203" s="21">
        <v>0.55212085964409974</v>
      </c>
      <c r="GA203" s="21"/>
      <c r="GB203" s="21"/>
      <c r="GC203" s="21">
        <v>0.75382329384499425</v>
      </c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>
        <v>1.7477222282877076</v>
      </c>
      <c r="GT203" s="21"/>
      <c r="GU203" s="21"/>
      <c r="GV203" s="21"/>
      <c r="GW203" s="21"/>
      <c r="GX203" s="21">
        <v>0</v>
      </c>
      <c r="GY203" s="21">
        <v>0</v>
      </c>
      <c r="GZ203" s="21"/>
      <c r="HA203" s="21">
        <v>0.26133514363509608</v>
      </c>
      <c r="HB203" s="21">
        <f t="shared" si="3"/>
        <v>29.055075122379257</v>
      </c>
    </row>
    <row r="204" spans="1:210" x14ac:dyDescent="0.75">
      <c r="A204" s="67" t="s">
        <v>754</v>
      </c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69">
        <v>0</v>
      </c>
      <c r="AD204" s="21"/>
      <c r="AE204" s="21"/>
      <c r="AF204" s="69">
        <v>0</v>
      </c>
      <c r="AG204" s="21"/>
      <c r="AH204" s="21"/>
      <c r="AI204" s="69">
        <v>0</v>
      </c>
      <c r="AJ204" s="21"/>
      <c r="AK204" s="21"/>
      <c r="AL204" s="21"/>
      <c r="AM204" s="21"/>
      <c r="AN204" s="21"/>
      <c r="AO204" s="21"/>
      <c r="AP204" s="21"/>
      <c r="AQ204" s="21"/>
      <c r="AR204" s="69">
        <v>0</v>
      </c>
      <c r="AS204" s="21"/>
      <c r="AT204" s="21"/>
      <c r="AU204" s="21"/>
      <c r="AV204" s="21"/>
      <c r="AW204" s="21"/>
      <c r="AX204" s="21"/>
      <c r="AY204" s="21"/>
      <c r="AZ204" s="21"/>
      <c r="BA204" s="21"/>
      <c r="BB204" s="69">
        <v>0</v>
      </c>
      <c r="BC204" s="21"/>
      <c r="BD204" s="21"/>
      <c r="BE204" s="21"/>
      <c r="BF204" s="21"/>
      <c r="BG204" s="69">
        <v>0</v>
      </c>
      <c r="BH204" s="21"/>
      <c r="BI204" s="69">
        <v>0</v>
      </c>
      <c r="BJ204" s="21"/>
      <c r="BK204" s="69">
        <v>0</v>
      </c>
      <c r="BL204" s="69">
        <v>0</v>
      </c>
      <c r="BM204" s="21"/>
      <c r="BN204" s="21"/>
      <c r="BO204" s="69">
        <v>0</v>
      </c>
      <c r="BP204" s="21"/>
      <c r="BQ204" s="21"/>
      <c r="BR204" s="21"/>
      <c r="BS204" s="21"/>
      <c r="BT204" s="21"/>
      <c r="BU204" s="21"/>
      <c r="BV204" s="69">
        <v>0</v>
      </c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69">
        <v>0</v>
      </c>
      <c r="DH204" s="21"/>
      <c r="DI204" s="21"/>
      <c r="DJ204" s="69">
        <v>0</v>
      </c>
      <c r="DK204" s="21"/>
      <c r="DL204" s="21"/>
      <c r="DM204" s="69">
        <v>0</v>
      </c>
      <c r="DN204" s="21"/>
      <c r="DO204" s="21"/>
      <c r="DP204" s="21"/>
      <c r="DQ204" s="21"/>
      <c r="DR204" s="21"/>
      <c r="DS204" s="21"/>
      <c r="DT204" s="21"/>
      <c r="DU204" s="21"/>
      <c r="DV204" s="21"/>
      <c r="DW204" s="69">
        <v>0</v>
      </c>
      <c r="DX204" s="21"/>
      <c r="DY204" s="21"/>
      <c r="DZ204" s="21"/>
      <c r="EA204" s="21"/>
      <c r="EB204" s="21"/>
      <c r="EC204" s="21"/>
      <c r="ED204" s="21"/>
      <c r="EE204" s="21"/>
      <c r="EF204" s="21"/>
      <c r="EG204" s="69">
        <v>0</v>
      </c>
      <c r="EH204" s="21"/>
      <c r="EI204" s="21"/>
      <c r="EJ204" s="21"/>
      <c r="EK204" s="21"/>
      <c r="EL204" s="69">
        <v>0</v>
      </c>
      <c r="EM204" s="21"/>
      <c r="EN204" s="69">
        <v>0</v>
      </c>
      <c r="EO204" s="21"/>
      <c r="EP204" s="69">
        <v>0</v>
      </c>
      <c r="EQ204" s="69">
        <v>0</v>
      </c>
      <c r="ER204" s="21"/>
      <c r="ES204" s="21"/>
      <c r="ET204" s="69">
        <v>0</v>
      </c>
      <c r="EU204" s="21"/>
      <c r="EV204" s="21"/>
      <c r="EW204" s="21"/>
      <c r="EX204" s="21"/>
      <c r="EY204" s="21"/>
      <c r="EZ204" s="21"/>
      <c r="FA204" s="69">
        <v>0</v>
      </c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>
        <v>11.467359417605126</v>
      </c>
      <c r="FU204" s="21">
        <v>7.1600524700831087</v>
      </c>
      <c r="FV204" s="21">
        <v>6.2271230093846395</v>
      </c>
      <c r="FW204" s="21">
        <v>16.7166441150632</v>
      </c>
      <c r="FX204" s="21">
        <v>2.3357441195737958</v>
      </c>
      <c r="FY204" s="21">
        <v>1.1743705679218337</v>
      </c>
      <c r="FZ204" s="21">
        <v>0.25130739088439336</v>
      </c>
      <c r="GA204" s="21"/>
      <c r="GB204" s="21"/>
      <c r="GC204" s="21">
        <v>6.0896365853445547</v>
      </c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>
        <v>1.9144651945364697</v>
      </c>
      <c r="GT204" s="21"/>
      <c r="GU204" s="21"/>
      <c r="GV204" s="21"/>
      <c r="GW204" s="21"/>
      <c r="GX204" s="21">
        <v>0</v>
      </c>
      <c r="GY204" s="21">
        <v>0</v>
      </c>
      <c r="GZ204" s="21"/>
      <c r="HA204" s="21">
        <v>0.19046462110663101</v>
      </c>
      <c r="HB204" s="21">
        <f t="shared" si="3"/>
        <v>53.527167491503747</v>
      </c>
    </row>
    <row r="205" spans="1:210" x14ac:dyDescent="0.75">
      <c r="A205" s="67" t="s">
        <v>755</v>
      </c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69">
        <v>0</v>
      </c>
      <c r="AD205" s="21"/>
      <c r="AE205" s="21"/>
      <c r="AF205" s="69">
        <v>0</v>
      </c>
      <c r="AG205" s="21"/>
      <c r="AH205" s="21"/>
      <c r="AI205" s="69">
        <v>0</v>
      </c>
      <c r="AJ205" s="21"/>
      <c r="AK205" s="21"/>
      <c r="AL205" s="21"/>
      <c r="AM205" s="21"/>
      <c r="AN205" s="21"/>
      <c r="AO205" s="21"/>
      <c r="AP205" s="21"/>
      <c r="AQ205" s="21"/>
      <c r="AR205" s="69">
        <v>0</v>
      </c>
      <c r="AS205" s="21"/>
      <c r="AT205" s="21"/>
      <c r="AU205" s="21"/>
      <c r="AV205" s="21"/>
      <c r="AW205" s="21"/>
      <c r="AX205" s="21"/>
      <c r="AY205" s="21"/>
      <c r="AZ205" s="21"/>
      <c r="BA205" s="21"/>
      <c r="BB205" s="69">
        <v>0</v>
      </c>
      <c r="BC205" s="21"/>
      <c r="BD205" s="21"/>
      <c r="BE205" s="21"/>
      <c r="BF205" s="21"/>
      <c r="BG205" s="69">
        <v>0</v>
      </c>
      <c r="BH205" s="21"/>
      <c r="BI205" s="69">
        <v>0</v>
      </c>
      <c r="BJ205" s="21"/>
      <c r="BK205" s="69">
        <v>0</v>
      </c>
      <c r="BL205" s="69">
        <v>0</v>
      </c>
      <c r="BM205" s="21"/>
      <c r="BN205" s="21"/>
      <c r="BO205" s="69">
        <v>0</v>
      </c>
      <c r="BP205" s="21"/>
      <c r="BQ205" s="21"/>
      <c r="BR205" s="21"/>
      <c r="BS205" s="21"/>
      <c r="BT205" s="21"/>
      <c r="BU205" s="21"/>
      <c r="BV205" s="69">
        <v>0</v>
      </c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69">
        <v>0</v>
      </c>
      <c r="DH205" s="21"/>
      <c r="DI205" s="21"/>
      <c r="DJ205" s="69">
        <v>0</v>
      </c>
      <c r="DK205" s="21"/>
      <c r="DL205" s="21"/>
      <c r="DM205" s="69">
        <v>0</v>
      </c>
      <c r="DN205" s="21"/>
      <c r="DO205" s="21"/>
      <c r="DP205" s="21"/>
      <c r="DQ205" s="21"/>
      <c r="DR205" s="21"/>
      <c r="DS205" s="21"/>
      <c r="DT205" s="21"/>
      <c r="DU205" s="21"/>
      <c r="DV205" s="21"/>
      <c r="DW205" s="69">
        <v>0</v>
      </c>
      <c r="DX205" s="21"/>
      <c r="DY205" s="21"/>
      <c r="DZ205" s="21"/>
      <c r="EA205" s="21"/>
      <c r="EB205" s="21"/>
      <c r="EC205" s="21"/>
      <c r="ED205" s="21"/>
      <c r="EE205" s="21"/>
      <c r="EF205" s="21"/>
      <c r="EG205" s="69">
        <v>0</v>
      </c>
      <c r="EH205" s="21"/>
      <c r="EI205" s="21"/>
      <c r="EJ205" s="21"/>
      <c r="EK205" s="21"/>
      <c r="EL205" s="69">
        <v>0</v>
      </c>
      <c r="EM205" s="21"/>
      <c r="EN205" s="69">
        <v>0</v>
      </c>
      <c r="EO205" s="21"/>
      <c r="EP205" s="69">
        <v>0</v>
      </c>
      <c r="EQ205" s="69">
        <v>0</v>
      </c>
      <c r="ER205" s="21"/>
      <c r="ES205" s="21"/>
      <c r="ET205" s="69">
        <v>0</v>
      </c>
      <c r="EU205" s="21"/>
      <c r="EV205" s="21"/>
      <c r="EW205" s="21"/>
      <c r="EX205" s="21"/>
      <c r="EY205" s="21"/>
      <c r="EZ205" s="21"/>
      <c r="FA205" s="69">
        <v>0</v>
      </c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>
        <v>22.478248518463264</v>
      </c>
      <c r="FU205" s="21">
        <v>21.373145173770581</v>
      </c>
      <c r="FV205" s="21">
        <v>12.501996507926593</v>
      </c>
      <c r="FW205" s="21">
        <v>51.206576898143574</v>
      </c>
      <c r="FX205" s="21">
        <v>3.4830201444995881</v>
      </c>
      <c r="FY205" s="21">
        <v>1.7498785085915305</v>
      </c>
      <c r="FZ205" s="21">
        <v>2.3879782808353931</v>
      </c>
      <c r="GA205" s="21"/>
      <c r="GB205" s="21"/>
      <c r="GC205" s="21">
        <v>25.893644659155306</v>
      </c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>
        <v>4.5637661394570941</v>
      </c>
      <c r="GT205" s="21"/>
      <c r="GU205" s="21"/>
      <c r="GV205" s="21"/>
      <c r="GW205" s="21"/>
      <c r="GX205" s="21">
        <v>0</v>
      </c>
      <c r="GY205" s="21">
        <v>0</v>
      </c>
      <c r="GZ205" s="21"/>
      <c r="HA205" s="21">
        <v>0.57598192059453424</v>
      </c>
      <c r="HB205" s="21">
        <f t="shared" si="3"/>
        <v>146.21423675143748</v>
      </c>
    </row>
    <row r="206" spans="1:210" x14ac:dyDescent="0.75">
      <c r="A206" s="67" t="s">
        <v>756</v>
      </c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69">
        <v>0</v>
      </c>
      <c r="AD206" s="21"/>
      <c r="AE206" s="21"/>
      <c r="AF206" s="69">
        <v>0</v>
      </c>
      <c r="AG206" s="21"/>
      <c r="AH206" s="21"/>
      <c r="AI206" s="69">
        <v>0</v>
      </c>
      <c r="AJ206" s="21"/>
      <c r="AK206" s="21"/>
      <c r="AL206" s="21"/>
      <c r="AM206" s="21"/>
      <c r="AN206" s="21"/>
      <c r="AO206" s="21"/>
      <c r="AP206" s="21"/>
      <c r="AQ206" s="21"/>
      <c r="AR206" s="69">
        <v>0</v>
      </c>
      <c r="AS206" s="21"/>
      <c r="AT206" s="21"/>
      <c r="AU206" s="21"/>
      <c r="AV206" s="21"/>
      <c r="AW206" s="21"/>
      <c r="AX206" s="21"/>
      <c r="AY206" s="21"/>
      <c r="AZ206" s="21"/>
      <c r="BA206" s="21"/>
      <c r="BB206" s="69">
        <v>0</v>
      </c>
      <c r="BC206" s="21"/>
      <c r="BD206" s="21"/>
      <c r="BE206" s="21"/>
      <c r="BF206" s="21"/>
      <c r="BG206" s="69">
        <v>0</v>
      </c>
      <c r="BH206" s="21"/>
      <c r="BI206" s="69">
        <v>0</v>
      </c>
      <c r="BJ206" s="21"/>
      <c r="BK206" s="69">
        <v>0</v>
      </c>
      <c r="BL206" s="69">
        <v>0</v>
      </c>
      <c r="BM206" s="21"/>
      <c r="BN206" s="21"/>
      <c r="BO206" s="69">
        <v>0</v>
      </c>
      <c r="BP206" s="21"/>
      <c r="BQ206" s="21"/>
      <c r="BR206" s="21"/>
      <c r="BS206" s="21"/>
      <c r="BT206" s="21"/>
      <c r="BU206" s="21"/>
      <c r="BV206" s="69">
        <v>0</v>
      </c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69">
        <v>0</v>
      </c>
      <c r="DH206" s="21"/>
      <c r="DI206" s="21"/>
      <c r="DJ206" s="69">
        <v>0</v>
      </c>
      <c r="DK206" s="21"/>
      <c r="DL206" s="21"/>
      <c r="DM206" s="69">
        <v>0</v>
      </c>
      <c r="DN206" s="21"/>
      <c r="DO206" s="21"/>
      <c r="DP206" s="21"/>
      <c r="DQ206" s="21"/>
      <c r="DR206" s="21"/>
      <c r="DS206" s="21"/>
      <c r="DT206" s="21"/>
      <c r="DU206" s="21"/>
      <c r="DV206" s="21"/>
      <c r="DW206" s="69">
        <v>0</v>
      </c>
      <c r="DX206" s="21"/>
      <c r="DY206" s="21"/>
      <c r="DZ206" s="21"/>
      <c r="EA206" s="21"/>
      <c r="EB206" s="21"/>
      <c r="EC206" s="21"/>
      <c r="ED206" s="21"/>
      <c r="EE206" s="21"/>
      <c r="EF206" s="21"/>
      <c r="EG206" s="69">
        <v>0</v>
      </c>
      <c r="EH206" s="21"/>
      <c r="EI206" s="21"/>
      <c r="EJ206" s="21"/>
      <c r="EK206" s="21"/>
      <c r="EL206" s="69">
        <v>0</v>
      </c>
      <c r="EM206" s="21"/>
      <c r="EN206" s="69">
        <v>0</v>
      </c>
      <c r="EO206" s="21"/>
      <c r="EP206" s="69">
        <v>0</v>
      </c>
      <c r="EQ206" s="69">
        <v>0</v>
      </c>
      <c r="ER206" s="21"/>
      <c r="ES206" s="21"/>
      <c r="ET206" s="69">
        <v>0</v>
      </c>
      <c r="EU206" s="21"/>
      <c r="EV206" s="21"/>
      <c r="EW206" s="21"/>
      <c r="EX206" s="21"/>
      <c r="EY206" s="21"/>
      <c r="EZ206" s="21"/>
      <c r="FA206" s="69">
        <v>0</v>
      </c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>
        <v>47.171097289537094</v>
      </c>
      <c r="FU206" s="21">
        <v>89.016807243259052</v>
      </c>
      <c r="FV206" s="21">
        <v>156.97524150175983</v>
      </c>
      <c r="FW206" s="21">
        <v>1069.5859977660818</v>
      </c>
      <c r="FX206" s="21">
        <v>3.9640872468635067</v>
      </c>
      <c r="FY206" s="21">
        <v>1.9929231283922233</v>
      </c>
      <c r="FZ206" s="21">
        <v>2.3620261910968341</v>
      </c>
      <c r="GA206" s="21"/>
      <c r="GB206" s="21"/>
      <c r="GC206" s="21">
        <v>806.26565217374321</v>
      </c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>
        <v>51.264300169881963</v>
      </c>
      <c r="GT206" s="21"/>
      <c r="GU206" s="21"/>
      <c r="GV206" s="21"/>
      <c r="GW206" s="21"/>
      <c r="GX206" s="21">
        <v>0</v>
      </c>
      <c r="GY206" s="21">
        <v>0</v>
      </c>
      <c r="GZ206" s="21"/>
      <c r="HA206" s="21">
        <v>111.0147663994354</v>
      </c>
      <c r="HB206" s="21">
        <f t="shared" si="3"/>
        <v>2339.6128991100509</v>
      </c>
    </row>
    <row r="207" spans="1:210" x14ac:dyDescent="0.75">
      <c r="A207" s="67" t="s">
        <v>80</v>
      </c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69">
        <v>0</v>
      </c>
      <c r="AD207" s="21"/>
      <c r="AE207" s="21"/>
      <c r="AF207" s="69">
        <v>0</v>
      </c>
      <c r="AG207" s="21"/>
      <c r="AH207" s="21"/>
      <c r="AI207" s="69">
        <v>0</v>
      </c>
      <c r="AJ207" s="21"/>
      <c r="AK207" s="21"/>
      <c r="AL207" s="21"/>
      <c r="AM207" s="21"/>
      <c r="AN207" s="21"/>
      <c r="AO207" s="21"/>
      <c r="AP207" s="21"/>
      <c r="AQ207" s="21"/>
      <c r="AR207" s="69">
        <v>0</v>
      </c>
      <c r="AS207" s="21"/>
      <c r="AT207" s="21"/>
      <c r="AU207" s="21"/>
      <c r="AV207" s="21"/>
      <c r="AW207" s="21"/>
      <c r="AX207" s="21"/>
      <c r="AY207" s="21"/>
      <c r="AZ207" s="21"/>
      <c r="BA207" s="21"/>
      <c r="BB207" s="69">
        <v>0</v>
      </c>
      <c r="BC207" s="21"/>
      <c r="BD207" s="21"/>
      <c r="BE207" s="21"/>
      <c r="BF207" s="21"/>
      <c r="BG207" s="69">
        <v>0</v>
      </c>
      <c r="BH207" s="21"/>
      <c r="BI207" s="69">
        <v>0</v>
      </c>
      <c r="BJ207" s="21"/>
      <c r="BK207" s="69">
        <v>0</v>
      </c>
      <c r="BL207" s="69">
        <v>0</v>
      </c>
      <c r="BM207" s="21"/>
      <c r="BN207" s="21"/>
      <c r="BO207" s="69">
        <v>0</v>
      </c>
      <c r="BP207" s="21"/>
      <c r="BQ207" s="21"/>
      <c r="BR207" s="21"/>
      <c r="BS207" s="21"/>
      <c r="BT207" s="21"/>
      <c r="BU207" s="21"/>
      <c r="BV207" s="69">
        <v>0</v>
      </c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69">
        <v>0</v>
      </c>
      <c r="DH207" s="21"/>
      <c r="DI207" s="21"/>
      <c r="DJ207" s="69">
        <v>0</v>
      </c>
      <c r="DK207" s="21"/>
      <c r="DL207" s="21"/>
      <c r="DM207" s="69">
        <v>0</v>
      </c>
      <c r="DN207" s="21"/>
      <c r="DO207" s="21"/>
      <c r="DP207" s="21"/>
      <c r="DQ207" s="21"/>
      <c r="DR207" s="21"/>
      <c r="DS207" s="21"/>
      <c r="DT207" s="21"/>
      <c r="DU207" s="21"/>
      <c r="DV207" s="21"/>
      <c r="DW207" s="69">
        <v>0</v>
      </c>
      <c r="DX207" s="21"/>
      <c r="DY207" s="21"/>
      <c r="DZ207" s="21"/>
      <c r="EA207" s="21"/>
      <c r="EB207" s="21"/>
      <c r="EC207" s="21"/>
      <c r="ED207" s="21"/>
      <c r="EE207" s="21"/>
      <c r="EF207" s="21"/>
      <c r="EG207" s="69">
        <v>0</v>
      </c>
      <c r="EH207" s="21"/>
      <c r="EI207" s="21"/>
      <c r="EJ207" s="21"/>
      <c r="EK207" s="21"/>
      <c r="EL207" s="69">
        <v>0</v>
      </c>
      <c r="EM207" s="21"/>
      <c r="EN207" s="69">
        <v>0</v>
      </c>
      <c r="EO207" s="21"/>
      <c r="EP207" s="69">
        <v>0</v>
      </c>
      <c r="EQ207" s="69">
        <v>0</v>
      </c>
      <c r="ER207" s="21"/>
      <c r="ES207" s="21"/>
      <c r="ET207" s="69">
        <v>0</v>
      </c>
      <c r="EU207" s="21"/>
      <c r="EV207" s="21"/>
      <c r="EW207" s="21"/>
      <c r="EX207" s="21"/>
      <c r="EY207" s="21"/>
      <c r="EZ207" s="21"/>
      <c r="FA207" s="69">
        <v>0</v>
      </c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>
        <v>69.858092807341478</v>
      </c>
      <c r="GD207" s="21">
        <v>0.36275209132449349</v>
      </c>
      <c r="GE207" s="21">
        <v>1.1514711445208372</v>
      </c>
      <c r="GF207" s="21">
        <v>2.2197375850015826</v>
      </c>
      <c r="GG207" s="21">
        <v>4.5330651685269423</v>
      </c>
      <c r="GH207" s="21">
        <v>25.201351180252512</v>
      </c>
      <c r="GI207" s="21">
        <v>9.5488851975252767E-2</v>
      </c>
      <c r="GJ207" s="21">
        <v>7.6932183152152389E-2</v>
      </c>
      <c r="GK207" s="21">
        <v>0.32549500772829404</v>
      </c>
      <c r="GL207" s="21">
        <v>1.5145605947485961</v>
      </c>
      <c r="GM207" s="21">
        <v>34.141030335471946</v>
      </c>
      <c r="GN207" s="21">
        <v>0.24350434459101189</v>
      </c>
      <c r="GO207" s="21">
        <v>0.27825699205105264</v>
      </c>
      <c r="GP207" s="21">
        <v>0.90487376622673321</v>
      </c>
      <c r="GQ207" s="21">
        <v>1.6870392485199885</v>
      </c>
      <c r="GR207" s="21">
        <v>122.96051838522801</v>
      </c>
      <c r="GS207" s="21"/>
      <c r="GT207" s="21">
        <v>-85.580313206443037</v>
      </c>
      <c r="GU207" s="21">
        <v>478.63971540414622</v>
      </c>
      <c r="GV207" s="21">
        <v>1.1773392266962333</v>
      </c>
      <c r="GW207" s="21">
        <v>64.972058817707236</v>
      </c>
      <c r="GX207" s="21">
        <v>673.85014129844785</v>
      </c>
      <c r="GY207" s="21">
        <v>0</v>
      </c>
      <c r="GZ207" s="21"/>
      <c r="HA207" s="21">
        <v>348.55630547153453</v>
      </c>
      <c r="HB207" s="21">
        <f t="shared" si="3"/>
        <v>1747.16941669875</v>
      </c>
    </row>
    <row r="208" spans="1:210" x14ac:dyDescent="0.75">
      <c r="A208" s="67" t="s">
        <v>162</v>
      </c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69">
        <v>0</v>
      </c>
      <c r="AD208" s="21"/>
      <c r="AE208" s="21"/>
      <c r="AF208" s="69">
        <v>0</v>
      </c>
      <c r="AG208" s="21"/>
      <c r="AH208" s="21"/>
      <c r="AI208" s="69">
        <v>0</v>
      </c>
      <c r="AJ208" s="21"/>
      <c r="AK208" s="21"/>
      <c r="AL208" s="21"/>
      <c r="AM208" s="21"/>
      <c r="AN208" s="21"/>
      <c r="AO208" s="21"/>
      <c r="AP208" s="21"/>
      <c r="AQ208" s="21"/>
      <c r="AR208" s="69">
        <v>0</v>
      </c>
      <c r="AS208" s="21"/>
      <c r="AT208" s="21"/>
      <c r="AU208" s="21"/>
      <c r="AV208" s="21"/>
      <c r="AW208" s="21"/>
      <c r="AX208" s="21"/>
      <c r="AY208" s="21"/>
      <c r="AZ208" s="21"/>
      <c r="BA208" s="21"/>
      <c r="BB208" s="69">
        <v>0</v>
      </c>
      <c r="BC208" s="21"/>
      <c r="BD208" s="21"/>
      <c r="BE208" s="21"/>
      <c r="BF208" s="21"/>
      <c r="BG208" s="69">
        <v>0</v>
      </c>
      <c r="BH208" s="21"/>
      <c r="BI208" s="69">
        <v>0</v>
      </c>
      <c r="BJ208" s="21"/>
      <c r="BK208" s="69">
        <v>0</v>
      </c>
      <c r="BL208" s="69">
        <v>-85.580313206443037</v>
      </c>
      <c r="BM208" s="21"/>
      <c r="BN208" s="21"/>
      <c r="BO208" s="69">
        <v>0</v>
      </c>
      <c r="BP208" s="21"/>
      <c r="BQ208" s="21"/>
      <c r="BR208" s="21"/>
      <c r="BS208" s="21"/>
      <c r="BT208" s="21"/>
      <c r="BU208" s="21"/>
      <c r="BV208" s="69">
        <v>0</v>
      </c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69">
        <v>0</v>
      </c>
      <c r="DH208" s="21"/>
      <c r="DI208" s="21"/>
      <c r="DJ208" s="69">
        <v>0</v>
      </c>
      <c r="DK208" s="21"/>
      <c r="DL208" s="21"/>
      <c r="DM208" s="69">
        <v>0</v>
      </c>
      <c r="DN208" s="21"/>
      <c r="DO208" s="21"/>
      <c r="DP208" s="21"/>
      <c r="DQ208" s="21"/>
      <c r="DR208" s="21"/>
      <c r="DS208" s="21"/>
      <c r="DT208" s="21"/>
      <c r="DU208" s="21"/>
      <c r="DV208" s="21"/>
      <c r="DW208" s="69">
        <v>0</v>
      </c>
      <c r="DX208" s="21"/>
      <c r="DY208" s="21"/>
      <c r="DZ208" s="21"/>
      <c r="EA208" s="21"/>
      <c r="EB208" s="21"/>
      <c r="EC208" s="21"/>
      <c r="ED208" s="21"/>
      <c r="EE208" s="21"/>
      <c r="EF208" s="21"/>
      <c r="EG208" s="69">
        <v>0</v>
      </c>
      <c r="EH208" s="21"/>
      <c r="EI208" s="21"/>
      <c r="EJ208" s="21"/>
      <c r="EK208" s="21"/>
      <c r="EL208" s="69">
        <v>0</v>
      </c>
      <c r="EM208" s="21"/>
      <c r="EN208" s="69">
        <v>0</v>
      </c>
      <c r="EO208" s="21"/>
      <c r="EP208" s="69">
        <v>0</v>
      </c>
      <c r="EQ208" s="69">
        <v>0</v>
      </c>
      <c r="ER208" s="21"/>
      <c r="ES208" s="21"/>
      <c r="ET208" s="69">
        <v>0</v>
      </c>
      <c r="EU208" s="21"/>
      <c r="EV208" s="21"/>
      <c r="EW208" s="21"/>
      <c r="EX208" s="21"/>
      <c r="EY208" s="21"/>
      <c r="EZ208" s="21"/>
      <c r="FA208" s="69">
        <v>0</v>
      </c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>
        <v>0</v>
      </c>
      <c r="GY208" s="21">
        <v>0</v>
      </c>
      <c r="GZ208" s="21"/>
      <c r="HA208" s="21"/>
      <c r="HB208" s="21">
        <f t="shared" si="3"/>
        <v>-85.580313206443037</v>
      </c>
    </row>
    <row r="209" spans="1:210" x14ac:dyDescent="0.75">
      <c r="A209" s="67" t="s">
        <v>81</v>
      </c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69">
        <v>0</v>
      </c>
      <c r="AD209" s="21"/>
      <c r="AE209" s="21"/>
      <c r="AF209" s="69">
        <v>0</v>
      </c>
      <c r="AG209" s="21"/>
      <c r="AH209" s="21"/>
      <c r="AI209" s="69">
        <v>0</v>
      </c>
      <c r="AJ209" s="21"/>
      <c r="AK209" s="21"/>
      <c r="AL209" s="21"/>
      <c r="AM209" s="21"/>
      <c r="AN209" s="21"/>
      <c r="AO209" s="21"/>
      <c r="AP209" s="21"/>
      <c r="AQ209" s="21"/>
      <c r="AR209" s="69">
        <v>0</v>
      </c>
      <c r="AS209" s="21"/>
      <c r="AT209" s="21"/>
      <c r="AU209" s="21"/>
      <c r="AV209" s="21"/>
      <c r="AW209" s="21"/>
      <c r="AX209" s="21"/>
      <c r="AY209" s="21"/>
      <c r="AZ209" s="21"/>
      <c r="BA209" s="21"/>
      <c r="BB209" s="69">
        <v>0</v>
      </c>
      <c r="BC209" s="21"/>
      <c r="BD209" s="21"/>
      <c r="BE209" s="21"/>
      <c r="BF209" s="21"/>
      <c r="BG209" s="69">
        <v>0</v>
      </c>
      <c r="BH209" s="21"/>
      <c r="BI209" s="69">
        <v>0</v>
      </c>
      <c r="BJ209" s="21"/>
      <c r="BK209" s="69">
        <v>0</v>
      </c>
      <c r="BL209" s="69">
        <v>0</v>
      </c>
      <c r="BM209" s="21"/>
      <c r="BN209" s="21"/>
      <c r="BO209" s="69">
        <v>0</v>
      </c>
      <c r="BP209" s="21"/>
      <c r="BQ209" s="21"/>
      <c r="BR209" s="21"/>
      <c r="BS209" s="21"/>
      <c r="BT209" s="21"/>
      <c r="BU209" s="21"/>
      <c r="BV209" s="69">
        <v>0</v>
      </c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69">
        <v>0</v>
      </c>
      <c r="DH209" s="21"/>
      <c r="DI209" s="21"/>
      <c r="DJ209" s="69">
        <v>0</v>
      </c>
      <c r="DK209" s="21"/>
      <c r="DL209" s="21"/>
      <c r="DM209" s="69">
        <v>0</v>
      </c>
      <c r="DN209" s="21"/>
      <c r="DO209" s="21"/>
      <c r="DP209" s="21"/>
      <c r="DQ209" s="21"/>
      <c r="DR209" s="21"/>
      <c r="DS209" s="21"/>
      <c r="DT209" s="21"/>
      <c r="DU209" s="21"/>
      <c r="DV209" s="21"/>
      <c r="DW209" s="69">
        <v>0</v>
      </c>
      <c r="DX209" s="21"/>
      <c r="DY209" s="21"/>
      <c r="DZ209" s="21"/>
      <c r="EA209" s="21"/>
      <c r="EB209" s="21"/>
      <c r="EC209" s="21"/>
      <c r="ED209" s="21"/>
      <c r="EE209" s="21"/>
      <c r="EF209" s="21"/>
      <c r="EG209" s="69">
        <v>0</v>
      </c>
      <c r="EH209" s="21"/>
      <c r="EI209" s="21"/>
      <c r="EJ209" s="21"/>
      <c r="EK209" s="21"/>
      <c r="EL209" s="69">
        <v>0</v>
      </c>
      <c r="EM209" s="21"/>
      <c r="EN209" s="69">
        <v>0</v>
      </c>
      <c r="EO209" s="21"/>
      <c r="EP209" s="69">
        <v>0</v>
      </c>
      <c r="EQ209" s="69">
        <v>0</v>
      </c>
      <c r="ER209" s="21"/>
      <c r="ES209" s="21"/>
      <c r="ET209" s="69">
        <v>0</v>
      </c>
      <c r="EU209" s="21"/>
      <c r="EV209" s="21"/>
      <c r="EW209" s="21"/>
      <c r="EX209" s="21"/>
      <c r="EY209" s="21"/>
      <c r="EZ209" s="21"/>
      <c r="FA209" s="69">
        <v>0</v>
      </c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>
        <v>163.48830532264245</v>
      </c>
      <c r="GD209" s="21">
        <v>0.60102077647170371</v>
      </c>
      <c r="GE209" s="21">
        <v>2.6994029929261569</v>
      </c>
      <c r="GF209" s="21">
        <v>4.8585214180387988</v>
      </c>
      <c r="GG209" s="21">
        <v>17.885356510813228</v>
      </c>
      <c r="GH209" s="21">
        <v>51.675966894138156</v>
      </c>
      <c r="GI209" s="21">
        <v>0.16329393654298627</v>
      </c>
      <c r="GJ209" s="21">
        <v>0.42875030735551556</v>
      </c>
      <c r="GK209" s="21">
        <v>0.84114145018083497</v>
      </c>
      <c r="GL209" s="21">
        <v>4.059431568068625</v>
      </c>
      <c r="GM209" s="21">
        <v>44.404591473547832</v>
      </c>
      <c r="GN209" s="21">
        <v>0.31027698667086157</v>
      </c>
      <c r="GO209" s="21">
        <v>0.38394831489749587</v>
      </c>
      <c r="GP209" s="21">
        <v>1.8965999140674976</v>
      </c>
      <c r="GQ209" s="21">
        <v>5.9269243068659359</v>
      </c>
      <c r="GR209" s="21">
        <v>179.01618323091816</v>
      </c>
      <c r="GS209" s="21"/>
      <c r="GT209" s="21"/>
      <c r="GU209" s="21"/>
      <c r="GV209" s="21"/>
      <c r="GW209" s="21"/>
      <c r="GX209" s="21">
        <v>0</v>
      </c>
      <c r="GY209" s="21">
        <v>0</v>
      </c>
      <c r="GZ209" s="21"/>
      <c r="HA209" s="21"/>
      <c r="HB209" s="21">
        <f t="shared" si="3"/>
        <v>478.63971540414633</v>
      </c>
    </row>
    <row r="210" spans="1:210" x14ac:dyDescent="0.75">
      <c r="A210" s="67" t="s">
        <v>160</v>
      </c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69">
        <v>0</v>
      </c>
      <c r="AD210" s="21"/>
      <c r="AE210" s="21"/>
      <c r="AF210" s="69">
        <v>0</v>
      </c>
      <c r="AG210" s="21"/>
      <c r="AH210" s="21"/>
      <c r="AI210" s="69">
        <v>0</v>
      </c>
      <c r="AJ210" s="21"/>
      <c r="AK210" s="21"/>
      <c r="AL210" s="21"/>
      <c r="AM210" s="21"/>
      <c r="AN210" s="21"/>
      <c r="AO210" s="21"/>
      <c r="AP210" s="21"/>
      <c r="AQ210" s="21"/>
      <c r="AR210" s="69">
        <v>0</v>
      </c>
      <c r="AS210" s="21"/>
      <c r="AT210" s="21"/>
      <c r="AU210" s="21"/>
      <c r="AV210" s="21"/>
      <c r="AW210" s="21"/>
      <c r="AX210" s="21"/>
      <c r="AY210" s="21"/>
      <c r="AZ210" s="21"/>
      <c r="BA210" s="21"/>
      <c r="BB210" s="69">
        <v>0</v>
      </c>
      <c r="BC210" s="21"/>
      <c r="BD210" s="21"/>
      <c r="BE210" s="21"/>
      <c r="BF210" s="21"/>
      <c r="BG210" s="69">
        <v>0</v>
      </c>
      <c r="BH210" s="21"/>
      <c r="BI210" s="69">
        <v>0</v>
      </c>
      <c r="BJ210" s="21"/>
      <c r="BK210" s="69">
        <v>0</v>
      </c>
      <c r="BL210" s="69">
        <v>0</v>
      </c>
      <c r="BM210" s="21"/>
      <c r="BN210" s="21"/>
      <c r="BO210" s="69">
        <v>0</v>
      </c>
      <c r="BP210" s="21"/>
      <c r="BQ210" s="21"/>
      <c r="BR210" s="21"/>
      <c r="BS210" s="21"/>
      <c r="BT210" s="21"/>
      <c r="BU210" s="21"/>
      <c r="BV210" s="69">
        <v>0</v>
      </c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69">
        <v>0</v>
      </c>
      <c r="DH210" s="21"/>
      <c r="DI210" s="21"/>
      <c r="DJ210" s="69">
        <v>0</v>
      </c>
      <c r="DK210" s="21"/>
      <c r="DL210" s="21"/>
      <c r="DM210" s="69">
        <v>0</v>
      </c>
      <c r="DN210" s="21"/>
      <c r="DO210" s="21"/>
      <c r="DP210" s="21"/>
      <c r="DQ210" s="21"/>
      <c r="DR210" s="21"/>
      <c r="DS210" s="21"/>
      <c r="DT210" s="21"/>
      <c r="DU210" s="21"/>
      <c r="DV210" s="21"/>
      <c r="DW210" s="69">
        <v>0</v>
      </c>
      <c r="DX210" s="21"/>
      <c r="DY210" s="21"/>
      <c r="DZ210" s="21"/>
      <c r="EA210" s="21"/>
      <c r="EB210" s="21"/>
      <c r="EC210" s="21"/>
      <c r="ED210" s="21"/>
      <c r="EE210" s="21"/>
      <c r="EF210" s="21"/>
      <c r="EG210" s="69">
        <v>0</v>
      </c>
      <c r="EH210" s="21"/>
      <c r="EI210" s="21"/>
      <c r="EJ210" s="21"/>
      <c r="EK210" s="21"/>
      <c r="EL210" s="69">
        <v>0</v>
      </c>
      <c r="EM210" s="21"/>
      <c r="EN210" s="69">
        <v>0</v>
      </c>
      <c r="EO210" s="21"/>
      <c r="EP210" s="69">
        <v>0</v>
      </c>
      <c r="EQ210" s="69">
        <v>0</v>
      </c>
      <c r="ER210" s="21"/>
      <c r="ES210" s="21"/>
      <c r="ET210" s="69">
        <v>0</v>
      </c>
      <c r="EU210" s="21"/>
      <c r="EV210" s="21"/>
      <c r="EW210" s="21"/>
      <c r="EX210" s="21"/>
      <c r="EY210" s="21"/>
      <c r="EZ210" s="21"/>
      <c r="FA210" s="69">
        <v>0</v>
      </c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>
        <v>0.14445747857379876</v>
      </c>
      <c r="FZ210" s="21">
        <v>4.5150199278885993E-2</v>
      </c>
      <c r="GA210" s="21">
        <v>3.9086376666344923E-2</v>
      </c>
      <c r="GB210" s="21">
        <v>0.94864517217720357</v>
      </c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>
        <v>0</v>
      </c>
      <c r="GY210" s="21">
        <v>0</v>
      </c>
      <c r="GZ210" s="21"/>
      <c r="HA210" s="21"/>
      <c r="HB210" s="21">
        <f t="shared" si="3"/>
        <v>1.1773392266962333</v>
      </c>
    </row>
    <row r="211" spans="1:210" x14ac:dyDescent="0.75">
      <c r="A211" s="67" t="s">
        <v>82</v>
      </c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69">
        <v>0</v>
      </c>
      <c r="AD211" s="21"/>
      <c r="AE211" s="21"/>
      <c r="AF211" s="69">
        <v>0</v>
      </c>
      <c r="AG211" s="21"/>
      <c r="AH211" s="21"/>
      <c r="AI211" s="69">
        <v>0</v>
      </c>
      <c r="AJ211" s="21"/>
      <c r="AK211" s="21"/>
      <c r="AL211" s="21"/>
      <c r="AM211" s="21"/>
      <c r="AN211" s="21"/>
      <c r="AO211" s="21"/>
      <c r="AP211" s="21"/>
      <c r="AQ211" s="21"/>
      <c r="AR211" s="69">
        <v>0</v>
      </c>
      <c r="AS211" s="21"/>
      <c r="AT211" s="21"/>
      <c r="AU211" s="21"/>
      <c r="AV211" s="21"/>
      <c r="AW211" s="21"/>
      <c r="AX211" s="21"/>
      <c r="AY211" s="21"/>
      <c r="AZ211" s="21"/>
      <c r="BA211" s="21"/>
      <c r="BB211" s="69">
        <v>0</v>
      </c>
      <c r="BC211" s="21"/>
      <c r="BD211" s="21"/>
      <c r="BE211" s="21"/>
      <c r="BF211" s="21"/>
      <c r="BG211" s="69">
        <v>0</v>
      </c>
      <c r="BH211" s="21"/>
      <c r="BI211" s="69">
        <v>0</v>
      </c>
      <c r="BJ211" s="21"/>
      <c r="BK211" s="69">
        <v>0</v>
      </c>
      <c r="BL211" s="69">
        <v>0</v>
      </c>
      <c r="BM211" s="21"/>
      <c r="BN211" s="21"/>
      <c r="BO211" s="69">
        <v>0</v>
      </c>
      <c r="BP211" s="21"/>
      <c r="BQ211" s="21"/>
      <c r="BR211" s="21"/>
      <c r="BS211" s="21"/>
      <c r="BT211" s="21"/>
      <c r="BU211" s="21"/>
      <c r="BV211" s="69">
        <v>0</v>
      </c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69">
        <v>0</v>
      </c>
      <c r="DH211" s="21"/>
      <c r="DI211" s="21"/>
      <c r="DJ211" s="69">
        <v>0</v>
      </c>
      <c r="DK211" s="21"/>
      <c r="DL211" s="21"/>
      <c r="DM211" s="69">
        <v>0</v>
      </c>
      <c r="DN211" s="21"/>
      <c r="DO211" s="21"/>
      <c r="DP211" s="21"/>
      <c r="DQ211" s="21"/>
      <c r="DR211" s="21">
        <v>5.8029968405713769E-2</v>
      </c>
      <c r="DS211" s="21"/>
      <c r="DT211" s="21"/>
      <c r="DU211" s="21"/>
      <c r="DV211" s="21"/>
      <c r="DW211" s="69">
        <v>7.8767708035264752</v>
      </c>
      <c r="DX211" s="21">
        <v>7.2189052909039999</v>
      </c>
      <c r="DY211" s="21"/>
      <c r="DZ211" s="21"/>
      <c r="EA211" s="21"/>
      <c r="EB211" s="21">
        <v>46.30722912852054</v>
      </c>
      <c r="EC211" s="21"/>
      <c r="ED211" s="21"/>
      <c r="EE211" s="21"/>
      <c r="EF211" s="21"/>
      <c r="EG211" s="69">
        <v>0</v>
      </c>
      <c r="EH211" s="21"/>
      <c r="EI211" s="21"/>
      <c r="EJ211" s="21">
        <v>3.5111236263503787</v>
      </c>
      <c r="EK211" s="21"/>
      <c r="EL211" s="69">
        <v>0</v>
      </c>
      <c r="EM211" s="21"/>
      <c r="EN211" s="69">
        <v>0</v>
      </c>
      <c r="EO211" s="21"/>
      <c r="EP211" s="69">
        <v>0</v>
      </c>
      <c r="EQ211" s="69">
        <v>0</v>
      </c>
      <c r="ER211" s="21"/>
      <c r="ES211" s="21"/>
      <c r="ET211" s="69">
        <v>0</v>
      </c>
      <c r="EU211" s="21"/>
      <c r="EV211" s="21"/>
      <c r="EW211" s="21"/>
      <c r="EX211" s="21"/>
      <c r="EY211" s="21"/>
      <c r="EZ211" s="21"/>
      <c r="FA211" s="69">
        <v>0</v>
      </c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>
        <v>0</v>
      </c>
      <c r="GY211" s="21">
        <v>0</v>
      </c>
      <c r="GZ211" s="21"/>
      <c r="HA211" s="21"/>
      <c r="HB211" s="21">
        <f t="shared" si="3"/>
        <v>64.972058817707108</v>
      </c>
    </row>
    <row r="212" spans="1:210" x14ac:dyDescent="0.75">
      <c r="A212" s="67" t="s">
        <v>83</v>
      </c>
      <c r="B212" s="21">
        <v>0</v>
      </c>
      <c r="C212" s="21">
        <v>0</v>
      </c>
      <c r="D212" s="21">
        <v>0</v>
      </c>
      <c r="E212" s="21">
        <v>0</v>
      </c>
      <c r="F212" s="21">
        <v>0</v>
      </c>
      <c r="G212" s="21">
        <v>0</v>
      </c>
      <c r="H212" s="21">
        <v>0</v>
      </c>
      <c r="I212" s="21">
        <v>0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0</v>
      </c>
      <c r="Z212" s="21">
        <v>0</v>
      </c>
      <c r="AA212" s="21">
        <v>0</v>
      </c>
      <c r="AB212" s="21">
        <v>0</v>
      </c>
      <c r="AC212" s="21">
        <v>0</v>
      </c>
      <c r="AD212" s="21">
        <v>0</v>
      </c>
      <c r="AE212" s="21">
        <v>0</v>
      </c>
      <c r="AF212" s="21">
        <v>0</v>
      </c>
      <c r="AG212" s="21">
        <v>0</v>
      </c>
      <c r="AH212" s="21">
        <v>0</v>
      </c>
      <c r="AI212" s="21">
        <v>0</v>
      </c>
      <c r="AJ212" s="21">
        <v>0</v>
      </c>
      <c r="AK212" s="21">
        <v>0</v>
      </c>
      <c r="AL212" s="21">
        <v>0</v>
      </c>
      <c r="AM212" s="21">
        <v>0</v>
      </c>
      <c r="AN212" s="21">
        <v>0</v>
      </c>
      <c r="AO212" s="21">
        <v>0</v>
      </c>
      <c r="AP212" s="21">
        <v>0</v>
      </c>
      <c r="AQ212" s="21">
        <v>0</v>
      </c>
      <c r="AR212" s="21">
        <v>0</v>
      </c>
      <c r="AS212" s="21">
        <v>0</v>
      </c>
      <c r="AT212" s="21">
        <v>0</v>
      </c>
      <c r="AU212" s="21">
        <v>0</v>
      </c>
      <c r="AV212" s="21">
        <v>0</v>
      </c>
      <c r="AW212" s="21">
        <v>0</v>
      </c>
      <c r="AX212" s="21">
        <v>0</v>
      </c>
      <c r="AY212" s="21">
        <v>0</v>
      </c>
      <c r="AZ212" s="21">
        <v>0</v>
      </c>
      <c r="BA212" s="21">
        <v>0</v>
      </c>
      <c r="BB212" s="21">
        <v>0</v>
      </c>
      <c r="BC212" s="21">
        <v>0</v>
      </c>
      <c r="BD212" s="21">
        <v>0</v>
      </c>
      <c r="BE212" s="21">
        <v>0</v>
      </c>
      <c r="BF212" s="21">
        <v>0</v>
      </c>
      <c r="BG212" s="21">
        <v>0</v>
      </c>
      <c r="BH212" s="21">
        <v>0</v>
      </c>
      <c r="BI212" s="21">
        <v>0</v>
      </c>
      <c r="BJ212" s="21">
        <v>0</v>
      </c>
      <c r="BK212" s="21">
        <v>0</v>
      </c>
      <c r="BL212" s="21">
        <v>0</v>
      </c>
      <c r="BM212" s="21">
        <v>0</v>
      </c>
      <c r="BN212" s="21">
        <v>0</v>
      </c>
      <c r="BO212" s="21">
        <v>0</v>
      </c>
      <c r="BP212" s="21">
        <v>0</v>
      </c>
      <c r="BQ212" s="21">
        <v>0</v>
      </c>
      <c r="BR212" s="21">
        <v>0</v>
      </c>
      <c r="BS212" s="21">
        <v>0</v>
      </c>
      <c r="BT212" s="21">
        <v>0</v>
      </c>
      <c r="BU212" s="21">
        <v>0</v>
      </c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1.498997557816887E-2</v>
      </c>
      <c r="CF212" s="21">
        <v>0.93568835426285613</v>
      </c>
      <c r="CG212" s="21">
        <v>0.80489529664044679</v>
      </c>
      <c r="CH212" s="21">
        <v>9.0988613880507589</v>
      </c>
      <c r="CI212" s="21">
        <v>0.10559004833388892</v>
      </c>
      <c r="CJ212" s="21">
        <v>0.32856781055638801</v>
      </c>
      <c r="CK212" s="21">
        <v>0.13120748378062941</v>
      </c>
      <c r="CL212" s="21">
        <v>0.16881677612418877</v>
      </c>
      <c r="CM212" s="21">
        <v>1.58614304322785E-2</v>
      </c>
      <c r="CN212" s="21">
        <v>0.27655001030958065</v>
      </c>
      <c r="CO212" s="21">
        <v>3.9874360378697521E-3</v>
      </c>
      <c r="CP212" s="21">
        <v>0.26319689282369368</v>
      </c>
      <c r="CQ212" s="21">
        <v>2.686821565378484E-2</v>
      </c>
      <c r="CR212" s="21">
        <v>0</v>
      </c>
      <c r="CS212" s="21">
        <v>5.3456308552276566E-2</v>
      </c>
      <c r="CT212" s="21">
        <v>0.4423480383712175</v>
      </c>
      <c r="CU212" s="21">
        <v>9.449402652924252E-2</v>
      </c>
      <c r="CV212" s="21">
        <v>0</v>
      </c>
      <c r="CW212" s="21">
        <v>0.12951066845223125</v>
      </c>
      <c r="CX212" s="21">
        <v>5.0405710051331402E-3</v>
      </c>
      <c r="CY212" s="21">
        <v>4.1711842397124069E-2</v>
      </c>
      <c r="CZ212" s="21">
        <v>4.8404472773168972E-3</v>
      </c>
      <c r="DA212" s="21">
        <v>2.6121282657800542E-3</v>
      </c>
      <c r="DB212" s="21">
        <v>1.7269871815662041E-3</v>
      </c>
      <c r="DC212" s="21">
        <v>3.4860034793287989E-2</v>
      </c>
      <c r="DD212" s="21">
        <v>3.0812421672610786E-2</v>
      </c>
      <c r="DE212" s="21">
        <v>1.5572482671175876E-2</v>
      </c>
      <c r="DF212" s="21">
        <v>1.3953591545661993E-2</v>
      </c>
      <c r="DG212" s="21">
        <v>3.6794971142923717E-2</v>
      </c>
      <c r="DH212" s="21">
        <v>0</v>
      </c>
      <c r="DI212" s="21">
        <v>5.7393097206375795E-2</v>
      </c>
      <c r="DJ212" s="21">
        <v>0.61826665935724257</v>
      </c>
      <c r="DK212" s="21">
        <v>7.0067384928067813E-2</v>
      </c>
      <c r="DL212" s="21">
        <v>4.7957451846945706E-2</v>
      </c>
      <c r="DM212" s="21">
        <v>4.3471352806379375</v>
      </c>
      <c r="DN212" s="21">
        <v>0.37027887859856295</v>
      </c>
      <c r="DO212" s="21">
        <v>2.0004897815374827</v>
      </c>
      <c r="DP212" s="21">
        <v>0.68342679116700888</v>
      </c>
      <c r="DQ212" s="21">
        <v>17.061186632734586</v>
      </c>
      <c r="DR212" s="21">
        <v>1.2680600528014068</v>
      </c>
      <c r="DS212" s="21">
        <v>20.554810469339429</v>
      </c>
      <c r="DT212" s="21">
        <v>2.751935972494008</v>
      </c>
      <c r="DU212" s="21">
        <v>0.41944927082016398</v>
      </c>
      <c r="DV212" s="21">
        <v>29.673774365671974</v>
      </c>
      <c r="DW212" s="21">
        <v>98.008649736316698</v>
      </c>
      <c r="DX212" s="21">
        <v>3.0494302693369715</v>
      </c>
      <c r="DY212" s="21">
        <v>28.677269800960637</v>
      </c>
      <c r="DZ212" s="21">
        <v>7.3338701533073376</v>
      </c>
      <c r="EA212" s="21">
        <v>1.2488002269065295</v>
      </c>
      <c r="EB212" s="21">
        <v>5.8656554914283632</v>
      </c>
      <c r="EC212" s="21">
        <v>16.69647921898013</v>
      </c>
      <c r="ED212" s="21">
        <v>2.7012672801415496</v>
      </c>
      <c r="EE212" s="21">
        <v>12.58018472254825</v>
      </c>
      <c r="EF212" s="21">
        <v>4.2030503859982904</v>
      </c>
      <c r="EG212" s="21">
        <v>15.565479049038345</v>
      </c>
      <c r="EH212" s="21">
        <v>27.784059884569302</v>
      </c>
      <c r="EI212" s="21">
        <v>42.295626268963794</v>
      </c>
      <c r="EJ212" s="21">
        <v>32.448199463153287</v>
      </c>
      <c r="EK212" s="21">
        <v>4.1484042232524478</v>
      </c>
      <c r="EL212" s="21">
        <v>5.7135462766428802</v>
      </c>
      <c r="EM212" s="21">
        <v>-4.7406933262320212</v>
      </c>
      <c r="EN212" s="21">
        <v>-2.2239457670630407</v>
      </c>
      <c r="EO212" s="21">
        <v>69.106266995489094</v>
      </c>
      <c r="EP212" s="21">
        <v>0.30354079031118186</v>
      </c>
      <c r="EQ212" s="21">
        <v>41.197459153401262</v>
      </c>
      <c r="ER212" s="21">
        <v>0</v>
      </c>
      <c r="ES212" s="21">
        <v>4.0074504747772703</v>
      </c>
      <c r="ET212" s="21">
        <v>36.427178340084708</v>
      </c>
      <c r="EU212" s="21">
        <v>3.6445797224508918</v>
      </c>
      <c r="EV212" s="21">
        <v>0</v>
      </c>
      <c r="EW212" s="21">
        <v>6.1636181514237096</v>
      </c>
      <c r="EX212" s="21">
        <v>5.3226937907893364</v>
      </c>
      <c r="EY212" s="21">
        <v>0</v>
      </c>
      <c r="EZ212" s="21">
        <v>3.5410430810283136</v>
      </c>
      <c r="FA212" s="21">
        <v>90.285061325751499</v>
      </c>
      <c r="FB212" s="21">
        <v>0</v>
      </c>
      <c r="FC212" s="21">
        <v>0.3319209562951585</v>
      </c>
      <c r="FD212" s="21">
        <v>0.53116416866196414</v>
      </c>
      <c r="FE212" s="21">
        <v>0.27309028664934326</v>
      </c>
      <c r="FF212" s="21">
        <v>0.19791043756104851</v>
      </c>
      <c r="FG212" s="21">
        <v>4.0740121211710596</v>
      </c>
      <c r="FH212" s="21">
        <v>14.080770416768408</v>
      </c>
      <c r="FI212" s="21">
        <v>0</v>
      </c>
      <c r="FJ212" s="21">
        <v>0</v>
      </c>
      <c r="FK212" s="21">
        <v>0</v>
      </c>
      <c r="FL212" s="21">
        <v>0</v>
      </c>
      <c r="FM212" s="21">
        <v>0</v>
      </c>
      <c r="FN212" s="21">
        <v>0</v>
      </c>
      <c r="FO212" s="21">
        <v>0</v>
      </c>
      <c r="FP212" s="21">
        <v>0</v>
      </c>
      <c r="FQ212" s="21">
        <v>0</v>
      </c>
      <c r="FR212" s="21">
        <v>0</v>
      </c>
      <c r="FS212" s="21">
        <v>0</v>
      </c>
      <c r="FT212" s="21">
        <v>0</v>
      </c>
      <c r="FU212" s="21">
        <v>0</v>
      </c>
      <c r="FV212" s="21">
        <v>0</v>
      </c>
      <c r="FW212" s="21">
        <v>0</v>
      </c>
      <c r="FX212" s="21">
        <v>0</v>
      </c>
      <c r="FY212" s="21">
        <v>0</v>
      </c>
      <c r="FZ212" s="21">
        <v>0</v>
      </c>
      <c r="GA212" s="21">
        <v>0</v>
      </c>
      <c r="GB212" s="21">
        <v>0</v>
      </c>
      <c r="GC212" s="21">
        <v>0</v>
      </c>
      <c r="GD212" s="21">
        <v>0</v>
      </c>
      <c r="GE212" s="21">
        <v>0</v>
      </c>
      <c r="GF212" s="21">
        <v>0</v>
      </c>
      <c r="GG212" s="21">
        <v>0</v>
      </c>
      <c r="GH212" s="21">
        <v>0</v>
      </c>
      <c r="GI212" s="21">
        <v>0</v>
      </c>
      <c r="GJ212" s="21">
        <v>0</v>
      </c>
      <c r="GK212" s="21">
        <v>0</v>
      </c>
      <c r="GL212" s="21">
        <v>0</v>
      </c>
      <c r="GM212" s="21">
        <v>0</v>
      </c>
      <c r="GN212" s="21">
        <v>0</v>
      </c>
      <c r="GO212" s="21">
        <v>0</v>
      </c>
      <c r="GP212" s="21">
        <v>0</v>
      </c>
      <c r="GQ212" s="21">
        <v>0</v>
      </c>
      <c r="GR212" s="21">
        <v>0</v>
      </c>
      <c r="GS212" s="21">
        <v>0</v>
      </c>
      <c r="GT212" s="21">
        <v>0</v>
      </c>
      <c r="GU212" s="21">
        <v>0</v>
      </c>
      <c r="GV212" s="21">
        <v>0</v>
      </c>
      <c r="GW212" s="21">
        <v>0</v>
      </c>
      <c r="GX212" s="21">
        <v>0</v>
      </c>
      <c r="GY212" s="21">
        <v>0</v>
      </c>
      <c r="GZ212" s="21">
        <v>0</v>
      </c>
      <c r="HA212" s="21">
        <v>0</v>
      </c>
      <c r="HB212" s="21">
        <v>673.85014129844728</v>
      </c>
    </row>
    <row r="213" spans="1:210" ht="15" customHeight="1" x14ac:dyDescent="0.75">
      <c r="A213" s="67" t="s">
        <v>84</v>
      </c>
      <c r="B213" s="21">
        <v>0</v>
      </c>
      <c r="C213" s="21">
        <v>0</v>
      </c>
      <c r="D213" s="21">
        <v>0</v>
      </c>
      <c r="E213" s="21">
        <v>0</v>
      </c>
      <c r="F213" s="21">
        <v>0</v>
      </c>
      <c r="G213" s="21">
        <v>0</v>
      </c>
      <c r="H213" s="21">
        <v>0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1">
        <v>0</v>
      </c>
      <c r="AC213" s="21">
        <v>0</v>
      </c>
      <c r="AD213" s="21">
        <v>0</v>
      </c>
      <c r="AE213" s="21">
        <v>0</v>
      </c>
      <c r="AF213" s="21">
        <v>0</v>
      </c>
      <c r="AG213" s="21">
        <v>0</v>
      </c>
      <c r="AH213" s="21">
        <v>0</v>
      </c>
      <c r="AI213" s="21">
        <v>0</v>
      </c>
      <c r="AJ213" s="21">
        <v>0</v>
      </c>
      <c r="AK213" s="21">
        <v>0</v>
      </c>
      <c r="AL213" s="21">
        <v>0</v>
      </c>
      <c r="AM213" s="21">
        <v>0</v>
      </c>
      <c r="AN213" s="21">
        <v>0</v>
      </c>
      <c r="AO213" s="21">
        <v>0</v>
      </c>
      <c r="AP213" s="21">
        <v>0</v>
      </c>
      <c r="AQ213" s="21">
        <v>0</v>
      </c>
      <c r="AR213" s="21">
        <v>0</v>
      </c>
      <c r="AS213" s="21">
        <v>0</v>
      </c>
      <c r="AT213" s="21">
        <v>0</v>
      </c>
      <c r="AU213" s="21">
        <v>0</v>
      </c>
      <c r="AV213" s="21">
        <v>0</v>
      </c>
      <c r="AW213" s="21">
        <v>0</v>
      </c>
      <c r="AX213" s="21">
        <v>0</v>
      </c>
      <c r="AY213" s="21">
        <v>0</v>
      </c>
      <c r="AZ213" s="21">
        <v>0</v>
      </c>
      <c r="BA213" s="21">
        <v>0</v>
      </c>
      <c r="BB213" s="21">
        <v>0</v>
      </c>
      <c r="BC213" s="21">
        <v>0</v>
      </c>
      <c r="BD213" s="21">
        <v>0</v>
      </c>
      <c r="BE213" s="21">
        <v>0</v>
      </c>
      <c r="BF213" s="21">
        <v>0</v>
      </c>
      <c r="BG213" s="21">
        <v>0</v>
      </c>
      <c r="BH213" s="21">
        <v>0</v>
      </c>
      <c r="BI213" s="21">
        <v>0</v>
      </c>
      <c r="BJ213" s="21">
        <v>0</v>
      </c>
      <c r="BK213" s="21">
        <v>0</v>
      </c>
      <c r="BL213" s="21">
        <v>0</v>
      </c>
      <c r="BM213" s="21">
        <v>0</v>
      </c>
      <c r="BN213" s="21">
        <v>0</v>
      </c>
      <c r="BO213" s="21">
        <v>0</v>
      </c>
      <c r="BP213" s="21">
        <v>0</v>
      </c>
      <c r="BQ213" s="21">
        <v>0</v>
      </c>
      <c r="BR213" s="21">
        <v>0</v>
      </c>
      <c r="BS213" s="21">
        <v>0</v>
      </c>
      <c r="BT213" s="21">
        <v>0</v>
      </c>
      <c r="BU213" s="21">
        <v>0</v>
      </c>
      <c r="BV213" s="21">
        <v>0</v>
      </c>
      <c r="BW213" s="21">
        <v>0</v>
      </c>
      <c r="BX213" s="21">
        <v>0</v>
      </c>
      <c r="BY213" s="21">
        <v>0</v>
      </c>
      <c r="BZ213" s="21">
        <v>0</v>
      </c>
      <c r="CA213" s="21">
        <v>0</v>
      </c>
      <c r="CB213" s="21">
        <v>0</v>
      </c>
      <c r="CC213" s="21">
        <v>0</v>
      </c>
      <c r="CD213" s="21">
        <v>0</v>
      </c>
      <c r="CE213" s="21">
        <v>0</v>
      </c>
      <c r="CF213" s="21">
        <v>0</v>
      </c>
      <c r="CG213" s="21">
        <v>0</v>
      </c>
      <c r="CH213" s="21">
        <v>0</v>
      </c>
      <c r="CI213" s="21">
        <v>0</v>
      </c>
      <c r="CJ213" s="21">
        <v>0</v>
      </c>
      <c r="CK213" s="21">
        <v>0</v>
      </c>
      <c r="CL213" s="21">
        <v>0</v>
      </c>
      <c r="CM213" s="21">
        <v>0</v>
      </c>
      <c r="CN213" s="21">
        <v>0</v>
      </c>
      <c r="CO213" s="21">
        <v>0</v>
      </c>
      <c r="CP213" s="21">
        <v>0</v>
      </c>
      <c r="CQ213" s="21">
        <v>0</v>
      </c>
      <c r="CR213" s="21">
        <v>0</v>
      </c>
      <c r="CS213" s="21">
        <v>0</v>
      </c>
      <c r="CT213" s="21">
        <v>0</v>
      </c>
      <c r="CU213" s="21">
        <v>0</v>
      </c>
      <c r="CV213" s="21">
        <v>0</v>
      </c>
      <c r="CW213" s="21">
        <v>0</v>
      </c>
      <c r="CX213" s="21">
        <v>0</v>
      </c>
      <c r="CY213" s="21">
        <v>0</v>
      </c>
      <c r="CZ213" s="21">
        <v>0</v>
      </c>
      <c r="DA213" s="21">
        <v>0</v>
      </c>
      <c r="DB213" s="21">
        <v>0</v>
      </c>
      <c r="DC213" s="21">
        <v>0</v>
      </c>
      <c r="DD213" s="21">
        <v>0</v>
      </c>
      <c r="DE213" s="21">
        <v>0</v>
      </c>
      <c r="DF213" s="21">
        <v>0</v>
      </c>
      <c r="DG213" s="21">
        <v>0</v>
      </c>
      <c r="DH213" s="21">
        <v>0</v>
      </c>
      <c r="DI213" s="21">
        <v>0</v>
      </c>
      <c r="DJ213" s="21">
        <v>0</v>
      </c>
      <c r="DK213" s="21">
        <v>0</v>
      </c>
      <c r="DL213" s="21">
        <v>0</v>
      </c>
      <c r="DM213" s="21">
        <v>0</v>
      </c>
      <c r="DN213" s="21">
        <v>0</v>
      </c>
      <c r="DO213" s="21">
        <v>0</v>
      </c>
      <c r="DP213" s="21">
        <v>0</v>
      </c>
      <c r="DQ213" s="21">
        <v>0</v>
      </c>
      <c r="DR213" s="21">
        <v>0</v>
      </c>
      <c r="DS213" s="21">
        <v>0</v>
      </c>
      <c r="DT213" s="21">
        <v>0</v>
      </c>
      <c r="DU213" s="21">
        <v>0</v>
      </c>
      <c r="DV213" s="21">
        <v>0</v>
      </c>
      <c r="DW213" s="21">
        <v>0</v>
      </c>
      <c r="DX213" s="21">
        <v>0</v>
      </c>
      <c r="DY213" s="21">
        <v>0</v>
      </c>
      <c r="DZ213" s="21">
        <v>0</v>
      </c>
      <c r="EA213" s="21">
        <v>0</v>
      </c>
      <c r="EB213" s="21">
        <v>0</v>
      </c>
      <c r="EC213" s="21">
        <v>0</v>
      </c>
      <c r="ED213" s="21">
        <v>0</v>
      </c>
      <c r="EE213" s="21">
        <v>0</v>
      </c>
      <c r="EF213" s="21">
        <v>0</v>
      </c>
      <c r="EG213" s="21">
        <v>0</v>
      </c>
      <c r="EH213" s="21">
        <v>0</v>
      </c>
      <c r="EI213" s="21">
        <v>0</v>
      </c>
      <c r="EJ213" s="21">
        <v>0</v>
      </c>
      <c r="EK213" s="21">
        <v>0</v>
      </c>
      <c r="EL213" s="21">
        <v>0</v>
      </c>
      <c r="EM213" s="21">
        <v>0</v>
      </c>
      <c r="EN213" s="21">
        <v>0</v>
      </c>
      <c r="EO213" s="21">
        <v>0</v>
      </c>
      <c r="EP213" s="21">
        <v>0</v>
      </c>
      <c r="EQ213" s="21">
        <v>0</v>
      </c>
      <c r="ER213" s="21">
        <v>0</v>
      </c>
      <c r="ES213" s="21">
        <v>0</v>
      </c>
      <c r="ET213" s="21">
        <v>0</v>
      </c>
      <c r="EU213" s="21">
        <v>0</v>
      </c>
      <c r="EV213" s="21">
        <v>0</v>
      </c>
      <c r="EW213" s="21">
        <v>0</v>
      </c>
      <c r="EX213" s="21">
        <v>0</v>
      </c>
      <c r="EY213" s="21">
        <v>0</v>
      </c>
      <c r="EZ213" s="21">
        <v>0</v>
      </c>
      <c r="FA213" s="21">
        <v>0</v>
      </c>
      <c r="FB213" s="21">
        <v>0</v>
      </c>
      <c r="FC213" s="21">
        <v>0</v>
      </c>
      <c r="FD213" s="21">
        <v>0</v>
      </c>
      <c r="FE213" s="21">
        <v>0</v>
      </c>
      <c r="FF213" s="21">
        <v>0</v>
      </c>
      <c r="FG213" s="21">
        <v>0</v>
      </c>
      <c r="FH213" s="21">
        <v>0</v>
      </c>
      <c r="FI213" s="21">
        <v>0</v>
      </c>
      <c r="FJ213" s="21">
        <v>0</v>
      </c>
      <c r="FK213" s="21">
        <v>0</v>
      </c>
      <c r="FL213" s="21">
        <v>0</v>
      </c>
      <c r="FM213" s="21">
        <v>0</v>
      </c>
      <c r="FN213" s="21">
        <v>0</v>
      </c>
      <c r="FO213" s="21">
        <v>0</v>
      </c>
      <c r="FP213" s="21">
        <v>0</v>
      </c>
      <c r="FQ213" s="21">
        <v>0</v>
      </c>
      <c r="FR213" s="21">
        <v>0</v>
      </c>
      <c r="FS213" s="21">
        <v>0</v>
      </c>
      <c r="FT213" s="21">
        <v>0</v>
      </c>
      <c r="FU213" s="21">
        <v>0</v>
      </c>
      <c r="FV213" s="21">
        <v>0</v>
      </c>
      <c r="FW213" s="21">
        <v>0</v>
      </c>
      <c r="FX213" s="21">
        <v>0</v>
      </c>
      <c r="FY213" s="21">
        <v>0</v>
      </c>
      <c r="FZ213" s="21">
        <v>0</v>
      </c>
      <c r="GA213" s="21">
        <v>0</v>
      </c>
      <c r="GB213" s="21">
        <v>0</v>
      </c>
      <c r="GC213" s="21">
        <v>240.35009979154444</v>
      </c>
      <c r="GD213" s="21">
        <v>9.4631037841256074</v>
      </c>
      <c r="GE213" s="21">
        <v>15.75759462419744</v>
      </c>
      <c r="GF213" s="21">
        <v>16.748716994987223</v>
      </c>
      <c r="GG213" s="21">
        <v>34.124274570634931</v>
      </c>
      <c r="GH213" s="21">
        <v>55.957355384790581</v>
      </c>
      <c r="GI213" s="21">
        <v>0.96751672136209621</v>
      </c>
      <c r="GJ213" s="21">
        <v>0.84063665991757541</v>
      </c>
      <c r="GK213" s="21">
        <v>0.91911984003231861</v>
      </c>
      <c r="GL213" s="21">
        <v>2.2695795700135357</v>
      </c>
      <c r="GM213" s="21">
        <v>95.237918753912538</v>
      </c>
      <c r="GN213" s="21">
        <v>0.99429853543146129</v>
      </c>
      <c r="GO213" s="21">
        <v>0.69830583952381708</v>
      </c>
      <c r="GP213" s="21">
        <v>3.3054036998876444</v>
      </c>
      <c r="GQ213" s="21">
        <v>12.580861445630411</v>
      </c>
      <c r="GR213" s="21">
        <v>407.30028241868445</v>
      </c>
      <c r="GS213" s="21">
        <v>205.07128277197975</v>
      </c>
      <c r="GT213" s="21">
        <v>0</v>
      </c>
      <c r="GU213" s="21">
        <v>0</v>
      </c>
      <c r="GV213" s="21">
        <v>0</v>
      </c>
      <c r="GW213" s="21">
        <v>0</v>
      </c>
      <c r="GX213" s="21">
        <v>0</v>
      </c>
      <c r="GY213" s="21">
        <v>602.85817390348234</v>
      </c>
      <c r="GZ213" s="21">
        <v>0</v>
      </c>
      <c r="HA213" s="21">
        <v>730.81785692145013</v>
      </c>
      <c r="HB213" s="21">
        <f>SUM(B213:HA213)</f>
        <v>2436.2623822315882</v>
      </c>
    </row>
    <row r="214" spans="1:210" x14ac:dyDescent="0.75">
      <c r="A214" s="67" t="s">
        <v>85</v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69">
        <v>0</v>
      </c>
      <c r="AD214" s="21"/>
      <c r="AE214" s="21"/>
      <c r="AF214" s="69">
        <v>0</v>
      </c>
      <c r="AG214" s="21"/>
      <c r="AH214" s="21"/>
      <c r="AI214" s="69">
        <v>0</v>
      </c>
      <c r="AJ214" s="21"/>
      <c r="AK214" s="21"/>
      <c r="AL214" s="21"/>
      <c r="AM214" s="21"/>
      <c r="AN214" s="21"/>
      <c r="AO214" s="21"/>
      <c r="AP214" s="21"/>
      <c r="AQ214" s="21"/>
      <c r="AR214" s="69">
        <v>0</v>
      </c>
      <c r="AS214" s="21"/>
      <c r="AT214" s="21"/>
      <c r="AU214" s="21"/>
      <c r="AV214" s="21"/>
      <c r="AW214" s="21"/>
      <c r="AX214" s="21"/>
      <c r="AY214" s="21"/>
      <c r="AZ214" s="21"/>
      <c r="BA214" s="21"/>
      <c r="BB214" s="69">
        <v>0</v>
      </c>
      <c r="BC214" s="21"/>
      <c r="BD214" s="21"/>
      <c r="BE214" s="21"/>
      <c r="BF214" s="21"/>
      <c r="BG214" s="69">
        <v>0</v>
      </c>
      <c r="BH214" s="21"/>
      <c r="BI214" s="69">
        <v>0</v>
      </c>
      <c r="BJ214" s="21"/>
      <c r="BK214" s="69">
        <v>0</v>
      </c>
      <c r="BL214" s="69">
        <v>0</v>
      </c>
      <c r="BM214" s="21"/>
      <c r="BN214" s="21"/>
      <c r="BO214" s="69">
        <v>0</v>
      </c>
      <c r="BP214" s="21"/>
      <c r="BQ214" s="21"/>
      <c r="BR214" s="21"/>
      <c r="BS214" s="21"/>
      <c r="BT214" s="21"/>
      <c r="BU214" s="21"/>
      <c r="BV214" s="69">
        <v>0</v>
      </c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69">
        <v>0</v>
      </c>
      <c r="DH214" s="21"/>
      <c r="DI214" s="21"/>
      <c r="DJ214" s="69">
        <v>0</v>
      </c>
      <c r="DK214" s="21"/>
      <c r="DL214" s="21"/>
      <c r="DM214" s="69">
        <v>0</v>
      </c>
      <c r="DN214" s="21"/>
      <c r="DO214" s="21"/>
      <c r="DP214" s="21"/>
      <c r="DQ214" s="21"/>
      <c r="DR214" s="21"/>
      <c r="DS214" s="21"/>
      <c r="DT214" s="21"/>
      <c r="DU214" s="21"/>
      <c r="DV214" s="21"/>
      <c r="DW214" s="69">
        <v>0</v>
      </c>
      <c r="DX214" s="21"/>
      <c r="DY214" s="21"/>
      <c r="DZ214" s="21"/>
      <c r="EA214" s="21"/>
      <c r="EB214" s="21"/>
      <c r="EC214" s="21"/>
      <c r="ED214" s="21"/>
      <c r="EE214" s="21"/>
      <c r="EF214" s="21"/>
      <c r="EG214" s="69">
        <v>0</v>
      </c>
      <c r="EH214" s="21"/>
      <c r="EI214" s="21"/>
      <c r="EJ214" s="21"/>
      <c r="EK214" s="21"/>
      <c r="EL214" s="69">
        <v>0</v>
      </c>
      <c r="EM214" s="21"/>
      <c r="EN214" s="69">
        <v>0</v>
      </c>
      <c r="EO214" s="21"/>
      <c r="EP214" s="69">
        <v>0</v>
      </c>
      <c r="EQ214" s="69">
        <v>0</v>
      </c>
      <c r="ER214" s="21"/>
      <c r="ES214" s="21"/>
      <c r="ET214" s="69">
        <v>0</v>
      </c>
      <c r="EU214" s="21"/>
      <c r="EV214" s="21"/>
      <c r="EW214" s="21"/>
      <c r="EX214" s="21"/>
      <c r="EY214" s="21"/>
      <c r="EZ214" s="21"/>
      <c r="FA214" s="69">
        <v>0</v>
      </c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>
        <v>0</v>
      </c>
      <c r="GY214" s="21">
        <v>85.691766814482676</v>
      </c>
      <c r="GZ214" s="21"/>
      <c r="HA214" s="21"/>
      <c r="HB214" s="21">
        <f>SUM(B214:HA214)</f>
        <v>85.691766814482676</v>
      </c>
    </row>
    <row r="215" spans="1:210" x14ac:dyDescent="0.75">
      <c r="A215" s="67" t="s">
        <v>86</v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69">
        <v>0</v>
      </c>
      <c r="AD215" s="21"/>
      <c r="AE215" s="21"/>
      <c r="AF215" s="69">
        <v>0</v>
      </c>
      <c r="AG215" s="21"/>
      <c r="AH215" s="21"/>
      <c r="AI215" s="69">
        <v>0</v>
      </c>
      <c r="AJ215" s="21"/>
      <c r="AK215" s="21"/>
      <c r="AL215" s="21"/>
      <c r="AM215" s="21"/>
      <c r="AN215" s="21"/>
      <c r="AO215" s="21"/>
      <c r="AP215" s="21"/>
      <c r="AQ215" s="21"/>
      <c r="AR215" s="69">
        <v>0</v>
      </c>
      <c r="AS215" s="21"/>
      <c r="AT215" s="21"/>
      <c r="AU215" s="21"/>
      <c r="AV215" s="21"/>
      <c r="AW215" s="21"/>
      <c r="AX215" s="21"/>
      <c r="AY215" s="21"/>
      <c r="AZ215" s="21"/>
      <c r="BA215" s="21"/>
      <c r="BB215" s="69">
        <v>0</v>
      </c>
      <c r="BC215" s="21"/>
      <c r="BD215" s="21"/>
      <c r="BE215" s="21"/>
      <c r="BF215" s="21"/>
      <c r="BG215" s="69">
        <v>0</v>
      </c>
      <c r="BH215" s="21"/>
      <c r="BI215" s="69">
        <v>0</v>
      </c>
      <c r="BJ215" s="21"/>
      <c r="BK215" s="69">
        <v>0</v>
      </c>
      <c r="BL215" s="69">
        <v>0</v>
      </c>
      <c r="BM215" s="21"/>
      <c r="BN215" s="21"/>
      <c r="BO215" s="69">
        <v>0</v>
      </c>
      <c r="BP215" s="21"/>
      <c r="BQ215" s="21"/>
      <c r="BR215" s="21"/>
      <c r="BS215" s="21"/>
      <c r="BT215" s="21"/>
      <c r="BU215" s="21"/>
      <c r="BV215" s="69">
        <v>0</v>
      </c>
      <c r="BW215" s="21"/>
      <c r="BX215" s="21"/>
      <c r="BY215" s="21"/>
      <c r="BZ215" s="21"/>
      <c r="CA215" s="21"/>
      <c r="CB215" s="21"/>
      <c r="CC215" s="21"/>
      <c r="CD215" s="21"/>
      <c r="CE215" s="21">
        <v>1.0533711598804709</v>
      </c>
      <c r="CF215" s="21">
        <v>25.594808404337748</v>
      </c>
      <c r="CG215" s="21">
        <v>56.154361111152937</v>
      </c>
      <c r="CH215" s="21">
        <v>17.434891774798061</v>
      </c>
      <c r="CI215" s="21">
        <v>4.054465416123028</v>
      </c>
      <c r="CJ215" s="21">
        <v>4.7513441128865388</v>
      </c>
      <c r="CK215" s="21">
        <v>0.52076737770356329</v>
      </c>
      <c r="CL215" s="21">
        <v>10.477027217345526</v>
      </c>
      <c r="CM215" s="21">
        <v>5.1592505715397717E-2</v>
      </c>
      <c r="CN215" s="21">
        <v>1.6035972004941559</v>
      </c>
      <c r="CO215" s="21">
        <v>6.7589350093415268E-2</v>
      </c>
      <c r="CP215" s="21">
        <v>2.0745923681407845</v>
      </c>
      <c r="CQ215" s="21"/>
      <c r="CR215" s="21"/>
      <c r="CS215" s="21">
        <v>0.41506055864296076</v>
      </c>
      <c r="CT215" s="21">
        <v>5.9857984514529416</v>
      </c>
      <c r="CU215" s="21">
        <v>2.6668679568124349</v>
      </c>
      <c r="CV215" s="21">
        <v>2.943020410570768E-2</v>
      </c>
      <c r="CW215" s="21">
        <v>5.7585623949296432</v>
      </c>
      <c r="CX215" s="21">
        <v>1.4259332986105449</v>
      </c>
      <c r="CY215" s="21">
        <v>0.20303256358295221</v>
      </c>
      <c r="CZ215" s="21">
        <v>0.41684712202055646</v>
      </c>
      <c r="DA215" s="21">
        <v>8.2322672867643221E-2</v>
      </c>
      <c r="DB215" s="21"/>
      <c r="DC215" s="21">
        <v>1.8488346134671938</v>
      </c>
      <c r="DD215" s="21">
        <v>0.36684306301925629</v>
      </c>
      <c r="DE215" s="21">
        <v>0.1869089810452941</v>
      </c>
      <c r="DF215" s="21">
        <v>0.85896305902371173</v>
      </c>
      <c r="DG215" s="69">
        <v>1.3266079991954094</v>
      </c>
      <c r="DH215" s="21"/>
      <c r="DI215" s="21">
        <v>0.4707184544305581</v>
      </c>
      <c r="DJ215" s="69">
        <v>1.3388195169048211</v>
      </c>
      <c r="DK215" s="21">
        <v>0.14719503246108054</v>
      </c>
      <c r="DL215" s="21">
        <v>2.9826597170168814</v>
      </c>
      <c r="DM215" s="69">
        <v>9.0429040696179737</v>
      </c>
      <c r="DN215" s="21">
        <v>0.57480635349139575</v>
      </c>
      <c r="DO215" s="21">
        <v>23.142283767170255</v>
      </c>
      <c r="DP215" s="21">
        <v>3.0277987999723597</v>
      </c>
      <c r="DQ215" s="21">
        <v>79.718962113998586</v>
      </c>
      <c r="DR215" s="21">
        <v>6.7968496925184176</v>
      </c>
      <c r="DS215" s="21">
        <v>45.455508371218976</v>
      </c>
      <c r="DT215" s="21">
        <v>5.7408928866525333</v>
      </c>
      <c r="DU215" s="21"/>
      <c r="DV215" s="21">
        <v>119.53787749326963</v>
      </c>
      <c r="DW215" s="69">
        <v>33.006922642078976</v>
      </c>
      <c r="DX215" s="21">
        <v>2.8208988240170196</v>
      </c>
      <c r="DY215" s="21">
        <v>72.396016941694057</v>
      </c>
      <c r="DZ215" s="21">
        <v>38.489846569139957</v>
      </c>
      <c r="EA215" s="21">
        <v>7.2386592715771494</v>
      </c>
      <c r="EB215" s="21">
        <v>403.94631767640539</v>
      </c>
      <c r="EC215" s="21">
        <v>140.22860422147943</v>
      </c>
      <c r="ED215" s="21">
        <v>75.118840033412013</v>
      </c>
      <c r="EE215" s="21">
        <v>43.011381329717636</v>
      </c>
      <c r="EF215" s="21">
        <v>20.951980792883347</v>
      </c>
      <c r="EG215" s="69">
        <v>48.06685103876363</v>
      </c>
      <c r="EH215" s="21">
        <v>138.30159707957051</v>
      </c>
      <c r="EI215" s="21">
        <v>310.09873757336425</v>
      </c>
      <c r="EJ215" s="21">
        <v>109.48771245186295</v>
      </c>
      <c r="EK215" s="21">
        <v>10.090648707062455</v>
      </c>
      <c r="EL215" s="69">
        <v>81.805332313488819</v>
      </c>
      <c r="EM215" s="21">
        <v>3.2917904350756997</v>
      </c>
      <c r="EN215" s="69">
        <v>0</v>
      </c>
      <c r="EO215" s="21">
        <v>16.271060272720113</v>
      </c>
      <c r="EP215" s="69">
        <v>6.4726022458720389E-2</v>
      </c>
      <c r="EQ215" s="69">
        <v>63.981557780653667</v>
      </c>
      <c r="ER215" s="21">
        <v>1.0551708109860607</v>
      </c>
      <c r="ES215" s="21">
        <v>3.4423040424310711</v>
      </c>
      <c r="ET215" s="69">
        <v>19.340754064628381</v>
      </c>
      <c r="EU215" s="21">
        <v>0.72017366678952266</v>
      </c>
      <c r="EV215" s="21">
        <v>15.701373767347773</v>
      </c>
      <c r="EW215" s="21">
        <v>4.2730483884820964</v>
      </c>
      <c r="EX215" s="21">
        <v>3.6132812161603451E-5</v>
      </c>
      <c r="EY215" s="21">
        <v>0.14127382000890729</v>
      </c>
      <c r="EZ215" s="21">
        <v>0.56134985708237495</v>
      </c>
      <c r="FA215" s="69">
        <v>142.15086543872928</v>
      </c>
      <c r="FB215" s="21"/>
      <c r="FC215" s="21"/>
      <c r="FD215" s="21">
        <v>8.2660410210628442E-3</v>
      </c>
      <c r="FE215" s="21"/>
      <c r="FF215" s="21">
        <v>2.8604286997259839E-5</v>
      </c>
      <c r="FG215" s="21">
        <v>0.15959689188469467</v>
      </c>
      <c r="FH215" s="21">
        <v>0.29523122706531418</v>
      </c>
      <c r="FI215" s="21"/>
      <c r="FJ215" s="21">
        <v>303.27115690161673</v>
      </c>
      <c r="FK215" s="21"/>
      <c r="FL215" s="21">
        <v>5.389838628958544</v>
      </c>
      <c r="FM215" s="21">
        <v>5.8531704334786525</v>
      </c>
      <c r="FN215" s="21">
        <v>1.186662520205999</v>
      </c>
      <c r="FO215" s="21">
        <v>1.570398902615417</v>
      </c>
      <c r="FP215" s="21">
        <v>0.49472796783716988</v>
      </c>
      <c r="FQ215" s="21">
        <v>0.74654017712712761</v>
      </c>
      <c r="FR215" s="21">
        <v>0.53711106835521449</v>
      </c>
      <c r="FS215" s="21">
        <v>2.3106936892116297</v>
      </c>
      <c r="FT215" s="21">
        <v>0.76461070576708012</v>
      </c>
      <c r="FU215" s="21">
        <v>0.98122827803590262</v>
      </c>
      <c r="FV215" s="21">
        <v>1.4010571240854635</v>
      </c>
      <c r="FW215" s="21">
        <v>8.9633102441710566</v>
      </c>
      <c r="FX215" s="21"/>
      <c r="FY215" s="21">
        <v>28.101683118421747</v>
      </c>
      <c r="FZ215" s="21">
        <v>8.7831838503304631</v>
      </c>
      <c r="GA215" s="21">
        <v>7.6035729141137161</v>
      </c>
      <c r="GB215" s="21">
        <v>184.54237387734418</v>
      </c>
      <c r="GC215" s="21">
        <v>5.7418726874452428</v>
      </c>
      <c r="GD215" s="21">
        <v>1.1372511508998031</v>
      </c>
      <c r="GE215" s="21">
        <v>1.3534537955089541</v>
      </c>
      <c r="GF215" s="21">
        <v>2.4691809876496191</v>
      </c>
      <c r="GG215" s="21">
        <v>2.3750722287544228</v>
      </c>
      <c r="GH215" s="21">
        <v>8.4100289495805569</v>
      </c>
      <c r="GI215" s="21">
        <v>4.5469125001271163E-2</v>
      </c>
      <c r="GJ215" s="21">
        <v>4.996594977183863E-2</v>
      </c>
      <c r="GK215" s="21">
        <v>8.0703180064894519E-4</v>
      </c>
      <c r="GL215" s="21">
        <v>0.23489579260814047</v>
      </c>
      <c r="GM215" s="21">
        <v>2.935678345213967</v>
      </c>
      <c r="GN215" s="21">
        <v>3.2713559192476073E-2</v>
      </c>
      <c r="GO215" s="21">
        <v>6.147403528824337E-2</v>
      </c>
      <c r="GP215" s="21">
        <v>7.2668835987824046E-2</v>
      </c>
      <c r="GQ215" s="21">
        <v>8.9735174138985643E-2</v>
      </c>
      <c r="GR215" s="21">
        <v>28.877904311394108</v>
      </c>
      <c r="GS215" s="21">
        <v>43.260320803968725</v>
      </c>
      <c r="GT215" s="21"/>
      <c r="GU215" s="21"/>
      <c r="GV215" s="21"/>
      <c r="GW215" s="21"/>
      <c r="GX215" s="21">
        <v>0</v>
      </c>
      <c r="GY215" s="21">
        <v>0</v>
      </c>
      <c r="GZ215" s="21"/>
      <c r="HA215" s="21"/>
      <c r="HB215" s="21">
        <f>SUM(B215:HA215)</f>
        <v>2909.5564651030331</v>
      </c>
    </row>
    <row r="216" spans="1:210" x14ac:dyDescent="0.75">
      <c r="A216" s="67" t="s">
        <v>87</v>
      </c>
      <c r="B216" s="21">
        <f t="shared" ref="B216:BM216" si="4">SUM(B8:B215)</f>
        <v>45.253234392959961</v>
      </c>
      <c r="C216" s="21">
        <f t="shared" si="4"/>
        <v>99.547591931977692</v>
      </c>
      <c r="D216" s="21">
        <f t="shared" si="4"/>
        <v>3.2561505218144466</v>
      </c>
      <c r="E216" s="21">
        <f t="shared" si="4"/>
        <v>59.468264359227</v>
      </c>
      <c r="F216" s="21">
        <f t="shared" si="4"/>
        <v>0.29023539639779294</v>
      </c>
      <c r="G216" s="21">
        <f t="shared" si="4"/>
        <v>170.6108950945337</v>
      </c>
      <c r="H216" s="21">
        <f t="shared" si="4"/>
        <v>151.78029730815518</v>
      </c>
      <c r="I216" s="21">
        <f t="shared" si="4"/>
        <v>124.26513475674064</v>
      </c>
      <c r="J216" s="21">
        <f t="shared" si="4"/>
        <v>21.451056502528793</v>
      </c>
      <c r="K216" s="21">
        <f t="shared" si="4"/>
        <v>226.61121913994629</v>
      </c>
      <c r="L216" s="21">
        <f t="shared" si="4"/>
        <v>21.284497718506721</v>
      </c>
      <c r="M216" s="21">
        <f t="shared" si="4"/>
        <v>149.47856421845486</v>
      </c>
      <c r="N216" s="21">
        <f t="shared" si="4"/>
        <v>80.32826695096594</v>
      </c>
      <c r="O216" s="21">
        <f t="shared" si="4"/>
        <v>149.75103928822489</v>
      </c>
      <c r="P216" s="21">
        <f t="shared" si="4"/>
        <v>27.474825138448001</v>
      </c>
      <c r="Q216" s="21">
        <f t="shared" si="4"/>
        <v>25.683648732596719</v>
      </c>
      <c r="R216" s="21">
        <f t="shared" si="4"/>
        <v>11.297641658971072</v>
      </c>
      <c r="S216" s="21">
        <f t="shared" si="4"/>
        <v>3.7613437418606788</v>
      </c>
      <c r="T216" s="21">
        <f t="shared" si="4"/>
        <v>80.511428516102441</v>
      </c>
      <c r="U216" s="21">
        <f t="shared" si="4"/>
        <v>24.732342106772133</v>
      </c>
      <c r="V216" s="21">
        <f t="shared" si="4"/>
        <v>4.1841433039002141</v>
      </c>
      <c r="W216" s="21">
        <f t="shared" si="4"/>
        <v>7.8691814940978242</v>
      </c>
      <c r="X216" s="21">
        <f t="shared" si="4"/>
        <v>5.5853341662188463</v>
      </c>
      <c r="Y216" s="21">
        <f t="shared" si="4"/>
        <v>30.170856016814387</v>
      </c>
      <c r="Z216" s="21">
        <f t="shared" si="4"/>
        <v>87.792114191970228</v>
      </c>
      <c r="AA216" s="21">
        <f t="shared" si="4"/>
        <v>37.592269814641654</v>
      </c>
      <c r="AB216" s="21">
        <f t="shared" si="4"/>
        <v>13.49137968363285</v>
      </c>
      <c r="AC216" s="21">
        <f t="shared" si="4"/>
        <v>6.6554351692931224</v>
      </c>
      <c r="AD216" s="21">
        <f t="shared" si="4"/>
        <v>34.417281361698407</v>
      </c>
      <c r="AE216" s="21">
        <f t="shared" si="4"/>
        <v>15.230800347508797</v>
      </c>
      <c r="AF216" s="21">
        <f t="shared" si="4"/>
        <v>378.84550753423355</v>
      </c>
      <c r="AG216" s="21">
        <f t="shared" si="4"/>
        <v>30.104771031433767</v>
      </c>
      <c r="AH216" s="21">
        <f t="shared" si="4"/>
        <v>6.9272568879912497E-2</v>
      </c>
      <c r="AI216" s="21">
        <f t="shared" si="4"/>
        <v>238.45870244944425</v>
      </c>
      <c r="AJ216" s="21">
        <f t="shared" si="4"/>
        <v>93.814189225950315</v>
      </c>
      <c r="AK216" s="21">
        <f t="shared" si="4"/>
        <v>18.724474965612906</v>
      </c>
      <c r="AL216" s="21">
        <f t="shared" si="4"/>
        <v>16.453986333568281</v>
      </c>
      <c r="AM216" s="21">
        <f t="shared" si="4"/>
        <v>7.8991226303752047</v>
      </c>
      <c r="AN216" s="21">
        <f t="shared" si="4"/>
        <v>377.48668481961835</v>
      </c>
      <c r="AO216" s="21">
        <f t="shared" si="4"/>
        <v>68.067103497827034</v>
      </c>
      <c r="AP216" s="21">
        <f t="shared" si="4"/>
        <v>4.1785587198356033</v>
      </c>
      <c r="AQ216" s="21">
        <f t="shared" si="4"/>
        <v>87.874010561303919</v>
      </c>
      <c r="AR216" s="21">
        <f t="shared" si="4"/>
        <v>306.91912951885672</v>
      </c>
      <c r="AS216" s="21">
        <f t="shared" si="4"/>
        <v>7.8447574792040378</v>
      </c>
      <c r="AT216" s="21">
        <f t="shared" si="4"/>
        <v>69.682980289735283</v>
      </c>
      <c r="AU216" s="21">
        <f t="shared" si="4"/>
        <v>31.502074841534309</v>
      </c>
      <c r="AV216" s="21">
        <f t="shared" si="4"/>
        <v>25.793655131334148</v>
      </c>
      <c r="AW216" s="21">
        <f t="shared" si="4"/>
        <v>0.25382258796547608</v>
      </c>
      <c r="AX216" s="21">
        <f t="shared" si="4"/>
        <v>68.051705786267945</v>
      </c>
      <c r="AY216" s="21">
        <f t="shared" si="4"/>
        <v>7.0214214086533202</v>
      </c>
      <c r="AZ216" s="21">
        <f t="shared" si="4"/>
        <v>13.803840346149117</v>
      </c>
      <c r="BA216" s="21">
        <f t="shared" si="4"/>
        <v>7.9420122291384025</v>
      </c>
      <c r="BB216" s="21">
        <f t="shared" si="4"/>
        <v>73.962322826446979</v>
      </c>
      <c r="BC216" s="21">
        <f t="shared" si="4"/>
        <v>123.08956968903247</v>
      </c>
      <c r="BD216" s="21">
        <f t="shared" si="4"/>
        <v>13.098817440129867</v>
      </c>
      <c r="BE216" s="21">
        <f t="shared" si="4"/>
        <v>8.7609995893287476</v>
      </c>
      <c r="BF216" s="21">
        <f t="shared" si="4"/>
        <v>38.398915695737742</v>
      </c>
      <c r="BG216" s="21">
        <f t="shared" si="4"/>
        <v>47.148317420177598</v>
      </c>
      <c r="BH216" s="21">
        <f t="shared" si="4"/>
        <v>162.52468516693446</v>
      </c>
      <c r="BI216" s="21">
        <f t="shared" si="4"/>
        <v>53.263503228592739</v>
      </c>
      <c r="BJ216" s="21">
        <f t="shared" si="4"/>
        <v>1302.1429989558458</v>
      </c>
      <c r="BK216" s="21">
        <f t="shared" si="4"/>
        <v>1098.5446085134492</v>
      </c>
      <c r="BL216" s="21">
        <f t="shared" si="4"/>
        <v>570.15032948246562</v>
      </c>
      <c r="BM216" s="21">
        <f t="shared" si="4"/>
        <v>15.974540053443487</v>
      </c>
      <c r="BN216" s="21">
        <f t="shared" ref="BN216:DY216" si="5">SUM(BN8:BN215)</f>
        <v>513.88153181744485</v>
      </c>
      <c r="BO216" s="21">
        <f t="shared" si="5"/>
        <v>221.31595794618858</v>
      </c>
      <c r="BP216" s="21">
        <f t="shared" si="5"/>
        <v>37.293128614903004</v>
      </c>
      <c r="BQ216" s="21">
        <f t="shared" si="5"/>
        <v>115.83920325053094</v>
      </c>
      <c r="BR216" s="21">
        <f t="shared" si="5"/>
        <v>48.713410552473967</v>
      </c>
      <c r="BS216" s="21">
        <f t="shared" si="5"/>
        <v>142.20077179166879</v>
      </c>
      <c r="BT216" s="21">
        <f t="shared" si="5"/>
        <v>413.66780587225702</v>
      </c>
      <c r="BU216" s="21">
        <f t="shared" si="5"/>
        <v>164.07096864413541</v>
      </c>
      <c r="BV216" s="21">
        <f t="shared" si="5"/>
        <v>500.66365912535969</v>
      </c>
      <c r="BW216" s="21">
        <f t="shared" si="5"/>
        <v>1108.7884628283468</v>
      </c>
      <c r="BX216" s="21">
        <f t="shared" si="5"/>
        <v>366.14288145206604</v>
      </c>
      <c r="BY216" s="21">
        <f t="shared" si="5"/>
        <v>210.01621135113726</v>
      </c>
      <c r="BZ216" s="21">
        <f t="shared" si="5"/>
        <v>99.360645513300526</v>
      </c>
      <c r="CA216" s="21">
        <f t="shared" si="5"/>
        <v>15.05455440335308</v>
      </c>
      <c r="CB216" s="21">
        <f t="shared" si="5"/>
        <v>54.996006828680819</v>
      </c>
      <c r="CC216" s="21">
        <f t="shared" si="5"/>
        <v>409.15816073356302</v>
      </c>
      <c r="CD216" s="21">
        <f t="shared" si="5"/>
        <v>25.412118496649576</v>
      </c>
      <c r="CE216" s="21">
        <f t="shared" si="5"/>
        <v>46.794628030265983</v>
      </c>
      <c r="CF216" s="21">
        <f t="shared" si="5"/>
        <v>111.7660216707603</v>
      </c>
      <c r="CG216" s="21">
        <f t="shared" si="5"/>
        <v>60.891182063263578</v>
      </c>
      <c r="CH216" s="21">
        <f t="shared" si="5"/>
        <v>83.115173838297594</v>
      </c>
      <c r="CI216" s="21">
        <f t="shared" si="5"/>
        <v>4.4965422850932244</v>
      </c>
      <c r="CJ216" s="21">
        <f t="shared" si="5"/>
        <v>52.020213265539851</v>
      </c>
      <c r="CK216" s="21">
        <f t="shared" si="5"/>
        <v>15.082790325812192</v>
      </c>
      <c r="CL216" s="21">
        <f t="shared" si="5"/>
        <v>128.29386615443536</v>
      </c>
      <c r="CM216" s="21">
        <f t="shared" si="5"/>
        <v>8.631068941543548</v>
      </c>
      <c r="CN216" s="21">
        <f t="shared" si="5"/>
        <v>149.70470543313772</v>
      </c>
      <c r="CO216" s="21">
        <f t="shared" si="5"/>
        <v>21.137339165810463</v>
      </c>
      <c r="CP216" s="21">
        <f t="shared" si="5"/>
        <v>144.99701817293277</v>
      </c>
      <c r="CQ216" s="21">
        <f t="shared" si="5"/>
        <v>78.126672459795628</v>
      </c>
      <c r="CR216" s="21">
        <f t="shared" si="5"/>
        <v>8.6116951503621024</v>
      </c>
      <c r="CS216" s="21">
        <f t="shared" si="5"/>
        <v>27.489627295111696</v>
      </c>
      <c r="CT216" s="21">
        <f t="shared" si="5"/>
        <v>29.992202073569914</v>
      </c>
      <c r="CU216" s="21">
        <f t="shared" si="5"/>
        <v>14.925911602382893</v>
      </c>
      <c r="CV216" s="21">
        <f t="shared" si="5"/>
        <v>3.883464656562539</v>
      </c>
      <c r="CW216" s="21">
        <f t="shared" si="5"/>
        <v>5.9516361507828801</v>
      </c>
      <c r="CX216" s="21">
        <f t="shared" si="5"/>
        <v>82.092101208667103</v>
      </c>
      <c r="CY216" s="21">
        <f t="shared" si="5"/>
        <v>25.273823255462151</v>
      </c>
      <c r="CZ216" s="21">
        <f t="shared" si="5"/>
        <v>4.6554296717621373</v>
      </c>
      <c r="DA216" s="21">
        <f t="shared" si="5"/>
        <v>7.6237327940810102</v>
      </c>
      <c r="DB216" s="21">
        <f t="shared" si="5"/>
        <v>5.6517943096235399</v>
      </c>
      <c r="DC216" s="21">
        <f t="shared" si="5"/>
        <v>32.384339963406894</v>
      </c>
      <c r="DD216" s="21">
        <f t="shared" si="5"/>
        <v>89.246706763969527</v>
      </c>
      <c r="DE216" s="21">
        <f t="shared" si="5"/>
        <v>38.164299144117294</v>
      </c>
      <c r="DF216" s="21">
        <f t="shared" si="5"/>
        <v>14.489129518852401</v>
      </c>
      <c r="DG216" s="21">
        <f t="shared" si="5"/>
        <v>8.1683567003604427</v>
      </c>
      <c r="DH216" s="21">
        <f t="shared" si="5"/>
        <v>25.087220471467123</v>
      </c>
      <c r="DI216" s="21">
        <f t="shared" si="5"/>
        <v>16.582216675467766</v>
      </c>
      <c r="DJ216" s="21">
        <f t="shared" si="5"/>
        <v>84.918835318100491</v>
      </c>
      <c r="DK216" s="21">
        <f t="shared" si="5"/>
        <v>31.66009732566603</v>
      </c>
      <c r="DL216" s="21">
        <f t="shared" si="5"/>
        <v>3.1669507081541672</v>
      </c>
      <c r="DM216" s="21">
        <f t="shared" si="5"/>
        <v>383.02616674469891</v>
      </c>
      <c r="DN216" s="21">
        <f t="shared" si="5"/>
        <v>97.903327399337286</v>
      </c>
      <c r="DO216" s="21">
        <f t="shared" si="5"/>
        <v>27.546583907600741</v>
      </c>
      <c r="DP216" s="21">
        <f t="shared" si="5"/>
        <v>26.229234816455985</v>
      </c>
      <c r="DQ216" s="21">
        <f t="shared" si="5"/>
        <v>116.13825048346399</v>
      </c>
      <c r="DR216" s="21">
        <f t="shared" si="5"/>
        <v>18.820614296842471</v>
      </c>
      <c r="DS216" s="21">
        <f t="shared" si="5"/>
        <v>417.78227071811114</v>
      </c>
      <c r="DT216" s="21">
        <f t="shared" si="5"/>
        <v>80.374416028221077</v>
      </c>
      <c r="DU216" s="21">
        <f t="shared" si="5"/>
        <v>9.6688548580024989</v>
      </c>
      <c r="DV216" s="21">
        <f t="shared" si="5"/>
        <v>242.65059753470234</v>
      </c>
      <c r="DW216" s="21">
        <f t="shared" si="5"/>
        <v>441.59955364327664</v>
      </c>
      <c r="DX216" s="21">
        <f t="shared" si="5"/>
        <v>16.114151838359014</v>
      </c>
      <c r="DY216" s="21">
        <f t="shared" si="5"/>
        <v>371.19267891613833</v>
      </c>
      <c r="DZ216" s="21">
        <f t="shared" ref="DZ216:GK216" si="6">SUM(DZ8:DZ215)</f>
        <v>93.394311707894417</v>
      </c>
      <c r="EA216" s="21">
        <f t="shared" si="6"/>
        <v>38.359992450560426</v>
      </c>
      <c r="EB216" s="21">
        <f t="shared" si="6"/>
        <v>538.03456817233564</v>
      </c>
      <c r="EC216" s="21">
        <f t="shared" si="6"/>
        <v>276.59978158661039</v>
      </c>
      <c r="ED216" s="21">
        <f t="shared" si="6"/>
        <v>112.38759921339179</v>
      </c>
      <c r="EE216" s="21">
        <f t="shared" si="6"/>
        <v>109.79082650873772</v>
      </c>
      <c r="EF216" s="21">
        <f t="shared" si="6"/>
        <v>38.90273920849414</v>
      </c>
      <c r="EG216" s="21">
        <f t="shared" si="6"/>
        <v>176.54381248911682</v>
      </c>
      <c r="EH216" s="21">
        <f t="shared" si="6"/>
        <v>332.00859150869098</v>
      </c>
      <c r="EI216" s="21">
        <f t="shared" si="6"/>
        <v>493.47153854381651</v>
      </c>
      <c r="EJ216" s="21">
        <f t="shared" si="6"/>
        <v>226.06278134813635</v>
      </c>
      <c r="EK216" s="21">
        <f t="shared" si="6"/>
        <v>47.602000726009756</v>
      </c>
      <c r="EL216" s="21">
        <f t="shared" si="6"/>
        <v>149.1605514617242</v>
      </c>
      <c r="EM216" s="21">
        <f t="shared" si="6"/>
        <v>162.52046376223043</v>
      </c>
      <c r="EN216" s="21">
        <f t="shared" si="6"/>
        <v>55.228497703426569</v>
      </c>
      <c r="EO216" s="21">
        <f t="shared" si="6"/>
        <v>1374.2287262163825</v>
      </c>
      <c r="EP216" s="21">
        <f t="shared" si="6"/>
        <v>1106.4569536758233</v>
      </c>
      <c r="EQ216" s="21">
        <f t="shared" si="6"/>
        <v>672.91234705609395</v>
      </c>
      <c r="ER216" s="21">
        <f t="shared" si="6"/>
        <v>11.301611114152001</v>
      </c>
      <c r="ES216" s="21">
        <f t="shared" si="6"/>
        <v>525.51496113862402</v>
      </c>
      <c r="ET216" s="21">
        <f t="shared" si="6"/>
        <v>213.13792551395008</v>
      </c>
      <c r="EU216" s="21">
        <f t="shared" si="6"/>
        <v>48.565473209861558</v>
      </c>
      <c r="EV216" s="21">
        <f t="shared" si="6"/>
        <v>131.54057701787872</v>
      </c>
      <c r="EW216" s="21">
        <f t="shared" si="6"/>
        <v>59.150077092379703</v>
      </c>
      <c r="EX216" s="21">
        <f t="shared" si="6"/>
        <v>160.66068201771819</v>
      </c>
      <c r="EY216" s="21">
        <f t="shared" si="6"/>
        <v>414.10343854592554</v>
      </c>
      <c r="EZ216" s="21">
        <f t="shared" si="6"/>
        <v>192.32191143684898</v>
      </c>
      <c r="FA216" s="21">
        <f t="shared" si="6"/>
        <v>777.36359804765755</v>
      </c>
      <c r="FB216" s="21">
        <f t="shared" si="6"/>
        <v>1108.7884628283491</v>
      </c>
      <c r="FC216" s="21">
        <f t="shared" si="6"/>
        <v>359.20166122279102</v>
      </c>
      <c r="FD216" s="21">
        <f t="shared" si="6"/>
        <v>212.49756943609023</v>
      </c>
      <c r="FE216" s="21">
        <f t="shared" si="6"/>
        <v>97.797854801710756</v>
      </c>
      <c r="FF216" s="21">
        <f t="shared" si="6"/>
        <v>15.243858238032194</v>
      </c>
      <c r="FG216" s="21">
        <f t="shared" si="6"/>
        <v>67.560976002959478</v>
      </c>
      <c r="FH216" s="21">
        <f t="shared" si="6"/>
        <v>422.18590243622003</v>
      </c>
      <c r="FI216" s="21">
        <f t="shared" si="6"/>
        <v>25.412118496649594</v>
      </c>
      <c r="FJ216" s="21">
        <f t="shared" si="6"/>
        <v>303.27115690161673</v>
      </c>
      <c r="FK216" s="21">
        <f t="shared" si="6"/>
        <v>1057.4010485097169</v>
      </c>
      <c r="FL216" s="21">
        <f t="shared" si="6"/>
        <v>695.56946734755832</v>
      </c>
      <c r="FM216" s="21">
        <f t="shared" si="6"/>
        <v>755.36336446790824</v>
      </c>
      <c r="FN216" s="21">
        <f t="shared" si="6"/>
        <v>153.14117433242851</v>
      </c>
      <c r="FO216" s="21">
        <f t="shared" si="6"/>
        <v>202.66312285242952</v>
      </c>
      <c r="FP216" s="21">
        <f t="shared" si="6"/>
        <v>63.84563486215778</v>
      </c>
      <c r="FQ216" s="21">
        <f t="shared" si="6"/>
        <v>96.342504684264455</v>
      </c>
      <c r="FR216" s="21">
        <f t="shared" si="6"/>
        <v>69.315258849317971</v>
      </c>
      <c r="FS216" s="21">
        <f t="shared" si="6"/>
        <v>298.19964738329458</v>
      </c>
      <c r="FT216" s="21">
        <f t="shared" si="6"/>
        <v>98.674542588562403</v>
      </c>
      <c r="FU216" s="21">
        <f t="shared" si="6"/>
        <v>126.62947403152099</v>
      </c>
      <c r="FV216" s="21">
        <f t="shared" si="6"/>
        <v>180.80922725360571</v>
      </c>
      <c r="FW216" s="21">
        <f t="shared" si="6"/>
        <v>1156.7331345899056</v>
      </c>
      <c r="FX216" s="21">
        <f t="shared" si="6"/>
        <v>575.88953605485415</v>
      </c>
      <c r="FY216" s="21">
        <f t="shared" si="6"/>
        <v>317.37780634559653</v>
      </c>
      <c r="FZ216" s="21">
        <f t="shared" si="6"/>
        <v>99.196464902153167</v>
      </c>
      <c r="GA216" s="21">
        <f t="shared" si="6"/>
        <v>85.874048244756395</v>
      </c>
      <c r="GB216" s="21">
        <f t="shared" si="6"/>
        <v>2084.2044781511941</v>
      </c>
      <c r="GC216" s="21">
        <f t="shared" si="6"/>
        <v>2132.33228720847</v>
      </c>
      <c r="GD216" s="21">
        <f t="shared" si="6"/>
        <v>274.35616528255207</v>
      </c>
      <c r="GE216" s="21">
        <f t="shared" si="6"/>
        <v>457.15344962211304</v>
      </c>
      <c r="GF216" s="21">
        <f t="shared" si="6"/>
        <v>625.11195195085622</v>
      </c>
      <c r="GG216" s="21">
        <f t="shared" si="6"/>
        <v>879.20907852684979</v>
      </c>
      <c r="GH216" s="21">
        <f t="shared" si="6"/>
        <v>1187.0705944244432</v>
      </c>
      <c r="GI216" s="21">
        <f t="shared" si="6"/>
        <v>20.219120226182472</v>
      </c>
      <c r="GJ216" s="21">
        <f t="shared" si="6"/>
        <v>27.020832387211865</v>
      </c>
      <c r="GK216" s="21">
        <f t="shared" si="6"/>
        <v>46.057096264905994</v>
      </c>
      <c r="GL216" s="21">
        <f t="shared" ref="GL216:IW216" si="7">SUM(GL8:GL215)</f>
        <v>89.701280073040621</v>
      </c>
      <c r="GM216" s="21">
        <f t="shared" si="7"/>
        <v>711.39964517062572</v>
      </c>
      <c r="GN216" s="21">
        <f t="shared" si="7"/>
        <v>19.772029100921369</v>
      </c>
      <c r="GO216" s="21">
        <f t="shared" si="7"/>
        <v>29.055075122379264</v>
      </c>
      <c r="GP216" s="21">
        <f t="shared" si="7"/>
        <v>53.527167491503739</v>
      </c>
      <c r="GQ216" s="21">
        <f t="shared" si="7"/>
        <v>146.21423675143748</v>
      </c>
      <c r="GR216" s="21">
        <f t="shared" si="7"/>
        <v>2339.6128991100509</v>
      </c>
      <c r="GS216" s="21">
        <f t="shared" si="7"/>
        <v>1747.1694166987497</v>
      </c>
      <c r="GT216" s="21">
        <f t="shared" si="7"/>
        <v>-85.580313206443037</v>
      </c>
      <c r="GU216" s="21">
        <f t="shared" si="7"/>
        <v>478.63971540414622</v>
      </c>
      <c r="GV216" s="21">
        <f t="shared" si="7"/>
        <v>1.1773392266962333</v>
      </c>
      <c r="GW216" s="21">
        <f t="shared" si="7"/>
        <v>64.972058817707236</v>
      </c>
      <c r="GX216" s="21"/>
      <c r="GY216" s="21">
        <f>SUM(GY8:GY215)</f>
        <v>2436.2623822315877</v>
      </c>
      <c r="GZ216" s="21">
        <f>SUM(GZ8:GZ215)</f>
        <v>85.691766814482577</v>
      </c>
      <c r="HA216" s="21">
        <f>SUM(HA8:HA215)</f>
        <v>2909.5564651030359</v>
      </c>
      <c r="HB216" s="21">
        <v>51905.627691645263</v>
      </c>
    </row>
    <row r="219" spans="1:210" x14ac:dyDescent="0.75">
      <c r="B219">
        <v>45.253234392959961</v>
      </c>
      <c r="C219">
        <v>99.547591931977706</v>
      </c>
      <c r="D219">
        <v>3.2561505218144466</v>
      </c>
      <c r="E219">
        <v>59.468264359227</v>
      </c>
      <c r="F219">
        <v>0.29023539639779394</v>
      </c>
      <c r="G219">
        <v>170.6108950945337</v>
      </c>
      <c r="H219">
        <v>151.78029730815518</v>
      </c>
      <c r="I219">
        <v>124.26513475674065</v>
      </c>
      <c r="J219">
        <v>21.451056502528793</v>
      </c>
      <c r="K219">
        <v>226.61121913994629</v>
      </c>
      <c r="L219">
        <v>21.284497718506714</v>
      </c>
      <c r="M219">
        <v>149.47856421845484</v>
      </c>
      <c r="N219">
        <v>80.32826695096594</v>
      </c>
      <c r="O219">
        <v>149.75103928822489</v>
      </c>
      <c r="P219">
        <v>27.474825138448004</v>
      </c>
      <c r="Q219">
        <v>25.683648732596723</v>
      </c>
      <c r="R219">
        <v>11.29764165897107</v>
      </c>
      <c r="S219">
        <v>3.7613437418606783</v>
      </c>
      <c r="T219">
        <v>80.51142851610247</v>
      </c>
      <c r="U219">
        <v>24.732342106772116</v>
      </c>
      <c r="V219">
        <v>4.1841433039002238</v>
      </c>
      <c r="W219">
        <v>7.8691814940978242</v>
      </c>
      <c r="X219">
        <v>5.5853341662188365</v>
      </c>
      <c r="Y219">
        <v>30.170856016814387</v>
      </c>
      <c r="Z219">
        <v>87.792114191970128</v>
      </c>
      <c r="AA219">
        <v>37.592269814641654</v>
      </c>
      <c r="AB219">
        <v>13.49137968363285</v>
      </c>
      <c r="AC219">
        <v>6.6554351692931277</v>
      </c>
      <c r="AD219">
        <v>34.417281361698407</v>
      </c>
      <c r="AE219">
        <v>15.230800347508795</v>
      </c>
      <c r="AF219">
        <v>378.84550753423366</v>
      </c>
      <c r="AG219">
        <v>30.104771031433764</v>
      </c>
      <c r="AH219">
        <v>6.9272568879912372E-2</v>
      </c>
      <c r="AI219">
        <v>238.45870244944419</v>
      </c>
      <c r="AJ219">
        <v>93.814189225950287</v>
      </c>
      <c r="AK219">
        <v>18.724474965612892</v>
      </c>
      <c r="AL219">
        <v>16.453986333568281</v>
      </c>
      <c r="AM219">
        <v>7.8991226303752038</v>
      </c>
      <c r="AN219">
        <v>377.4866848196184</v>
      </c>
      <c r="AO219">
        <v>68.06710349782719</v>
      </c>
      <c r="AP219">
        <v>4.1785587198355989</v>
      </c>
      <c r="AQ219">
        <v>87.874010561303905</v>
      </c>
      <c r="AR219">
        <v>306.91912951885655</v>
      </c>
      <c r="AS219">
        <v>7.8447574792040369</v>
      </c>
      <c r="AT219">
        <v>69.682980289735298</v>
      </c>
      <c r="AU219">
        <v>31.502074841534341</v>
      </c>
      <c r="AV219">
        <v>25.793655131334141</v>
      </c>
      <c r="AW219">
        <v>0.2538225879654763</v>
      </c>
      <c r="AX219">
        <v>68.051705786267888</v>
      </c>
      <c r="AY219">
        <v>7.0214214086533175</v>
      </c>
      <c r="AZ219">
        <v>13.803840346149109</v>
      </c>
      <c r="BA219">
        <v>7.9420122291383999</v>
      </c>
      <c r="BB219">
        <v>73.962322826446893</v>
      </c>
      <c r="BC219">
        <v>123.08956968903252</v>
      </c>
      <c r="BD219">
        <v>13.098817440129899</v>
      </c>
      <c r="BE219">
        <v>8.7609995893287582</v>
      </c>
      <c r="BF219">
        <v>38.398915695737728</v>
      </c>
      <c r="BG219">
        <v>47.148317420177484</v>
      </c>
      <c r="BH219">
        <v>162.5246851669344</v>
      </c>
      <c r="BI219">
        <v>53.263503228592626</v>
      </c>
      <c r="BJ219">
        <v>1302.1429989558451</v>
      </c>
      <c r="BK219">
        <v>1098.5446085134488</v>
      </c>
      <c r="BL219">
        <v>570.15032948246642</v>
      </c>
      <c r="BM219">
        <v>15.974540053443491</v>
      </c>
      <c r="BN219">
        <v>513.88153181744417</v>
      </c>
      <c r="BO219">
        <v>221.31595794618872</v>
      </c>
      <c r="BP219">
        <v>37.293128614902976</v>
      </c>
      <c r="BQ219">
        <v>115.83920325053096</v>
      </c>
      <c r="BR219">
        <v>48.713410552473896</v>
      </c>
      <c r="BS219">
        <v>142.20077179166896</v>
      </c>
      <c r="BT219">
        <v>413.66780587225668</v>
      </c>
      <c r="BU219">
        <v>164.07096864413546</v>
      </c>
      <c r="BV219">
        <v>500.66365912535957</v>
      </c>
      <c r="BW219">
        <v>1108.7884628283491</v>
      </c>
      <c r="BX219">
        <v>366.14288145206547</v>
      </c>
      <c r="BY219">
        <v>210.01621135113766</v>
      </c>
      <c r="BZ219">
        <v>99.360645513300497</v>
      </c>
      <c r="CA219">
        <v>15.054554403353086</v>
      </c>
      <c r="CB219">
        <v>54.99600682868072</v>
      </c>
      <c r="CC219">
        <v>409.15816073356251</v>
      </c>
      <c r="CD219">
        <v>25.412118496649594</v>
      </c>
      <c r="CE219">
        <v>46.794628030265983</v>
      </c>
      <c r="CF219">
        <v>111.76602167076034</v>
      </c>
      <c r="CG219">
        <v>60.891182063263571</v>
      </c>
      <c r="CH219">
        <v>83.115173838297579</v>
      </c>
      <c r="CI219">
        <v>4.4965422850932244</v>
      </c>
      <c r="CJ219">
        <v>52.020213265539859</v>
      </c>
      <c r="CK219">
        <v>15.082790325812189</v>
      </c>
      <c r="CL219">
        <v>128.29386615443536</v>
      </c>
      <c r="CM219">
        <v>8.6310689415435515</v>
      </c>
      <c r="CN219">
        <v>149.70470543313772</v>
      </c>
      <c r="CO219">
        <v>21.137339165810459</v>
      </c>
      <c r="CP219">
        <v>144.99701817293277</v>
      </c>
      <c r="CQ219">
        <v>78.126672459795628</v>
      </c>
      <c r="CR219">
        <v>8.6116951503621024</v>
      </c>
      <c r="CS219">
        <v>27.489627295111696</v>
      </c>
      <c r="CT219">
        <v>29.99220207356991</v>
      </c>
      <c r="CU219">
        <v>14.925911602382898</v>
      </c>
      <c r="CV219">
        <v>3.883464656562539</v>
      </c>
      <c r="CW219">
        <v>5.9516361507828641</v>
      </c>
      <c r="CX219">
        <v>82.092101208667117</v>
      </c>
      <c r="CY219">
        <v>25.273823255462155</v>
      </c>
      <c r="CZ219">
        <v>4.6554296717621373</v>
      </c>
      <c r="DA219">
        <v>7.6237327940810111</v>
      </c>
      <c r="DB219">
        <v>5.6517943096235532</v>
      </c>
      <c r="DC219">
        <v>32.384339963406894</v>
      </c>
      <c r="DD219">
        <v>89.24670676396957</v>
      </c>
      <c r="DE219">
        <v>38.164299144117294</v>
      </c>
      <c r="DF219">
        <v>14.489129518852403</v>
      </c>
      <c r="DG219">
        <v>8.1683567003604338</v>
      </c>
      <c r="DH219">
        <v>25.08722047146712</v>
      </c>
      <c r="DI219">
        <v>16.582216675467759</v>
      </c>
      <c r="DJ219">
        <v>84.918835318100278</v>
      </c>
      <c r="DK219">
        <v>31.66009732566603</v>
      </c>
      <c r="DL219">
        <v>3.1669507081541672</v>
      </c>
      <c r="DM219">
        <v>383.02616674469903</v>
      </c>
      <c r="DN219">
        <v>97.903327399337272</v>
      </c>
      <c r="DO219">
        <v>27.546583907600748</v>
      </c>
      <c r="DP219">
        <v>26.229234816455985</v>
      </c>
      <c r="DQ219">
        <v>116.13825048346399</v>
      </c>
      <c r="DR219">
        <v>18.820614296842475</v>
      </c>
      <c r="DS219">
        <v>417.78227071811108</v>
      </c>
      <c r="DT219">
        <v>80.374416028221091</v>
      </c>
      <c r="DU219">
        <v>9.6688548580024793</v>
      </c>
      <c r="DV219">
        <v>242.65059753470237</v>
      </c>
      <c r="DW219">
        <v>441.59955364327641</v>
      </c>
      <c r="DX219">
        <v>16.114151838359014</v>
      </c>
      <c r="DY219">
        <v>371.19267891613839</v>
      </c>
      <c r="DZ219">
        <v>93.394311707894389</v>
      </c>
      <c r="EA219">
        <v>38.359992450560426</v>
      </c>
      <c r="EB219">
        <v>538.03456817233564</v>
      </c>
      <c r="EC219">
        <v>276.59978158661045</v>
      </c>
      <c r="ED219">
        <v>112.38759921339178</v>
      </c>
      <c r="EE219">
        <v>109.79082650873767</v>
      </c>
      <c r="EF219">
        <v>38.902739208494147</v>
      </c>
      <c r="EG219">
        <v>176.54381248911693</v>
      </c>
      <c r="EH219">
        <v>332.00859150869098</v>
      </c>
      <c r="EI219">
        <v>493.47153854381656</v>
      </c>
      <c r="EJ219">
        <v>226.06278134813633</v>
      </c>
      <c r="EK219">
        <v>47.60200072600977</v>
      </c>
      <c r="EL219">
        <v>149.16055146172417</v>
      </c>
      <c r="EM219">
        <v>162.52046376223046</v>
      </c>
      <c r="EN219">
        <v>55.228497703426576</v>
      </c>
      <c r="EO219">
        <v>1374.2287262163823</v>
      </c>
      <c r="EP219">
        <v>1106.4569536758252</v>
      </c>
      <c r="EQ219">
        <v>672.91234705609384</v>
      </c>
      <c r="ER219">
        <v>11.301611114151999</v>
      </c>
      <c r="ES219">
        <v>525.51496113862402</v>
      </c>
      <c r="ET219">
        <v>213.13792551395002</v>
      </c>
      <c r="EU219">
        <v>48.56547320986158</v>
      </c>
      <c r="EV219">
        <v>131.54057701787875</v>
      </c>
      <c r="EW219">
        <v>59.150077092379703</v>
      </c>
      <c r="EX219">
        <v>160.66068201771816</v>
      </c>
      <c r="EY219">
        <v>414.10343854592554</v>
      </c>
      <c r="EZ219">
        <v>192.32191143684895</v>
      </c>
      <c r="FA219">
        <v>777.36359804765789</v>
      </c>
      <c r="FB219">
        <v>1108.7884628283487</v>
      </c>
      <c r="FC219">
        <v>359.20166122279107</v>
      </c>
      <c r="FD219">
        <v>212.49756943609023</v>
      </c>
      <c r="FE219">
        <v>97.797854801710741</v>
      </c>
      <c r="FF219">
        <v>15.243858238032194</v>
      </c>
      <c r="FG219">
        <v>67.560976002959478</v>
      </c>
      <c r="FH219">
        <v>422.18590243622003</v>
      </c>
      <c r="FI219">
        <v>25.41211849664959</v>
      </c>
      <c r="FJ219">
        <v>303.27115690161679</v>
      </c>
      <c r="FK219">
        <v>1057.401048509716</v>
      </c>
      <c r="FL219">
        <v>695.56946734755854</v>
      </c>
      <c r="FM219">
        <v>755.36336446790847</v>
      </c>
      <c r="FN219">
        <v>153.14117433242853</v>
      </c>
      <c r="FO219">
        <v>202.66312285242955</v>
      </c>
      <c r="FP219">
        <v>63.845634862157759</v>
      </c>
      <c r="FQ219">
        <v>96.342504684264441</v>
      </c>
      <c r="FR219">
        <v>69.315258849317999</v>
      </c>
      <c r="FS219">
        <v>298.19964738329458</v>
      </c>
      <c r="FT219">
        <v>98.674542588562403</v>
      </c>
      <c r="FU219">
        <v>126.62947403152097</v>
      </c>
      <c r="FV219">
        <v>180.80922725360568</v>
      </c>
      <c r="FW219">
        <v>1156.7331345899058</v>
      </c>
      <c r="FX219">
        <v>575.88953605485415</v>
      </c>
      <c r="FY219">
        <v>317.37780634559647</v>
      </c>
      <c r="FZ219">
        <v>99.196464902153167</v>
      </c>
      <c r="GA219">
        <v>85.874048244756395</v>
      </c>
      <c r="GB219">
        <v>2084.2044781511941</v>
      </c>
      <c r="GC219">
        <v>2132.3322872084696</v>
      </c>
      <c r="GD219">
        <v>274.35616528255218</v>
      </c>
      <c r="GE219">
        <v>457.15344962211321</v>
      </c>
      <c r="GF219">
        <v>625.11195195085645</v>
      </c>
      <c r="GG219">
        <v>879.20907852684945</v>
      </c>
      <c r="GH219">
        <v>1187.0705944244432</v>
      </c>
      <c r="GI219">
        <v>20.219120226182476</v>
      </c>
      <c r="GJ219">
        <v>27.020832387211861</v>
      </c>
      <c r="GK219">
        <v>46.057096264906008</v>
      </c>
      <c r="GL219">
        <v>89.701280073040593</v>
      </c>
      <c r="GM219">
        <v>711.3996451706256</v>
      </c>
      <c r="GN219">
        <v>19.772029100921365</v>
      </c>
      <c r="GO219">
        <v>29.055075122379257</v>
      </c>
      <c r="GP219">
        <v>53.527167491503747</v>
      </c>
      <c r="GQ219">
        <v>146.21423675143748</v>
      </c>
      <c r="GR219">
        <v>2339.6128991100509</v>
      </c>
      <c r="GS219">
        <v>1747.16941669875</v>
      </c>
      <c r="GT219">
        <v>-85.580313206443037</v>
      </c>
      <c r="GU219">
        <v>478.63971540414633</v>
      </c>
      <c r="GV219">
        <v>1.1773392266962333</v>
      </c>
      <c r="GW219">
        <v>64.972058817707108</v>
      </c>
      <c r="GY219">
        <v>2436.2623822315882</v>
      </c>
      <c r="GZ219">
        <v>85.691766814482676</v>
      </c>
      <c r="HA219">
        <v>2909.5564651030331</v>
      </c>
    </row>
    <row r="222" spans="1:210" x14ac:dyDescent="0.75">
      <c r="B222" s="72">
        <f>B219/B216</f>
        <v>1</v>
      </c>
      <c r="C222" s="72">
        <f>C219/C216</f>
        <v>1.0000000000000002</v>
      </c>
      <c r="D222" s="72">
        <f t="shared" ref="D222:BO222" si="8">D219/D216</f>
        <v>1</v>
      </c>
      <c r="E222" s="72">
        <f t="shared" si="8"/>
        <v>1</v>
      </c>
      <c r="F222" s="72">
        <f t="shared" si="8"/>
        <v>1.0000000000000036</v>
      </c>
      <c r="G222" s="72">
        <f t="shared" si="8"/>
        <v>1</v>
      </c>
      <c r="H222" s="72">
        <f t="shared" si="8"/>
        <v>1</v>
      </c>
      <c r="I222" s="72">
        <f t="shared" si="8"/>
        <v>1.0000000000000002</v>
      </c>
      <c r="J222" s="72">
        <f t="shared" si="8"/>
        <v>1</v>
      </c>
      <c r="K222" s="72">
        <f t="shared" si="8"/>
        <v>1</v>
      </c>
      <c r="L222" s="72">
        <f t="shared" si="8"/>
        <v>0.99999999999999967</v>
      </c>
      <c r="M222" s="72">
        <f t="shared" si="8"/>
        <v>0.99999999999999978</v>
      </c>
      <c r="N222" s="72">
        <f t="shared" si="8"/>
        <v>1</v>
      </c>
      <c r="O222" s="72">
        <f t="shared" si="8"/>
        <v>1</v>
      </c>
      <c r="P222" s="72">
        <f t="shared" si="8"/>
        <v>1.0000000000000002</v>
      </c>
      <c r="Q222" s="72">
        <f t="shared" si="8"/>
        <v>1.0000000000000002</v>
      </c>
      <c r="R222" s="72">
        <f t="shared" si="8"/>
        <v>0.99999999999999989</v>
      </c>
      <c r="S222" s="72">
        <f t="shared" si="8"/>
        <v>0.99999999999999989</v>
      </c>
      <c r="T222" s="72">
        <f t="shared" si="8"/>
        <v>1.0000000000000004</v>
      </c>
      <c r="U222" s="72">
        <f t="shared" si="8"/>
        <v>0.99999999999999933</v>
      </c>
      <c r="V222" s="72">
        <f t="shared" si="8"/>
        <v>1.0000000000000024</v>
      </c>
      <c r="W222" s="72">
        <f t="shared" si="8"/>
        <v>1</v>
      </c>
      <c r="X222" s="72">
        <f t="shared" si="8"/>
        <v>0.99999999999999822</v>
      </c>
      <c r="Y222" s="72">
        <f t="shared" si="8"/>
        <v>1</v>
      </c>
      <c r="Z222" s="72">
        <f t="shared" si="8"/>
        <v>0.99999999999999889</v>
      </c>
      <c r="AA222" s="72">
        <f t="shared" si="8"/>
        <v>1</v>
      </c>
      <c r="AB222" s="72">
        <f t="shared" si="8"/>
        <v>1</v>
      </c>
      <c r="AC222" s="72">
        <f t="shared" si="8"/>
        <v>1.0000000000000009</v>
      </c>
      <c r="AD222" s="72">
        <f t="shared" si="8"/>
        <v>1</v>
      </c>
      <c r="AE222" s="72">
        <f t="shared" si="8"/>
        <v>0.99999999999999989</v>
      </c>
      <c r="AF222" s="72">
        <f t="shared" si="8"/>
        <v>1.0000000000000002</v>
      </c>
      <c r="AG222" s="72">
        <f t="shared" si="8"/>
        <v>0.99999999999999989</v>
      </c>
      <c r="AH222" s="72">
        <f t="shared" si="8"/>
        <v>0.99999999999999822</v>
      </c>
      <c r="AI222" s="72">
        <f t="shared" si="8"/>
        <v>0.99999999999999978</v>
      </c>
      <c r="AJ222" s="72">
        <f t="shared" si="8"/>
        <v>0.99999999999999967</v>
      </c>
      <c r="AK222" s="72">
        <f t="shared" si="8"/>
        <v>0.99999999999999922</v>
      </c>
      <c r="AL222" s="72">
        <f t="shared" si="8"/>
        <v>1</v>
      </c>
      <c r="AM222" s="72">
        <f t="shared" si="8"/>
        <v>0.99999999999999989</v>
      </c>
      <c r="AN222" s="72">
        <f t="shared" si="8"/>
        <v>1.0000000000000002</v>
      </c>
      <c r="AO222" s="72">
        <f t="shared" si="8"/>
        <v>1.0000000000000022</v>
      </c>
      <c r="AP222" s="72">
        <f t="shared" si="8"/>
        <v>0.99999999999999889</v>
      </c>
      <c r="AQ222" s="72">
        <f t="shared" si="8"/>
        <v>0.99999999999999989</v>
      </c>
      <c r="AR222" s="72">
        <f t="shared" si="8"/>
        <v>0.99999999999999944</v>
      </c>
      <c r="AS222" s="72">
        <f t="shared" si="8"/>
        <v>0.99999999999999989</v>
      </c>
      <c r="AT222" s="72">
        <f t="shared" si="8"/>
        <v>1.0000000000000002</v>
      </c>
      <c r="AU222" s="72">
        <f t="shared" si="8"/>
        <v>1.0000000000000011</v>
      </c>
      <c r="AV222" s="72">
        <f t="shared" si="8"/>
        <v>0.99999999999999978</v>
      </c>
      <c r="AW222" s="72">
        <f t="shared" si="8"/>
        <v>1.0000000000000009</v>
      </c>
      <c r="AX222" s="72">
        <f t="shared" si="8"/>
        <v>0.99999999999999911</v>
      </c>
      <c r="AY222" s="72">
        <f t="shared" si="8"/>
        <v>0.99999999999999967</v>
      </c>
      <c r="AZ222" s="72">
        <f t="shared" si="8"/>
        <v>0.99999999999999933</v>
      </c>
      <c r="BA222" s="72">
        <f t="shared" si="8"/>
        <v>0.99999999999999967</v>
      </c>
      <c r="BB222" s="72">
        <f t="shared" si="8"/>
        <v>0.99999999999999889</v>
      </c>
      <c r="BC222" s="72">
        <f t="shared" si="8"/>
        <v>1.0000000000000004</v>
      </c>
      <c r="BD222" s="72">
        <f t="shared" si="8"/>
        <v>1.0000000000000024</v>
      </c>
      <c r="BE222" s="72">
        <f t="shared" si="8"/>
        <v>1.0000000000000011</v>
      </c>
      <c r="BF222" s="72">
        <f t="shared" si="8"/>
        <v>0.99999999999999967</v>
      </c>
      <c r="BG222" s="72">
        <f t="shared" si="8"/>
        <v>0.99999999999999756</v>
      </c>
      <c r="BH222" s="72">
        <f t="shared" si="8"/>
        <v>0.99999999999999967</v>
      </c>
      <c r="BI222" s="72">
        <f t="shared" si="8"/>
        <v>0.99999999999999789</v>
      </c>
      <c r="BJ222" s="72">
        <f t="shared" si="8"/>
        <v>0.99999999999999944</v>
      </c>
      <c r="BK222" s="72">
        <f t="shared" si="8"/>
        <v>0.99999999999999956</v>
      </c>
      <c r="BL222" s="72">
        <f t="shared" si="8"/>
        <v>1.0000000000000013</v>
      </c>
      <c r="BM222" s="72">
        <f t="shared" si="8"/>
        <v>1.0000000000000002</v>
      </c>
      <c r="BN222" s="72">
        <f t="shared" si="8"/>
        <v>0.99999999999999867</v>
      </c>
      <c r="BO222" s="72">
        <f t="shared" si="8"/>
        <v>1.0000000000000007</v>
      </c>
      <c r="BP222" s="72">
        <f t="shared" ref="BP222:DH222" si="9">BP219/BP216</f>
        <v>0.99999999999999922</v>
      </c>
      <c r="BQ222" s="72">
        <f t="shared" si="9"/>
        <v>1.0000000000000002</v>
      </c>
      <c r="BR222" s="72">
        <f t="shared" si="9"/>
        <v>0.99999999999999856</v>
      </c>
      <c r="BS222" s="72">
        <f t="shared" si="9"/>
        <v>1.0000000000000011</v>
      </c>
      <c r="BT222" s="72">
        <f t="shared" si="9"/>
        <v>0.99999999999999922</v>
      </c>
      <c r="BU222" s="72">
        <f t="shared" si="9"/>
        <v>1.0000000000000004</v>
      </c>
      <c r="BV222" s="72">
        <f t="shared" si="9"/>
        <v>0.99999999999999978</v>
      </c>
      <c r="BW222" s="72">
        <f t="shared" si="9"/>
        <v>1.000000000000002</v>
      </c>
      <c r="BX222" s="72">
        <f t="shared" si="9"/>
        <v>0.99999999999999845</v>
      </c>
      <c r="BY222" s="72">
        <f t="shared" si="9"/>
        <v>1.000000000000002</v>
      </c>
      <c r="BZ222" s="72">
        <f t="shared" si="9"/>
        <v>0.99999999999999967</v>
      </c>
      <c r="CA222" s="72">
        <f t="shared" si="9"/>
        <v>1.0000000000000004</v>
      </c>
      <c r="CB222" s="72">
        <f t="shared" si="9"/>
        <v>0.99999999999999822</v>
      </c>
      <c r="CC222" s="72">
        <f t="shared" si="9"/>
        <v>0.99999999999999878</v>
      </c>
      <c r="CD222" s="72">
        <f t="shared" si="9"/>
        <v>1.0000000000000007</v>
      </c>
      <c r="CE222" s="72">
        <f t="shared" si="9"/>
        <v>1</v>
      </c>
      <c r="CF222" s="72">
        <f t="shared" si="9"/>
        <v>1.0000000000000004</v>
      </c>
      <c r="CG222" s="72">
        <f t="shared" si="9"/>
        <v>0.99999999999999989</v>
      </c>
      <c r="CH222" s="72">
        <f t="shared" si="9"/>
        <v>0.99999999999999978</v>
      </c>
      <c r="CI222" s="72">
        <f t="shared" si="9"/>
        <v>1</v>
      </c>
      <c r="CJ222" s="72">
        <f t="shared" si="9"/>
        <v>1.0000000000000002</v>
      </c>
      <c r="CK222" s="72">
        <f t="shared" si="9"/>
        <v>0.99999999999999978</v>
      </c>
      <c r="CL222" s="72">
        <f t="shared" si="9"/>
        <v>1</v>
      </c>
      <c r="CM222" s="72">
        <f t="shared" si="9"/>
        <v>1.0000000000000004</v>
      </c>
      <c r="CN222" s="72">
        <f t="shared" si="9"/>
        <v>1</v>
      </c>
      <c r="CO222" s="72">
        <f t="shared" si="9"/>
        <v>0.99999999999999978</v>
      </c>
      <c r="CP222" s="72">
        <f t="shared" si="9"/>
        <v>1</v>
      </c>
      <c r="CQ222" s="72">
        <f t="shared" si="9"/>
        <v>1</v>
      </c>
      <c r="CR222" s="72">
        <f t="shared" si="9"/>
        <v>1</v>
      </c>
      <c r="CS222" s="72">
        <f t="shared" si="9"/>
        <v>1</v>
      </c>
      <c r="CT222" s="72">
        <f t="shared" si="9"/>
        <v>0.99999999999999989</v>
      </c>
      <c r="CU222" s="72">
        <f t="shared" si="9"/>
        <v>1.0000000000000004</v>
      </c>
      <c r="CV222" s="72">
        <f t="shared" si="9"/>
        <v>1</v>
      </c>
      <c r="CW222" s="73">
        <f t="shared" si="9"/>
        <v>0.99999999999999734</v>
      </c>
      <c r="CX222" s="72">
        <f t="shared" si="9"/>
        <v>1.0000000000000002</v>
      </c>
      <c r="CY222" s="72">
        <f t="shared" si="9"/>
        <v>1.0000000000000002</v>
      </c>
      <c r="CZ222" s="72">
        <f t="shared" si="9"/>
        <v>1</v>
      </c>
      <c r="DA222" s="72">
        <f t="shared" si="9"/>
        <v>1.0000000000000002</v>
      </c>
      <c r="DB222" s="72">
        <f t="shared" si="9"/>
        <v>1.0000000000000024</v>
      </c>
      <c r="DC222" s="72">
        <f t="shared" si="9"/>
        <v>1</v>
      </c>
      <c r="DD222" s="72">
        <f t="shared" si="9"/>
        <v>1.0000000000000004</v>
      </c>
      <c r="DE222" s="72">
        <f t="shared" si="9"/>
        <v>1</v>
      </c>
      <c r="DF222" s="72">
        <f t="shared" si="9"/>
        <v>1.0000000000000002</v>
      </c>
      <c r="DG222" s="72">
        <f t="shared" si="9"/>
        <v>0.99999999999999889</v>
      </c>
      <c r="DH222" s="72">
        <f t="shared" si="9"/>
        <v>0.99999999999999989</v>
      </c>
    </row>
  </sheetData>
  <conditionalFormatting sqref="A7:ES8 DN9:ES40 A9:DM122 EU35:EZ35 FB35:GW35 GZ35:HA35 EU38:EZ38 FB38:GW38 GZ38:HA38 DN41:GW41 GZ41:HA41 ER42:ES68 DN42:EQ69 EU50:EZ50 FB50:GW50 GZ50:HA50 EU60:EZ60 FB60:GW60 GZ60:HA60 EU65:EZ65 FB65:GW65 GZ65:HA65 EU67:EZ67 FB67:GW67 GZ67:HA67 ER69:GW69 GZ69:HA70 DN70:GW70 ER71:ES79 DN71:EQ122 EU73:EZ73 FB73:GW73 GZ73:HA73 ER80:EZ80 FB80:GW80 GZ80:HA80 ER81:ES122 EU117:EZ117 FB117:GW117 GZ117:HA117 EU120:EZ120 FB120:GW120 GZ120:HA120 A123:GW123 GZ123:HA123 ER124:ES151 AJ124:BK153 BM124:DL153 DN124:EP153 A124:AH155 AI124:AI211 BL124:BL211 DM124:DM211 EQ124:EQ211 EU133:EZ133 FB133:GW133 GZ133:HA133 EU143:EZ143 FB143:GW143 GZ143:HA143 FB148:GW148 GZ148:HA148 EU148:EZ150 FB149:FI149 FK149:GW149 FB150:GW150 GZ150:HA150 ER152:GW153 GZ152:HA153 AJ154:BJ155 BM154:BU155 BW154:DL155 DN154:EO155 ER154:ES155 BV154:BV162 BK154:BK211 EP154:EP211 AC157:AC162 AF157:AF162 AR157:AR162 BB157:BB162 BG157:BG162 BI157:BI162 BO157:BO162 DG157:DG162 DJ157:DJ162 DW157:DW162 EG157:EG162 EL157:EN162 EM164:EM171 AC164:AC211 AF164:AF211 AR164:AR211 BB164:BB211 BG164:BG211 BI164:BI211 BO164:BO211 BV164:BV211 DG164:DG211 DJ164:DJ211 DW164:DW211 EG164:EG211 EL164:EL211 EN164:EN211 EM173:EM211 AC214:AC215 AF214:AF215 AI214:AI215 AR214:AR215 BB214:BB215 BG214:BG215 BI214:BI215 BK214:BL215 BO214:BO215 BV214:BV215 DG214:DG215 DJ214:DJ215 DM214:DM215 DW214:DW215 EG214:EG215 EL214:EL215 EN214:EN215 EP214:EQ215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124-9F7A-4A0F-A434-B2926EA97ECC}">
  <sheetPr>
    <tabColor theme="9" tint="-0.499984740745262"/>
  </sheetPr>
  <dimension ref="A1:L157"/>
  <sheetViews>
    <sheetView zoomScale="85" zoomScaleNormal="85" workbookViewId="0">
      <pane ySplit="6" topLeftCell="A7" activePane="bottomLeft" state="frozen"/>
      <selection activeCell="D10" sqref="D10"/>
      <selection pane="bottomLeft" activeCell="D33" sqref="D33"/>
    </sheetView>
  </sheetViews>
  <sheetFormatPr defaultColWidth="0" defaultRowHeight="14.75" zeroHeight="1" x14ac:dyDescent="0.75"/>
  <cols>
    <col min="1" max="2" width="2.453125" customWidth="1"/>
    <col min="3" max="4" width="12.90625" customWidth="1"/>
    <col min="5" max="6" width="2.453125" customWidth="1"/>
    <col min="7" max="7" width="12.90625" customWidth="1"/>
    <col min="8" max="9" width="2.453125" customWidth="1"/>
    <col min="10" max="11" width="12.90625" customWidth="1"/>
    <col min="12" max="12" width="2.453125" customWidth="1"/>
    <col min="13" max="16384" width="9.08984375" hidden="1"/>
  </cols>
  <sheetData>
    <row r="1" spans="1:12" ht="18.5" x14ac:dyDescent="0.9">
      <c r="A1" s="23" t="s">
        <v>382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75"/>
    <row r="3" spans="1:12" x14ac:dyDescent="0.75"/>
    <row r="4" spans="1:12" x14ac:dyDescent="0.75">
      <c r="B4" s="35"/>
      <c r="C4" s="29" t="s">
        <v>383</v>
      </c>
      <c r="D4" s="30"/>
      <c r="F4" s="35"/>
      <c r="G4" s="29" t="s">
        <v>384</v>
      </c>
      <c r="I4" s="35"/>
      <c r="J4" s="29" t="s">
        <v>385</v>
      </c>
      <c r="K4" s="30"/>
    </row>
    <row r="5" spans="1:12" x14ac:dyDescent="0.75">
      <c r="B5" s="40"/>
      <c r="C5" s="42" t="s">
        <v>392</v>
      </c>
      <c r="D5" s="42" t="s">
        <v>393</v>
      </c>
      <c r="F5" s="40"/>
      <c r="G5" s="42" t="s">
        <v>394</v>
      </c>
      <c r="I5" s="40"/>
      <c r="J5" s="42" t="s">
        <v>392</v>
      </c>
      <c r="K5" s="42" t="s">
        <v>393</v>
      </c>
    </row>
    <row r="6" spans="1:12" x14ac:dyDescent="0.75">
      <c r="B6" s="26"/>
      <c r="C6" t="s">
        <v>396</v>
      </c>
      <c r="D6" t="s">
        <v>397</v>
      </c>
      <c r="F6" s="26"/>
      <c r="G6" t="s">
        <v>398</v>
      </c>
      <c r="I6" s="26"/>
      <c r="J6" t="s">
        <v>395</v>
      </c>
      <c r="K6" t="s">
        <v>399</v>
      </c>
    </row>
    <row r="7" spans="1:12" x14ac:dyDescent="0.75">
      <c r="B7" s="26"/>
      <c r="C7" t="s">
        <v>504</v>
      </c>
      <c r="D7" s="51" t="s">
        <v>324</v>
      </c>
      <c r="F7" s="26"/>
      <c r="G7" t="s">
        <v>763</v>
      </c>
      <c r="I7" s="26"/>
      <c r="J7" t="s">
        <v>763</v>
      </c>
      <c r="K7" s="51"/>
    </row>
    <row r="8" spans="1:12" x14ac:dyDescent="0.75">
      <c r="B8" s="26"/>
      <c r="C8" t="s">
        <v>558</v>
      </c>
      <c r="D8" s="51" t="s">
        <v>724</v>
      </c>
      <c r="F8" s="26"/>
      <c r="G8" s="51" t="s">
        <v>764</v>
      </c>
      <c r="I8" s="26"/>
      <c r="J8" s="51" t="s">
        <v>764</v>
      </c>
      <c r="K8" s="51"/>
    </row>
    <row r="9" spans="1:12" x14ac:dyDescent="0.75">
      <c r="B9" s="26"/>
      <c r="C9" s="27" t="s">
        <v>324</v>
      </c>
      <c r="D9" s="51" t="s">
        <v>728</v>
      </c>
      <c r="F9" s="26"/>
      <c r="G9" s="51" t="s">
        <v>765</v>
      </c>
      <c r="I9" s="26"/>
      <c r="J9" s="51" t="s">
        <v>765</v>
      </c>
      <c r="K9" s="51"/>
    </row>
    <row r="10" spans="1:12" x14ac:dyDescent="0.75">
      <c r="B10" s="26"/>
      <c r="C10" s="27" t="s">
        <v>724</v>
      </c>
      <c r="D10" s="51" t="s">
        <v>507</v>
      </c>
      <c r="F10" s="26"/>
      <c r="G10" s="51"/>
      <c r="I10" s="26"/>
      <c r="J10" s="51"/>
    </row>
    <row r="11" spans="1:12" x14ac:dyDescent="0.75">
      <c r="B11" s="26"/>
      <c r="C11" t="s">
        <v>728</v>
      </c>
      <c r="D11" s="51" t="s">
        <v>326</v>
      </c>
      <c r="F11" s="26"/>
      <c r="G11" s="51"/>
      <c r="I11" s="26"/>
      <c r="J11" s="51"/>
      <c r="K11" s="51"/>
    </row>
    <row r="12" spans="1:12" x14ac:dyDescent="0.75">
      <c r="B12" s="26"/>
      <c r="C12" t="s">
        <v>326</v>
      </c>
      <c r="D12" s="51" t="s">
        <v>512</v>
      </c>
      <c r="F12" s="26"/>
      <c r="G12" s="51"/>
      <c r="I12" s="26"/>
      <c r="J12" s="51"/>
      <c r="K12" s="51"/>
    </row>
    <row r="13" spans="1:12" x14ac:dyDescent="0.75">
      <c r="B13" s="26"/>
      <c r="C13" s="27" t="s">
        <v>512</v>
      </c>
      <c r="D13" s="51" t="s">
        <v>332</v>
      </c>
      <c r="F13" s="26"/>
      <c r="G13" s="51"/>
      <c r="I13" s="26"/>
      <c r="J13" s="51"/>
      <c r="K13" s="51"/>
    </row>
    <row r="14" spans="1:12" x14ac:dyDescent="0.75">
      <c r="B14" s="26"/>
      <c r="C14" s="27" t="s">
        <v>332</v>
      </c>
      <c r="D14" s="51" t="s">
        <v>333</v>
      </c>
      <c r="F14" s="26"/>
      <c r="G14" s="51"/>
      <c r="I14" s="26"/>
      <c r="J14" s="51"/>
      <c r="K14" s="51"/>
    </row>
    <row r="15" spans="1:12" x14ac:dyDescent="0.75">
      <c r="B15" s="26"/>
      <c r="C15" s="27" t="s">
        <v>333</v>
      </c>
      <c r="D15" s="51" t="s">
        <v>334</v>
      </c>
      <c r="F15" s="26"/>
      <c r="G15" s="51"/>
      <c r="I15" s="26"/>
      <c r="J15" s="51"/>
      <c r="K15" s="51"/>
    </row>
    <row r="16" spans="1:12" x14ac:dyDescent="0.75">
      <c r="B16" s="26"/>
      <c r="C16" s="27" t="s">
        <v>334</v>
      </c>
      <c r="D16" s="51" t="s">
        <v>518</v>
      </c>
      <c r="F16" s="26"/>
      <c r="G16" s="51"/>
      <c r="I16" s="26"/>
      <c r="J16" s="51"/>
      <c r="K16" s="51"/>
    </row>
    <row r="17" spans="2:11" x14ac:dyDescent="0.75">
      <c r="B17" s="26"/>
      <c r="C17" s="27" t="s">
        <v>518</v>
      </c>
      <c r="D17" s="51" t="s">
        <v>342</v>
      </c>
      <c r="F17" s="26"/>
      <c r="G17" s="51"/>
      <c r="I17" s="26"/>
      <c r="J17" s="51"/>
      <c r="K17" s="51"/>
    </row>
    <row r="18" spans="2:11" x14ac:dyDescent="0.75">
      <c r="B18" s="26"/>
      <c r="C18" s="27" t="s">
        <v>342</v>
      </c>
      <c r="D18" s="51" t="s">
        <v>345</v>
      </c>
      <c r="F18" s="26"/>
      <c r="G18" s="51"/>
      <c r="I18" s="26"/>
      <c r="J18" s="51"/>
      <c r="K18" s="51"/>
    </row>
    <row r="19" spans="2:11" x14ac:dyDescent="0.75">
      <c r="B19" s="26"/>
      <c r="C19" s="27" t="s">
        <v>345</v>
      </c>
      <c r="D19" s="51" t="s">
        <v>740</v>
      </c>
      <c r="F19" s="26"/>
      <c r="G19" s="51"/>
      <c r="I19" s="26"/>
      <c r="J19" s="51"/>
      <c r="K19" s="51"/>
    </row>
    <row r="20" spans="2:11" x14ac:dyDescent="0.75">
      <c r="B20" s="26"/>
      <c r="C20" s="27" t="s">
        <v>740</v>
      </c>
      <c r="D20" s="51" t="s">
        <v>741</v>
      </c>
      <c r="F20" s="26"/>
      <c r="G20" s="51"/>
      <c r="I20" s="26"/>
      <c r="J20" s="51"/>
      <c r="K20" s="51"/>
    </row>
    <row r="21" spans="2:11" x14ac:dyDescent="0.75">
      <c r="B21" s="26"/>
      <c r="C21" s="27" t="s">
        <v>741</v>
      </c>
      <c r="D21" s="51" t="s">
        <v>348</v>
      </c>
      <c r="F21" s="26"/>
      <c r="G21" s="51"/>
      <c r="I21" s="26"/>
      <c r="J21" s="51"/>
      <c r="K21" s="51"/>
    </row>
    <row r="22" spans="2:11" x14ac:dyDescent="0.75">
      <c r="B22" s="26"/>
      <c r="C22" s="27" t="s">
        <v>348</v>
      </c>
      <c r="D22" s="51" t="s">
        <v>351</v>
      </c>
      <c r="F22" s="26"/>
      <c r="G22" s="51"/>
      <c r="I22" s="26"/>
      <c r="J22" s="51"/>
      <c r="K22" s="51"/>
    </row>
    <row r="23" spans="2:11" x14ac:dyDescent="0.75">
      <c r="B23" s="26"/>
      <c r="C23" s="27" t="s">
        <v>351</v>
      </c>
      <c r="D23" s="51" t="s">
        <v>744</v>
      </c>
      <c r="F23" s="26"/>
      <c r="G23" s="51"/>
      <c r="I23" s="26"/>
      <c r="J23" s="51"/>
      <c r="K23" s="51"/>
    </row>
    <row r="24" spans="2:11" x14ac:dyDescent="0.75">
      <c r="B24" s="26"/>
      <c r="C24" s="27" t="s">
        <v>744</v>
      </c>
      <c r="D24" s="51" t="s">
        <v>745</v>
      </c>
      <c r="F24" s="26"/>
      <c r="G24" s="51"/>
      <c r="I24" s="26"/>
      <c r="J24" s="51"/>
      <c r="K24" s="51"/>
    </row>
    <row r="25" spans="2:11" x14ac:dyDescent="0.75">
      <c r="B25" s="26"/>
      <c r="C25" s="27" t="s">
        <v>745</v>
      </c>
      <c r="D25" s="51" t="s">
        <v>352</v>
      </c>
      <c r="F25" s="26"/>
      <c r="G25" s="51"/>
      <c r="I25" s="26"/>
      <c r="J25" s="51"/>
      <c r="K25" s="51"/>
    </row>
    <row r="26" spans="2:11" x14ac:dyDescent="0.75">
      <c r="B26" s="26"/>
      <c r="C26" s="27" t="s">
        <v>352</v>
      </c>
      <c r="D26" s="51" t="s">
        <v>504</v>
      </c>
      <c r="F26" s="26"/>
      <c r="G26" s="51"/>
      <c r="I26" s="26"/>
      <c r="J26" s="51"/>
      <c r="K26" s="51"/>
    </row>
    <row r="27" spans="2:11" x14ac:dyDescent="0.75">
      <c r="B27" s="26"/>
      <c r="C27" s="27" t="s">
        <v>516</v>
      </c>
      <c r="D27" s="51" t="s">
        <v>723</v>
      </c>
      <c r="F27" s="26"/>
      <c r="G27" s="51"/>
      <c r="I27" s="26"/>
      <c r="J27" s="51"/>
      <c r="K27" s="51"/>
    </row>
    <row r="28" spans="2:11" x14ac:dyDescent="0.75">
      <c r="B28" s="26"/>
      <c r="C28" s="27" t="s">
        <v>532</v>
      </c>
      <c r="D28" s="51" t="s">
        <v>328</v>
      </c>
      <c r="F28" s="26"/>
      <c r="G28" s="51"/>
      <c r="I28" s="26"/>
      <c r="J28" s="51"/>
      <c r="K28" s="51"/>
    </row>
    <row r="29" spans="2:11" x14ac:dyDescent="0.75">
      <c r="B29" s="26"/>
      <c r="C29" s="27" t="s">
        <v>536</v>
      </c>
      <c r="D29" s="51" t="s">
        <v>325</v>
      </c>
      <c r="F29" s="26"/>
      <c r="G29" s="51"/>
      <c r="I29" s="26"/>
      <c r="J29" s="51"/>
      <c r="K29" s="51"/>
    </row>
    <row r="30" spans="2:11" x14ac:dyDescent="0.75">
      <c r="B30" s="26"/>
      <c r="C30" s="27" t="s">
        <v>732</v>
      </c>
      <c r="D30" s="51" t="s">
        <v>737</v>
      </c>
      <c r="F30" s="26"/>
      <c r="G30" s="51"/>
      <c r="I30" s="26"/>
      <c r="J30" s="51"/>
      <c r="K30" s="51"/>
    </row>
    <row r="31" spans="2:11" x14ac:dyDescent="0.75">
      <c r="B31" s="26"/>
      <c r="C31" s="27" t="s">
        <v>64</v>
      </c>
      <c r="D31" s="51" t="s">
        <v>727</v>
      </c>
      <c r="F31" s="26"/>
      <c r="G31" s="51"/>
      <c r="I31" s="26"/>
      <c r="J31" s="51"/>
      <c r="K31" s="51"/>
    </row>
    <row r="32" spans="2:11" x14ac:dyDescent="0.75">
      <c r="B32" s="26"/>
      <c r="C32" s="27" t="s">
        <v>539</v>
      </c>
      <c r="D32" s="51" t="s">
        <v>330</v>
      </c>
      <c r="F32" s="26"/>
      <c r="G32" s="51"/>
      <c r="I32" s="26"/>
      <c r="J32" s="51"/>
      <c r="K32" s="51"/>
    </row>
    <row r="33" spans="2:11" x14ac:dyDescent="0.75">
      <c r="B33" s="26"/>
      <c r="C33" s="27" t="s">
        <v>727</v>
      </c>
      <c r="D33" s="51" t="s">
        <v>519</v>
      </c>
      <c r="F33" s="26"/>
      <c r="G33" s="51"/>
      <c r="I33" s="26"/>
      <c r="J33" s="51"/>
      <c r="K33" s="51"/>
    </row>
    <row r="34" spans="2:11" x14ac:dyDescent="0.75">
      <c r="B34" s="26"/>
      <c r="C34" s="27" t="s">
        <v>330</v>
      </c>
      <c r="D34" s="51"/>
      <c r="F34" s="26"/>
      <c r="G34" s="51"/>
      <c r="I34" s="26"/>
      <c r="J34" s="51"/>
      <c r="K34" s="51"/>
    </row>
    <row r="35" spans="2:11" x14ac:dyDescent="0.75">
      <c r="B35" s="26"/>
      <c r="C35" t="s">
        <v>519</v>
      </c>
      <c r="D35" s="51"/>
      <c r="F35" s="26"/>
      <c r="G35" s="51"/>
      <c r="I35" s="26"/>
      <c r="J35" s="51"/>
      <c r="K35" s="51"/>
    </row>
    <row r="36" spans="2:11" x14ac:dyDescent="0.75">
      <c r="B36" s="26"/>
      <c r="D36" s="51"/>
      <c r="F36" s="26"/>
      <c r="G36" s="51"/>
      <c r="I36" s="26"/>
      <c r="J36" s="51"/>
      <c r="K36" s="51"/>
    </row>
    <row r="37" spans="2:11" x14ac:dyDescent="0.75">
      <c r="B37" s="26"/>
      <c r="C37" s="51"/>
      <c r="D37" s="51"/>
      <c r="F37" s="26"/>
      <c r="G37" s="51"/>
      <c r="I37" s="26"/>
      <c r="J37" s="51"/>
      <c r="K37" s="51"/>
    </row>
    <row r="38" spans="2:11" x14ac:dyDescent="0.75">
      <c r="B38" s="26"/>
      <c r="C38" s="51"/>
      <c r="D38" s="51"/>
      <c r="F38" s="26"/>
      <c r="G38" s="51"/>
      <c r="I38" s="26"/>
      <c r="J38" s="51"/>
      <c r="K38" s="51"/>
    </row>
    <row r="39" spans="2:11" x14ac:dyDescent="0.75">
      <c r="B39" s="26"/>
      <c r="C39" s="27"/>
      <c r="D39" s="51"/>
      <c r="F39" s="26"/>
      <c r="G39" s="51"/>
      <c r="I39" s="26"/>
      <c r="J39" s="51"/>
      <c r="K39" s="51"/>
    </row>
    <row r="40" spans="2:11" x14ac:dyDescent="0.75">
      <c r="B40" s="26"/>
      <c r="C40" s="27"/>
      <c r="D40" s="51"/>
      <c r="F40" s="26"/>
      <c r="G40" s="51"/>
      <c r="I40" s="26"/>
      <c r="J40" s="51"/>
      <c r="K40" s="51"/>
    </row>
    <row r="41" spans="2:11" x14ac:dyDescent="0.75">
      <c r="B41" s="26"/>
      <c r="C41" s="27"/>
      <c r="D41" s="51"/>
      <c r="F41" s="26"/>
      <c r="G41" s="51"/>
      <c r="I41" s="26"/>
      <c r="J41" s="51"/>
      <c r="K41" s="51"/>
    </row>
    <row r="42" spans="2:11" x14ac:dyDescent="0.75">
      <c r="B42" s="26"/>
      <c r="C42" s="27"/>
      <c r="D42" s="51"/>
      <c r="F42" s="26"/>
      <c r="G42" s="51"/>
      <c r="I42" s="26"/>
      <c r="J42" s="51"/>
      <c r="K42" s="51"/>
    </row>
    <row r="43" spans="2:11" x14ac:dyDescent="0.75">
      <c r="B43" s="26"/>
      <c r="C43" s="27"/>
      <c r="D43" s="51"/>
      <c r="F43" s="26"/>
      <c r="G43" s="51"/>
      <c r="I43" s="26"/>
      <c r="J43" s="51"/>
      <c r="K43" s="51"/>
    </row>
    <row r="44" spans="2:11" x14ac:dyDescent="0.75">
      <c r="B44" s="26"/>
      <c r="C44" s="27"/>
      <c r="D44" s="51"/>
      <c r="F44" s="26"/>
      <c r="G44" s="51"/>
      <c r="I44" s="26"/>
      <c r="J44" s="51"/>
      <c r="K44" s="51"/>
    </row>
    <row r="45" spans="2:11" x14ac:dyDescent="0.75">
      <c r="B45" s="26"/>
      <c r="C45" s="27"/>
      <c r="D45" s="51"/>
      <c r="F45" s="26"/>
      <c r="G45" s="51"/>
      <c r="I45" s="26"/>
      <c r="J45" s="51"/>
      <c r="K45" s="51"/>
    </row>
    <row r="46" spans="2:11" x14ac:dyDescent="0.75">
      <c r="B46" s="26"/>
      <c r="C46" s="27"/>
      <c r="D46" s="51"/>
      <c r="F46" s="26"/>
      <c r="G46" s="51"/>
      <c r="I46" s="26"/>
      <c r="J46" s="51"/>
      <c r="K46" s="51"/>
    </row>
    <row r="47" spans="2:11" x14ac:dyDescent="0.75">
      <c r="B47" s="26"/>
      <c r="C47" s="27"/>
      <c r="D47" s="51"/>
      <c r="F47" s="26"/>
      <c r="G47" s="51"/>
      <c r="I47" s="26"/>
      <c r="J47" s="51"/>
      <c r="K47" s="51"/>
    </row>
    <row r="48" spans="2:11" x14ac:dyDescent="0.75">
      <c r="B48" s="26"/>
      <c r="C48" s="27"/>
      <c r="D48" s="51"/>
      <c r="F48" s="26"/>
      <c r="G48" s="51"/>
      <c r="I48" s="26"/>
      <c r="J48" s="51"/>
      <c r="K48" s="51"/>
    </row>
    <row r="49" spans="2:11" x14ac:dyDescent="0.75">
      <c r="B49" s="26"/>
      <c r="C49" s="27"/>
      <c r="D49" s="51"/>
      <c r="F49" s="26"/>
      <c r="G49" s="51"/>
      <c r="I49" s="26"/>
      <c r="J49" s="51"/>
      <c r="K49" s="51"/>
    </row>
    <row r="50" spans="2:11" x14ac:dyDescent="0.75">
      <c r="B50" s="26"/>
      <c r="C50" s="27"/>
      <c r="D50" s="51"/>
      <c r="F50" s="26"/>
      <c r="G50" s="51"/>
      <c r="I50" s="26"/>
      <c r="J50" s="51"/>
      <c r="K50" s="51"/>
    </row>
    <row r="51" spans="2:11" x14ac:dyDescent="0.75">
      <c r="B51" s="26"/>
      <c r="C51" s="27"/>
      <c r="D51" s="51"/>
      <c r="F51" s="26"/>
      <c r="G51" s="51"/>
      <c r="I51" s="26"/>
      <c r="J51" s="51"/>
      <c r="K51" s="51"/>
    </row>
    <row r="52" spans="2:11" x14ac:dyDescent="0.75">
      <c r="B52" s="26"/>
      <c r="C52" s="27"/>
      <c r="D52" s="51"/>
      <c r="F52" s="26"/>
      <c r="G52" s="51"/>
      <c r="I52" s="26"/>
      <c r="J52" s="51"/>
      <c r="K52" s="51"/>
    </row>
    <row r="53" spans="2:11" x14ac:dyDescent="0.75">
      <c r="B53" s="26"/>
      <c r="C53" s="27"/>
      <c r="D53" s="51"/>
      <c r="F53" s="26"/>
      <c r="G53" s="51"/>
      <c r="I53" s="26"/>
      <c r="J53" s="51"/>
      <c r="K53" s="51"/>
    </row>
    <row r="54" spans="2:11" x14ac:dyDescent="0.75">
      <c r="B54" s="26"/>
      <c r="C54" s="27"/>
      <c r="D54" s="51"/>
      <c r="F54" s="26"/>
      <c r="G54" s="51"/>
      <c r="I54" s="26"/>
      <c r="J54" s="51"/>
      <c r="K54" s="51"/>
    </row>
    <row r="55" spans="2:11" x14ac:dyDescent="0.75">
      <c r="B55" s="26"/>
      <c r="C55" s="27"/>
      <c r="D55" s="51"/>
      <c r="F55" s="26"/>
      <c r="G55" s="51"/>
      <c r="I55" s="26"/>
      <c r="J55" s="51"/>
      <c r="K55" s="51"/>
    </row>
    <row r="56" spans="2:11" x14ac:dyDescent="0.75">
      <c r="B56" s="26"/>
      <c r="C56" s="27"/>
      <c r="D56" s="51"/>
      <c r="F56" s="26"/>
      <c r="G56" s="51"/>
      <c r="I56" s="26"/>
      <c r="J56" s="51"/>
      <c r="K56" s="51"/>
    </row>
    <row r="57" spans="2:11" x14ac:dyDescent="0.75">
      <c r="B57" s="26"/>
      <c r="C57" s="27"/>
      <c r="D57" s="51"/>
      <c r="F57" s="26"/>
      <c r="G57" s="51"/>
      <c r="I57" s="26"/>
      <c r="J57" s="51"/>
      <c r="K57" s="51"/>
    </row>
    <row r="58" spans="2:11" x14ac:dyDescent="0.75">
      <c r="B58" s="26"/>
      <c r="C58" s="27"/>
      <c r="D58" s="51"/>
      <c r="F58" s="26"/>
      <c r="G58" s="51"/>
      <c r="I58" s="26"/>
      <c r="J58" s="51"/>
      <c r="K58" s="51"/>
    </row>
    <row r="59" spans="2:11" x14ac:dyDescent="0.75">
      <c r="B59" s="26"/>
      <c r="C59" s="27"/>
      <c r="D59" s="51"/>
      <c r="F59" s="26"/>
      <c r="G59" s="51"/>
      <c r="I59" s="26"/>
      <c r="J59" s="51"/>
      <c r="K59" s="51"/>
    </row>
    <row r="60" spans="2:11" x14ac:dyDescent="0.75">
      <c r="B60" s="26"/>
      <c r="C60" s="27"/>
      <c r="D60" s="51"/>
      <c r="F60" s="26"/>
      <c r="G60" s="51"/>
      <c r="I60" s="26"/>
      <c r="J60" s="51"/>
      <c r="K60" s="51"/>
    </row>
    <row r="61" spans="2:11" x14ac:dyDescent="0.75">
      <c r="B61" s="26"/>
      <c r="C61" s="27"/>
      <c r="D61" s="51"/>
      <c r="F61" s="26"/>
      <c r="G61" s="51"/>
      <c r="I61" s="26"/>
      <c r="J61" s="51"/>
      <c r="K61" s="51"/>
    </row>
    <row r="62" spans="2:11" x14ac:dyDescent="0.75">
      <c r="B62" s="26"/>
      <c r="C62" s="27"/>
      <c r="D62" s="51"/>
      <c r="F62" s="26"/>
      <c r="G62" s="51"/>
      <c r="I62" s="26"/>
      <c r="J62" s="51"/>
      <c r="K62" s="51"/>
    </row>
    <row r="63" spans="2:11" x14ac:dyDescent="0.75">
      <c r="B63" s="26"/>
      <c r="C63" s="27"/>
      <c r="D63" s="51"/>
      <c r="F63" s="26"/>
      <c r="G63" s="51"/>
      <c r="I63" s="26"/>
      <c r="J63" s="51"/>
      <c r="K63" s="51"/>
    </row>
    <row r="64" spans="2:11" x14ac:dyDescent="0.75">
      <c r="B64" s="26"/>
      <c r="C64" s="27"/>
      <c r="D64" s="51"/>
      <c r="F64" s="26"/>
      <c r="G64" s="51"/>
      <c r="I64" s="26"/>
      <c r="J64" s="51"/>
      <c r="K64" s="51"/>
    </row>
    <row r="65" spans="2:11" x14ac:dyDescent="0.75">
      <c r="B65" s="26"/>
      <c r="C65" s="27"/>
      <c r="D65" s="51"/>
      <c r="F65" s="26"/>
      <c r="G65" s="51"/>
      <c r="I65" s="26"/>
      <c r="J65" s="51"/>
      <c r="K65" s="51"/>
    </row>
    <row r="66" spans="2:11" x14ac:dyDescent="0.75">
      <c r="B66" s="26"/>
      <c r="C66" s="27"/>
      <c r="D66" s="51"/>
      <c r="F66" s="26"/>
      <c r="G66" s="51"/>
      <c r="I66" s="26"/>
      <c r="J66" s="51"/>
      <c r="K66" s="51"/>
    </row>
    <row r="67" spans="2:11" x14ac:dyDescent="0.75">
      <c r="B67" s="26"/>
      <c r="C67" s="27"/>
      <c r="D67" s="51"/>
      <c r="F67" s="26"/>
      <c r="G67" s="51"/>
      <c r="I67" s="26"/>
      <c r="J67" s="51"/>
      <c r="K67" s="51"/>
    </row>
    <row r="68" spans="2:11" x14ac:dyDescent="0.75">
      <c r="B68" s="26"/>
      <c r="C68" s="27"/>
      <c r="D68" s="51"/>
      <c r="F68" s="26"/>
      <c r="G68" s="51"/>
      <c r="I68" s="26"/>
      <c r="J68" s="51"/>
      <c r="K68" s="51"/>
    </row>
    <row r="69" spans="2:11" x14ac:dyDescent="0.75">
      <c r="B69" s="26"/>
      <c r="C69" s="27"/>
      <c r="D69" s="51"/>
      <c r="F69" s="26"/>
      <c r="G69" s="51"/>
      <c r="I69" s="26"/>
      <c r="J69" s="51"/>
      <c r="K69" s="51"/>
    </row>
    <row r="70" spans="2:11" x14ac:dyDescent="0.75">
      <c r="B70" s="26"/>
      <c r="C70" s="27"/>
      <c r="D70" s="51"/>
      <c r="F70" s="26"/>
      <c r="G70" s="51"/>
      <c r="I70" s="26"/>
      <c r="J70" s="51"/>
      <c r="K70" s="51"/>
    </row>
    <row r="71" spans="2:11" x14ac:dyDescent="0.75">
      <c r="B71" s="26"/>
      <c r="C71" s="27"/>
      <c r="D71" s="51"/>
      <c r="F71" s="26"/>
      <c r="G71" s="51"/>
      <c r="I71" s="26"/>
      <c r="J71" s="51"/>
      <c r="K71" s="51"/>
    </row>
    <row r="72" spans="2:11" x14ac:dyDescent="0.75">
      <c r="B72" s="26"/>
      <c r="C72" s="27"/>
      <c r="D72" s="51"/>
      <c r="F72" s="26"/>
      <c r="G72" s="51"/>
      <c r="I72" s="26"/>
      <c r="J72" s="51"/>
      <c r="K72" s="51"/>
    </row>
    <row r="73" spans="2:11" x14ac:dyDescent="0.75">
      <c r="B73" s="26"/>
      <c r="C73" s="27"/>
      <c r="D73" s="51"/>
      <c r="F73" s="26"/>
      <c r="G73" s="51"/>
      <c r="I73" s="26"/>
      <c r="J73" s="51"/>
      <c r="K73" s="51"/>
    </row>
    <row r="74" spans="2:11" x14ac:dyDescent="0.75">
      <c r="B74" s="26"/>
      <c r="C74" s="27"/>
      <c r="D74" s="51"/>
      <c r="F74" s="26"/>
      <c r="G74" s="51"/>
      <c r="I74" s="26"/>
      <c r="J74" s="51"/>
      <c r="K74" s="51"/>
    </row>
    <row r="75" spans="2:11" x14ac:dyDescent="0.75">
      <c r="B75" s="26"/>
      <c r="C75" s="27"/>
      <c r="D75" s="51"/>
      <c r="F75" s="26"/>
      <c r="G75" s="51"/>
      <c r="I75" s="26"/>
      <c r="J75" s="51"/>
      <c r="K75" s="51"/>
    </row>
    <row r="76" spans="2:11" x14ac:dyDescent="0.75">
      <c r="B76" s="26"/>
      <c r="C76" s="27"/>
      <c r="D76" s="51"/>
      <c r="F76" s="26"/>
      <c r="G76" s="51"/>
      <c r="I76" s="26"/>
      <c r="J76" s="51"/>
      <c r="K76" s="51"/>
    </row>
    <row r="77" spans="2:11" x14ac:dyDescent="0.75">
      <c r="B77" s="26"/>
      <c r="C77" s="27"/>
      <c r="D77" s="51"/>
      <c r="F77" s="26"/>
      <c r="G77" s="51"/>
      <c r="I77" s="26"/>
      <c r="J77" s="51"/>
      <c r="K77" s="51"/>
    </row>
    <row r="78" spans="2:11" x14ac:dyDescent="0.75">
      <c r="B78" s="26"/>
      <c r="C78" s="27"/>
      <c r="D78" s="51"/>
      <c r="F78" s="26"/>
      <c r="G78" s="51"/>
      <c r="I78" s="26"/>
      <c r="J78" s="51"/>
      <c r="K78" s="51"/>
    </row>
    <row r="79" spans="2:11" x14ac:dyDescent="0.75">
      <c r="B79" s="26"/>
      <c r="C79" s="27"/>
      <c r="D79" s="51"/>
      <c r="F79" s="26"/>
      <c r="G79" s="51"/>
      <c r="I79" s="26"/>
      <c r="J79" s="51"/>
      <c r="K79" s="51"/>
    </row>
    <row r="80" spans="2:11" x14ac:dyDescent="0.75">
      <c r="B80" s="26"/>
      <c r="C80" s="27"/>
      <c r="D80" s="51"/>
      <c r="F80" s="26"/>
      <c r="G80" s="51"/>
      <c r="I80" s="26"/>
      <c r="J80" s="51"/>
      <c r="K80" s="51"/>
    </row>
    <row r="81" spans="2:11" x14ac:dyDescent="0.75">
      <c r="B81" s="26"/>
      <c r="C81" s="27"/>
      <c r="D81" s="51"/>
      <c r="F81" s="26"/>
      <c r="G81" s="51"/>
      <c r="I81" s="26"/>
      <c r="J81" s="51"/>
      <c r="K81" s="51"/>
    </row>
    <row r="82" spans="2:11" x14ac:dyDescent="0.75">
      <c r="B82" s="26"/>
      <c r="C82" s="27"/>
      <c r="D82" s="51"/>
      <c r="F82" s="26"/>
      <c r="G82" s="51"/>
      <c r="I82" s="26"/>
      <c r="J82" s="51"/>
      <c r="K82" s="51"/>
    </row>
    <row r="83" spans="2:11" x14ac:dyDescent="0.75">
      <c r="B83" s="26"/>
      <c r="C83" s="27"/>
      <c r="D83" s="51"/>
      <c r="F83" s="26"/>
      <c r="G83" s="51"/>
      <c r="I83" s="26"/>
      <c r="J83" s="51"/>
      <c r="K83" s="51"/>
    </row>
    <row r="84" spans="2:11" x14ac:dyDescent="0.75">
      <c r="B84" s="26"/>
      <c r="C84" s="27"/>
      <c r="D84" s="51"/>
      <c r="F84" s="26"/>
      <c r="G84" s="51"/>
      <c r="I84" s="26"/>
      <c r="J84" s="51"/>
      <c r="K84" s="51"/>
    </row>
    <row r="85" spans="2:11" x14ac:dyDescent="0.75">
      <c r="B85" s="26"/>
      <c r="C85" s="27"/>
      <c r="D85" s="51"/>
      <c r="F85" s="26"/>
      <c r="G85" s="51"/>
      <c r="I85" s="26"/>
      <c r="J85" s="51"/>
      <c r="K85" s="51"/>
    </row>
    <row r="86" spans="2:11" x14ac:dyDescent="0.75">
      <c r="B86" s="26"/>
      <c r="C86" s="27"/>
      <c r="D86" s="51"/>
      <c r="F86" s="26"/>
      <c r="G86" s="51"/>
      <c r="I86" s="26"/>
      <c r="J86" s="51"/>
      <c r="K86" s="51"/>
    </row>
    <row r="87" spans="2:11" x14ac:dyDescent="0.75">
      <c r="B87" s="26"/>
      <c r="C87" s="27"/>
      <c r="D87" s="51"/>
      <c r="F87" s="26"/>
      <c r="G87" s="51"/>
      <c r="I87" s="26"/>
      <c r="J87" s="51"/>
      <c r="K87" s="51"/>
    </row>
    <row r="88" spans="2:11" x14ac:dyDescent="0.75">
      <c r="B88" s="26"/>
      <c r="C88" s="27"/>
      <c r="D88" s="51"/>
      <c r="F88" s="26"/>
      <c r="G88" s="51"/>
      <c r="I88" s="26"/>
      <c r="J88" s="51"/>
      <c r="K88" s="51"/>
    </row>
    <row r="89" spans="2:11" x14ac:dyDescent="0.75">
      <c r="B89" s="26"/>
      <c r="C89" s="27"/>
      <c r="D89" s="51"/>
      <c r="F89" s="26"/>
      <c r="G89" s="51"/>
      <c r="I89" s="26"/>
      <c r="J89" s="51"/>
      <c r="K89" s="51"/>
    </row>
    <row r="90" spans="2:11" x14ac:dyDescent="0.75">
      <c r="B90" s="26"/>
      <c r="C90" s="27"/>
      <c r="D90" s="51"/>
      <c r="F90" s="26"/>
      <c r="G90" s="51"/>
      <c r="I90" s="26"/>
      <c r="J90" s="51"/>
      <c r="K90" s="51"/>
    </row>
    <row r="91" spans="2:11" x14ac:dyDescent="0.75">
      <c r="B91" s="26"/>
      <c r="C91" s="27"/>
      <c r="D91" s="51"/>
      <c r="F91" s="26"/>
      <c r="G91" s="51"/>
      <c r="I91" s="26"/>
      <c r="J91" s="51"/>
      <c r="K91" s="51"/>
    </row>
    <row r="92" spans="2:11" x14ac:dyDescent="0.75">
      <c r="B92" s="26"/>
      <c r="C92" s="27"/>
      <c r="D92" s="51"/>
      <c r="F92" s="26"/>
      <c r="G92" s="51"/>
      <c r="I92" s="26"/>
      <c r="J92" s="51"/>
      <c r="K92" s="51"/>
    </row>
    <row r="93" spans="2:11" x14ac:dyDescent="0.75">
      <c r="B93" s="26"/>
      <c r="C93" s="27"/>
      <c r="D93" s="51"/>
      <c r="F93" s="26"/>
      <c r="G93" s="51"/>
      <c r="I93" s="26"/>
      <c r="J93" s="51"/>
      <c r="K93" s="51"/>
    </row>
    <row r="94" spans="2:11" x14ac:dyDescent="0.75">
      <c r="B94" s="26"/>
      <c r="C94" s="27"/>
      <c r="D94" s="51"/>
      <c r="F94" s="26"/>
      <c r="G94" s="51"/>
      <c r="I94" s="26"/>
      <c r="J94" s="51"/>
      <c r="K94" s="51"/>
    </row>
    <row r="95" spans="2:11" x14ac:dyDescent="0.75">
      <c r="B95" s="26"/>
      <c r="C95" s="27"/>
      <c r="D95" s="51"/>
      <c r="F95" s="26"/>
      <c r="G95" s="51"/>
      <c r="I95" s="26"/>
      <c r="J95" s="51"/>
      <c r="K95" s="51"/>
    </row>
    <row r="96" spans="2:11" x14ac:dyDescent="0.75">
      <c r="B96" s="26"/>
      <c r="C96" s="27"/>
      <c r="D96" s="51"/>
      <c r="F96" s="26"/>
      <c r="G96" s="51"/>
      <c r="I96" s="26"/>
      <c r="J96" s="51"/>
      <c r="K96" s="51"/>
    </row>
    <row r="97" spans="2:11" x14ac:dyDescent="0.75">
      <c r="B97" s="26"/>
      <c r="C97" s="27"/>
      <c r="D97" s="51"/>
      <c r="F97" s="26"/>
      <c r="G97" s="51"/>
      <c r="I97" s="26"/>
      <c r="J97" s="51"/>
      <c r="K97" s="51"/>
    </row>
    <row r="98" spans="2:11" x14ac:dyDescent="0.75">
      <c r="B98" s="26"/>
      <c r="C98" s="27"/>
      <c r="D98" s="51"/>
      <c r="F98" s="26"/>
      <c r="G98" s="51"/>
      <c r="I98" s="26"/>
      <c r="J98" s="51"/>
      <c r="K98" s="51"/>
    </row>
    <row r="99" spans="2:11" x14ac:dyDescent="0.75">
      <c r="B99" s="26"/>
      <c r="C99" s="27"/>
      <c r="D99" s="51"/>
      <c r="F99" s="26"/>
      <c r="G99" s="51"/>
      <c r="I99" s="26"/>
      <c r="J99" s="51"/>
      <c r="K99" s="51"/>
    </row>
    <row r="100" spans="2:11" x14ac:dyDescent="0.75">
      <c r="B100" s="26"/>
      <c r="C100" s="27"/>
      <c r="D100" s="51"/>
      <c r="F100" s="26"/>
      <c r="G100" s="51"/>
      <c r="I100" s="26"/>
      <c r="J100" s="51"/>
      <c r="K100" s="51"/>
    </row>
    <row r="101" spans="2:11" x14ac:dyDescent="0.75">
      <c r="B101" s="26"/>
      <c r="C101" s="27"/>
      <c r="D101" s="51"/>
      <c r="F101" s="26"/>
      <c r="G101" s="51"/>
      <c r="I101" s="26"/>
      <c r="J101" s="51"/>
      <c r="K101" s="51"/>
    </row>
    <row r="102" spans="2:11" x14ac:dyDescent="0.75">
      <c r="B102" s="26"/>
      <c r="C102" s="27"/>
      <c r="D102" s="51"/>
      <c r="F102" s="26"/>
      <c r="G102" s="51"/>
      <c r="I102" s="26"/>
      <c r="J102" s="51"/>
      <c r="K102" s="51"/>
    </row>
    <row r="103" spans="2:11" x14ac:dyDescent="0.75">
      <c r="B103" s="26"/>
      <c r="C103" s="27"/>
      <c r="D103" s="51"/>
      <c r="F103" s="26"/>
      <c r="G103" s="51"/>
      <c r="I103" s="26"/>
      <c r="J103" s="51"/>
      <c r="K103" s="51"/>
    </row>
    <row r="104" spans="2:11" x14ac:dyDescent="0.75">
      <c r="B104" s="26"/>
      <c r="C104" s="27"/>
      <c r="D104" s="51"/>
      <c r="F104" s="26"/>
      <c r="G104" s="51"/>
      <c r="I104" s="26"/>
      <c r="J104" s="51"/>
      <c r="K104" s="51"/>
    </row>
    <row r="105" spans="2:11" x14ac:dyDescent="0.75">
      <c r="B105" s="26"/>
      <c r="C105" s="27"/>
      <c r="D105" s="51"/>
      <c r="F105" s="26"/>
      <c r="G105" s="51"/>
      <c r="I105" s="26"/>
      <c r="J105" s="51"/>
      <c r="K105" s="51"/>
    </row>
    <row r="106" spans="2:11" x14ac:dyDescent="0.75">
      <c r="B106" s="26"/>
      <c r="C106" s="27"/>
      <c r="D106" s="51"/>
      <c r="F106" s="26"/>
      <c r="G106" s="51"/>
      <c r="I106" s="26"/>
      <c r="J106" s="51"/>
      <c r="K106" s="51"/>
    </row>
    <row r="107" spans="2:11" x14ac:dyDescent="0.75">
      <c r="B107" s="26"/>
      <c r="C107" s="27"/>
      <c r="D107" s="51"/>
      <c r="F107" s="26"/>
      <c r="G107" s="51"/>
      <c r="I107" s="26"/>
      <c r="J107" s="51"/>
      <c r="K107" s="51"/>
    </row>
    <row r="108" spans="2:11" x14ac:dyDescent="0.75">
      <c r="B108" s="26"/>
      <c r="C108" s="27"/>
      <c r="D108" s="51"/>
      <c r="F108" s="26"/>
      <c r="G108" s="51"/>
      <c r="I108" s="26"/>
      <c r="J108" s="51"/>
      <c r="K108" s="51"/>
    </row>
    <row r="109" spans="2:11" x14ac:dyDescent="0.75">
      <c r="B109" s="26"/>
      <c r="C109" s="27"/>
      <c r="D109" s="51"/>
      <c r="F109" s="26"/>
      <c r="G109" s="51"/>
      <c r="I109" s="26"/>
      <c r="J109" s="51"/>
      <c r="K109" s="51"/>
    </row>
    <row r="110" spans="2:11" x14ac:dyDescent="0.75">
      <c r="B110" s="26"/>
      <c r="C110" s="27"/>
      <c r="D110" s="51"/>
      <c r="F110" s="26"/>
      <c r="G110" s="51"/>
      <c r="I110" s="26"/>
      <c r="J110" s="51"/>
      <c r="K110" s="51"/>
    </row>
    <row r="111" spans="2:11" x14ac:dyDescent="0.75">
      <c r="B111" s="26"/>
      <c r="C111" s="27"/>
      <c r="D111" s="51"/>
      <c r="F111" s="26"/>
      <c r="G111" s="51"/>
      <c r="I111" s="26"/>
      <c r="J111" s="51"/>
      <c r="K111" s="51"/>
    </row>
    <row r="112" spans="2:11" x14ac:dyDescent="0.75">
      <c r="B112" s="26"/>
      <c r="C112" s="27"/>
      <c r="D112" s="51"/>
      <c r="F112" s="26"/>
      <c r="G112" s="51"/>
      <c r="I112" s="26"/>
      <c r="J112" s="51"/>
      <c r="K112" s="51"/>
    </row>
    <row r="113" spans="2:11" x14ac:dyDescent="0.75">
      <c r="B113" s="26"/>
      <c r="C113" s="27"/>
      <c r="D113" s="51"/>
      <c r="F113" s="26"/>
      <c r="G113" s="51"/>
      <c r="I113" s="26"/>
      <c r="J113" s="51"/>
      <c r="K113" s="51"/>
    </row>
    <row r="114" spans="2:11" x14ac:dyDescent="0.75">
      <c r="B114" s="26"/>
      <c r="C114" s="27"/>
      <c r="D114" s="51"/>
      <c r="F114" s="26"/>
      <c r="G114" s="51"/>
      <c r="I114" s="26"/>
      <c r="J114" s="51"/>
      <c r="K114" s="51"/>
    </row>
    <row r="115" spans="2:11" x14ac:dyDescent="0.75">
      <c r="B115" s="26"/>
      <c r="C115" s="27"/>
      <c r="D115" s="51"/>
      <c r="F115" s="26"/>
      <c r="G115" s="51"/>
      <c r="I115" s="26"/>
      <c r="J115" s="51"/>
      <c r="K115" s="51"/>
    </row>
    <row r="116" spans="2:11" x14ac:dyDescent="0.75">
      <c r="B116" s="26"/>
      <c r="C116" s="27"/>
      <c r="D116" s="51"/>
      <c r="F116" s="26"/>
      <c r="G116" s="51"/>
      <c r="I116" s="26"/>
      <c r="J116" s="51"/>
      <c r="K116" s="51"/>
    </row>
    <row r="117" spans="2:11" x14ac:dyDescent="0.75">
      <c r="B117" s="26"/>
      <c r="C117" s="27"/>
      <c r="D117" s="51"/>
      <c r="F117" s="26"/>
      <c r="G117" s="51"/>
      <c r="I117" s="26"/>
      <c r="J117" s="51"/>
      <c r="K117" s="51"/>
    </row>
    <row r="118" spans="2:11" x14ac:dyDescent="0.75">
      <c r="B118" s="26"/>
      <c r="C118" s="27"/>
      <c r="D118" s="51"/>
      <c r="F118" s="26"/>
      <c r="G118" s="51"/>
      <c r="I118" s="26"/>
      <c r="J118" s="51"/>
      <c r="K118" s="51"/>
    </row>
    <row r="119" spans="2:11" x14ac:dyDescent="0.75">
      <c r="B119" s="26"/>
      <c r="C119" s="27"/>
      <c r="D119" s="51"/>
      <c r="F119" s="26"/>
      <c r="G119" s="51"/>
      <c r="I119" s="26"/>
      <c r="J119" s="51"/>
      <c r="K119" s="51"/>
    </row>
    <row r="120" spans="2:11" x14ac:dyDescent="0.75">
      <c r="B120" s="26"/>
      <c r="C120" s="27"/>
      <c r="D120" s="51"/>
      <c r="F120" s="26"/>
      <c r="G120" s="51"/>
      <c r="I120" s="26"/>
      <c r="J120" s="51"/>
      <c r="K120" s="51"/>
    </row>
    <row r="121" spans="2:11" x14ac:dyDescent="0.75">
      <c r="B121" s="26"/>
      <c r="C121" s="27"/>
      <c r="D121" s="51"/>
      <c r="F121" s="26"/>
      <c r="G121" s="51"/>
      <c r="I121" s="26"/>
      <c r="J121" s="51"/>
      <c r="K121" s="51"/>
    </row>
    <row r="122" spans="2:11" x14ac:dyDescent="0.75">
      <c r="B122" s="26"/>
      <c r="C122" s="27"/>
      <c r="D122" s="51"/>
      <c r="F122" s="26"/>
      <c r="G122" s="51"/>
      <c r="I122" s="26"/>
      <c r="J122" s="51"/>
      <c r="K122" s="51"/>
    </row>
    <row r="123" spans="2:11" x14ac:dyDescent="0.75">
      <c r="B123" s="26"/>
      <c r="C123" s="27"/>
      <c r="D123" s="51"/>
      <c r="F123" s="26"/>
      <c r="G123" s="51"/>
      <c r="I123" s="26"/>
      <c r="J123" s="51"/>
      <c r="K123" s="51"/>
    </row>
    <row r="124" spans="2:11" x14ac:dyDescent="0.75">
      <c r="B124" s="26"/>
      <c r="C124" s="27"/>
      <c r="D124" s="51"/>
      <c r="F124" s="26"/>
      <c r="G124" s="51"/>
      <c r="I124" s="26"/>
      <c r="J124" s="51"/>
      <c r="K124" s="51"/>
    </row>
    <row r="125" spans="2:11" x14ac:dyDescent="0.75">
      <c r="B125" s="26"/>
      <c r="C125" s="27"/>
      <c r="D125" s="51"/>
      <c r="F125" s="26"/>
      <c r="G125" s="51"/>
      <c r="I125" s="26"/>
      <c r="J125" s="51"/>
      <c r="K125" s="51"/>
    </row>
    <row r="126" spans="2:11" x14ac:dyDescent="0.75">
      <c r="B126" s="26"/>
      <c r="C126" s="27"/>
      <c r="D126" s="51"/>
      <c r="F126" s="26"/>
      <c r="G126" s="51"/>
      <c r="I126" s="26"/>
      <c r="J126" s="51"/>
      <c r="K126" s="51"/>
    </row>
    <row r="127" spans="2:11" x14ac:dyDescent="0.75">
      <c r="B127" s="26"/>
      <c r="C127" s="27"/>
      <c r="D127" s="51"/>
      <c r="F127" s="26"/>
      <c r="G127" s="51"/>
      <c r="I127" s="26"/>
      <c r="J127" s="51"/>
      <c r="K127" s="51"/>
    </row>
    <row r="128" spans="2:11" x14ac:dyDescent="0.75">
      <c r="B128" s="26"/>
      <c r="C128" s="27"/>
      <c r="D128" s="51"/>
      <c r="F128" s="26"/>
      <c r="G128" s="51"/>
      <c r="I128" s="26"/>
      <c r="J128" s="51"/>
      <c r="K128" s="51"/>
    </row>
    <row r="129" spans="2:11" x14ac:dyDescent="0.75">
      <c r="B129" s="26"/>
      <c r="C129" s="27"/>
      <c r="D129" s="51"/>
      <c r="F129" s="26"/>
      <c r="G129" s="51"/>
      <c r="I129" s="26"/>
      <c r="J129" s="51"/>
      <c r="K129" s="51"/>
    </row>
    <row r="130" spans="2:11" x14ac:dyDescent="0.75">
      <c r="B130" s="26"/>
      <c r="C130" s="27"/>
      <c r="D130" s="51"/>
      <c r="F130" s="26"/>
      <c r="G130" s="51"/>
      <c r="I130" s="26"/>
      <c r="J130" s="51"/>
      <c r="K130" s="51"/>
    </row>
    <row r="131" spans="2:11" x14ac:dyDescent="0.75">
      <c r="B131" s="26"/>
      <c r="C131" s="27"/>
      <c r="D131" s="51"/>
      <c r="F131" s="26"/>
      <c r="G131" s="51"/>
      <c r="I131" s="26"/>
      <c r="J131" s="51"/>
      <c r="K131" s="51"/>
    </row>
    <row r="132" spans="2:11" x14ac:dyDescent="0.75">
      <c r="B132" s="26"/>
      <c r="C132" s="27"/>
      <c r="D132" s="51"/>
      <c r="F132" s="26"/>
      <c r="G132" s="51"/>
      <c r="I132" s="26"/>
      <c r="J132" s="51"/>
      <c r="K132" s="51"/>
    </row>
    <row r="133" spans="2:11" x14ac:dyDescent="0.75">
      <c r="B133" s="26"/>
      <c r="C133" s="27"/>
      <c r="D133" s="51"/>
      <c r="F133" s="26"/>
      <c r="G133" s="51"/>
      <c r="I133" s="26"/>
      <c r="J133" s="51"/>
      <c r="K133" s="51"/>
    </row>
    <row r="134" spans="2:11" x14ac:dyDescent="0.75">
      <c r="B134" s="26"/>
      <c r="C134" s="27"/>
      <c r="D134" s="51"/>
      <c r="F134" s="26"/>
      <c r="G134" s="51"/>
      <c r="I134" s="26"/>
      <c r="J134" s="51"/>
      <c r="K134" s="51"/>
    </row>
    <row r="135" spans="2:11" x14ac:dyDescent="0.75">
      <c r="B135" s="26"/>
      <c r="C135" s="27"/>
      <c r="D135" s="51"/>
      <c r="F135" s="26"/>
      <c r="G135" s="51"/>
      <c r="I135" s="26"/>
      <c r="J135" s="51"/>
      <c r="K135" s="51"/>
    </row>
    <row r="136" spans="2:11" x14ac:dyDescent="0.75">
      <c r="B136" s="26"/>
      <c r="C136" s="27"/>
      <c r="D136" s="51"/>
      <c r="F136" s="26"/>
      <c r="G136" s="51"/>
      <c r="I136" s="26"/>
      <c r="J136" s="51"/>
      <c r="K136" s="51"/>
    </row>
    <row r="137" spans="2:11" x14ac:dyDescent="0.75">
      <c r="B137" s="26"/>
      <c r="C137" s="27"/>
      <c r="D137" s="51"/>
      <c r="F137" s="26"/>
      <c r="G137" s="51"/>
      <c r="I137" s="26"/>
      <c r="J137" s="51"/>
      <c r="K137" s="51"/>
    </row>
    <row r="138" spans="2:11" x14ac:dyDescent="0.75">
      <c r="B138" s="26"/>
      <c r="C138" s="27"/>
      <c r="D138" s="51"/>
      <c r="F138" s="26"/>
      <c r="G138" s="51"/>
      <c r="I138" s="26"/>
      <c r="J138" s="51"/>
      <c r="K138" s="51"/>
    </row>
    <row r="139" spans="2:11" x14ac:dyDescent="0.75">
      <c r="B139" s="26"/>
      <c r="C139" s="27"/>
      <c r="D139" s="51"/>
      <c r="F139" s="26"/>
      <c r="G139" s="51"/>
      <c r="I139" s="26"/>
      <c r="J139" s="51"/>
      <c r="K139" s="51"/>
    </row>
    <row r="140" spans="2:11" x14ac:dyDescent="0.75">
      <c r="B140" s="26"/>
      <c r="C140" s="27"/>
      <c r="D140" s="51"/>
      <c r="F140" s="26"/>
      <c r="G140" s="51"/>
      <c r="I140" s="26"/>
      <c r="J140" s="51"/>
      <c r="K140" s="51"/>
    </row>
    <row r="141" spans="2:11" x14ac:dyDescent="0.75">
      <c r="B141" s="26"/>
      <c r="C141" s="27"/>
      <c r="D141" s="51"/>
      <c r="F141" s="26"/>
      <c r="G141" s="51"/>
      <c r="I141" s="26"/>
      <c r="J141" s="51"/>
      <c r="K141" s="51"/>
    </row>
    <row r="142" spans="2:11" x14ac:dyDescent="0.75">
      <c r="B142" s="26"/>
      <c r="C142" s="27"/>
      <c r="D142" s="51"/>
      <c r="F142" s="26"/>
      <c r="G142" s="51"/>
      <c r="I142" s="26"/>
      <c r="J142" s="51"/>
      <c r="K142" s="51"/>
    </row>
    <row r="143" spans="2:11" x14ac:dyDescent="0.75">
      <c r="B143" s="26"/>
      <c r="C143" s="27"/>
      <c r="D143" s="51"/>
      <c r="F143" s="26"/>
      <c r="G143" s="51"/>
      <c r="I143" s="26"/>
      <c r="J143" s="51"/>
      <c r="K143" s="51"/>
    </row>
    <row r="144" spans="2:11" x14ac:dyDescent="0.75">
      <c r="B144" s="26"/>
      <c r="C144" s="27"/>
      <c r="D144" s="51"/>
      <c r="F144" s="26"/>
      <c r="G144" s="51"/>
      <c r="I144" s="26"/>
      <c r="J144" s="51"/>
      <c r="K144" s="51"/>
    </row>
    <row r="145" spans="2:11" x14ac:dyDescent="0.75">
      <c r="B145" s="26"/>
      <c r="C145" s="27"/>
      <c r="D145" s="51"/>
      <c r="F145" s="26"/>
      <c r="G145" s="51"/>
      <c r="I145" s="26"/>
      <c r="J145" s="51"/>
      <c r="K145" s="51"/>
    </row>
    <row r="146" spans="2:11" x14ac:dyDescent="0.75">
      <c r="B146" s="26"/>
      <c r="C146" s="27"/>
      <c r="D146" s="51"/>
      <c r="F146" s="26"/>
      <c r="G146" s="51"/>
      <c r="I146" s="26"/>
      <c r="J146" s="51"/>
      <c r="K146" s="51"/>
    </row>
    <row r="147" spans="2:11" x14ac:dyDescent="0.75">
      <c r="B147" s="26"/>
      <c r="C147" s="27"/>
      <c r="D147" s="51"/>
      <c r="F147" s="26"/>
      <c r="G147" s="51"/>
      <c r="I147" s="26"/>
      <c r="J147" s="51"/>
      <c r="K147" s="51"/>
    </row>
    <row r="148" spans="2:11" x14ac:dyDescent="0.75">
      <c r="B148" s="26"/>
      <c r="C148" s="27"/>
      <c r="D148" s="51"/>
      <c r="F148" s="26"/>
      <c r="G148" s="51"/>
      <c r="I148" s="26"/>
      <c r="J148" s="51"/>
      <c r="K148" s="51"/>
    </row>
    <row r="149" spans="2:11" x14ac:dyDescent="0.75">
      <c r="B149" s="26"/>
      <c r="C149" s="27"/>
      <c r="D149" s="51"/>
      <c r="F149" s="26"/>
      <c r="G149" s="51"/>
      <c r="I149" s="26"/>
      <c r="J149" s="51"/>
      <c r="K149" s="51"/>
    </row>
    <row r="150" spans="2:11" x14ac:dyDescent="0.75">
      <c r="B150" s="26"/>
      <c r="C150" s="27"/>
      <c r="D150" s="51"/>
      <c r="F150" s="26"/>
      <c r="G150" s="51"/>
      <c r="I150" s="26"/>
      <c r="J150" s="51"/>
      <c r="K150" s="51"/>
    </row>
    <row r="151" spans="2:11" x14ac:dyDescent="0.75">
      <c r="B151" s="26"/>
      <c r="C151" s="27"/>
      <c r="D151" s="51"/>
      <c r="F151" s="26"/>
      <c r="G151" s="51"/>
      <c r="I151" s="26"/>
      <c r="J151" s="51"/>
      <c r="K151" s="51"/>
    </row>
    <row r="152" spans="2:11" x14ac:dyDescent="0.75">
      <c r="B152" s="26"/>
      <c r="C152" s="27"/>
      <c r="D152" s="51"/>
      <c r="F152" s="26"/>
      <c r="G152" s="51"/>
      <c r="I152" s="26"/>
      <c r="J152" s="51"/>
      <c r="K152" s="51"/>
    </row>
    <row r="153" spans="2:11" x14ac:dyDescent="0.75">
      <c r="B153" s="26"/>
      <c r="C153" s="27"/>
      <c r="D153" s="51"/>
      <c r="F153" s="26"/>
      <c r="G153" s="51"/>
      <c r="I153" s="26"/>
      <c r="J153" s="51"/>
      <c r="K153" s="51"/>
    </row>
    <row r="154" spans="2:11" x14ac:dyDescent="0.75">
      <c r="B154" s="26"/>
      <c r="C154" s="27"/>
      <c r="D154" s="51"/>
      <c r="F154" s="26"/>
      <c r="G154" s="51"/>
      <c r="I154" s="26"/>
      <c r="J154" s="51"/>
      <c r="K154" s="51"/>
    </row>
    <row r="155" spans="2:11" x14ac:dyDescent="0.75">
      <c r="B155" s="26"/>
      <c r="C155" s="27"/>
      <c r="D155" s="51"/>
      <c r="F155" s="26"/>
      <c r="G155" s="51"/>
      <c r="I155" s="26"/>
      <c r="J155" s="51"/>
      <c r="K155" s="51"/>
    </row>
    <row r="156" spans="2:11" x14ac:dyDescent="0.75">
      <c r="B156" s="26"/>
      <c r="C156" s="27"/>
      <c r="D156" s="51"/>
      <c r="F156" s="26"/>
      <c r="G156" s="51"/>
      <c r="I156" s="26"/>
      <c r="J156" s="51"/>
      <c r="K156" s="51"/>
    </row>
    <row r="157" spans="2:11" x14ac:dyDescent="0.75">
      <c r="B157" s="38"/>
      <c r="C157" s="38"/>
      <c r="D157" s="38"/>
      <c r="F157" s="38"/>
      <c r="G157" s="38"/>
      <c r="I157" s="38"/>
      <c r="J157" s="38"/>
      <c r="K157" s="38"/>
    </row>
  </sheetData>
  <conditionalFormatting sqref="C156:D156 G156 J156:K156">
    <cfRule type="cellIs" dxfId="13" priority="1" operator="lessThan">
      <formula>0</formula>
    </cfRule>
    <cfRule type="cellIs" dxfId="12" priority="2" operator="greaterThan">
      <formula>0</formula>
    </cfRule>
    <cfRule type="cellIs" dxfId="11" priority="3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56FC-2AD4-4626-B303-5298D2DA04F5}">
  <sheetPr>
    <tabColor theme="8" tint="-0.499984740745262"/>
  </sheetPr>
  <dimension ref="A1:W157"/>
  <sheetViews>
    <sheetView zoomScaleNormal="100" workbookViewId="0">
      <pane ySplit="6" topLeftCell="A47" activePane="bottomLeft" state="frozen"/>
      <selection activeCell="D10" sqref="D10"/>
      <selection pane="bottomLeft" activeCell="L52" sqref="L52"/>
    </sheetView>
  </sheetViews>
  <sheetFormatPr defaultColWidth="0" defaultRowHeight="14.75" zeroHeight="1" x14ac:dyDescent="0.75"/>
  <cols>
    <col min="1" max="2" width="2.453125" customWidth="1"/>
    <col min="3" max="6" width="9.08984375" customWidth="1"/>
    <col min="7" max="8" width="2.453125" customWidth="1"/>
    <col min="9" max="12" width="9.08984375" customWidth="1"/>
    <col min="13" max="14" width="2.453125" customWidth="1"/>
    <col min="15" max="18" width="9.08984375" customWidth="1"/>
    <col min="19" max="19" width="2.453125" customWidth="1"/>
    <col min="20" max="20" width="30.453125" bestFit="1" customWidth="1"/>
    <col min="21" max="22" width="9.08984375" customWidth="1"/>
    <col min="23" max="23" width="2.453125" customWidth="1"/>
    <col min="24" max="16384" width="9.08984375" hidden="1"/>
  </cols>
  <sheetData>
    <row r="1" spans="1:23" ht="18.5" x14ac:dyDescent="0.9">
      <c r="A1" s="23" t="s">
        <v>247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x14ac:dyDescent="0.75"/>
    <row r="3" spans="1:23" x14ac:dyDescent="0.75"/>
    <row r="4" spans="1:23" x14ac:dyDescent="0.75">
      <c r="B4" s="35"/>
      <c r="C4" s="29" t="s">
        <v>128</v>
      </c>
      <c r="D4" s="30"/>
      <c r="E4" s="30"/>
      <c r="F4" s="30"/>
      <c r="H4" s="35"/>
      <c r="I4" s="29" t="s">
        <v>129</v>
      </c>
      <c r="J4" s="30"/>
      <c r="K4" s="30"/>
      <c r="L4" s="30"/>
      <c r="N4" s="35"/>
      <c r="O4" s="29" t="s">
        <v>132</v>
      </c>
      <c r="P4" s="30"/>
      <c r="Q4" s="30"/>
      <c r="S4" s="60"/>
      <c r="T4" s="58" t="s">
        <v>461</v>
      </c>
      <c r="U4" s="59"/>
      <c r="V4" s="59"/>
    </row>
    <row r="5" spans="1:23" x14ac:dyDescent="0.75">
      <c r="B5" s="40"/>
      <c r="C5" s="42"/>
      <c r="D5" s="42" t="s">
        <v>40</v>
      </c>
      <c r="E5" s="42" t="s">
        <v>127</v>
      </c>
      <c r="F5" s="42" t="s">
        <v>130</v>
      </c>
      <c r="H5" s="40"/>
      <c r="I5" s="42"/>
      <c r="J5" s="42" t="s">
        <v>130</v>
      </c>
      <c r="K5" s="42" t="s">
        <v>125</v>
      </c>
      <c r="L5" s="42" t="s">
        <v>126</v>
      </c>
      <c r="N5" s="40"/>
      <c r="O5" s="42"/>
      <c r="P5" s="42"/>
      <c r="Q5" s="42"/>
      <c r="S5" s="61"/>
      <c r="T5" s="42"/>
      <c r="U5" s="42"/>
      <c r="V5" s="42"/>
    </row>
    <row r="6" spans="1:23" x14ac:dyDescent="0.75">
      <c r="B6" s="26"/>
      <c r="D6" s="32" t="s">
        <v>134</v>
      </c>
      <c r="E6" s="32" t="s">
        <v>133</v>
      </c>
      <c r="F6" s="32" t="s">
        <v>131</v>
      </c>
      <c r="H6" s="26"/>
      <c r="J6" s="32" t="s">
        <v>29</v>
      </c>
      <c r="K6" s="32" t="s">
        <v>123</v>
      </c>
      <c r="L6" s="32" t="s">
        <v>124</v>
      </c>
      <c r="N6" s="26"/>
      <c r="P6" s="32" t="s">
        <v>168</v>
      </c>
      <c r="Q6" s="32" t="s">
        <v>167</v>
      </c>
      <c r="S6" s="62"/>
      <c r="T6" s="49"/>
      <c r="U6" s="49" t="s">
        <v>450</v>
      </c>
      <c r="V6" s="49" t="s">
        <v>462</v>
      </c>
    </row>
    <row r="7" spans="1:23" x14ac:dyDescent="0.75">
      <c r="B7" s="26"/>
      <c r="C7" s="27" t="s">
        <v>463</v>
      </c>
      <c r="D7" s="51">
        <v>0.45</v>
      </c>
      <c r="E7" s="51">
        <v>2</v>
      </c>
      <c r="F7" s="51">
        <v>3</v>
      </c>
      <c r="H7" s="26"/>
      <c r="I7" t="s">
        <v>500</v>
      </c>
      <c r="J7" s="51">
        <v>3</v>
      </c>
      <c r="K7" s="51">
        <v>1.3</v>
      </c>
      <c r="L7" s="51">
        <v>1.3</v>
      </c>
      <c r="N7" s="26"/>
      <c r="O7" s="27" t="s">
        <v>463</v>
      </c>
      <c r="P7" s="27">
        <v>1</v>
      </c>
      <c r="Q7" s="27">
        <v>1</v>
      </c>
      <c r="S7" s="62"/>
      <c r="T7" s="64" t="s">
        <v>406</v>
      </c>
      <c r="U7" s="65">
        <v>5.05</v>
      </c>
      <c r="V7" s="65">
        <v>0.24</v>
      </c>
    </row>
    <row r="8" spans="1:23" x14ac:dyDescent="0.75">
      <c r="B8" s="26"/>
      <c r="C8" s="27" t="s">
        <v>285</v>
      </c>
      <c r="D8" s="51">
        <v>0.45</v>
      </c>
      <c r="E8" s="51">
        <v>2</v>
      </c>
      <c r="F8" s="51">
        <v>3</v>
      </c>
      <c r="H8" s="26"/>
      <c r="I8" t="s">
        <v>322</v>
      </c>
      <c r="J8" s="51">
        <v>3</v>
      </c>
      <c r="K8" s="51">
        <v>1.3</v>
      </c>
      <c r="L8" s="51">
        <v>1.3</v>
      </c>
      <c r="N8" s="26"/>
      <c r="O8" s="27" t="s">
        <v>285</v>
      </c>
      <c r="P8" s="27">
        <v>1</v>
      </c>
      <c r="Q8" s="27">
        <v>1</v>
      </c>
      <c r="S8" s="62"/>
      <c r="T8" s="64" t="s">
        <v>407</v>
      </c>
      <c r="U8" s="65">
        <v>4.45</v>
      </c>
      <c r="V8" s="65">
        <v>0.24</v>
      </c>
    </row>
    <row r="9" spans="1:23" x14ac:dyDescent="0.75">
      <c r="B9" s="26"/>
      <c r="C9" s="27" t="s">
        <v>464</v>
      </c>
      <c r="D9" s="51">
        <v>0.45</v>
      </c>
      <c r="E9" s="51">
        <v>2</v>
      </c>
      <c r="F9" s="51">
        <v>3</v>
      </c>
      <c r="H9" s="26"/>
      <c r="I9" t="s">
        <v>501</v>
      </c>
      <c r="J9" s="51">
        <v>3</v>
      </c>
      <c r="K9" s="51">
        <v>0.5</v>
      </c>
      <c r="L9" s="51">
        <v>0.5</v>
      </c>
      <c r="N9" s="26"/>
      <c r="O9" s="27" t="s">
        <v>464</v>
      </c>
      <c r="P9" s="27">
        <v>1</v>
      </c>
      <c r="Q9" s="27">
        <v>1</v>
      </c>
      <c r="S9" s="62"/>
      <c r="T9" s="64" t="s">
        <v>408</v>
      </c>
      <c r="U9" s="65">
        <v>1.3</v>
      </c>
      <c r="V9" s="65">
        <v>0.24</v>
      </c>
    </row>
    <row r="10" spans="1:23" x14ac:dyDescent="0.75">
      <c r="B10" s="26"/>
      <c r="C10" s="27" t="s">
        <v>697</v>
      </c>
      <c r="D10" s="51">
        <v>0.45</v>
      </c>
      <c r="E10" s="51">
        <v>2</v>
      </c>
      <c r="F10" s="51">
        <v>3</v>
      </c>
      <c r="H10" s="26"/>
      <c r="I10" t="s">
        <v>722</v>
      </c>
      <c r="J10" s="51">
        <v>3</v>
      </c>
      <c r="K10" s="51">
        <v>1.3</v>
      </c>
      <c r="L10" s="51">
        <v>1.3</v>
      </c>
      <c r="N10" s="26"/>
      <c r="O10" s="27" t="s">
        <v>697</v>
      </c>
      <c r="P10" s="27">
        <v>1</v>
      </c>
      <c r="Q10" s="27">
        <v>1</v>
      </c>
      <c r="S10" s="62"/>
      <c r="T10" s="64" t="s">
        <v>409</v>
      </c>
      <c r="U10" s="65">
        <v>1.85</v>
      </c>
      <c r="V10" s="65">
        <v>0.24</v>
      </c>
    </row>
    <row r="11" spans="1:23" x14ac:dyDescent="0.75">
      <c r="B11" s="26"/>
      <c r="C11" s="27" t="s">
        <v>353</v>
      </c>
      <c r="D11" s="51">
        <v>0.45</v>
      </c>
      <c r="E11" s="51">
        <v>2</v>
      </c>
      <c r="F11" s="51">
        <v>3</v>
      </c>
      <c r="H11" s="26"/>
      <c r="I11" t="s">
        <v>356</v>
      </c>
      <c r="J11" s="51">
        <v>3</v>
      </c>
      <c r="K11" s="51">
        <v>0.5</v>
      </c>
      <c r="L11" s="51">
        <v>0.5</v>
      </c>
      <c r="N11" s="26"/>
      <c r="O11" s="27" t="s">
        <v>353</v>
      </c>
      <c r="P11" s="27">
        <v>1</v>
      </c>
      <c r="Q11" s="27">
        <v>1</v>
      </c>
      <c r="S11" s="62"/>
      <c r="T11" s="64" t="s">
        <v>410</v>
      </c>
      <c r="U11" s="65">
        <v>2.4500000000000002</v>
      </c>
      <c r="V11" s="65">
        <v>0.24</v>
      </c>
    </row>
    <row r="12" spans="1:23" x14ac:dyDescent="0.75">
      <c r="B12" s="26"/>
      <c r="C12" s="27" t="s">
        <v>560</v>
      </c>
      <c r="D12" s="51">
        <v>0.45</v>
      </c>
      <c r="E12" s="51">
        <v>2</v>
      </c>
      <c r="F12" s="51">
        <v>3</v>
      </c>
      <c r="H12" s="26"/>
      <c r="I12" t="s">
        <v>503</v>
      </c>
      <c r="J12" s="51">
        <v>3</v>
      </c>
      <c r="K12" s="51">
        <v>1.85</v>
      </c>
      <c r="L12" s="51">
        <v>1.85</v>
      </c>
      <c r="N12" s="26"/>
      <c r="O12" s="27" t="s">
        <v>560</v>
      </c>
      <c r="P12" s="27">
        <v>1</v>
      </c>
      <c r="Q12" s="27">
        <v>1</v>
      </c>
      <c r="S12" s="62"/>
      <c r="T12" s="64" t="s">
        <v>411</v>
      </c>
      <c r="U12" s="65">
        <v>2.7</v>
      </c>
      <c r="V12" s="65">
        <v>0.24</v>
      </c>
    </row>
    <row r="13" spans="1:23" x14ac:dyDescent="0.75">
      <c r="B13" s="26"/>
      <c r="C13" s="27" t="s">
        <v>465</v>
      </c>
      <c r="D13" s="51">
        <v>0.45</v>
      </c>
      <c r="E13" s="51">
        <v>2</v>
      </c>
      <c r="F13" s="51">
        <v>3</v>
      </c>
      <c r="H13" s="26"/>
      <c r="I13" t="s">
        <v>504</v>
      </c>
      <c r="J13" s="51">
        <v>3</v>
      </c>
      <c r="K13" s="51">
        <v>1.85</v>
      </c>
      <c r="L13" s="51">
        <v>1.85</v>
      </c>
      <c r="N13" s="26"/>
      <c r="O13" s="27" t="s">
        <v>465</v>
      </c>
      <c r="P13" s="27">
        <v>1</v>
      </c>
      <c r="Q13" s="27">
        <v>1</v>
      </c>
      <c r="S13" s="62"/>
      <c r="T13" s="64" t="s">
        <v>412</v>
      </c>
      <c r="U13" s="65">
        <v>2.5</v>
      </c>
      <c r="V13" s="65">
        <v>0.24</v>
      </c>
    </row>
    <row r="14" spans="1:23" x14ac:dyDescent="0.75">
      <c r="B14" s="26"/>
      <c r="C14" s="27" t="s">
        <v>557</v>
      </c>
      <c r="D14" s="51">
        <v>0.45</v>
      </c>
      <c r="E14" s="51">
        <v>2</v>
      </c>
      <c r="F14" s="51">
        <v>3</v>
      </c>
      <c r="H14" s="26"/>
      <c r="I14" t="s">
        <v>558</v>
      </c>
      <c r="J14" s="51">
        <v>3</v>
      </c>
      <c r="K14" s="51">
        <v>1.85</v>
      </c>
      <c r="L14" s="51">
        <v>1.85</v>
      </c>
      <c r="N14" s="26"/>
      <c r="O14" s="27" t="s">
        <v>557</v>
      </c>
      <c r="P14" s="27">
        <v>1</v>
      </c>
      <c r="Q14" s="27">
        <v>1</v>
      </c>
      <c r="S14" s="62"/>
      <c r="T14" s="64" t="s">
        <v>413</v>
      </c>
      <c r="U14" s="65">
        <v>3.25</v>
      </c>
      <c r="V14" s="65">
        <v>0.24</v>
      </c>
    </row>
    <row r="15" spans="1:23" x14ac:dyDescent="0.75">
      <c r="B15" s="26"/>
      <c r="C15" s="27" t="s">
        <v>288</v>
      </c>
      <c r="D15" s="51">
        <v>0.45</v>
      </c>
      <c r="E15" s="51">
        <v>2</v>
      </c>
      <c r="F15" s="51">
        <v>3</v>
      </c>
      <c r="H15" s="26"/>
      <c r="I15" t="s">
        <v>324</v>
      </c>
      <c r="J15" s="51">
        <v>3</v>
      </c>
      <c r="K15" s="51">
        <v>1.85</v>
      </c>
      <c r="L15" s="51">
        <v>1.85</v>
      </c>
      <c r="N15" s="26"/>
      <c r="O15" s="27" t="s">
        <v>288</v>
      </c>
      <c r="P15" s="27">
        <v>1</v>
      </c>
      <c r="Q15" s="27">
        <v>1</v>
      </c>
      <c r="S15" s="62"/>
      <c r="T15" s="64" t="s">
        <v>414</v>
      </c>
      <c r="U15" s="65">
        <v>2</v>
      </c>
      <c r="V15" s="65">
        <v>0.24</v>
      </c>
    </row>
    <row r="16" spans="1:23" x14ac:dyDescent="0.75">
      <c r="B16" s="26"/>
      <c r="C16" s="27" t="s">
        <v>698</v>
      </c>
      <c r="D16" s="51">
        <v>0.45</v>
      </c>
      <c r="E16" s="51">
        <v>2</v>
      </c>
      <c r="F16" s="51">
        <v>3</v>
      </c>
      <c r="H16" s="26"/>
      <c r="I16" t="s">
        <v>723</v>
      </c>
      <c r="J16" s="51">
        <v>3</v>
      </c>
      <c r="K16" s="51">
        <v>1.85</v>
      </c>
      <c r="L16" s="51">
        <v>1.85</v>
      </c>
      <c r="N16" s="26"/>
      <c r="O16" s="27" t="s">
        <v>698</v>
      </c>
      <c r="P16" s="27">
        <v>1</v>
      </c>
      <c r="Q16" s="27">
        <v>1</v>
      </c>
      <c r="S16" s="62"/>
      <c r="T16" s="64" t="s">
        <v>415</v>
      </c>
      <c r="U16" s="65">
        <v>1.3</v>
      </c>
      <c r="V16" s="65">
        <v>0.24</v>
      </c>
    </row>
    <row r="17" spans="2:22" x14ac:dyDescent="0.75">
      <c r="B17" s="26"/>
      <c r="C17" s="27" t="s">
        <v>699</v>
      </c>
      <c r="D17" s="51">
        <v>0.45</v>
      </c>
      <c r="E17" s="51">
        <v>2</v>
      </c>
      <c r="F17" s="51">
        <v>3</v>
      </c>
      <c r="H17" s="26"/>
      <c r="I17" t="s">
        <v>724</v>
      </c>
      <c r="J17" s="51">
        <v>3</v>
      </c>
      <c r="K17" s="51">
        <v>1.85</v>
      </c>
      <c r="L17" s="51">
        <v>1.85</v>
      </c>
      <c r="N17" s="26"/>
      <c r="O17" s="27" t="s">
        <v>699</v>
      </c>
      <c r="P17" s="27">
        <v>1</v>
      </c>
      <c r="Q17" s="27">
        <v>1</v>
      </c>
      <c r="S17" s="62"/>
      <c r="T17" s="64" t="s">
        <v>416</v>
      </c>
      <c r="U17" s="65">
        <v>3.65</v>
      </c>
      <c r="V17" s="65">
        <v>0.24</v>
      </c>
    </row>
    <row r="18" spans="2:22" x14ac:dyDescent="0.75">
      <c r="B18" s="26"/>
      <c r="C18" s="27" t="s">
        <v>289</v>
      </c>
      <c r="D18" s="51">
        <v>0.45</v>
      </c>
      <c r="E18" s="51">
        <v>2</v>
      </c>
      <c r="F18" s="51">
        <v>3</v>
      </c>
      <c r="H18" s="26"/>
      <c r="I18" t="s">
        <v>57</v>
      </c>
      <c r="J18" s="51">
        <v>3</v>
      </c>
      <c r="K18" s="51">
        <v>1.85</v>
      </c>
      <c r="L18" s="51">
        <v>1.85</v>
      </c>
      <c r="N18" s="26"/>
      <c r="O18" s="27" t="s">
        <v>289</v>
      </c>
      <c r="P18" s="27">
        <v>1</v>
      </c>
      <c r="Q18" s="27">
        <v>1</v>
      </c>
      <c r="S18" s="62"/>
      <c r="T18" s="64" t="s">
        <v>417</v>
      </c>
      <c r="U18" s="65">
        <v>6.45</v>
      </c>
      <c r="V18" s="65">
        <v>0.24</v>
      </c>
    </row>
    <row r="19" spans="2:22" x14ac:dyDescent="0.75">
      <c r="B19" s="26"/>
      <c r="C19" s="27" t="s">
        <v>700</v>
      </c>
      <c r="D19" s="51">
        <v>0.45</v>
      </c>
      <c r="E19" s="51">
        <v>2</v>
      </c>
      <c r="F19" s="51">
        <v>3</v>
      </c>
      <c r="H19" s="26"/>
      <c r="I19" t="s">
        <v>725</v>
      </c>
      <c r="J19" s="51">
        <v>3</v>
      </c>
      <c r="K19" s="51">
        <v>1.85</v>
      </c>
      <c r="L19" s="51">
        <v>1.85</v>
      </c>
      <c r="N19" s="26"/>
      <c r="O19" s="27" t="s">
        <v>700</v>
      </c>
      <c r="P19" s="27">
        <v>1</v>
      </c>
      <c r="Q19" s="27">
        <v>1</v>
      </c>
      <c r="S19" s="62"/>
      <c r="T19" s="64" t="s">
        <v>366</v>
      </c>
      <c r="U19" s="65">
        <v>2.5</v>
      </c>
      <c r="V19" s="65">
        <v>0.2</v>
      </c>
    </row>
    <row r="20" spans="2:22" x14ac:dyDescent="0.75">
      <c r="B20" s="26"/>
      <c r="C20" s="27" t="s">
        <v>701</v>
      </c>
      <c r="D20" s="51">
        <v>0.45</v>
      </c>
      <c r="E20" s="51">
        <v>2</v>
      </c>
      <c r="F20" s="51">
        <v>3</v>
      </c>
      <c r="H20" s="26"/>
      <c r="I20" t="s">
        <v>726</v>
      </c>
      <c r="J20" s="51">
        <v>3</v>
      </c>
      <c r="K20" s="51">
        <v>1.85</v>
      </c>
      <c r="L20" s="51">
        <v>1.85</v>
      </c>
      <c r="N20" s="26"/>
      <c r="O20" s="27" t="s">
        <v>701</v>
      </c>
      <c r="P20" s="27">
        <v>1</v>
      </c>
      <c r="Q20" s="27">
        <v>1</v>
      </c>
      <c r="S20" s="62"/>
      <c r="T20" s="64" t="s">
        <v>418</v>
      </c>
      <c r="U20" s="65">
        <v>1.25</v>
      </c>
      <c r="V20" s="65">
        <v>0.2</v>
      </c>
    </row>
    <row r="21" spans="2:22" x14ac:dyDescent="0.75">
      <c r="B21" s="26"/>
      <c r="C21" s="27" t="s">
        <v>702</v>
      </c>
      <c r="D21" s="51">
        <v>0.45</v>
      </c>
      <c r="E21" s="51">
        <v>2</v>
      </c>
      <c r="F21" s="51">
        <v>3</v>
      </c>
      <c r="G21" s="2"/>
      <c r="H21" s="36"/>
      <c r="I21" t="s">
        <v>727</v>
      </c>
      <c r="J21" s="51">
        <v>3</v>
      </c>
      <c r="K21" s="51">
        <v>1.85</v>
      </c>
      <c r="L21" s="51">
        <v>1.85</v>
      </c>
      <c r="N21" s="26"/>
      <c r="O21" s="27" t="s">
        <v>702</v>
      </c>
      <c r="P21" s="27">
        <v>1</v>
      </c>
      <c r="Q21" s="27">
        <v>1</v>
      </c>
      <c r="S21" s="62"/>
      <c r="T21" s="64" t="s">
        <v>419</v>
      </c>
      <c r="U21" s="65">
        <v>3.05</v>
      </c>
      <c r="V21" s="65">
        <v>0.2</v>
      </c>
    </row>
    <row r="22" spans="2:22" x14ac:dyDescent="0.75">
      <c r="B22" s="26"/>
      <c r="C22" s="27" t="s">
        <v>291</v>
      </c>
      <c r="D22" s="51">
        <v>0.45</v>
      </c>
      <c r="E22" s="51">
        <v>2</v>
      </c>
      <c r="F22" s="51">
        <v>3</v>
      </c>
      <c r="G22" s="2"/>
      <c r="H22" s="36"/>
      <c r="I22" t="s">
        <v>327</v>
      </c>
      <c r="J22" s="51">
        <v>3</v>
      </c>
      <c r="K22" s="51">
        <v>1.85</v>
      </c>
      <c r="L22" s="51">
        <v>1.85</v>
      </c>
      <c r="N22" s="26"/>
      <c r="O22" s="27" t="s">
        <v>291</v>
      </c>
      <c r="P22" s="27">
        <v>1</v>
      </c>
      <c r="Q22" s="27">
        <v>1</v>
      </c>
      <c r="S22" s="62"/>
      <c r="T22" s="64" t="s">
        <v>420</v>
      </c>
      <c r="U22" s="65">
        <v>5.2</v>
      </c>
      <c r="V22" s="65">
        <v>0.2</v>
      </c>
    </row>
    <row r="23" spans="2:22" x14ac:dyDescent="0.75">
      <c r="B23" s="26"/>
      <c r="C23" s="27" t="s">
        <v>554</v>
      </c>
      <c r="D23" s="51">
        <v>0.45</v>
      </c>
      <c r="E23" s="51">
        <v>2</v>
      </c>
      <c r="F23" s="51">
        <v>3</v>
      </c>
      <c r="G23" s="2"/>
      <c r="H23" s="36"/>
      <c r="I23" t="s">
        <v>502</v>
      </c>
      <c r="J23" s="51">
        <v>3</v>
      </c>
      <c r="K23" s="51">
        <v>2.4500000000000002</v>
      </c>
      <c r="L23" s="51">
        <v>2.4500000000000002</v>
      </c>
      <c r="N23" s="26"/>
      <c r="O23" s="27" t="s">
        <v>554</v>
      </c>
      <c r="P23" s="27">
        <v>1</v>
      </c>
      <c r="Q23" s="27">
        <v>1</v>
      </c>
      <c r="S23" s="62"/>
      <c r="T23" s="64" t="s">
        <v>421</v>
      </c>
      <c r="U23" s="65">
        <v>17.2</v>
      </c>
      <c r="V23" s="65">
        <v>0.2</v>
      </c>
    </row>
    <row r="24" spans="2:22" x14ac:dyDescent="0.75">
      <c r="B24" s="26"/>
      <c r="C24" s="27" t="s">
        <v>703</v>
      </c>
      <c r="D24" s="51">
        <v>0.45</v>
      </c>
      <c r="E24" s="51">
        <v>2</v>
      </c>
      <c r="F24" s="51">
        <v>3</v>
      </c>
      <c r="G24" s="2"/>
      <c r="H24" s="36"/>
      <c r="I24" t="s">
        <v>728</v>
      </c>
      <c r="J24" s="51">
        <v>3</v>
      </c>
      <c r="K24" s="51">
        <v>2.4500000000000002</v>
      </c>
      <c r="L24" s="51">
        <v>2.4500000000000002</v>
      </c>
      <c r="N24" s="26"/>
      <c r="O24" s="27" t="s">
        <v>703</v>
      </c>
      <c r="P24" s="27">
        <v>1</v>
      </c>
      <c r="Q24" s="27">
        <v>1</v>
      </c>
      <c r="S24" s="62"/>
      <c r="T24" s="64" t="s">
        <v>422</v>
      </c>
      <c r="U24" s="65">
        <v>0.9</v>
      </c>
      <c r="V24" s="65">
        <v>0.2</v>
      </c>
    </row>
    <row r="25" spans="2:22" x14ac:dyDescent="0.75">
      <c r="B25" s="26"/>
      <c r="C25" s="27" t="s">
        <v>287</v>
      </c>
      <c r="D25" s="51">
        <v>0.45</v>
      </c>
      <c r="E25" s="51">
        <v>2</v>
      </c>
      <c r="F25" s="51">
        <v>3</v>
      </c>
      <c r="G25" s="2"/>
      <c r="H25" s="36"/>
      <c r="I25" t="s">
        <v>323</v>
      </c>
      <c r="J25" s="51">
        <v>3</v>
      </c>
      <c r="K25" s="51">
        <v>3.25</v>
      </c>
      <c r="L25" s="51">
        <v>3.25</v>
      </c>
      <c r="N25" s="26"/>
      <c r="O25" s="27" t="s">
        <v>287</v>
      </c>
      <c r="P25" s="27">
        <v>1</v>
      </c>
      <c r="Q25" s="27">
        <v>1</v>
      </c>
      <c r="S25" s="62"/>
      <c r="T25" s="64" t="s">
        <v>423</v>
      </c>
      <c r="U25" s="65">
        <v>3.85</v>
      </c>
      <c r="V25" s="65">
        <v>1.1200000000000001</v>
      </c>
    </row>
    <row r="26" spans="2:22" x14ac:dyDescent="0.75">
      <c r="B26" s="26"/>
      <c r="C26" s="27" t="s">
        <v>292</v>
      </c>
      <c r="D26" s="51">
        <v>0.45</v>
      </c>
      <c r="E26" s="51">
        <v>2</v>
      </c>
      <c r="F26" s="51">
        <v>3</v>
      </c>
      <c r="G26" s="2"/>
      <c r="H26" s="36"/>
      <c r="I26" t="s">
        <v>328</v>
      </c>
      <c r="J26" s="51">
        <v>3</v>
      </c>
      <c r="K26" s="51">
        <v>3.25</v>
      </c>
      <c r="L26" s="51">
        <v>3.25</v>
      </c>
      <c r="N26" s="26"/>
      <c r="O26" s="27" t="s">
        <v>292</v>
      </c>
      <c r="P26" s="27">
        <v>1</v>
      </c>
      <c r="Q26" s="27">
        <v>1</v>
      </c>
      <c r="S26" s="62"/>
      <c r="T26" s="64" t="s">
        <v>424</v>
      </c>
      <c r="U26" s="65">
        <v>4.4000000000000004</v>
      </c>
      <c r="V26" s="65">
        <v>1.1200000000000001</v>
      </c>
    </row>
    <row r="27" spans="2:22" x14ac:dyDescent="0.75">
      <c r="B27" s="26"/>
      <c r="C27" s="27" t="s">
        <v>468</v>
      </c>
      <c r="D27" s="51">
        <v>0.45</v>
      </c>
      <c r="E27" s="51">
        <v>2</v>
      </c>
      <c r="F27" s="51">
        <v>3</v>
      </c>
      <c r="G27" s="2"/>
      <c r="H27" s="36"/>
      <c r="I27" t="s">
        <v>507</v>
      </c>
      <c r="J27" s="51">
        <v>3</v>
      </c>
      <c r="K27" s="51">
        <v>3.25</v>
      </c>
      <c r="L27" s="51">
        <v>3.25</v>
      </c>
      <c r="N27" s="26"/>
      <c r="O27" s="27" t="s">
        <v>468</v>
      </c>
      <c r="P27" s="27">
        <v>1</v>
      </c>
      <c r="Q27" s="27">
        <v>1</v>
      </c>
      <c r="S27" s="62"/>
      <c r="T27" s="64" t="s">
        <v>425</v>
      </c>
      <c r="U27" s="65">
        <v>3.3</v>
      </c>
      <c r="V27" s="65">
        <v>1.1200000000000001</v>
      </c>
    </row>
    <row r="28" spans="2:22" x14ac:dyDescent="0.75">
      <c r="B28" s="26"/>
      <c r="C28" s="27" t="s">
        <v>354</v>
      </c>
      <c r="D28" s="51">
        <v>0.45</v>
      </c>
      <c r="E28" s="51">
        <v>2</v>
      </c>
      <c r="F28" s="51">
        <v>3</v>
      </c>
      <c r="G28" s="2"/>
      <c r="H28" s="36"/>
      <c r="I28" t="s">
        <v>326</v>
      </c>
      <c r="J28" s="51">
        <v>3</v>
      </c>
      <c r="K28" s="51">
        <v>3.25</v>
      </c>
      <c r="L28" s="51">
        <v>3.25</v>
      </c>
      <c r="N28" s="26"/>
      <c r="O28" s="27" t="s">
        <v>354</v>
      </c>
      <c r="P28" s="27">
        <v>1</v>
      </c>
      <c r="Q28" s="27">
        <v>1</v>
      </c>
      <c r="S28" s="62"/>
      <c r="T28" s="64" t="s">
        <v>426</v>
      </c>
      <c r="U28" s="65">
        <v>3.65</v>
      </c>
      <c r="V28" s="65">
        <v>1.1200000000000001</v>
      </c>
    </row>
    <row r="29" spans="2:22" x14ac:dyDescent="0.75">
      <c r="B29" s="26"/>
      <c r="C29" s="27" t="s">
        <v>290</v>
      </c>
      <c r="D29" s="51">
        <v>0.45</v>
      </c>
      <c r="E29" s="51">
        <v>2</v>
      </c>
      <c r="F29" s="51">
        <v>3</v>
      </c>
      <c r="G29" s="2"/>
      <c r="H29" s="36"/>
      <c r="I29" t="s">
        <v>325</v>
      </c>
      <c r="J29" s="51">
        <v>3</v>
      </c>
      <c r="K29" s="51">
        <v>2.7</v>
      </c>
      <c r="L29" s="51">
        <v>2.7</v>
      </c>
      <c r="N29" s="26"/>
      <c r="O29" s="27" t="s">
        <v>290</v>
      </c>
      <c r="P29" s="27">
        <v>1</v>
      </c>
      <c r="Q29" s="27">
        <v>1</v>
      </c>
      <c r="S29" s="62"/>
      <c r="T29" s="64" t="s">
        <v>427</v>
      </c>
      <c r="U29" s="65">
        <v>2.6</v>
      </c>
      <c r="V29" s="65">
        <v>1.1200000000000001</v>
      </c>
    </row>
    <row r="30" spans="2:22" x14ac:dyDescent="0.75">
      <c r="B30" s="26"/>
      <c r="C30" s="27" t="s">
        <v>704</v>
      </c>
      <c r="D30" s="51">
        <v>0.45</v>
      </c>
      <c r="E30" s="51">
        <v>2</v>
      </c>
      <c r="F30" s="51">
        <v>3</v>
      </c>
      <c r="G30" s="2"/>
      <c r="H30" s="36"/>
      <c r="I30" t="s">
        <v>729</v>
      </c>
      <c r="J30" s="51">
        <v>3</v>
      </c>
      <c r="K30" s="51">
        <v>0.5</v>
      </c>
      <c r="L30" s="51">
        <v>0.5</v>
      </c>
      <c r="N30" s="26"/>
      <c r="O30" s="27" t="s">
        <v>704</v>
      </c>
      <c r="P30" s="27">
        <v>1</v>
      </c>
      <c r="Q30" s="27">
        <v>1</v>
      </c>
      <c r="S30" s="62"/>
      <c r="T30" s="64" t="s">
        <v>428</v>
      </c>
      <c r="U30" s="65">
        <v>2.7</v>
      </c>
      <c r="V30" s="65">
        <v>1.1200000000000001</v>
      </c>
    </row>
    <row r="31" spans="2:22" x14ac:dyDescent="0.75">
      <c r="B31" s="26"/>
      <c r="C31" s="27" t="s">
        <v>293</v>
      </c>
      <c r="D31" s="51">
        <v>0.45</v>
      </c>
      <c r="E31" s="51">
        <v>2</v>
      </c>
      <c r="F31" s="51">
        <v>3</v>
      </c>
      <c r="G31" s="2"/>
      <c r="H31" s="36"/>
      <c r="I31" t="s">
        <v>329</v>
      </c>
      <c r="J31" s="51">
        <v>3</v>
      </c>
      <c r="K31" s="51">
        <v>3.25</v>
      </c>
      <c r="L31" s="51">
        <v>3.25</v>
      </c>
      <c r="N31" s="26"/>
      <c r="O31" s="27" t="s">
        <v>293</v>
      </c>
      <c r="P31" s="27">
        <v>1</v>
      </c>
      <c r="Q31" s="27">
        <v>1</v>
      </c>
      <c r="S31" s="62"/>
      <c r="T31" s="64" t="s">
        <v>429</v>
      </c>
      <c r="U31" s="65">
        <v>2</v>
      </c>
      <c r="V31" s="65">
        <v>1.1200000000000001</v>
      </c>
    </row>
    <row r="32" spans="2:22" x14ac:dyDescent="0.75">
      <c r="B32" s="26"/>
      <c r="C32" s="27" t="s">
        <v>294</v>
      </c>
      <c r="D32" s="51">
        <v>0.45</v>
      </c>
      <c r="E32" s="51">
        <v>2</v>
      </c>
      <c r="F32" s="51">
        <v>3</v>
      </c>
      <c r="G32" s="2"/>
      <c r="H32" s="36"/>
      <c r="I32" t="s">
        <v>330</v>
      </c>
      <c r="J32" s="51">
        <v>3</v>
      </c>
      <c r="K32" s="51">
        <v>2</v>
      </c>
      <c r="L32" s="51">
        <v>2</v>
      </c>
      <c r="N32" s="26"/>
      <c r="O32" s="27" t="s">
        <v>294</v>
      </c>
      <c r="P32" s="27">
        <v>1</v>
      </c>
      <c r="Q32" s="27">
        <v>1</v>
      </c>
      <c r="S32" s="62"/>
      <c r="T32" s="64" t="s">
        <v>430</v>
      </c>
      <c r="U32" s="65">
        <v>1.1499999999999999</v>
      </c>
      <c r="V32" s="65">
        <v>1.1200000000000001</v>
      </c>
    </row>
    <row r="33" spans="2:22" x14ac:dyDescent="0.75">
      <c r="B33" s="26"/>
      <c r="C33" s="27" t="s">
        <v>471</v>
      </c>
      <c r="D33" s="51">
        <v>0.45</v>
      </c>
      <c r="E33" s="51">
        <v>2</v>
      </c>
      <c r="F33" s="51">
        <v>3</v>
      </c>
      <c r="G33" s="2"/>
      <c r="H33" s="36"/>
      <c r="I33" t="s">
        <v>512</v>
      </c>
      <c r="J33" s="51">
        <v>3</v>
      </c>
      <c r="K33" s="51">
        <v>2</v>
      </c>
      <c r="L33" s="51">
        <v>2</v>
      </c>
      <c r="N33" s="26"/>
      <c r="O33" s="27" t="s">
        <v>471</v>
      </c>
      <c r="P33" s="27">
        <v>1</v>
      </c>
      <c r="Q33" s="27">
        <v>1</v>
      </c>
      <c r="S33" s="62"/>
      <c r="T33" s="64" t="s">
        <v>431</v>
      </c>
      <c r="U33" s="65">
        <v>3.75</v>
      </c>
      <c r="V33" s="65">
        <v>1.26</v>
      </c>
    </row>
    <row r="34" spans="2:22" x14ac:dyDescent="0.75">
      <c r="B34" s="26"/>
      <c r="C34" s="27" t="s">
        <v>295</v>
      </c>
      <c r="D34" s="51">
        <v>0.45</v>
      </c>
      <c r="E34" s="51">
        <v>2</v>
      </c>
      <c r="F34" s="51">
        <v>3</v>
      </c>
      <c r="G34" s="2"/>
      <c r="H34" s="36"/>
      <c r="I34" t="s">
        <v>331</v>
      </c>
      <c r="J34" s="51">
        <v>3</v>
      </c>
      <c r="K34" s="51">
        <v>1.3</v>
      </c>
      <c r="L34" s="51">
        <v>1.3</v>
      </c>
      <c r="N34" s="26"/>
      <c r="O34" s="27" t="s">
        <v>295</v>
      </c>
      <c r="P34" s="27">
        <v>1</v>
      </c>
      <c r="Q34" s="27">
        <v>1</v>
      </c>
      <c r="S34" s="62"/>
      <c r="T34" s="64" t="s">
        <v>432</v>
      </c>
      <c r="U34" s="65">
        <v>3.7</v>
      </c>
      <c r="V34" s="65">
        <v>1.26</v>
      </c>
    </row>
    <row r="35" spans="2:22" x14ac:dyDescent="0.75">
      <c r="B35" s="26"/>
      <c r="C35" s="27" t="s">
        <v>296</v>
      </c>
      <c r="D35" s="51">
        <v>0.45</v>
      </c>
      <c r="E35" s="51">
        <v>2</v>
      </c>
      <c r="F35" s="51">
        <v>3</v>
      </c>
      <c r="G35" s="2"/>
      <c r="H35" s="36"/>
      <c r="I35" t="s">
        <v>332</v>
      </c>
      <c r="J35" s="51">
        <v>3</v>
      </c>
      <c r="K35" s="51">
        <v>1.3</v>
      </c>
      <c r="L35" s="51">
        <v>1.3</v>
      </c>
      <c r="N35" s="26"/>
      <c r="O35" s="27" t="s">
        <v>296</v>
      </c>
      <c r="P35" s="27">
        <v>1</v>
      </c>
      <c r="Q35" s="27">
        <v>1</v>
      </c>
      <c r="S35" s="62"/>
      <c r="T35" s="64" t="s">
        <v>433</v>
      </c>
      <c r="U35" s="65">
        <v>4.05</v>
      </c>
      <c r="V35" s="65">
        <v>1.26</v>
      </c>
    </row>
    <row r="36" spans="2:22" x14ac:dyDescent="0.75">
      <c r="B36" s="26"/>
      <c r="C36" s="27" t="s">
        <v>469</v>
      </c>
      <c r="D36" s="51">
        <v>0.45</v>
      </c>
      <c r="E36" s="51">
        <v>2</v>
      </c>
      <c r="F36" s="51">
        <v>3</v>
      </c>
      <c r="G36" s="2"/>
      <c r="H36" s="36"/>
      <c r="I36" t="s">
        <v>510</v>
      </c>
      <c r="J36" s="51">
        <v>3</v>
      </c>
      <c r="K36" s="51">
        <v>3.65</v>
      </c>
      <c r="L36" s="51">
        <v>3.65</v>
      </c>
      <c r="N36" s="26"/>
      <c r="O36" s="27" t="s">
        <v>469</v>
      </c>
      <c r="P36" s="27">
        <v>1</v>
      </c>
      <c r="Q36" s="27">
        <v>1</v>
      </c>
      <c r="S36" s="62"/>
      <c r="T36" s="64" t="s">
        <v>434</v>
      </c>
      <c r="U36" s="65">
        <v>3.4</v>
      </c>
      <c r="V36" s="65">
        <v>1.26</v>
      </c>
    </row>
    <row r="37" spans="2:22" x14ac:dyDescent="0.75">
      <c r="B37" s="26"/>
      <c r="C37" s="27" t="s">
        <v>470</v>
      </c>
      <c r="D37" s="51">
        <v>0.45</v>
      </c>
      <c r="E37" s="51">
        <v>2</v>
      </c>
      <c r="F37" s="51">
        <v>3</v>
      </c>
      <c r="G37" s="2"/>
      <c r="H37" s="36"/>
      <c r="I37" t="s">
        <v>511</v>
      </c>
      <c r="J37" s="51">
        <v>3</v>
      </c>
      <c r="K37" s="51">
        <v>1.3</v>
      </c>
      <c r="L37" s="51">
        <v>1.3</v>
      </c>
      <c r="N37" s="26"/>
      <c r="O37" s="27" t="s">
        <v>470</v>
      </c>
      <c r="P37" s="27">
        <v>1</v>
      </c>
      <c r="Q37" s="27">
        <v>1</v>
      </c>
      <c r="S37" s="62"/>
      <c r="T37" s="64" t="s">
        <v>435</v>
      </c>
      <c r="U37" s="65">
        <v>2.95</v>
      </c>
      <c r="V37" s="65">
        <v>1.26</v>
      </c>
    </row>
    <row r="38" spans="2:22" x14ac:dyDescent="0.75">
      <c r="B38" s="26"/>
      <c r="C38" s="27" t="s">
        <v>297</v>
      </c>
      <c r="D38" s="51">
        <v>0.45</v>
      </c>
      <c r="E38" s="51">
        <v>2</v>
      </c>
      <c r="F38" s="51">
        <v>3</v>
      </c>
      <c r="G38" s="2"/>
      <c r="H38" s="36"/>
      <c r="I38" t="s">
        <v>333</v>
      </c>
      <c r="J38" s="51">
        <v>3</v>
      </c>
      <c r="K38" s="51">
        <v>2.5</v>
      </c>
      <c r="L38" s="51">
        <v>2.5</v>
      </c>
      <c r="N38" s="26"/>
      <c r="O38" s="27" t="s">
        <v>297</v>
      </c>
      <c r="P38" s="27">
        <v>1</v>
      </c>
      <c r="Q38" s="27">
        <v>1</v>
      </c>
      <c r="S38" s="62"/>
      <c r="T38" s="64" t="s">
        <v>436</v>
      </c>
      <c r="U38" s="65">
        <v>2.1</v>
      </c>
      <c r="V38" s="65">
        <v>1.26</v>
      </c>
    </row>
    <row r="39" spans="2:22" x14ac:dyDescent="0.75">
      <c r="B39" s="26"/>
      <c r="C39" s="27" t="s">
        <v>298</v>
      </c>
      <c r="D39" s="51">
        <v>0.45</v>
      </c>
      <c r="E39" s="51">
        <v>2</v>
      </c>
      <c r="F39" s="51">
        <v>3</v>
      </c>
      <c r="G39" s="2"/>
      <c r="H39" s="36"/>
      <c r="I39" t="s">
        <v>334</v>
      </c>
      <c r="J39" s="51">
        <v>3</v>
      </c>
      <c r="K39" s="51">
        <v>1.25</v>
      </c>
      <c r="L39" s="51">
        <v>1.25</v>
      </c>
      <c r="N39" s="26"/>
      <c r="O39" s="27" t="s">
        <v>298</v>
      </c>
      <c r="P39" s="27">
        <v>1</v>
      </c>
      <c r="Q39" s="27">
        <v>1</v>
      </c>
      <c r="S39" s="62"/>
      <c r="T39" s="64" t="s">
        <v>437</v>
      </c>
      <c r="U39" s="65">
        <v>3.3</v>
      </c>
      <c r="V39" s="65">
        <v>1.26</v>
      </c>
    </row>
    <row r="40" spans="2:22" x14ac:dyDescent="0.75">
      <c r="B40" s="26"/>
      <c r="C40" s="27" t="s">
        <v>475</v>
      </c>
      <c r="D40" s="51">
        <v>0.2</v>
      </c>
      <c r="E40" s="51">
        <v>2</v>
      </c>
      <c r="F40" s="51">
        <v>3</v>
      </c>
      <c r="G40" s="2"/>
      <c r="H40" s="36"/>
      <c r="I40" t="s">
        <v>516</v>
      </c>
      <c r="J40" s="51">
        <v>3</v>
      </c>
      <c r="K40" s="51">
        <v>0.5</v>
      </c>
      <c r="L40" s="51">
        <v>0.5</v>
      </c>
      <c r="N40" s="26"/>
      <c r="O40" s="27" t="s">
        <v>475</v>
      </c>
      <c r="P40" s="27">
        <v>1</v>
      </c>
      <c r="Q40" s="27">
        <v>1</v>
      </c>
      <c r="S40" s="62"/>
      <c r="T40" s="64" t="s">
        <v>438</v>
      </c>
      <c r="U40" s="65">
        <v>2.9</v>
      </c>
      <c r="V40" s="65">
        <v>1.26</v>
      </c>
    </row>
    <row r="41" spans="2:22" x14ac:dyDescent="0.75">
      <c r="B41" s="26"/>
      <c r="C41" s="27" t="s">
        <v>476</v>
      </c>
      <c r="D41" s="51">
        <v>0.2</v>
      </c>
      <c r="E41" s="51">
        <v>2</v>
      </c>
      <c r="F41" s="51">
        <v>3</v>
      </c>
      <c r="G41" s="2"/>
      <c r="H41" s="36"/>
      <c r="I41" t="s">
        <v>517</v>
      </c>
      <c r="J41" s="51">
        <v>3</v>
      </c>
      <c r="K41" s="51">
        <v>0.5</v>
      </c>
      <c r="L41" s="51">
        <v>0.5</v>
      </c>
      <c r="N41" s="26"/>
      <c r="O41" s="27" t="s">
        <v>476</v>
      </c>
      <c r="P41" s="27">
        <v>1</v>
      </c>
      <c r="Q41" s="27">
        <v>1</v>
      </c>
      <c r="S41" s="62"/>
      <c r="T41" s="64" t="s">
        <v>439</v>
      </c>
      <c r="U41" s="65">
        <v>2.95</v>
      </c>
      <c r="V41" s="65">
        <v>1.26</v>
      </c>
    </row>
    <row r="42" spans="2:22" x14ac:dyDescent="0.75">
      <c r="B42" s="26"/>
      <c r="C42" s="27" t="s">
        <v>477</v>
      </c>
      <c r="D42" s="51">
        <v>2</v>
      </c>
      <c r="E42" s="51">
        <v>2</v>
      </c>
      <c r="F42" s="51">
        <v>3</v>
      </c>
      <c r="G42" s="2"/>
      <c r="H42" s="36"/>
      <c r="I42" t="s">
        <v>518</v>
      </c>
      <c r="J42" s="51">
        <v>3</v>
      </c>
      <c r="K42" s="51">
        <v>3.85</v>
      </c>
      <c r="L42" s="51">
        <v>3.85</v>
      </c>
      <c r="N42" s="26"/>
      <c r="O42" s="27" t="s">
        <v>477</v>
      </c>
      <c r="P42" s="27">
        <v>1</v>
      </c>
      <c r="Q42" s="27">
        <v>1</v>
      </c>
      <c r="S42" s="62"/>
      <c r="T42" s="64" t="s">
        <v>440</v>
      </c>
      <c r="U42" s="65">
        <v>4.2</v>
      </c>
      <c r="V42" s="65">
        <v>1.26</v>
      </c>
    </row>
    <row r="43" spans="2:22" x14ac:dyDescent="0.75">
      <c r="B43" s="26"/>
      <c r="C43" s="27" t="s">
        <v>478</v>
      </c>
      <c r="D43" s="51">
        <v>2</v>
      </c>
      <c r="E43" s="51">
        <v>2</v>
      </c>
      <c r="F43" s="51">
        <v>3</v>
      </c>
      <c r="G43" s="2"/>
      <c r="H43" s="36"/>
      <c r="I43" t="s">
        <v>519</v>
      </c>
      <c r="J43" s="51">
        <v>3</v>
      </c>
      <c r="K43" s="51">
        <v>3.3</v>
      </c>
      <c r="L43" s="51">
        <v>3.3</v>
      </c>
      <c r="N43" s="26"/>
      <c r="O43" s="27" t="s">
        <v>478</v>
      </c>
      <c r="P43" s="27">
        <v>1</v>
      </c>
      <c r="Q43" s="27">
        <v>1</v>
      </c>
      <c r="S43" s="62"/>
      <c r="T43" s="64" t="s">
        <v>441</v>
      </c>
      <c r="U43" s="65">
        <v>3.75</v>
      </c>
      <c r="V43" s="65">
        <v>1.26</v>
      </c>
    </row>
    <row r="44" spans="2:22" x14ac:dyDescent="0.75">
      <c r="B44" s="26"/>
      <c r="C44" s="27" t="s">
        <v>479</v>
      </c>
      <c r="D44" s="51">
        <v>2</v>
      </c>
      <c r="E44" s="51">
        <v>2</v>
      </c>
      <c r="F44" s="51">
        <v>3</v>
      </c>
      <c r="G44" s="2"/>
      <c r="H44" s="36"/>
      <c r="I44" t="s">
        <v>520</v>
      </c>
      <c r="J44" s="51">
        <v>3</v>
      </c>
      <c r="K44" s="51">
        <v>3.3</v>
      </c>
      <c r="L44" s="51">
        <v>3.3</v>
      </c>
      <c r="N44" s="26"/>
      <c r="O44" s="27" t="s">
        <v>479</v>
      </c>
      <c r="P44" s="27">
        <v>1</v>
      </c>
      <c r="Q44" s="27">
        <v>1</v>
      </c>
      <c r="S44" s="62"/>
      <c r="T44" s="64" t="s">
        <v>442</v>
      </c>
      <c r="U44" s="65">
        <v>2.8</v>
      </c>
      <c r="V44" s="65">
        <v>1.26</v>
      </c>
    </row>
    <row r="45" spans="2:22" x14ac:dyDescent="0.75">
      <c r="B45" s="26"/>
      <c r="C45" s="27" t="s">
        <v>480</v>
      </c>
      <c r="D45" s="51">
        <v>2</v>
      </c>
      <c r="E45" s="51">
        <v>2</v>
      </c>
      <c r="F45" s="51">
        <v>3</v>
      </c>
      <c r="G45" s="2"/>
      <c r="H45" s="36"/>
      <c r="I45" t="s">
        <v>521</v>
      </c>
      <c r="J45" s="51">
        <v>3</v>
      </c>
      <c r="K45" s="51">
        <v>0.5</v>
      </c>
      <c r="L45" s="51">
        <v>0.5</v>
      </c>
      <c r="N45" s="26"/>
      <c r="O45" s="27" t="s">
        <v>480</v>
      </c>
      <c r="P45" s="27">
        <v>1</v>
      </c>
      <c r="Q45" s="27">
        <v>1</v>
      </c>
      <c r="S45" s="62"/>
      <c r="T45" s="64" t="s">
        <v>443</v>
      </c>
      <c r="U45" s="65">
        <v>4.3</v>
      </c>
      <c r="V45" s="65">
        <v>1.26</v>
      </c>
    </row>
    <row r="46" spans="2:22" x14ac:dyDescent="0.75">
      <c r="B46" s="26"/>
      <c r="C46" s="27" t="s">
        <v>481</v>
      </c>
      <c r="D46" s="51">
        <v>2</v>
      </c>
      <c r="E46" s="51">
        <v>2</v>
      </c>
      <c r="F46" s="51">
        <v>3</v>
      </c>
      <c r="G46" s="2"/>
      <c r="H46" s="36"/>
      <c r="I46" t="s">
        <v>522</v>
      </c>
      <c r="J46" s="51">
        <v>3</v>
      </c>
      <c r="K46" s="51">
        <v>3.65</v>
      </c>
      <c r="L46" s="51">
        <v>3.65</v>
      </c>
      <c r="N46" s="26"/>
      <c r="O46" s="27" t="s">
        <v>481</v>
      </c>
      <c r="P46" s="27">
        <v>1</v>
      </c>
      <c r="Q46" s="27">
        <v>1</v>
      </c>
      <c r="S46" s="62"/>
      <c r="T46" s="64" t="s">
        <v>444</v>
      </c>
      <c r="U46" s="65">
        <v>4.4000000000000004</v>
      </c>
      <c r="V46" s="65">
        <v>1.26</v>
      </c>
    </row>
    <row r="47" spans="2:22" x14ac:dyDescent="0.75">
      <c r="B47" s="26"/>
      <c r="C47" s="27" t="s">
        <v>486</v>
      </c>
      <c r="D47" s="51">
        <v>2</v>
      </c>
      <c r="E47" s="51">
        <v>2</v>
      </c>
      <c r="F47" s="51">
        <v>3</v>
      </c>
      <c r="G47" s="2"/>
      <c r="H47" s="36"/>
      <c r="I47" t="s">
        <v>527</v>
      </c>
      <c r="J47" s="51">
        <v>3</v>
      </c>
      <c r="K47" s="51">
        <v>2.6</v>
      </c>
      <c r="L47" s="51">
        <v>2.6</v>
      </c>
      <c r="N47" s="26"/>
      <c r="O47" s="27" t="s">
        <v>486</v>
      </c>
      <c r="P47" s="27">
        <v>1</v>
      </c>
      <c r="Q47" s="27">
        <v>1</v>
      </c>
      <c r="S47" s="62"/>
      <c r="T47" s="64" t="s">
        <v>445</v>
      </c>
      <c r="U47" s="65">
        <v>4.05</v>
      </c>
      <c r="V47" s="65">
        <v>1.26</v>
      </c>
    </row>
    <row r="48" spans="2:22" x14ac:dyDescent="0.75">
      <c r="B48" s="26"/>
      <c r="C48" s="27" t="s">
        <v>705</v>
      </c>
      <c r="D48" s="51">
        <v>2</v>
      </c>
      <c r="E48" s="51">
        <v>2</v>
      </c>
      <c r="F48" s="51">
        <v>3</v>
      </c>
      <c r="G48" s="2"/>
      <c r="H48" s="36"/>
      <c r="I48" t="s">
        <v>730</v>
      </c>
      <c r="J48" s="51">
        <v>3</v>
      </c>
      <c r="K48" s="51">
        <v>2</v>
      </c>
      <c r="L48" s="51">
        <v>2</v>
      </c>
      <c r="N48" s="26"/>
      <c r="O48" s="27" t="s">
        <v>705</v>
      </c>
      <c r="P48" s="27">
        <v>1</v>
      </c>
      <c r="Q48" s="27">
        <v>1</v>
      </c>
      <c r="S48" s="62"/>
      <c r="T48" s="64" t="s">
        <v>446</v>
      </c>
      <c r="U48" s="65">
        <v>3.75</v>
      </c>
      <c r="V48" s="65">
        <v>1.26</v>
      </c>
    </row>
    <row r="49" spans="2:22" x14ac:dyDescent="0.75">
      <c r="B49" s="26"/>
      <c r="C49" s="27" t="s">
        <v>490</v>
      </c>
      <c r="D49" s="51">
        <v>2</v>
      </c>
      <c r="E49" s="51">
        <v>2</v>
      </c>
      <c r="F49" s="51">
        <v>3</v>
      </c>
      <c r="G49" s="2"/>
      <c r="H49" s="36"/>
      <c r="I49" t="s">
        <v>531</v>
      </c>
      <c r="J49" s="51">
        <v>3</v>
      </c>
      <c r="K49" s="51">
        <v>2</v>
      </c>
      <c r="L49" s="51">
        <v>2</v>
      </c>
      <c r="N49" s="26"/>
      <c r="O49" s="27" t="s">
        <v>490</v>
      </c>
      <c r="P49" s="27">
        <v>1</v>
      </c>
      <c r="Q49" s="27">
        <v>1</v>
      </c>
      <c r="S49" s="62"/>
      <c r="T49" s="64" t="s">
        <v>447</v>
      </c>
      <c r="U49" s="65">
        <v>2.8</v>
      </c>
      <c r="V49" s="65">
        <v>1.26</v>
      </c>
    </row>
    <row r="50" spans="2:22" x14ac:dyDescent="0.75">
      <c r="B50" s="26"/>
      <c r="C50" s="27" t="s">
        <v>299</v>
      </c>
      <c r="D50" s="51">
        <v>2</v>
      </c>
      <c r="E50" s="51">
        <v>2</v>
      </c>
      <c r="F50" s="51">
        <v>3</v>
      </c>
      <c r="G50" s="2"/>
      <c r="H50" s="36"/>
      <c r="I50" t="s">
        <v>61</v>
      </c>
      <c r="J50" s="51">
        <v>3</v>
      </c>
      <c r="K50" s="51">
        <v>0.5</v>
      </c>
      <c r="L50" s="51">
        <v>0.5</v>
      </c>
      <c r="N50" s="26"/>
      <c r="O50" s="27" t="s">
        <v>299</v>
      </c>
      <c r="P50" s="27">
        <v>1</v>
      </c>
      <c r="Q50" s="27">
        <v>1</v>
      </c>
      <c r="S50" s="62"/>
      <c r="T50" s="64" t="s">
        <v>448</v>
      </c>
      <c r="U50" s="65">
        <v>2.8</v>
      </c>
      <c r="V50" s="65">
        <v>1.26</v>
      </c>
    </row>
    <row r="51" spans="2:22" x14ac:dyDescent="0.75">
      <c r="B51" s="26"/>
      <c r="C51" s="27" t="s">
        <v>300</v>
      </c>
      <c r="D51" s="51">
        <v>2</v>
      </c>
      <c r="E51" s="51">
        <v>2</v>
      </c>
      <c r="F51" s="51">
        <v>3</v>
      </c>
      <c r="G51" s="2"/>
      <c r="H51" s="36"/>
      <c r="I51" t="s">
        <v>335</v>
      </c>
      <c r="J51" s="51">
        <v>3</v>
      </c>
      <c r="K51" s="51">
        <v>1.1499999999999999</v>
      </c>
      <c r="L51" s="51">
        <v>1.1499999999999999</v>
      </c>
      <c r="N51" s="26"/>
      <c r="O51" s="27" t="s">
        <v>300</v>
      </c>
      <c r="P51" s="27">
        <v>1</v>
      </c>
      <c r="Q51" s="27">
        <v>1</v>
      </c>
      <c r="S51" s="62"/>
      <c r="T51" s="64" t="s">
        <v>449</v>
      </c>
      <c r="U51" s="65">
        <v>2.8</v>
      </c>
      <c r="V51" s="65">
        <v>1.26</v>
      </c>
    </row>
    <row r="52" spans="2:22" x14ac:dyDescent="0.75">
      <c r="B52" s="26"/>
      <c r="C52" s="27" t="s">
        <v>491</v>
      </c>
      <c r="D52" s="51">
        <v>2</v>
      </c>
      <c r="E52" s="51">
        <v>2</v>
      </c>
      <c r="F52" s="51">
        <v>3</v>
      </c>
      <c r="G52" s="2"/>
      <c r="H52" s="36"/>
      <c r="I52" t="s">
        <v>532</v>
      </c>
      <c r="J52" s="51">
        <v>3</v>
      </c>
      <c r="K52" s="51">
        <v>1.1499999999999999</v>
      </c>
      <c r="L52" s="51">
        <v>1.1499999999999999</v>
      </c>
      <c r="N52" s="26"/>
      <c r="O52" s="27" t="s">
        <v>491</v>
      </c>
      <c r="P52" s="27">
        <v>1</v>
      </c>
      <c r="Q52" s="27">
        <v>1</v>
      </c>
      <c r="S52" s="62"/>
      <c r="T52" s="64" t="s">
        <v>371</v>
      </c>
      <c r="U52" s="65">
        <v>1.9</v>
      </c>
      <c r="V52" s="65">
        <v>1.68</v>
      </c>
    </row>
    <row r="53" spans="2:22" x14ac:dyDescent="0.75">
      <c r="B53" s="26"/>
      <c r="C53" s="27" t="s">
        <v>301</v>
      </c>
      <c r="D53" s="51">
        <v>2</v>
      </c>
      <c r="E53" s="51">
        <v>2</v>
      </c>
      <c r="F53" s="51">
        <v>3</v>
      </c>
      <c r="G53" s="2"/>
      <c r="H53" s="36"/>
      <c r="I53" t="s">
        <v>336</v>
      </c>
      <c r="J53" s="51">
        <v>3</v>
      </c>
      <c r="K53" s="51">
        <v>0.5</v>
      </c>
      <c r="L53" s="51">
        <v>0.5</v>
      </c>
      <c r="N53" s="26"/>
      <c r="O53" s="27" t="s">
        <v>301</v>
      </c>
      <c r="P53" s="27">
        <v>1</v>
      </c>
      <c r="Q53" s="27">
        <v>1</v>
      </c>
      <c r="S53" s="62"/>
      <c r="T53" s="64" t="s">
        <v>450</v>
      </c>
      <c r="U53" s="65">
        <v>1.9</v>
      </c>
      <c r="V53" s="65">
        <v>1.68</v>
      </c>
    </row>
    <row r="54" spans="2:22" x14ac:dyDescent="0.75">
      <c r="B54" s="26"/>
      <c r="C54" s="27" t="s">
        <v>302</v>
      </c>
      <c r="D54" s="51">
        <v>2</v>
      </c>
      <c r="E54" s="51">
        <v>2</v>
      </c>
      <c r="F54" s="51">
        <v>3</v>
      </c>
      <c r="G54" s="2"/>
      <c r="H54" s="36"/>
      <c r="I54" t="s">
        <v>337</v>
      </c>
      <c r="J54" s="51">
        <v>3</v>
      </c>
      <c r="K54" s="51">
        <v>3.4</v>
      </c>
      <c r="L54" s="51">
        <v>3.4</v>
      </c>
      <c r="N54" s="26"/>
      <c r="O54" s="27" t="s">
        <v>302</v>
      </c>
      <c r="P54" s="27">
        <v>1</v>
      </c>
      <c r="Q54" s="27">
        <v>1</v>
      </c>
      <c r="S54" s="62"/>
      <c r="T54" s="49" t="s">
        <v>451</v>
      </c>
      <c r="U54" s="66">
        <v>1.9</v>
      </c>
      <c r="V54" s="66">
        <v>1.68</v>
      </c>
    </row>
    <row r="55" spans="2:22" x14ac:dyDescent="0.75">
      <c r="B55" s="26"/>
      <c r="C55" s="27" t="s">
        <v>706</v>
      </c>
      <c r="D55" s="51">
        <v>2</v>
      </c>
      <c r="E55" s="51">
        <v>2</v>
      </c>
      <c r="F55" s="51">
        <v>3</v>
      </c>
      <c r="G55" s="2"/>
      <c r="H55" s="36"/>
      <c r="I55" t="s">
        <v>731</v>
      </c>
      <c r="J55" s="51">
        <v>3</v>
      </c>
      <c r="K55" s="51">
        <v>2.95</v>
      </c>
      <c r="L55" s="51">
        <v>2.95</v>
      </c>
      <c r="N55" s="26"/>
      <c r="O55" s="27" t="s">
        <v>706</v>
      </c>
      <c r="P55" s="27">
        <v>1</v>
      </c>
      <c r="Q55" s="27">
        <v>1</v>
      </c>
      <c r="S55" s="62"/>
      <c r="T55" s="49" t="s">
        <v>452</v>
      </c>
      <c r="U55" s="66">
        <v>1.9</v>
      </c>
      <c r="V55" s="66">
        <v>1.68</v>
      </c>
    </row>
    <row r="56" spans="2:22" x14ac:dyDescent="0.75">
      <c r="B56" s="26"/>
      <c r="C56" s="27" t="s">
        <v>495</v>
      </c>
      <c r="D56" s="51">
        <v>2</v>
      </c>
      <c r="E56" s="51">
        <v>2</v>
      </c>
      <c r="F56" s="51">
        <v>3</v>
      </c>
      <c r="G56" s="2"/>
      <c r="H56" s="36"/>
      <c r="I56" t="s">
        <v>536</v>
      </c>
      <c r="J56" s="51">
        <v>3</v>
      </c>
      <c r="K56" s="51">
        <v>0.5</v>
      </c>
      <c r="L56" s="51">
        <v>0.5</v>
      </c>
      <c r="N56" s="26"/>
      <c r="O56" s="27" t="s">
        <v>495</v>
      </c>
      <c r="P56" s="27">
        <v>1</v>
      </c>
      <c r="Q56" s="27">
        <v>1</v>
      </c>
      <c r="S56" s="62"/>
      <c r="T56" s="49" t="s">
        <v>453</v>
      </c>
      <c r="U56" s="66">
        <v>1.9</v>
      </c>
      <c r="V56" s="66">
        <v>1.68</v>
      </c>
    </row>
    <row r="57" spans="2:22" x14ac:dyDescent="0.75">
      <c r="B57" s="26"/>
      <c r="C57" s="27" t="s">
        <v>303</v>
      </c>
      <c r="D57" s="51">
        <v>2</v>
      </c>
      <c r="E57" s="51">
        <v>2</v>
      </c>
      <c r="F57" s="51">
        <v>3</v>
      </c>
      <c r="G57" s="2"/>
      <c r="H57" s="36"/>
      <c r="I57" t="s">
        <v>338</v>
      </c>
      <c r="J57" s="51">
        <v>3</v>
      </c>
      <c r="K57" s="51">
        <v>3.3</v>
      </c>
      <c r="L57" s="51">
        <v>3.3</v>
      </c>
      <c r="N57" s="26"/>
      <c r="O57" s="27" t="s">
        <v>303</v>
      </c>
      <c r="P57" s="27">
        <v>1</v>
      </c>
      <c r="Q57" s="27">
        <v>1</v>
      </c>
      <c r="S57" s="62"/>
      <c r="T57" s="49" t="s">
        <v>454</v>
      </c>
      <c r="U57" s="66">
        <v>1.9</v>
      </c>
      <c r="V57" s="66">
        <v>1.26</v>
      </c>
    </row>
    <row r="58" spans="2:22" x14ac:dyDescent="0.75">
      <c r="B58" s="26"/>
      <c r="C58" s="27" t="s">
        <v>707</v>
      </c>
      <c r="D58" s="51">
        <v>2</v>
      </c>
      <c r="E58" s="51">
        <v>2</v>
      </c>
      <c r="F58" s="51">
        <v>3</v>
      </c>
      <c r="G58" s="2"/>
      <c r="H58" s="36"/>
      <c r="I58" t="s">
        <v>732</v>
      </c>
      <c r="J58" s="51">
        <v>3</v>
      </c>
      <c r="K58" s="51">
        <v>3.3</v>
      </c>
      <c r="L58" s="51">
        <v>3.3</v>
      </c>
      <c r="N58" s="26"/>
      <c r="O58" s="27" t="s">
        <v>707</v>
      </c>
      <c r="P58" s="27">
        <v>1</v>
      </c>
      <c r="Q58" s="27">
        <v>1</v>
      </c>
      <c r="S58" s="62"/>
      <c r="T58" s="49" t="s">
        <v>455</v>
      </c>
      <c r="U58" s="66">
        <v>1.9</v>
      </c>
      <c r="V58" s="66">
        <v>1.26</v>
      </c>
    </row>
    <row r="59" spans="2:22" x14ac:dyDescent="0.75">
      <c r="B59" s="26"/>
      <c r="C59" s="27" t="s">
        <v>708</v>
      </c>
      <c r="D59" s="51">
        <v>2</v>
      </c>
      <c r="E59" s="51">
        <v>2</v>
      </c>
      <c r="F59" s="51">
        <v>3</v>
      </c>
      <c r="G59" s="2"/>
      <c r="H59" s="36"/>
      <c r="I59" t="s">
        <v>733</v>
      </c>
      <c r="J59" s="51">
        <v>3</v>
      </c>
      <c r="K59" s="51">
        <v>3.3</v>
      </c>
      <c r="L59" s="51">
        <v>3.3</v>
      </c>
      <c r="N59" s="26"/>
      <c r="O59" s="27" t="s">
        <v>708</v>
      </c>
      <c r="P59" s="27">
        <v>1</v>
      </c>
      <c r="Q59" s="27">
        <v>1</v>
      </c>
      <c r="S59" s="62"/>
      <c r="T59" s="49" t="s">
        <v>456</v>
      </c>
      <c r="U59" s="66">
        <v>1.9</v>
      </c>
      <c r="V59" s="66">
        <v>1.26</v>
      </c>
    </row>
    <row r="60" spans="2:22" x14ac:dyDescent="0.75">
      <c r="B60" s="26"/>
      <c r="C60" s="27" t="s">
        <v>304</v>
      </c>
      <c r="D60" s="51">
        <v>2</v>
      </c>
      <c r="E60" s="51">
        <v>2</v>
      </c>
      <c r="F60" s="51">
        <v>3</v>
      </c>
      <c r="G60" s="2"/>
      <c r="H60" s="36"/>
      <c r="I60" t="s">
        <v>339</v>
      </c>
      <c r="J60" s="51">
        <v>3</v>
      </c>
      <c r="K60" s="51">
        <v>2.9</v>
      </c>
      <c r="L60" s="51">
        <v>2.9</v>
      </c>
      <c r="N60" s="26"/>
      <c r="O60" s="27" t="s">
        <v>304</v>
      </c>
      <c r="P60" s="27">
        <v>1</v>
      </c>
      <c r="Q60" s="27">
        <v>1</v>
      </c>
      <c r="S60" s="62"/>
      <c r="T60" s="49" t="s">
        <v>457</v>
      </c>
      <c r="U60" s="66">
        <v>1.9</v>
      </c>
      <c r="V60" s="66">
        <v>1.26</v>
      </c>
    </row>
    <row r="61" spans="2:22" x14ac:dyDescent="0.75">
      <c r="B61" s="26"/>
      <c r="C61" s="27" t="s">
        <v>709</v>
      </c>
      <c r="D61" s="51">
        <v>2</v>
      </c>
      <c r="E61" s="51">
        <v>2</v>
      </c>
      <c r="F61" s="51">
        <v>3</v>
      </c>
      <c r="G61" s="2"/>
      <c r="H61" s="36"/>
      <c r="I61" t="s">
        <v>734</v>
      </c>
      <c r="J61" s="51">
        <v>3</v>
      </c>
      <c r="K61" s="51">
        <v>2.9</v>
      </c>
      <c r="L61" s="51">
        <v>2.9</v>
      </c>
      <c r="N61" s="26"/>
      <c r="O61" s="27" t="s">
        <v>709</v>
      </c>
      <c r="P61" s="27">
        <v>1</v>
      </c>
      <c r="Q61" s="27">
        <v>1</v>
      </c>
      <c r="S61" s="62"/>
      <c r="T61" s="49" t="s">
        <v>458</v>
      </c>
      <c r="U61" s="66">
        <v>1.9</v>
      </c>
      <c r="V61" s="66">
        <v>1.26</v>
      </c>
    </row>
    <row r="62" spans="2:22" x14ac:dyDescent="0.75">
      <c r="B62" s="26"/>
      <c r="C62" s="27" t="s">
        <v>305</v>
      </c>
      <c r="D62" s="51">
        <v>2</v>
      </c>
      <c r="E62" s="51">
        <v>2</v>
      </c>
      <c r="F62" s="51">
        <v>3</v>
      </c>
      <c r="G62" s="2"/>
      <c r="H62" s="36"/>
      <c r="I62" t="s">
        <v>340</v>
      </c>
      <c r="J62" s="51">
        <v>3</v>
      </c>
      <c r="K62" s="51">
        <v>0.5</v>
      </c>
      <c r="L62" s="51">
        <v>0.5</v>
      </c>
      <c r="N62" s="26"/>
      <c r="O62" s="27" t="s">
        <v>305</v>
      </c>
      <c r="P62" s="27">
        <v>1</v>
      </c>
      <c r="Q62" s="27">
        <v>1</v>
      </c>
      <c r="S62" s="62"/>
      <c r="T62" s="49" t="s">
        <v>459</v>
      </c>
      <c r="U62" s="66">
        <v>1.9</v>
      </c>
      <c r="V62" s="66">
        <v>1.26</v>
      </c>
    </row>
    <row r="63" spans="2:22" x14ac:dyDescent="0.75">
      <c r="B63" s="26"/>
      <c r="C63" s="27" t="s">
        <v>306</v>
      </c>
      <c r="D63" s="51">
        <v>2</v>
      </c>
      <c r="E63" s="51">
        <v>2</v>
      </c>
      <c r="F63" s="51">
        <v>3</v>
      </c>
      <c r="G63" s="2"/>
      <c r="H63" s="36"/>
      <c r="I63" t="s">
        <v>64</v>
      </c>
      <c r="J63" s="51">
        <v>3</v>
      </c>
      <c r="K63" s="51">
        <v>0.5</v>
      </c>
      <c r="L63" s="51">
        <v>0.5</v>
      </c>
      <c r="N63" s="26"/>
      <c r="O63" s="27" t="s">
        <v>306</v>
      </c>
      <c r="P63" s="27">
        <v>1</v>
      </c>
      <c r="Q63" s="27">
        <v>1</v>
      </c>
      <c r="S63" s="62"/>
      <c r="T63" s="49" t="s">
        <v>460</v>
      </c>
      <c r="U63" s="66">
        <v>1.9</v>
      </c>
      <c r="V63" s="66">
        <v>1.26</v>
      </c>
    </row>
    <row r="64" spans="2:22" x14ac:dyDescent="0.75">
      <c r="B64" s="26"/>
      <c r="C64" s="27" t="s">
        <v>498</v>
      </c>
      <c r="D64" s="51">
        <v>2</v>
      </c>
      <c r="E64" s="51">
        <v>2</v>
      </c>
      <c r="F64" s="51">
        <v>3</v>
      </c>
      <c r="G64" s="2"/>
      <c r="H64" s="36"/>
      <c r="I64" t="s">
        <v>539</v>
      </c>
      <c r="J64" s="51">
        <v>3</v>
      </c>
      <c r="K64" s="51">
        <v>0.5</v>
      </c>
      <c r="L64" s="51">
        <v>0.5</v>
      </c>
      <c r="N64" s="26"/>
      <c r="O64" s="27" t="s">
        <v>498</v>
      </c>
      <c r="P64" s="27">
        <v>1</v>
      </c>
      <c r="Q64" s="27">
        <v>1</v>
      </c>
      <c r="S64" s="63"/>
      <c r="U64" s="2"/>
    </row>
    <row r="65" spans="2:22" x14ac:dyDescent="0.75">
      <c r="B65" s="26"/>
      <c r="C65" s="27" t="s">
        <v>710</v>
      </c>
      <c r="D65" s="51">
        <v>2</v>
      </c>
      <c r="E65" s="51">
        <v>2</v>
      </c>
      <c r="F65" s="51">
        <v>3</v>
      </c>
      <c r="G65" s="2"/>
      <c r="H65" s="36"/>
      <c r="I65" t="s">
        <v>735</v>
      </c>
      <c r="J65" s="51">
        <v>3</v>
      </c>
      <c r="K65" s="51">
        <v>3.75</v>
      </c>
      <c r="L65" s="51">
        <v>3.75</v>
      </c>
      <c r="N65" s="26"/>
      <c r="O65" s="27" t="s">
        <v>710</v>
      </c>
      <c r="P65" s="27">
        <v>1</v>
      </c>
      <c r="Q65" s="27">
        <v>1</v>
      </c>
      <c r="S65" s="38"/>
      <c r="T65" s="38"/>
      <c r="U65" s="38"/>
      <c r="V65" s="38"/>
    </row>
    <row r="66" spans="2:22" x14ac:dyDescent="0.75">
      <c r="B66" s="26"/>
      <c r="C66" s="27" t="s">
        <v>307</v>
      </c>
      <c r="D66" s="51">
        <v>2</v>
      </c>
      <c r="E66" s="51">
        <v>2</v>
      </c>
      <c r="F66" s="51">
        <v>3</v>
      </c>
      <c r="G66" s="2"/>
      <c r="H66" s="36"/>
      <c r="I66" t="s">
        <v>341</v>
      </c>
      <c r="J66" s="51">
        <v>3</v>
      </c>
      <c r="K66" s="51">
        <v>0.5</v>
      </c>
      <c r="L66" s="51">
        <v>0.5</v>
      </c>
      <c r="N66" s="26"/>
      <c r="O66" s="27" t="s">
        <v>307</v>
      </c>
      <c r="P66" s="27">
        <v>1</v>
      </c>
      <c r="Q66" s="27">
        <v>1</v>
      </c>
      <c r="U66" s="2"/>
    </row>
    <row r="67" spans="2:22" x14ac:dyDescent="0.75">
      <c r="B67" s="26"/>
      <c r="C67" s="27" t="s">
        <v>308</v>
      </c>
      <c r="D67" s="51">
        <v>2</v>
      </c>
      <c r="E67" s="51">
        <v>2</v>
      </c>
      <c r="F67" s="51">
        <v>3</v>
      </c>
      <c r="G67" s="2"/>
      <c r="H67" s="36"/>
      <c r="I67" t="s">
        <v>342</v>
      </c>
      <c r="J67" s="51">
        <v>3</v>
      </c>
      <c r="K67" s="51">
        <v>2.8</v>
      </c>
      <c r="L67" s="51">
        <v>2.8</v>
      </c>
      <c r="N67" s="26"/>
      <c r="O67" s="27" t="s">
        <v>308</v>
      </c>
      <c r="P67" s="27">
        <v>1</v>
      </c>
      <c r="Q67" s="27">
        <v>1</v>
      </c>
      <c r="U67" s="2"/>
    </row>
    <row r="68" spans="2:22" x14ac:dyDescent="0.75">
      <c r="B68" s="26"/>
      <c r="C68" s="27" t="s">
        <v>309</v>
      </c>
      <c r="D68" s="51">
        <v>2</v>
      </c>
      <c r="E68" s="51">
        <v>2</v>
      </c>
      <c r="F68" s="51">
        <v>3</v>
      </c>
      <c r="G68" s="2"/>
      <c r="H68" s="36"/>
      <c r="I68" t="s">
        <v>343</v>
      </c>
      <c r="J68" s="51">
        <v>3</v>
      </c>
      <c r="K68" s="51">
        <v>2.8</v>
      </c>
      <c r="L68" s="51">
        <v>2.8</v>
      </c>
      <c r="N68" s="26"/>
      <c r="O68" s="27" t="s">
        <v>309</v>
      </c>
      <c r="P68" s="27">
        <v>1</v>
      </c>
      <c r="Q68" s="27">
        <v>1</v>
      </c>
      <c r="U68" s="2"/>
    </row>
    <row r="69" spans="2:22" x14ac:dyDescent="0.75">
      <c r="B69" s="26"/>
      <c r="C69" s="27" t="s">
        <v>310</v>
      </c>
      <c r="D69" s="51">
        <v>2</v>
      </c>
      <c r="E69" s="51">
        <v>2</v>
      </c>
      <c r="F69" s="51">
        <v>3</v>
      </c>
      <c r="G69" s="2"/>
      <c r="H69" s="36"/>
      <c r="I69" t="s">
        <v>65</v>
      </c>
      <c r="J69" s="51">
        <v>3</v>
      </c>
      <c r="K69" s="51">
        <v>0.5</v>
      </c>
      <c r="L69" s="51">
        <v>0.5</v>
      </c>
      <c r="N69" s="26"/>
      <c r="O69" s="27" t="s">
        <v>310</v>
      </c>
      <c r="P69" s="27">
        <v>1</v>
      </c>
      <c r="Q69" s="27">
        <v>1</v>
      </c>
      <c r="U69" s="2"/>
    </row>
    <row r="70" spans="2:22" x14ac:dyDescent="0.75">
      <c r="B70" s="26"/>
      <c r="C70" s="27" t="s">
        <v>311</v>
      </c>
      <c r="D70" s="51">
        <v>2</v>
      </c>
      <c r="E70" s="51">
        <v>2</v>
      </c>
      <c r="F70" s="51">
        <v>3</v>
      </c>
      <c r="G70" s="2"/>
      <c r="H70" s="36"/>
      <c r="I70" t="s">
        <v>344</v>
      </c>
      <c r="J70" s="51">
        <v>3</v>
      </c>
      <c r="K70" s="51">
        <v>0.5</v>
      </c>
      <c r="L70" s="51">
        <v>0.5</v>
      </c>
      <c r="N70" s="26"/>
      <c r="O70" s="27" t="s">
        <v>311</v>
      </c>
      <c r="P70" s="27">
        <v>1</v>
      </c>
      <c r="Q70" s="27">
        <v>1</v>
      </c>
      <c r="U70" s="2"/>
    </row>
    <row r="71" spans="2:22" x14ac:dyDescent="0.75">
      <c r="B71" s="26"/>
      <c r="C71" s="27" t="s">
        <v>312</v>
      </c>
      <c r="D71" s="51">
        <v>2</v>
      </c>
      <c r="E71" s="51">
        <v>2</v>
      </c>
      <c r="F71" s="51">
        <v>3</v>
      </c>
      <c r="G71" s="2"/>
      <c r="H71" s="36"/>
      <c r="I71" t="s">
        <v>66</v>
      </c>
      <c r="J71" s="51">
        <v>3</v>
      </c>
      <c r="K71" s="51">
        <v>0.5</v>
      </c>
      <c r="L71" s="51">
        <v>0.5</v>
      </c>
      <c r="N71" s="26"/>
      <c r="O71" s="27" t="s">
        <v>312</v>
      </c>
      <c r="P71" s="27">
        <v>1</v>
      </c>
      <c r="Q71" s="27">
        <v>1</v>
      </c>
      <c r="U71" s="2"/>
    </row>
    <row r="72" spans="2:22" x14ac:dyDescent="0.75">
      <c r="B72" s="26"/>
      <c r="C72" s="27" t="s">
        <v>711</v>
      </c>
      <c r="D72" s="51">
        <v>2</v>
      </c>
      <c r="E72" s="51">
        <v>2</v>
      </c>
      <c r="F72" s="51">
        <v>3</v>
      </c>
      <c r="G72" s="2"/>
      <c r="H72" s="36"/>
      <c r="I72" t="s">
        <v>736</v>
      </c>
      <c r="J72" s="51">
        <v>3</v>
      </c>
      <c r="K72" s="51">
        <v>0.5</v>
      </c>
      <c r="L72" s="51">
        <v>0.5</v>
      </c>
      <c r="N72" s="26"/>
      <c r="O72" s="27" t="s">
        <v>711</v>
      </c>
      <c r="P72" s="27">
        <v>1</v>
      </c>
      <c r="Q72" s="27">
        <v>1</v>
      </c>
      <c r="U72" s="2"/>
    </row>
    <row r="73" spans="2:22" x14ac:dyDescent="0.75">
      <c r="B73" s="26"/>
      <c r="C73" s="27" t="s">
        <v>313</v>
      </c>
      <c r="D73" s="51">
        <v>2</v>
      </c>
      <c r="E73" s="51">
        <v>2</v>
      </c>
      <c r="F73" s="51">
        <v>3</v>
      </c>
      <c r="G73" s="2"/>
      <c r="H73" s="36"/>
      <c r="I73" t="s">
        <v>345</v>
      </c>
      <c r="J73" s="51">
        <v>3</v>
      </c>
      <c r="K73" s="51">
        <v>0.5</v>
      </c>
      <c r="L73" s="51">
        <v>0.5</v>
      </c>
      <c r="N73" s="26"/>
      <c r="O73" s="27" t="s">
        <v>313</v>
      </c>
      <c r="P73" s="27">
        <v>1</v>
      </c>
      <c r="Q73" s="27">
        <v>1</v>
      </c>
      <c r="U73" s="2"/>
    </row>
    <row r="74" spans="2:22" x14ac:dyDescent="0.75">
      <c r="B74" s="26"/>
      <c r="C74" s="27" t="s">
        <v>761</v>
      </c>
      <c r="D74" s="51">
        <v>2</v>
      </c>
      <c r="E74" s="51">
        <v>2</v>
      </c>
      <c r="F74" s="51">
        <v>3</v>
      </c>
      <c r="G74" s="2"/>
      <c r="H74" s="36"/>
      <c r="I74" t="s">
        <v>762</v>
      </c>
      <c r="J74" s="51">
        <v>3</v>
      </c>
      <c r="K74" s="51">
        <v>0.5</v>
      </c>
      <c r="L74" s="51">
        <v>0.5</v>
      </c>
      <c r="N74" s="26"/>
      <c r="O74" s="27" t="s">
        <v>761</v>
      </c>
      <c r="P74" s="27">
        <v>1</v>
      </c>
      <c r="Q74" s="27">
        <v>1</v>
      </c>
      <c r="U74" s="2"/>
    </row>
    <row r="75" spans="2:22" x14ac:dyDescent="0.75">
      <c r="B75" s="26"/>
      <c r="C75" s="27" t="s">
        <v>314</v>
      </c>
      <c r="D75" s="51">
        <v>2</v>
      </c>
      <c r="E75" s="51">
        <v>2</v>
      </c>
      <c r="F75" s="51">
        <v>3</v>
      </c>
      <c r="G75" s="2"/>
      <c r="H75" s="36"/>
      <c r="I75" t="s">
        <v>346</v>
      </c>
      <c r="J75" s="51">
        <v>3</v>
      </c>
      <c r="K75" s="51">
        <v>0.5</v>
      </c>
      <c r="L75" s="51">
        <v>0.5</v>
      </c>
      <c r="N75" s="26"/>
      <c r="O75" s="27" t="s">
        <v>314</v>
      </c>
      <c r="P75" s="27">
        <v>1</v>
      </c>
      <c r="Q75" s="27">
        <v>1</v>
      </c>
      <c r="U75" s="2"/>
    </row>
    <row r="76" spans="2:22" x14ac:dyDescent="0.75">
      <c r="B76" s="26"/>
      <c r="C76" s="27" t="s">
        <v>712</v>
      </c>
      <c r="D76" s="51">
        <v>2</v>
      </c>
      <c r="E76" s="51">
        <v>2</v>
      </c>
      <c r="F76" s="51">
        <v>3</v>
      </c>
      <c r="G76" s="2"/>
      <c r="H76" s="36"/>
      <c r="I76" t="s">
        <v>737</v>
      </c>
      <c r="J76" s="51">
        <v>3</v>
      </c>
      <c r="K76" s="51">
        <v>0.5</v>
      </c>
      <c r="L76" s="51">
        <v>0.5</v>
      </c>
      <c r="N76" s="26"/>
      <c r="O76" s="27" t="s">
        <v>712</v>
      </c>
      <c r="P76" s="27">
        <v>1</v>
      </c>
      <c r="Q76" s="27">
        <v>1</v>
      </c>
      <c r="U76" s="2"/>
    </row>
    <row r="77" spans="2:22" x14ac:dyDescent="0.75">
      <c r="B77" s="26"/>
      <c r="C77" s="27" t="s">
        <v>713</v>
      </c>
      <c r="D77" s="51">
        <v>2</v>
      </c>
      <c r="E77" s="51">
        <v>2</v>
      </c>
      <c r="F77" s="51">
        <v>3</v>
      </c>
      <c r="G77" s="2"/>
      <c r="H77" s="36"/>
      <c r="I77" t="s">
        <v>738</v>
      </c>
      <c r="J77" s="51">
        <v>3</v>
      </c>
      <c r="K77" s="51">
        <v>0.5</v>
      </c>
      <c r="L77" s="51">
        <v>0.5</v>
      </c>
      <c r="N77" s="26"/>
      <c r="O77" s="27" t="s">
        <v>713</v>
      </c>
      <c r="P77" s="27">
        <v>1</v>
      </c>
      <c r="Q77" s="27">
        <v>1</v>
      </c>
      <c r="U77" s="2"/>
    </row>
    <row r="78" spans="2:22" x14ac:dyDescent="0.75">
      <c r="B78" s="26"/>
      <c r="C78" s="27" t="s">
        <v>714</v>
      </c>
      <c r="D78" s="51">
        <v>2</v>
      </c>
      <c r="E78" s="51">
        <v>2</v>
      </c>
      <c r="F78" s="51">
        <v>3</v>
      </c>
      <c r="G78" s="2"/>
      <c r="H78" s="36"/>
      <c r="I78" t="s">
        <v>739</v>
      </c>
      <c r="J78" s="51">
        <v>3</v>
      </c>
      <c r="K78" s="51">
        <v>0.5</v>
      </c>
      <c r="L78" s="51">
        <v>0.5</v>
      </c>
      <c r="N78" s="26"/>
      <c r="O78" s="27" t="s">
        <v>714</v>
      </c>
      <c r="P78" s="27">
        <v>1</v>
      </c>
      <c r="Q78" s="27">
        <v>1</v>
      </c>
      <c r="U78" s="2"/>
    </row>
    <row r="79" spans="2:22" x14ac:dyDescent="0.75">
      <c r="B79" s="26"/>
      <c r="C79" s="27" t="s">
        <v>715</v>
      </c>
      <c r="D79" s="51">
        <v>2</v>
      </c>
      <c r="E79" s="51">
        <v>2</v>
      </c>
      <c r="F79" s="51">
        <v>3</v>
      </c>
      <c r="G79" s="2"/>
      <c r="H79" s="36"/>
      <c r="I79" t="s">
        <v>740</v>
      </c>
      <c r="J79" s="51">
        <v>3</v>
      </c>
      <c r="K79" s="51">
        <v>0.5</v>
      </c>
      <c r="L79" s="51">
        <v>0.5</v>
      </c>
      <c r="N79" s="26"/>
      <c r="O79" s="27" t="s">
        <v>715</v>
      </c>
      <c r="P79" s="27">
        <v>1</v>
      </c>
      <c r="Q79" s="27">
        <v>1</v>
      </c>
      <c r="U79" s="2"/>
    </row>
    <row r="80" spans="2:22" x14ac:dyDescent="0.75">
      <c r="B80" s="26"/>
      <c r="C80" s="27" t="s">
        <v>716</v>
      </c>
      <c r="D80" s="51">
        <v>2</v>
      </c>
      <c r="E80" s="51">
        <v>2</v>
      </c>
      <c r="F80" s="51">
        <v>3</v>
      </c>
      <c r="G80" s="2"/>
      <c r="H80" s="36"/>
      <c r="I80" t="s">
        <v>741</v>
      </c>
      <c r="J80" s="51">
        <v>3</v>
      </c>
      <c r="K80" s="51">
        <v>0.5</v>
      </c>
      <c r="L80" s="51">
        <v>0.5</v>
      </c>
      <c r="N80" s="26"/>
      <c r="O80" s="27" t="s">
        <v>716</v>
      </c>
      <c r="P80" s="27">
        <v>1</v>
      </c>
      <c r="Q80" s="27">
        <v>1</v>
      </c>
      <c r="U80" s="2"/>
    </row>
    <row r="81" spans="2:21" x14ac:dyDescent="0.75">
      <c r="B81" s="26"/>
      <c r="C81" s="27" t="s">
        <v>316</v>
      </c>
      <c r="D81" s="51">
        <v>2</v>
      </c>
      <c r="E81" s="51">
        <v>2</v>
      </c>
      <c r="F81" s="51">
        <v>3</v>
      </c>
      <c r="G81" s="2"/>
      <c r="H81" s="36"/>
      <c r="I81" t="s">
        <v>348</v>
      </c>
      <c r="J81" s="51">
        <v>3</v>
      </c>
      <c r="K81" s="51">
        <v>0.5</v>
      </c>
      <c r="L81" s="51">
        <v>0.5</v>
      </c>
      <c r="N81" s="26"/>
      <c r="O81" s="27" t="s">
        <v>316</v>
      </c>
      <c r="P81" s="27">
        <v>1</v>
      </c>
      <c r="Q81" s="27">
        <v>1</v>
      </c>
      <c r="U81" s="2"/>
    </row>
    <row r="82" spans="2:21" x14ac:dyDescent="0.75">
      <c r="B82" s="26"/>
      <c r="C82" s="27" t="s">
        <v>717</v>
      </c>
      <c r="D82" s="51">
        <v>2</v>
      </c>
      <c r="E82" s="51">
        <v>2</v>
      </c>
      <c r="F82" s="51">
        <v>3</v>
      </c>
      <c r="G82" s="2"/>
      <c r="H82" s="36"/>
      <c r="I82" t="s">
        <v>742</v>
      </c>
      <c r="J82" s="51">
        <v>3</v>
      </c>
      <c r="K82" s="51">
        <v>0.5</v>
      </c>
      <c r="L82" s="51">
        <v>0.5</v>
      </c>
      <c r="N82" s="26"/>
      <c r="O82" s="27" t="s">
        <v>717</v>
      </c>
      <c r="P82" s="27">
        <v>1</v>
      </c>
      <c r="Q82" s="27">
        <v>1</v>
      </c>
      <c r="U82" s="2"/>
    </row>
    <row r="83" spans="2:21" x14ac:dyDescent="0.75">
      <c r="B83" s="26"/>
      <c r="C83" s="27" t="s">
        <v>318</v>
      </c>
      <c r="D83" s="51">
        <v>2</v>
      </c>
      <c r="E83" s="51">
        <v>2</v>
      </c>
      <c r="F83" s="51">
        <v>3</v>
      </c>
      <c r="G83" s="2"/>
      <c r="H83" s="36"/>
      <c r="I83" t="s">
        <v>349</v>
      </c>
      <c r="J83" s="51">
        <v>3</v>
      </c>
      <c r="K83" s="51">
        <v>0.5</v>
      </c>
      <c r="L83" s="51">
        <v>0.5</v>
      </c>
      <c r="N83" s="26"/>
      <c r="O83" s="27" t="s">
        <v>318</v>
      </c>
      <c r="P83" s="27">
        <v>1</v>
      </c>
      <c r="Q83" s="27">
        <v>1</v>
      </c>
      <c r="U83" s="2"/>
    </row>
    <row r="84" spans="2:21" x14ac:dyDescent="0.75">
      <c r="B84" s="26"/>
      <c r="C84" s="27" t="s">
        <v>319</v>
      </c>
      <c r="D84" s="51">
        <v>2</v>
      </c>
      <c r="E84" s="51">
        <v>2</v>
      </c>
      <c r="F84" s="51">
        <v>3</v>
      </c>
      <c r="G84" s="2"/>
      <c r="H84" s="36"/>
      <c r="I84" t="s">
        <v>350</v>
      </c>
      <c r="J84" s="51">
        <v>3</v>
      </c>
      <c r="K84" s="51">
        <v>0.5</v>
      </c>
      <c r="L84" s="51">
        <v>0.5</v>
      </c>
      <c r="N84" s="26"/>
      <c r="O84" s="27" t="s">
        <v>319</v>
      </c>
      <c r="P84" s="27">
        <v>1</v>
      </c>
      <c r="Q84" s="27">
        <v>1</v>
      </c>
      <c r="U84" s="2"/>
    </row>
    <row r="85" spans="2:21" x14ac:dyDescent="0.75">
      <c r="B85" s="26"/>
      <c r="C85" s="27" t="s">
        <v>320</v>
      </c>
      <c r="D85" s="51">
        <v>2</v>
      </c>
      <c r="E85" s="51">
        <v>2</v>
      </c>
      <c r="F85" s="51">
        <v>3</v>
      </c>
      <c r="G85" s="2"/>
      <c r="H85" s="36"/>
      <c r="I85" t="s">
        <v>351</v>
      </c>
      <c r="J85" s="51">
        <v>3</v>
      </c>
      <c r="K85" s="51">
        <v>0.5</v>
      </c>
      <c r="L85" s="51">
        <v>0.5</v>
      </c>
      <c r="N85" s="26"/>
      <c r="O85" s="27" t="s">
        <v>320</v>
      </c>
      <c r="P85" s="27">
        <v>1</v>
      </c>
      <c r="Q85" s="27">
        <v>1</v>
      </c>
      <c r="U85" s="2"/>
    </row>
    <row r="86" spans="2:21" x14ac:dyDescent="0.75">
      <c r="B86" s="26"/>
      <c r="C86" s="27" t="s">
        <v>718</v>
      </c>
      <c r="D86" s="51">
        <v>2</v>
      </c>
      <c r="E86" s="51">
        <v>2</v>
      </c>
      <c r="F86" s="51">
        <v>3</v>
      </c>
      <c r="G86" s="2"/>
      <c r="H86" s="36"/>
      <c r="I86" t="s">
        <v>743</v>
      </c>
      <c r="J86" s="51">
        <v>3</v>
      </c>
      <c r="K86" s="51">
        <v>0.5</v>
      </c>
      <c r="L86" s="51">
        <v>0.5</v>
      </c>
      <c r="N86" s="26"/>
      <c r="O86" s="27" t="s">
        <v>718</v>
      </c>
      <c r="P86" s="27">
        <v>1</v>
      </c>
      <c r="Q86" s="27">
        <v>1</v>
      </c>
      <c r="U86" s="2"/>
    </row>
    <row r="87" spans="2:21" x14ac:dyDescent="0.75">
      <c r="B87" s="26"/>
      <c r="C87" s="27" t="s">
        <v>719</v>
      </c>
      <c r="D87" s="51">
        <v>2</v>
      </c>
      <c r="E87" s="51">
        <v>2</v>
      </c>
      <c r="F87" s="51">
        <v>3</v>
      </c>
      <c r="G87" s="2"/>
      <c r="H87" s="36"/>
      <c r="I87" t="s">
        <v>744</v>
      </c>
      <c r="J87" s="51">
        <v>3</v>
      </c>
      <c r="K87" s="51">
        <v>0.5</v>
      </c>
      <c r="L87" s="51">
        <v>0.5</v>
      </c>
      <c r="N87" s="26"/>
      <c r="O87" s="27" t="s">
        <v>719</v>
      </c>
      <c r="P87" s="27">
        <v>1</v>
      </c>
      <c r="Q87" s="27">
        <v>1</v>
      </c>
      <c r="U87" s="2"/>
    </row>
    <row r="88" spans="2:21" x14ac:dyDescent="0.75">
      <c r="B88" s="26"/>
      <c r="C88" s="27" t="s">
        <v>720</v>
      </c>
      <c r="D88" s="51">
        <v>2</v>
      </c>
      <c r="E88" s="51">
        <v>2</v>
      </c>
      <c r="F88" s="51">
        <v>3</v>
      </c>
      <c r="G88" s="2"/>
      <c r="H88" s="36"/>
      <c r="I88" t="s">
        <v>745</v>
      </c>
      <c r="J88" s="51">
        <v>3</v>
      </c>
      <c r="K88" s="51">
        <v>0.5</v>
      </c>
      <c r="L88" s="51">
        <v>0.5</v>
      </c>
      <c r="N88" s="26"/>
      <c r="O88" s="27" t="s">
        <v>720</v>
      </c>
      <c r="P88" s="27">
        <v>1</v>
      </c>
      <c r="Q88" s="27">
        <v>1</v>
      </c>
      <c r="U88" s="2"/>
    </row>
    <row r="89" spans="2:21" x14ac:dyDescent="0.75">
      <c r="B89" s="26"/>
      <c r="C89" s="27" t="s">
        <v>321</v>
      </c>
      <c r="D89" s="51">
        <v>2</v>
      </c>
      <c r="E89" s="51">
        <v>2</v>
      </c>
      <c r="F89" s="51">
        <v>3</v>
      </c>
      <c r="G89" s="2"/>
      <c r="H89" s="36"/>
      <c r="I89" t="s">
        <v>352</v>
      </c>
      <c r="J89" s="51">
        <v>3</v>
      </c>
      <c r="K89" s="51">
        <v>0.5</v>
      </c>
      <c r="L89" s="51">
        <v>0.5</v>
      </c>
      <c r="N89" s="26"/>
      <c r="O89" s="27" t="s">
        <v>321</v>
      </c>
      <c r="P89" s="27">
        <v>1</v>
      </c>
      <c r="Q89" s="27">
        <v>1</v>
      </c>
      <c r="U89" s="2"/>
    </row>
    <row r="90" spans="2:21" x14ac:dyDescent="0.75">
      <c r="B90" s="26"/>
      <c r="C90" s="27" t="s">
        <v>721</v>
      </c>
      <c r="D90" s="51">
        <v>2</v>
      </c>
      <c r="E90" s="51">
        <v>2</v>
      </c>
      <c r="F90" s="51">
        <v>3</v>
      </c>
      <c r="I90" t="s">
        <v>746</v>
      </c>
      <c r="J90" s="51">
        <v>3</v>
      </c>
      <c r="K90" s="51">
        <v>0.5</v>
      </c>
      <c r="L90" s="51">
        <v>0.5</v>
      </c>
      <c r="O90" s="27" t="s">
        <v>721</v>
      </c>
      <c r="P90" s="27">
        <v>1</v>
      </c>
      <c r="Q90" s="27">
        <v>1</v>
      </c>
      <c r="U90" s="2"/>
    </row>
    <row r="91" spans="2:21" x14ac:dyDescent="0.75">
      <c r="B91" s="26"/>
      <c r="N91" s="26"/>
      <c r="O91" s="27"/>
      <c r="P91" s="27"/>
      <c r="Q91" s="27"/>
      <c r="U91" s="2"/>
    </row>
    <row r="92" spans="2:21" x14ac:dyDescent="0.75">
      <c r="B92" s="26"/>
      <c r="N92" s="26"/>
      <c r="O92" s="27"/>
      <c r="P92" s="27"/>
      <c r="Q92" s="27"/>
      <c r="U92" s="2"/>
    </row>
    <row r="93" spans="2:21" x14ac:dyDescent="0.75">
      <c r="B93" s="26"/>
      <c r="C93" s="27"/>
      <c r="D93" s="51"/>
      <c r="E93" s="51"/>
      <c r="F93" s="51"/>
      <c r="G93" s="2"/>
      <c r="H93" s="36"/>
      <c r="I93" s="57"/>
      <c r="J93" s="51"/>
      <c r="K93" s="51"/>
      <c r="L93" s="51"/>
      <c r="N93" s="26"/>
      <c r="O93" s="27"/>
      <c r="P93" s="27"/>
      <c r="Q93" s="27"/>
      <c r="U93" s="2"/>
    </row>
    <row r="94" spans="2:21" x14ac:dyDescent="0.75">
      <c r="B94" s="26"/>
      <c r="C94" s="27"/>
      <c r="D94" s="51"/>
      <c r="E94" s="51"/>
      <c r="F94" s="51"/>
      <c r="G94" s="2"/>
      <c r="H94" s="36"/>
      <c r="I94" s="57"/>
      <c r="J94" s="51"/>
      <c r="K94" s="51"/>
      <c r="L94" s="51"/>
      <c r="N94" s="26"/>
      <c r="O94" s="27"/>
      <c r="P94" s="27"/>
      <c r="Q94" s="27"/>
      <c r="U94" s="2"/>
    </row>
    <row r="95" spans="2:21" x14ac:dyDescent="0.75">
      <c r="B95" s="26"/>
      <c r="C95" s="27"/>
      <c r="D95" s="51"/>
      <c r="E95" s="51"/>
      <c r="F95" s="51"/>
      <c r="G95" s="2"/>
      <c r="H95" s="36"/>
      <c r="I95" s="57"/>
      <c r="J95" s="51"/>
      <c r="K95" s="51"/>
      <c r="L95" s="51"/>
      <c r="N95" s="26"/>
      <c r="O95" s="27"/>
      <c r="P95" s="27"/>
      <c r="Q95" s="27"/>
      <c r="U95" s="2"/>
    </row>
    <row r="96" spans="2:21" x14ac:dyDescent="0.75">
      <c r="B96" s="26"/>
      <c r="C96" s="27"/>
      <c r="D96" s="51"/>
      <c r="E96" s="51"/>
      <c r="F96" s="51"/>
      <c r="G96" s="2"/>
      <c r="H96" s="36"/>
      <c r="I96" s="27"/>
      <c r="J96" s="51"/>
      <c r="K96" s="51"/>
      <c r="L96" s="51"/>
      <c r="N96" s="26"/>
      <c r="O96" s="27"/>
      <c r="P96" s="27"/>
      <c r="Q96" s="27"/>
      <c r="U96" s="2"/>
    </row>
    <row r="97" spans="2:21" x14ac:dyDescent="0.75">
      <c r="B97" s="26"/>
      <c r="C97" s="27"/>
      <c r="D97" s="51"/>
      <c r="E97" s="51"/>
      <c r="F97" s="51"/>
      <c r="G97" s="2"/>
      <c r="H97" s="36"/>
      <c r="I97" s="27"/>
      <c r="J97" s="51"/>
      <c r="K97" s="51"/>
      <c r="L97" s="51"/>
      <c r="N97" s="26"/>
      <c r="O97" s="27"/>
      <c r="P97" s="27"/>
      <c r="Q97" s="27"/>
      <c r="U97" s="2"/>
    </row>
    <row r="98" spans="2:21" x14ac:dyDescent="0.75">
      <c r="B98" s="26"/>
      <c r="C98" s="27"/>
      <c r="D98" s="51"/>
      <c r="E98" s="51"/>
      <c r="F98" s="51"/>
      <c r="G98" s="2"/>
      <c r="H98" s="36"/>
      <c r="I98" s="27"/>
      <c r="J98" s="51"/>
      <c r="K98" s="51"/>
      <c r="L98" s="51"/>
      <c r="N98" s="26"/>
      <c r="O98" s="27"/>
      <c r="P98" s="27"/>
      <c r="Q98" s="27"/>
      <c r="U98" s="2"/>
    </row>
    <row r="99" spans="2:21" x14ac:dyDescent="0.75">
      <c r="B99" s="26"/>
      <c r="C99" s="27"/>
      <c r="D99" s="51"/>
      <c r="E99" s="51"/>
      <c r="F99" s="51"/>
      <c r="G99" s="2"/>
      <c r="H99" s="36"/>
      <c r="I99" s="27"/>
      <c r="J99" s="51"/>
      <c r="K99" s="51"/>
      <c r="L99" s="51"/>
      <c r="N99" s="26"/>
      <c r="O99" s="27"/>
      <c r="P99" s="27"/>
      <c r="Q99" s="27"/>
      <c r="U99" s="2"/>
    </row>
    <row r="100" spans="2:21" x14ac:dyDescent="0.75">
      <c r="B100" s="26"/>
      <c r="C100" s="27"/>
      <c r="D100" s="51"/>
      <c r="E100" s="51"/>
      <c r="F100" s="51"/>
      <c r="G100" s="2"/>
      <c r="H100" s="36"/>
      <c r="I100" s="27"/>
      <c r="J100" s="51"/>
      <c r="K100" s="51"/>
      <c r="L100" s="51"/>
      <c r="N100" s="26"/>
      <c r="O100" s="27"/>
      <c r="P100" s="27"/>
      <c r="Q100" s="27"/>
      <c r="U100" s="2"/>
    </row>
    <row r="101" spans="2:21" x14ac:dyDescent="0.75">
      <c r="B101" s="26"/>
      <c r="C101" s="27"/>
      <c r="D101" s="51"/>
      <c r="E101" s="51"/>
      <c r="F101" s="51"/>
      <c r="G101" s="2"/>
      <c r="H101" s="36"/>
      <c r="I101" s="27"/>
      <c r="J101" s="51"/>
      <c r="K101" s="51"/>
      <c r="L101" s="51"/>
      <c r="N101" s="26"/>
      <c r="O101" s="27"/>
      <c r="P101" s="27"/>
      <c r="Q101" s="27"/>
      <c r="U101" s="2"/>
    </row>
    <row r="102" spans="2:21" x14ac:dyDescent="0.75">
      <c r="B102" s="26"/>
      <c r="C102" s="27"/>
      <c r="D102" s="51"/>
      <c r="E102" s="51"/>
      <c r="F102" s="51"/>
      <c r="G102" s="2"/>
      <c r="H102" s="36"/>
      <c r="I102" s="27"/>
      <c r="J102" s="51"/>
      <c r="K102" s="51"/>
      <c r="L102" s="51"/>
      <c r="N102" s="26"/>
      <c r="O102" s="27"/>
      <c r="P102" s="27"/>
      <c r="Q102" s="27"/>
      <c r="U102" s="2"/>
    </row>
    <row r="103" spans="2:21" x14ac:dyDescent="0.75">
      <c r="B103" s="26"/>
      <c r="C103" s="27"/>
      <c r="D103" s="51"/>
      <c r="E103" s="51"/>
      <c r="F103" s="51"/>
      <c r="G103" s="2"/>
      <c r="H103" s="36"/>
      <c r="I103" s="27"/>
      <c r="J103" s="51"/>
      <c r="K103" s="51"/>
      <c r="L103" s="51"/>
      <c r="N103" s="26"/>
      <c r="O103" s="27"/>
      <c r="P103" s="27"/>
      <c r="Q103" s="27"/>
      <c r="U103" s="2"/>
    </row>
    <row r="104" spans="2:21" x14ac:dyDescent="0.75">
      <c r="B104" s="26"/>
      <c r="C104" s="27"/>
      <c r="D104" s="51"/>
      <c r="E104" s="51"/>
      <c r="F104" s="51"/>
      <c r="G104" s="2"/>
      <c r="H104" s="36"/>
      <c r="I104" s="27"/>
      <c r="J104" s="51"/>
      <c r="K104" s="51"/>
      <c r="L104" s="51"/>
      <c r="N104" s="26"/>
      <c r="O104" s="27"/>
      <c r="P104" s="27"/>
      <c r="Q104" s="27"/>
      <c r="U104" s="2"/>
    </row>
    <row r="105" spans="2:21" x14ac:dyDescent="0.75">
      <c r="B105" s="26"/>
      <c r="C105" s="27"/>
      <c r="D105" s="51"/>
      <c r="E105" s="51"/>
      <c r="F105" s="51"/>
      <c r="G105" s="2"/>
      <c r="H105" s="36"/>
      <c r="I105" s="27"/>
      <c r="J105" s="51"/>
      <c r="K105" s="51"/>
      <c r="L105" s="51"/>
      <c r="N105" s="26"/>
      <c r="O105" s="27"/>
      <c r="P105" s="27"/>
      <c r="Q105" s="27"/>
      <c r="U105" s="2"/>
    </row>
    <row r="106" spans="2:21" x14ac:dyDescent="0.75">
      <c r="B106" s="26"/>
      <c r="C106" s="27"/>
      <c r="D106" s="51"/>
      <c r="E106" s="51"/>
      <c r="F106" s="51"/>
      <c r="G106" s="2"/>
      <c r="H106" s="36"/>
      <c r="I106" s="27"/>
      <c r="J106" s="51"/>
      <c r="K106" s="51"/>
      <c r="L106" s="51"/>
      <c r="N106" s="26"/>
      <c r="O106" s="27"/>
      <c r="P106" s="27"/>
      <c r="Q106" s="27"/>
      <c r="U106" s="2"/>
    </row>
    <row r="107" spans="2:21" x14ac:dyDescent="0.75">
      <c r="B107" s="26"/>
      <c r="C107" s="27"/>
      <c r="D107" s="51"/>
      <c r="E107" s="51"/>
      <c r="F107" s="51"/>
      <c r="H107" s="26"/>
      <c r="I107" s="27"/>
      <c r="J107" s="51"/>
      <c r="K107" s="51"/>
      <c r="L107" s="51"/>
      <c r="N107" s="26"/>
      <c r="O107" s="27"/>
      <c r="P107" s="27"/>
      <c r="Q107" s="27"/>
    </row>
    <row r="108" spans="2:21" x14ac:dyDescent="0.75">
      <c r="B108" s="26"/>
      <c r="C108" s="27"/>
      <c r="D108" s="51"/>
      <c r="E108" s="51"/>
      <c r="F108" s="51"/>
      <c r="H108" s="26"/>
      <c r="I108" s="27"/>
      <c r="J108" s="51"/>
      <c r="K108" s="51"/>
      <c r="L108" s="51"/>
      <c r="N108" s="26"/>
      <c r="O108" s="27"/>
      <c r="P108" s="27"/>
      <c r="Q108" s="27"/>
    </row>
    <row r="109" spans="2:21" x14ac:dyDescent="0.75">
      <c r="B109" s="26"/>
      <c r="C109" s="27"/>
      <c r="D109" s="51"/>
      <c r="E109" s="51"/>
      <c r="F109" s="51"/>
      <c r="H109" s="26"/>
      <c r="I109" s="27"/>
      <c r="J109" s="51"/>
      <c r="K109" s="51"/>
      <c r="L109" s="51"/>
      <c r="N109" s="26"/>
      <c r="O109" s="27"/>
      <c r="P109" s="27"/>
      <c r="Q109" s="27"/>
    </row>
    <row r="110" spans="2:21" x14ac:dyDescent="0.75">
      <c r="B110" s="26"/>
      <c r="C110" s="27"/>
      <c r="D110" s="51"/>
      <c r="E110" s="51"/>
      <c r="F110" s="51"/>
      <c r="H110" s="26"/>
      <c r="I110" s="27"/>
      <c r="J110" s="51"/>
      <c r="K110" s="51"/>
      <c r="L110" s="51"/>
      <c r="N110" s="26"/>
      <c r="O110" s="27"/>
      <c r="P110" s="27"/>
      <c r="Q110" s="27"/>
    </row>
    <row r="111" spans="2:21" x14ac:dyDescent="0.75">
      <c r="B111" s="26"/>
      <c r="C111" s="27"/>
      <c r="D111" s="51"/>
      <c r="E111" s="51"/>
      <c r="F111" s="51"/>
      <c r="H111" s="26"/>
      <c r="I111" s="27"/>
      <c r="J111" s="51"/>
      <c r="K111" s="51"/>
      <c r="L111" s="51"/>
      <c r="N111" s="26"/>
      <c r="O111" s="27"/>
      <c r="P111" s="27"/>
      <c r="Q111" s="27"/>
    </row>
    <row r="112" spans="2:21" x14ac:dyDescent="0.75">
      <c r="B112" s="26"/>
      <c r="C112" s="27"/>
      <c r="D112" s="51"/>
      <c r="E112" s="51"/>
      <c r="F112" s="51"/>
      <c r="H112" s="26"/>
      <c r="I112" s="27"/>
      <c r="J112" s="51"/>
      <c r="K112" s="51"/>
      <c r="L112" s="51"/>
      <c r="N112" s="26"/>
      <c r="O112" s="27"/>
      <c r="P112" s="27"/>
      <c r="Q112" s="27"/>
    </row>
    <row r="113" spans="2:17" x14ac:dyDescent="0.75">
      <c r="B113" s="26"/>
      <c r="C113" s="27"/>
      <c r="D113" s="51"/>
      <c r="E113" s="51"/>
      <c r="F113" s="51"/>
      <c r="H113" s="26"/>
      <c r="I113" s="27"/>
      <c r="J113" s="51"/>
      <c r="K113" s="51"/>
      <c r="L113" s="51"/>
      <c r="N113" s="26"/>
      <c r="O113" s="27"/>
      <c r="P113" s="27"/>
      <c r="Q113" s="27"/>
    </row>
    <row r="114" spans="2:17" x14ac:dyDescent="0.75">
      <c r="B114" s="26"/>
      <c r="C114" s="27"/>
      <c r="D114" s="51"/>
      <c r="E114" s="51"/>
      <c r="F114" s="51"/>
      <c r="H114" s="26"/>
      <c r="I114" s="27"/>
      <c r="J114" s="51"/>
      <c r="K114" s="51"/>
      <c r="L114" s="51"/>
      <c r="N114" s="26"/>
      <c r="O114" s="27"/>
      <c r="P114" s="27"/>
      <c r="Q114" s="27"/>
    </row>
    <row r="115" spans="2:17" x14ac:dyDescent="0.75">
      <c r="B115" s="26"/>
      <c r="C115" s="27"/>
      <c r="D115" s="51"/>
      <c r="E115" s="51"/>
      <c r="F115" s="51"/>
      <c r="H115" s="26"/>
      <c r="I115" s="27"/>
      <c r="J115" s="51"/>
      <c r="K115" s="51"/>
      <c r="L115" s="51"/>
      <c r="N115" s="26"/>
      <c r="O115" s="27"/>
      <c r="P115" s="27"/>
      <c r="Q115" s="27"/>
    </row>
    <row r="116" spans="2:17" x14ac:dyDescent="0.75">
      <c r="B116" s="26"/>
      <c r="C116" s="27"/>
      <c r="D116" s="51"/>
      <c r="E116" s="51"/>
      <c r="F116" s="51"/>
      <c r="H116" s="26"/>
      <c r="I116" s="27"/>
      <c r="J116" s="51"/>
      <c r="K116" s="51"/>
      <c r="L116" s="51"/>
      <c r="N116" s="26"/>
      <c r="O116" s="27"/>
      <c r="P116" s="27"/>
      <c r="Q116" s="27"/>
    </row>
    <row r="117" spans="2:17" x14ac:dyDescent="0.75">
      <c r="B117" s="26"/>
      <c r="C117" s="27"/>
      <c r="D117" s="51"/>
      <c r="E117" s="51"/>
      <c r="F117" s="51"/>
      <c r="H117" s="26"/>
      <c r="I117" s="27"/>
      <c r="J117" s="51"/>
      <c r="K117" s="51"/>
      <c r="L117" s="51"/>
      <c r="N117" s="26"/>
      <c r="O117" s="27"/>
      <c r="P117" s="27"/>
      <c r="Q117" s="27"/>
    </row>
    <row r="118" spans="2:17" x14ac:dyDescent="0.75">
      <c r="B118" s="26"/>
      <c r="C118" s="27"/>
      <c r="D118" s="51"/>
      <c r="E118" s="51"/>
      <c r="F118" s="51"/>
      <c r="H118" s="26"/>
      <c r="I118" s="27"/>
      <c r="J118" s="51"/>
      <c r="K118" s="51"/>
      <c r="L118" s="51"/>
      <c r="N118" s="26"/>
      <c r="O118" s="27"/>
      <c r="P118" s="27"/>
      <c r="Q118" s="27"/>
    </row>
    <row r="119" spans="2:17" x14ac:dyDescent="0.75">
      <c r="B119" s="26"/>
      <c r="C119" s="27"/>
      <c r="D119" s="51"/>
      <c r="E119" s="51"/>
      <c r="F119" s="51"/>
      <c r="H119" s="26"/>
      <c r="I119" s="27"/>
      <c r="J119" s="51"/>
      <c r="K119" s="51"/>
      <c r="L119" s="51"/>
      <c r="N119" s="26"/>
      <c r="O119" s="27"/>
      <c r="P119" s="27"/>
      <c r="Q119" s="27"/>
    </row>
    <row r="120" spans="2:17" x14ac:dyDescent="0.75">
      <c r="B120" s="26"/>
      <c r="C120" s="27"/>
      <c r="D120" s="51"/>
      <c r="E120" s="51"/>
      <c r="F120" s="51"/>
      <c r="H120" s="26"/>
      <c r="I120" s="27"/>
      <c r="J120" s="51"/>
      <c r="K120" s="51"/>
      <c r="L120" s="51"/>
      <c r="N120" s="26"/>
      <c r="O120" s="27"/>
      <c r="P120" s="27"/>
      <c r="Q120" s="27"/>
    </row>
    <row r="121" spans="2:17" x14ac:dyDescent="0.75">
      <c r="B121" s="26"/>
      <c r="C121" s="27"/>
      <c r="D121" s="51"/>
      <c r="E121" s="51"/>
      <c r="F121" s="51"/>
      <c r="H121" s="26"/>
      <c r="I121" s="27"/>
      <c r="J121" s="51"/>
      <c r="K121" s="51"/>
      <c r="L121" s="51"/>
      <c r="N121" s="26"/>
      <c r="O121" s="27"/>
      <c r="P121" s="27"/>
      <c r="Q121" s="27"/>
    </row>
    <row r="122" spans="2:17" x14ac:dyDescent="0.75">
      <c r="B122" s="26"/>
      <c r="C122" s="27"/>
      <c r="D122" s="51"/>
      <c r="E122" s="51"/>
      <c r="F122" s="51"/>
      <c r="H122" s="26"/>
      <c r="I122" s="27"/>
      <c r="J122" s="51"/>
      <c r="K122" s="51"/>
      <c r="L122" s="51"/>
      <c r="N122" s="26"/>
      <c r="O122" s="27"/>
      <c r="P122" s="27"/>
      <c r="Q122" s="27"/>
    </row>
    <row r="123" spans="2:17" x14ac:dyDescent="0.75">
      <c r="B123" s="26"/>
      <c r="C123" s="27"/>
      <c r="D123" s="51"/>
      <c r="E123" s="51"/>
      <c r="F123" s="51"/>
      <c r="H123" s="26"/>
      <c r="I123" s="27"/>
      <c r="J123" s="51"/>
      <c r="K123" s="51"/>
      <c r="L123" s="51"/>
      <c r="N123" s="26"/>
      <c r="O123" s="27"/>
      <c r="P123" s="27"/>
      <c r="Q123" s="27"/>
    </row>
    <row r="124" spans="2:17" x14ac:dyDescent="0.75">
      <c r="B124" s="26"/>
      <c r="C124" s="27"/>
      <c r="D124" s="51"/>
      <c r="E124" s="51"/>
      <c r="F124" s="51"/>
      <c r="H124" s="26"/>
      <c r="I124" s="27"/>
      <c r="J124" s="51"/>
      <c r="K124" s="51"/>
      <c r="L124" s="51"/>
      <c r="N124" s="26"/>
      <c r="O124" s="27"/>
      <c r="P124" s="27"/>
      <c r="Q124" s="27"/>
    </row>
    <row r="125" spans="2:17" x14ac:dyDescent="0.75">
      <c r="B125" s="26"/>
      <c r="C125" s="27"/>
      <c r="D125" s="51"/>
      <c r="E125" s="51"/>
      <c r="F125" s="51"/>
      <c r="H125" s="26"/>
      <c r="I125" s="27"/>
      <c r="J125" s="51"/>
      <c r="K125" s="51"/>
      <c r="L125" s="51"/>
      <c r="N125" s="26"/>
      <c r="O125" s="27"/>
      <c r="P125" s="27"/>
      <c r="Q125" s="27"/>
    </row>
    <row r="126" spans="2:17" x14ac:dyDescent="0.75">
      <c r="B126" s="26"/>
      <c r="C126" s="27"/>
      <c r="D126" s="51"/>
      <c r="E126" s="51"/>
      <c r="F126" s="51"/>
      <c r="H126" s="26"/>
      <c r="I126" s="27"/>
      <c r="J126" s="51"/>
      <c r="K126" s="51"/>
      <c r="L126" s="51"/>
      <c r="N126" s="26"/>
      <c r="O126" s="27"/>
      <c r="P126" s="27"/>
      <c r="Q126" s="27"/>
    </row>
    <row r="127" spans="2:17" x14ac:dyDescent="0.75">
      <c r="B127" s="26"/>
      <c r="C127" s="27"/>
      <c r="D127" s="51"/>
      <c r="E127" s="51"/>
      <c r="F127" s="51"/>
      <c r="H127" s="26"/>
      <c r="I127" s="27"/>
      <c r="J127" s="51"/>
      <c r="K127" s="51"/>
      <c r="L127" s="51"/>
      <c r="N127" s="26"/>
      <c r="O127" s="27"/>
      <c r="P127" s="27"/>
      <c r="Q127" s="27"/>
    </row>
    <row r="128" spans="2:17" x14ac:dyDescent="0.75">
      <c r="B128" s="26"/>
      <c r="C128" s="27"/>
      <c r="D128" s="51"/>
      <c r="E128" s="51"/>
      <c r="F128" s="51"/>
      <c r="H128" s="26"/>
      <c r="I128" s="27"/>
      <c r="J128" s="51"/>
      <c r="K128" s="51"/>
      <c r="L128" s="51"/>
      <c r="N128" s="26"/>
      <c r="O128" s="27"/>
      <c r="P128" s="27"/>
      <c r="Q128" s="27"/>
    </row>
    <row r="129" spans="2:17" x14ac:dyDescent="0.75">
      <c r="B129" s="26"/>
      <c r="C129" s="27"/>
      <c r="D129" s="51"/>
      <c r="E129" s="51"/>
      <c r="F129" s="51"/>
      <c r="H129" s="26"/>
      <c r="I129" s="27"/>
      <c r="J129" s="51"/>
      <c r="K129" s="51"/>
      <c r="L129" s="51"/>
      <c r="N129" s="26"/>
      <c r="O129" s="27"/>
      <c r="P129" s="27"/>
      <c r="Q129" s="27"/>
    </row>
    <row r="130" spans="2:17" x14ac:dyDescent="0.75">
      <c r="B130" s="26"/>
      <c r="C130" s="27"/>
      <c r="D130" s="51"/>
      <c r="E130" s="51"/>
      <c r="F130" s="51"/>
      <c r="H130" s="26"/>
      <c r="I130" s="27"/>
      <c r="J130" s="51"/>
      <c r="K130" s="51"/>
      <c r="L130" s="51"/>
      <c r="N130" s="26"/>
      <c r="O130" s="27"/>
      <c r="P130" s="27"/>
      <c r="Q130" s="27"/>
    </row>
    <row r="131" spans="2:17" x14ac:dyDescent="0.75">
      <c r="B131" s="26"/>
      <c r="C131" s="27"/>
      <c r="D131" s="51"/>
      <c r="E131" s="51"/>
      <c r="F131" s="51"/>
      <c r="H131" s="26"/>
      <c r="I131" s="27"/>
      <c r="J131" s="51"/>
      <c r="K131" s="51"/>
      <c r="L131" s="51"/>
      <c r="N131" s="26"/>
      <c r="O131" s="27"/>
      <c r="P131" s="27"/>
      <c r="Q131" s="27"/>
    </row>
    <row r="132" spans="2:17" x14ac:dyDescent="0.75">
      <c r="B132" s="26"/>
      <c r="C132" s="27"/>
      <c r="D132" s="51"/>
      <c r="E132" s="51"/>
      <c r="F132" s="51"/>
      <c r="H132" s="26"/>
      <c r="I132" s="27"/>
      <c r="J132" s="51"/>
      <c r="K132" s="51"/>
      <c r="L132" s="51"/>
      <c r="N132" s="26"/>
      <c r="O132" s="27"/>
      <c r="P132" s="27"/>
      <c r="Q132" s="27"/>
    </row>
    <row r="133" spans="2:17" x14ac:dyDescent="0.75">
      <c r="B133" s="26"/>
      <c r="C133" s="27"/>
      <c r="D133" s="51"/>
      <c r="E133" s="51"/>
      <c r="F133" s="51"/>
      <c r="H133" s="26"/>
      <c r="I133" s="27"/>
      <c r="J133" s="51"/>
      <c r="K133" s="51"/>
      <c r="L133" s="51"/>
      <c r="N133" s="26"/>
      <c r="O133" s="27"/>
      <c r="P133" s="27"/>
      <c r="Q133" s="27"/>
    </row>
    <row r="134" spans="2:17" x14ac:dyDescent="0.75">
      <c r="B134" s="26"/>
      <c r="C134" s="27"/>
      <c r="D134" s="51"/>
      <c r="E134" s="51"/>
      <c r="F134" s="51"/>
      <c r="H134" s="26"/>
      <c r="I134" s="27"/>
      <c r="J134" s="51"/>
      <c r="K134" s="51"/>
      <c r="L134" s="51"/>
      <c r="N134" s="26"/>
      <c r="O134" s="27"/>
      <c r="P134" s="27"/>
      <c r="Q134" s="27"/>
    </row>
    <row r="135" spans="2:17" x14ac:dyDescent="0.75">
      <c r="B135" s="26"/>
      <c r="C135" s="27"/>
      <c r="D135" s="51"/>
      <c r="E135" s="51"/>
      <c r="F135" s="51"/>
      <c r="H135" s="26"/>
      <c r="I135" s="27"/>
      <c r="J135" s="51"/>
      <c r="K135" s="51"/>
      <c r="L135" s="51"/>
      <c r="N135" s="26"/>
      <c r="O135" s="27"/>
      <c r="P135" s="27"/>
      <c r="Q135" s="27"/>
    </row>
    <row r="136" spans="2:17" x14ac:dyDescent="0.75">
      <c r="B136" s="26"/>
      <c r="C136" s="27"/>
      <c r="D136" s="51"/>
      <c r="E136" s="51"/>
      <c r="F136" s="51"/>
      <c r="H136" s="26"/>
      <c r="I136" s="27"/>
      <c r="J136" s="51"/>
      <c r="K136" s="51"/>
      <c r="L136" s="51"/>
      <c r="N136" s="26"/>
      <c r="O136" s="27"/>
      <c r="P136" s="27"/>
      <c r="Q136" s="27"/>
    </row>
    <row r="137" spans="2:17" x14ac:dyDescent="0.75">
      <c r="B137" s="26"/>
      <c r="C137" s="27"/>
      <c r="D137" s="51"/>
      <c r="E137" s="51"/>
      <c r="F137" s="51"/>
      <c r="H137" s="26"/>
      <c r="I137" s="27"/>
      <c r="J137" s="51"/>
      <c r="K137" s="51"/>
      <c r="L137" s="51"/>
      <c r="N137" s="26"/>
      <c r="O137" s="27"/>
      <c r="P137" s="27"/>
      <c r="Q137" s="27"/>
    </row>
    <row r="138" spans="2:17" x14ac:dyDescent="0.75">
      <c r="B138" s="26"/>
      <c r="C138" s="27"/>
      <c r="D138" s="51"/>
      <c r="E138" s="51"/>
      <c r="F138" s="51"/>
      <c r="H138" s="26"/>
      <c r="I138" s="27"/>
      <c r="J138" s="51"/>
      <c r="K138" s="51"/>
      <c r="L138" s="51"/>
      <c r="N138" s="26"/>
      <c r="O138" s="27"/>
      <c r="P138" s="27"/>
      <c r="Q138" s="27"/>
    </row>
    <row r="139" spans="2:17" x14ac:dyDescent="0.75">
      <c r="B139" s="26"/>
      <c r="C139" s="27"/>
      <c r="D139" s="51"/>
      <c r="E139" s="51"/>
      <c r="F139" s="51"/>
      <c r="H139" s="26"/>
      <c r="I139" s="27"/>
      <c r="J139" s="51"/>
      <c r="K139" s="51"/>
      <c r="L139" s="51"/>
      <c r="N139" s="26"/>
      <c r="O139" s="27"/>
      <c r="P139" s="27"/>
      <c r="Q139" s="27"/>
    </row>
    <row r="140" spans="2:17" x14ac:dyDescent="0.75">
      <c r="B140" s="26"/>
      <c r="C140" s="27"/>
      <c r="D140" s="51"/>
      <c r="E140" s="51"/>
      <c r="F140" s="51"/>
      <c r="H140" s="26"/>
      <c r="I140" s="27"/>
      <c r="J140" s="51"/>
      <c r="K140" s="51"/>
      <c r="L140" s="51"/>
      <c r="N140" s="26"/>
      <c r="O140" s="27"/>
      <c r="P140" s="27"/>
      <c r="Q140" s="27"/>
    </row>
    <row r="141" spans="2:17" x14ac:dyDescent="0.75">
      <c r="B141" s="26"/>
      <c r="C141" s="27"/>
      <c r="D141" s="51"/>
      <c r="E141" s="51"/>
      <c r="F141" s="51"/>
      <c r="H141" s="26"/>
      <c r="I141" s="27"/>
      <c r="J141" s="51"/>
      <c r="K141" s="51"/>
      <c r="L141" s="51"/>
      <c r="N141" s="26"/>
      <c r="O141" s="27"/>
      <c r="P141" s="27"/>
      <c r="Q141" s="27"/>
    </row>
    <row r="142" spans="2:17" x14ac:dyDescent="0.75">
      <c r="B142" s="26"/>
      <c r="C142" s="27"/>
      <c r="D142" s="51"/>
      <c r="E142" s="51"/>
      <c r="F142" s="51"/>
      <c r="H142" s="26"/>
      <c r="I142" s="27"/>
      <c r="J142" s="51"/>
      <c r="K142" s="51"/>
      <c r="L142" s="51"/>
      <c r="N142" s="26"/>
      <c r="O142" s="27"/>
      <c r="P142" s="27"/>
      <c r="Q142" s="27"/>
    </row>
    <row r="143" spans="2:17" x14ac:dyDescent="0.75">
      <c r="B143" s="26"/>
      <c r="C143" s="27"/>
      <c r="D143" s="51"/>
      <c r="E143" s="51"/>
      <c r="F143" s="51"/>
      <c r="H143" s="26"/>
      <c r="I143" s="27"/>
      <c r="J143" s="51"/>
      <c r="K143" s="51"/>
      <c r="L143" s="51"/>
      <c r="N143" s="26"/>
      <c r="O143" s="27"/>
      <c r="P143" s="27"/>
      <c r="Q143" s="27"/>
    </row>
    <row r="144" spans="2:17" x14ac:dyDescent="0.75">
      <c r="B144" s="26"/>
      <c r="C144" s="27"/>
      <c r="D144" s="51"/>
      <c r="E144" s="51"/>
      <c r="F144" s="51"/>
      <c r="H144" s="26"/>
      <c r="I144" s="27"/>
      <c r="J144" s="51"/>
      <c r="K144" s="51"/>
      <c r="L144" s="51"/>
      <c r="N144" s="26"/>
      <c r="O144" s="27"/>
      <c r="P144" s="27"/>
      <c r="Q144" s="27"/>
    </row>
    <row r="145" spans="2:17" x14ac:dyDescent="0.75">
      <c r="B145" s="26"/>
      <c r="C145" s="27"/>
      <c r="D145" s="51"/>
      <c r="E145" s="51"/>
      <c r="F145" s="51"/>
      <c r="H145" s="26"/>
      <c r="I145" s="27"/>
      <c r="J145" s="51"/>
      <c r="K145" s="51"/>
      <c r="L145" s="51"/>
      <c r="N145" s="26"/>
      <c r="O145" s="27"/>
      <c r="P145" s="27"/>
      <c r="Q145" s="27"/>
    </row>
    <row r="146" spans="2:17" x14ac:dyDescent="0.75">
      <c r="B146" s="26"/>
      <c r="C146" s="27"/>
      <c r="D146" s="51"/>
      <c r="E146" s="51"/>
      <c r="F146" s="51"/>
      <c r="H146" s="26"/>
      <c r="I146" s="27"/>
      <c r="J146" s="51"/>
      <c r="K146" s="51"/>
      <c r="L146" s="51"/>
      <c r="N146" s="26"/>
      <c r="O146" s="27"/>
      <c r="P146" s="27"/>
      <c r="Q146" s="27"/>
    </row>
    <row r="147" spans="2:17" x14ac:dyDescent="0.75">
      <c r="B147" s="26"/>
      <c r="C147" s="27"/>
      <c r="D147" s="51"/>
      <c r="E147" s="51"/>
      <c r="F147" s="51"/>
      <c r="H147" s="26"/>
      <c r="I147" s="27"/>
      <c r="J147" s="51"/>
      <c r="K147" s="51"/>
      <c r="L147" s="51"/>
      <c r="N147" s="26"/>
      <c r="O147" s="27"/>
      <c r="P147" s="27"/>
      <c r="Q147" s="27"/>
    </row>
    <row r="148" spans="2:17" x14ac:dyDescent="0.75">
      <c r="B148" s="26"/>
      <c r="C148" s="27"/>
      <c r="D148" s="51"/>
      <c r="E148" s="51"/>
      <c r="F148" s="51"/>
      <c r="H148" s="26"/>
      <c r="I148" s="27"/>
      <c r="J148" s="51"/>
      <c r="K148" s="51"/>
      <c r="L148" s="51"/>
      <c r="N148" s="26"/>
      <c r="O148" s="27"/>
      <c r="P148" s="27"/>
      <c r="Q148" s="27"/>
    </row>
    <row r="149" spans="2:17" x14ac:dyDescent="0.75">
      <c r="B149" s="26"/>
      <c r="C149" s="27"/>
      <c r="D149" s="51"/>
      <c r="E149" s="51"/>
      <c r="F149" s="51"/>
      <c r="H149" s="26"/>
      <c r="I149" s="27"/>
      <c r="J149" s="51"/>
      <c r="K149" s="51"/>
      <c r="L149" s="51"/>
      <c r="N149" s="26"/>
      <c r="O149" s="27"/>
      <c r="P149" s="27"/>
      <c r="Q149" s="27"/>
    </row>
    <row r="150" spans="2:17" x14ac:dyDescent="0.75">
      <c r="B150" s="26"/>
      <c r="C150" s="27"/>
      <c r="D150" s="51"/>
      <c r="E150" s="51"/>
      <c r="F150" s="51"/>
      <c r="H150" s="26"/>
      <c r="I150" s="27"/>
      <c r="J150" s="51"/>
      <c r="K150" s="51"/>
      <c r="L150" s="51"/>
      <c r="N150" s="26"/>
      <c r="O150" s="27"/>
      <c r="P150" s="27"/>
      <c r="Q150" s="27"/>
    </row>
    <row r="151" spans="2:17" x14ac:dyDescent="0.75">
      <c r="B151" s="26"/>
      <c r="C151" s="27"/>
      <c r="D151" s="51"/>
      <c r="E151" s="51"/>
      <c r="F151" s="51"/>
      <c r="H151" s="26"/>
      <c r="I151" s="27"/>
      <c r="J151" s="51"/>
      <c r="K151" s="51"/>
      <c r="L151" s="51"/>
      <c r="N151" s="26"/>
      <c r="O151" s="27"/>
      <c r="P151" s="27"/>
      <c r="Q151" s="27"/>
    </row>
    <row r="152" spans="2:17" x14ac:dyDescent="0.75">
      <c r="B152" s="26"/>
      <c r="C152" s="27"/>
      <c r="D152" s="51"/>
      <c r="E152" s="51"/>
      <c r="F152" s="51"/>
      <c r="H152" s="26"/>
      <c r="I152" s="27"/>
      <c r="J152" s="51"/>
      <c r="K152" s="51"/>
      <c r="L152" s="51"/>
      <c r="N152" s="26"/>
      <c r="O152" s="27"/>
      <c r="P152" s="27"/>
      <c r="Q152" s="27"/>
    </row>
    <row r="153" spans="2:17" x14ac:dyDescent="0.75">
      <c r="B153" s="26"/>
      <c r="C153" s="27"/>
      <c r="D153" s="51"/>
      <c r="E153" s="51"/>
      <c r="F153" s="51"/>
      <c r="H153" s="26"/>
      <c r="I153" s="27"/>
      <c r="J153" s="51"/>
      <c r="K153" s="51"/>
      <c r="L153" s="51"/>
      <c r="N153" s="26"/>
      <c r="O153" s="27"/>
      <c r="P153" s="27"/>
      <c r="Q153" s="27"/>
    </row>
    <row r="154" spans="2:17" x14ac:dyDescent="0.75">
      <c r="B154" s="26"/>
      <c r="C154" s="27"/>
      <c r="D154" s="51"/>
      <c r="E154" s="51"/>
      <c r="F154" s="51"/>
      <c r="H154" s="26"/>
      <c r="I154" s="27"/>
      <c r="J154" s="51"/>
      <c r="K154" s="51"/>
      <c r="L154" s="51"/>
      <c r="N154" s="26"/>
      <c r="O154" s="27"/>
      <c r="P154" s="27"/>
      <c r="Q154" s="27"/>
    </row>
    <row r="155" spans="2:17" x14ac:dyDescent="0.75">
      <c r="B155" s="26"/>
      <c r="C155" s="27"/>
      <c r="D155" s="51"/>
      <c r="E155" s="51"/>
      <c r="F155" s="51"/>
      <c r="H155" s="26"/>
      <c r="I155" s="27"/>
      <c r="J155" s="51"/>
      <c r="K155" s="51"/>
      <c r="L155" s="51"/>
      <c r="N155" s="26"/>
      <c r="O155" s="27"/>
      <c r="P155" s="27"/>
      <c r="Q155" s="27"/>
    </row>
    <row r="156" spans="2:17" x14ac:dyDescent="0.75">
      <c r="B156" s="38"/>
      <c r="C156" s="38"/>
      <c r="D156" s="38"/>
      <c r="E156" s="38"/>
      <c r="F156" s="38"/>
      <c r="H156" s="38"/>
      <c r="I156" s="38"/>
      <c r="J156" s="38"/>
      <c r="K156" s="38"/>
      <c r="L156" s="38"/>
      <c r="N156" s="38"/>
      <c r="O156" s="38"/>
      <c r="P156" s="38"/>
      <c r="Q156" s="38"/>
    </row>
    <row r="157" spans="2:17" x14ac:dyDescent="0.75"/>
  </sheetData>
  <conditionalFormatting sqref="C155:F155">
    <cfRule type="cellIs" dxfId="10" priority="7" operator="lessThan">
      <formula>0</formula>
    </cfRule>
    <cfRule type="cellIs" dxfId="9" priority="8" operator="greaterThan">
      <formula>0</formula>
    </cfRule>
    <cfRule type="cellIs" dxfId="8" priority="9" operator="equal">
      <formula>0</formula>
    </cfRule>
  </conditionalFormatting>
  <conditionalFormatting sqref="I155:L155">
    <cfRule type="cellIs" dxfId="7" priority="4" operator="lessThan">
      <formula>0</formula>
    </cfRule>
    <cfRule type="cellIs" dxfId="6" priority="5" operator="greaterThan">
      <formula>0</formula>
    </cfRule>
    <cfRule type="cellIs" dxfId="5" priority="6" operator="equal">
      <formula>0</formula>
    </cfRule>
  </conditionalFormatting>
  <conditionalFormatting sqref="O155:Q155">
    <cfRule type="cellIs" dxfId="4" priority="1" operator="lessThan">
      <formula>0</formula>
    </cfRule>
    <cfRule type="cellIs" dxfId="3" priority="2" operator="greaterThan">
      <formula>0</formula>
    </cfRule>
    <cfRule type="cellIs" dxfId="2" priority="3" operator="equal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0659-9B8A-40E7-8F9B-F21F0DF2A891}">
  <sheetPr>
    <tabColor theme="8" tint="-0.499984740745262"/>
  </sheetPr>
  <dimension ref="A1:FB308"/>
  <sheetViews>
    <sheetView zoomScale="85" zoomScaleNormal="85" workbookViewId="0">
      <pane xSplit="7" ySplit="6" topLeftCell="H151" activePane="bottomRight" state="frozen"/>
      <selection activeCell="D10" sqref="D10"/>
      <selection pane="topRight" activeCell="D10" sqref="D10"/>
      <selection pane="bottomLeft" activeCell="D10" sqref="D10"/>
      <selection pane="bottomRight" activeCell="V175" sqref="V175"/>
    </sheetView>
  </sheetViews>
  <sheetFormatPr defaultColWidth="0" defaultRowHeight="14.75" zeroHeight="1" x14ac:dyDescent="0.75"/>
  <cols>
    <col min="1" max="2" width="2.453125" customWidth="1"/>
    <col min="3" max="4" width="9.08984375" customWidth="1"/>
    <col min="5" max="6" width="2.453125" customWidth="1"/>
    <col min="7" max="152" width="9.08984375" customWidth="1"/>
    <col min="153" max="153" width="2.453125" customWidth="1"/>
    <col min="154" max="158" width="0" hidden="1" customWidth="1"/>
    <col min="159" max="16384" width="9.08984375" hidden="1"/>
  </cols>
  <sheetData>
    <row r="1" spans="1:153" ht="18.5" x14ac:dyDescent="0.9">
      <c r="A1" s="23" t="s">
        <v>223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</row>
    <row r="2" spans="1:153" x14ac:dyDescent="0.75"/>
    <row r="3" spans="1:153" x14ac:dyDescent="0.75"/>
    <row r="4" spans="1:153" x14ac:dyDescent="0.75">
      <c r="B4" s="35"/>
      <c r="C4" s="29" t="s">
        <v>138</v>
      </c>
      <c r="D4" s="29"/>
      <c r="F4" s="35"/>
      <c r="G4" s="29" t="s">
        <v>386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</row>
    <row r="5" spans="1:153" x14ac:dyDescent="0.75">
      <c r="B5" s="40"/>
      <c r="C5" s="42"/>
      <c r="D5" s="42"/>
      <c r="F5" s="40"/>
      <c r="G5" s="42"/>
      <c r="H5" s="53" t="s">
        <v>31</v>
      </c>
      <c r="I5" s="53" t="s">
        <v>32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</row>
    <row r="6" spans="1:153" x14ac:dyDescent="0.75">
      <c r="B6" s="26"/>
      <c r="D6" s="49" t="s">
        <v>30</v>
      </c>
      <c r="F6" s="26"/>
      <c r="G6" s="27"/>
      <c r="H6" s="27" t="s">
        <v>662</v>
      </c>
      <c r="I6" s="27" t="s">
        <v>663</v>
      </c>
      <c r="J6" s="27" t="s">
        <v>664</v>
      </c>
      <c r="K6" s="27" t="s">
        <v>665</v>
      </c>
      <c r="L6" s="27" t="s">
        <v>666</v>
      </c>
      <c r="M6" s="27" t="s">
        <v>656</v>
      </c>
      <c r="N6" s="27" t="s">
        <v>657</v>
      </c>
      <c r="O6" s="27" t="s">
        <v>658</v>
      </c>
      <c r="P6" s="27" t="s">
        <v>659</v>
      </c>
      <c r="Q6" s="27" t="s">
        <v>660</v>
      </c>
      <c r="R6" s="27" t="s">
        <v>752</v>
      </c>
      <c r="S6" s="27" t="s">
        <v>753</v>
      </c>
      <c r="T6" s="27" t="s">
        <v>754</v>
      </c>
      <c r="U6" s="27" t="s">
        <v>755</v>
      </c>
      <c r="V6" s="27" t="s">
        <v>756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</row>
    <row r="7" spans="1:153" x14ac:dyDescent="0.75">
      <c r="B7" s="26"/>
      <c r="C7" s="27" t="s">
        <v>662</v>
      </c>
      <c r="D7" s="50">
        <v>-1</v>
      </c>
      <c r="F7" s="26"/>
      <c r="G7" s="27" t="s">
        <v>463</v>
      </c>
      <c r="H7" s="50">
        <v>1</v>
      </c>
      <c r="I7" s="50">
        <v>1</v>
      </c>
      <c r="J7" s="50">
        <v>1</v>
      </c>
      <c r="K7" s="50">
        <v>1</v>
      </c>
      <c r="L7" s="50">
        <v>1</v>
      </c>
      <c r="M7" s="50">
        <v>1</v>
      </c>
      <c r="N7" s="50">
        <v>1</v>
      </c>
      <c r="O7" s="50">
        <v>1</v>
      </c>
      <c r="P7" s="50">
        <v>1</v>
      </c>
      <c r="Q7" s="50">
        <v>1</v>
      </c>
      <c r="R7" s="50">
        <v>1</v>
      </c>
      <c r="S7" s="50">
        <v>1</v>
      </c>
      <c r="T7" s="50">
        <v>1</v>
      </c>
      <c r="U7" s="50">
        <v>1</v>
      </c>
      <c r="V7" s="50">
        <v>1</v>
      </c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</row>
    <row r="8" spans="1:153" x14ac:dyDescent="0.75">
      <c r="B8" s="26"/>
      <c r="C8" s="27" t="s">
        <v>663</v>
      </c>
      <c r="D8" s="50">
        <v>-1</v>
      </c>
      <c r="F8" s="26"/>
      <c r="G8" s="27" t="s">
        <v>285</v>
      </c>
      <c r="H8" s="50">
        <v>1</v>
      </c>
      <c r="I8" s="50">
        <v>1</v>
      </c>
      <c r="J8" s="50">
        <v>1</v>
      </c>
      <c r="K8" s="50">
        <v>1</v>
      </c>
      <c r="L8" s="50">
        <v>1</v>
      </c>
      <c r="M8" s="50">
        <v>1</v>
      </c>
      <c r="N8" s="50">
        <v>1</v>
      </c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0">
        <v>1</v>
      </c>
      <c r="U8" s="50">
        <v>1</v>
      </c>
      <c r="V8" s="50">
        <v>1</v>
      </c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</row>
    <row r="9" spans="1:153" x14ac:dyDescent="0.75">
      <c r="B9" s="26"/>
      <c r="C9" s="27" t="s">
        <v>664</v>
      </c>
      <c r="D9" s="50">
        <v>-1</v>
      </c>
      <c r="F9" s="26"/>
      <c r="G9" s="27" t="s">
        <v>464</v>
      </c>
      <c r="H9" s="50">
        <v>1</v>
      </c>
      <c r="I9" s="50">
        <v>1</v>
      </c>
      <c r="J9" s="50">
        <v>1</v>
      </c>
      <c r="K9" s="50">
        <v>1</v>
      </c>
      <c r="L9" s="50">
        <v>1</v>
      </c>
      <c r="M9" s="50">
        <v>1</v>
      </c>
      <c r="N9" s="50">
        <v>1</v>
      </c>
      <c r="O9" s="50">
        <v>1</v>
      </c>
      <c r="P9" s="50">
        <v>1</v>
      </c>
      <c r="Q9" s="50">
        <v>1</v>
      </c>
      <c r="R9" s="50">
        <v>1</v>
      </c>
      <c r="S9" s="50">
        <v>1</v>
      </c>
      <c r="T9" s="50">
        <v>1</v>
      </c>
      <c r="U9" s="50">
        <v>1</v>
      </c>
      <c r="V9" s="50">
        <v>1</v>
      </c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</row>
    <row r="10" spans="1:153" x14ac:dyDescent="0.75">
      <c r="B10" s="26"/>
      <c r="C10" s="27" t="s">
        <v>665</v>
      </c>
      <c r="D10" s="50">
        <v>-1</v>
      </c>
      <c r="F10" s="26"/>
      <c r="G10" s="27" t="s">
        <v>697</v>
      </c>
      <c r="H10" s="50">
        <v>1</v>
      </c>
      <c r="I10" s="50">
        <v>1</v>
      </c>
      <c r="J10" s="50">
        <v>1</v>
      </c>
      <c r="K10" s="50">
        <v>1</v>
      </c>
      <c r="L10" s="50">
        <v>1</v>
      </c>
      <c r="M10" s="50">
        <v>1</v>
      </c>
      <c r="N10" s="50">
        <v>1</v>
      </c>
      <c r="O10" s="50">
        <v>1</v>
      </c>
      <c r="P10" s="50">
        <v>1</v>
      </c>
      <c r="Q10" s="50">
        <v>1</v>
      </c>
      <c r="R10" s="50">
        <v>1</v>
      </c>
      <c r="S10" s="50">
        <v>1</v>
      </c>
      <c r="T10" s="50">
        <v>1</v>
      </c>
      <c r="U10" s="50">
        <v>1</v>
      </c>
      <c r="V10" s="50">
        <v>1</v>
      </c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</row>
    <row r="11" spans="1:153" x14ac:dyDescent="0.75">
      <c r="B11" s="26"/>
      <c r="C11" s="27" t="s">
        <v>666</v>
      </c>
      <c r="D11" s="50">
        <v>-1</v>
      </c>
      <c r="F11" s="26"/>
      <c r="G11" s="27" t="s">
        <v>353</v>
      </c>
      <c r="H11" s="50">
        <v>1</v>
      </c>
      <c r="I11" s="50">
        <v>1</v>
      </c>
      <c r="J11" s="50">
        <v>1</v>
      </c>
      <c r="K11" s="50">
        <v>1</v>
      </c>
      <c r="L11" s="50">
        <v>1</v>
      </c>
      <c r="M11" s="50">
        <v>1</v>
      </c>
      <c r="N11" s="50">
        <v>1</v>
      </c>
      <c r="O11" s="50">
        <v>1</v>
      </c>
      <c r="P11" s="50">
        <v>1</v>
      </c>
      <c r="Q11" s="50">
        <v>1</v>
      </c>
      <c r="R11" s="50">
        <v>1</v>
      </c>
      <c r="S11" s="50">
        <v>1</v>
      </c>
      <c r="T11" s="50">
        <v>1</v>
      </c>
      <c r="U11" s="50">
        <v>1</v>
      </c>
      <c r="V11" s="50">
        <v>1</v>
      </c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</row>
    <row r="12" spans="1:153" x14ac:dyDescent="0.75">
      <c r="B12" s="26"/>
      <c r="C12" s="27" t="s">
        <v>656</v>
      </c>
      <c r="D12" s="50">
        <v>-1</v>
      </c>
      <c r="F12" s="26"/>
      <c r="G12" s="27" t="s">
        <v>560</v>
      </c>
      <c r="H12" s="50">
        <v>1</v>
      </c>
      <c r="I12" s="50">
        <v>1</v>
      </c>
      <c r="J12" s="50">
        <v>1</v>
      </c>
      <c r="K12" s="50">
        <v>1</v>
      </c>
      <c r="L12" s="50">
        <v>1</v>
      </c>
      <c r="M12" s="50">
        <v>1</v>
      </c>
      <c r="N12" s="50">
        <v>1</v>
      </c>
      <c r="O12" s="50">
        <v>1</v>
      </c>
      <c r="P12" s="50">
        <v>1</v>
      </c>
      <c r="Q12" s="50">
        <v>1</v>
      </c>
      <c r="R12" s="50">
        <v>1</v>
      </c>
      <c r="S12" s="50">
        <v>1</v>
      </c>
      <c r="T12" s="50">
        <v>1</v>
      </c>
      <c r="U12" s="50">
        <v>1</v>
      </c>
      <c r="V12" s="50">
        <v>1</v>
      </c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</row>
    <row r="13" spans="1:153" x14ac:dyDescent="0.75">
      <c r="B13" s="26"/>
      <c r="C13" s="27" t="s">
        <v>657</v>
      </c>
      <c r="D13" s="50">
        <v>-1</v>
      </c>
      <c r="F13" s="26"/>
      <c r="G13" s="27" t="s">
        <v>465</v>
      </c>
      <c r="H13" s="50">
        <v>1</v>
      </c>
      <c r="I13" s="50">
        <v>1</v>
      </c>
      <c r="J13" s="50">
        <v>1</v>
      </c>
      <c r="K13" s="50">
        <v>1</v>
      </c>
      <c r="L13" s="50">
        <v>1</v>
      </c>
      <c r="M13" s="50">
        <v>1</v>
      </c>
      <c r="N13" s="50">
        <v>1</v>
      </c>
      <c r="O13" s="50">
        <v>1</v>
      </c>
      <c r="P13" s="50">
        <v>1</v>
      </c>
      <c r="Q13" s="50">
        <v>1</v>
      </c>
      <c r="R13" s="50">
        <v>1</v>
      </c>
      <c r="S13" s="50">
        <v>1</v>
      </c>
      <c r="T13" s="50">
        <v>1</v>
      </c>
      <c r="U13" s="50">
        <v>1</v>
      </c>
      <c r="V13" s="50">
        <v>1</v>
      </c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</row>
    <row r="14" spans="1:153" x14ac:dyDescent="0.75">
      <c r="B14" s="26"/>
      <c r="C14" s="27" t="s">
        <v>658</v>
      </c>
      <c r="D14" s="50">
        <v>-1</v>
      </c>
      <c r="F14" s="26"/>
      <c r="G14" s="27" t="s">
        <v>557</v>
      </c>
      <c r="H14" s="50">
        <v>1</v>
      </c>
      <c r="I14" s="50">
        <v>1</v>
      </c>
      <c r="J14" s="50">
        <v>1</v>
      </c>
      <c r="K14" s="50">
        <v>1</v>
      </c>
      <c r="L14" s="50">
        <v>1</v>
      </c>
      <c r="M14" s="50">
        <v>1</v>
      </c>
      <c r="N14" s="50">
        <v>1</v>
      </c>
      <c r="O14" s="50">
        <v>1</v>
      </c>
      <c r="P14" s="50">
        <v>1</v>
      </c>
      <c r="Q14" s="50">
        <v>1</v>
      </c>
      <c r="R14" s="50">
        <v>1</v>
      </c>
      <c r="S14" s="50">
        <v>1</v>
      </c>
      <c r="T14" s="50">
        <v>1</v>
      </c>
      <c r="U14" s="50">
        <v>1</v>
      </c>
      <c r="V14" s="50">
        <v>1</v>
      </c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</row>
    <row r="15" spans="1:153" x14ac:dyDescent="0.75">
      <c r="B15" s="26"/>
      <c r="C15" s="27" t="s">
        <v>659</v>
      </c>
      <c r="D15" s="50">
        <v>-1</v>
      </c>
      <c r="F15" s="26"/>
      <c r="G15" s="27" t="s">
        <v>288</v>
      </c>
      <c r="H15" s="50">
        <v>1</v>
      </c>
      <c r="I15" s="50">
        <v>1</v>
      </c>
      <c r="J15" s="50">
        <v>1</v>
      </c>
      <c r="K15" s="50">
        <v>1</v>
      </c>
      <c r="L15" s="50">
        <v>1</v>
      </c>
      <c r="M15" s="50">
        <v>1</v>
      </c>
      <c r="N15" s="50">
        <v>1</v>
      </c>
      <c r="O15" s="50">
        <v>1</v>
      </c>
      <c r="P15" s="50">
        <v>1</v>
      </c>
      <c r="Q15" s="50">
        <v>1</v>
      </c>
      <c r="R15" s="50">
        <v>1</v>
      </c>
      <c r="S15" s="50">
        <v>1</v>
      </c>
      <c r="T15" s="50">
        <v>1</v>
      </c>
      <c r="U15" s="50">
        <v>1</v>
      </c>
      <c r="V15" s="50">
        <v>1</v>
      </c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</row>
    <row r="16" spans="1:153" x14ac:dyDescent="0.75">
      <c r="B16" s="26"/>
      <c r="C16" s="27" t="s">
        <v>660</v>
      </c>
      <c r="D16" s="50">
        <v>-1</v>
      </c>
      <c r="F16" s="26"/>
      <c r="G16" s="27" t="s">
        <v>698</v>
      </c>
      <c r="H16" s="50">
        <v>1</v>
      </c>
      <c r="I16" s="50">
        <v>1</v>
      </c>
      <c r="J16" s="50">
        <v>1</v>
      </c>
      <c r="K16" s="50">
        <v>1</v>
      </c>
      <c r="L16" s="50">
        <v>1</v>
      </c>
      <c r="M16" s="50">
        <v>1</v>
      </c>
      <c r="N16" s="50">
        <v>1</v>
      </c>
      <c r="O16" s="50">
        <v>1</v>
      </c>
      <c r="P16" s="50">
        <v>1</v>
      </c>
      <c r="Q16" s="50">
        <v>1</v>
      </c>
      <c r="R16" s="50">
        <v>1</v>
      </c>
      <c r="S16" s="50">
        <v>1</v>
      </c>
      <c r="T16" s="50">
        <v>1</v>
      </c>
      <c r="U16" s="50">
        <v>1</v>
      </c>
      <c r="V16" s="50">
        <v>1</v>
      </c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</row>
    <row r="17" spans="2:152" x14ac:dyDescent="0.75">
      <c r="B17" s="26"/>
      <c r="C17" s="27" t="s">
        <v>752</v>
      </c>
      <c r="D17" s="50">
        <v>-1</v>
      </c>
      <c r="F17" s="26"/>
      <c r="G17" s="27" t="s">
        <v>699</v>
      </c>
      <c r="H17" s="50">
        <v>1</v>
      </c>
      <c r="I17" s="50">
        <v>1</v>
      </c>
      <c r="J17" s="50">
        <v>1</v>
      </c>
      <c r="K17" s="50">
        <v>1</v>
      </c>
      <c r="L17" s="50">
        <v>1</v>
      </c>
      <c r="M17" s="50">
        <v>1</v>
      </c>
      <c r="N17" s="50">
        <v>1</v>
      </c>
      <c r="O17" s="50">
        <v>1</v>
      </c>
      <c r="P17" s="50">
        <v>1</v>
      </c>
      <c r="Q17" s="50">
        <v>1</v>
      </c>
      <c r="R17" s="50">
        <v>1</v>
      </c>
      <c r="S17" s="50">
        <v>1</v>
      </c>
      <c r="T17" s="50">
        <v>1</v>
      </c>
      <c r="U17" s="50">
        <v>1</v>
      </c>
      <c r="V17" s="50">
        <v>1</v>
      </c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</row>
    <row r="18" spans="2:152" x14ac:dyDescent="0.75">
      <c r="B18" s="26"/>
      <c r="C18" s="27" t="s">
        <v>753</v>
      </c>
      <c r="D18" s="50">
        <v>-1</v>
      </c>
      <c r="F18" s="26"/>
      <c r="G18" s="27" t="s">
        <v>289</v>
      </c>
      <c r="H18" s="50">
        <v>1</v>
      </c>
      <c r="I18" s="50">
        <v>1</v>
      </c>
      <c r="J18" s="50">
        <v>1</v>
      </c>
      <c r="K18" s="50">
        <v>1</v>
      </c>
      <c r="L18" s="50">
        <v>1</v>
      </c>
      <c r="M18" s="50">
        <v>1</v>
      </c>
      <c r="N18" s="50">
        <v>1</v>
      </c>
      <c r="O18" s="50">
        <v>1</v>
      </c>
      <c r="P18" s="50">
        <v>1</v>
      </c>
      <c r="Q18" s="50">
        <v>1</v>
      </c>
      <c r="R18" s="50">
        <v>1</v>
      </c>
      <c r="S18" s="50">
        <v>1</v>
      </c>
      <c r="T18" s="50">
        <v>1</v>
      </c>
      <c r="U18" s="50">
        <v>1</v>
      </c>
      <c r="V18" s="50">
        <v>1</v>
      </c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</row>
    <row r="19" spans="2:152" x14ac:dyDescent="0.75">
      <c r="B19" s="26"/>
      <c r="C19" s="27" t="s">
        <v>754</v>
      </c>
      <c r="D19" s="50">
        <v>-1</v>
      </c>
      <c r="F19" s="26"/>
      <c r="G19" s="27" t="s">
        <v>700</v>
      </c>
      <c r="H19" s="50">
        <v>1</v>
      </c>
      <c r="I19" s="50">
        <v>1</v>
      </c>
      <c r="J19" s="50">
        <v>1</v>
      </c>
      <c r="K19" s="50">
        <v>1</v>
      </c>
      <c r="L19" s="50">
        <v>1</v>
      </c>
      <c r="M19" s="50">
        <v>1</v>
      </c>
      <c r="N19" s="50">
        <v>1</v>
      </c>
      <c r="O19" s="50">
        <v>1</v>
      </c>
      <c r="P19" s="50">
        <v>1</v>
      </c>
      <c r="Q19" s="50">
        <v>1</v>
      </c>
      <c r="R19" s="50">
        <v>1</v>
      </c>
      <c r="S19" s="50">
        <v>1</v>
      </c>
      <c r="T19" s="50">
        <v>1</v>
      </c>
      <c r="U19" s="50">
        <v>1</v>
      </c>
      <c r="V19" s="50">
        <v>1</v>
      </c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</row>
    <row r="20" spans="2:152" x14ac:dyDescent="0.75">
      <c r="B20" s="26"/>
      <c r="C20" s="27" t="s">
        <v>755</v>
      </c>
      <c r="D20" s="50">
        <v>-1</v>
      </c>
      <c r="F20" s="26"/>
      <c r="G20" s="27" t="s">
        <v>701</v>
      </c>
      <c r="H20" s="50">
        <v>1</v>
      </c>
      <c r="I20" s="50">
        <v>1</v>
      </c>
      <c r="J20" s="50">
        <v>1</v>
      </c>
      <c r="K20" s="50">
        <v>1</v>
      </c>
      <c r="L20" s="50">
        <v>1</v>
      </c>
      <c r="M20" s="50">
        <v>1</v>
      </c>
      <c r="N20" s="50">
        <v>1</v>
      </c>
      <c r="O20" s="50">
        <v>1</v>
      </c>
      <c r="P20" s="50">
        <v>1</v>
      </c>
      <c r="Q20" s="50">
        <v>1</v>
      </c>
      <c r="R20" s="50">
        <v>1</v>
      </c>
      <c r="S20" s="50">
        <v>1</v>
      </c>
      <c r="T20" s="50">
        <v>1</v>
      </c>
      <c r="U20" s="50">
        <v>1</v>
      </c>
      <c r="V20" s="50">
        <v>1</v>
      </c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</row>
    <row r="21" spans="2:152" x14ac:dyDescent="0.75">
      <c r="B21" s="26"/>
      <c r="C21" s="27" t="s">
        <v>756</v>
      </c>
      <c r="D21" s="50">
        <v>-1</v>
      </c>
      <c r="F21" s="26"/>
      <c r="G21" s="27" t="s">
        <v>702</v>
      </c>
      <c r="H21" s="50">
        <v>1</v>
      </c>
      <c r="I21" s="50">
        <v>1</v>
      </c>
      <c r="J21" s="50">
        <v>1</v>
      </c>
      <c r="K21" s="50">
        <v>1</v>
      </c>
      <c r="L21" s="50">
        <v>1</v>
      </c>
      <c r="M21" s="50">
        <v>1</v>
      </c>
      <c r="N21" s="50">
        <v>1</v>
      </c>
      <c r="O21" s="50">
        <v>1</v>
      </c>
      <c r="P21" s="50">
        <v>1</v>
      </c>
      <c r="Q21" s="50">
        <v>1</v>
      </c>
      <c r="R21" s="50">
        <v>1</v>
      </c>
      <c r="S21" s="50">
        <v>1</v>
      </c>
      <c r="T21" s="50">
        <v>1</v>
      </c>
      <c r="U21" s="50">
        <v>1</v>
      </c>
      <c r="V21" s="50">
        <v>1</v>
      </c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</row>
    <row r="22" spans="2:152" x14ac:dyDescent="0.75">
      <c r="B22" s="26"/>
      <c r="C22" s="27"/>
      <c r="D22" s="50"/>
      <c r="F22" s="26"/>
      <c r="G22" s="27" t="s">
        <v>291</v>
      </c>
      <c r="H22" s="50">
        <v>1</v>
      </c>
      <c r="I22" s="50">
        <v>1</v>
      </c>
      <c r="J22" s="50">
        <v>1</v>
      </c>
      <c r="K22" s="50">
        <v>1</v>
      </c>
      <c r="L22" s="50">
        <v>1</v>
      </c>
      <c r="M22" s="50">
        <v>1</v>
      </c>
      <c r="N22" s="50">
        <v>1</v>
      </c>
      <c r="O22" s="50">
        <v>1</v>
      </c>
      <c r="P22" s="50">
        <v>1</v>
      </c>
      <c r="Q22" s="50">
        <v>1</v>
      </c>
      <c r="R22" s="50">
        <v>1</v>
      </c>
      <c r="S22" s="50">
        <v>1</v>
      </c>
      <c r="T22" s="50">
        <v>1</v>
      </c>
      <c r="U22" s="50">
        <v>1</v>
      </c>
      <c r="V22" s="50">
        <v>1</v>
      </c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</row>
    <row r="23" spans="2:152" x14ac:dyDescent="0.75">
      <c r="B23" s="26"/>
      <c r="C23" s="27"/>
      <c r="D23" s="50"/>
      <c r="F23" s="26"/>
      <c r="G23" s="27" t="s">
        <v>554</v>
      </c>
      <c r="H23" s="50">
        <v>1</v>
      </c>
      <c r="I23" s="50">
        <v>1</v>
      </c>
      <c r="J23" s="50">
        <v>1</v>
      </c>
      <c r="K23" s="50">
        <v>1</v>
      </c>
      <c r="L23" s="50">
        <v>1</v>
      </c>
      <c r="M23" s="50">
        <v>1</v>
      </c>
      <c r="N23" s="50">
        <v>1</v>
      </c>
      <c r="O23" s="50">
        <v>1</v>
      </c>
      <c r="P23" s="50">
        <v>1</v>
      </c>
      <c r="Q23" s="50">
        <v>1</v>
      </c>
      <c r="R23" s="50">
        <v>1</v>
      </c>
      <c r="S23" s="50">
        <v>1</v>
      </c>
      <c r="T23" s="50">
        <v>1</v>
      </c>
      <c r="U23" s="50">
        <v>1</v>
      </c>
      <c r="V23" s="50">
        <v>1</v>
      </c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</row>
    <row r="24" spans="2:152" x14ac:dyDescent="0.75">
      <c r="B24" s="26"/>
      <c r="C24" s="27"/>
      <c r="D24" s="50"/>
      <c r="F24" s="26"/>
      <c r="G24" s="27" t="s">
        <v>703</v>
      </c>
      <c r="H24" s="50">
        <v>1</v>
      </c>
      <c r="I24" s="50">
        <v>1</v>
      </c>
      <c r="J24" s="50">
        <v>1</v>
      </c>
      <c r="K24" s="50">
        <v>1</v>
      </c>
      <c r="L24" s="50">
        <v>1</v>
      </c>
      <c r="M24" s="50">
        <v>1</v>
      </c>
      <c r="N24" s="50">
        <v>1</v>
      </c>
      <c r="O24" s="50">
        <v>1</v>
      </c>
      <c r="P24" s="50">
        <v>1</v>
      </c>
      <c r="Q24" s="50">
        <v>1</v>
      </c>
      <c r="R24" s="50">
        <v>1</v>
      </c>
      <c r="S24" s="50">
        <v>1</v>
      </c>
      <c r="T24" s="50">
        <v>1</v>
      </c>
      <c r="U24" s="50">
        <v>1</v>
      </c>
      <c r="V24" s="50">
        <v>1</v>
      </c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</row>
    <row r="25" spans="2:152" x14ac:dyDescent="0.75">
      <c r="B25" s="26"/>
      <c r="C25" s="27"/>
      <c r="D25" s="50"/>
      <c r="F25" s="26"/>
      <c r="G25" s="27" t="s">
        <v>287</v>
      </c>
      <c r="H25" s="50">
        <v>1</v>
      </c>
      <c r="I25" s="50">
        <v>1</v>
      </c>
      <c r="J25" s="50">
        <v>1</v>
      </c>
      <c r="K25" s="50">
        <v>1</v>
      </c>
      <c r="L25" s="50">
        <v>1</v>
      </c>
      <c r="M25" s="50">
        <v>1</v>
      </c>
      <c r="N25" s="50">
        <v>1</v>
      </c>
      <c r="O25" s="50">
        <v>1</v>
      </c>
      <c r="P25" s="50">
        <v>1</v>
      </c>
      <c r="Q25" s="50">
        <v>1</v>
      </c>
      <c r="R25" s="50">
        <v>1</v>
      </c>
      <c r="S25" s="50">
        <v>1</v>
      </c>
      <c r="T25" s="50">
        <v>1</v>
      </c>
      <c r="U25" s="50">
        <v>1</v>
      </c>
      <c r="V25" s="50">
        <v>1</v>
      </c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</row>
    <row r="26" spans="2:152" x14ac:dyDescent="0.75">
      <c r="B26" s="26"/>
      <c r="C26" s="27"/>
      <c r="D26" s="50"/>
      <c r="F26" s="26"/>
      <c r="G26" s="27" t="s">
        <v>292</v>
      </c>
      <c r="H26" s="50">
        <v>1</v>
      </c>
      <c r="I26" s="50">
        <v>1</v>
      </c>
      <c r="J26" s="50">
        <v>1</v>
      </c>
      <c r="K26" s="50">
        <v>1</v>
      </c>
      <c r="L26" s="50">
        <v>1</v>
      </c>
      <c r="M26" s="50">
        <v>1</v>
      </c>
      <c r="N26" s="50">
        <v>1</v>
      </c>
      <c r="O26" s="50">
        <v>1</v>
      </c>
      <c r="P26" s="50">
        <v>1</v>
      </c>
      <c r="Q26" s="50">
        <v>1</v>
      </c>
      <c r="R26" s="50">
        <v>1</v>
      </c>
      <c r="S26" s="50">
        <v>1</v>
      </c>
      <c r="T26" s="50">
        <v>1</v>
      </c>
      <c r="U26" s="50">
        <v>1</v>
      </c>
      <c r="V26" s="50">
        <v>1</v>
      </c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</row>
    <row r="27" spans="2:152" x14ac:dyDescent="0.75">
      <c r="B27" s="26"/>
      <c r="C27" s="27"/>
      <c r="D27" s="50"/>
      <c r="F27" s="26"/>
      <c r="G27" s="27" t="s">
        <v>468</v>
      </c>
      <c r="H27" s="50">
        <v>1</v>
      </c>
      <c r="I27" s="50">
        <v>1</v>
      </c>
      <c r="J27" s="50">
        <v>1</v>
      </c>
      <c r="K27" s="50">
        <v>1</v>
      </c>
      <c r="L27" s="50">
        <v>1</v>
      </c>
      <c r="M27" s="50">
        <v>1</v>
      </c>
      <c r="N27" s="50">
        <v>1</v>
      </c>
      <c r="O27" s="50">
        <v>1</v>
      </c>
      <c r="P27" s="50">
        <v>1</v>
      </c>
      <c r="Q27" s="50">
        <v>1</v>
      </c>
      <c r="R27" s="50">
        <v>1</v>
      </c>
      <c r="S27" s="50">
        <v>1</v>
      </c>
      <c r="T27" s="50">
        <v>1</v>
      </c>
      <c r="U27" s="50">
        <v>1</v>
      </c>
      <c r="V27" s="50">
        <v>1</v>
      </c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</row>
    <row r="28" spans="2:152" x14ac:dyDescent="0.75">
      <c r="B28" s="26"/>
      <c r="C28" s="27"/>
      <c r="D28" s="50"/>
      <c r="F28" s="26"/>
      <c r="G28" s="27" t="s">
        <v>354</v>
      </c>
      <c r="H28" s="50">
        <v>1</v>
      </c>
      <c r="I28" s="50">
        <v>1</v>
      </c>
      <c r="J28" s="50">
        <v>1</v>
      </c>
      <c r="K28" s="50">
        <v>1</v>
      </c>
      <c r="L28" s="50">
        <v>1</v>
      </c>
      <c r="M28" s="50">
        <v>1</v>
      </c>
      <c r="N28" s="50">
        <v>1</v>
      </c>
      <c r="O28" s="50">
        <v>1</v>
      </c>
      <c r="P28" s="50">
        <v>1</v>
      </c>
      <c r="Q28" s="50">
        <v>1</v>
      </c>
      <c r="R28" s="50">
        <v>1</v>
      </c>
      <c r="S28" s="50">
        <v>1</v>
      </c>
      <c r="T28" s="50">
        <v>1</v>
      </c>
      <c r="U28" s="50">
        <v>1</v>
      </c>
      <c r="V28" s="50">
        <v>1</v>
      </c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</row>
    <row r="29" spans="2:152" x14ac:dyDescent="0.75">
      <c r="B29" s="26"/>
      <c r="C29" s="27"/>
      <c r="D29" s="50"/>
      <c r="F29" s="26"/>
      <c r="G29" s="27" t="s">
        <v>290</v>
      </c>
      <c r="H29" s="50">
        <v>1</v>
      </c>
      <c r="I29" s="50">
        <v>1</v>
      </c>
      <c r="J29" s="50">
        <v>1</v>
      </c>
      <c r="K29" s="50">
        <v>1</v>
      </c>
      <c r="L29" s="50">
        <v>1</v>
      </c>
      <c r="M29" s="50">
        <v>1</v>
      </c>
      <c r="N29" s="50">
        <v>1</v>
      </c>
      <c r="O29" s="50">
        <v>1</v>
      </c>
      <c r="P29" s="50">
        <v>1</v>
      </c>
      <c r="Q29" s="50">
        <v>1</v>
      </c>
      <c r="R29" s="50">
        <v>1</v>
      </c>
      <c r="S29" s="50">
        <v>1</v>
      </c>
      <c r="T29" s="50">
        <v>1</v>
      </c>
      <c r="U29" s="50">
        <v>1</v>
      </c>
      <c r="V29" s="50">
        <v>1</v>
      </c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</row>
    <row r="30" spans="2:152" x14ac:dyDescent="0.75">
      <c r="B30" s="26"/>
      <c r="C30" s="27"/>
      <c r="D30" s="50"/>
      <c r="F30" s="26"/>
      <c r="G30" s="27" t="s">
        <v>704</v>
      </c>
      <c r="H30" s="50">
        <v>1</v>
      </c>
      <c r="I30" s="50">
        <v>1</v>
      </c>
      <c r="J30" s="50">
        <v>1</v>
      </c>
      <c r="K30" s="50">
        <v>1</v>
      </c>
      <c r="L30" s="50">
        <v>1</v>
      </c>
      <c r="M30" s="50">
        <v>1</v>
      </c>
      <c r="N30" s="50">
        <v>1</v>
      </c>
      <c r="O30" s="50">
        <v>1</v>
      </c>
      <c r="P30" s="50">
        <v>1</v>
      </c>
      <c r="Q30" s="50">
        <v>1</v>
      </c>
      <c r="R30" s="50">
        <v>1</v>
      </c>
      <c r="S30" s="50">
        <v>1</v>
      </c>
      <c r="T30" s="50">
        <v>1</v>
      </c>
      <c r="U30" s="50">
        <v>1</v>
      </c>
      <c r="V30" s="50">
        <v>1</v>
      </c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</row>
    <row r="31" spans="2:152" x14ac:dyDescent="0.75">
      <c r="B31" s="26"/>
      <c r="C31" s="27"/>
      <c r="D31" s="50"/>
      <c r="F31" s="26"/>
      <c r="G31" s="27" t="s">
        <v>293</v>
      </c>
      <c r="H31" s="50">
        <v>1</v>
      </c>
      <c r="I31" s="50">
        <v>1</v>
      </c>
      <c r="J31" s="50">
        <v>1</v>
      </c>
      <c r="K31" s="50">
        <v>1</v>
      </c>
      <c r="L31" s="50">
        <v>1</v>
      </c>
      <c r="M31" s="50">
        <v>1</v>
      </c>
      <c r="N31" s="50">
        <v>1</v>
      </c>
      <c r="O31" s="50">
        <v>1</v>
      </c>
      <c r="P31" s="50">
        <v>1</v>
      </c>
      <c r="Q31" s="50">
        <v>1</v>
      </c>
      <c r="R31" s="50">
        <v>1</v>
      </c>
      <c r="S31" s="50">
        <v>1</v>
      </c>
      <c r="T31" s="50">
        <v>1</v>
      </c>
      <c r="U31" s="50">
        <v>1</v>
      </c>
      <c r="V31" s="50">
        <v>1</v>
      </c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</row>
    <row r="32" spans="2:152" x14ac:dyDescent="0.75">
      <c r="B32" s="26"/>
      <c r="C32" s="27"/>
      <c r="D32" s="50"/>
      <c r="F32" s="26"/>
      <c r="G32" s="27" t="s">
        <v>294</v>
      </c>
      <c r="H32" s="50">
        <v>1</v>
      </c>
      <c r="I32" s="50">
        <v>1</v>
      </c>
      <c r="J32" s="50">
        <v>1</v>
      </c>
      <c r="K32" s="50">
        <v>1</v>
      </c>
      <c r="L32" s="50">
        <v>1</v>
      </c>
      <c r="M32" s="50">
        <v>1</v>
      </c>
      <c r="N32" s="50">
        <v>1</v>
      </c>
      <c r="O32" s="50">
        <v>1</v>
      </c>
      <c r="P32" s="50">
        <v>1</v>
      </c>
      <c r="Q32" s="50">
        <v>1</v>
      </c>
      <c r="R32" s="50">
        <v>1</v>
      </c>
      <c r="S32" s="50">
        <v>1</v>
      </c>
      <c r="T32" s="50">
        <v>1</v>
      </c>
      <c r="U32" s="50">
        <v>1</v>
      </c>
      <c r="V32" s="50">
        <v>1</v>
      </c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</row>
    <row r="33" spans="2:152" x14ac:dyDescent="0.75">
      <c r="B33" s="26"/>
      <c r="C33" s="27"/>
      <c r="D33" s="50"/>
      <c r="F33" s="26"/>
      <c r="G33" s="27" t="s">
        <v>471</v>
      </c>
      <c r="H33" s="50">
        <v>1</v>
      </c>
      <c r="I33" s="50">
        <v>1</v>
      </c>
      <c r="J33" s="50">
        <v>1</v>
      </c>
      <c r="K33" s="50">
        <v>1</v>
      </c>
      <c r="L33" s="50">
        <v>1</v>
      </c>
      <c r="M33" s="50">
        <v>1</v>
      </c>
      <c r="N33" s="50">
        <v>1</v>
      </c>
      <c r="O33" s="50">
        <v>1</v>
      </c>
      <c r="P33" s="50">
        <v>1</v>
      </c>
      <c r="Q33" s="50">
        <v>1</v>
      </c>
      <c r="R33" s="50">
        <v>1</v>
      </c>
      <c r="S33" s="50">
        <v>1</v>
      </c>
      <c r="T33" s="50">
        <v>1</v>
      </c>
      <c r="U33" s="50">
        <v>1</v>
      </c>
      <c r="V33" s="50">
        <v>1</v>
      </c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</row>
    <row r="34" spans="2:152" x14ac:dyDescent="0.75">
      <c r="B34" s="26"/>
      <c r="C34" s="27"/>
      <c r="D34" s="50"/>
      <c r="F34" s="26"/>
      <c r="G34" s="27" t="s">
        <v>295</v>
      </c>
      <c r="H34" s="50">
        <v>1</v>
      </c>
      <c r="I34" s="50">
        <v>1</v>
      </c>
      <c r="J34" s="50">
        <v>1</v>
      </c>
      <c r="K34" s="50">
        <v>1</v>
      </c>
      <c r="L34" s="50">
        <v>1</v>
      </c>
      <c r="M34" s="50">
        <v>1</v>
      </c>
      <c r="N34" s="50">
        <v>1</v>
      </c>
      <c r="O34" s="50">
        <v>1</v>
      </c>
      <c r="P34" s="50">
        <v>1</v>
      </c>
      <c r="Q34" s="50">
        <v>1</v>
      </c>
      <c r="R34" s="50">
        <v>1</v>
      </c>
      <c r="S34" s="50">
        <v>1</v>
      </c>
      <c r="T34" s="50">
        <v>1</v>
      </c>
      <c r="U34" s="50">
        <v>1</v>
      </c>
      <c r="V34" s="50">
        <v>1</v>
      </c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</row>
    <row r="35" spans="2:152" x14ac:dyDescent="0.75">
      <c r="B35" s="26"/>
      <c r="C35" s="27"/>
      <c r="D35" s="50"/>
      <c r="F35" s="26"/>
      <c r="G35" s="27" t="s">
        <v>296</v>
      </c>
      <c r="H35" s="50">
        <v>1</v>
      </c>
      <c r="I35" s="50">
        <v>1</v>
      </c>
      <c r="J35" s="50">
        <v>1</v>
      </c>
      <c r="K35" s="50">
        <v>1</v>
      </c>
      <c r="L35" s="50">
        <v>1</v>
      </c>
      <c r="M35" s="50">
        <v>1</v>
      </c>
      <c r="N35" s="50">
        <v>1</v>
      </c>
      <c r="O35" s="50">
        <v>1</v>
      </c>
      <c r="P35" s="50">
        <v>1</v>
      </c>
      <c r="Q35" s="50">
        <v>1</v>
      </c>
      <c r="R35" s="50">
        <v>1</v>
      </c>
      <c r="S35" s="50">
        <v>1</v>
      </c>
      <c r="T35" s="50">
        <v>1</v>
      </c>
      <c r="U35" s="50">
        <v>1</v>
      </c>
      <c r="V35" s="50">
        <v>1</v>
      </c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</row>
    <row r="36" spans="2:152" x14ac:dyDescent="0.75">
      <c r="B36" s="26"/>
      <c r="C36" s="27"/>
      <c r="D36" s="50"/>
      <c r="F36" s="26"/>
      <c r="G36" s="27" t="s">
        <v>469</v>
      </c>
      <c r="H36" s="50">
        <v>1</v>
      </c>
      <c r="I36" s="50">
        <v>1</v>
      </c>
      <c r="J36" s="50">
        <v>1</v>
      </c>
      <c r="K36" s="50">
        <v>1</v>
      </c>
      <c r="L36" s="50">
        <v>1</v>
      </c>
      <c r="M36" s="50">
        <v>1</v>
      </c>
      <c r="N36" s="50">
        <v>1</v>
      </c>
      <c r="O36" s="50">
        <v>1</v>
      </c>
      <c r="P36" s="50">
        <v>1</v>
      </c>
      <c r="Q36" s="50">
        <v>1</v>
      </c>
      <c r="R36" s="50">
        <v>1</v>
      </c>
      <c r="S36" s="50">
        <v>1</v>
      </c>
      <c r="T36" s="50">
        <v>1</v>
      </c>
      <c r="U36" s="50">
        <v>1</v>
      </c>
      <c r="V36" s="50">
        <v>1</v>
      </c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</row>
    <row r="37" spans="2:152" x14ac:dyDescent="0.75">
      <c r="B37" s="26"/>
      <c r="C37" s="27"/>
      <c r="D37" s="50"/>
      <c r="F37" s="26"/>
      <c r="G37" s="27" t="s">
        <v>470</v>
      </c>
      <c r="H37" s="50">
        <v>1</v>
      </c>
      <c r="I37" s="50">
        <v>1</v>
      </c>
      <c r="J37" s="50">
        <v>1</v>
      </c>
      <c r="K37" s="50">
        <v>1</v>
      </c>
      <c r="L37" s="50">
        <v>1</v>
      </c>
      <c r="M37" s="50">
        <v>1</v>
      </c>
      <c r="N37" s="50">
        <v>1</v>
      </c>
      <c r="O37" s="50">
        <v>1</v>
      </c>
      <c r="P37" s="50">
        <v>1</v>
      </c>
      <c r="Q37" s="50">
        <v>1</v>
      </c>
      <c r="R37" s="50">
        <v>1</v>
      </c>
      <c r="S37" s="50">
        <v>1</v>
      </c>
      <c r="T37" s="50">
        <v>1</v>
      </c>
      <c r="U37" s="50">
        <v>1</v>
      </c>
      <c r="V37" s="50">
        <v>1</v>
      </c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</row>
    <row r="38" spans="2:152" x14ac:dyDescent="0.75">
      <c r="B38" s="26"/>
      <c r="C38" s="27"/>
      <c r="D38" s="50"/>
      <c r="F38" s="26"/>
      <c r="G38" s="27" t="s">
        <v>297</v>
      </c>
      <c r="H38" s="50">
        <v>1</v>
      </c>
      <c r="I38" s="50">
        <v>1</v>
      </c>
      <c r="J38" s="50">
        <v>1</v>
      </c>
      <c r="K38" s="50">
        <v>1</v>
      </c>
      <c r="L38" s="50">
        <v>1</v>
      </c>
      <c r="M38" s="50">
        <v>1</v>
      </c>
      <c r="N38" s="50">
        <v>1</v>
      </c>
      <c r="O38" s="50">
        <v>1</v>
      </c>
      <c r="P38" s="50">
        <v>1</v>
      </c>
      <c r="Q38" s="50">
        <v>1</v>
      </c>
      <c r="R38" s="50">
        <v>1</v>
      </c>
      <c r="S38" s="50">
        <v>1</v>
      </c>
      <c r="T38" s="50">
        <v>1</v>
      </c>
      <c r="U38" s="50">
        <v>1</v>
      </c>
      <c r="V38" s="50">
        <v>1</v>
      </c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</row>
    <row r="39" spans="2:152" x14ac:dyDescent="0.75">
      <c r="B39" s="26"/>
      <c r="C39" s="27"/>
      <c r="D39" s="50"/>
      <c r="F39" s="26"/>
      <c r="G39" s="27" t="s">
        <v>298</v>
      </c>
      <c r="H39" s="50">
        <v>1</v>
      </c>
      <c r="I39" s="50">
        <v>1</v>
      </c>
      <c r="J39" s="50">
        <v>1</v>
      </c>
      <c r="K39" s="50">
        <v>1</v>
      </c>
      <c r="L39" s="50">
        <v>1</v>
      </c>
      <c r="M39" s="50">
        <v>1</v>
      </c>
      <c r="N39" s="50">
        <v>1</v>
      </c>
      <c r="O39" s="50">
        <v>1</v>
      </c>
      <c r="P39" s="50">
        <v>1</v>
      </c>
      <c r="Q39" s="50">
        <v>1</v>
      </c>
      <c r="R39" s="50">
        <v>1</v>
      </c>
      <c r="S39" s="50">
        <v>1</v>
      </c>
      <c r="T39" s="50">
        <v>1</v>
      </c>
      <c r="U39" s="50">
        <v>1</v>
      </c>
      <c r="V39" s="50">
        <v>1</v>
      </c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</row>
    <row r="40" spans="2:152" x14ac:dyDescent="0.75">
      <c r="B40" s="26"/>
      <c r="C40" s="27"/>
      <c r="D40" s="50"/>
      <c r="F40" s="26"/>
      <c r="G40" s="27" t="s">
        <v>475</v>
      </c>
      <c r="H40" s="50">
        <v>1</v>
      </c>
      <c r="I40" s="50">
        <v>1</v>
      </c>
      <c r="J40" s="50">
        <v>1</v>
      </c>
      <c r="K40" s="50">
        <v>1</v>
      </c>
      <c r="L40" s="50">
        <v>1</v>
      </c>
      <c r="M40" s="50">
        <v>1</v>
      </c>
      <c r="N40" s="50">
        <v>1</v>
      </c>
      <c r="O40" s="50">
        <v>1</v>
      </c>
      <c r="P40" s="50">
        <v>1</v>
      </c>
      <c r="Q40" s="50">
        <v>1</v>
      </c>
      <c r="R40" s="50">
        <v>1</v>
      </c>
      <c r="S40" s="50">
        <v>1</v>
      </c>
      <c r="T40" s="50">
        <v>1</v>
      </c>
      <c r="U40" s="50">
        <v>1</v>
      </c>
      <c r="V40" s="50">
        <v>1</v>
      </c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</row>
    <row r="41" spans="2:152" x14ac:dyDescent="0.75">
      <c r="B41" s="26"/>
      <c r="C41" s="27"/>
      <c r="D41" s="50"/>
      <c r="F41" s="26"/>
      <c r="G41" s="27" t="s">
        <v>476</v>
      </c>
      <c r="H41" s="50">
        <v>1</v>
      </c>
      <c r="I41" s="50">
        <v>1</v>
      </c>
      <c r="J41" s="50">
        <v>1</v>
      </c>
      <c r="K41" s="50">
        <v>1</v>
      </c>
      <c r="L41" s="50">
        <v>1</v>
      </c>
      <c r="M41" s="50">
        <v>1</v>
      </c>
      <c r="N41" s="50">
        <v>1</v>
      </c>
      <c r="O41" s="50">
        <v>1</v>
      </c>
      <c r="P41" s="50">
        <v>1</v>
      </c>
      <c r="Q41" s="50">
        <v>1</v>
      </c>
      <c r="R41" s="50">
        <v>1</v>
      </c>
      <c r="S41" s="50">
        <v>1</v>
      </c>
      <c r="T41" s="50">
        <v>1</v>
      </c>
      <c r="U41" s="50">
        <v>1</v>
      </c>
      <c r="V41" s="50">
        <v>1</v>
      </c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</row>
    <row r="42" spans="2:152" x14ac:dyDescent="0.75">
      <c r="B42" s="26"/>
      <c r="C42" s="27"/>
      <c r="D42" s="50"/>
      <c r="F42" s="26"/>
      <c r="G42" s="27" t="s">
        <v>477</v>
      </c>
      <c r="H42" s="50">
        <v>1</v>
      </c>
      <c r="I42" s="50">
        <v>1</v>
      </c>
      <c r="J42" s="50">
        <v>1</v>
      </c>
      <c r="K42" s="50">
        <v>1</v>
      </c>
      <c r="L42" s="50">
        <v>1</v>
      </c>
      <c r="M42" s="50">
        <v>1</v>
      </c>
      <c r="N42" s="50">
        <v>1</v>
      </c>
      <c r="O42" s="50">
        <v>1</v>
      </c>
      <c r="P42" s="50">
        <v>1</v>
      </c>
      <c r="Q42" s="50">
        <v>1</v>
      </c>
      <c r="R42" s="50">
        <v>1</v>
      </c>
      <c r="S42" s="50">
        <v>1</v>
      </c>
      <c r="T42" s="50">
        <v>1</v>
      </c>
      <c r="U42" s="50">
        <v>1</v>
      </c>
      <c r="V42" s="50">
        <v>1</v>
      </c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</row>
    <row r="43" spans="2:152" x14ac:dyDescent="0.75">
      <c r="B43" s="26"/>
      <c r="C43" s="27"/>
      <c r="D43" s="50"/>
      <c r="F43" s="26"/>
      <c r="G43" s="27" t="s">
        <v>478</v>
      </c>
      <c r="H43" s="50">
        <v>1</v>
      </c>
      <c r="I43" s="50">
        <v>1</v>
      </c>
      <c r="J43" s="50">
        <v>1</v>
      </c>
      <c r="K43" s="50">
        <v>1</v>
      </c>
      <c r="L43" s="50">
        <v>1</v>
      </c>
      <c r="M43" s="50">
        <v>1</v>
      </c>
      <c r="N43" s="50">
        <v>1</v>
      </c>
      <c r="O43" s="50">
        <v>1</v>
      </c>
      <c r="P43" s="50">
        <v>1</v>
      </c>
      <c r="Q43" s="50">
        <v>1</v>
      </c>
      <c r="R43" s="50">
        <v>1</v>
      </c>
      <c r="S43" s="50">
        <v>1</v>
      </c>
      <c r="T43" s="50">
        <v>1</v>
      </c>
      <c r="U43" s="50">
        <v>1</v>
      </c>
      <c r="V43" s="50">
        <v>1</v>
      </c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</row>
    <row r="44" spans="2:152" x14ac:dyDescent="0.75">
      <c r="B44" s="26"/>
      <c r="C44" s="27"/>
      <c r="D44" s="50"/>
      <c r="F44" s="26"/>
      <c r="G44" s="27" t="s">
        <v>479</v>
      </c>
      <c r="H44" s="50">
        <v>1</v>
      </c>
      <c r="I44" s="50">
        <v>1</v>
      </c>
      <c r="J44" s="50">
        <v>1</v>
      </c>
      <c r="K44" s="50">
        <v>1</v>
      </c>
      <c r="L44" s="50">
        <v>1</v>
      </c>
      <c r="M44" s="50">
        <v>1</v>
      </c>
      <c r="N44" s="50">
        <v>1</v>
      </c>
      <c r="O44" s="50">
        <v>1</v>
      </c>
      <c r="P44" s="50">
        <v>1</v>
      </c>
      <c r="Q44" s="50">
        <v>1</v>
      </c>
      <c r="R44" s="50">
        <v>1</v>
      </c>
      <c r="S44" s="50">
        <v>1</v>
      </c>
      <c r="T44" s="50">
        <v>1</v>
      </c>
      <c r="U44" s="50">
        <v>1</v>
      </c>
      <c r="V44" s="50">
        <v>1</v>
      </c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</row>
    <row r="45" spans="2:152" x14ac:dyDescent="0.75">
      <c r="B45" s="26"/>
      <c r="C45" s="27"/>
      <c r="D45" s="50"/>
      <c r="F45" s="26"/>
      <c r="G45" s="27" t="s">
        <v>480</v>
      </c>
      <c r="H45" s="50">
        <v>1</v>
      </c>
      <c r="I45" s="50">
        <v>1</v>
      </c>
      <c r="J45" s="50">
        <v>1</v>
      </c>
      <c r="K45" s="50">
        <v>1</v>
      </c>
      <c r="L45" s="50">
        <v>1</v>
      </c>
      <c r="M45" s="50">
        <v>1</v>
      </c>
      <c r="N45" s="50">
        <v>1</v>
      </c>
      <c r="O45" s="50">
        <v>1</v>
      </c>
      <c r="P45" s="50">
        <v>1</v>
      </c>
      <c r="Q45" s="50">
        <v>1</v>
      </c>
      <c r="R45" s="50">
        <v>1</v>
      </c>
      <c r="S45" s="50">
        <v>1</v>
      </c>
      <c r="T45" s="50">
        <v>1</v>
      </c>
      <c r="U45" s="50">
        <v>1</v>
      </c>
      <c r="V45" s="50">
        <v>1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</row>
    <row r="46" spans="2:152" x14ac:dyDescent="0.75">
      <c r="B46" s="26"/>
      <c r="C46" s="27"/>
      <c r="D46" s="50"/>
      <c r="F46" s="26"/>
      <c r="G46" s="27" t="s">
        <v>481</v>
      </c>
      <c r="H46" s="50">
        <v>1</v>
      </c>
      <c r="I46" s="50">
        <v>1</v>
      </c>
      <c r="J46" s="50">
        <v>1</v>
      </c>
      <c r="K46" s="50">
        <v>1</v>
      </c>
      <c r="L46" s="50">
        <v>1</v>
      </c>
      <c r="M46" s="50">
        <v>1</v>
      </c>
      <c r="N46" s="50">
        <v>1</v>
      </c>
      <c r="O46" s="50">
        <v>1</v>
      </c>
      <c r="P46" s="50">
        <v>1</v>
      </c>
      <c r="Q46" s="50">
        <v>1</v>
      </c>
      <c r="R46" s="50">
        <v>1</v>
      </c>
      <c r="S46" s="50">
        <v>1</v>
      </c>
      <c r="T46" s="50">
        <v>1</v>
      </c>
      <c r="U46" s="50">
        <v>1</v>
      </c>
      <c r="V46" s="50">
        <v>1</v>
      </c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</row>
    <row r="47" spans="2:152" x14ac:dyDescent="0.75">
      <c r="B47" s="26"/>
      <c r="C47" s="27"/>
      <c r="D47" s="50"/>
      <c r="F47" s="26"/>
      <c r="G47" s="27" t="s">
        <v>486</v>
      </c>
      <c r="H47" s="50">
        <v>1</v>
      </c>
      <c r="I47" s="50">
        <v>1</v>
      </c>
      <c r="J47" s="50">
        <v>1</v>
      </c>
      <c r="K47" s="50">
        <v>1</v>
      </c>
      <c r="L47" s="50">
        <v>1</v>
      </c>
      <c r="M47" s="50">
        <v>1</v>
      </c>
      <c r="N47" s="50">
        <v>1</v>
      </c>
      <c r="O47" s="50">
        <v>1</v>
      </c>
      <c r="P47" s="50">
        <v>1</v>
      </c>
      <c r="Q47" s="50">
        <v>1</v>
      </c>
      <c r="R47" s="50">
        <v>1</v>
      </c>
      <c r="S47" s="50">
        <v>1</v>
      </c>
      <c r="T47" s="50">
        <v>1</v>
      </c>
      <c r="U47" s="50">
        <v>1</v>
      </c>
      <c r="V47" s="50">
        <v>1</v>
      </c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</row>
    <row r="48" spans="2:152" x14ac:dyDescent="0.75">
      <c r="B48" s="26"/>
      <c r="C48" s="27"/>
      <c r="D48" s="50"/>
      <c r="F48" s="26"/>
      <c r="G48" s="27" t="s">
        <v>705</v>
      </c>
      <c r="H48" s="50">
        <v>1</v>
      </c>
      <c r="I48" s="50">
        <v>1</v>
      </c>
      <c r="J48" s="50">
        <v>1</v>
      </c>
      <c r="K48" s="50">
        <v>1</v>
      </c>
      <c r="L48" s="50">
        <v>1</v>
      </c>
      <c r="M48" s="50">
        <v>1</v>
      </c>
      <c r="N48" s="50">
        <v>1</v>
      </c>
      <c r="O48" s="50">
        <v>1</v>
      </c>
      <c r="P48" s="50">
        <v>1</v>
      </c>
      <c r="Q48" s="50">
        <v>1</v>
      </c>
      <c r="R48" s="50">
        <v>1</v>
      </c>
      <c r="S48" s="50">
        <v>1</v>
      </c>
      <c r="T48" s="50">
        <v>1</v>
      </c>
      <c r="U48" s="50">
        <v>1</v>
      </c>
      <c r="V48" s="50">
        <v>1</v>
      </c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</row>
    <row r="49" spans="2:152" x14ac:dyDescent="0.75">
      <c r="B49" s="26"/>
      <c r="C49" s="27"/>
      <c r="D49" s="50"/>
      <c r="F49" s="26"/>
      <c r="G49" s="27" t="s">
        <v>490</v>
      </c>
      <c r="H49" s="50">
        <v>1</v>
      </c>
      <c r="I49" s="50">
        <v>1</v>
      </c>
      <c r="J49" s="50">
        <v>1</v>
      </c>
      <c r="K49" s="50">
        <v>1</v>
      </c>
      <c r="L49" s="50">
        <v>1</v>
      </c>
      <c r="M49" s="50">
        <v>1</v>
      </c>
      <c r="N49" s="50">
        <v>1</v>
      </c>
      <c r="O49" s="50">
        <v>1</v>
      </c>
      <c r="P49" s="50">
        <v>1</v>
      </c>
      <c r="Q49" s="50">
        <v>1</v>
      </c>
      <c r="R49" s="50">
        <v>1</v>
      </c>
      <c r="S49" s="50">
        <v>1</v>
      </c>
      <c r="T49" s="50">
        <v>1</v>
      </c>
      <c r="U49" s="50">
        <v>1</v>
      </c>
      <c r="V49" s="50">
        <v>1</v>
      </c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</row>
    <row r="50" spans="2:152" x14ac:dyDescent="0.75">
      <c r="B50" s="26"/>
      <c r="C50" s="27"/>
      <c r="D50" s="50"/>
      <c r="F50" s="26"/>
      <c r="G50" s="27" t="s">
        <v>299</v>
      </c>
      <c r="H50" s="50">
        <v>1</v>
      </c>
      <c r="I50" s="50">
        <v>1</v>
      </c>
      <c r="J50" s="50">
        <v>1</v>
      </c>
      <c r="K50" s="50">
        <v>1</v>
      </c>
      <c r="L50" s="50">
        <v>1</v>
      </c>
      <c r="M50" s="50">
        <v>1</v>
      </c>
      <c r="N50" s="50">
        <v>1</v>
      </c>
      <c r="O50" s="50">
        <v>1</v>
      </c>
      <c r="P50" s="50">
        <v>1</v>
      </c>
      <c r="Q50" s="50">
        <v>1</v>
      </c>
      <c r="R50" s="50">
        <v>1</v>
      </c>
      <c r="S50" s="50">
        <v>1</v>
      </c>
      <c r="T50" s="50">
        <v>1</v>
      </c>
      <c r="U50" s="50">
        <v>1</v>
      </c>
      <c r="V50" s="50">
        <v>1</v>
      </c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</row>
    <row r="51" spans="2:152" x14ac:dyDescent="0.75">
      <c r="B51" s="26"/>
      <c r="C51" s="27"/>
      <c r="D51" s="50"/>
      <c r="F51" s="26"/>
      <c r="G51" s="27" t="s">
        <v>300</v>
      </c>
      <c r="H51" s="50">
        <v>1</v>
      </c>
      <c r="I51" s="50">
        <v>1</v>
      </c>
      <c r="J51" s="50">
        <v>1</v>
      </c>
      <c r="K51" s="50">
        <v>1</v>
      </c>
      <c r="L51" s="50">
        <v>1</v>
      </c>
      <c r="M51" s="50">
        <v>1</v>
      </c>
      <c r="N51" s="50">
        <v>1</v>
      </c>
      <c r="O51" s="50">
        <v>1</v>
      </c>
      <c r="P51" s="50">
        <v>1</v>
      </c>
      <c r="Q51" s="50">
        <v>1</v>
      </c>
      <c r="R51" s="50">
        <v>1</v>
      </c>
      <c r="S51" s="50">
        <v>1</v>
      </c>
      <c r="T51" s="50">
        <v>1</v>
      </c>
      <c r="U51" s="50">
        <v>1</v>
      </c>
      <c r="V51" s="50">
        <v>1</v>
      </c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</row>
    <row r="52" spans="2:152" x14ac:dyDescent="0.75">
      <c r="B52" s="26"/>
      <c r="C52" s="27"/>
      <c r="D52" s="50"/>
      <c r="F52" s="26"/>
      <c r="G52" s="27" t="s">
        <v>491</v>
      </c>
      <c r="H52" s="50">
        <v>1</v>
      </c>
      <c r="I52" s="50">
        <v>1</v>
      </c>
      <c r="J52" s="50">
        <v>1</v>
      </c>
      <c r="K52" s="50">
        <v>1</v>
      </c>
      <c r="L52" s="50">
        <v>1</v>
      </c>
      <c r="M52" s="50">
        <v>1</v>
      </c>
      <c r="N52" s="50">
        <v>1</v>
      </c>
      <c r="O52" s="50">
        <v>1</v>
      </c>
      <c r="P52" s="50">
        <v>1</v>
      </c>
      <c r="Q52" s="50">
        <v>1</v>
      </c>
      <c r="R52" s="50">
        <v>1</v>
      </c>
      <c r="S52" s="50">
        <v>1</v>
      </c>
      <c r="T52" s="50">
        <v>1</v>
      </c>
      <c r="U52" s="50">
        <v>1</v>
      </c>
      <c r="V52" s="50">
        <v>1</v>
      </c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</row>
    <row r="53" spans="2:152" x14ac:dyDescent="0.75">
      <c r="B53" s="26"/>
      <c r="C53" s="27"/>
      <c r="D53" s="50"/>
      <c r="F53" s="26"/>
      <c r="G53" s="27" t="s">
        <v>301</v>
      </c>
      <c r="H53" s="50">
        <v>1</v>
      </c>
      <c r="I53" s="50">
        <v>1</v>
      </c>
      <c r="J53" s="50">
        <v>1</v>
      </c>
      <c r="K53" s="50">
        <v>1</v>
      </c>
      <c r="L53" s="50">
        <v>1</v>
      </c>
      <c r="M53" s="50">
        <v>1</v>
      </c>
      <c r="N53" s="50">
        <v>1</v>
      </c>
      <c r="O53" s="50">
        <v>1</v>
      </c>
      <c r="P53" s="50">
        <v>1</v>
      </c>
      <c r="Q53" s="50">
        <v>1</v>
      </c>
      <c r="R53" s="50">
        <v>1</v>
      </c>
      <c r="S53" s="50">
        <v>1</v>
      </c>
      <c r="T53" s="50">
        <v>1</v>
      </c>
      <c r="U53" s="50">
        <v>1</v>
      </c>
      <c r="V53" s="50">
        <v>1</v>
      </c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</row>
    <row r="54" spans="2:152" x14ac:dyDescent="0.75">
      <c r="B54" s="26"/>
      <c r="C54" s="27"/>
      <c r="D54" s="50"/>
      <c r="F54" s="26"/>
      <c r="G54" s="27" t="s">
        <v>302</v>
      </c>
      <c r="H54" s="50">
        <v>1</v>
      </c>
      <c r="I54" s="50">
        <v>1</v>
      </c>
      <c r="J54" s="50">
        <v>1</v>
      </c>
      <c r="K54" s="50">
        <v>1</v>
      </c>
      <c r="L54" s="50">
        <v>1</v>
      </c>
      <c r="M54" s="50">
        <v>1</v>
      </c>
      <c r="N54" s="50">
        <v>1</v>
      </c>
      <c r="O54" s="50">
        <v>1</v>
      </c>
      <c r="P54" s="50">
        <v>1</v>
      </c>
      <c r="Q54" s="50">
        <v>1</v>
      </c>
      <c r="R54" s="50">
        <v>1</v>
      </c>
      <c r="S54" s="50">
        <v>1</v>
      </c>
      <c r="T54" s="50">
        <v>1</v>
      </c>
      <c r="U54" s="50">
        <v>1</v>
      </c>
      <c r="V54" s="50">
        <v>1</v>
      </c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</row>
    <row r="55" spans="2:152" x14ac:dyDescent="0.75">
      <c r="B55" s="26"/>
      <c r="C55" s="27"/>
      <c r="D55" s="50"/>
      <c r="F55" s="26"/>
      <c r="G55" s="27" t="s">
        <v>706</v>
      </c>
      <c r="H55" s="50">
        <v>1</v>
      </c>
      <c r="I55" s="50">
        <v>1</v>
      </c>
      <c r="J55" s="50">
        <v>1</v>
      </c>
      <c r="K55" s="50">
        <v>1</v>
      </c>
      <c r="L55" s="50">
        <v>1</v>
      </c>
      <c r="M55" s="50">
        <v>1</v>
      </c>
      <c r="N55" s="50">
        <v>1</v>
      </c>
      <c r="O55" s="50">
        <v>1</v>
      </c>
      <c r="P55" s="50">
        <v>1</v>
      </c>
      <c r="Q55" s="50">
        <v>1</v>
      </c>
      <c r="R55" s="50">
        <v>1</v>
      </c>
      <c r="S55" s="50">
        <v>1</v>
      </c>
      <c r="T55" s="50">
        <v>1</v>
      </c>
      <c r="U55" s="50">
        <v>1</v>
      </c>
      <c r="V55" s="50">
        <v>1</v>
      </c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</row>
    <row r="56" spans="2:152" x14ac:dyDescent="0.75">
      <c r="B56" s="26"/>
      <c r="C56" s="27"/>
      <c r="D56" s="50"/>
      <c r="F56" s="26"/>
      <c r="G56" s="27" t="s">
        <v>495</v>
      </c>
      <c r="H56" s="50">
        <v>1</v>
      </c>
      <c r="I56" s="50">
        <v>1</v>
      </c>
      <c r="J56" s="50">
        <v>1</v>
      </c>
      <c r="K56" s="50">
        <v>1</v>
      </c>
      <c r="L56" s="50">
        <v>1</v>
      </c>
      <c r="M56" s="50">
        <v>1</v>
      </c>
      <c r="N56" s="50">
        <v>1</v>
      </c>
      <c r="O56" s="50">
        <v>1</v>
      </c>
      <c r="P56" s="50">
        <v>1</v>
      </c>
      <c r="Q56" s="50">
        <v>1</v>
      </c>
      <c r="R56" s="50">
        <v>1</v>
      </c>
      <c r="S56" s="50">
        <v>1</v>
      </c>
      <c r="T56" s="50">
        <v>1</v>
      </c>
      <c r="U56" s="50">
        <v>1</v>
      </c>
      <c r="V56" s="50">
        <v>1</v>
      </c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</row>
    <row r="57" spans="2:152" x14ac:dyDescent="0.75">
      <c r="B57" s="26"/>
      <c r="C57" s="27"/>
      <c r="D57" s="50"/>
      <c r="F57" s="26"/>
      <c r="G57" s="27" t="s">
        <v>303</v>
      </c>
      <c r="H57" s="50">
        <v>1</v>
      </c>
      <c r="I57" s="50">
        <v>1</v>
      </c>
      <c r="J57" s="50">
        <v>1</v>
      </c>
      <c r="K57" s="50">
        <v>1</v>
      </c>
      <c r="L57" s="50">
        <v>1</v>
      </c>
      <c r="M57" s="50">
        <v>1</v>
      </c>
      <c r="N57" s="50">
        <v>1</v>
      </c>
      <c r="O57" s="50">
        <v>1</v>
      </c>
      <c r="P57" s="50">
        <v>1</v>
      </c>
      <c r="Q57" s="50">
        <v>1</v>
      </c>
      <c r="R57" s="50">
        <v>1</v>
      </c>
      <c r="S57" s="50">
        <v>1</v>
      </c>
      <c r="T57" s="50">
        <v>1</v>
      </c>
      <c r="U57" s="50">
        <v>1</v>
      </c>
      <c r="V57" s="50">
        <v>1</v>
      </c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</row>
    <row r="58" spans="2:152" x14ac:dyDescent="0.75">
      <c r="B58" s="26"/>
      <c r="C58" s="27"/>
      <c r="D58" s="50"/>
      <c r="F58" s="26"/>
      <c r="G58" s="27" t="s">
        <v>707</v>
      </c>
      <c r="H58" s="50">
        <v>1</v>
      </c>
      <c r="I58" s="50">
        <v>1</v>
      </c>
      <c r="J58" s="50">
        <v>1</v>
      </c>
      <c r="K58" s="50">
        <v>1</v>
      </c>
      <c r="L58" s="50">
        <v>1</v>
      </c>
      <c r="M58" s="50">
        <v>1</v>
      </c>
      <c r="N58" s="50">
        <v>1</v>
      </c>
      <c r="O58" s="50">
        <v>1</v>
      </c>
      <c r="P58" s="50">
        <v>1</v>
      </c>
      <c r="Q58" s="50">
        <v>1</v>
      </c>
      <c r="R58" s="50">
        <v>1</v>
      </c>
      <c r="S58" s="50">
        <v>1</v>
      </c>
      <c r="T58" s="50">
        <v>1</v>
      </c>
      <c r="U58" s="50">
        <v>1</v>
      </c>
      <c r="V58" s="50">
        <v>1</v>
      </c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</row>
    <row r="59" spans="2:152" x14ac:dyDescent="0.75">
      <c r="B59" s="26"/>
      <c r="C59" s="27"/>
      <c r="D59" s="50"/>
      <c r="F59" s="26"/>
      <c r="G59" s="27" t="s">
        <v>708</v>
      </c>
      <c r="H59" s="50">
        <v>1</v>
      </c>
      <c r="I59" s="50">
        <v>1</v>
      </c>
      <c r="J59" s="50">
        <v>1</v>
      </c>
      <c r="K59" s="50">
        <v>1</v>
      </c>
      <c r="L59" s="50">
        <v>1</v>
      </c>
      <c r="M59" s="50">
        <v>1</v>
      </c>
      <c r="N59" s="50">
        <v>1</v>
      </c>
      <c r="O59" s="50">
        <v>1</v>
      </c>
      <c r="P59" s="50">
        <v>1</v>
      </c>
      <c r="Q59" s="50">
        <v>1</v>
      </c>
      <c r="R59" s="50">
        <v>1</v>
      </c>
      <c r="S59" s="50">
        <v>1</v>
      </c>
      <c r="T59" s="50">
        <v>1</v>
      </c>
      <c r="U59" s="50">
        <v>1</v>
      </c>
      <c r="V59" s="50">
        <v>1</v>
      </c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</row>
    <row r="60" spans="2:152" x14ac:dyDescent="0.75">
      <c r="B60" s="26"/>
      <c r="C60" s="27"/>
      <c r="D60" s="50"/>
      <c r="F60" s="26"/>
      <c r="G60" s="27" t="s">
        <v>304</v>
      </c>
      <c r="H60" s="50">
        <v>1</v>
      </c>
      <c r="I60" s="50">
        <v>1</v>
      </c>
      <c r="J60" s="50">
        <v>1</v>
      </c>
      <c r="K60" s="50">
        <v>1</v>
      </c>
      <c r="L60" s="50">
        <v>1</v>
      </c>
      <c r="M60" s="50">
        <v>1</v>
      </c>
      <c r="N60" s="50">
        <v>1</v>
      </c>
      <c r="O60" s="50">
        <v>1</v>
      </c>
      <c r="P60" s="50">
        <v>1</v>
      </c>
      <c r="Q60" s="50">
        <v>1</v>
      </c>
      <c r="R60" s="50">
        <v>1</v>
      </c>
      <c r="S60" s="50">
        <v>1</v>
      </c>
      <c r="T60" s="50">
        <v>1</v>
      </c>
      <c r="U60" s="50">
        <v>1</v>
      </c>
      <c r="V60" s="50">
        <v>1</v>
      </c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</row>
    <row r="61" spans="2:152" x14ac:dyDescent="0.75">
      <c r="B61" s="26"/>
      <c r="C61" s="27"/>
      <c r="D61" s="50"/>
      <c r="F61" s="26"/>
      <c r="G61" s="27" t="s">
        <v>709</v>
      </c>
      <c r="H61" s="50">
        <v>1</v>
      </c>
      <c r="I61" s="50">
        <v>1</v>
      </c>
      <c r="J61" s="50">
        <v>1</v>
      </c>
      <c r="K61" s="50">
        <v>1</v>
      </c>
      <c r="L61" s="50">
        <v>1</v>
      </c>
      <c r="M61" s="50">
        <v>1</v>
      </c>
      <c r="N61" s="50">
        <v>1</v>
      </c>
      <c r="O61" s="50">
        <v>1</v>
      </c>
      <c r="P61" s="50">
        <v>1</v>
      </c>
      <c r="Q61" s="50">
        <v>1</v>
      </c>
      <c r="R61" s="50">
        <v>1</v>
      </c>
      <c r="S61" s="50">
        <v>1</v>
      </c>
      <c r="T61" s="50">
        <v>1</v>
      </c>
      <c r="U61" s="50">
        <v>1</v>
      </c>
      <c r="V61" s="50">
        <v>1</v>
      </c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</row>
    <row r="62" spans="2:152" x14ac:dyDescent="0.75">
      <c r="B62" s="26"/>
      <c r="C62" s="27"/>
      <c r="D62" s="50"/>
      <c r="F62" s="26"/>
      <c r="G62" s="27" t="s">
        <v>305</v>
      </c>
      <c r="H62" s="50">
        <v>1</v>
      </c>
      <c r="I62" s="50">
        <v>1</v>
      </c>
      <c r="J62" s="50">
        <v>1</v>
      </c>
      <c r="K62" s="50">
        <v>1</v>
      </c>
      <c r="L62" s="50">
        <v>1</v>
      </c>
      <c r="M62" s="50">
        <v>1</v>
      </c>
      <c r="N62" s="50">
        <v>1</v>
      </c>
      <c r="O62" s="50">
        <v>1</v>
      </c>
      <c r="P62" s="50">
        <v>1</v>
      </c>
      <c r="Q62" s="50">
        <v>1</v>
      </c>
      <c r="R62" s="50">
        <v>1</v>
      </c>
      <c r="S62" s="50">
        <v>1</v>
      </c>
      <c r="T62" s="50">
        <v>1</v>
      </c>
      <c r="U62" s="50">
        <v>1</v>
      </c>
      <c r="V62" s="50">
        <v>1</v>
      </c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</row>
    <row r="63" spans="2:152" x14ac:dyDescent="0.75">
      <c r="B63" s="26"/>
      <c r="C63" s="27"/>
      <c r="D63" s="50"/>
      <c r="F63" s="26"/>
      <c r="G63" s="27" t="s">
        <v>306</v>
      </c>
      <c r="H63" s="50">
        <v>1</v>
      </c>
      <c r="I63" s="50">
        <v>1</v>
      </c>
      <c r="J63" s="50">
        <v>1</v>
      </c>
      <c r="K63" s="50">
        <v>1</v>
      </c>
      <c r="L63" s="50">
        <v>1</v>
      </c>
      <c r="M63" s="50">
        <v>1</v>
      </c>
      <c r="N63" s="50">
        <v>1</v>
      </c>
      <c r="O63" s="50">
        <v>1</v>
      </c>
      <c r="P63" s="50">
        <v>1</v>
      </c>
      <c r="Q63" s="50">
        <v>1</v>
      </c>
      <c r="R63" s="50">
        <v>1</v>
      </c>
      <c r="S63" s="50">
        <v>1</v>
      </c>
      <c r="T63" s="50">
        <v>1</v>
      </c>
      <c r="U63" s="50">
        <v>1</v>
      </c>
      <c r="V63" s="50">
        <v>1</v>
      </c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</row>
    <row r="64" spans="2:152" x14ac:dyDescent="0.75">
      <c r="B64" s="26"/>
      <c r="C64" s="27"/>
      <c r="D64" s="50"/>
      <c r="F64" s="26"/>
      <c r="G64" s="27" t="s">
        <v>498</v>
      </c>
      <c r="H64" s="50">
        <v>1</v>
      </c>
      <c r="I64" s="50">
        <v>1</v>
      </c>
      <c r="J64" s="50">
        <v>1</v>
      </c>
      <c r="K64" s="50">
        <v>1</v>
      </c>
      <c r="L64" s="50">
        <v>1</v>
      </c>
      <c r="M64" s="50">
        <v>1</v>
      </c>
      <c r="N64" s="50">
        <v>1</v>
      </c>
      <c r="O64" s="50">
        <v>1</v>
      </c>
      <c r="P64" s="50">
        <v>1</v>
      </c>
      <c r="Q64" s="50">
        <v>1</v>
      </c>
      <c r="R64" s="50">
        <v>1</v>
      </c>
      <c r="S64" s="50">
        <v>1</v>
      </c>
      <c r="T64" s="50">
        <v>1</v>
      </c>
      <c r="U64" s="50">
        <v>1</v>
      </c>
      <c r="V64" s="50">
        <v>1</v>
      </c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</row>
    <row r="65" spans="2:152" x14ac:dyDescent="0.75">
      <c r="B65" s="26"/>
      <c r="C65" s="27"/>
      <c r="D65" s="50"/>
      <c r="F65" s="26"/>
      <c r="G65" s="27" t="s">
        <v>710</v>
      </c>
      <c r="H65" s="50">
        <v>1</v>
      </c>
      <c r="I65" s="50">
        <v>1</v>
      </c>
      <c r="J65" s="50">
        <v>1</v>
      </c>
      <c r="K65" s="50">
        <v>1</v>
      </c>
      <c r="L65" s="50">
        <v>1</v>
      </c>
      <c r="M65" s="50">
        <v>1</v>
      </c>
      <c r="N65" s="50">
        <v>1</v>
      </c>
      <c r="O65" s="50">
        <v>1</v>
      </c>
      <c r="P65" s="50">
        <v>1</v>
      </c>
      <c r="Q65" s="50">
        <v>1</v>
      </c>
      <c r="R65" s="50">
        <v>1</v>
      </c>
      <c r="S65" s="50">
        <v>1</v>
      </c>
      <c r="T65" s="50">
        <v>1</v>
      </c>
      <c r="U65" s="50">
        <v>1</v>
      </c>
      <c r="V65" s="50">
        <v>1</v>
      </c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</row>
    <row r="66" spans="2:152" x14ac:dyDescent="0.75">
      <c r="B66" s="26"/>
      <c r="C66" s="27"/>
      <c r="D66" s="50"/>
      <c r="F66" s="26"/>
      <c r="G66" s="27" t="s">
        <v>307</v>
      </c>
      <c r="H66" s="50">
        <v>1</v>
      </c>
      <c r="I66" s="50">
        <v>1</v>
      </c>
      <c r="J66" s="50">
        <v>1</v>
      </c>
      <c r="K66" s="50">
        <v>1</v>
      </c>
      <c r="L66" s="50">
        <v>1</v>
      </c>
      <c r="M66" s="50">
        <v>1</v>
      </c>
      <c r="N66" s="50">
        <v>1</v>
      </c>
      <c r="O66" s="50">
        <v>1</v>
      </c>
      <c r="P66" s="50">
        <v>1</v>
      </c>
      <c r="Q66" s="50">
        <v>1</v>
      </c>
      <c r="R66" s="50">
        <v>1</v>
      </c>
      <c r="S66" s="50">
        <v>1</v>
      </c>
      <c r="T66" s="50">
        <v>1</v>
      </c>
      <c r="U66" s="50">
        <v>1</v>
      </c>
      <c r="V66" s="50">
        <v>1</v>
      </c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</row>
    <row r="67" spans="2:152" x14ac:dyDescent="0.75">
      <c r="B67" s="26"/>
      <c r="C67" s="27"/>
      <c r="D67" s="50"/>
      <c r="F67" s="26"/>
      <c r="G67" s="27" t="s">
        <v>308</v>
      </c>
      <c r="H67" s="50">
        <v>1</v>
      </c>
      <c r="I67" s="50">
        <v>1</v>
      </c>
      <c r="J67" s="50">
        <v>1</v>
      </c>
      <c r="K67" s="50">
        <v>1</v>
      </c>
      <c r="L67" s="50">
        <v>1</v>
      </c>
      <c r="M67" s="50">
        <v>1</v>
      </c>
      <c r="N67" s="50">
        <v>1</v>
      </c>
      <c r="O67" s="50">
        <v>1</v>
      </c>
      <c r="P67" s="50">
        <v>1</v>
      </c>
      <c r="Q67" s="50">
        <v>1</v>
      </c>
      <c r="R67" s="50">
        <v>1</v>
      </c>
      <c r="S67" s="50">
        <v>1</v>
      </c>
      <c r="T67" s="50">
        <v>1</v>
      </c>
      <c r="U67" s="50">
        <v>1</v>
      </c>
      <c r="V67" s="50">
        <v>1</v>
      </c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</row>
    <row r="68" spans="2:152" x14ac:dyDescent="0.75">
      <c r="B68" s="26"/>
      <c r="C68" s="27"/>
      <c r="D68" s="50"/>
      <c r="F68" s="26"/>
      <c r="G68" s="27" t="s">
        <v>309</v>
      </c>
      <c r="H68" s="50">
        <v>1</v>
      </c>
      <c r="I68" s="50">
        <v>1</v>
      </c>
      <c r="J68" s="50">
        <v>1</v>
      </c>
      <c r="K68" s="50">
        <v>1</v>
      </c>
      <c r="L68" s="50">
        <v>1</v>
      </c>
      <c r="M68" s="50">
        <v>1</v>
      </c>
      <c r="N68" s="50">
        <v>1</v>
      </c>
      <c r="O68" s="50">
        <v>1</v>
      </c>
      <c r="P68" s="50">
        <v>1</v>
      </c>
      <c r="Q68" s="50">
        <v>1</v>
      </c>
      <c r="R68" s="50">
        <v>1</v>
      </c>
      <c r="S68" s="50">
        <v>1</v>
      </c>
      <c r="T68" s="50">
        <v>1</v>
      </c>
      <c r="U68" s="50">
        <v>1</v>
      </c>
      <c r="V68" s="50">
        <v>1</v>
      </c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</row>
    <row r="69" spans="2:152" x14ac:dyDescent="0.75">
      <c r="B69" s="26"/>
      <c r="C69" s="27"/>
      <c r="D69" s="50"/>
      <c r="F69" s="26"/>
      <c r="G69" s="27" t="s">
        <v>310</v>
      </c>
      <c r="H69" s="50">
        <v>1</v>
      </c>
      <c r="I69" s="50">
        <v>1</v>
      </c>
      <c r="J69" s="50">
        <v>1</v>
      </c>
      <c r="K69" s="50">
        <v>1</v>
      </c>
      <c r="L69" s="50">
        <v>1</v>
      </c>
      <c r="M69" s="50">
        <v>1</v>
      </c>
      <c r="N69" s="50">
        <v>1</v>
      </c>
      <c r="O69" s="50">
        <v>1</v>
      </c>
      <c r="P69" s="50">
        <v>1</v>
      </c>
      <c r="Q69" s="50">
        <v>1</v>
      </c>
      <c r="R69" s="50">
        <v>1</v>
      </c>
      <c r="S69" s="50">
        <v>1</v>
      </c>
      <c r="T69" s="50">
        <v>1</v>
      </c>
      <c r="U69" s="50">
        <v>1</v>
      </c>
      <c r="V69" s="50">
        <v>1</v>
      </c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</row>
    <row r="70" spans="2:152" x14ac:dyDescent="0.75">
      <c r="B70" s="26"/>
      <c r="C70" s="27"/>
      <c r="D70" s="50"/>
      <c r="F70" s="26"/>
      <c r="G70" s="27" t="s">
        <v>311</v>
      </c>
      <c r="H70" s="50">
        <v>1</v>
      </c>
      <c r="I70" s="50">
        <v>1</v>
      </c>
      <c r="J70" s="50">
        <v>1</v>
      </c>
      <c r="K70" s="50">
        <v>1</v>
      </c>
      <c r="L70" s="50">
        <v>1</v>
      </c>
      <c r="M70" s="50">
        <v>1</v>
      </c>
      <c r="N70" s="50">
        <v>1</v>
      </c>
      <c r="O70" s="50">
        <v>1</v>
      </c>
      <c r="P70" s="50">
        <v>1</v>
      </c>
      <c r="Q70" s="50">
        <v>1</v>
      </c>
      <c r="R70" s="50">
        <v>1</v>
      </c>
      <c r="S70" s="50">
        <v>1</v>
      </c>
      <c r="T70" s="50">
        <v>1</v>
      </c>
      <c r="U70" s="50">
        <v>1</v>
      </c>
      <c r="V70" s="50">
        <v>1</v>
      </c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</row>
    <row r="71" spans="2:152" x14ac:dyDescent="0.75">
      <c r="B71" s="26"/>
      <c r="C71" s="27"/>
      <c r="D71" s="50"/>
      <c r="F71" s="26"/>
      <c r="G71" s="27" t="s">
        <v>312</v>
      </c>
      <c r="H71" s="50">
        <v>1</v>
      </c>
      <c r="I71" s="50">
        <v>1</v>
      </c>
      <c r="J71" s="50">
        <v>1</v>
      </c>
      <c r="K71" s="50">
        <v>1</v>
      </c>
      <c r="L71" s="50">
        <v>1</v>
      </c>
      <c r="M71" s="50">
        <v>1</v>
      </c>
      <c r="N71" s="50">
        <v>1</v>
      </c>
      <c r="O71" s="50">
        <v>1</v>
      </c>
      <c r="P71" s="50">
        <v>1</v>
      </c>
      <c r="Q71" s="50">
        <v>1</v>
      </c>
      <c r="R71" s="50">
        <v>1</v>
      </c>
      <c r="S71" s="50">
        <v>1</v>
      </c>
      <c r="T71" s="50">
        <v>1</v>
      </c>
      <c r="U71" s="50">
        <v>1</v>
      </c>
      <c r="V71" s="50">
        <v>1</v>
      </c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</row>
    <row r="72" spans="2:152" x14ac:dyDescent="0.75">
      <c r="B72" s="26"/>
      <c r="C72" s="27"/>
      <c r="D72" s="50"/>
      <c r="F72" s="26"/>
      <c r="G72" s="27" t="s">
        <v>711</v>
      </c>
      <c r="H72" s="50">
        <v>1</v>
      </c>
      <c r="I72" s="50">
        <v>1</v>
      </c>
      <c r="J72" s="50">
        <v>1</v>
      </c>
      <c r="K72" s="50">
        <v>1</v>
      </c>
      <c r="L72" s="50">
        <v>1</v>
      </c>
      <c r="M72" s="50">
        <v>1</v>
      </c>
      <c r="N72" s="50">
        <v>1</v>
      </c>
      <c r="O72" s="50">
        <v>1</v>
      </c>
      <c r="P72" s="50">
        <v>1</v>
      </c>
      <c r="Q72" s="50">
        <v>1</v>
      </c>
      <c r="R72" s="50">
        <v>1</v>
      </c>
      <c r="S72" s="50">
        <v>1</v>
      </c>
      <c r="T72" s="50">
        <v>1</v>
      </c>
      <c r="U72" s="50">
        <v>1</v>
      </c>
      <c r="V72" s="50">
        <v>1</v>
      </c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</row>
    <row r="73" spans="2:152" x14ac:dyDescent="0.75">
      <c r="B73" s="26"/>
      <c r="C73" s="27"/>
      <c r="D73" s="50"/>
      <c r="F73" s="26"/>
      <c r="G73" s="27" t="s">
        <v>313</v>
      </c>
      <c r="H73" s="50">
        <v>1</v>
      </c>
      <c r="I73" s="50">
        <v>1</v>
      </c>
      <c r="J73" s="50">
        <v>1</v>
      </c>
      <c r="K73" s="50">
        <v>1</v>
      </c>
      <c r="L73" s="50">
        <v>1</v>
      </c>
      <c r="M73" s="50">
        <v>1</v>
      </c>
      <c r="N73" s="50">
        <v>1</v>
      </c>
      <c r="O73" s="50">
        <v>1</v>
      </c>
      <c r="P73" s="50">
        <v>1</v>
      </c>
      <c r="Q73" s="50">
        <v>1</v>
      </c>
      <c r="R73" s="50">
        <v>1</v>
      </c>
      <c r="S73" s="50">
        <v>1</v>
      </c>
      <c r="T73" s="50">
        <v>1</v>
      </c>
      <c r="U73" s="50">
        <v>1</v>
      </c>
      <c r="V73" s="50">
        <v>1</v>
      </c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</row>
    <row r="74" spans="2:152" x14ac:dyDescent="0.75">
      <c r="B74" s="26"/>
      <c r="C74" s="27"/>
      <c r="D74" s="50"/>
      <c r="F74" s="26"/>
      <c r="G74" s="27" t="s">
        <v>761</v>
      </c>
      <c r="H74" s="50">
        <v>1</v>
      </c>
      <c r="I74" s="50">
        <v>1</v>
      </c>
      <c r="J74" s="50">
        <v>1</v>
      </c>
      <c r="K74" s="50">
        <v>1</v>
      </c>
      <c r="L74" s="50">
        <v>1</v>
      </c>
      <c r="M74" s="50">
        <v>1</v>
      </c>
      <c r="N74" s="50">
        <v>1</v>
      </c>
      <c r="O74" s="50">
        <v>1</v>
      </c>
      <c r="P74" s="50">
        <v>1</v>
      </c>
      <c r="Q74" s="50">
        <v>1</v>
      </c>
      <c r="R74" s="50">
        <v>1</v>
      </c>
      <c r="S74" s="50">
        <v>1</v>
      </c>
      <c r="T74" s="50">
        <v>1</v>
      </c>
      <c r="U74" s="50">
        <v>1</v>
      </c>
      <c r="V74" s="50">
        <v>1</v>
      </c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</row>
    <row r="75" spans="2:152" x14ac:dyDescent="0.75">
      <c r="B75" s="26"/>
      <c r="C75" s="27"/>
      <c r="D75" s="50"/>
      <c r="F75" s="26"/>
      <c r="G75" s="27" t="s">
        <v>314</v>
      </c>
      <c r="H75" s="50">
        <v>1</v>
      </c>
      <c r="I75" s="50">
        <v>1</v>
      </c>
      <c r="J75" s="50">
        <v>1</v>
      </c>
      <c r="K75" s="50">
        <v>1</v>
      </c>
      <c r="L75" s="50">
        <v>1</v>
      </c>
      <c r="M75" s="50">
        <v>1</v>
      </c>
      <c r="N75" s="50">
        <v>1</v>
      </c>
      <c r="O75" s="50">
        <v>1</v>
      </c>
      <c r="P75" s="50">
        <v>1</v>
      </c>
      <c r="Q75" s="50">
        <v>1</v>
      </c>
      <c r="R75" s="50">
        <v>1</v>
      </c>
      <c r="S75" s="50">
        <v>1</v>
      </c>
      <c r="T75" s="50">
        <v>1</v>
      </c>
      <c r="U75" s="50">
        <v>1</v>
      </c>
      <c r="V75" s="50">
        <v>1</v>
      </c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</row>
    <row r="76" spans="2:152" x14ac:dyDescent="0.75">
      <c r="B76" s="26"/>
      <c r="C76" s="27"/>
      <c r="D76" s="50"/>
      <c r="F76" s="26"/>
      <c r="G76" s="27" t="s">
        <v>712</v>
      </c>
      <c r="H76" s="50">
        <v>1</v>
      </c>
      <c r="I76" s="50">
        <v>1</v>
      </c>
      <c r="J76" s="50">
        <v>1</v>
      </c>
      <c r="K76" s="50">
        <v>1</v>
      </c>
      <c r="L76" s="50">
        <v>1</v>
      </c>
      <c r="M76" s="50">
        <v>1</v>
      </c>
      <c r="N76" s="50">
        <v>1</v>
      </c>
      <c r="O76" s="50">
        <v>1</v>
      </c>
      <c r="P76" s="50">
        <v>1</v>
      </c>
      <c r="Q76" s="50">
        <v>1</v>
      </c>
      <c r="R76" s="50">
        <v>1</v>
      </c>
      <c r="S76" s="50">
        <v>1</v>
      </c>
      <c r="T76" s="50">
        <v>1</v>
      </c>
      <c r="U76" s="50">
        <v>1</v>
      </c>
      <c r="V76" s="50">
        <v>1</v>
      </c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</row>
    <row r="77" spans="2:152" x14ac:dyDescent="0.75">
      <c r="B77" s="26"/>
      <c r="C77" s="27"/>
      <c r="D77" s="50"/>
      <c r="F77" s="26"/>
      <c r="G77" s="27" t="s">
        <v>713</v>
      </c>
      <c r="H77" s="50">
        <v>1</v>
      </c>
      <c r="I77" s="50">
        <v>1</v>
      </c>
      <c r="J77" s="50">
        <v>1</v>
      </c>
      <c r="K77" s="50">
        <v>1</v>
      </c>
      <c r="L77" s="50">
        <v>1</v>
      </c>
      <c r="M77" s="50">
        <v>1</v>
      </c>
      <c r="N77" s="50">
        <v>1</v>
      </c>
      <c r="O77" s="50">
        <v>1</v>
      </c>
      <c r="P77" s="50">
        <v>1</v>
      </c>
      <c r="Q77" s="50">
        <v>1</v>
      </c>
      <c r="R77" s="50">
        <v>1</v>
      </c>
      <c r="S77" s="50">
        <v>1</v>
      </c>
      <c r="T77" s="50">
        <v>1</v>
      </c>
      <c r="U77" s="50">
        <v>1</v>
      </c>
      <c r="V77" s="50">
        <v>1</v>
      </c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</row>
    <row r="78" spans="2:152" x14ac:dyDescent="0.75">
      <c r="B78" s="26"/>
      <c r="C78" s="27"/>
      <c r="D78" s="50"/>
      <c r="F78" s="26"/>
      <c r="G78" s="27" t="s">
        <v>714</v>
      </c>
      <c r="H78" s="50">
        <v>1</v>
      </c>
      <c r="I78" s="50">
        <v>1</v>
      </c>
      <c r="J78" s="50">
        <v>1</v>
      </c>
      <c r="K78" s="50">
        <v>1</v>
      </c>
      <c r="L78" s="50">
        <v>1</v>
      </c>
      <c r="M78" s="50">
        <v>1</v>
      </c>
      <c r="N78" s="50">
        <v>1</v>
      </c>
      <c r="O78" s="50">
        <v>1</v>
      </c>
      <c r="P78" s="50">
        <v>1</v>
      </c>
      <c r="Q78" s="50">
        <v>1</v>
      </c>
      <c r="R78" s="50">
        <v>1</v>
      </c>
      <c r="S78" s="50">
        <v>1</v>
      </c>
      <c r="T78" s="50">
        <v>1</v>
      </c>
      <c r="U78" s="50">
        <v>1</v>
      </c>
      <c r="V78" s="50">
        <v>1</v>
      </c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</row>
    <row r="79" spans="2:152" x14ac:dyDescent="0.75">
      <c r="B79" s="26"/>
      <c r="C79" s="27"/>
      <c r="D79" s="50"/>
      <c r="F79" s="26"/>
      <c r="G79" s="27" t="s">
        <v>715</v>
      </c>
      <c r="H79" s="50">
        <v>1</v>
      </c>
      <c r="I79" s="50">
        <v>1</v>
      </c>
      <c r="J79" s="50">
        <v>1</v>
      </c>
      <c r="K79" s="50">
        <v>1</v>
      </c>
      <c r="L79" s="50">
        <v>1</v>
      </c>
      <c r="M79" s="50">
        <v>1</v>
      </c>
      <c r="N79" s="50">
        <v>1</v>
      </c>
      <c r="O79" s="50">
        <v>1</v>
      </c>
      <c r="P79" s="50">
        <v>1</v>
      </c>
      <c r="Q79" s="50">
        <v>1</v>
      </c>
      <c r="R79" s="50">
        <v>1</v>
      </c>
      <c r="S79" s="50">
        <v>1</v>
      </c>
      <c r="T79" s="50">
        <v>1</v>
      </c>
      <c r="U79" s="50">
        <v>1</v>
      </c>
      <c r="V79" s="50">
        <v>1</v>
      </c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</row>
    <row r="80" spans="2:152" x14ac:dyDescent="0.75">
      <c r="B80" s="26"/>
      <c r="C80" s="27"/>
      <c r="D80" s="50"/>
      <c r="F80" s="26"/>
      <c r="G80" s="27" t="s">
        <v>716</v>
      </c>
      <c r="H80" s="50">
        <v>1</v>
      </c>
      <c r="I80" s="50">
        <v>1</v>
      </c>
      <c r="J80" s="50">
        <v>1</v>
      </c>
      <c r="K80" s="50">
        <v>1</v>
      </c>
      <c r="L80" s="50">
        <v>1</v>
      </c>
      <c r="M80" s="50">
        <v>1</v>
      </c>
      <c r="N80" s="50">
        <v>1</v>
      </c>
      <c r="O80" s="50">
        <v>1</v>
      </c>
      <c r="P80" s="50">
        <v>1</v>
      </c>
      <c r="Q80" s="50">
        <v>1</v>
      </c>
      <c r="R80" s="50">
        <v>1</v>
      </c>
      <c r="S80" s="50">
        <v>1</v>
      </c>
      <c r="T80" s="50">
        <v>1</v>
      </c>
      <c r="U80" s="50">
        <v>1</v>
      </c>
      <c r="V80" s="50">
        <v>1</v>
      </c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</row>
    <row r="81" spans="2:152" x14ac:dyDescent="0.75">
      <c r="B81" s="26"/>
      <c r="C81" s="27"/>
      <c r="D81" s="50"/>
      <c r="F81" s="26"/>
      <c r="G81" s="27" t="s">
        <v>316</v>
      </c>
      <c r="H81" s="50">
        <v>1</v>
      </c>
      <c r="I81" s="50">
        <v>1</v>
      </c>
      <c r="J81" s="50">
        <v>1</v>
      </c>
      <c r="K81" s="50">
        <v>1</v>
      </c>
      <c r="L81" s="50">
        <v>1</v>
      </c>
      <c r="M81" s="50">
        <v>1</v>
      </c>
      <c r="N81" s="50">
        <v>1</v>
      </c>
      <c r="O81" s="50">
        <v>1</v>
      </c>
      <c r="P81" s="50">
        <v>1</v>
      </c>
      <c r="Q81" s="50">
        <v>1</v>
      </c>
      <c r="R81" s="50">
        <v>1</v>
      </c>
      <c r="S81" s="50">
        <v>1</v>
      </c>
      <c r="T81" s="50">
        <v>1</v>
      </c>
      <c r="U81" s="50">
        <v>1</v>
      </c>
      <c r="V81" s="50">
        <v>1</v>
      </c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</row>
    <row r="82" spans="2:152" x14ac:dyDescent="0.75">
      <c r="B82" s="26"/>
      <c r="C82" s="27"/>
      <c r="D82" s="50"/>
      <c r="F82" s="26"/>
      <c r="G82" s="27" t="s">
        <v>717</v>
      </c>
      <c r="H82" s="50">
        <v>1</v>
      </c>
      <c r="I82" s="50">
        <v>1</v>
      </c>
      <c r="J82" s="50">
        <v>1</v>
      </c>
      <c r="K82" s="50">
        <v>1</v>
      </c>
      <c r="L82" s="50">
        <v>1</v>
      </c>
      <c r="M82" s="50">
        <v>1</v>
      </c>
      <c r="N82" s="50">
        <v>1</v>
      </c>
      <c r="O82" s="50">
        <v>1</v>
      </c>
      <c r="P82" s="50">
        <v>1</v>
      </c>
      <c r="Q82" s="50">
        <v>1</v>
      </c>
      <c r="R82" s="50">
        <v>1</v>
      </c>
      <c r="S82" s="50">
        <v>1</v>
      </c>
      <c r="T82" s="50">
        <v>1</v>
      </c>
      <c r="U82" s="50">
        <v>1</v>
      </c>
      <c r="V82" s="50">
        <v>1</v>
      </c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</row>
    <row r="83" spans="2:152" x14ac:dyDescent="0.75">
      <c r="B83" s="26"/>
      <c r="C83" s="27"/>
      <c r="D83" s="50"/>
      <c r="F83" s="26"/>
      <c r="G83" s="27" t="s">
        <v>318</v>
      </c>
      <c r="H83" s="50">
        <v>1</v>
      </c>
      <c r="I83" s="50">
        <v>1</v>
      </c>
      <c r="J83" s="50">
        <v>1</v>
      </c>
      <c r="K83" s="50">
        <v>1</v>
      </c>
      <c r="L83" s="50">
        <v>1</v>
      </c>
      <c r="M83" s="50">
        <v>1</v>
      </c>
      <c r="N83" s="50">
        <v>1</v>
      </c>
      <c r="O83" s="50">
        <v>1</v>
      </c>
      <c r="P83" s="50">
        <v>1</v>
      </c>
      <c r="Q83" s="50">
        <v>1</v>
      </c>
      <c r="R83" s="50">
        <v>1</v>
      </c>
      <c r="S83" s="50">
        <v>1</v>
      </c>
      <c r="T83" s="50">
        <v>1</v>
      </c>
      <c r="U83" s="50">
        <v>1</v>
      </c>
      <c r="V83" s="50">
        <v>1</v>
      </c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</row>
    <row r="84" spans="2:152" x14ac:dyDescent="0.75">
      <c r="B84" s="26"/>
      <c r="C84" s="27"/>
      <c r="D84" s="50"/>
      <c r="F84" s="26"/>
      <c r="G84" s="27" t="s">
        <v>319</v>
      </c>
      <c r="H84" s="50">
        <v>1</v>
      </c>
      <c r="I84" s="50">
        <v>1</v>
      </c>
      <c r="J84" s="50">
        <v>1</v>
      </c>
      <c r="K84" s="50">
        <v>1</v>
      </c>
      <c r="L84" s="50">
        <v>1</v>
      </c>
      <c r="M84" s="50">
        <v>1</v>
      </c>
      <c r="N84" s="50">
        <v>1</v>
      </c>
      <c r="O84" s="50">
        <v>1</v>
      </c>
      <c r="P84" s="50">
        <v>1</v>
      </c>
      <c r="Q84" s="50">
        <v>1</v>
      </c>
      <c r="R84" s="50">
        <v>1</v>
      </c>
      <c r="S84" s="50">
        <v>1</v>
      </c>
      <c r="T84" s="50">
        <v>1</v>
      </c>
      <c r="U84" s="50">
        <v>1</v>
      </c>
      <c r="V84" s="50">
        <v>1</v>
      </c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</row>
    <row r="85" spans="2:152" x14ac:dyDescent="0.75">
      <c r="B85" s="26"/>
      <c r="C85" s="27"/>
      <c r="D85" s="50"/>
      <c r="F85" s="26"/>
      <c r="G85" s="27" t="s">
        <v>320</v>
      </c>
      <c r="H85" s="50">
        <v>1</v>
      </c>
      <c r="I85" s="50">
        <v>1</v>
      </c>
      <c r="J85" s="50">
        <v>1</v>
      </c>
      <c r="K85" s="50">
        <v>1</v>
      </c>
      <c r="L85" s="50">
        <v>1</v>
      </c>
      <c r="M85" s="50">
        <v>1</v>
      </c>
      <c r="N85" s="50">
        <v>1</v>
      </c>
      <c r="O85" s="50">
        <v>1</v>
      </c>
      <c r="P85" s="50">
        <v>1</v>
      </c>
      <c r="Q85" s="50">
        <v>1</v>
      </c>
      <c r="R85" s="50">
        <v>1</v>
      </c>
      <c r="S85" s="50">
        <v>1</v>
      </c>
      <c r="T85" s="50">
        <v>1</v>
      </c>
      <c r="U85" s="50">
        <v>1</v>
      </c>
      <c r="V85" s="50">
        <v>1</v>
      </c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</row>
    <row r="86" spans="2:152" x14ac:dyDescent="0.75">
      <c r="B86" s="26"/>
      <c r="C86" s="27"/>
      <c r="D86" s="50"/>
      <c r="F86" s="26"/>
      <c r="G86" s="27" t="s">
        <v>718</v>
      </c>
      <c r="H86" s="50">
        <v>1</v>
      </c>
      <c r="I86" s="50">
        <v>1</v>
      </c>
      <c r="J86" s="50">
        <v>1</v>
      </c>
      <c r="K86" s="50">
        <v>1</v>
      </c>
      <c r="L86" s="50">
        <v>1</v>
      </c>
      <c r="M86" s="50">
        <v>1</v>
      </c>
      <c r="N86" s="50">
        <v>1</v>
      </c>
      <c r="O86" s="50">
        <v>1</v>
      </c>
      <c r="P86" s="50">
        <v>1</v>
      </c>
      <c r="Q86" s="50">
        <v>1</v>
      </c>
      <c r="R86" s="50">
        <v>1</v>
      </c>
      <c r="S86" s="50">
        <v>1</v>
      </c>
      <c r="T86" s="50">
        <v>1</v>
      </c>
      <c r="U86" s="50">
        <v>1</v>
      </c>
      <c r="V86" s="50">
        <v>1</v>
      </c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</row>
    <row r="87" spans="2:152" x14ac:dyDescent="0.75">
      <c r="B87" s="26"/>
      <c r="C87" s="27"/>
      <c r="D87" s="50"/>
      <c r="F87" s="26"/>
      <c r="G87" s="27" t="s">
        <v>719</v>
      </c>
      <c r="H87" s="50">
        <v>1</v>
      </c>
      <c r="I87" s="50">
        <v>1</v>
      </c>
      <c r="J87" s="50">
        <v>1</v>
      </c>
      <c r="K87" s="50">
        <v>1</v>
      </c>
      <c r="L87" s="50">
        <v>1</v>
      </c>
      <c r="M87" s="50">
        <v>1</v>
      </c>
      <c r="N87" s="50">
        <v>1</v>
      </c>
      <c r="O87" s="50">
        <v>1</v>
      </c>
      <c r="P87" s="50">
        <v>1</v>
      </c>
      <c r="Q87" s="50">
        <v>1</v>
      </c>
      <c r="R87" s="50">
        <v>1</v>
      </c>
      <c r="S87" s="50">
        <v>1</v>
      </c>
      <c r="T87" s="50">
        <v>1</v>
      </c>
      <c r="U87" s="50">
        <v>1</v>
      </c>
      <c r="V87" s="50">
        <v>1</v>
      </c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</row>
    <row r="88" spans="2:152" x14ac:dyDescent="0.75">
      <c r="B88" s="26"/>
      <c r="C88" s="27"/>
      <c r="D88" s="50"/>
      <c r="F88" s="26"/>
      <c r="G88" s="27" t="s">
        <v>720</v>
      </c>
      <c r="H88" s="50">
        <v>1</v>
      </c>
      <c r="I88" s="50">
        <v>1</v>
      </c>
      <c r="J88" s="50">
        <v>1</v>
      </c>
      <c r="K88" s="50">
        <v>1</v>
      </c>
      <c r="L88" s="50">
        <v>1</v>
      </c>
      <c r="M88" s="50">
        <v>1</v>
      </c>
      <c r="N88" s="50">
        <v>1</v>
      </c>
      <c r="O88" s="50">
        <v>1</v>
      </c>
      <c r="P88" s="50">
        <v>1</v>
      </c>
      <c r="Q88" s="50">
        <v>1</v>
      </c>
      <c r="R88" s="50">
        <v>1</v>
      </c>
      <c r="S88" s="50">
        <v>1</v>
      </c>
      <c r="T88" s="50">
        <v>1</v>
      </c>
      <c r="U88" s="50">
        <v>1</v>
      </c>
      <c r="V88" s="50">
        <v>1</v>
      </c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</row>
    <row r="89" spans="2:152" x14ac:dyDescent="0.75">
      <c r="B89" s="26"/>
      <c r="C89" s="27"/>
      <c r="D89" s="50"/>
      <c r="F89" s="26"/>
      <c r="G89" s="27" t="s">
        <v>321</v>
      </c>
      <c r="H89" s="50">
        <v>1</v>
      </c>
      <c r="I89" s="50">
        <v>1</v>
      </c>
      <c r="J89" s="50">
        <v>1</v>
      </c>
      <c r="K89" s="50">
        <v>1</v>
      </c>
      <c r="L89" s="50">
        <v>1</v>
      </c>
      <c r="M89" s="50">
        <v>1</v>
      </c>
      <c r="N89" s="50">
        <v>1</v>
      </c>
      <c r="O89" s="50">
        <v>1</v>
      </c>
      <c r="P89" s="50">
        <v>1</v>
      </c>
      <c r="Q89" s="50">
        <v>1</v>
      </c>
      <c r="R89" s="50">
        <v>1</v>
      </c>
      <c r="S89" s="50">
        <v>1</v>
      </c>
      <c r="T89" s="50">
        <v>1</v>
      </c>
      <c r="U89" s="50">
        <v>1</v>
      </c>
      <c r="V89" s="50">
        <v>1</v>
      </c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</row>
    <row r="90" spans="2:152" x14ac:dyDescent="0.75">
      <c r="B90" s="26"/>
      <c r="C90" s="27"/>
      <c r="D90" s="50"/>
      <c r="F90" s="26"/>
      <c r="G90" s="27" t="s">
        <v>721</v>
      </c>
      <c r="H90" s="50">
        <v>1</v>
      </c>
      <c r="I90" s="50">
        <v>1</v>
      </c>
      <c r="J90" s="50">
        <v>1</v>
      </c>
      <c r="K90" s="50">
        <v>1</v>
      </c>
      <c r="L90" s="50">
        <v>1</v>
      </c>
      <c r="M90" s="50">
        <v>1</v>
      </c>
      <c r="N90" s="50">
        <v>1</v>
      </c>
      <c r="O90" s="50">
        <v>1</v>
      </c>
      <c r="P90" s="50">
        <v>1</v>
      </c>
      <c r="Q90" s="50">
        <v>1</v>
      </c>
      <c r="R90" s="50">
        <v>1</v>
      </c>
      <c r="S90" s="50">
        <v>1</v>
      </c>
      <c r="T90" s="50">
        <v>1</v>
      </c>
      <c r="U90" s="50">
        <v>1</v>
      </c>
      <c r="V90" s="50">
        <v>1</v>
      </c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</row>
    <row r="91" spans="2:152" x14ac:dyDescent="0.75">
      <c r="B91" s="26"/>
      <c r="C91" s="27"/>
      <c r="D91" s="50"/>
      <c r="F91" s="26"/>
      <c r="G91" s="27" t="s">
        <v>766</v>
      </c>
      <c r="H91" s="50">
        <v>1</v>
      </c>
      <c r="I91" s="50">
        <v>1</v>
      </c>
      <c r="J91" s="50">
        <v>1</v>
      </c>
      <c r="K91" s="50">
        <v>1</v>
      </c>
      <c r="L91" s="50">
        <v>1</v>
      </c>
      <c r="M91" s="50">
        <v>1</v>
      </c>
      <c r="N91" s="50">
        <v>1</v>
      </c>
      <c r="O91" s="50">
        <v>1</v>
      </c>
      <c r="P91" s="50">
        <v>1</v>
      </c>
      <c r="Q91" s="50">
        <v>1</v>
      </c>
      <c r="R91" s="50">
        <v>1</v>
      </c>
      <c r="S91" s="50">
        <v>1</v>
      </c>
      <c r="T91" s="50">
        <v>1</v>
      </c>
      <c r="U91" s="50">
        <v>1</v>
      </c>
      <c r="V91" s="50">
        <v>1</v>
      </c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</row>
    <row r="92" spans="2:152" x14ac:dyDescent="0.75">
      <c r="B92" s="26"/>
      <c r="C92" s="27"/>
      <c r="D92" s="50"/>
      <c r="F92" s="26"/>
      <c r="G92" s="27" t="s">
        <v>500</v>
      </c>
      <c r="H92" s="50">
        <v>1</v>
      </c>
      <c r="I92" s="50">
        <v>1</v>
      </c>
      <c r="J92" s="50">
        <v>1</v>
      </c>
      <c r="K92" s="50">
        <v>1</v>
      </c>
      <c r="L92" s="50">
        <v>1</v>
      </c>
      <c r="M92" s="50">
        <v>1</v>
      </c>
      <c r="N92" s="50">
        <v>1</v>
      </c>
      <c r="O92" s="50">
        <v>1</v>
      </c>
      <c r="P92" s="50">
        <v>1</v>
      </c>
      <c r="Q92" s="50">
        <v>1</v>
      </c>
      <c r="R92" s="50">
        <v>1</v>
      </c>
      <c r="S92" s="50">
        <v>1</v>
      </c>
      <c r="T92" s="50">
        <v>1</v>
      </c>
      <c r="U92" s="50">
        <v>1</v>
      </c>
      <c r="V92" s="50">
        <v>1</v>
      </c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</row>
    <row r="93" spans="2:152" x14ac:dyDescent="0.75">
      <c r="B93" s="26"/>
      <c r="C93" s="27"/>
      <c r="D93" s="50"/>
      <c r="F93" s="26"/>
      <c r="G93" s="27" t="s">
        <v>322</v>
      </c>
      <c r="H93" s="50">
        <v>1</v>
      </c>
      <c r="I93" s="50">
        <v>1</v>
      </c>
      <c r="J93" s="50">
        <v>1</v>
      </c>
      <c r="K93" s="50">
        <v>1</v>
      </c>
      <c r="L93" s="50">
        <v>1</v>
      </c>
      <c r="M93" s="50">
        <v>1</v>
      </c>
      <c r="N93" s="50">
        <v>1</v>
      </c>
      <c r="O93" s="50">
        <v>1</v>
      </c>
      <c r="P93" s="50">
        <v>1</v>
      </c>
      <c r="Q93" s="50">
        <v>1</v>
      </c>
      <c r="R93" s="50">
        <v>1</v>
      </c>
      <c r="S93" s="50">
        <v>1</v>
      </c>
      <c r="T93" s="50">
        <v>1</v>
      </c>
      <c r="U93" s="50">
        <v>1</v>
      </c>
      <c r="V93" s="50">
        <v>1</v>
      </c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</row>
    <row r="94" spans="2:152" x14ac:dyDescent="0.75">
      <c r="B94" s="26"/>
      <c r="C94" s="27"/>
      <c r="D94" s="50"/>
      <c r="F94" s="26"/>
      <c r="G94" s="27" t="s">
        <v>501</v>
      </c>
      <c r="H94" s="50">
        <v>1</v>
      </c>
      <c r="I94" s="50">
        <v>1</v>
      </c>
      <c r="J94" s="50">
        <v>1</v>
      </c>
      <c r="K94" s="50">
        <v>1</v>
      </c>
      <c r="L94" s="50">
        <v>1</v>
      </c>
      <c r="M94" s="50">
        <v>1</v>
      </c>
      <c r="N94" s="50">
        <v>1</v>
      </c>
      <c r="O94" s="50">
        <v>1</v>
      </c>
      <c r="P94" s="50">
        <v>1</v>
      </c>
      <c r="Q94" s="50">
        <v>1</v>
      </c>
      <c r="R94" s="50">
        <v>1</v>
      </c>
      <c r="S94" s="50">
        <v>1</v>
      </c>
      <c r="T94" s="50">
        <v>1</v>
      </c>
      <c r="U94" s="50">
        <v>1</v>
      </c>
      <c r="V94" s="50">
        <v>1</v>
      </c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</row>
    <row r="95" spans="2:152" x14ac:dyDescent="0.75">
      <c r="B95" s="26"/>
      <c r="C95" s="27"/>
      <c r="D95" s="50"/>
      <c r="F95" s="26"/>
      <c r="G95" s="27" t="s">
        <v>722</v>
      </c>
      <c r="H95" s="50">
        <v>1</v>
      </c>
      <c r="I95" s="50">
        <v>1</v>
      </c>
      <c r="J95" s="50">
        <v>1</v>
      </c>
      <c r="K95" s="50">
        <v>1</v>
      </c>
      <c r="L95" s="50">
        <v>1</v>
      </c>
      <c r="M95" s="50">
        <v>1</v>
      </c>
      <c r="N95" s="50">
        <v>1</v>
      </c>
      <c r="O95" s="50">
        <v>1</v>
      </c>
      <c r="P95" s="50">
        <v>1</v>
      </c>
      <c r="Q95" s="50">
        <v>1</v>
      </c>
      <c r="R95" s="50">
        <v>1</v>
      </c>
      <c r="S95" s="50">
        <v>1</v>
      </c>
      <c r="T95" s="50">
        <v>1</v>
      </c>
      <c r="U95" s="50">
        <v>1</v>
      </c>
      <c r="V95" s="50">
        <v>1</v>
      </c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</row>
    <row r="96" spans="2:152" x14ac:dyDescent="0.75">
      <c r="B96" s="26"/>
      <c r="C96" s="27"/>
      <c r="D96" s="50"/>
      <c r="F96" s="26"/>
      <c r="G96" s="27" t="s">
        <v>356</v>
      </c>
      <c r="H96" s="50">
        <v>1</v>
      </c>
      <c r="I96" s="50">
        <v>1</v>
      </c>
      <c r="J96" s="50">
        <v>1</v>
      </c>
      <c r="K96" s="50">
        <v>1</v>
      </c>
      <c r="L96" s="50">
        <v>1</v>
      </c>
      <c r="M96" s="50">
        <v>1</v>
      </c>
      <c r="N96" s="50">
        <v>1</v>
      </c>
      <c r="O96" s="50">
        <v>1</v>
      </c>
      <c r="P96" s="50">
        <v>1</v>
      </c>
      <c r="Q96" s="50">
        <v>1</v>
      </c>
      <c r="R96" s="50">
        <v>1</v>
      </c>
      <c r="S96" s="50">
        <v>1</v>
      </c>
      <c r="T96" s="50">
        <v>1</v>
      </c>
      <c r="U96" s="50">
        <v>1</v>
      </c>
      <c r="V96" s="50">
        <v>1</v>
      </c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</row>
    <row r="97" spans="2:152" x14ac:dyDescent="0.75">
      <c r="B97" s="26"/>
      <c r="C97" s="27"/>
      <c r="D97" s="50"/>
      <c r="F97" s="26"/>
      <c r="G97" s="27" t="s">
        <v>503</v>
      </c>
      <c r="H97" s="50">
        <v>1</v>
      </c>
      <c r="I97" s="50">
        <v>1</v>
      </c>
      <c r="J97" s="50">
        <v>1</v>
      </c>
      <c r="K97" s="50">
        <v>1</v>
      </c>
      <c r="L97" s="50">
        <v>1</v>
      </c>
      <c r="M97" s="50">
        <v>1</v>
      </c>
      <c r="N97" s="50">
        <v>1</v>
      </c>
      <c r="O97" s="50">
        <v>1</v>
      </c>
      <c r="P97" s="50">
        <v>1</v>
      </c>
      <c r="Q97" s="50">
        <v>1</v>
      </c>
      <c r="R97" s="50">
        <v>1</v>
      </c>
      <c r="S97" s="50">
        <v>1</v>
      </c>
      <c r="T97" s="50">
        <v>1</v>
      </c>
      <c r="U97" s="50">
        <v>1</v>
      </c>
      <c r="V97" s="50">
        <v>1</v>
      </c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</row>
    <row r="98" spans="2:152" x14ac:dyDescent="0.75">
      <c r="B98" s="26"/>
      <c r="C98" s="27"/>
      <c r="D98" s="27"/>
      <c r="F98" s="26"/>
      <c r="G98" s="27" t="s">
        <v>504</v>
      </c>
      <c r="H98" s="50">
        <v>1</v>
      </c>
      <c r="I98" s="50">
        <v>1</v>
      </c>
      <c r="J98" s="50">
        <v>1</v>
      </c>
      <c r="K98" s="50">
        <v>1</v>
      </c>
      <c r="L98" s="50">
        <v>1</v>
      </c>
      <c r="M98" s="50">
        <v>1</v>
      </c>
      <c r="N98" s="50">
        <v>1</v>
      </c>
      <c r="O98" s="50">
        <v>1</v>
      </c>
      <c r="P98" s="50">
        <v>1</v>
      </c>
      <c r="Q98" s="50">
        <v>1</v>
      </c>
      <c r="R98" s="50">
        <v>1</v>
      </c>
      <c r="S98" s="50">
        <v>1</v>
      </c>
      <c r="T98" s="50">
        <v>1</v>
      </c>
      <c r="U98" s="50">
        <v>1</v>
      </c>
      <c r="V98" s="50">
        <v>1</v>
      </c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</row>
    <row r="99" spans="2:152" x14ac:dyDescent="0.75">
      <c r="B99" s="26"/>
      <c r="C99" s="27"/>
      <c r="D99" s="27"/>
      <c r="F99" s="26"/>
      <c r="G99" s="27" t="s">
        <v>558</v>
      </c>
      <c r="H99" s="50">
        <v>1</v>
      </c>
      <c r="I99" s="50">
        <v>1</v>
      </c>
      <c r="J99" s="50">
        <v>1</v>
      </c>
      <c r="K99" s="50">
        <v>1</v>
      </c>
      <c r="L99" s="50">
        <v>1</v>
      </c>
      <c r="M99" s="50">
        <v>1</v>
      </c>
      <c r="N99" s="50">
        <v>1</v>
      </c>
      <c r="O99" s="50">
        <v>1</v>
      </c>
      <c r="P99" s="50">
        <v>1</v>
      </c>
      <c r="Q99" s="50">
        <v>1</v>
      </c>
      <c r="R99" s="50">
        <v>1</v>
      </c>
      <c r="S99" s="50">
        <v>1</v>
      </c>
      <c r="T99" s="50">
        <v>1</v>
      </c>
      <c r="U99" s="50">
        <v>1</v>
      </c>
      <c r="V99" s="50">
        <v>1</v>
      </c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</row>
    <row r="100" spans="2:152" x14ac:dyDescent="0.75">
      <c r="B100" s="26"/>
      <c r="C100" s="27"/>
      <c r="D100" s="27"/>
      <c r="F100" s="26"/>
      <c r="G100" s="27" t="s">
        <v>324</v>
      </c>
      <c r="H100" s="50">
        <v>1</v>
      </c>
      <c r="I100" s="50">
        <v>1</v>
      </c>
      <c r="J100" s="50">
        <v>1</v>
      </c>
      <c r="K100" s="50">
        <v>1</v>
      </c>
      <c r="L100" s="50">
        <v>1</v>
      </c>
      <c r="M100" s="50">
        <v>1</v>
      </c>
      <c r="N100" s="50">
        <v>1</v>
      </c>
      <c r="O100" s="50">
        <v>1</v>
      </c>
      <c r="P100" s="50">
        <v>1</v>
      </c>
      <c r="Q100" s="50">
        <v>1</v>
      </c>
      <c r="R100" s="50">
        <v>1</v>
      </c>
      <c r="S100" s="50">
        <v>1</v>
      </c>
      <c r="T100" s="50">
        <v>1</v>
      </c>
      <c r="U100" s="50">
        <v>1</v>
      </c>
      <c r="V100" s="50">
        <v>1</v>
      </c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</row>
    <row r="101" spans="2:152" x14ac:dyDescent="0.75">
      <c r="B101" s="26"/>
      <c r="C101" s="27"/>
      <c r="D101" s="27"/>
      <c r="F101" s="26"/>
      <c r="G101" s="27" t="s">
        <v>723</v>
      </c>
      <c r="H101" s="50">
        <v>1</v>
      </c>
      <c r="I101" s="50">
        <v>1</v>
      </c>
      <c r="J101" s="50">
        <v>1</v>
      </c>
      <c r="K101" s="50">
        <v>1</v>
      </c>
      <c r="L101" s="50">
        <v>1</v>
      </c>
      <c r="M101" s="50">
        <v>1</v>
      </c>
      <c r="N101" s="50">
        <v>1</v>
      </c>
      <c r="O101" s="50">
        <v>1</v>
      </c>
      <c r="P101" s="50">
        <v>1</v>
      </c>
      <c r="Q101" s="50">
        <v>1</v>
      </c>
      <c r="R101" s="50">
        <v>1</v>
      </c>
      <c r="S101" s="50">
        <v>1</v>
      </c>
      <c r="T101" s="50">
        <v>1</v>
      </c>
      <c r="U101" s="50">
        <v>1</v>
      </c>
      <c r="V101" s="50">
        <v>1</v>
      </c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50"/>
      <c r="DC101" s="50"/>
      <c r="DD101" s="50"/>
      <c r="DE101" s="50"/>
      <c r="DF101" s="50"/>
      <c r="DG101" s="50"/>
      <c r="DH101" s="50"/>
      <c r="DI101" s="50"/>
      <c r="DJ101" s="50"/>
      <c r="DK101" s="50"/>
      <c r="DL101" s="50"/>
      <c r="DM101" s="50"/>
      <c r="DN101" s="50"/>
      <c r="DO101" s="50"/>
      <c r="DP101" s="50"/>
      <c r="DQ101" s="50"/>
      <c r="DR101" s="50"/>
      <c r="DS101" s="50"/>
      <c r="DT101" s="50"/>
      <c r="DU101" s="50"/>
      <c r="DV101" s="50"/>
      <c r="DW101" s="50"/>
      <c r="DX101" s="50"/>
      <c r="DY101" s="50"/>
      <c r="DZ101" s="50"/>
      <c r="EA101" s="50"/>
      <c r="EB101" s="50"/>
      <c r="EC101" s="50"/>
      <c r="ED101" s="50"/>
      <c r="EE101" s="50"/>
      <c r="EF101" s="50"/>
      <c r="EG101" s="50"/>
      <c r="EH101" s="50"/>
      <c r="EI101" s="50"/>
      <c r="EJ101" s="50"/>
      <c r="EK101" s="50"/>
      <c r="EL101" s="50"/>
      <c r="EM101" s="50"/>
      <c r="EN101" s="50"/>
      <c r="EO101" s="50"/>
      <c r="EP101" s="50"/>
      <c r="EQ101" s="50"/>
      <c r="ER101" s="50"/>
      <c r="ES101" s="50"/>
      <c r="ET101" s="50"/>
      <c r="EU101" s="50"/>
      <c r="EV101" s="50"/>
    </row>
    <row r="102" spans="2:152" x14ac:dyDescent="0.75">
      <c r="B102" s="26"/>
      <c r="C102" s="27"/>
      <c r="D102" s="27"/>
      <c r="F102" s="26"/>
      <c r="G102" s="27" t="s">
        <v>724</v>
      </c>
      <c r="H102" s="50">
        <v>1</v>
      </c>
      <c r="I102" s="50">
        <v>1</v>
      </c>
      <c r="J102" s="50">
        <v>1</v>
      </c>
      <c r="K102" s="50">
        <v>1</v>
      </c>
      <c r="L102" s="50">
        <v>1</v>
      </c>
      <c r="M102" s="50">
        <v>1</v>
      </c>
      <c r="N102" s="50">
        <v>1</v>
      </c>
      <c r="O102" s="50">
        <v>1</v>
      </c>
      <c r="P102" s="50">
        <v>1</v>
      </c>
      <c r="Q102" s="50">
        <v>1</v>
      </c>
      <c r="R102" s="50">
        <v>1</v>
      </c>
      <c r="S102" s="50">
        <v>1</v>
      </c>
      <c r="T102" s="50">
        <v>1</v>
      </c>
      <c r="U102" s="50">
        <v>1</v>
      </c>
      <c r="V102" s="50">
        <v>1</v>
      </c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50"/>
      <c r="ED102" s="50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50"/>
      <c r="ET102" s="50"/>
      <c r="EU102" s="50"/>
      <c r="EV102" s="50"/>
    </row>
    <row r="103" spans="2:152" x14ac:dyDescent="0.75">
      <c r="B103" s="26"/>
      <c r="C103" s="27"/>
      <c r="D103" s="27"/>
      <c r="F103" s="26"/>
      <c r="G103" s="27" t="s">
        <v>57</v>
      </c>
      <c r="H103" s="50">
        <v>1</v>
      </c>
      <c r="I103" s="50">
        <v>1</v>
      </c>
      <c r="J103" s="50">
        <v>1</v>
      </c>
      <c r="K103" s="50">
        <v>1</v>
      </c>
      <c r="L103" s="50">
        <v>1</v>
      </c>
      <c r="M103" s="50">
        <v>1</v>
      </c>
      <c r="N103" s="50">
        <v>1</v>
      </c>
      <c r="O103" s="50">
        <v>1</v>
      </c>
      <c r="P103" s="50">
        <v>1</v>
      </c>
      <c r="Q103" s="50">
        <v>1</v>
      </c>
      <c r="R103" s="50">
        <v>1</v>
      </c>
      <c r="S103" s="50">
        <v>1</v>
      </c>
      <c r="T103" s="50">
        <v>1</v>
      </c>
      <c r="U103" s="50">
        <v>1</v>
      </c>
      <c r="V103" s="50">
        <v>1</v>
      </c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  <c r="DL103" s="50"/>
      <c r="DM103" s="50"/>
      <c r="DN103" s="50"/>
      <c r="DO103" s="50"/>
      <c r="DP103" s="50"/>
      <c r="DQ103" s="50"/>
      <c r="DR103" s="50"/>
      <c r="DS103" s="50"/>
      <c r="DT103" s="50"/>
      <c r="DU103" s="50"/>
      <c r="DV103" s="50"/>
      <c r="DW103" s="50"/>
      <c r="DX103" s="50"/>
      <c r="DY103" s="50"/>
      <c r="DZ103" s="50"/>
      <c r="EA103" s="50"/>
      <c r="EB103" s="50"/>
      <c r="EC103" s="50"/>
      <c r="ED103" s="50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50"/>
      <c r="ER103" s="50"/>
      <c r="ES103" s="50"/>
      <c r="ET103" s="50"/>
      <c r="EU103" s="50"/>
      <c r="EV103" s="50"/>
    </row>
    <row r="104" spans="2:152" x14ac:dyDescent="0.75">
      <c r="B104" s="26"/>
      <c r="C104" s="27"/>
      <c r="D104" s="27"/>
      <c r="F104" s="26"/>
      <c r="G104" s="27" t="s">
        <v>725</v>
      </c>
      <c r="H104" s="50">
        <v>1</v>
      </c>
      <c r="I104" s="50">
        <v>1</v>
      </c>
      <c r="J104" s="50">
        <v>1</v>
      </c>
      <c r="K104" s="50">
        <v>1</v>
      </c>
      <c r="L104" s="50">
        <v>1</v>
      </c>
      <c r="M104" s="50">
        <v>1</v>
      </c>
      <c r="N104" s="50">
        <v>1</v>
      </c>
      <c r="O104" s="50">
        <v>1</v>
      </c>
      <c r="P104" s="50">
        <v>1</v>
      </c>
      <c r="Q104" s="50">
        <v>1</v>
      </c>
      <c r="R104" s="50">
        <v>1</v>
      </c>
      <c r="S104" s="50">
        <v>1</v>
      </c>
      <c r="T104" s="50">
        <v>1</v>
      </c>
      <c r="U104" s="50">
        <v>1</v>
      </c>
      <c r="V104" s="50">
        <v>1</v>
      </c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  <c r="ES104" s="50"/>
      <c r="ET104" s="50"/>
      <c r="EU104" s="50"/>
      <c r="EV104" s="50"/>
    </row>
    <row r="105" spans="2:152" x14ac:dyDescent="0.75">
      <c r="B105" s="26"/>
      <c r="C105" s="27"/>
      <c r="D105" s="27"/>
      <c r="F105" s="26"/>
      <c r="G105" s="27" t="s">
        <v>726</v>
      </c>
      <c r="H105" s="50">
        <v>1</v>
      </c>
      <c r="I105" s="50">
        <v>1</v>
      </c>
      <c r="J105" s="50">
        <v>1</v>
      </c>
      <c r="K105" s="50">
        <v>1</v>
      </c>
      <c r="L105" s="50">
        <v>1</v>
      </c>
      <c r="M105" s="50">
        <v>1</v>
      </c>
      <c r="N105" s="50">
        <v>1</v>
      </c>
      <c r="O105" s="50">
        <v>1</v>
      </c>
      <c r="P105" s="50">
        <v>1</v>
      </c>
      <c r="Q105" s="50">
        <v>1</v>
      </c>
      <c r="R105" s="50">
        <v>1</v>
      </c>
      <c r="S105" s="50">
        <v>1</v>
      </c>
      <c r="T105" s="50">
        <v>1</v>
      </c>
      <c r="U105" s="50">
        <v>1</v>
      </c>
      <c r="V105" s="50">
        <v>1</v>
      </c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  <c r="DD105" s="50"/>
      <c r="DE105" s="50"/>
      <c r="DF105" s="50"/>
      <c r="DG105" s="50"/>
      <c r="DH105" s="50"/>
      <c r="DI105" s="50"/>
      <c r="DJ105" s="50"/>
      <c r="DK105" s="50"/>
      <c r="DL105" s="50"/>
      <c r="DM105" s="50"/>
      <c r="DN105" s="50"/>
      <c r="DO105" s="50"/>
      <c r="DP105" s="50"/>
      <c r="DQ105" s="50"/>
      <c r="DR105" s="50"/>
      <c r="DS105" s="50"/>
      <c r="DT105" s="50"/>
      <c r="DU105" s="50"/>
      <c r="DV105" s="50"/>
      <c r="DW105" s="50"/>
      <c r="DX105" s="50"/>
      <c r="DY105" s="50"/>
      <c r="DZ105" s="50"/>
      <c r="EA105" s="50"/>
      <c r="EB105" s="50"/>
      <c r="EC105" s="50"/>
      <c r="ED105" s="50"/>
      <c r="EE105" s="50"/>
      <c r="EF105" s="50"/>
      <c r="EG105" s="50"/>
      <c r="EH105" s="50"/>
      <c r="EI105" s="50"/>
      <c r="EJ105" s="50"/>
      <c r="EK105" s="50"/>
      <c r="EL105" s="50"/>
      <c r="EM105" s="50"/>
      <c r="EN105" s="50"/>
      <c r="EO105" s="50"/>
      <c r="EP105" s="50"/>
      <c r="EQ105" s="50"/>
      <c r="ER105" s="50"/>
      <c r="ES105" s="50"/>
      <c r="ET105" s="50"/>
      <c r="EU105" s="50"/>
      <c r="EV105" s="50"/>
    </row>
    <row r="106" spans="2:152" x14ac:dyDescent="0.75">
      <c r="B106" s="26"/>
      <c r="C106" s="27"/>
      <c r="D106" s="27"/>
      <c r="F106" s="26"/>
      <c r="G106" s="27" t="s">
        <v>727</v>
      </c>
      <c r="H106" s="50">
        <v>1</v>
      </c>
      <c r="I106" s="50">
        <v>1</v>
      </c>
      <c r="J106" s="50">
        <v>1</v>
      </c>
      <c r="K106" s="50">
        <v>1</v>
      </c>
      <c r="L106" s="50">
        <v>1</v>
      </c>
      <c r="M106" s="50">
        <v>1</v>
      </c>
      <c r="N106" s="50">
        <v>1</v>
      </c>
      <c r="O106" s="50">
        <v>1</v>
      </c>
      <c r="P106" s="50">
        <v>1</v>
      </c>
      <c r="Q106" s="50">
        <v>1</v>
      </c>
      <c r="R106" s="50">
        <v>1</v>
      </c>
      <c r="S106" s="50">
        <v>1</v>
      </c>
      <c r="T106" s="50">
        <v>1</v>
      </c>
      <c r="U106" s="50">
        <v>1</v>
      </c>
      <c r="V106" s="50">
        <v>1</v>
      </c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0"/>
      <c r="DD106" s="50"/>
      <c r="DE106" s="50"/>
      <c r="DF106" s="50"/>
      <c r="DG106" s="50"/>
      <c r="DH106" s="50"/>
      <c r="DI106" s="50"/>
      <c r="DJ106" s="50"/>
      <c r="DK106" s="50"/>
      <c r="DL106" s="50"/>
      <c r="DM106" s="50"/>
      <c r="DN106" s="50"/>
      <c r="DO106" s="50"/>
      <c r="DP106" s="50"/>
      <c r="DQ106" s="50"/>
      <c r="DR106" s="50"/>
      <c r="DS106" s="50"/>
      <c r="DT106" s="50"/>
      <c r="DU106" s="50"/>
      <c r="DV106" s="50"/>
      <c r="DW106" s="50"/>
      <c r="DX106" s="50"/>
      <c r="DY106" s="50"/>
      <c r="DZ106" s="50"/>
      <c r="EA106" s="50"/>
      <c r="EB106" s="50"/>
      <c r="EC106" s="50"/>
      <c r="ED106" s="50"/>
      <c r="EE106" s="50"/>
      <c r="EF106" s="50"/>
      <c r="EG106" s="50"/>
      <c r="EH106" s="50"/>
      <c r="EI106" s="50"/>
      <c r="EJ106" s="50"/>
      <c r="EK106" s="50"/>
      <c r="EL106" s="50"/>
      <c r="EM106" s="50"/>
      <c r="EN106" s="50"/>
      <c r="EO106" s="50"/>
      <c r="EP106" s="50"/>
      <c r="EQ106" s="50"/>
      <c r="ER106" s="50"/>
      <c r="ES106" s="50"/>
      <c r="ET106" s="50"/>
      <c r="EU106" s="50"/>
      <c r="EV106" s="50"/>
    </row>
    <row r="107" spans="2:152" x14ac:dyDescent="0.75">
      <c r="B107" s="26"/>
      <c r="C107" s="27"/>
      <c r="D107" s="27"/>
      <c r="F107" s="26"/>
      <c r="G107" s="27" t="s">
        <v>327</v>
      </c>
      <c r="H107" s="50">
        <v>1</v>
      </c>
      <c r="I107" s="50">
        <v>1</v>
      </c>
      <c r="J107" s="50">
        <v>1</v>
      </c>
      <c r="K107" s="50">
        <v>1</v>
      </c>
      <c r="L107" s="50">
        <v>1</v>
      </c>
      <c r="M107" s="50">
        <v>1</v>
      </c>
      <c r="N107" s="50">
        <v>1</v>
      </c>
      <c r="O107" s="50">
        <v>1</v>
      </c>
      <c r="P107" s="50">
        <v>1</v>
      </c>
      <c r="Q107" s="50">
        <v>1</v>
      </c>
      <c r="R107" s="50">
        <v>1</v>
      </c>
      <c r="S107" s="50">
        <v>1</v>
      </c>
      <c r="T107" s="50">
        <v>1</v>
      </c>
      <c r="U107" s="50">
        <v>1</v>
      </c>
      <c r="V107" s="50">
        <v>1</v>
      </c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0"/>
      <c r="DD107" s="50"/>
      <c r="DE107" s="50"/>
      <c r="DF107" s="50"/>
      <c r="DG107" s="50"/>
      <c r="DH107" s="50"/>
      <c r="DI107" s="50"/>
      <c r="DJ107" s="50"/>
      <c r="DK107" s="50"/>
      <c r="DL107" s="50"/>
      <c r="DM107" s="50"/>
      <c r="DN107" s="50"/>
      <c r="DO107" s="50"/>
      <c r="DP107" s="50"/>
      <c r="DQ107" s="50"/>
      <c r="DR107" s="50"/>
      <c r="DS107" s="50"/>
      <c r="DT107" s="50"/>
      <c r="DU107" s="50"/>
      <c r="DV107" s="50"/>
      <c r="DW107" s="50"/>
      <c r="DX107" s="50"/>
      <c r="DY107" s="50"/>
      <c r="DZ107" s="50"/>
      <c r="EA107" s="50"/>
      <c r="EB107" s="50"/>
      <c r="EC107" s="50"/>
      <c r="ED107" s="50"/>
      <c r="EE107" s="50"/>
      <c r="EF107" s="50"/>
      <c r="EG107" s="50"/>
      <c r="EH107" s="50"/>
      <c r="EI107" s="50"/>
      <c r="EJ107" s="50"/>
      <c r="EK107" s="50"/>
      <c r="EL107" s="50"/>
      <c r="EM107" s="50"/>
      <c r="EN107" s="50"/>
      <c r="EO107" s="50"/>
      <c r="EP107" s="50"/>
      <c r="EQ107" s="50"/>
      <c r="ER107" s="50"/>
      <c r="ES107" s="50"/>
      <c r="ET107" s="50"/>
      <c r="EU107" s="50"/>
      <c r="EV107" s="50"/>
    </row>
    <row r="108" spans="2:152" x14ac:dyDescent="0.75">
      <c r="B108" s="26"/>
      <c r="C108" s="27"/>
      <c r="D108" s="27"/>
      <c r="F108" s="26"/>
      <c r="G108" s="27" t="s">
        <v>502</v>
      </c>
      <c r="H108" s="50">
        <v>1</v>
      </c>
      <c r="I108" s="50">
        <v>1</v>
      </c>
      <c r="J108" s="50">
        <v>1</v>
      </c>
      <c r="K108" s="50">
        <v>1</v>
      </c>
      <c r="L108" s="50">
        <v>1</v>
      </c>
      <c r="M108" s="50">
        <v>1</v>
      </c>
      <c r="N108" s="50">
        <v>1</v>
      </c>
      <c r="O108" s="50">
        <v>1</v>
      </c>
      <c r="P108" s="50">
        <v>1</v>
      </c>
      <c r="Q108" s="50">
        <v>1</v>
      </c>
      <c r="R108" s="50">
        <v>1</v>
      </c>
      <c r="S108" s="50">
        <v>1</v>
      </c>
      <c r="T108" s="50">
        <v>1</v>
      </c>
      <c r="U108" s="50">
        <v>1</v>
      </c>
      <c r="V108" s="50">
        <v>1</v>
      </c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  <c r="DD108" s="50"/>
      <c r="DE108" s="50"/>
      <c r="DF108" s="50"/>
      <c r="DG108" s="50"/>
      <c r="DH108" s="50"/>
      <c r="DI108" s="50"/>
      <c r="DJ108" s="50"/>
      <c r="DK108" s="50"/>
      <c r="DL108" s="50"/>
      <c r="DM108" s="50"/>
      <c r="DN108" s="50"/>
      <c r="DO108" s="50"/>
      <c r="DP108" s="50"/>
      <c r="DQ108" s="50"/>
      <c r="DR108" s="50"/>
      <c r="DS108" s="50"/>
      <c r="DT108" s="50"/>
      <c r="DU108" s="50"/>
      <c r="DV108" s="50"/>
      <c r="DW108" s="50"/>
      <c r="DX108" s="50"/>
      <c r="DY108" s="50"/>
      <c r="DZ108" s="50"/>
      <c r="EA108" s="50"/>
      <c r="EB108" s="50"/>
      <c r="EC108" s="50"/>
      <c r="ED108" s="50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50"/>
      <c r="ER108" s="50"/>
      <c r="ES108" s="50"/>
      <c r="ET108" s="50"/>
      <c r="EU108" s="50"/>
      <c r="EV108" s="50"/>
    </row>
    <row r="109" spans="2:152" x14ac:dyDescent="0.75">
      <c r="B109" s="26"/>
      <c r="C109" s="27"/>
      <c r="D109" s="27"/>
      <c r="F109" s="26"/>
      <c r="G109" s="27" t="s">
        <v>728</v>
      </c>
      <c r="H109" s="50">
        <v>1</v>
      </c>
      <c r="I109" s="50">
        <v>1</v>
      </c>
      <c r="J109" s="50">
        <v>1</v>
      </c>
      <c r="K109" s="50">
        <v>1</v>
      </c>
      <c r="L109" s="50">
        <v>1</v>
      </c>
      <c r="M109" s="50">
        <v>1</v>
      </c>
      <c r="N109" s="50">
        <v>1</v>
      </c>
      <c r="O109" s="50">
        <v>1</v>
      </c>
      <c r="P109" s="50">
        <v>1</v>
      </c>
      <c r="Q109" s="50">
        <v>1</v>
      </c>
      <c r="R109" s="50">
        <v>1</v>
      </c>
      <c r="S109" s="50">
        <v>1</v>
      </c>
      <c r="T109" s="50">
        <v>1</v>
      </c>
      <c r="U109" s="50">
        <v>1</v>
      </c>
      <c r="V109" s="50">
        <v>1</v>
      </c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  <c r="DC109" s="50"/>
      <c r="DD109" s="50"/>
      <c r="DE109" s="50"/>
      <c r="DF109" s="50"/>
      <c r="DG109" s="50"/>
      <c r="DH109" s="50"/>
      <c r="DI109" s="50"/>
      <c r="DJ109" s="50"/>
      <c r="DK109" s="50"/>
      <c r="DL109" s="50"/>
      <c r="DM109" s="50"/>
      <c r="DN109" s="50"/>
      <c r="DO109" s="50"/>
      <c r="DP109" s="50"/>
      <c r="DQ109" s="50"/>
      <c r="DR109" s="50"/>
      <c r="DS109" s="50"/>
      <c r="DT109" s="50"/>
      <c r="DU109" s="50"/>
      <c r="DV109" s="50"/>
      <c r="DW109" s="50"/>
      <c r="DX109" s="50"/>
      <c r="DY109" s="50"/>
      <c r="DZ109" s="50"/>
      <c r="EA109" s="50"/>
      <c r="EB109" s="50"/>
      <c r="EC109" s="50"/>
      <c r="ED109" s="50"/>
      <c r="EE109" s="50"/>
      <c r="EF109" s="50"/>
      <c r="EG109" s="50"/>
      <c r="EH109" s="50"/>
      <c r="EI109" s="50"/>
      <c r="EJ109" s="50"/>
      <c r="EK109" s="50"/>
      <c r="EL109" s="50"/>
      <c r="EM109" s="50"/>
      <c r="EN109" s="50"/>
      <c r="EO109" s="50"/>
      <c r="EP109" s="50"/>
      <c r="EQ109" s="50"/>
      <c r="ER109" s="50"/>
      <c r="ES109" s="50"/>
      <c r="ET109" s="50"/>
      <c r="EU109" s="50"/>
      <c r="EV109" s="50"/>
    </row>
    <row r="110" spans="2:152" x14ac:dyDescent="0.75">
      <c r="B110" s="26"/>
      <c r="C110" s="27"/>
      <c r="D110" s="27"/>
      <c r="F110" s="26"/>
      <c r="G110" s="27" t="s">
        <v>323</v>
      </c>
      <c r="H110" s="50">
        <v>1</v>
      </c>
      <c r="I110" s="50">
        <v>1</v>
      </c>
      <c r="J110" s="50">
        <v>1</v>
      </c>
      <c r="K110" s="50">
        <v>1</v>
      </c>
      <c r="L110" s="50">
        <v>1</v>
      </c>
      <c r="M110" s="50">
        <v>1</v>
      </c>
      <c r="N110" s="50">
        <v>1</v>
      </c>
      <c r="O110" s="50">
        <v>1</v>
      </c>
      <c r="P110" s="50">
        <v>1</v>
      </c>
      <c r="Q110" s="50">
        <v>1</v>
      </c>
      <c r="R110" s="50">
        <v>1</v>
      </c>
      <c r="S110" s="50">
        <v>1</v>
      </c>
      <c r="T110" s="50">
        <v>1</v>
      </c>
      <c r="U110" s="50">
        <v>1</v>
      </c>
      <c r="V110" s="50">
        <v>1</v>
      </c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50"/>
      <c r="CQ110" s="50"/>
      <c r="CR110" s="50"/>
      <c r="CS110" s="50"/>
      <c r="CT110" s="50"/>
      <c r="CU110" s="50"/>
      <c r="CV110" s="50"/>
      <c r="CW110" s="50"/>
      <c r="CX110" s="50"/>
      <c r="CY110" s="50"/>
      <c r="CZ110" s="50"/>
      <c r="DA110" s="50"/>
      <c r="DB110" s="50"/>
      <c r="DC110" s="50"/>
      <c r="DD110" s="50"/>
      <c r="DE110" s="50"/>
      <c r="DF110" s="50"/>
      <c r="DG110" s="50"/>
      <c r="DH110" s="50"/>
      <c r="DI110" s="50"/>
      <c r="DJ110" s="50"/>
      <c r="DK110" s="50"/>
      <c r="DL110" s="50"/>
      <c r="DM110" s="50"/>
      <c r="DN110" s="50"/>
      <c r="DO110" s="50"/>
      <c r="DP110" s="50"/>
      <c r="DQ110" s="50"/>
      <c r="DR110" s="50"/>
      <c r="DS110" s="50"/>
      <c r="DT110" s="50"/>
      <c r="DU110" s="50"/>
      <c r="DV110" s="50"/>
      <c r="DW110" s="50"/>
      <c r="DX110" s="50"/>
      <c r="DY110" s="50"/>
      <c r="DZ110" s="50"/>
      <c r="EA110" s="50"/>
      <c r="EB110" s="50"/>
      <c r="EC110" s="50"/>
      <c r="ED110" s="50"/>
      <c r="EE110" s="50"/>
      <c r="EF110" s="50"/>
      <c r="EG110" s="50"/>
      <c r="EH110" s="50"/>
      <c r="EI110" s="50"/>
      <c r="EJ110" s="50"/>
      <c r="EK110" s="50"/>
      <c r="EL110" s="50"/>
      <c r="EM110" s="50"/>
      <c r="EN110" s="50"/>
      <c r="EO110" s="50"/>
      <c r="EP110" s="50"/>
      <c r="EQ110" s="50"/>
      <c r="ER110" s="50"/>
      <c r="ES110" s="50"/>
      <c r="ET110" s="50"/>
      <c r="EU110" s="50"/>
      <c r="EV110" s="50"/>
    </row>
    <row r="111" spans="2:152" x14ac:dyDescent="0.75">
      <c r="B111" s="26"/>
      <c r="C111" s="27"/>
      <c r="D111" s="27"/>
      <c r="F111" s="26"/>
      <c r="G111" s="27" t="s">
        <v>328</v>
      </c>
      <c r="H111" s="50">
        <v>1</v>
      </c>
      <c r="I111" s="50">
        <v>1</v>
      </c>
      <c r="J111" s="50">
        <v>1</v>
      </c>
      <c r="K111" s="50">
        <v>1</v>
      </c>
      <c r="L111" s="50">
        <v>1</v>
      </c>
      <c r="M111" s="50">
        <v>1</v>
      </c>
      <c r="N111" s="50">
        <v>1</v>
      </c>
      <c r="O111" s="50">
        <v>1</v>
      </c>
      <c r="P111" s="50">
        <v>1</v>
      </c>
      <c r="Q111" s="50">
        <v>1</v>
      </c>
      <c r="R111" s="50">
        <v>1</v>
      </c>
      <c r="S111" s="50">
        <v>1</v>
      </c>
      <c r="T111" s="50">
        <v>1</v>
      </c>
      <c r="U111" s="50">
        <v>1</v>
      </c>
      <c r="V111" s="50">
        <v>1</v>
      </c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  <c r="DC111" s="50"/>
      <c r="DD111" s="50"/>
      <c r="DE111" s="50"/>
      <c r="DF111" s="50"/>
      <c r="DG111" s="50"/>
      <c r="DH111" s="50"/>
      <c r="DI111" s="50"/>
      <c r="DJ111" s="50"/>
      <c r="DK111" s="50"/>
      <c r="DL111" s="50"/>
      <c r="DM111" s="50"/>
      <c r="DN111" s="50"/>
      <c r="DO111" s="50"/>
      <c r="DP111" s="50"/>
      <c r="DQ111" s="50"/>
      <c r="DR111" s="50"/>
      <c r="DS111" s="50"/>
      <c r="DT111" s="50"/>
      <c r="DU111" s="50"/>
      <c r="DV111" s="50"/>
      <c r="DW111" s="50"/>
      <c r="DX111" s="50"/>
      <c r="DY111" s="50"/>
      <c r="DZ111" s="50"/>
      <c r="EA111" s="50"/>
      <c r="EB111" s="50"/>
      <c r="EC111" s="50"/>
      <c r="ED111" s="50"/>
      <c r="EE111" s="50"/>
      <c r="EF111" s="50"/>
      <c r="EG111" s="50"/>
      <c r="EH111" s="50"/>
      <c r="EI111" s="50"/>
      <c r="EJ111" s="50"/>
      <c r="EK111" s="50"/>
      <c r="EL111" s="50"/>
      <c r="EM111" s="50"/>
      <c r="EN111" s="50"/>
      <c r="EO111" s="50"/>
      <c r="EP111" s="50"/>
      <c r="EQ111" s="50"/>
      <c r="ER111" s="50"/>
      <c r="ES111" s="50"/>
      <c r="ET111" s="50"/>
      <c r="EU111" s="50"/>
      <c r="EV111" s="50"/>
    </row>
    <row r="112" spans="2:152" x14ac:dyDescent="0.75">
      <c r="B112" s="26"/>
      <c r="C112" s="27"/>
      <c r="D112" s="27"/>
      <c r="F112" s="26"/>
      <c r="G112" s="27" t="s">
        <v>507</v>
      </c>
      <c r="H112" s="50">
        <v>1</v>
      </c>
      <c r="I112" s="50">
        <v>1</v>
      </c>
      <c r="J112" s="50">
        <v>1</v>
      </c>
      <c r="K112" s="50">
        <v>1</v>
      </c>
      <c r="L112" s="50">
        <v>1</v>
      </c>
      <c r="M112" s="50">
        <v>1</v>
      </c>
      <c r="N112" s="50">
        <v>1</v>
      </c>
      <c r="O112" s="50">
        <v>1</v>
      </c>
      <c r="P112" s="50">
        <v>1</v>
      </c>
      <c r="Q112" s="50">
        <v>1</v>
      </c>
      <c r="R112" s="50">
        <v>1</v>
      </c>
      <c r="S112" s="50">
        <v>1</v>
      </c>
      <c r="T112" s="50">
        <v>1</v>
      </c>
      <c r="U112" s="50">
        <v>1</v>
      </c>
      <c r="V112" s="50">
        <v>1</v>
      </c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  <c r="DC112" s="50"/>
      <c r="DD112" s="50"/>
      <c r="DE112" s="50"/>
      <c r="DF112" s="50"/>
      <c r="DG112" s="50"/>
      <c r="DH112" s="50"/>
      <c r="DI112" s="50"/>
      <c r="DJ112" s="50"/>
      <c r="DK112" s="50"/>
      <c r="DL112" s="50"/>
      <c r="DM112" s="50"/>
      <c r="DN112" s="50"/>
      <c r="DO112" s="50"/>
      <c r="DP112" s="50"/>
      <c r="DQ112" s="50"/>
      <c r="DR112" s="50"/>
      <c r="DS112" s="50"/>
      <c r="DT112" s="50"/>
      <c r="DU112" s="50"/>
      <c r="DV112" s="50"/>
      <c r="DW112" s="50"/>
      <c r="DX112" s="50"/>
      <c r="DY112" s="50"/>
      <c r="DZ112" s="50"/>
      <c r="EA112" s="50"/>
      <c r="EB112" s="50"/>
      <c r="EC112" s="50"/>
      <c r="ED112" s="50"/>
      <c r="EE112" s="50"/>
      <c r="EF112" s="50"/>
      <c r="EG112" s="50"/>
      <c r="EH112" s="50"/>
      <c r="EI112" s="50"/>
      <c r="EJ112" s="50"/>
      <c r="EK112" s="50"/>
      <c r="EL112" s="50"/>
      <c r="EM112" s="50"/>
      <c r="EN112" s="50"/>
      <c r="EO112" s="50"/>
      <c r="EP112" s="50"/>
      <c r="EQ112" s="50"/>
      <c r="ER112" s="50"/>
      <c r="ES112" s="50"/>
      <c r="ET112" s="50"/>
      <c r="EU112" s="50"/>
      <c r="EV112" s="50"/>
    </row>
    <row r="113" spans="2:152" x14ac:dyDescent="0.75">
      <c r="B113" s="26"/>
      <c r="C113" s="27"/>
      <c r="D113" s="27"/>
      <c r="F113" s="26"/>
      <c r="G113" s="27" t="s">
        <v>326</v>
      </c>
      <c r="H113" s="50">
        <v>1</v>
      </c>
      <c r="I113" s="50">
        <v>1</v>
      </c>
      <c r="J113" s="50">
        <v>1</v>
      </c>
      <c r="K113" s="50">
        <v>1</v>
      </c>
      <c r="L113" s="50">
        <v>1</v>
      </c>
      <c r="M113" s="50">
        <v>1</v>
      </c>
      <c r="N113" s="50">
        <v>1</v>
      </c>
      <c r="O113" s="50">
        <v>1</v>
      </c>
      <c r="P113" s="50">
        <v>1</v>
      </c>
      <c r="Q113" s="50">
        <v>1</v>
      </c>
      <c r="R113" s="50">
        <v>1</v>
      </c>
      <c r="S113" s="50">
        <v>1</v>
      </c>
      <c r="T113" s="50">
        <v>1</v>
      </c>
      <c r="U113" s="50">
        <v>1</v>
      </c>
      <c r="V113" s="50">
        <v>1</v>
      </c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  <c r="CQ113" s="50"/>
      <c r="CR113" s="50"/>
      <c r="CS113" s="50"/>
      <c r="CT113" s="50"/>
      <c r="CU113" s="50"/>
      <c r="CV113" s="50"/>
      <c r="CW113" s="50"/>
      <c r="CX113" s="50"/>
      <c r="CY113" s="50"/>
      <c r="CZ113" s="50"/>
      <c r="DA113" s="50"/>
      <c r="DB113" s="50"/>
      <c r="DC113" s="50"/>
      <c r="DD113" s="50"/>
      <c r="DE113" s="50"/>
      <c r="DF113" s="50"/>
      <c r="DG113" s="50"/>
      <c r="DH113" s="50"/>
      <c r="DI113" s="50"/>
      <c r="DJ113" s="50"/>
      <c r="DK113" s="50"/>
      <c r="DL113" s="50"/>
      <c r="DM113" s="50"/>
      <c r="DN113" s="50"/>
      <c r="DO113" s="50"/>
      <c r="DP113" s="50"/>
      <c r="DQ113" s="50"/>
      <c r="DR113" s="50"/>
      <c r="DS113" s="50"/>
      <c r="DT113" s="50"/>
      <c r="DU113" s="50"/>
      <c r="DV113" s="50"/>
      <c r="DW113" s="50"/>
      <c r="DX113" s="50"/>
      <c r="DY113" s="50"/>
      <c r="DZ113" s="50"/>
      <c r="EA113" s="50"/>
      <c r="EB113" s="50"/>
      <c r="EC113" s="50"/>
      <c r="ED113" s="50"/>
      <c r="EE113" s="50"/>
      <c r="EF113" s="50"/>
      <c r="EG113" s="50"/>
      <c r="EH113" s="50"/>
      <c r="EI113" s="50"/>
      <c r="EJ113" s="50"/>
      <c r="EK113" s="50"/>
      <c r="EL113" s="50"/>
      <c r="EM113" s="50"/>
      <c r="EN113" s="50"/>
      <c r="EO113" s="50"/>
      <c r="EP113" s="50"/>
      <c r="EQ113" s="50"/>
      <c r="ER113" s="50"/>
      <c r="ES113" s="50"/>
      <c r="ET113" s="50"/>
      <c r="EU113" s="50"/>
      <c r="EV113" s="50"/>
    </row>
    <row r="114" spans="2:152" x14ac:dyDescent="0.75">
      <c r="B114" s="26"/>
      <c r="C114" s="27"/>
      <c r="D114" s="27"/>
      <c r="F114" s="26"/>
      <c r="G114" s="27" t="s">
        <v>325</v>
      </c>
      <c r="H114" s="50">
        <v>1</v>
      </c>
      <c r="I114" s="50">
        <v>1</v>
      </c>
      <c r="J114" s="50">
        <v>1</v>
      </c>
      <c r="K114" s="50">
        <v>1</v>
      </c>
      <c r="L114" s="50">
        <v>1</v>
      </c>
      <c r="M114" s="50">
        <v>1</v>
      </c>
      <c r="N114" s="50">
        <v>1</v>
      </c>
      <c r="O114" s="50">
        <v>1</v>
      </c>
      <c r="P114" s="50">
        <v>1</v>
      </c>
      <c r="Q114" s="50">
        <v>1</v>
      </c>
      <c r="R114" s="50">
        <v>1</v>
      </c>
      <c r="S114" s="50">
        <v>1</v>
      </c>
      <c r="T114" s="50">
        <v>1</v>
      </c>
      <c r="U114" s="50">
        <v>1</v>
      </c>
      <c r="V114" s="50">
        <v>1</v>
      </c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  <c r="CU114" s="50"/>
      <c r="CV114" s="50"/>
      <c r="CW114" s="50"/>
      <c r="CX114" s="50"/>
      <c r="CY114" s="50"/>
      <c r="CZ114" s="50"/>
      <c r="DA114" s="50"/>
      <c r="DB114" s="50"/>
      <c r="DC114" s="50"/>
      <c r="DD114" s="50"/>
      <c r="DE114" s="50"/>
      <c r="DF114" s="50"/>
      <c r="DG114" s="50"/>
      <c r="DH114" s="50"/>
      <c r="DI114" s="50"/>
      <c r="DJ114" s="50"/>
      <c r="DK114" s="50"/>
      <c r="DL114" s="50"/>
      <c r="DM114" s="50"/>
      <c r="DN114" s="50"/>
      <c r="DO114" s="50"/>
      <c r="DP114" s="50"/>
      <c r="DQ114" s="50"/>
      <c r="DR114" s="50"/>
      <c r="DS114" s="50"/>
      <c r="DT114" s="50"/>
      <c r="DU114" s="50"/>
      <c r="DV114" s="50"/>
      <c r="DW114" s="50"/>
      <c r="DX114" s="50"/>
      <c r="DY114" s="50"/>
      <c r="DZ114" s="50"/>
      <c r="EA114" s="50"/>
      <c r="EB114" s="50"/>
      <c r="EC114" s="50"/>
      <c r="ED114" s="50"/>
      <c r="EE114" s="50"/>
      <c r="EF114" s="50"/>
      <c r="EG114" s="50"/>
      <c r="EH114" s="50"/>
      <c r="EI114" s="50"/>
      <c r="EJ114" s="50"/>
      <c r="EK114" s="50"/>
      <c r="EL114" s="50"/>
      <c r="EM114" s="50"/>
      <c r="EN114" s="50"/>
      <c r="EO114" s="50"/>
      <c r="EP114" s="50"/>
      <c r="EQ114" s="50"/>
      <c r="ER114" s="50"/>
      <c r="ES114" s="50"/>
      <c r="ET114" s="50"/>
      <c r="EU114" s="50"/>
      <c r="EV114" s="50"/>
    </row>
    <row r="115" spans="2:152" x14ac:dyDescent="0.75">
      <c r="B115" s="26"/>
      <c r="C115" s="27"/>
      <c r="D115" s="27"/>
      <c r="F115" s="26"/>
      <c r="G115" s="27" t="s">
        <v>729</v>
      </c>
      <c r="H115" s="50">
        <v>1</v>
      </c>
      <c r="I115" s="50">
        <v>1</v>
      </c>
      <c r="J115" s="50">
        <v>1</v>
      </c>
      <c r="K115" s="50">
        <v>1</v>
      </c>
      <c r="L115" s="50">
        <v>1</v>
      </c>
      <c r="M115" s="50">
        <v>1</v>
      </c>
      <c r="N115" s="50">
        <v>1</v>
      </c>
      <c r="O115" s="50">
        <v>1</v>
      </c>
      <c r="P115" s="50">
        <v>1</v>
      </c>
      <c r="Q115" s="50">
        <v>1</v>
      </c>
      <c r="R115" s="50">
        <v>1</v>
      </c>
      <c r="S115" s="50">
        <v>1</v>
      </c>
      <c r="T115" s="50">
        <v>1</v>
      </c>
      <c r="U115" s="50">
        <v>1</v>
      </c>
      <c r="V115" s="50">
        <v>1</v>
      </c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  <c r="CQ115" s="50"/>
      <c r="CR115" s="50"/>
      <c r="CS115" s="50"/>
      <c r="CT115" s="50"/>
      <c r="CU115" s="50"/>
      <c r="CV115" s="50"/>
      <c r="CW115" s="50"/>
      <c r="CX115" s="50"/>
      <c r="CY115" s="50"/>
      <c r="CZ115" s="50"/>
      <c r="DA115" s="50"/>
      <c r="DB115" s="50"/>
      <c r="DC115" s="50"/>
      <c r="DD115" s="50"/>
      <c r="DE115" s="50"/>
      <c r="DF115" s="50"/>
      <c r="DG115" s="50"/>
      <c r="DH115" s="50"/>
      <c r="DI115" s="50"/>
      <c r="DJ115" s="50"/>
      <c r="DK115" s="50"/>
      <c r="DL115" s="50"/>
      <c r="DM115" s="50"/>
      <c r="DN115" s="50"/>
      <c r="DO115" s="50"/>
      <c r="DP115" s="50"/>
      <c r="DQ115" s="50"/>
      <c r="DR115" s="50"/>
      <c r="DS115" s="50"/>
      <c r="DT115" s="50"/>
      <c r="DU115" s="50"/>
      <c r="DV115" s="50"/>
      <c r="DW115" s="50"/>
      <c r="DX115" s="50"/>
      <c r="DY115" s="50"/>
      <c r="DZ115" s="50"/>
      <c r="EA115" s="50"/>
      <c r="EB115" s="50"/>
      <c r="EC115" s="50"/>
      <c r="ED115" s="50"/>
      <c r="EE115" s="50"/>
      <c r="EF115" s="50"/>
      <c r="EG115" s="50"/>
      <c r="EH115" s="50"/>
      <c r="EI115" s="50"/>
      <c r="EJ115" s="50"/>
      <c r="EK115" s="50"/>
      <c r="EL115" s="50"/>
      <c r="EM115" s="50"/>
      <c r="EN115" s="50"/>
      <c r="EO115" s="50"/>
      <c r="EP115" s="50"/>
      <c r="EQ115" s="50"/>
      <c r="ER115" s="50"/>
      <c r="ES115" s="50"/>
      <c r="ET115" s="50"/>
      <c r="EU115" s="50"/>
      <c r="EV115" s="50"/>
    </row>
    <row r="116" spans="2:152" x14ac:dyDescent="0.75">
      <c r="B116" s="26"/>
      <c r="C116" s="27"/>
      <c r="D116" s="27"/>
      <c r="F116" s="26"/>
      <c r="G116" s="27" t="s">
        <v>329</v>
      </c>
      <c r="H116" s="50">
        <v>1</v>
      </c>
      <c r="I116" s="50">
        <v>1</v>
      </c>
      <c r="J116" s="50">
        <v>1</v>
      </c>
      <c r="K116" s="50">
        <v>1</v>
      </c>
      <c r="L116" s="50">
        <v>1</v>
      </c>
      <c r="M116" s="50">
        <v>1</v>
      </c>
      <c r="N116" s="50">
        <v>1</v>
      </c>
      <c r="O116" s="50">
        <v>1</v>
      </c>
      <c r="P116" s="50">
        <v>1</v>
      </c>
      <c r="Q116" s="50">
        <v>1</v>
      </c>
      <c r="R116" s="50">
        <v>1</v>
      </c>
      <c r="S116" s="50">
        <v>1</v>
      </c>
      <c r="T116" s="50">
        <v>1</v>
      </c>
      <c r="U116" s="50">
        <v>1</v>
      </c>
      <c r="V116" s="50">
        <v>1</v>
      </c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  <c r="DD116" s="50"/>
      <c r="DE116" s="50"/>
      <c r="DF116" s="50"/>
      <c r="DG116" s="50"/>
      <c r="DH116" s="50"/>
      <c r="DI116" s="50"/>
      <c r="DJ116" s="50"/>
      <c r="DK116" s="50"/>
      <c r="DL116" s="50"/>
      <c r="DM116" s="50"/>
      <c r="DN116" s="50"/>
      <c r="DO116" s="50"/>
      <c r="DP116" s="50"/>
      <c r="DQ116" s="50"/>
      <c r="DR116" s="50"/>
      <c r="DS116" s="50"/>
      <c r="DT116" s="50"/>
      <c r="DU116" s="50"/>
      <c r="DV116" s="50"/>
      <c r="DW116" s="50"/>
      <c r="DX116" s="50"/>
      <c r="DY116" s="50"/>
      <c r="DZ116" s="50"/>
      <c r="EA116" s="50"/>
      <c r="EB116" s="50"/>
      <c r="EC116" s="50"/>
      <c r="ED116" s="50"/>
      <c r="EE116" s="50"/>
      <c r="EF116" s="50"/>
      <c r="EG116" s="50"/>
      <c r="EH116" s="50"/>
      <c r="EI116" s="50"/>
      <c r="EJ116" s="50"/>
      <c r="EK116" s="50"/>
      <c r="EL116" s="50"/>
      <c r="EM116" s="50"/>
      <c r="EN116" s="50"/>
      <c r="EO116" s="50"/>
      <c r="EP116" s="50"/>
      <c r="EQ116" s="50"/>
      <c r="ER116" s="50"/>
      <c r="ES116" s="50"/>
      <c r="ET116" s="50"/>
      <c r="EU116" s="50"/>
      <c r="EV116" s="50"/>
    </row>
    <row r="117" spans="2:152" x14ac:dyDescent="0.75">
      <c r="B117" s="26"/>
      <c r="C117" s="27"/>
      <c r="D117" s="27"/>
      <c r="F117" s="26"/>
      <c r="G117" s="27" t="s">
        <v>330</v>
      </c>
      <c r="H117" s="50">
        <v>1</v>
      </c>
      <c r="I117" s="50">
        <v>1</v>
      </c>
      <c r="J117" s="50">
        <v>1</v>
      </c>
      <c r="K117" s="50">
        <v>1</v>
      </c>
      <c r="L117" s="50">
        <v>1</v>
      </c>
      <c r="M117" s="50">
        <v>1</v>
      </c>
      <c r="N117" s="50">
        <v>1</v>
      </c>
      <c r="O117" s="50">
        <v>1</v>
      </c>
      <c r="P117" s="50">
        <v>1</v>
      </c>
      <c r="Q117" s="50">
        <v>1</v>
      </c>
      <c r="R117" s="50">
        <v>1</v>
      </c>
      <c r="S117" s="50">
        <v>1</v>
      </c>
      <c r="T117" s="50">
        <v>1</v>
      </c>
      <c r="U117" s="50">
        <v>1</v>
      </c>
      <c r="V117" s="50">
        <v>1</v>
      </c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  <c r="DA117" s="50"/>
      <c r="DB117" s="50"/>
      <c r="DC117" s="50"/>
      <c r="DD117" s="50"/>
      <c r="DE117" s="50"/>
      <c r="DF117" s="50"/>
      <c r="DG117" s="50"/>
      <c r="DH117" s="50"/>
      <c r="DI117" s="50"/>
      <c r="DJ117" s="50"/>
      <c r="DK117" s="50"/>
      <c r="DL117" s="50"/>
      <c r="DM117" s="50"/>
      <c r="DN117" s="50"/>
      <c r="DO117" s="50"/>
      <c r="DP117" s="50"/>
      <c r="DQ117" s="50"/>
      <c r="DR117" s="50"/>
      <c r="DS117" s="50"/>
      <c r="DT117" s="50"/>
      <c r="DU117" s="50"/>
      <c r="DV117" s="50"/>
      <c r="DW117" s="50"/>
      <c r="DX117" s="50"/>
      <c r="DY117" s="50"/>
      <c r="DZ117" s="50"/>
      <c r="EA117" s="50"/>
      <c r="EB117" s="50"/>
      <c r="EC117" s="50"/>
      <c r="ED117" s="50"/>
      <c r="EE117" s="50"/>
      <c r="EF117" s="50"/>
      <c r="EG117" s="50"/>
      <c r="EH117" s="50"/>
      <c r="EI117" s="50"/>
      <c r="EJ117" s="50"/>
      <c r="EK117" s="50"/>
      <c r="EL117" s="50"/>
      <c r="EM117" s="50"/>
      <c r="EN117" s="50"/>
      <c r="EO117" s="50"/>
      <c r="EP117" s="50"/>
      <c r="EQ117" s="50"/>
      <c r="ER117" s="50"/>
      <c r="ES117" s="50"/>
      <c r="ET117" s="50"/>
      <c r="EU117" s="50"/>
      <c r="EV117" s="50"/>
    </row>
    <row r="118" spans="2:152" x14ac:dyDescent="0.75">
      <c r="B118" s="26"/>
      <c r="C118" s="27"/>
      <c r="D118" s="27"/>
      <c r="F118" s="26"/>
      <c r="G118" s="27" t="s">
        <v>512</v>
      </c>
      <c r="H118" s="50">
        <v>1</v>
      </c>
      <c r="I118" s="50">
        <v>1</v>
      </c>
      <c r="J118" s="50">
        <v>1</v>
      </c>
      <c r="K118" s="50">
        <v>1</v>
      </c>
      <c r="L118" s="50">
        <v>1</v>
      </c>
      <c r="M118" s="50">
        <v>1</v>
      </c>
      <c r="N118" s="50">
        <v>1</v>
      </c>
      <c r="O118" s="50">
        <v>1</v>
      </c>
      <c r="P118" s="50">
        <v>1</v>
      </c>
      <c r="Q118" s="50">
        <v>1</v>
      </c>
      <c r="R118" s="50">
        <v>1</v>
      </c>
      <c r="S118" s="50">
        <v>1</v>
      </c>
      <c r="T118" s="50">
        <v>1</v>
      </c>
      <c r="U118" s="50">
        <v>1</v>
      </c>
      <c r="V118" s="50">
        <v>1</v>
      </c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0"/>
      <c r="DD118" s="50"/>
      <c r="DE118" s="50"/>
      <c r="DF118" s="50"/>
      <c r="DG118" s="50"/>
      <c r="DH118" s="50"/>
      <c r="DI118" s="50"/>
      <c r="DJ118" s="50"/>
      <c r="DK118" s="50"/>
      <c r="DL118" s="50"/>
      <c r="DM118" s="50"/>
      <c r="DN118" s="50"/>
      <c r="DO118" s="50"/>
      <c r="DP118" s="50"/>
      <c r="DQ118" s="50"/>
      <c r="DR118" s="50"/>
      <c r="DS118" s="50"/>
      <c r="DT118" s="50"/>
      <c r="DU118" s="50"/>
      <c r="DV118" s="50"/>
      <c r="DW118" s="50"/>
      <c r="DX118" s="50"/>
      <c r="DY118" s="50"/>
      <c r="DZ118" s="50"/>
      <c r="EA118" s="50"/>
      <c r="EB118" s="50"/>
      <c r="EC118" s="50"/>
      <c r="ED118" s="50"/>
      <c r="EE118" s="50"/>
      <c r="EF118" s="50"/>
      <c r="EG118" s="50"/>
      <c r="EH118" s="50"/>
      <c r="EI118" s="50"/>
      <c r="EJ118" s="50"/>
      <c r="EK118" s="50"/>
      <c r="EL118" s="50"/>
      <c r="EM118" s="50"/>
      <c r="EN118" s="50"/>
      <c r="EO118" s="50"/>
      <c r="EP118" s="50"/>
      <c r="EQ118" s="50"/>
      <c r="ER118" s="50"/>
      <c r="ES118" s="50"/>
      <c r="ET118" s="50"/>
      <c r="EU118" s="50"/>
      <c r="EV118" s="50"/>
    </row>
    <row r="119" spans="2:152" x14ac:dyDescent="0.75">
      <c r="B119" s="26"/>
      <c r="C119" s="27"/>
      <c r="D119" s="27"/>
      <c r="F119" s="26"/>
      <c r="G119" s="27" t="s">
        <v>331</v>
      </c>
      <c r="H119" s="50">
        <v>1</v>
      </c>
      <c r="I119" s="50">
        <v>1</v>
      </c>
      <c r="J119" s="50">
        <v>1</v>
      </c>
      <c r="K119" s="50">
        <v>1</v>
      </c>
      <c r="L119" s="50">
        <v>1</v>
      </c>
      <c r="M119" s="50">
        <v>1</v>
      </c>
      <c r="N119" s="50">
        <v>1</v>
      </c>
      <c r="O119" s="50">
        <v>1</v>
      </c>
      <c r="P119" s="50">
        <v>1</v>
      </c>
      <c r="Q119" s="50">
        <v>1</v>
      </c>
      <c r="R119" s="50">
        <v>1</v>
      </c>
      <c r="S119" s="50">
        <v>1</v>
      </c>
      <c r="T119" s="50">
        <v>1</v>
      </c>
      <c r="U119" s="50">
        <v>1</v>
      </c>
      <c r="V119" s="50">
        <v>1</v>
      </c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  <c r="DD119" s="50"/>
      <c r="DE119" s="50"/>
      <c r="DF119" s="50"/>
      <c r="DG119" s="50"/>
      <c r="DH119" s="50"/>
      <c r="DI119" s="50"/>
      <c r="DJ119" s="50"/>
      <c r="DK119" s="50"/>
      <c r="DL119" s="50"/>
      <c r="DM119" s="50"/>
      <c r="DN119" s="50"/>
      <c r="DO119" s="50"/>
      <c r="DP119" s="50"/>
      <c r="DQ119" s="50"/>
      <c r="DR119" s="50"/>
      <c r="DS119" s="50"/>
      <c r="DT119" s="50"/>
      <c r="DU119" s="50"/>
      <c r="DV119" s="50"/>
      <c r="DW119" s="50"/>
      <c r="DX119" s="50"/>
      <c r="DY119" s="50"/>
      <c r="DZ119" s="50"/>
      <c r="EA119" s="50"/>
      <c r="EB119" s="50"/>
      <c r="EC119" s="50"/>
      <c r="ED119" s="50"/>
      <c r="EE119" s="50"/>
      <c r="EF119" s="50"/>
      <c r="EG119" s="50"/>
      <c r="EH119" s="50"/>
      <c r="EI119" s="50"/>
      <c r="EJ119" s="50"/>
      <c r="EK119" s="50"/>
      <c r="EL119" s="50"/>
      <c r="EM119" s="50"/>
      <c r="EN119" s="50"/>
      <c r="EO119" s="50"/>
      <c r="EP119" s="50"/>
      <c r="EQ119" s="50"/>
      <c r="ER119" s="50"/>
      <c r="ES119" s="50"/>
      <c r="ET119" s="50"/>
      <c r="EU119" s="50"/>
      <c r="EV119" s="50"/>
    </row>
    <row r="120" spans="2:152" x14ac:dyDescent="0.75">
      <c r="B120" s="26"/>
      <c r="C120" s="27"/>
      <c r="D120" s="27"/>
      <c r="F120" s="26"/>
      <c r="G120" s="27" t="s">
        <v>332</v>
      </c>
      <c r="H120" s="50">
        <v>1</v>
      </c>
      <c r="I120" s="50">
        <v>1</v>
      </c>
      <c r="J120" s="50">
        <v>1</v>
      </c>
      <c r="K120" s="50">
        <v>1</v>
      </c>
      <c r="L120" s="50">
        <v>1</v>
      </c>
      <c r="M120" s="50">
        <v>1</v>
      </c>
      <c r="N120" s="50">
        <v>1</v>
      </c>
      <c r="O120" s="50">
        <v>1</v>
      </c>
      <c r="P120" s="50">
        <v>1</v>
      </c>
      <c r="Q120" s="50">
        <v>1</v>
      </c>
      <c r="R120" s="50">
        <v>1</v>
      </c>
      <c r="S120" s="50">
        <v>1</v>
      </c>
      <c r="T120" s="50">
        <v>1</v>
      </c>
      <c r="U120" s="50">
        <v>1</v>
      </c>
      <c r="V120" s="50">
        <v>1</v>
      </c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  <c r="CP120" s="50"/>
      <c r="CQ120" s="50"/>
      <c r="CR120" s="50"/>
      <c r="CS120" s="50"/>
      <c r="CT120" s="50"/>
      <c r="CU120" s="50"/>
      <c r="CV120" s="50"/>
      <c r="CW120" s="50"/>
      <c r="CX120" s="50"/>
      <c r="CY120" s="50"/>
      <c r="CZ120" s="50"/>
      <c r="DA120" s="50"/>
      <c r="DB120" s="50"/>
      <c r="DC120" s="50"/>
      <c r="DD120" s="50"/>
      <c r="DE120" s="50"/>
      <c r="DF120" s="50"/>
      <c r="DG120" s="50"/>
      <c r="DH120" s="50"/>
      <c r="DI120" s="50"/>
      <c r="DJ120" s="50"/>
      <c r="DK120" s="50"/>
      <c r="DL120" s="50"/>
      <c r="DM120" s="50"/>
      <c r="DN120" s="50"/>
      <c r="DO120" s="50"/>
      <c r="DP120" s="50"/>
      <c r="DQ120" s="50"/>
      <c r="DR120" s="50"/>
      <c r="DS120" s="50"/>
      <c r="DT120" s="50"/>
      <c r="DU120" s="50"/>
      <c r="DV120" s="50"/>
      <c r="DW120" s="50"/>
      <c r="DX120" s="50"/>
      <c r="DY120" s="50"/>
      <c r="DZ120" s="50"/>
      <c r="EA120" s="50"/>
      <c r="EB120" s="50"/>
      <c r="EC120" s="50"/>
      <c r="ED120" s="50"/>
      <c r="EE120" s="50"/>
      <c r="EF120" s="50"/>
      <c r="EG120" s="50"/>
      <c r="EH120" s="50"/>
      <c r="EI120" s="50"/>
      <c r="EJ120" s="50"/>
      <c r="EK120" s="50"/>
      <c r="EL120" s="50"/>
      <c r="EM120" s="50"/>
      <c r="EN120" s="50"/>
      <c r="EO120" s="50"/>
      <c r="EP120" s="50"/>
      <c r="EQ120" s="50"/>
      <c r="ER120" s="50"/>
      <c r="ES120" s="50"/>
      <c r="ET120" s="50"/>
      <c r="EU120" s="50"/>
      <c r="EV120" s="50"/>
    </row>
    <row r="121" spans="2:152" x14ac:dyDescent="0.75">
      <c r="B121" s="26"/>
      <c r="C121" s="27"/>
      <c r="D121" s="27"/>
      <c r="F121" s="26"/>
      <c r="G121" s="27" t="s">
        <v>510</v>
      </c>
      <c r="H121" s="50">
        <v>1</v>
      </c>
      <c r="I121" s="50">
        <v>1</v>
      </c>
      <c r="J121" s="50">
        <v>1</v>
      </c>
      <c r="K121" s="50">
        <v>1</v>
      </c>
      <c r="L121" s="50">
        <v>1</v>
      </c>
      <c r="M121" s="50">
        <v>1</v>
      </c>
      <c r="N121" s="50">
        <v>1</v>
      </c>
      <c r="O121" s="50">
        <v>1</v>
      </c>
      <c r="P121" s="50">
        <v>1</v>
      </c>
      <c r="Q121" s="50">
        <v>1</v>
      </c>
      <c r="R121" s="50">
        <v>1</v>
      </c>
      <c r="S121" s="50">
        <v>1</v>
      </c>
      <c r="T121" s="50">
        <v>1</v>
      </c>
      <c r="U121" s="50">
        <v>1</v>
      </c>
      <c r="V121" s="50">
        <v>1</v>
      </c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50"/>
      <c r="CH121" s="50"/>
      <c r="CI121" s="50"/>
      <c r="CJ121" s="50"/>
      <c r="CK121" s="50"/>
      <c r="CL121" s="50"/>
      <c r="CM121" s="50"/>
      <c r="CN121" s="50"/>
      <c r="CO121" s="50"/>
      <c r="CP121" s="50"/>
      <c r="CQ121" s="50"/>
      <c r="CR121" s="50"/>
      <c r="CS121" s="50"/>
      <c r="CT121" s="50"/>
      <c r="CU121" s="50"/>
      <c r="CV121" s="50"/>
      <c r="CW121" s="50"/>
      <c r="CX121" s="50"/>
      <c r="CY121" s="50"/>
      <c r="CZ121" s="50"/>
      <c r="DA121" s="50"/>
      <c r="DB121" s="50"/>
      <c r="DC121" s="50"/>
      <c r="DD121" s="50"/>
      <c r="DE121" s="50"/>
      <c r="DF121" s="50"/>
      <c r="DG121" s="50"/>
      <c r="DH121" s="50"/>
      <c r="DI121" s="50"/>
      <c r="DJ121" s="50"/>
      <c r="DK121" s="50"/>
      <c r="DL121" s="50"/>
      <c r="DM121" s="50"/>
      <c r="DN121" s="50"/>
      <c r="DO121" s="50"/>
      <c r="DP121" s="50"/>
      <c r="DQ121" s="50"/>
      <c r="DR121" s="50"/>
      <c r="DS121" s="50"/>
      <c r="DT121" s="50"/>
      <c r="DU121" s="50"/>
      <c r="DV121" s="50"/>
      <c r="DW121" s="50"/>
      <c r="DX121" s="50"/>
      <c r="DY121" s="50"/>
      <c r="DZ121" s="50"/>
      <c r="EA121" s="50"/>
      <c r="EB121" s="50"/>
      <c r="EC121" s="50"/>
      <c r="ED121" s="50"/>
      <c r="EE121" s="50"/>
      <c r="EF121" s="50"/>
      <c r="EG121" s="50"/>
      <c r="EH121" s="50"/>
      <c r="EI121" s="50"/>
      <c r="EJ121" s="50"/>
      <c r="EK121" s="50"/>
      <c r="EL121" s="50"/>
      <c r="EM121" s="50"/>
      <c r="EN121" s="50"/>
      <c r="EO121" s="50"/>
      <c r="EP121" s="50"/>
      <c r="EQ121" s="50"/>
      <c r="ER121" s="50"/>
      <c r="ES121" s="50"/>
      <c r="ET121" s="50"/>
      <c r="EU121" s="50"/>
      <c r="EV121" s="50"/>
    </row>
    <row r="122" spans="2:152" x14ac:dyDescent="0.75">
      <c r="B122" s="26"/>
      <c r="C122" s="27"/>
      <c r="D122" s="27"/>
      <c r="F122" s="26"/>
      <c r="G122" s="27" t="s">
        <v>511</v>
      </c>
      <c r="H122" s="50">
        <v>1</v>
      </c>
      <c r="I122" s="50">
        <v>1</v>
      </c>
      <c r="J122" s="50">
        <v>1</v>
      </c>
      <c r="K122" s="50">
        <v>1</v>
      </c>
      <c r="L122" s="50">
        <v>1</v>
      </c>
      <c r="M122" s="50">
        <v>1</v>
      </c>
      <c r="N122" s="50">
        <v>1</v>
      </c>
      <c r="O122" s="50">
        <v>1</v>
      </c>
      <c r="P122" s="50">
        <v>1</v>
      </c>
      <c r="Q122" s="50">
        <v>1</v>
      </c>
      <c r="R122" s="50">
        <v>1</v>
      </c>
      <c r="S122" s="50">
        <v>1</v>
      </c>
      <c r="T122" s="50">
        <v>1</v>
      </c>
      <c r="U122" s="50">
        <v>1</v>
      </c>
      <c r="V122" s="50">
        <v>1</v>
      </c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  <c r="DA122" s="50"/>
      <c r="DB122" s="50"/>
      <c r="DC122" s="50"/>
      <c r="DD122" s="50"/>
      <c r="DE122" s="50"/>
      <c r="DF122" s="50"/>
      <c r="DG122" s="50"/>
      <c r="DH122" s="50"/>
      <c r="DI122" s="50"/>
      <c r="DJ122" s="50"/>
      <c r="DK122" s="50"/>
      <c r="DL122" s="50"/>
      <c r="DM122" s="50"/>
      <c r="DN122" s="50"/>
      <c r="DO122" s="50"/>
      <c r="DP122" s="50"/>
      <c r="DQ122" s="50"/>
      <c r="DR122" s="50"/>
      <c r="DS122" s="50"/>
      <c r="DT122" s="50"/>
      <c r="DU122" s="50"/>
      <c r="DV122" s="50"/>
      <c r="DW122" s="50"/>
      <c r="DX122" s="50"/>
      <c r="DY122" s="50"/>
      <c r="DZ122" s="50"/>
      <c r="EA122" s="50"/>
      <c r="EB122" s="50"/>
      <c r="EC122" s="50"/>
      <c r="ED122" s="50"/>
      <c r="EE122" s="50"/>
      <c r="EF122" s="50"/>
      <c r="EG122" s="50"/>
      <c r="EH122" s="50"/>
      <c r="EI122" s="50"/>
      <c r="EJ122" s="50"/>
      <c r="EK122" s="50"/>
      <c r="EL122" s="50"/>
      <c r="EM122" s="50"/>
      <c r="EN122" s="50"/>
      <c r="EO122" s="50"/>
      <c r="EP122" s="50"/>
      <c r="EQ122" s="50"/>
      <c r="ER122" s="50"/>
      <c r="ES122" s="50"/>
      <c r="ET122" s="50"/>
      <c r="EU122" s="50"/>
      <c r="EV122" s="50"/>
    </row>
    <row r="123" spans="2:152" x14ac:dyDescent="0.75">
      <c r="B123" s="26"/>
      <c r="C123" s="27"/>
      <c r="D123" s="27"/>
      <c r="F123" s="26"/>
      <c r="G123" s="27" t="s">
        <v>333</v>
      </c>
      <c r="H123" s="50">
        <v>1</v>
      </c>
      <c r="I123" s="50">
        <v>1</v>
      </c>
      <c r="J123" s="50">
        <v>1</v>
      </c>
      <c r="K123" s="50">
        <v>1</v>
      </c>
      <c r="L123" s="50">
        <v>1</v>
      </c>
      <c r="M123" s="50">
        <v>1</v>
      </c>
      <c r="N123" s="50">
        <v>1</v>
      </c>
      <c r="O123" s="50">
        <v>1</v>
      </c>
      <c r="P123" s="50">
        <v>1</v>
      </c>
      <c r="Q123" s="50">
        <v>1</v>
      </c>
      <c r="R123" s="50">
        <v>1</v>
      </c>
      <c r="S123" s="50">
        <v>1</v>
      </c>
      <c r="T123" s="50">
        <v>1</v>
      </c>
      <c r="U123" s="50">
        <v>1</v>
      </c>
      <c r="V123" s="50">
        <v>1</v>
      </c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  <c r="CP123" s="50"/>
      <c r="CQ123" s="50"/>
      <c r="CR123" s="50"/>
      <c r="CS123" s="50"/>
      <c r="CT123" s="50"/>
      <c r="CU123" s="50"/>
      <c r="CV123" s="50"/>
      <c r="CW123" s="50"/>
      <c r="CX123" s="50"/>
      <c r="CY123" s="50"/>
      <c r="CZ123" s="50"/>
      <c r="DA123" s="50"/>
      <c r="DB123" s="50"/>
      <c r="DC123" s="50"/>
      <c r="DD123" s="50"/>
      <c r="DE123" s="50"/>
      <c r="DF123" s="50"/>
      <c r="DG123" s="50"/>
      <c r="DH123" s="50"/>
      <c r="DI123" s="50"/>
      <c r="DJ123" s="50"/>
      <c r="DK123" s="50"/>
      <c r="DL123" s="50"/>
      <c r="DM123" s="50"/>
      <c r="DN123" s="50"/>
      <c r="DO123" s="50"/>
      <c r="DP123" s="50"/>
      <c r="DQ123" s="50"/>
      <c r="DR123" s="50"/>
      <c r="DS123" s="50"/>
      <c r="DT123" s="50"/>
      <c r="DU123" s="50"/>
      <c r="DV123" s="50"/>
      <c r="DW123" s="50"/>
      <c r="DX123" s="50"/>
      <c r="DY123" s="50"/>
      <c r="DZ123" s="50"/>
      <c r="EA123" s="50"/>
      <c r="EB123" s="50"/>
      <c r="EC123" s="50"/>
      <c r="ED123" s="50"/>
      <c r="EE123" s="50"/>
      <c r="EF123" s="50"/>
      <c r="EG123" s="50"/>
      <c r="EH123" s="50"/>
      <c r="EI123" s="50"/>
      <c r="EJ123" s="50"/>
      <c r="EK123" s="50"/>
      <c r="EL123" s="50"/>
      <c r="EM123" s="50"/>
      <c r="EN123" s="50"/>
      <c r="EO123" s="50"/>
      <c r="EP123" s="50"/>
      <c r="EQ123" s="50"/>
      <c r="ER123" s="50"/>
      <c r="ES123" s="50"/>
      <c r="ET123" s="50"/>
      <c r="EU123" s="50"/>
      <c r="EV123" s="50"/>
    </row>
    <row r="124" spans="2:152" x14ac:dyDescent="0.75">
      <c r="B124" s="26"/>
      <c r="C124" s="27"/>
      <c r="D124" s="27"/>
      <c r="F124" s="26"/>
      <c r="G124" s="27" t="s">
        <v>334</v>
      </c>
      <c r="H124" s="50">
        <v>1</v>
      </c>
      <c r="I124" s="50">
        <v>1</v>
      </c>
      <c r="J124" s="50">
        <v>1</v>
      </c>
      <c r="K124" s="50">
        <v>1</v>
      </c>
      <c r="L124" s="50">
        <v>1</v>
      </c>
      <c r="M124" s="50">
        <v>1</v>
      </c>
      <c r="N124" s="50">
        <v>1</v>
      </c>
      <c r="O124" s="50">
        <v>1</v>
      </c>
      <c r="P124" s="50">
        <v>1</v>
      </c>
      <c r="Q124" s="50">
        <v>1</v>
      </c>
      <c r="R124" s="50">
        <v>1</v>
      </c>
      <c r="S124" s="50">
        <v>1</v>
      </c>
      <c r="T124" s="50">
        <v>1</v>
      </c>
      <c r="U124" s="50">
        <v>1</v>
      </c>
      <c r="V124" s="50">
        <v>1</v>
      </c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  <c r="CP124" s="50"/>
      <c r="CQ124" s="50"/>
      <c r="CR124" s="50"/>
      <c r="CS124" s="50"/>
      <c r="CT124" s="50"/>
      <c r="CU124" s="50"/>
      <c r="CV124" s="50"/>
      <c r="CW124" s="50"/>
      <c r="CX124" s="50"/>
      <c r="CY124" s="50"/>
      <c r="CZ124" s="50"/>
      <c r="DA124" s="50"/>
      <c r="DB124" s="50"/>
      <c r="DC124" s="50"/>
      <c r="DD124" s="50"/>
      <c r="DE124" s="50"/>
      <c r="DF124" s="50"/>
      <c r="DG124" s="50"/>
      <c r="DH124" s="50"/>
      <c r="DI124" s="50"/>
      <c r="DJ124" s="50"/>
      <c r="DK124" s="50"/>
      <c r="DL124" s="50"/>
      <c r="DM124" s="50"/>
      <c r="DN124" s="50"/>
      <c r="DO124" s="50"/>
      <c r="DP124" s="50"/>
      <c r="DQ124" s="50"/>
      <c r="DR124" s="50"/>
      <c r="DS124" s="50"/>
      <c r="DT124" s="50"/>
      <c r="DU124" s="50"/>
      <c r="DV124" s="50"/>
      <c r="DW124" s="50"/>
      <c r="DX124" s="50"/>
      <c r="DY124" s="50"/>
      <c r="DZ124" s="50"/>
      <c r="EA124" s="50"/>
      <c r="EB124" s="50"/>
      <c r="EC124" s="50"/>
      <c r="ED124" s="50"/>
      <c r="EE124" s="50"/>
      <c r="EF124" s="50"/>
      <c r="EG124" s="50"/>
      <c r="EH124" s="50"/>
      <c r="EI124" s="50"/>
      <c r="EJ124" s="50"/>
      <c r="EK124" s="50"/>
      <c r="EL124" s="50"/>
      <c r="EM124" s="50"/>
      <c r="EN124" s="50"/>
      <c r="EO124" s="50"/>
      <c r="EP124" s="50"/>
      <c r="EQ124" s="50"/>
      <c r="ER124" s="50"/>
      <c r="ES124" s="50"/>
      <c r="ET124" s="50"/>
      <c r="EU124" s="50"/>
      <c r="EV124" s="50"/>
    </row>
    <row r="125" spans="2:152" x14ac:dyDescent="0.75">
      <c r="B125" s="26"/>
      <c r="C125" s="27"/>
      <c r="D125" s="27"/>
      <c r="F125" s="26"/>
      <c r="G125" s="27" t="s">
        <v>516</v>
      </c>
      <c r="H125" s="50">
        <v>1</v>
      </c>
      <c r="I125" s="50">
        <v>1</v>
      </c>
      <c r="J125" s="50">
        <v>1</v>
      </c>
      <c r="K125" s="50">
        <v>1</v>
      </c>
      <c r="L125" s="50">
        <v>1</v>
      </c>
      <c r="M125" s="50">
        <v>1</v>
      </c>
      <c r="N125" s="50">
        <v>1</v>
      </c>
      <c r="O125" s="50">
        <v>1</v>
      </c>
      <c r="P125" s="50">
        <v>1</v>
      </c>
      <c r="Q125" s="50">
        <v>1</v>
      </c>
      <c r="R125" s="50">
        <v>1</v>
      </c>
      <c r="S125" s="50">
        <v>1</v>
      </c>
      <c r="T125" s="50">
        <v>1</v>
      </c>
      <c r="U125" s="50">
        <v>1</v>
      </c>
      <c r="V125" s="50">
        <v>1</v>
      </c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  <c r="CP125" s="50"/>
      <c r="CQ125" s="50"/>
      <c r="CR125" s="50"/>
      <c r="CS125" s="50"/>
      <c r="CT125" s="50"/>
      <c r="CU125" s="50"/>
      <c r="CV125" s="50"/>
      <c r="CW125" s="50"/>
      <c r="CX125" s="50"/>
      <c r="CY125" s="50"/>
      <c r="CZ125" s="50"/>
      <c r="DA125" s="50"/>
      <c r="DB125" s="50"/>
      <c r="DC125" s="50"/>
      <c r="DD125" s="50"/>
      <c r="DE125" s="50"/>
      <c r="DF125" s="50"/>
      <c r="DG125" s="50"/>
      <c r="DH125" s="50"/>
      <c r="DI125" s="50"/>
      <c r="DJ125" s="50"/>
      <c r="DK125" s="50"/>
      <c r="DL125" s="50"/>
      <c r="DM125" s="50"/>
      <c r="DN125" s="50"/>
      <c r="DO125" s="50"/>
      <c r="DP125" s="50"/>
      <c r="DQ125" s="50"/>
      <c r="DR125" s="50"/>
      <c r="DS125" s="50"/>
      <c r="DT125" s="50"/>
      <c r="DU125" s="50"/>
      <c r="DV125" s="50"/>
      <c r="DW125" s="50"/>
      <c r="DX125" s="50"/>
      <c r="DY125" s="50"/>
      <c r="DZ125" s="50"/>
      <c r="EA125" s="50"/>
      <c r="EB125" s="50"/>
      <c r="EC125" s="50"/>
      <c r="ED125" s="50"/>
      <c r="EE125" s="50"/>
      <c r="EF125" s="50"/>
      <c r="EG125" s="50"/>
      <c r="EH125" s="50"/>
      <c r="EI125" s="50"/>
      <c r="EJ125" s="50"/>
      <c r="EK125" s="50"/>
      <c r="EL125" s="50"/>
      <c r="EM125" s="50"/>
      <c r="EN125" s="50"/>
      <c r="EO125" s="50"/>
      <c r="EP125" s="50"/>
      <c r="EQ125" s="50"/>
      <c r="ER125" s="50"/>
      <c r="ES125" s="50"/>
      <c r="ET125" s="50"/>
      <c r="EU125" s="50"/>
      <c r="EV125" s="50"/>
    </row>
    <row r="126" spans="2:152" x14ac:dyDescent="0.75">
      <c r="B126" s="26"/>
      <c r="C126" s="27"/>
      <c r="D126" s="27"/>
      <c r="F126" s="26"/>
      <c r="G126" s="27" t="s">
        <v>517</v>
      </c>
      <c r="H126" s="50">
        <v>1</v>
      </c>
      <c r="I126" s="50">
        <v>1</v>
      </c>
      <c r="J126" s="50">
        <v>1</v>
      </c>
      <c r="K126" s="50">
        <v>1</v>
      </c>
      <c r="L126" s="50">
        <v>1</v>
      </c>
      <c r="M126" s="50">
        <v>1</v>
      </c>
      <c r="N126" s="50">
        <v>1</v>
      </c>
      <c r="O126" s="50">
        <v>1</v>
      </c>
      <c r="P126" s="50">
        <v>1</v>
      </c>
      <c r="Q126" s="50">
        <v>1</v>
      </c>
      <c r="R126" s="50">
        <v>1</v>
      </c>
      <c r="S126" s="50">
        <v>1</v>
      </c>
      <c r="T126" s="50">
        <v>1</v>
      </c>
      <c r="U126" s="50">
        <v>1</v>
      </c>
      <c r="V126" s="50">
        <v>1</v>
      </c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  <c r="CP126" s="50"/>
      <c r="CQ126" s="50"/>
      <c r="CR126" s="50"/>
      <c r="CS126" s="50"/>
      <c r="CT126" s="50"/>
      <c r="CU126" s="50"/>
      <c r="CV126" s="50"/>
      <c r="CW126" s="50"/>
      <c r="CX126" s="50"/>
      <c r="CY126" s="50"/>
      <c r="CZ126" s="50"/>
      <c r="DA126" s="50"/>
      <c r="DB126" s="50"/>
      <c r="DC126" s="50"/>
      <c r="DD126" s="50"/>
      <c r="DE126" s="50"/>
      <c r="DF126" s="50"/>
      <c r="DG126" s="50"/>
      <c r="DH126" s="50"/>
      <c r="DI126" s="50"/>
      <c r="DJ126" s="50"/>
      <c r="DK126" s="50"/>
      <c r="DL126" s="50"/>
      <c r="DM126" s="50"/>
      <c r="DN126" s="50"/>
      <c r="DO126" s="50"/>
      <c r="DP126" s="50"/>
      <c r="DQ126" s="50"/>
      <c r="DR126" s="50"/>
      <c r="DS126" s="50"/>
      <c r="DT126" s="50"/>
      <c r="DU126" s="50"/>
      <c r="DV126" s="50"/>
      <c r="DW126" s="50"/>
      <c r="DX126" s="50"/>
      <c r="DY126" s="50"/>
      <c r="DZ126" s="50"/>
      <c r="EA126" s="50"/>
      <c r="EB126" s="50"/>
      <c r="EC126" s="50"/>
      <c r="ED126" s="50"/>
      <c r="EE126" s="50"/>
      <c r="EF126" s="50"/>
      <c r="EG126" s="50"/>
      <c r="EH126" s="50"/>
      <c r="EI126" s="50"/>
      <c r="EJ126" s="50"/>
      <c r="EK126" s="50"/>
      <c r="EL126" s="50"/>
      <c r="EM126" s="50"/>
      <c r="EN126" s="50"/>
      <c r="EO126" s="50"/>
      <c r="EP126" s="50"/>
      <c r="EQ126" s="50"/>
      <c r="ER126" s="50"/>
      <c r="ES126" s="50"/>
      <c r="ET126" s="50"/>
      <c r="EU126" s="50"/>
      <c r="EV126" s="50"/>
    </row>
    <row r="127" spans="2:152" x14ac:dyDescent="0.75">
      <c r="B127" s="26"/>
      <c r="C127" s="27"/>
      <c r="D127" s="27"/>
      <c r="F127" s="26"/>
      <c r="G127" s="27" t="s">
        <v>518</v>
      </c>
      <c r="H127" s="50">
        <v>1</v>
      </c>
      <c r="I127" s="50">
        <v>1</v>
      </c>
      <c r="J127" s="50">
        <v>1</v>
      </c>
      <c r="K127" s="50">
        <v>1</v>
      </c>
      <c r="L127" s="50">
        <v>1</v>
      </c>
      <c r="M127" s="50">
        <v>1</v>
      </c>
      <c r="N127" s="50">
        <v>1</v>
      </c>
      <c r="O127" s="50">
        <v>1</v>
      </c>
      <c r="P127" s="50">
        <v>1</v>
      </c>
      <c r="Q127" s="50">
        <v>1</v>
      </c>
      <c r="R127" s="50">
        <v>1</v>
      </c>
      <c r="S127" s="50">
        <v>1</v>
      </c>
      <c r="T127" s="50">
        <v>1</v>
      </c>
      <c r="U127" s="50">
        <v>1</v>
      </c>
      <c r="V127" s="50">
        <v>1</v>
      </c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  <c r="CP127" s="50"/>
      <c r="CQ127" s="50"/>
      <c r="CR127" s="50"/>
      <c r="CS127" s="50"/>
      <c r="CT127" s="50"/>
      <c r="CU127" s="50"/>
      <c r="CV127" s="50"/>
      <c r="CW127" s="50"/>
      <c r="CX127" s="50"/>
      <c r="CY127" s="50"/>
      <c r="CZ127" s="50"/>
      <c r="DA127" s="50"/>
      <c r="DB127" s="50"/>
      <c r="DC127" s="50"/>
      <c r="DD127" s="50"/>
      <c r="DE127" s="50"/>
      <c r="DF127" s="50"/>
      <c r="DG127" s="50"/>
      <c r="DH127" s="50"/>
      <c r="DI127" s="50"/>
      <c r="DJ127" s="50"/>
      <c r="DK127" s="50"/>
      <c r="DL127" s="50"/>
      <c r="DM127" s="50"/>
      <c r="DN127" s="50"/>
      <c r="DO127" s="50"/>
      <c r="DP127" s="50"/>
      <c r="DQ127" s="50"/>
      <c r="DR127" s="50"/>
      <c r="DS127" s="50"/>
      <c r="DT127" s="50"/>
      <c r="DU127" s="50"/>
      <c r="DV127" s="50"/>
      <c r="DW127" s="50"/>
      <c r="DX127" s="50"/>
      <c r="DY127" s="50"/>
      <c r="DZ127" s="50"/>
      <c r="EA127" s="50"/>
      <c r="EB127" s="50"/>
      <c r="EC127" s="50"/>
      <c r="ED127" s="50"/>
      <c r="EE127" s="50"/>
      <c r="EF127" s="50"/>
      <c r="EG127" s="50"/>
      <c r="EH127" s="50"/>
      <c r="EI127" s="50"/>
      <c r="EJ127" s="50"/>
      <c r="EK127" s="50"/>
      <c r="EL127" s="50"/>
      <c r="EM127" s="50"/>
      <c r="EN127" s="50"/>
      <c r="EO127" s="50"/>
      <c r="EP127" s="50"/>
      <c r="EQ127" s="50"/>
      <c r="ER127" s="50"/>
      <c r="ES127" s="50"/>
      <c r="ET127" s="50"/>
      <c r="EU127" s="50"/>
      <c r="EV127" s="50"/>
    </row>
    <row r="128" spans="2:152" x14ac:dyDescent="0.75">
      <c r="B128" s="26"/>
      <c r="C128" s="27"/>
      <c r="D128" s="27"/>
      <c r="F128" s="26"/>
      <c r="G128" s="27" t="s">
        <v>519</v>
      </c>
      <c r="H128" s="50">
        <v>1</v>
      </c>
      <c r="I128" s="50">
        <v>1</v>
      </c>
      <c r="J128" s="50">
        <v>1</v>
      </c>
      <c r="K128" s="50">
        <v>1</v>
      </c>
      <c r="L128" s="50">
        <v>1</v>
      </c>
      <c r="M128" s="50">
        <v>1</v>
      </c>
      <c r="N128" s="50">
        <v>1</v>
      </c>
      <c r="O128" s="50">
        <v>1</v>
      </c>
      <c r="P128" s="50">
        <v>1</v>
      </c>
      <c r="Q128" s="50">
        <v>1</v>
      </c>
      <c r="R128" s="50">
        <v>1</v>
      </c>
      <c r="S128" s="50">
        <v>1</v>
      </c>
      <c r="T128" s="50">
        <v>1</v>
      </c>
      <c r="U128" s="50">
        <v>1</v>
      </c>
      <c r="V128" s="50">
        <v>1</v>
      </c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  <c r="CP128" s="50"/>
      <c r="CQ128" s="50"/>
      <c r="CR128" s="50"/>
      <c r="CS128" s="50"/>
      <c r="CT128" s="50"/>
      <c r="CU128" s="50"/>
      <c r="CV128" s="50"/>
      <c r="CW128" s="50"/>
      <c r="CX128" s="50"/>
      <c r="CY128" s="50"/>
      <c r="CZ128" s="50"/>
      <c r="DA128" s="50"/>
      <c r="DB128" s="50"/>
      <c r="DC128" s="50"/>
      <c r="DD128" s="50"/>
      <c r="DE128" s="50"/>
      <c r="DF128" s="50"/>
      <c r="DG128" s="50"/>
      <c r="DH128" s="50"/>
      <c r="DI128" s="50"/>
      <c r="DJ128" s="50"/>
      <c r="DK128" s="50"/>
      <c r="DL128" s="50"/>
      <c r="DM128" s="50"/>
      <c r="DN128" s="50"/>
      <c r="DO128" s="50"/>
      <c r="DP128" s="50"/>
      <c r="DQ128" s="50"/>
      <c r="DR128" s="50"/>
      <c r="DS128" s="50"/>
      <c r="DT128" s="50"/>
      <c r="DU128" s="50"/>
      <c r="DV128" s="50"/>
      <c r="DW128" s="50"/>
      <c r="DX128" s="50"/>
      <c r="DY128" s="50"/>
      <c r="DZ128" s="50"/>
      <c r="EA128" s="50"/>
      <c r="EB128" s="50"/>
      <c r="EC128" s="50"/>
      <c r="ED128" s="50"/>
      <c r="EE128" s="50"/>
      <c r="EF128" s="50"/>
      <c r="EG128" s="50"/>
      <c r="EH128" s="50"/>
      <c r="EI128" s="50"/>
      <c r="EJ128" s="50"/>
      <c r="EK128" s="50"/>
      <c r="EL128" s="50"/>
      <c r="EM128" s="50"/>
      <c r="EN128" s="50"/>
      <c r="EO128" s="50"/>
      <c r="EP128" s="50"/>
      <c r="EQ128" s="50"/>
      <c r="ER128" s="50"/>
      <c r="ES128" s="50"/>
      <c r="ET128" s="50"/>
      <c r="EU128" s="50"/>
      <c r="EV128" s="50"/>
    </row>
    <row r="129" spans="2:152" x14ac:dyDescent="0.75">
      <c r="B129" s="26"/>
      <c r="C129" s="27"/>
      <c r="D129" s="27"/>
      <c r="F129" s="26"/>
      <c r="G129" s="27" t="s">
        <v>520</v>
      </c>
      <c r="H129" s="50">
        <v>1</v>
      </c>
      <c r="I129" s="50">
        <v>1</v>
      </c>
      <c r="J129" s="50">
        <v>1</v>
      </c>
      <c r="K129" s="50">
        <v>1</v>
      </c>
      <c r="L129" s="50">
        <v>1</v>
      </c>
      <c r="M129" s="50">
        <v>1</v>
      </c>
      <c r="N129" s="50">
        <v>1</v>
      </c>
      <c r="O129" s="50">
        <v>1</v>
      </c>
      <c r="P129" s="50">
        <v>1</v>
      </c>
      <c r="Q129" s="50">
        <v>1</v>
      </c>
      <c r="R129" s="50">
        <v>1</v>
      </c>
      <c r="S129" s="50">
        <v>1</v>
      </c>
      <c r="T129" s="50">
        <v>1</v>
      </c>
      <c r="U129" s="50">
        <v>1</v>
      </c>
      <c r="V129" s="50">
        <v>1</v>
      </c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  <c r="CP129" s="50"/>
      <c r="CQ129" s="50"/>
      <c r="CR129" s="50"/>
      <c r="CS129" s="50"/>
      <c r="CT129" s="50"/>
      <c r="CU129" s="50"/>
      <c r="CV129" s="50"/>
      <c r="CW129" s="50"/>
      <c r="CX129" s="50"/>
      <c r="CY129" s="50"/>
      <c r="CZ129" s="50"/>
      <c r="DA129" s="50"/>
      <c r="DB129" s="50"/>
      <c r="DC129" s="50"/>
      <c r="DD129" s="50"/>
      <c r="DE129" s="50"/>
      <c r="DF129" s="50"/>
      <c r="DG129" s="50"/>
      <c r="DH129" s="50"/>
      <c r="DI129" s="50"/>
      <c r="DJ129" s="50"/>
      <c r="DK129" s="50"/>
      <c r="DL129" s="50"/>
      <c r="DM129" s="50"/>
      <c r="DN129" s="50"/>
      <c r="DO129" s="50"/>
      <c r="DP129" s="50"/>
      <c r="DQ129" s="50"/>
      <c r="DR129" s="50"/>
      <c r="DS129" s="50"/>
      <c r="DT129" s="50"/>
      <c r="DU129" s="50"/>
      <c r="DV129" s="50"/>
      <c r="DW129" s="50"/>
      <c r="DX129" s="50"/>
      <c r="DY129" s="50"/>
      <c r="DZ129" s="50"/>
      <c r="EA129" s="50"/>
      <c r="EB129" s="50"/>
      <c r="EC129" s="50"/>
      <c r="ED129" s="50"/>
      <c r="EE129" s="50"/>
      <c r="EF129" s="50"/>
      <c r="EG129" s="50"/>
      <c r="EH129" s="50"/>
      <c r="EI129" s="50"/>
      <c r="EJ129" s="50"/>
      <c r="EK129" s="50"/>
      <c r="EL129" s="50"/>
      <c r="EM129" s="50"/>
      <c r="EN129" s="50"/>
      <c r="EO129" s="50"/>
      <c r="EP129" s="50"/>
      <c r="EQ129" s="50"/>
      <c r="ER129" s="50"/>
      <c r="ES129" s="50"/>
      <c r="ET129" s="50"/>
      <c r="EU129" s="50"/>
      <c r="EV129" s="50"/>
    </row>
    <row r="130" spans="2:152" x14ac:dyDescent="0.75">
      <c r="B130" s="26"/>
      <c r="C130" s="27"/>
      <c r="D130" s="27"/>
      <c r="F130" s="26"/>
      <c r="G130" s="27" t="s">
        <v>521</v>
      </c>
      <c r="H130" s="50">
        <v>1</v>
      </c>
      <c r="I130" s="50">
        <v>1</v>
      </c>
      <c r="J130" s="50">
        <v>1</v>
      </c>
      <c r="K130" s="50">
        <v>1</v>
      </c>
      <c r="L130" s="50">
        <v>1</v>
      </c>
      <c r="M130" s="50">
        <v>1</v>
      </c>
      <c r="N130" s="50">
        <v>1</v>
      </c>
      <c r="O130" s="50">
        <v>1</v>
      </c>
      <c r="P130" s="50">
        <v>1</v>
      </c>
      <c r="Q130" s="50">
        <v>1</v>
      </c>
      <c r="R130" s="50">
        <v>1</v>
      </c>
      <c r="S130" s="50">
        <v>1</v>
      </c>
      <c r="T130" s="50">
        <v>1</v>
      </c>
      <c r="U130" s="50">
        <v>1</v>
      </c>
      <c r="V130" s="50">
        <v>1</v>
      </c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  <c r="CP130" s="50"/>
      <c r="CQ130" s="50"/>
      <c r="CR130" s="50"/>
      <c r="CS130" s="50"/>
      <c r="CT130" s="50"/>
      <c r="CU130" s="50"/>
      <c r="CV130" s="50"/>
      <c r="CW130" s="50"/>
      <c r="CX130" s="50"/>
      <c r="CY130" s="50"/>
      <c r="CZ130" s="50"/>
      <c r="DA130" s="50"/>
      <c r="DB130" s="50"/>
      <c r="DC130" s="50"/>
      <c r="DD130" s="50"/>
      <c r="DE130" s="50"/>
      <c r="DF130" s="50"/>
      <c r="DG130" s="50"/>
      <c r="DH130" s="50"/>
      <c r="DI130" s="50"/>
      <c r="DJ130" s="50"/>
      <c r="DK130" s="50"/>
      <c r="DL130" s="50"/>
      <c r="DM130" s="50"/>
      <c r="DN130" s="50"/>
      <c r="DO130" s="50"/>
      <c r="DP130" s="50"/>
      <c r="DQ130" s="50"/>
      <c r="DR130" s="50"/>
      <c r="DS130" s="50"/>
      <c r="DT130" s="50"/>
      <c r="DU130" s="50"/>
      <c r="DV130" s="50"/>
      <c r="DW130" s="50"/>
      <c r="DX130" s="50"/>
      <c r="DY130" s="50"/>
      <c r="DZ130" s="50"/>
      <c r="EA130" s="50"/>
      <c r="EB130" s="50"/>
      <c r="EC130" s="50"/>
      <c r="ED130" s="50"/>
      <c r="EE130" s="50"/>
      <c r="EF130" s="50"/>
      <c r="EG130" s="50"/>
      <c r="EH130" s="50"/>
      <c r="EI130" s="50"/>
      <c r="EJ130" s="50"/>
      <c r="EK130" s="50"/>
      <c r="EL130" s="50"/>
      <c r="EM130" s="50"/>
      <c r="EN130" s="50"/>
      <c r="EO130" s="50"/>
      <c r="EP130" s="50"/>
      <c r="EQ130" s="50"/>
      <c r="ER130" s="50"/>
      <c r="ES130" s="50"/>
      <c r="ET130" s="50"/>
      <c r="EU130" s="50"/>
      <c r="EV130" s="50"/>
    </row>
    <row r="131" spans="2:152" x14ac:dyDescent="0.75">
      <c r="B131" s="26"/>
      <c r="C131" s="27"/>
      <c r="D131" s="27"/>
      <c r="F131" s="26"/>
      <c r="G131" s="27" t="s">
        <v>522</v>
      </c>
      <c r="H131" s="50">
        <v>1</v>
      </c>
      <c r="I131" s="50">
        <v>1</v>
      </c>
      <c r="J131" s="50">
        <v>1</v>
      </c>
      <c r="K131" s="50">
        <v>1</v>
      </c>
      <c r="L131" s="50">
        <v>1</v>
      </c>
      <c r="M131" s="50">
        <v>1</v>
      </c>
      <c r="N131" s="50">
        <v>1</v>
      </c>
      <c r="O131" s="50">
        <v>1</v>
      </c>
      <c r="P131" s="50">
        <v>1</v>
      </c>
      <c r="Q131" s="50">
        <v>1</v>
      </c>
      <c r="R131" s="50">
        <v>1</v>
      </c>
      <c r="S131" s="50">
        <v>1</v>
      </c>
      <c r="T131" s="50">
        <v>1</v>
      </c>
      <c r="U131" s="50">
        <v>1</v>
      </c>
      <c r="V131" s="50">
        <v>1</v>
      </c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50"/>
      <c r="CJ131" s="50"/>
      <c r="CK131" s="50"/>
      <c r="CL131" s="50"/>
      <c r="CM131" s="50"/>
      <c r="CN131" s="50"/>
      <c r="CO131" s="50"/>
      <c r="CP131" s="50"/>
      <c r="CQ131" s="50"/>
      <c r="CR131" s="50"/>
      <c r="CS131" s="50"/>
      <c r="CT131" s="50"/>
      <c r="CU131" s="50"/>
      <c r="CV131" s="50"/>
      <c r="CW131" s="50"/>
      <c r="CX131" s="50"/>
      <c r="CY131" s="50"/>
      <c r="CZ131" s="50"/>
      <c r="DA131" s="50"/>
      <c r="DB131" s="50"/>
      <c r="DC131" s="50"/>
      <c r="DD131" s="50"/>
      <c r="DE131" s="50"/>
      <c r="DF131" s="50"/>
      <c r="DG131" s="50"/>
      <c r="DH131" s="50"/>
      <c r="DI131" s="50"/>
      <c r="DJ131" s="50"/>
      <c r="DK131" s="50"/>
      <c r="DL131" s="50"/>
      <c r="DM131" s="50"/>
      <c r="DN131" s="50"/>
      <c r="DO131" s="50"/>
      <c r="DP131" s="50"/>
      <c r="DQ131" s="50"/>
      <c r="DR131" s="50"/>
      <c r="DS131" s="50"/>
      <c r="DT131" s="50"/>
      <c r="DU131" s="50"/>
      <c r="DV131" s="50"/>
      <c r="DW131" s="50"/>
      <c r="DX131" s="50"/>
      <c r="DY131" s="50"/>
      <c r="DZ131" s="50"/>
      <c r="EA131" s="50"/>
      <c r="EB131" s="50"/>
      <c r="EC131" s="50"/>
      <c r="ED131" s="50"/>
      <c r="EE131" s="50"/>
      <c r="EF131" s="50"/>
      <c r="EG131" s="50"/>
      <c r="EH131" s="50"/>
      <c r="EI131" s="50"/>
      <c r="EJ131" s="50"/>
      <c r="EK131" s="50"/>
      <c r="EL131" s="50"/>
      <c r="EM131" s="50"/>
      <c r="EN131" s="50"/>
      <c r="EO131" s="50"/>
      <c r="EP131" s="50"/>
      <c r="EQ131" s="50"/>
      <c r="ER131" s="50"/>
      <c r="ES131" s="50"/>
      <c r="ET131" s="50"/>
      <c r="EU131" s="50"/>
      <c r="EV131" s="50"/>
    </row>
    <row r="132" spans="2:152" x14ac:dyDescent="0.75">
      <c r="B132" s="26"/>
      <c r="C132" s="27"/>
      <c r="D132" s="27"/>
      <c r="F132" s="26"/>
      <c r="G132" s="27" t="s">
        <v>527</v>
      </c>
      <c r="H132" s="50">
        <v>1</v>
      </c>
      <c r="I132" s="50">
        <v>1</v>
      </c>
      <c r="J132" s="50">
        <v>1</v>
      </c>
      <c r="K132" s="50">
        <v>1</v>
      </c>
      <c r="L132" s="50">
        <v>1</v>
      </c>
      <c r="M132" s="50">
        <v>1</v>
      </c>
      <c r="N132" s="50">
        <v>1</v>
      </c>
      <c r="O132" s="50">
        <v>1</v>
      </c>
      <c r="P132" s="50">
        <v>1</v>
      </c>
      <c r="Q132" s="50">
        <v>1</v>
      </c>
      <c r="R132" s="50">
        <v>1</v>
      </c>
      <c r="S132" s="50">
        <v>1</v>
      </c>
      <c r="T132" s="50">
        <v>1</v>
      </c>
      <c r="U132" s="50">
        <v>1</v>
      </c>
      <c r="V132" s="50">
        <v>1</v>
      </c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  <c r="CP132" s="50"/>
      <c r="CQ132" s="50"/>
      <c r="CR132" s="50"/>
      <c r="CS132" s="50"/>
      <c r="CT132" s="50"/>
      <c r="CU132" s="50"/>
      <c r="CV132" s="50"/>
      <c r="CW132" s="50"/>
      <c r="CX132" s="50"/>
      <c r="CY132" s="50"/>
      <c r="CZ132" s="50"/>
      <c r="DA132" s="50"/>
      <c r="DB132" s="50"/>
      <c r="DC132" s="50"/>
      <c r="DD132" s="50"/>
      <c r="DE132" s="50"/>
      <c r="DF132" s="50"/>
      <c r="DG132" s="50"/>
      <c r="DH132" s="50"/>
      <c r="DI132" s="50"/>
      <c r="DJ132" s="50"/>
      <c r="DK132" s="50"/>
      <c r="DL132" s="50"/>
      <c r="DM132" s="50"/>
      <c r="DN132" s="50"/>
      <c r="DO132" s="50"/>
      <c r="DP132" s="50"/>
      <c r="DQ132" s="50"/>
      <c r="DR132" s="50"/>
      <c r="DS132" s="50"/>
      <c r="DT132" s="50"/>
      <c r="DU132" s="50"/>
      <c r="DV132" s="50"/>
      <c r="DW132" s="50"/>
      <c r="DX132" s="50"/>
      <c r="DY132" s="50"/>
      <c r="DZ132" s="50"/>
      <c r="EA132" s="50"/>
      <c r="EB132" s="50"/>
      <c r="EC132" s="50"/>
      <c r="ED132" s="50"/>
      <c r="EE132" s="50"/>
      <c r="EF132" s="50"/>
      <c r="EG132" s="50"/>
      <c r="EH132" s="50"/>
      <c r="EI132" s="50"/>
      <c r="EJ132" s="50"/>
      <c r="EK132" s="50"/>
      <c r="EL132" s="50"/>
      <c r="EM132" s="50"/>
      <c r="EN132" s="50"/>
      <c r="EO132" s="50"/>
      <c r="EP132" s="50"/>
      <c r="EQ132" s="50"/>
      <c r="ER132" s="50"/>
      <c r="ES132" s="50"/>
      <c r="ET132" s="50"/>
      <c r="EU132" s="50"/>
      <c r="EV132" s="50"/>
    </row>
    <row r="133" spans="2:152" x14ac:dyDescent="0.75">
      <c r="B133" s="26"/>
      <c r="C133" s="27"/>
      <c r="D133" s="27"/>
      <c r="F133" s="26"/>
      <c r="G133" s="27" t="s">
        <v>730</v>
      </c>
      <c r="H133" s="50">
        <v>1</v>
      </c>
      <c r="I133" s="50">
        <v>1</v>
      </c>
      <c r="J133" s="50">
        <v>1</v>
      </c>
      <c r="K133" s="50">
        <v>1</v>
      </c>
      <c r="L133" s="50">
        <v>1</v>
      </c>
      <c r="M133" s="50">
        <v>1</v>
      </c>
      <c r="N133" s="50">
        <v>1</v>
      </c>
      <c r="O133" s="50">
        <v>1</v>
      </c>
      <c r="P133" s="50">
        <v>1</v>
      </c>
      <c r="Q133" s="50">
        <v>1</v>
      </c>
      <c r="R133" s="50">
        <v>1</v>
      </c>
      <c r="S133" s="50">
        <v>1</v>
      </c>
      <c r="T133" s="50">
        <v>1</v>
      </c>
      <c r="U133" s="50">
        <v>1</v>
      </c>
      <c r="V133" s="50">
        <v>1</v>
      </c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50"/>
      <c r="CZ133" s="50"/>
      <c r="DA133" s="50"/>
      <c r="DB133" s="50"/>
      <c r="DC133" s="50"/>
      <c r="DD133" s="50"/>
      <c r="DE133" s="50"/>
      <c r="DF133" s="50"/>
      <c r="DG133" s="50"/>
      <c r="DH133" s="50"/>
      <c r="DI133" s="50"/>
      <c r="DJ133" s="50"/>
      <c r="DK133" s="50"/>
      <c r="DL133" s="50"/>
      <c r="DM133" s="50"/>
      <c r="DN133" s="50"/>
      <c r="DO133" s="50"/>
      <c r="DP133" s="50"/>
      <c r="DQ133" s="50"/>
      <c r="DR133" s="50"/>
      <c r="DS133" s="50"/>
      <c r="DT133" s="50"/>
      <c r="DU133" s="50"/>
      <c r="DV133" s="50"/>
      <c r="DW133" s="50"/>
      <c r="DX133" s="50"/>
      <c r="DY133" s="50"/>
      <c r="DZ133" s="50"/>
      <c r="EA133" s="50"/>
      <c r="EB133" s="50"/>
      <c r="EC133" s="50"/>
      <c r="ED133" s="50"/>
      <c r="EE133" s="50"/>
      <c r="EF133" s="50"/>
      <c r="EG133" s="50"/>
      <c r="EH133" s="50"/>
      <c r="EI133" s="50"/>
      <c r="EJ133" s="50"/>
      <c r="EK133" s="50"/>
      <c r="EL133" s="50"/>
      <c r="EM133" s="50"/>
      <c r="EN133" s="50"/>
      <c r="EO133" s="50"/>
      <c r="EP133" s="50"/>
      <c r="EQ133" s="50"/>
      <c r="ER133" s="50"/>
      <c r="ES133" s="50"/>
      <c r="ET133" s="50"/>
      <c r="EU133" s="50"/>
      <c r="EV133" s="50"/>
    </row>
    <row r="134" spans="2:152" x14ac:dyDescent="0.75">
      <c r="B134" s="26"/>
      <c r="C134" s="27"/>
      <c r="D134" s="27"/>
      <c r="F134" s="26"/>
      <c r="G134" s="27" t="s">
        <v>531</v>
      </c>
      <c r="H134" s="50">
        <v>1</v>
      </c>
      <c r="I134" s="50">
        <v>1</v>
      </c>
      <c r="J134" s="50">
        <v>1</v>
      </c>
      <c r="K134" s="50">
        <v>1</v>
      </c>
      <c r="L134" s="50">
        <v>1</v>
      </c>
      <c r="M134" s="50">
        <v>1</v>
      </c>
      <c r="N134" s="50">
        <v>1</v>
      </c>
      <c r="O134" s="50">
        <v>1</v>
      </c>
      <c r="P134" s="50">
        <v>1</v>
      </c>
      <c r="Q134" s="50">
        <v>1</v>
      </c>
      <c r="R134" s="50">
        <v>1</v>
      </c>
      <c r="S134" s="50">
        <v>1</v>
      </c>
      <c r="T134" s="50">
        <v>1</v>
      </c>
      <c r="U134" s="50">
        <v>1</v>
      </c>
      <c r="V134" s="50">
        <v>1</v>
      </c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0"/>
      <c r="CO134" s="50"/>
      <c r="CP134" s="50"/>
      <c r="CQ134" s="50"/>
      <c r="CR134" s="50"/>
      <c r="CS134" s="50"/>
      <c r="CT134" s="50"/>
      <c r="CU134" s="50"/>
      <c r="CV134" s="50"/>
      <c r="CW134" s="50"/>
      <c r="CX134" s="50"/>
      <c r="CY134" s="50"/>
      <c r="CZ134" s="50"/>
      <c r="DA134" s="50"/>
      <c r="DB134" s="50"/>
      <c r="DC134" s="50"/>
      <c r="DD134" s="50"/>
      <c r="DE134" s="50"/>
      <c r="DF134" s="50"/>
      <c r="DG134" s="50"/>
      <c r="DH134" s="50"/>
      <c r="DI134" s="50"/>
      <c r="DJ134" s="50"/>
      <c r="DK134" s="50"/>
      <c r="DL134" s="50"/>
      <c r="DM134" s="50"/>
      <c r="DN134" s="50"/>
      <c r="DO134" s="50"/>
      <c r="DP134" s="50"/>
      <c r="DQ134" s="50"/>
      <c r="DR134" s="50"/>
      <c r="DS134" s="50"/>
      <c r="DT134" s="50"/>
      <c r="DU134" s="50"/>
      <c r="DV134" s="50"/>
      <c r="DW134" s="50"/>
      <c r="DX134" s="50"/>
      <c r="DY134" s="50"/>
      <c r="DZ134" s="50"/>
      <c r="EA134" s="50"/>
      <c r="EB134" s="50"/>
      <c r="EC134" s="50"/>
      <c r="ED134" s="50"/>
      <c r="EE134" s="50"/>
      <c r="EF134" s="50"/>
      <c r="EG134" s="50"/>
      <c r="EH134" s="50"/>
      <c r="EI134" s="50"/>
      <c r="EJ134" s="50"/>
      <c r="EK134" s="50"/>
      <c r="EL134" s="50"/>
      <c r="EM134" s="50"/>
      <c r="EN134" s="50"/>
      <c r="EO134" s="50"/>
      <c r="EP134" s="50"/>
      <c r="EQ134" s="50"/>
      <c r="ER134" s="50"/>
      <c r="ES134" s="50"/>
      <c r="ET134" s="50"/>
      <c r="EU134" s="50"/>
      <c r="EV134" s="50"/>
    </row>
    <row r="135" spans="2:152" x14ac:dyDescent="0.75">
      <c r="B135" s="26"/>
      <c r="C135" s="27"/>
      <c r="D135" s="27"/>
      <c r="F135" s="26"/>
      <c r="G135" s="27" t="s">
        <v>61</v>
      </c>
      <c r="H135" s="50">
        <v>1</v>
      </c>
      <c r="I135" s="50">
        <v>1</v>
      </c>
      <c r="J135" s="50">
        <v>1</v>
      </c>
      <c r="K135" s="50">
        <v>1</v>
      </c>
      <c r="L135" s="50">
        <v>1</v>
      </c>
      <c r="M135" s="50">
        <v>1</v>
      </c>
      <c r="N135" s="50">
        <v>1</v>
      </c>
      <c r="O135" s="50">
        <v>1</v>
      </c>
      <c r="P135" s="50">
        <v>1</v>
      </c>
      <c r="Q135" s="50">
        <v>1</v>
      </c>
      <c r="R135" s="50">
        <v>1</v>
      </c>
      <c r="S135" s="50">
        <v>1</v>
      </c>
      <c r="T135" s="50">
        <v>1</v>
      </c>
      <c r="U135" s="50">
        <v>1</v>
      </c>
      <c r="V135" s="50">
        <v>1</v>
      </c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  <c r="CP135" s="50"/>
      <c r="CQ135" s="50"/>
      <c r="CR135" s="50"/>
      <c r="CS135" s="50"/>
      <c r="CT135" s="50"/>
      <c r="CU135" s="50"/>
      <c r="CV135" s="50"/>
      <c r="CW135" s="50"/>
      <c r="CX135" s="50"/>
      <c r="CY135" s="50"/>
      <c r="CZ135" s="50"/>
      <c r="DA135" s="50"/>
      <c r="DB135" s="50"/>
      <c r="DC135" s="50"/>
      <c r="DD135" s="50"/>
      <c r="DE135" s="50"/>
      <c r="DF135" s="50"/>
      <c r="DG135" s="50"/>
      <c r="DH135" s="50"/>
      <c r="DI135" s="50"/>
      <c r="DJ135" s="50"/>
      <c r="DK135" s="50"/>
      <c r="DL135" s="50"/>
      <c r="DM135" s="50"/>
      <c r="DN135" s="50"/>
      <c r="DO135" s="50"/>
      <c r="DP135" s="50"/>
      <c r="DQ135" s="50"/>
      <c r="DR135" s="50"/>
      <c r="DS135" s="50"/>
      <c r="DT135" s="50"/>
      <c r="DU135" s="50"/>
      <c r="DV135" s="50"/>
      <c r="DW135" s="50"/>
      <c r="DX135" s="50"/>
      <c r="DY135" s="50"/>
      <c r="DZ135" s="50"/>
      <c r="EA135" s="50"/>
      <c r="EB135" s="50"/>
      <c r="EC135" s="50"/>
      <c r="ED135" s="50"/>
      <c r="EE135" s="50"/>
      <c r="EF135" s="50"/>
      <c r="EG135" s="50"/>
      <c r="EH135" s="50"/>
      <c r="EI135" s="50"/>
      <c r="EJ135" s="50"/>
      <c r="EK135" s="50"/>
      <c r="EL135" s="50"/>
      <c r="EM135" s="50"/>
      <c r="EN135" s="50"/>
      <c r="EO135" s="50"/>
      <c r="EP135" s="50"/>
      <c r="EQ135" s="50"/>
      <c r="ER135" s="50"/>
      <c r="ES135" s="50"/>
      <c r="ET135" s="50"/>
      <c r="EU135" s="50"/>
      <c r="EV135" s="50"/>
    </row>
    <row r="136" spans="2:152" x14ac:dyDescent="0.75">
      <c r="B136" s="26"/>
      <c r="C136" s="27"/>
      <c r="D136" s="27"/>
      <c r="F136" s="26"/>
      <c r="G136" s="27" t="s">
        <v>335</v>
      </c>
      <c r="H136" s="50">
        <v>1</v>
      </c>
      <c r="I136" s="50">
        <v>1</v>
      </c>
      <c r="J136" s="50">
        <v>1</v>
      </c>
      <c r="K136" s="50">
        <v>1</v>
      </c>
      <c r="L136" s="50">
        <v>1</v>
      </c>
      <c r="M136" s="50">
        <v>1</v>
      </c>
      <c r="N136" s="50">
        <v>1</v>
      </c>
      <c r="O136" s="50">
        <v>1</v>
      </c>
      <c r="P136" s="50">
        <v>1</v>
      </c>
      <c r="Q136" s="50">
        <v>1</v>
      </c>
      <c r="R136" s="50">
        <v>1</v>
      </c>
      <c r="S136" s="50">
        <v>1</v>
      </c>
      <c r="T136" s="50">
        <v>1</v>
      </c>
      <c r="U136" s="50">
        <v>1</v>
      </c>
      <c r="V136" s="50">
        <v>1</v>
      </c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  <c r="CG136" s="50"/>
      <c r="CH136" s="50"/>
      <c r="CI136" s="50"/>
      <c r="CJ136" s="50"/>
      <c r="CK136" s="50"/>
      <c r="CL136" s="50"/>
      <c r="CM136" s="50"/>
      <c r="CN136" s="50"/>
      <c r="CO136" s="50"/>
      <c r="CP136" s="50"/>
      <c r="CQ136" s="50"/>
      <c r="CR136" s="50"/>
      <c r="CS136" s="50"/>
      <c r="CT136" s="50"/>
      <c r="CU136" s="50"/>
      <c r="CV136" s="50"/>
      <c r="CW136" s="50"/>
      <c r="CX136" s="50"/>
      <c r="CY136" s="50"/>
      <c r="CZ136" s="50"/>
      <c r="DA136" s="50"/>
      <c r="DB136" s="50"/>
      <c r="DC136" s="50"/>
      <c r="DD136" s="50"/>
      <c r="DE136" s="50"/>
      <c r="DF136" s="50"/>
      <c r="DG136" s="50"/>
      <c r="DH136" s="50"/>
      <c r="DI136" s="50"/>
      <c r="DJ136" s="50"/>
      <c r="DK136" s="50"/>
      <c r="DL136" s="50"/>
      <c r="DM136" s="50"/>
      <c r="DN136" s="50"/>
      <c r="DO136" s="50"/>
      <c r="DP136" s="50"/>
      <c r="DQ136" s="50"/>
      <c r="DR136" s="50"/>
      <c r="DS136" s="50"/>
      <c r="DT136" s="50"/>
      <c r="DU136" s="50"/>
      <c r="DV136" s="50"/>
      <c r="DW136" s="50"/>
      <c r="DX136" s="50"/>
      <c r="DY136" s="50"/>
      <c r="DZ136" s="50"/>
      <c r="EA136" s="50"/>
      <c r="EB136" s="50"/>
      <c r="EC136" s="50"/>
      <c r="ED136" s="50"/>
      <c r="EE136" s="50"/>
      <c r="EF136" s="50"/>
      <c r="EG136" s="50"/>
      <c r="EH136" s="50"/>
      <c r="EI136" s="50"/>
      <c r="EJ136" s="50"/>
      <c r="EK136" s="50"/>
      <c r="EL136" s="50"/>
      <c r="EM136" s="50"/>
      <c r="EN136" s="50"/>
      <c r="EO136" s="50"/>
      <c r="EP136" s="50"/>
      <c r="EQ136" s="50"/>
      <c r="ER136" s="50"/>
      <c r="ES136" s="50"/>
      <c r="ET136" s="50"/>
      <c r="EU136" s="50"/>
      <c r="EV136" s="50"/>
    </row>
    <row r="137" spans="2:152" x14ac:dyDescent="0.75">
      <c r="B137" s="26"/>
      <c r="C137" s="27"/>
      <c r="D137" s="27"/>
      <c r="F137" s="26"/>
      <c r="G137" s="27" t="s">
        <v>532</v>
      </c>
      <c r="H137" s="50">
        <v>1</v>
      </c>
      <c r="I137" s="50">
        <v>1</v>
      </c>
      <c r="J137" s="50">
        <v>1</v>
      </c>
      <c r="K137" s="50">
        <v>1</v>
      </c>
      <c r="L137" s="50">
        <v>1</v>
      </c>
      <c r="M137" s="50">
        <v>1</v>
      </c>
      <c r="N137" s="50">
        <v>1</v>
      </c>
      <c r="O137" s="50">
        <v>1</v>
      </c>
      <c r="P137" s="50">
        <v>1</v>
      </c>
      <c r="Q137" s="50">
        <v>1</v>
      </c>
      <c r="R137" s="50">
        <v>1</v>
      </c>
      <c r="S137" s="50">
        <v>1</v>
      </c>
      <c r="T137" s="50">
        <v>1</v>
      </c>
      <c r="U137" s="50">
        <v>1</v>
      </c>
      <c r="V137" s="50">
        <v>1</v>
      </c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  <c r="CP137" s="50"/>
      <c r="CQ137" s="50"/>
      <c r="CR137" s="50"/>
      <c r="CS137" s="50"/>
      <c r="CT137" s="50"/>
      <c r="CU137" s="50"/>
      <c r="CV137" s="50"/>
      <c r="CW137" s="50"/>
      <c r="CX137" s="50"/>
      <c r="CY137" s="50"/>
      <c r="CZ137" s="50"/>
      <c r="DA137" s="50"/>
      <c r="DB137" s="50"/>
      <c r="DC137" s="50"/>
      <c r="DD137" s="50"/>
      <c r="DE137" s="50"/>
      <c r="DF137" s="50"/>
      <c r="DG137" s="50"/>
      <c r="DH137" s="50"/>
      <c r="DI137" s="50"/>
      <c r="DJ137" s="50"/>
      <c r="DK137" s="50"/>
      <c r="DL137" s="50"/>
      <c r="DM137" s="50"/>
      <c r="DN137" s="50"/>
      <c r="DO137" s="50"/>
      <c r="DP137" s="50"/>
      <c r="DQ137" s="50"/>
      <c r="DR137" s="50"/>
      <c r="DS137" s="50"/>
      <c r="DT137" s="50"/>
      <c r="DU137" s="50"/>
      <c r="DV137" s="50"/>
      <c r="DW137" s="50"/>
      <c r="DX137" s="50"/>
      <c r="DY137" s="50"/>
      <c r="DZ137" s="50"/>
      <c r="EA137" s="50"/>
      <c r="EB137" s="50"/>
      <c r="EC137" s="50"/>
      <c r="ED137" s="50"/>
      <c r="EE137" s="50"/>
      <c r="EF137" s="50"/>
      <c r="EG137" s="50"/>
      <c r="EH137" s="50"/>
      <c r="EI137" s="50"/>
      <c r="EJ137" s="50"/>
      <c r="EK137" s="50"/>
      <c r="EL137" s="50"/>
      <c r="EM137" s="50"/>
      <c r="EN137" s="50"/>
      <c r="EO137" s="50"/>
      <c r="EP137" s="50"/>
      <c r="EQ137" s="50"/>
      <c r="ER137" s="50"/>
      <c r="ES137" s="50"/>
      <c r="ET137" s="50"/>
      <c r="EU137" s="50"/>
      <c r="EV137" s="50"/>
    </row>
    <row r="138" spans="2:152" x14ac:dyDescent="0.75">
      <c r="B138" s="26"/>
      <c r="C138" s="27"/>
      <c r="D138" s="27"/>
      <c r="F138" s="26"/>
      <c r="G138" s="27" t="s">
        <v>336</v>
      </c>
      <c r="H138" s="50">
        <v>1</v>
      </c>
      <c r="I138" s="50">
        <v>1</v>
      </c>
      <c r="J138" s="50">
        <v>1</v>
      </c>
      <c r="K138" s="50">
        <v>1</v>
      </c>
      <c r="L138" s="50">
        <v>1</v>
      </c>
      <c r="M138" s="50">
        <v>1</v>
      </c>
      <c r="N138" s="50">
        <v>1</v>
      </c>
      <c r="O138" s="50">
        <v>1</v>
      </c>
      <c r="P138" s="50">
        <v>1</v>
      </c>
      <c r="Q138" s="50">
        <v>1</v>
      </c>
      <c r="R138" s="50">
        <v>1</v>
      </c>
      <c r="S138" s="50">
        <v>1</v>
      </c>
      <c r="T138" s="50">
        <v>1</v>
      </c>
      <c r="U138" s="50">
        <v>1</v>
      </c>
      <c r="V138" s="50">
        <v>1</v>
      </c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50"/>
      <c r="CS138" s="50"/>
      <c r="CT138" s="50"/>
      <c r="CU138" s="50"/>
      <c r="CV138" s="50"/>
      <c r="CW138" s="50"/>
      <c r="CX138" s="50"/>
      <c r="CY138" s="50"/>
      <c r="CZ138" s="50"/>
      <c r="DA138" s="50"/>
      <c r="DB138" s="50"/>
      <c r="DC138" s="50"/>
      <c r="DD138" s="50"/>
      <c r="DE138" s="50"/>
      <c r="DF138" s="50"/>
      <c r="DG138" s="50"/>
      <c r="DH138" s="50"/>
      <c r="DI138" s="50"/>
      <c r="DJ138" s="50"/>
      <c r="DK138" s="50"/>
      <c r="DL138" s="50"/>
      <c r="DM138" s="50"/>
      <c r="DN138" s="50"/>
      <c r="DO138" s="50"/>
      <c r="DP138" s="50"/>
      <c r="DQ138" s="50"/>
      <c r="DR138" s="50"/>
      <c r="DS138" s="50"/>
      <c r="DT138" s="50"/>
      <c r="DU138" s="50"/>
      <c r="DV138" s="50"/>
      <c r="DW138" s="50"/>
      <c r="DX138" s="50"/>
      <c r="DY138" s="50"/>
      <c r="DZ138" s="50"/>
      <c r="EA138" s="50"/>
      <c r="EB138" s="50"/>
      <c r="EC138" s="50"/>
      <c r="ED138" s="50"/>
      <c r="EE138" s="50"/>
      <c r="EF138" s="50"/>
      <c r="EG138" s="50"/>
      <c r="EH138" s="50"/>
      <c r="EI138" s="50"/>
      <c r="EJ138" s="50"/>
      <c r="EK138" s="50"/>
      <c r="EL138" s="50"/>
      <c r="EM138" s="50"/>
      <c r="EN138" s="50"/>
      <c r="EO138" s="50"/>
      <c r="EP138" s="50"/>
      <c r="EQ138" s="50"/>
      <c r="ER138" s="50"/>
      <c r="ES138" s="50"/>
      <c r="ET138" s="50"/>
      <c r="EU138" s="50"/>
      <c r="EV138" s="50"/>
    </row>
    <row r="139" spans="2:152" x14ac:dyDescent="0.75">
      <c r="B139" s="26"/>
      <c r="C139" s="27"/>
      <c r="D139" s="27"/>
      <c r="F139" s="26"/>
      <c r="G139" s="27" t="s">
        <v>337</v>
      </c>
      <c r="H139" s="50">
        <v>1</v>
      </c>
      <c r="I139" s="50">
        <v>1</v>
      </c>
      <c r="J139" s="50">
        <v>1</v>
      </c>
      <c r="K139" s="50">
        <v>1</v>
      </c>
      <c r="L139" s="50">
        <v>1</v>
      </c>
      <c r="M139" s="50">
        <v>1</v>
      </c>
      <c r="N139" s="50">
        <v>1</v>
      </c>
      <c r="O139" s="50">
        <v>1</v>
      </c>
      <c r="P139" s="50">
        <v>1</v>
      </c>
      <c r="Q139" s="50">
        <v>1</v>
      </c>
      <c r="R139" s="50">
        <v>1</v>
      </c>
      <c r="S139" s="50">
        <v>1</v>
      </c>
      <c r="T139" s="50">
        <v>1</v>
      </c>
      <c r="U139" s="50">
        <v>1</v>
      </c>
      <c r="V139" s="50">
        <v>1</v>
      </c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  <c r="CP139" s="50"/>
      <c r="CQ139" s="50"/>
      <c r="CR139" s="50"/>
      <c r="CS139" s="50"/>
      <c r="CT139" s="50"/>
      <c r="CU139" s="50"/>
      <c r="CV139" s="50"/>
      <c r="CW139" s="50"/>
      <c r="CX139" s="50"/>
      <c r="CY139" s="50"/>
      <c r="CZ139" s="50"/>
      <c r="DA139" s="50"/>
      <c r="DB139" s="50"/>
      <c r="DC139" s="50"/>
      <c r="DD139" s="50"/>
      <c r="DE139" s="50"/>
      <c r="DF139" s="50"/>
      <c r="DG139" s="50"/>
      <c r="DH139" s="50"/>
      <c r="DI139" s="50"/>
      <c r="DJ139" s="50"/>
      <c r="DK139" s="50"/>
      <c r="DL139" s="50"/>
      <c r="DM139" s="50"/>
      <c r="DN139" s="50"/>
      <c r="DO139" s="50"/>
      <c r="DP139" s="50"/>
      <c r="DQ139" s="50"/>
      <c r="DR139" s="50"/>
      <c r="DS139" s="50"/>
      <c r="DT139" s="50"/>
      <c r="DU139" s="50"/>
      <c r="DV139" s="50"/>
      <c r="DW139" s="50"/>
      <c r="DX139" s="50"/>
      <c r="DY139" s="50"/>
      <c r="DZ139" s="50"/>
      <c r="EA139" s="50"/>
      <c r="EB139" s="50"/>
      <c r="EC139" s="50"/>
      <c r="ED139" s="50"/>
      <c r="EE139" s="50"/>
      <c r="EF139" s="50"/>
      <c r="EG139" s="50"/>
      <c r="EH139" s="50"/>
      <c r="EI139" s="50"/>
      <c r="EJ139" s="50"/>
      <c r="EK139" s="50"/>
      <c r="EL139" s="50"/>
      <c r="EM139" s="50"/>
      <c r="EN139" s="50"/>
      <c r="EO139" s="50"/>
      <c r="EP139" s="50"/>
      <c r="EQ139" s="50"/>
      <c r="ER139" s="50"/>
      <c r="ES139" s="50"/>
      <c r="ET139" s="50"/>
      <c r="EU139" s="50"/>
      <c r="EV139" s="50"/>
    </row>
    <row r="140" spans="2:152" x14ac:dyDescent="0.75">
      <c r="B140" s="26"/>
      <c r="C140" s="27"/>
      <c r="D140" s="27"/>
      <c r="F140" s="26"/>
      <c r="G140" s="27" t="s">
        <v>731</v>
      </c>
      <c r="H140" s="50">
        <v>1</v>
      </c>
      <c r="I140" s="50">
        <v>1</v>
      </c>
      <c r="J140" s="50">
        <v>1</v>
      </c>
      <c r="K140" s="50">
        <v>1</v>
      </c>
      <c r="L140" s="50">
        <v>1</v>
      </c>
      <c r="M140" s="50">
        <v>1</v>
      </c>
      <c r="N140" s="50">
        <v>1</v>
      </c>
      <c r="O140" s="50">
        <v>1</v>
      </c>
      <c r="P140" s="50">
        <v>1</v>
      </c>
      <c r="Q140" s="50">
        <v>1</v>
      </c>
      <c r="R140" s="50">
        <v>1</v>
      </c>
      <c r="S140" s="50">
        <v>1</v>
      </c>
      <c r="T140" s="50">
        <v>1</v>
      </c>
      <c r="U140" s="50">
        <v>1</v>
      </c>
      <c r="V140" s="50">
        <v>1</v>
      </c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  <c r="CP140" s="50"/>
      <c r="CQ140" s="50"/>
      <c r="CR140" s="50"/>
      <c r="CS140" s="50"/>
      <c r="CT140" s="50"/>
      <c r="CU140" s="50"/>
      <c r="CV140" s="50"/>
      <c r="CW140" s="50"/>
      <c r="CX140" s="50"/>
      <c r="CY140" s="50"/>
      <c r="CZ140" s="50"/>
      <c r="DA140" s="50"/>
      <c r="DB140" s="50"/>
      <c r="DC140" s="50"/>
      <c r="DD140" s="50"/>
      <c r="DE140" s="50"/>
      <c r="DF140" s="50"/>
      <c r="DG140" s="50"/>
      <c r="DH140" s="50"/>
      <c r="DI140" s="50"/>
      <c r="DJ140" s="50"/>
      <c r="DK140" s="50"/>
      <c r="DL140" s="50"/>
      <c r="DM140" s="50"/>
      <c r="DN140" s="50"/>
      <c r="DO140" s="50"/>
      <c r="DP140" s="50"/>
      <c r="DQ140" s="50"/>
      <c r="DR140" s="50"/>
      <c r="DS140" s="50"/>
      <c r="DT140" s="50"/>
      <c r="DU140" s="50"/>
      <c r="DV140" s="50"/>
      <c r="DW140" s="50"/>
      <c r="DX140" s="50"/>
      <c r="DY140" s="50"/>
      <c r="DZ140" s="50"/>
      <c r="EA140" s="50"/>
      <c r="EB140" s="50"/>
      <c r="EC140" s="50"/>
      <c r="ED140" s="50"/>
      <c r="EE140" s="50"/>
      <c r="EF140" s="50"/>
      <c r="EG140" s="50"/>
      <c r="EH140" s="50"/>
      <c r="EI140" s="50"/>
      <c r="EJ140" s="50"/>
      <c r="EK140" s="50"/>
      <c r="EL140" s="50"/>
      <c r="EM140" s="50"/>
      <c r="EN140" s="50"/>
      <c r="EO140" s="50"/>
      <c r="EP140" s="50"/>
      <c r="EQ140" s="50"/>
      <c r="ER140" s="50"/>
      <c r="ES140" s="50"/>
      <c r="ET140" s="50"/>
      <c r="EU140" s="50"/>
      <c r="EV140" s="50"/>
    </row>
    <row r="141" spans="2:152" x14ac:dyDescent="0.75">
      <c r="B141" s="26"/>
      <c r="C141" s="27"/>
      <c r="D141" s="27"/>
      <c r="F141" s="26"/>
      <c r="G141" s="27" t="s">
        <v>536</v>
      </c>
      <c r="H141" s="50">
        <v>1</v>
      </c>
      <c r="I141" s="50">
        <v>1</v>
      </c>
      <c r="J141" s="50">
        <v>1</v>
      </c>
      <c r="K141" s="50">
        <v>1</v>
      </c>
      <c r="L141" s="50">
        <v>1</v>
      </c>
      <c r="M141" s="50">
        <v>1</v>
      </c>
      <c r="N141" s="50">
        <v>1</v>
      </c>
      <c r="O141" s="50">
        <v>1</v>
      </c>
      <c r="P141" s="50">
        <v>1</v>
      </c>
      <c r="Q141" s="50">
        <v>1</v>
      </c>
      <c r="R141" s="50">
        <v>1</v>
      </c>
      <c r="S141" s="50">
        <v>1</v>
      </c>
      <c r="T141" s="50">
        <v>1</v>
      </c>
      <c r="U141" s="50">
        <v>1</v>
      </c>
      <c r="V141" s="50">
        <v>1</v>
      </c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  <c r="CP141" s="50"/>
      <c r="CQ141" s="50"/>
      <c r="CR141" s="50"/>
      <c r="CS141" s="50"/>
      <c r="CT141" s="50"/>
      <c r="CU141" s="50"/>
      <c r="CV141" s="50"/>
      <c r="CW141" s="50"/>
      <c r="CX141" s="50"/>
      <c r="CY141" s="50"/>
      <c r="CZ141" s="50"/>
      <c r="DA141" s="50"/>
      <c r="DB141" s="50"/>
      <c r="DC141" s="50"/>
      <c r="DD141" s="50"/>
      <c r="DE141" s="50"/>
      <c r="DF141" s="50"/>
      <c r="DG141" s="50"/>
      <c r="DH141" s="50"/>
      <c r="DI141" s="50"/>
      <c r="DJ141" s="50"/>
      <c r="DK141" s="50"/>
      <c r="DL141" s="50"/>
      <c r="DM141" s="50"/>
      <c r="DN141" s="50"/>
      <c r="DO141" s="50"/>
      <c r="DP141" s="50"/>
      <c r="DQ141" s="50"/>
      <c r="DR141" s="50"/>
      <c r="DS141" s="50"/>
      <c r="DT141" s="50"/>
      <c r="DU141" s="50"/>
      <c r="DV141" s="50"/>
      <c r="DW141" s="50"/>
      <c r="DX141" s="50"/>
      <c r="DY141" s="50"/>
      <c r="DZ141" s="50"/>
      <c r="EA141" s="50"/>
      <c r="EB141" s="50"/>
      <c r="EC141" s="50"/>
      <c r="ED141" s="50"/>
      <c r="EE141" s="50"/>
      <c r="EF141" s="50"/>
      <c r="EG141" s="50"/>
      <c r="EH141" s="50"/>
      <c r="EI141" s="50"/>
      <c r="EJ141" s="50"/>
      <c r="EK141" s="50"/>
      <c r="EL141" s="50"/>
      <c r="EM141" s="50"/>
      <c r="EN141" s="50"/>
      <c r="EO141" s="50"/>
      <c r="EP141" s="50"/>
      <c r="EQ141" s="50"/>
      <c r="ER141" s="50"/>
      <c r="ES141" s="50"/>
      <c r="ET141" s="50"/>
      <c r="EU141" s="50"/>
      <c r="EV141" s="50"/>
    </row>
    <row r="142" spans="2:152" x14ac:dyDescent="0.75">
      <c r="B142" s="26"/>
      <c r="C142" s="27"/>
      <c r="D142" s="27"/>
      <c r="F142" s="26"/>
      <c r="G142" s="27" t="s">
        <v>338</v>
      </c>
      <c r="H142" s="50">
        <v>1</v>
      </c>
      <c r="I142" s="50">
        <v>1</v>
      </c>
      <c r="J142" s="50">
        <v>1</v>
      </c>
      <c r="K142" s="50">
        <v>1</v>
      </c>
      <c r="L142" s="50">
        <v>1</v>
      </c>
      <c r="M142" s="50">
        <v>1</v>
      </c>
      <c r="N142" s="50">
        <v>1</v>
      </c>
      <c r="O142" s="50">
        <v>1</v>
      </c>
      <c r="P142" s="50">
        <v>1</v>
      </c>
      <c r="Q142" s="50">
        <v>1</v>
      </c>
      <c r="R142" s="50">
        <v>1</v>
      </c>
      <c r="S142" s="50">
        <v>1</v>
      </c>
      <c r="T142" s="50">
        <v>1</v>
      </c>
      <c r="U142" s="50">
        <v>1</v>
      </c>
      <c r="V142" s="50">
        <v>1</v>
      </c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  <c r="CP142" s="50"/>
      <c r="CQ142" s="50"/>
      <c r="CR142" s="50"/>
      <c r="CS142" s="50"/>
      <c r="CT142" s="50"/>
      <c r="CU142" s="50"/>
      <c r="CV142" s="50"/>
      <c r="CW142" s="50"/>
      <c r="CX142" s="50"/>
      <c r="CY142" s="50"/>
      <c r="CZ142" s="50"/>
      <c r="DA142" s="50"/>
      <c r="DB142" s="50"/>
      <c r="DC142" s="50"/>
      <c r="DD142" s="50"/>
      <c r="DE142" s="50"/>
      <c r="DF142" s="50"/>
      <c r="DG142" s="50"/>
      <c r="DH142" s="50"/>
      <c r="DI142" s="50"/>
      <c r="DJ142" s="50"/>
      <c r="DK142" s="50"/>
      <c r="DL142" s="50"/>
      <c r="DM142" s="50"/>
      <c r="DN142" s="50"/>
      <c r="DO142" s="50"/>
      <c r="DP142" s="50"/>
      <c r="DQ142" s="50"/>
      <c r="DR142" s="50"/>
      <c r="DS142" s="50"/>
      <c r="DT142" s="50"/>
      <c r="DU142" s="50"/>
      <c r="DV142" s="50"/>
      <c r="DW142" s="50"/>
      <c r="DX142" s="50"/>
      <c r="DY142" s="50"/>
      <c r="DZ142" s="50"/>
      <c r="EA142" s="50"/>
      <c r="EB142" s="50"/>
      <c r="EC142" s="50"/>
      <c r="ED142" s="50"/>
      <c r="EE142" s="50"/>
      <c r="EF142" s="50"/>
      <c r="EG142" s="50"/>
      <c r="EH142" s="50"/>
      <c r="EI142" s="50"/>
      <c r="EJ142" s="50"/>
      <c r="EK142" s="50"/>
      <c r="EL142" s="50"/>
      <c r="EM142" s="50"/>
      <c r="EN142" s="50"/>
      <c r="EO142" s="50"/>
      <c r="EP142" s="50"/>
      <c r="EQ142" s="50"/>
      <c r="ER142" s="50"/>
      <c r="ES142" s="50"/>
      <c r="ET142" s="50"/>
      <c r="EU142" s="50"/>
      <c r="EV142" s="50"/>
    </row>
    <row r="143" spans="2:152" x14ac:dyDescent="0.75">
      <c r="B143" s="26"/>
      <c r="C143" s="27"/>
      <c r="D143" s="27"/>
      <c r="F143" s="26"/>
      <c r="G143" s="27" t="s">
        <v>732</v>
      </c>
      <c r="H143" s="50">
        <v>1</v>
      </c>
      <c r="I143" s="50">
        <v>1</v>
      </c>
      <c r="J143" s="50">
        <v>1</v>
      </c>
      <c r="K143" s="50">
        <v>1</v>
      </c>
      <c r="L143" s="50">
        <v>1</v>
      </c>
      <c r="M143" s="50">
        <v>1</v>
      </c>
      <c r="N143" s="50">
        <v>1</v>
      </c>
      <c r="O143" s="50">
        <v>1</v>
      </c>
      <c r="P143" s="50">
        <v>1</v>
      </c>
      <c r="Q143" s="50">
        <v>1</v>
      </c>
      <c r="R143" s="50">
        <v>1</v>
      </c>
      <c r="S143" s="50">
        <v>1</v>
      </c>
      <c r="T143" s="50">
        <v>1</v>
      </c>
      <c r="U143" s="50">
        <v>1</v>
      </c>
      <c r="V143" s="50">
        <v>1</v>
      </c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50"/>
      <c r="CZ143" s="50"/>
      <c r="DA143" s="50"/>
      <c r="DB143" s="50"/>
      <c r="DC143" s="50"/>
      <c r="DD143" s="50"/>
      <c r="DE143" s="50"/>
      <c r="DF143" s="50"/>
      <c r="DG143" s="50"/>
      <c r="DH143" s="50"/>
      <c r="DI143" s="50"/>
      <c r="DJ143" s="50"/>
      <c r="DK143" s="50"/>
      <c r="DL143" s="50"/>
      <c r="DM143" s="50"/>
      <c r="DN143" s="50"/>
      <c r="DO143" s="50"/>
      <c r="DP143" s="50"/>
      <c r="DQ143" s="50"/>
      <c r="DR143" s="50"/>
      <c r="DS143" s="50"/>
      <c r="DT143" s="50"/>
      <c r="DU143" s="50"/>
      <c r="DV143" s="50"/>
      <c r="DW143" s="50"/>
      <c r="DX143" s="50"/>
      <c r="DY143" s="50"/>
      <c r="DZ143" s="50"/>
      <c r="EA143" s="50"/>
      <c r="EB143" s="50"/>
      <c r="EC143" s="50"/>
      <c r="ED143" s="50"/>
      <c r="EE143" s="50"/>
      <c r="EF143" s="50"/>
      <c r="EG143" s="50"/>
      <c r="EH143" s="50"/>
      <c r="EI143" s="50"/>
      <c r="EJ143" s="50"/>
      <c r="EK143" s="50"/>
      <c r="EL143" s="50"/>
      <c r="EM143" s="50"/>
      <c r="EN143" s="50"/>
      <c r="EO143" s="50"/>
      <c r="EP143" s="50"/>
      <c r="EQ143" s="50"/>
      <c r="ER143" s="50"/>
      <c r="ES143" s="50"/>
      <c r="ET143" s="50"/>
      <c r="EU143" s="50"/>
      <c r="EV143" s="50"/>
    </row>
    <row r="144" spans="2:152" x14ac:dyDescent="0.75">
      <c r="B144" s="26"/>
      <c r="C144" s="27"/>
      <c r="D144" s="27"/>
      <c r="F144" s="26"/>
      <c r="G144" s="27" t="s">
        <v>733</v>
      </c>
      <c r="H144" s="50">
        <v>1</v>
      </c>
      <c r="I144" s="50">
        <v>1</v>
      </c>
      <c r="J144" s="50">
        <v>1</v>
      </c>
      <c r="K144" s="50">
        <v>1</v>
      </c>
      <c r="L144" s="50">
        <v>1</v>
      </c>
      <c r="M144" s="50">
        <v>1</v>
      </c>
      <c r="N144" s="50">
        <v>1</v>
      </c>
      <c r="O144" s="50">
        <v>1</v>
      </c>
      <c r="P144" s="50">
        <v>1</v>
      </c>
      <c r="Q144" s="50">
        <v>1</v>
      </c>
      <c r="R144" s="50">
        <v>1</v>
      </c>
      <c r="S144" s="50">
        <v>1</v>
      </c>
      <c r="T144" s="50">
        <v>1</v>
      </c>
      <c r="U144" s="50">
        <v>1</v>
      </c>
      <c r="V144" s="50">
        <v>1</v>
      </c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  <c r="DA144" s="50"/>
      <c r="DB144" s="50"/>
      <c r="DC144" s="50"/>
      <c r="DD144" s="50"/>
      <c r="DE144" s="50"/>
      <c r="DF144" s="50"/>
      <c r="DG144" s="50"/>
      <c r="DH144" s="50"/>
      <c r="DI144" s="50"/>
      <c r="DJ144" s="50"/>
      <c r="DK144" s="50"/>
      <c r="DL144" s="50"/>
      <c r="DM144" s="50"/>
      <c r="DN144" s="50"/>
      <c r="DO144" s="50"/>
      <c r="DP144" s="50"/>
      <c r="DQ144" s="50"/>
      <c r="DR144" s="50"/>
      <c r="DS144" s="50"/>
      <c r="DT144" s="50"/>
      <c r="DU144" s="50"/>
      <c r="DV144" s="50"/>
      <c r="DW144" s="50"/>
      <c r="DX144" s="50"/>
      <c r="DY144" s="50"/>
      <c r="DZ144" s="50"/>
      <c r="EA144" s="50"/>
      <c r="EB144" s="50"/>
      <c r="EC144" s="50"/>
      <c r="ED144" s="50"/>
      <c r="EE144" s="50"/>
      <c r="EF144" s="50"/>
      <c r="EG144" s="50"/>
      <c r="EH144" s="50"/>
      <c r="EI144" s="50"/>
      <c r="EJ144" s="50"/>
      <c r="EK144" s="50"/>
      <c r="EL144" s="50"/>
      <c r="EM144" s="50"/>
      <c r="EN144" s="50"/>
      <c r="EO144" s="50"/>
      <c r="EP144" s="50"/>
      <c r="EQ144" s="50"/>
      <c r="ER144" s="50"/>
      <c r="ES144" s="50"/>
      <c r="ET144" s="50"/>
      <c r="EU144" s="50"/>
      <c r="EV144" s="50"/>
    </row>
    <row r="145" spans="2:152" x14ac:dyDescent="0.75">
      <c r="B145" s="26"/>
      <c r="C145" s="27"/>
      <c r="D145" s="27"/>
      <c r="F145" s="26"/>
      <c r="G145" s="27" t="s">
        <v>339</v>
      </c>
      <c r="H145" s="50">
        <v>1</v>
      </c>
      <c r="I145" s="50">
        <v>1</v>
      </c>
      <c r="J145" s="50">
        <v>1</v>
      </c>
      <c r="K145" s="50">
        <v>1</v>
      </c>
      <c r="L145" s="50">
        <v>1</v>
      </c>
      <c r="M145" s="50">
        <v>1</v>
      </c>
      <c r="N145" s="50">
        <v>1</v>
      </c>
      <c r="O145" s="50">
        <v>1</v>
      </c>
      <c r="P145" s="50">
        <v>1</v>
      </c>
      <c r="Q145" s="50">
        <v>1</v>
      </c>
      <c r="R145" s="50">
        <v>1</v>
      </c>
      <c r="S145" s="50">
        <v>1</v>
      </c>
      <c r="T145" s="50">
        <v>1</v>
      </c>
      <c r="U145" s="50">
        <v>1</v>
      </c>
      <c r="V145" s="50">
        <v>1</v>
      </c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  <c r="CP145" s="50"/>
      <c r="CQ145" s="50"/>
      <c r="CR145" s="50"/>
      <c r="CS145" s="50"/>
      <c r="CT145" s="50"/>
      <c r="CU145" s="50"/>
      <c r="CV145" s="50"/>
      <c r="CW145" s="50"/>
      <c r="CX145" s="50"/>
      <c r="CY145" s="50"/>
      <c r="CZ145" s="50"/>
      <c r="DA145" s="50"/>
      <c r="DB145" s="50"/>
      <c r="DC145" s="50"/>
      <c r="DD145" s="50"/>
      <c r="DE145" s="50"/>
      <c r="DF145" s="50"/>
      <c r="DG145" s="50"/>
      <c r="DH145" s="50"/>
      <c r="DI145" s="50"/>
      <c r="DJ145" s="50"/>
      <c r="DK145" s="50"/>
      <c r="DL145" s="50"/>
      <c r="DM145" s="50"/>
      <c r="DN145" s="50"/>
      <c r="DO145" s="50"/>
      <c r="DP145" s="50"/>
      <c r="DQ145" s="50"/>
      <c r="DR145" s="50"/>
      <c r="DS145" s="50"/>
      <c r="DT145" s="50"/>
      <c r="DU145" s="50"/>
      <c r="DV145" s="50"/>
      <c r="DW145" s="50"/>
      <c r="DX145" s="50"/>
      <c r="DY145" s="50"/>
      <c r="DZ145" s="50"/>
      <c r="EA145" s="50"/>
      <c r="EB145" s="50"/>
      <c r="EC145" s="50"/>
      <c r="ED145" s="50"/>
      <c r="EE145" s="50"/>
      <c r="EF145" s="50"/>
      <c r="EG145" s="50"/>
      <c r="EH145" s="50"/>
      <c r="EI145" s="50"/>
      <c r="EJ145" s="50"/>
      <c r="EK145" s="50"/>
      <c r="EL145" s="50"/>
      <c r="EM145" s="50"/>
      <c r="EN145" s="50"/>
      <c r="EO145" s="50"/>
      <c r="EP145" s="50"/>
      <c r="EQ145" s="50"/>
      <c r="ER145" s="50"/>
      <c r="ES145" s="50"/>
      <c r="ET145" s="50"/>
      <c r="EU145" s="50"/>
      <c r="EV145" s="50"/>
    </row>
    <row r="146" spans="2:152" x14ac:dyDescent="0.75">
      <c r="B146" s="26"/>
      <c r="C146" s="27"/>
      <c r="D146" s="27"/>
      <c r="F146" s="26"/>
      <c r="G146" s="27" t="s">
        <v>734</v>
      </c>
      <c r="H146" s="50">
        <v>1</v>
      </c>
      <c r="I146" s="50">
        <v>1</v>
      </c>
      <c r="J146" s="50">
        <v>1</v>
      </c>
      <c r="K146" s="50">
        <v>1</v>
      </c>
      <c r="L146" s="50">
        <v>1</v>
      </c>
      <c r="M146" s="50">
        <v>1</v>
      </c>
      <c r="N146" s="50">
        <v>1</v>
      </c>
      <c r="O146" s="50">
        <v>1</v>
      </c>
      <c r="P146" s="50">
        <v>1</v>
      </c>
      <c r="Q146" s="50">
        <v>1</v>
      </c>
      <c r="R146" s="50">
        <v>1</v>
      </c>
      <c r="S146" s="50">
        <v>1</v>
      </c>
      <c r="T146" s="50">
        <v>1</v>
      </c>
      <c r="U146" s="50">
        <v>1</v>
      </c>
      <c r="V146" s="50">
        <v>1</v>
      </c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  <c r="CP146" s="50"/>
      <c r="CQ146" s="50"/>
      <c r="CR146" s="50"/>
      <c r="CS146" s="50"/>
      <c r="CT146" s="50"/>
      <c r="CU146" s="50"/>
      <c r="CV146" s="50"/>
      <c r="CW146" s="50"/>
      <c r="CX146" s="50"/>
      <c r="CY146" s="50"/>
      <c r="CZ146" s="50"/>
      <c r="DA146" s="50"/>
      <c r="DB146" s="50"/>
      <c r="DC146" s="50"/>
      <c r="DD146" s="50"/>
      <c r="DE146" s="50"/>
      <c r="DF146" s="50"/>
      <c r="DG146" s="50"/>
      <c r="DH146" s="50"/>
      <c r="DI146" s="50"/>
      <c r="DJ146" s="50"/>
      <c r="DK146" s="50"/>
      <c r="DL146" s="50"/>
      <c r="DM146" s="50"/>
      <c r="DN146" s="50"/>
      <c r="DO146" s="50"/>
      <c r="DP146" s="50"/>
      <c r="DQ146" s="50"/>
      <c r="DR146" s="50"/>
      <c r="DS146" s="50"/>
      <c r="DT146" s="50"/>
      <c r="DU146" s="50"/>
      <c r="DV146" s="50"/>
      <c r="DW146" s="50"/>
      <c r="DX146" s="50"/>
      <c r="DY146" s="50"/>
      <c r="DZ146" s="50"/>
      <c r="EA146" s="50"/>
      <c r="EB146" s="50"/>
      <c r="EC146" s="50"/>
      <c r="ED146" s="50"/>
      <c r="EE146" s="50"/>
      <c r="EF146" s="50"/>
      <c r="EG146" s="50"/>
      <c r="EH146" s="50"/>
      <c r="EI146" s="50"/>
      <c r="EJ146" s="50"/>
      <c r="EK146" s="50"/>
      <c r="EL146" s="50"/>
      <c r="EM146" s="50"/>
      <c r="EN146" s="50"/>
      <c r="EO146" s="50"/>
      <c r="EP146" s="50"/>
      <c r="EQ146" s="50"/>
      <c r="ER146" s="50"/>
      <c r="ES146" s="50"/>
      <c r="ET146" s="50"/>
      <c r="EU146" s="50"/>
      <c r="EV146" s="50"/>
    </row>
    <row r="147" spans="2:152" x14ac:dyDescent="0.75">
      <c r="B147" s="26"/>
      <c r="C147" s="27"/>
      <c r="D147" s="27"/>
      <c r="F147" s="26"/>
      <c r="G147" s="27" t="s">
        <v>340</v>
      </c>
      <c r="H147" s="50">
        <v>1</v>
      </c>
      <c r="I147" s="50">
        <v>1</v>
      </c>
      <c r="J147" s="50">
        <v>1</v>
      </c>
      <c r="K147" s="50">
        <v>1</v>
      </c>
      <c r="L147" s="50">
        <v>1</v>
      </c>
      <c r="M147" s="50">
        <v>1</v>
      </c>
      <c r="N147" s="50">
        <v>1</v>
      </c>
      <c r="O147" s="50">
        <v>1</v>
      </c>
      <c r="P147" s="50">
        <v>1</v>
      </c>
      <c r="Q147" s="50">
        <v>1</v>
      </c>
      <c r="R147" s="50">
        <v>1</v>
      </c>
      <c r="S147" s="50">
        <v>1</v>
      </c>
      <c r="T147" s="50">
        <v>1</v>
      </c>
      <c r="U147" s="50">
        <v>1</v>
      </c>
      <c r="V147" s="50">
        <v>1</v>
      </c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  <c r="CP147" s="50"/>
      <c r="CQ147" s="50"/>
      <c r="CR147" s="50"/>
      <c r="CS147" s="50"/>
      <c r="CT147" s="50"/>
      <c r="CU147" s="50"/>
      <c r="CV147" s="50"/>
      <c r="CW147" s="50"/>
      <c r="CX147" s="50"/>
      <c r="CY147" s="50"/>
      <c r="CZ147" s="50"/>
      <c r="DA147" s="50"/>
      <c r="DB147" s="50"/>
      <c r="DC147" s="50"/>
      <c r="DD147" s="50"/>
      <c r="DE147" s="50"/>
      <c r="DF147" s="50"/>
      <c r="DG147" s="50"/>
      <c r="DH147" s="50"/>
      <c r="DI147" s="50"/>
      <c r="DJ147" s="50"/>
      <c r="DK147" s="50"/>
      <c r="DL147" s="50"/>
      <c r="DM147" s="50"/>
      <c r="DN147" s="50"/>
      <c r="DO147" s="50"/>
      <c r="DP147" s="50"/>
      <c r="DQ147" s="50"/>
      <c r="DR147" s="50"/>
      <c r="DS147" s="50"/>
      <c r="DT147" s="50"/>
      <c r="DU147" s="50"/>
      <c r="DV147" s="50"/>
      <c r="DW147" s="50"/>
      <c r="DX147" s="50"/>
      <c r="DY147" s="50"/>
      <c r="DZ147" s="50"/>
      <c r="EA147" s="50"/>
      <c r="EB147" s="50"/>
      <c r="EC147" s="50"/>
      <c r="ED147" s="50"/>
      <c r="EE147" s="50"/>
      <c r="EF147" s="50"/>
      <c r="EG147" s="50"/>
      <c r="EH147" s="50"/>
      <c r="EI147" s="50"/>
      <c r="EJ147" s="50"/>
      <c r="EK147" s="50"/>
      <c r="EL147" s="50"/>
      <c r="EM147" s="50"/>
      <c r="EN147" s="50"/>
      <c r="EO147" s="50"/>
      <c r="EP147" s="50"/>
      <c r="EQ147" s="50"/>
      <c r="ER147" s="50"/>
      <c r="ES147" s="50"/>
      <c r="ET147" s="50"/>
      <c r="EU147" s="50"/>
      <c r="EV147" s="50"/>
    </row>
    <row r="148" spans="2:152" x14ac:dyDescent="0.75">
      <c r="B148" s="26"/>
      <c r="C148" s="27"/>
      <c r="D148" s="27"/>
      <c r="F148" s="26"/>
      <c r="G148" s="27" t="s">
        <v>64</v>
      </c>
      <c r="H148" s="50">
        <v>1</v>
      </c>
      <c r="I148" s="50">
        <v>1</v>
      </c>
      <c r="J148" s="50">
        <v>1</v>
      </c>
      <c r="K148" s="50">
        <v>1</v>
      </c>
      <c r="L148" s="50">
        <v>1</v>
      </c>
      <c r="M148" s="50">
        <v>1</v>
      </c>
      <c r="N148" s="50">
        <v>1</v>
      </c>
      <c r="O148" s="50">
        <v>1</v>
      </c>
      <c r="P148" s="50">
        <v>1</v>
      </c>
      <c r="Q148" s="50">
        <v>1</v>
      </c>
      <c r="R148" s="50">
        <v>1</v>
      </c>
      <c r="S148" s="50">
        <v>1</v>
      </c>
      <c r="T148" s="50">
        <v>1</v>
      </c>
      <c r="U148" s="50">
        <v>1</v>
      </c>
      <c r="V148" s="50">
        <v>1</v>
      </c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  <c r="CP148" s="50"/>
      <c r="CQ148" s="50"/>
      <c r="CR148" s="50"/>
      <c r="CS148" s="50"/>
      <c r="CT148" s="50"/>
      <c r="CU148" s="50"/>
      <c r="CV148" s="50"/>
      <c r="CW148" s="50"/>
      <c r="CX148" s="50"/>
      <c r="CY148" s="50"/>
      <c r="CZ148" s="50"/>
      <c r="DA148" s="50"/>
      <c r="DB148" s="50"/>
      <c r="DC148" s="50"/>
      <c r="DD148" s="50"/>
      <c r="DE148" s="50"/>
      <c r="DF148" s="50"/>
      <c r="DG148" s="50"/>
      <c r="DH148" s="50"/>
      <c r="DI148" s="50"/>
      <c r="DJ148" s="50"/>
      <c r="DK148" s="50"/>
      <c r="DL148" s="50"/>
      <c r="DM148" s="50"/>
      <c r="DN148" s="50"/>
      <c r="DO148" s="50"/>
      <c r="DP148" s="50"/>
      <c r="DQ148" s="50"/>
      <c r="DR148" s="50"/>
      <c r="DS148" s="50"/>
      <c r="DT148" s="50"/>
      <c r="DU148" s="50"/>
      <c r="DV148" s="50"/>
      <c r="DW148" s="50"/>
      <c r="DX148" s="50"/>
      <c r="DY148" s="50"/>
      <c r="DZ148" s="50"/>
      <c r="EA148" s="50"/>
      <c r="EB148" s="50"/>
      <c r="EC148" s="50"/>
      <c r="ED148" s="50"/>
      <c r="EE148" s="50"/>
      <c r="EF148" s="50"/>
      <c r="EG148" s="50"/>
      <c r="EH148" s="50"/>
      <c r="EI148" s="50"/>
      <c r="EJ148" s="50"/>
      <c r="EK148" s="50"/>
      <c r="EL148" s="50"/>
      <c r="EM148" s="50"/>
      <c r="EN148" s="50"/>
      <c r="EO148" s="50"/>
      <c r="EP148" s="50"/>
      <c r="EQ148" s="50"/>
      <c r="ER148" s="50"/>
      <c r="ES148" s="50"/>
      <c r="ET148" s="50"/>
      <c r="EU148" s="50"/>
      <c r="EV148" s="50"/>
    </row>
    <row r="149" spans="2:152" x14ac:dyDescent="0.75">
      <c r="B149" s="26"/>
      <c r="C149" s="27"/>
      <c r="D149" s="27"/>
      <c r="F149" s="26"/>
      <c r="G149" s="27" t="s">
        <v>539</v>
      </c>
      <c r="H149" s="50">
        <v>1</v>
      </c>
      <c r="I149" s="50">
        <v>1</v>
      </c>
      <c r="J149" s="50">
        <v>1</v>
      </c>
      <c r="K149" s="50">
        <v>1</v>
      </c>
      <c r="L149" s="50">
        <v>1</v>
      </c>
      <c r="M149" s="50">
        <v>1</v>
      </c>
      <c r="N149" s="50">
        <v>1</v>
      </c>
      <c r="O149" s="50">
        <v>1</v>
      </c>
      <c r="P149" s="50">
        <v>1</v>
      </c>
      <c r="Q149" s="50">
        <v>1</v>
      </c>
      <c r="R149" s="50">
        <v>1</v>
      </c>
      <c r="S149" s="50">
        <v>1</v>
      </c>
      <c r="T149" s="50">
        <v>1</v>
      </c>
      <c r="U149" s="50">
        <v>1</v>
      </c>
      <c r="V149" s="50">
        <v>1</v>
      </c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  <c r="CP149" s="50"/>
      <c r="CQ149" s="50"/>
      <c r="CR149" s="50"/>
      <c r="CS149" s="50"/>
      <c r="CT149" s="50"/>
      <c r="CU149" s="50"/>
      <c r="CV149" s="50"/>
      <c r="CW149" s="50"/>
      <c r="CX149" s="50"/>
      <c r="CY149" s="50"/>
      <c r="CZ149" s="50"/>
      <c r="DA149" s="50"/>
      <c r="DB149" s="50"/>
      <c r="DC149" s="50"/>
      <c r="DD149" s="50"/>
      <c r="DE149" s="50"/>
      <c r="DF149" s="50"/>
      <c r="DG149" s="50"/>
      <c r="DH149" s="50"/>
      <c r="DI149" s="50"/>
      <c r="DJ149" s="50"/>
      <c r="DK149" s="50"/>
      <c r="DL149" s="50"/>
      <c r="DM149" s="50"/>
      <c r="DN149" s="50"/>
      <c r="DO149" s="50"/>
      <c r="DP149" s="50"/>
      <c r="DQ149" s="50"/>
      <c r="DR149" s="50"/>
      <c r="DS149" s="50"/>
      <c r="DT149" s="50"/>
      <c r="DU149" s="50"/>
      <c r="DV149" s="50"/>
      <c r="DW149" s="50"/>
      <c r="DX149" s="50"/>
      <c r="DY149" s="50"/>
      <c r="DZ149" s="50"/>
      <c r="EA149" s="50"/>
      <c r="EB149" s="50"/>
      <c r="EC149" s="50"/>
      <c r="ED149" s="50"/>
      <c r="EE149" s="50"/>
      <c r="EF149" s="50"/>
      <c r="EG149" s="50"/>
      <c r="EH149" s="50"/>
      <c r="EI149" s="50"/>
      <c r="EJ149" s="50"/>
      <c r="EK149" s="50"/>
      <c r="EL149" s="50"/>
      <c r="EM149" s="50"/>
      <c r="EN149" s="50"/>
      <c r="EO149" s="50"/>
      <c r="EP149" s="50"/>
      <c r="EQ149" s="50"/>
      <c r="ER149" s="50"/>
      <c r="ES149" s="50"/>
      <c r="ET149" s="50"/>
      <c r="EU149" s="50"/>
      <c r="EV149" s="50"/>
    </row>
    <row r="150" spans="2:152" x14ac:dyDescent="0.75">
      <c r="B150" s="26"/>
      <c r="C150" s="27"/>
      <c r="D150" s="27"/>
      <c r="F150" s="26"/>
      <c r="G150" s="27" t="s">
        <v>735</v>
      </c>
      <c r="H150" s="50">
        <v>1</v>
      </c>
      <c r="I150" s="50">
        <v>1</v>
      </c>
      <c r="J150" s="50">
        <v>1</v>
      </c>
      <c r="K150" s="50">
        <v>1</v>
      </c>
      <c r="L150" s="50">
        <v>1</v>
      </c>
      <c r="M150" s="50">
        <v>1</v>
      </c>
      <c r="N150" s="50">
        <v>1</v>
      </c>
      <c r="O150" s="50">
        <v>1</v>
      </c>
      <c r="P150" s="50">
        <v>1</v>
      </c>
      <c r="Q150" s="50">
        <v>1</v>
      </c>
      <c r="R150" s="50">
        <v>1</v>
      </c>
      <c r="S150" s="50">
        <v>1</v>
      </c>
      <c r="T150" s="50">
        <v>1</v>
      </c>
      <c r="U150" s="50">
        <v>1</v>
      </c>
      <c r="V150" s="50">
        <v>1</v>
      </c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  <c r="CP150" s="50"/>
      <c r="CQ150" s="50"/>
      <c r="CR150" s="50"/>
      <c r="CS150" s="50"/>
      <c r="CT150" s="50"/>
      <c r="CU150" s="50"/>
      <c r="CV150" s="50"/>
      <c r="CW150" s="50"/>
      <c r="CX150" s="50"/>
      <c r="CY150" s="50"/>
      <c r="CZ150" s="50"/>
      <c r="DA150" s="50"/>
      <c r="DB150" s="50"/>
      <c r="DC150" s="50"/>
      <c r="DD150" s="50"/>
      <c r="DE150" s="50"/>
      <c r="DF150" s="50"/>
      <c r="DG150" s="50"/>
      <c r="DH150" s="50"/>
      <c r="DI150" s="50"/>
      <c r="DJ150" s="50"/>
      <c r="DK150" s="50"/>
      <c r="DL150" s="50"/>
      <c r="DM150" s="50"/>
      <c r="DN150" s="50"/>
      <c r="DO150" s="50"/>
      <c r="DP150" s="50"/>
      <c r="DQ150" s="50"/>
      <c r="DR150" s="50"/>
      <c r="DS150" s="50"/>
      <c r="DT150" s="50"/>
      <c r="DU150" s="50"/>
      <c r="DV150" s="50"/>
      <c r="DW150" s="50"/>
      <c r="DX150" s="50"/>
      <c r="DY150" s="50"/>
      <c r="DZ150" s="50"/>
      <c r="EA150" s="50"/>
      <c r="EB150" s="50"/>
      <c r="EC150" s="50"/>
      <c r="ED150" s="50"/>
      <c r="EE150" s="50"/>
      <c r="EF150" s="50"/>
      <c r="EG150" s="50"/>
      <c r="EH150" s="50"/>
      <c r="EI150" s="50"/>
      <c r="EJ150" s="50"/>
      <c r="EK150" s="50"/>
      <c r="EL150" s="50"/>
      <c r="EM150" s="50"/>
      <c r="EN150" s="50"/>
      <c r="EO150" s="50"/>
      <c r="EP150" s="50"/>
      <c r="EQ150" s="50"/>
      <c r="ER150" s="50"/>
      <c r="ES150" s="50"/>
      <c r="ET150" s="50"/>
      <c r="EU150" s="50"/>
      <c r="EV150" s="50"/>
    </row>
    <row r="151" spans="2:152" x14ac:dyDescent="0.75">
      <c r="B151" s="26"/>
      <c r="C151" s="27"/>
      <c r="D151" s="27"/>
      <c r="F151" s="26"/>
      <c r="G151" s="27" t="s">
        <v>341</v>
      </c>
      <c r="H151" s="50">
        <v>1</v>
      </c>
      <c r="I151" s="50">
        <v>1</v>
      </c>
      <c r="J151" s="50">
        <v>1</v>
      </c>
      <c r="K151" s="50">
        <v>1</v>
      </c>
      <c r="L151" s="50">
        <v>1</v>
      </c>
      <c r="M151" s="50">
        <v>1</v>
      </c>
      <c r="N151" s="50">
        <v>1</v>
      </c>
      <c r="O151" s="50">
        <v>1</v>
      </c>
      <c r="P151" s="50">
        <v>1</v>
      </c>
      <c r="Q151" s="50">
        <v>1</v>
      </c>
      <c r="R151" s="50">
        <v>1</v>
      </c>
      <c r="S151" s="50">
        <v>1</v>
      </c>
      <c r="T151" s="50">
        <v>1</v>
      </c>
      <c r="U151" s="50">
        <v>1</v>
      </c>
      <c r="V151" s="50">
        <v>1</v>
      </c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  <c r="CP151" s="50"/>
      <c r="CQ151" s="50"/>
      <c r="CR151" s="50"/>
      <c r="CS151" s="50"/>
      <c r="CT151" s="50"/>
      <c r="CU151" s="50"/>
      <c r="CV151" s="50"/>
      <c r="CW151" s="50"/>
      <c r="CX151" s="50"/>
      <c r="CY151" s="50"/>
      <c r="CZ151" s="50"/>
      <c r="DA151" s="50"/>
      <c r="DB151" s="50"/>
      <c r="DC151" s="50"/>
      <c r="DD151" s="50"/>
      <c r="DE151" s="50"/>
      <c r="DF151" s="50"/>
      <c r="DG151" s="50"/>
      <c r="DH151" s="50"/>
      <c r="DI151" s="50"/>
      <c r="DJ151" s="50"/>
      <c r="DK151" s="50"/>
      <c r="DL151" s="50"/>
      <c r="DM151" s="50"/>
      <c r="DN151" s="50"/>
      <c r="DO151" s="50"/>
      <c r="DP151" s="50"/>
      <c r="DQ151" s="50"/>
      <c r="DR151" s="50"/>
      <c r="DS151" s="50"/>
      <c r="DT151" s="50"/>
      <c r="DU151" s="50"/>
      <c r="DV151" s="50"/>
      <c r="DW151" s="50"/>
      <c r="DX151" s="50"/>
      <c r="DY151" s="50"/>
      <c r="DZ151" s="50"/>
      <c r="EA151" s="50"/>
      <c r="EB151" s="50"/>
      <c r="EC151" s="50"/>
      <c r="ED151" s="50"/>
      <c r="EE151" s="50"/>
      <c r="EF151" s="50"/>
      <c r="EG151" s="50"/>
      <c r="EH151" s="50"/>
      <c r="EI151" s="50"/>
      <c r="EJ151" s="50"/>
      <c r="EK151" s="50"/>
      <c r="EL151" s="50"/>
      <c r="EM151" s="50"/>
      <c r="EN151" s="50"/>
      <c r="EO151" s="50"/>
      <c r="EP151" s="50"/>
      <c r="EQ151" s="50"/>
      <c r="ER151" s="50"/>
      <c r="ES151" s="50"/>
      <c r="ET151" s="50"/>
      <c r="EU151" s="50"/>
      <c r="EV151" s="50"/>
    </row>
    <row r="152" spans="2:152" x14ac:dyDescent="0.75">
      <c r="B152" s="26"/>
      <c r="C152" s="27"/>
      <c r="D152" s="27"/>
      <c r="F152" s="26"/>
      <c r="G152" s="27" t="s">
        <v>342</v>
      </c>
      <c r="H152" s="50">
        <v>1</v>
      </c>
      <c r="I152" s="50">
        <v>1</v>
      </c>
      <c r="J152" s="50">
        <v>1</v>
      </c>
      <c r="K152" s="50">
        <v>1</v>
      </c>
      <c r="L152" s="50">
        <v>1</v>
      </c>
      <c r="M152" s="50">
        <v>1</v>
      </c>
      <c r="N152" s="50">
        <v>1</v>
      </c>
      <c r="O152" s="50">
        <v>1</v>
      </c>
      <c r="P152" s="50">
        <v>1</v>
      </c>
      <c r="Q152" s="50">
        <v>1</v>
      </c>
      <c r="R152" s="50">
        <v>1</v>
      </c>
      <c r="S152" s="50">
        <v>1</v>
      </c>
      <c r="T152" s="50">
        <v>1</v>
      </c>
      <c r="U152" s="50">
        <v>1</v>
      </c>
      <c r="V152" s="50">
        <v>1</v>
      </c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  <c r="DA152" s="50"/>
      <c r="DB152" s="50"/>
      <c r="DC152" s="50"/>
      <c r="DD152" s="50"/>
      <c r="DE152" s="50"/>
      <c r="DF152" s="50"/>
      <c r="DG152" s="50"/>
      <c r="DH152" s="50"/>
      <c r="DI152" s="50"/>
      <c r="DJ152" s="50"/>
      <c r="DK152" s="50"/>
      <c r="DL152" s="50"/>
      <c r="DM152" s="50"/>
      <c r="DN152" s="50"/>
      <c r="DO152" s="50"/>
      <c r="DP152" s="50"/>
      <c r="DQ152" s="50"/>
      <c r="DR152" s="50"/>
      <c r="DS152" s="50"/>
      <c r="DT152" s="50"/>
      <c r="DU152" s="50"/>
      <c r="DV152" s="50"/>
      <c r="DW152" s="50"/>
      <c r="DX152" s="50"/>
      <c r="DY152" s="50"/>
      <c r="DZ152" s="50"/>
      <c r="EA152" s="50"/>
      <c r="EB152" s="50"/>
      <c r="EC152" s="50"/>
      <c r="ED152" s="50"/>
      <c r="EE152" s="50"/>
      <c r="EF152" s="50"/>
      <c r="EG152" s="50"/>
      <c r="EH152" s="50"/>
      <c r="EI152" s="50"/>
      <c r="EJ152" s="50"/>
      <c r="EK152" s="50"/>
      <c r="EL152" s="50"/>
      <c r="EM152" s="50"/>
      <c r="EN152" s="50"/>
      <c r="EO152" s="50"/>
      <c r="EP152" s="50"/>
      <c r="EQ152" s="50"/>
      <c r="ER152" s="50"/>
      <c r="ES152" s="50"/>
      <c r="ET152" s="50"/>
      <c r="EU152" s="50"/>
      <c r="EV152" s="50"/>
    </row>
    <row r="153" spans="2:152" x14ac:dyDescent="0.75">
      <c r="B153" s="26"/>
      <c r="C153" s="27"/>
      <c r="D153" s="27"/>
      <c r="F153" s="26"/>
      <c r="G153" s="27" t="s">
        <v>343</v>
      </c>
      <c r="H153" s="50">
        <v>1</v>
      </c>
      <c r="I153" s="50">
        <v>1</v>
      </c>
      <c r="J153" s="50">
        <v>1</v>
      </c>
      <c r="K153" s="50">
        <v>1</v>
      </c>
      <c r="L153" s="50">
        <v>1</v>
      </c>
      <c r="M153" s="50">
        <v>1</v>
      </c>
      <c r="N153" s="50">
        <v>1</v>
      </c>
      <c r="O153" s="50">
        <v>1</v>
      </c>
      <c r="P153" s="50">
        <v>1</v>
      </c>
      <c r="Q153" s="50">
        <v>1</v>
      </c>
      <c r="R153" s="50">
        <v>1</v>
      </c>
      <c r="S153" s="50">
        <v>1</v>
      </c>
      <c r="T153" s="50">
        <v>1</v>
      </c>
      <c r="U153" s="50">
        <v>1</v>
      </c>
      <c r="V153" s="50">
        <v>1</v>
      </c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50"/>
      <c r="DC153" s="50"/>
      <c r="DD153" s="50"/>
      <c r="DE153" s="50"/>
      <c r="DF153" s="50"/>
      <c r="DG153" s="50"/>
      <c r="DH153" s="50"/>
      <c r="DI153" s="50"/>
      <c r="DJ153" s="50"/>
      <c r="DK153" s="50"/>
      <c r="DL153" s="50"/>
      <c r="DM153" s="50"/>
      <c r="DN153" s="50"/>
      <c r="DO153" s="50"/>
      <c r="DP153" s="50"/>
      <c r="DQ153" s="50"/>
      <c r="DR153" s="50"/>
      <c r="DS153" s="50"/>
      <c r="DT153" s="50"/>
      <c r="DU153" s="50"/>
      <c r="DV153" s="50"/>
      <c r="DW153" s="50"/>
      <c r="DX153" s="50"/>
      <c r="DY153" s="50"/>
      <c r="DZ153" s="50"/>
      <c r="EA153" s="50"/>
      <c r="EB153" s="50"/>
      <c r="EC153" s="50"/>
      <c r="ED153" s="50"/>
      <c r="EE153" s="50"/>
      <c r="EF153" s="50"/>
      <c r="EG153" s="50"/>
      <c r="EH153" s="50"/>
      <c r="EI153" s="50"/>
      <c r="EJ153" s="50"/>
      <c r="EK153" s="50"/>
      <c r="EL153" s="50"/>
      <c r="EM153" s="50"/>
      <c r="EN153" s="50"/>
      <c r="EO153" s="50"/>
      <c r="EP153" s="50"/>
      <c r="EQ153" s="50"/>
      <c r="ER153" s="50"/>
      <c r="ES153" s="50"/>
      <c r="ET153" s="50"/>
      <c r="EU153" s="50"/>
      <c r="EV153" s="50"/>
    </row>
    <row r="154" spans="2:152" x14ac:dyDescent="0.75">
      <c r="B154" s="26"/>
      <c r="C154" s="27"/>
      <c r="D154" s="27"/>
      <c r="F154" s="26"/>
      <c r="G154" s="27" t="s">
        <v>65</v>
      </c>
      <c r="H154" s="50">
        <v>1</v>
      </c>
      <c r="I154" s="50">
        <v>1</v>
      </c>
      <c r="J154" s="50">
        <v>1</v>
      </c>
      <c r="K154" s="50">
        <v>1</v>
      </c>
      <c r="L154" s="50">
        <v>1</v>
      </c>
      <c r="M154" s="50">
        <v>1</v>
      </c>
      <c r="N154" s="50">
        <v>1</v>
      </c>
      <c r="O154" s="50">
        <v>1</v>
      </c>
      <c r="P154" s="50">
        <v>1</v>
      </c>
      <c r="Q154" s="50">
        <v>1</v>
      </c>
      <c r="R154" s="50">
        <v>1</v>
      </c>
      <c r="S154" s="50">
        <v>1</v>
      </c>
      <c r="T154" s="50">
        <v>1</v>
      </c>
      <c r="U154" s="50">
        <v>1</v>
      </c>
      <c r="V154" s="50">
        <v>1</v>
      </c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50"/>
      <c r="DC154" s="50"/>
      <c r="DD154" s="50"/>
      <c r="DE154" s="50"/>
      <c r="DF154" s="50"/>
      <c r="DG154" s="50"/>
      <c r="DH154" s="50"/>
      <c r="DI154" s="50"/>
      <c r="DJ154" s="50"/>
      <c r="DK154" s="50"/>
      <c r="DL154" s="50"/>
      <c r="DM154" s="50"/>
      <c r="DN154" s="50"/>
      <c r="DO154" s="50"/>
      <c r="DP154" s="50"/>
      <c r="DQ154" s="50"/>
      <c r="DR154" s="50"/>
      <c r="DS154" s="50"/>
      <c r="DT154" s="50"/>
      <c r="DU154" s="50"/>
      <c r="DV154" s="50"/>
      <c r="DW154" s="50"/>
      <c r="DX154" s="50"/>
      <c r="DY154" s="50"/>
      <c r="DZ154" s="50"/>
      <c r="EA154" s="50"/>
      <c r="EB154" s="50"/>
      <c r="EC154" s="50"/>
      <c r="ED154" s="50"/>
      <c r="EE154" s="50"/>
      <c r="EF154" s="50"/>
      <c r="EG154" s="50"/>
      <c r="EH154" s="50"/>
      <c r="EI154" s="50"/>
      <c r="EJ154" s="50"/>
      <c r="EK154" s="50"/>
      <c r="EL154" s="50"/>
      <c r="EM154" s="50"/>
      <c r="EN154" s="50"/>
      <c r="EO154" s="50"/>
      <c r="EP154" s="50"/>
      <c r="EQ154" s="50"/>
      <c r="ER154" s="50"/>
      <c r="ES154" s="50"/>
      <c r="ET154" s="50"/>
      <c r="EU154" s="50"/>
      <c r="EV154" s="50"/>
    </row>
    <row r="155" spans="2:152" x14ac:dyDescent="0.75">
      <c r="B155" s="26"/>
      <c r="C155" s="27"/>
      <c r="D155" s="27"/>
      <c r="F155" s="26"/>
      <c r="G155" s="27" t="s">
        <v>344</v>
      </c>
      <c r="H155" s="50">
        <v>1</v>
      </c>
      <c r="I155" s="50">
        <v>1</v>
      </c>
      <c r="J155" s="50">
        <v>1</v>
      </c>
      <c r="K155" s="50">
        <v>1</v>
      </c>
      <c r="L155" s="50">
        <v>1</v>
      </c>
      <c r="M155" s="50">
        <v>1</v>
      </c>
      <c r="N155" s="50">
        <v>1</v>
      </c>
      <c r="O155" s="50">
        <v>1</v>
      </c>
      <c r="P155" s="50">
        <v>1</v>
      </c>
      <c r="Q155" s="50">
        <v>1</v>
      </c>
      <c r="R155" s="50">
        <v>1</v>
      </c>
      <c r="S155" s="50">
        <v>1</v>
      </c>
      <c r="T155" s="50">
        <v>1</v>
      </c>
      <c r="U155" s="50">
        <v>1</v>
      </c>
      <c r="V155" s="50">
        <v>1</v>
      </c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  <c r="CQ155" s="50"/>
      <c r="CR155" s="50"/>
      <c r="CS155" s="50"/>
      <c r="CT155" s="50"/>
      <c r="CU155" s="50"/>
      <c r="CV155" s="50"/>
      <c r="CW155" s="50"/>
      <c r="CX155" s="50"/>
      <c r="CY155" s="50"/>
      <c r="CZ155" s="50"/>
      <c r="DA155" s="50"/>
      <c r="DB155" s="50"/>
      <c r="DC155" s="50"/>
      <c r="DD155" s="50"/>
      <c r="DE155" s="50"/>
      <c r="DF155" s="50"/>
      <c r="DG155" s="50"/>
      <c r="DH155" s="50"/>
      <c r="DI155" s="50"/>
      <c r="DJ155" s="50"/>
      <c r="DK155" s="50"/>
      <c r="DL155" s="50"/>
      <c r="DM155" s="50"/>
      <c r="DN155" s="50"/>
      <c r="DO155" s="50"/>
      <c r="DP155" s="50"/>
      <c r="DQ155" s="50"/>
      <c r="DR155" s="50"/>
      <c r="DS155" s="50"/>
      <c r="DT155" s="50"/>
      <c r="DU155" s="50"/>
      <c r="DV155" s="50"/>
      <c r="DW155" s="50"/>
      <c r="DX155" s="50"/>
      <c r="DY155" s="50"/>
      <c r="DZ155" s="50"/>
      <c r="EA155" s="50"/>
      <c r="EB155" s="50"/>
      <c r="EC155" s="50"/>
      <c r="ED155" s="50"/>
      <c r="EE155" s="50"/>
      <c r="EF155" s="50"/>
      <c r="EG155" s="50"/>
      <c r="EH155" s="50"/>
      <c r="EI155" s="50"/>
      <c r="EJ155" s="50"/>
      <c r="EK155" s="50"/>
      <c r="EL155" s="50"/>
      <c r="EM155" s="50"/>
      <c r="EN155" s="50"/>
      <c r="EO155" s="50"/>
      <c r="EP155" s="50"/>
      <c r="EQ155" s="50"/>
      <c r="ER155" s="50"/>
      <c r="ES155" s="50"/>
      <c r="ET155" s="50"/>
      <c r="EU155" s="50"/>
      <c r="EV155" s="50"/>
    </row>
    <row r="156" spans="2:152" x14ac:dyDescent="0.75">
      <c r="B156" s="26"/>
      <c r="C156" s="27"/>
      <c r="D156" s="27"/>
      <c r="F156" s="26"/>
      <c r="G156" s="27" t="s">
        <v>66</v>
      </c>
      <c r="H156" s="50">
        <v>1</v>
      </c>
      <c r="I156" s="50">
        <v>1</v>
      </c>
      <c r="J156" s="50">
        <v>1</v>
      </c>
      <c r="K156" s="50">
        <v>1</v>
      </c>
      <c r="L156" s="50">
        <v>1</v>
      </c>
      <c r="M156" s="50">
        <v>1</v>
      </c>
      <c r="N156" s="50">
        <v>1</v>
      </c>
      <c r="O156" s="50">
        <v>1</v>
      </c>
      <c r="P156" s="50">
        <v>1</v>
      </c>
      <c r="Q156" s="50">
        <v>1</v>
      </c>
      <c r="R156" s="50">
        <v>1</v>
      </c>
      <c r="S156" s="50">
        <v>1</v>
      </c>
      <c r="T156" s="50">
        <v>1</v>
      </c>
      <c r="U156" s="50">
        <v>1</v>
      </c>
      <c r="V156" s="50">
        <v>1</v>
      </c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  <c r="CP156" s="50"/>
      <c r="CQ156" s="50"/>
      <c r="CR156" s="50"/>
      <c r="CS156" s="50"/>
      <c r="CT156" s="50"/>
      <c r="CU156" s="50"/>
      <c r="CV156" s="50"/>
      <c r="CW156" s="50"/>
      <c r="CX156" s="50"/>
      <c r="CY156" s="50"/>
      <c r="CZ156" s="50"/>
      <c r="DA156" s="50"/>
      <c r="DB156" s="50"/>
      <c r="DC156" s="50"/>
      <c r="DD156" s="50"/>
      <c r="DE156" s="50"/>
      <c r="DF156" s="50"/>
      <c r="DG156" s="50"/>
      <c r="DH156" s="50"/>
      <c r="DI156" s="50"/>
      <c r="DJ156" s="50"/>
      <c r="DK156" s="50"/>
      <c r="DL156" s="50"/>
      <c r="DM156" s="50"/>
      <c r="DN156" s="50"/>
      <c r="DO156" s="50"/>
      <c r="DP156" s="50"/>
      <c r="DQ156" s="50"/>
      <c r="DR156" s="50"/>
      <c r="DS156" s="50"/>
      <c r="DT156" s="50"/>
      <c r="DU156" s="50"/>
      <c r="DV156" s="50"/>
      <c r="DW156" s="50"/>
      <c r="DX156" s="50"/>
      <c r="DY156" s="50"/>
      <c r="DZ156" s="50"/>
      <c r="EA156" s="50"/>
      <c r="EB156" s="50"/>
      <c r="EC156" s="50"/>
      <c r="ED156" s="50"/>
      <c r="EE156" s="50"/>
      <c r="EF156" s="50"/>
      <c r="EG156" s="50"/>
      <c r="EH156" s="50"/>
      <c r="EI156" s="50"/>
      <c r="EJ156" s="50"/>
      <c r="EK156" s="50"/>
      <c r="EL156" s="50"/>
      <c r="EM156" s="50"/>
      <c r="EN156" s="50"/>
      <c r="EO156" s="50"/>
      <c r="EP156" s="50"/>
      <c r="EQ156" s="50"/>
      <c r="ER156" s="50"/>
      <c r="ES156" s="50"/>
      <c r="ET156" s="50"/>
      <c r="EU156" s="50"/>
      <c r="EV156" s="50"/>
    </row>
    <row r="157" spans="2:152" x14ac:dyDescent="0.75">
      <c r="B157" s="26"/>
      <c r="C157" s="27"/>
      <c r="D157" s="27"/>
      <c r="F157" s="26"/>
      <c r="G157" s="27" t="s">
        <v>736</v>
      </c>
      <c r="H157" s="50">
        <v>1</v>
      </c>
      <c r="I157" s="50">
        <v>1</v>
      </c>
      <c r="J157" s="50">
        <v>1</v>
      </c>
      <c r="K157" s="50">
        <v>1</v>
      </c>
      <c r="L157" s="50">
        <v>1</v>
      </c>
      <c r="M157" s="50">
        <v>1</v>
      </c>
      <c r="N157" s="50">
        <v>1</v>
      </c>
      <c r="O157" s="50">
        <v>1</v>
      </c>
      <c r="P157" s="50">
        <v>1</v>
      </c>
      <c r="Q157" s="50">
        <v>1</v>
      </c>
      <c r="R157" s="50">
        <v>1</v>
      </c>
      <c r="S157" s="50">
        <v>1</v>
      </c>
      <c r="T157" s="50">
        <v>1</v>
      </c>
      <c r="U157" s="50">
        <v>1</v>
      </c>
      <c r="V157" s="50">
        <v>1</v>
      </c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  <c r="CP157" s="50"/>
      <c r="CQ157" s="50"/>
      <c r="CR157" s="50"/>
      <c r="CS157" s="50"/>
      <c r="CT157" s="50"/>
      <c r="CU157" s="50"/>
      <c r="CV157" s="50"/>
      <c r="CW157" s="50"/>
      <c r="CX157" s="50"/>
      <c r="CY157" s="50"/>
      <c r="CZ157" s="50"/>
      <c r="DA157" s="50"/>
      <c r="DB157" s="50"/>
      <c r="DC157" s="50"/>
      <c r="DD157" s="50"/>
      <c r="DE157" s="50"/>
      <c r="DF157" s="50"/>
      <c r="DG157" s="50"/>
      <c r="DH157" s="50"/>
      <c r="DI157" s="50"/>
      <c r="DJ157" s="50"/>
      <c r="DK157" s="50"/>
      <c r="DL157" s="50"/>
      <c r="DM157" s="50"/>
      <c r="DN157" s="50"/>
      <c r="DO157" s="50"/>
      <c r="DP157" s="50"/>
      <c r="DQ157" s="50"/>
      <c r="DR157" s="50"/>
      <c r="DS157" s="50"/>
      <c r="DT157" s="50"/>
      <c r="DU157" s="50"/>
      <c r="DV157" s="50"/>
      <c r="DW157" s="50"/>
      <c r="DX157" s="50"/>
      <c r="DY157" s="50"/>
      <c r="DZ157" s="50"/>
      <c r="EA157" s="50"/>
      <c r="EB157" s="50"/>
      <c r="EC157" s="50"/>
      <c r="ED157" s="50"/>
      <c r="EE157" s="50"/>
      <c r="EF157" s="50"/>
      <c r="EG157" s="50"/>
      <c r="EH157" s="50"/>
      <c r="EI157" s="50"/>
      <c r="EJ157" s="50"/>
      <c r="EK157" s="50"/>
      <c r="EL157" s="50"/>
      <c r="EM157" s="50"/>
      <c r="EN157" s="50"/>
      <c r="EO157" s="50"/>
      <c r="EP157" s="50"/>
      <c r="EQ157" s="50"/>
      <c r="ER157" s="50"/>
      <c r="ES157" s="50"/>
      <c r="ET157" s="50"/>
      <c r="EU157" s="50"/>
      <c r="EV157" s="50"/>
    </row>
    <row r="158" spans="2:152" x14ac:dyDescent="0.75">
      <c r="B158" s="26"/>
      <c r="C158" s="27"/>
      <c r="D158" s="27"/>
      <c r="F158" s="26"/>
      <c r="G158" s="27" t="s">
        <v>345</v>
      </c>
      <c r="H158" s="50">
        <v>1</v>
      </c>
      <c r="I158" s="50">
        <v>1</v>
      </c>
      <c r="J158" s="50">
        <v>1</v>
      </c>
      <c r="K158" s="50">
        <v>1</v>
      </c>
      <c r="L158" s="50">
        <v>1</v>
      </c>
      <c r="M158" s="50">
        <v>1</v>
      </c>
      <c r="N158" s="50">
        <v>1</v>
      </c>
      <c r="O158" s="50">
        <v>1</v>
      </c>
      <c r="P158" s="50">
        <v>1</v>
      </c>
      <c r="Q158" s="50">
        <v>1</v>
      </c>
      <c r="R158" s="50">
        <v>1</v>
      </c>
      <c r="S158" s="50">
        <v>1</v>
      </c>
      <c r="T158" s="50">
        <v>1</v>
      </c>
      <c r="U158" s="50">
        <v>1</v>
      </c>
      <c r="V158" s="50">
        <v>1</v>
      </c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  <c r="CP158" s="50"/>
      <c r="CQ158" s="50"/>
      <c r="CR158" s="50"/>
      <c r="CS158" s="50"/>
      <c r="CT158" s="50"/>
      <c r="CU158" s="50"/>
      <c r="CV158" s="50"/>
      <c r="CW158" s="50"/>
      <c r="CX158" s="50"/>
      <c r="CY158" s="50"/>
      <c r="CZ158" s="50"/>
      <c r="DA158" s="50"/>
      <c r="DB158" s="50"/>
      <c r="DC158" s="50"/>
      <c r="DD158" s="50"/>
      <c r="DE158" s="50"/>
      <c r="DF158" s="50"/>
      <c r="DG158" s="50"/>
      <c r="DH158" s="50"/>
      <c r="DI158" s="50"/>
      <c r="DJ158" s="50"/>
      <c r="DK158" s="50"/>
      <c r="DL158" s="50"/>
      <c r="DM158" s="50"/>
      <c r="DN158" s="50"/>
      <c r="DO158" s="50"/>
      <c r="DP158" s="50"/>
      <c r="DQ158" s="50"/>
      <c r="DR158" s="50"/>
      <c r="DS158" s="50"/>
      <c r="DT158" s="50"/>
      <c r="DU158" s="50"/>
      <c r="DV158" s="50"/>
      <c r="DW158" s="50"/>
      <c r="DX158" s="50"/>
      <c r="DY158" s="50"/>
      <c r="DZ158" s="50"/>
      <c r="EA158" s="50"/>
      <c r="EB158" s="50"/>
      <c r="EC158" s="50"/>
      <c r="ED158" s="50"/>
      <c r="EE158" s="50"/>
      <c r="EF158" s="50"/>
      <c r="EG158" s="50"/>
      <c r="EH158" s="50"/>
      <c r="EI158" s="50"/>
      <c r="EJ158" s="50"/>
      <c r="EK158" s="50"/>
      <c r="EL158" s="50"/>
      <c r="EM158" s="50"/>
      <c r="EN158" s="50"/>
      <c r="EO158" s="50"/>
      <c r="EP158" s="50"/>
      <c r="EQ158" s="50"/>
      <c r="ER158" s="50"/>
      <c r="ES158" s="50"/>
      <c r="ET158" s="50"/>
      <c r="EU158" s="50"/>
      <c r="EV158" s="50"/>
    </row>
    <row r="159" spans="2:152" x14ac:dyDescent="0.75">
      <c r="B159" s="26"/>
      <c r="C159" s="27"/>
      <c r="D159" s="27"/>
      <c r="F159" s="26"/>
      <c r="G159" s="27" t="s">
        <v>762</v>
      </c>
      <c r="H159" s="50">
        <v>1</v>
      </c>
      <c r="I159" s="50">
        <v>1</v>
      </c>
      <c r="J159" s="50">
        <v>1</v>
      </c>
      <c r="K159" s="50">
        <v>1</v>
      </c>
      <c r="L159" s="50">
        <v>1</v>
      </c>
      <c r="M159" s="50">
        <v>1</v>
      </c>
      <c r="N159" s="50">
        <v>1</v>
      </c>
      <c r="O159" s="50">
        <v>1</v>
      </c>
      <c r="P159" s="50">
        <v>1</v>
      </c>
      <c r="Q159" s="50">
        <v>1</v>
      </c>
      <c r="R159" s="50">
        <v>1</v>
      </c>
      <c r="S159" s="50">
        <v>1</v>
      </c>
      <c r="T159" s="50">
        <v>1</v>
      </c>
      <c r="U159" s="50">
        <v>1</v>
      </c>
      <c r="V159" s="50">
        <v>1</v>
      </c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0"/>
      <c r="CO159" s="50"/>
      <c r="CP159" s="50"/>
      <c r="CQ159" s="50"/>
      <c r="CR159" s="50"/>
      <c r="CS159" s="50"/>
      <c r="CT159" s="50"/>
      <c r="CU159" s="50"/>
      <c r="CV159" s="50"/>
      <c r="CW159" s="50"/>
      <c r="CX159" s="50"/>
      <c r="CY159" s="50"/>
      <c r="CZ159" s="50"/>
      <c r="DA159" s="50"/>
      <c r="DB159" s="50"/>
      <c r="DC159" s="50"/>
      <c r="DD159" s="50"/>
      <c r="DE159" s="50"/>
      <c r="DF159" s="50"/>
      <c r="DG159" s="50"/>
      <c r="DH159" s="50"/>
      <c r="DI159" s="50"/>
      <c r="DJ159" s="50"/>
      <c r="DK159" s="50"/>
      <c r="DL159" s="50"/>
      <c r="DM159" s="50"/>
      <c r="DN159" s="50"/>
      <c r="DO159" s="50"/>
      <c r="DP159" s="50"/>
      <c r="DQ159" s="50"/>
      <c r="DR159" s="50"/>
      <c r="DS159" s="50"/>
      <c r="DT159" s="50"/>
      <c r="DU159" s="50"/>
      <c r="DV159" s="50"/>
      <c r="DW159" s="50"/>
      <c r="DX159" s="50"/>
      <c r="DY159" s="50"/>
      <c r="DZ159" s="50"/>
      <c r="EA159" s="50"/>
      <c r="EB159" s="50"/>
      <c r="EC159" s="50"/>
      <c r="ED159" s="50"/>
      <c r="EE159" s="50"/>
      <c r="EF159" s="50"/>
      <c r="EG159" s="50"/>
      <c r="EH159" s="50"/>
      <c r="EI159" s="50"/>
      <c r="EJ159" s="50"/>
      <c r="EK159" s="50"/>
      <c r="EL159" s="50"/>
      <c r="EM159" s="50"/>
      <c r="EN159" s="50"/>
      <c r="EO159" s="50"/>
      <c r="EP159" s="50"/>
      <c r="EQ159" s="50"/>
      <c r="ER159" s="50"/>
      <c r="ES159" s="50"/>
      <c r="ET159" s="50"/>
      <c r="EU159" s="50"/>
      <c r="EV159" s="50"/>
    </row>
    <row r="160" spans="2:152" x14ac:dyDescent="0.75">
      <c r="B160" s="26"/>
      <c r="C160" s="27"/>
      <c r="D160" s="27"/>
      <c r="F160" s="26"/>
      <c r="G160" s="27" t="s">
        <v>346</v>
      </c>
      <c r="H160" s="50">
        <v>1</v>
      </c>
      <c r="I160" s="50">
        <v>1</v>
      </c>
      <c r="J160" s="50">
        <v>1</v>
      </c>
      <c r="K160" s="50">
        <v>1</v>
      </c>
      <c r="L160" s="50">
        <v>1</v>
      </c>
      <c r="M160" s="50">
        <v>1</v>
      </c>
      <c r="N160" s="50">
        <v>1</v>
      </c>
      <c r="O160" s="50">
        <v>1</v>
      </c>
      <c r="P160" s="50">
        <v>1</v>
      </c>
      <c r="Q160" s="50">
        <v>1</v>
      </c>
      <c r="R160" s="50">
        <v>1</v>
      </c>
      <c r="S160" s="50">
        <v>1</v>
      </c>
      <c r="T160" s="50">
        <v>1</v>
      </c>
      <c r="U160" s="50">
        <v>1</v>
      </c>
      <c r="V160" s="50">
        <v>1</v>
      </c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  <c r="CP160" s="50"/>
      <c r="CQ160" s="50"/>
      <c r="CR160" s="50"/>
      <c r="CS160" s="50"/>
      <c r="CT160" s="50"/>
      <c r="CU160" s="50"/>
      <c r="CV160" s="50"/>
      <c r="CW160" s="50"/>
      <c r="CX160" s="50"/>
      <c r="CY160" s="50"/>
      <c r="CZ160" s="50"/>
      <c r="DA160" s="50"/>
      <c r="DB160" s="50"/>
      <c r="DC160" s="50"/>
      <c r="DD160" s="50"/>
      <c r="DE160" s="50"/>
      <c r="DF160" s="50"/>
      <c r="DG160" s="50"/>
      <c r="DH160" s="50"/>
      <c r="DI160" s="50"/>
      <c r="DJ160" s="50"/>
      <c r="DK160" s="50"/>
      <c r="DL160" s="50"/>
      <c r="DM160" s="50"/>
      <c r="DN160" s="50"/>
      <c r="DO160" s="50"/>
      <c r="DP160" s="50"/>
      <c r="DQ160" s="50"/>
      <c r="DR160" s="50"/>
      <c r="DS160" s="50"/>
      <c r="DT160" s="50"/>
      <c r="DU160" s="50"/>
      <c r="DV160" s="50"/>
      <c r="DW160" s="50"/>
      <c r="DX160" s="50"/>
      <c r="DY160" s="50"/>
      <c r="DZ160" s="50"/>
      <c r="EA160" s="50"/>
      <c r="EB160" s="50"/>
      <c r="EC160" s="50"/>
      <c r="ED160" s="50"/>
      <c r="EE160" s="50"/>
      <c r="EF160" s="50"/>
      <c r="EG160" s="50"/>
      <c r="EH160" s="50"/>
      <c r="EI160" s="50"/>
      <c r="EJ160" s="50"/>
      <c r="EK160" s="50"/>
      <c r="EL160" s="50"/>
      <c r="EM160" s="50"/>
      <c r="EN160" s="50"/>
      <c r="EO160" s="50"/>
      <c r="EP160" s="50"/>
      <c r="EQ160" s="50"/>
      <c r="ER160" s="50"/>
      <c r="ES160" s="50"/>
      <c r="ET160" s="50"/>
      <c r="EU160" s="50"/>
      <c r="EV160" s="50"/>
    </row>
    <row r="161" spans="2:152" x14ac:dyDescent="0.75">
      <c r="B161" s="26"/>
      <c r="C161" s="27"/>
      <c r="D161" s="27"/>
      <c r="F161" s="26"/>
      <c r="G161" s="27" t="s">
        <v>737</v>
      </c>
      <c r="H161" s="50">
        <v>1</v>
      </c>
      <c r="I161" s="50">
        <v>1</v>
      </c>
      <c r="J161" s="50">
        <v>1</v>
      </c>
      <c r="K161" s="50">
        <v>1</v>
      </c>
      <c r="L161" s="50">
        <v>1</v>
      </c>
      <c r="M161" s="50">
        <v>1</v>
      </c>
      <c r="N161" s="50">
        <v>1</v>
      </c>
      <c r="O161" s="50">
        <v>1</v>
      </c>
      <c r="P161" s="50">
        <v>1</v>
      </c>
      <c r="Q161" s="50">
        <v>1</v>
      </c>
      <c r="R161" s="50">
        <v>1</v>
      </c>
      <c r="S161" s="50">
        <v>1</v>
      </c>
      <c r="T161" s="50">
        <v>1</v>
      </c>
      <c r="U161" s="50">
        <v>1</v>
      </c>
      <c r="V161" s="50">
        <v>1</v>
      </c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0"/>
      <c r="CO161" s="50"/>
      <c r="CP161" s="50"/>
      <c r="CQ161" s="50"/>
      <c r="CR161" s="50"/>
      <c r="CS161" s="50"/>
      <c r="CT161" s="50"/>
      <c r="CU161" s="50"/>
      <c r="CV161" s="50"/>
      <c r="CW161" s="50"/>
      <c r="CX161" s="50"/>
      <c r="CY161" s="50"/>
      <c r="CZ161" s="50"/>
      <c r="DA161" s="50"/>
      <c r="DB161" s="50"/>
      <c r="DC161" s="50"/>
      <c r="DD161" s="50"/>
      <c r="DE161" s="50"/>
      <c r="DF161" s="50"/>
      <c r="DG161" s="50"/>
      <c r="DH161" s="50"/>
      <c r="DI161" s="50"/>
      <c r="DJ161" s="50"/>
      <c r="DK161" s="50"/>
      <c r="DL161" s="50"/>
      <c r="DM161" s="50"/>
      <c r="DN161" s="50"/>
      <c r="DO161" s="50"/>
      <c r="DP161" s="50"/>
      <c r="DQ161" s="50"/>
      <c r="DR161" s="50"/>
      <c r="DS161" s="50"/>
      <c r="DT161" s="50"/>
      <c r="DU161" s="50"/>
      <c r="DV161" s="50"/>
      <c r="DW161" s="50"/>
      <c r="DX161" s="50"/>
      <c r="DY161" s="50"/>
      <c r="DZ161" s="50"/>
      <c r="EA161" s="50"/>
      <c r="EB161" s="50"/>
      <c r="EC161" s="50"/>
      <c r="ED161" s="50"/>
      <c r="EE161" s="50"/>
      <c r="EF161" s="50"/>
      <c r="EG161" s="50"/>
      <c r="EH161" s="50"/>
      <c r="EI161" s="50"/>
      <c r="EJ161" s="50"/>
      <c r="EK161" s="50"/>
      <c r="EL161" s="50"/>
      <c r="EM161" s="50"/>
      <c r="EN161" s="50"/>
      <c r="EO161" s="50"/>
      <c r="EP161" s="50"/>
      <c r="EQ161" s="50"/>
      <c r="ER161" s="50"/>
      <c r="ES161" s="50"/>
      <c r="ET161" s="50"/>
      <c r="EU161" s="50"/>
      <c r="EV161" s="50"/>
    </row>
    <row r="162" spans="2:152" x14ac:dyDescent="0.75">
      <c r="B162" s="26"/>
      <c r="C162" s="27"/>
      <c r="D162" s="27"/>
      <c r="F162" s="26"/>
      <c r="G162" s="27" t="s">
        <v>738</v>
      </c>
      <c r="H162" s="50">
        <v>1</v>
      </c>
      <c r="I162" s="50">
        <v>1</v>
      </c>
      <c r="J162" s="50">
        <v>1</v>
      </c>
      <c r="K162" s="50">
        <v>1</v>
      </c>
      <c r="L162" s="50">
        <v>1</v>
      </c>
      <c r="M162" s="50">
        <v>1</v>
      </c>
      <c r="N162" s="50">
        <v>1</v>
      </c>
      <c r="O162" s="50">
        <v>1</v>
      </c>
      <c r="P162" s="50">
        <v>1</v>
      </c>
      <c r="Q162" s="50">
        <v>1</v>
      </c>
      <c r="R162" s="50">
        <v>1</v>
      </c>
      <c r="S162" s="50">
        <v>1</v>
      </c>
      <c r="T162" s="50">
        <v>1</v>
      </c>
      <c r="U162" s="50">
        <v>1</v>
      </c>
      <c r="V162" s="50">
        <v>1</v>
      </c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  <c r="DA162" s="50"/>
      <c r="DB162" s="50"/>
      <c r="DC162" s="50"/>
      <c r="DD162" s="50"/>
      <c r="DE162" s="50"/>
      <c r="DF162" s="50"/>
      <c r="DG162" s="50"/>
      <c r="DH162" s="50"/>
      <c r="DI162" s="50"/>
      <c r="DJ162" s="50"/>
      <c r="DK162" s="50"/>
      <c r="DL162" s="50"/>
      <c r="DM162" s="50"/>
      <c r="DN162" s="50"/>
      <c r="DO162" s="50"/>
      <c r="DP162" s="50"/>
      <c r="DQ162" s="50"/>
      <c r="DR162" s="50"/>
      <c r="DS162" s="50"/>
      <c r="DT162" s="50"/>
      <c r="DU162" s="50"/>
      <c r="DV162" s="50"/>
      <c r="DW162" s="50"/>
      <c r="DX162" s="50"/>
      <c r="DY162" s="50"/>
      <c r="DZ162" s="50"/>
      <c r="EA162" s="50"/>
      <c r="EB162" s="50"/>
      <c r="EC162" s="50"/>
      <c r="ED162" s="50"/>
      <c r="EE162" s="50"/>
      <c r="EF162" s="50"/>
      <c r="EG162" s="50"/>
      <c r="EH162" s="50"/>
      <c r="EI162" s="50"/>
      <c r="EJ162" s="50"/>
      <c r="EK162" s="50"/>
      <c r="EL162" s="50"/>
      <c r="EM162" s="50"/>
      <c r="EN162" s="50"/>
      <c r="EO162" s="50"/>
      <c r="EP162" s="50"/>
      <c r="EQ162" s="50"/>
      <c r="ER162" s="50"/>
      <c r="ES162" s="50"/>
      <c r="ET162" s="50"/>
      <c r="EU162" s="50"/>
      <c r="EV162" s="50"/>
    </row>
    <row r="163" spans="2:152" x14ac:dyDescent="0.75">
      <c r="B163" s="26"/>
      <c r="C163" s="27"/>
      <c r="D163" s="27"/>
      <c r="F163" s="26"/>
      <c r="G163" s="27" t="s">
        <v>739</v>
      </c>
      <c r="H163" s="50">
        <v>1</v>
      </c>
      <c r="I163" s="50">
        <v>1</v>
      </c>
      <c r="J163" s="50">
        <v>1</v>
      </c>
      <c r="K163" s="50">
        <v>1</v>
      </c>
      <c r="L163" s="50">
        <v>1</v>
      </c>
      <c r="M163" s="50">
        <v>1</v>
      </c>
      <c r="N163" s="50">
        <v>1</v>
      </c>
      <c r="O163" s="50">
        <v>1</v>
      </c>
      <c r="P163" s="50">
        <v>1</v>
      </c>
      <c r="Q163" s="50">
        <v>1</v>
      </c>
      <c r="R163" s="50">
        <v>1</v>
      </c>
      <c r="S163" s="50">
        <v>1</v>
      </c>
      <c r="T163" s="50">
        <v>1</v>
      </c>
      <c r="U163" s="50">
        <v>1</v>
      </c>
      <c r="V163" s="50">
        <v>1</v>
      </c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  <c r="CP163" s="50"/>
      <c r="CQ163" s="50"/>
      <c r="CR163" s="50"/>
      <c r="CS163" s="50"/>
      <c r="CT163" s="50"/>
      <c r="CU163" s="50"/>
      <c r="CV163" s="50"/>
      <c r="CW163" s="50"/>
      <c r="CX163" s="50"/>
      <c r="CY163" s="50"/>
      <c r="CZ163" s="50"/>
      <c r="DA163" s="50"/>
      <c r="DB163" s="50"/>
      <c r="DC163" s="50"/>
      <c r="DD163" s="50"/>
      <c r="DE163" s="50"/>
      <c r="DF163" s="50"/>
      <c r="DG163" s="50"/>
      <c r="DH163" s="50"/>
      <c r="DI163" s="50"/>
      <c r="DJ163" s="50"/>
      <c r="DK163" s="50"/>
      <c r="DL163" s="50"/>
      <c r="DM163" s="50"/>
      <c r="DN163" s="50"/>
      <c r="DO163" s="50"/>
      <c r="DP163" s="50"/>
      <c r="DQ163" s="50"/>
      <c r="DR163" s="50"/>
      <c r="DS163" s="50"/>
      <c r="DT163" s="50"/>
      <c r="DU163" s="50"/>
      <c r="DV163" s="50"/>
      <c r="DW163" s="50"/>
      <c r="DX163" s="50"/>
      <c r="DY163" s="50"/>
      <c r="DZ163" s="50"/>
      <c r="EA163" s="50"/>
      <c r="EB163" s="50"/>
      <c r="EC163" s="50"/>
      <c r="ED163" s="50"/>
      <c r="EE163" s="50"/>
      <c r="EF163" s="50"/>
      <c r="EG163" s="50"/>
      <c r="EH163" s="50"/>
      <c r="EI163" s="50"/>
      <c r="EJ163" s="50"/>
      <c r="EK163" s="50"/>
      <c r="EL163" s="50"/>
      <c r="EM163" s="50"/>
      <c r="EN163" s="50"/>
      <c r="EO163" s="50"/>
      <c r="EP163" s="50"/>
      <c r="EQ163" s="50"/>
      <c r="ER163" s="50"/>
      <c r="ES163" s="50"/>
      <c r="ET163" s="50"/>
      <c r="EU163" s="50"/>
      <c r="EV163" s="50"/>
    </row>
    <row r="164" spans="2:152" x14ac:dyDescent="0.75">
      <c r="B164" s="26"/>
      <c r="C164" s="27"/>
      <c r="D164" s="27"/>
      <c r="F164" s="26"/>
      <c r="G164" s="27" t="s">
        <v>740</v>
      </c>
      <c r="H164" s="50">
        <v>1</v>
      </c>
      <c r="I164" s="50">
        <v>1</v>
      </c>
      <c r="J164" s="50">
        <v>1</v>
      </c>
      <c r="K164" s="50">
        <v>1</v>
      </c>
      <c r="L164" s="50">
        <v>1</v>
      </c>
      <c r="M164" s="50">
        <v>1</v>
      </c>
      <c r="N164" s="50">
        <v>1</v>
      </c>
      <c r="O164" s="50">
        <v>1</v>
      </c>
      <c r="P164" s="50">
        <v>1</v>
      </c>
      <c r="Q164" s="50">
        <v>1</v>
      </c>
      <c r="R164" s="50">
        <v>1</v>
      </c>
      <c r="S164" s="50">
        <v>1</v>
      </c>
      <c r="T164" s="50">
        <v>1</v>
      </c>
      <c r="U164" s="50">
        <v>1</v>
      </c>
      <c r="V164" s="50">
        <v>1</v>
      </c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  <c r="CP164" s="50"/>
      <c r="CQ164" s="50"/>
      <c r="CR164" s="50"/>
      <c r="CS164" s="50"/>
      <c r="CT164" s="50"/>
      <c r="CU164" s="50"/>
      <c r="CV164" s="50"/>
      <c r="CW164" s="50"/>
      <c r="CX164" s="50"/>
      <c r="CY164" s="50"/>
      <c r="CZ164" s="50"/>
      <c r="DA164" s="50"/>
      <c r="DB164" s="50"/>
      <c r="DC164" s="50"/>
      <c r="DD164" s="50"/>
      <c r="DE164" s="50"/>
      <c r="DF164" s="50"/>
      <c r="DG164" s="50"/>
      <c r="DH164" s="50"/>
      <c r="DI164" s="50"/>
      <c r="DJ164" s="50"/>
      <c r="DK164" s="50"/>
      <c r="DL164" s="50"/>
      <c r="DM164" s="50"/>
      <c r="DN164" s="50"/>
      <c r="DO164" s="50"/>
      <c r="DP164" s="50"/>
      <c r="DQ164" s="50"/>
      <c r="DR164" s="50"/>
      <c r="DS164" s="50"/>
      <c r="DT164" s="50"/>
      <c r="DU164" s="50"/>
      <c r="DV164" s="50"/>
      <c r="DW164" s="50"/>
      <c r="DX164" s="50"/>
      <c r="DY164" s="50"/>
      <c r="DZ164" s="50"/>
      <c r="EA164" s="50"/>
      <c r="EB164" s="50"/>
      <c r="EC164" s="50"/>
      <c r="ED164" s="50"/>
      <c r="EE164" s="50"/>
      <c r="EF164" s="50"/>
      <c r="EG164" s="50"/>
      <c r="EH164" s="50"/>
      <c r="EI164" s="50"/>
      <c r="EJ164" s="50"/>
      <c r="EK164" s="50"/>
      <c r="EL164" s="50"/>
      <c r="EM164" s="50"/>
      <c r="EN164" s="50"/>
      <c r="EO164" s="50"/>
      <c r="EP164" s="50"/>
      <c r="EQ164" s="50"/>
      <c r="ER164" s="50"/>
      <c r="ES164" s="50"/>
      <c r="ET164" s="50"/>
      <c r="EU164" s="50"/>
      <c r="EV164" s="50"/>
    </row>
    <row r="165" spans="2:152" x14ac:dyDescent="0.75">
      <c r="B165" s="26"/>
      <c r="C165" s="27"/>
      <c r="D165" s="27"/>
      <c r="F165" s="26"/>
      <c r="G165" s="27" t="s">
        <v>741</v>
      </c>
      <c r="H165" s="50">
        <v>1</v>
      </c>
      <c r="I165" s="50">
        <v>1</v>
      </c>
      <c r="J165" s="50">
        <v>1</v>
      </c>
      <c r="K165" s="50">
        <v>1</v>
      </c>
      <c r="L165" s="50">
        <v>1</v>
      </c>
      <c r="M165" s="50">
        <v>1</v>
      </c>
      <c r="N165" s="50">
        <v>1</v>
      </c>
      <c r="O165" s="50">
        <v>1</v>
      </c>
      <c r="P165" s="50">
        <v>1</v>
      </c>
      <c r="Q165" s="50">
        <v>1</v>
      </c>
      <c r="R165" s="50">
        <v>1</v>
      </c>
      <c r="S165" s="50">
        <v>1</v>
      </c>
      <c r="T165" s="50">
        <v>1</v>
      </c>
      <c r="U165" s="50">
        <v>1</v>
      </c>
      <c r="V165" s="50">
        <v>1</v>
      </c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  <c r="DA165" s="50"/>
      <c r="DB165" s="50"/>
      <c r="DC165" s="50"/>
      <c r="DD165" s="50"/>
      <c r="DE165" s="50"/>
      <c r="DF165" s="50"/>
      <c r="DG165" s="50"/>
      <c r="DH165" s="50"/>
      <c r="DI165" s="50"/>
      <c r="DJ165" s="50"/>
      <c r="DK165" s="50"/>
      <c r="DL165" s="50"/>
      <c r="DM165" s="50"/>
      <c r="DN165" s="50"/>
      <c r="DO165" s="50"/>
      <c r="DP165" s="50"/>
      <c r="DQ165" s="50"/>
      <c r="DR165" s="50"/>
      <c r="DS165" s="50"/>
      <c r="DT165" s="50"/>
      <c r="DU165" s="50"/>
      <c r="DV165" s="50"/>
      <c r="DW165" s="50"/>
      <c r="DX165" s="50"/>
      <c r="DY165" s="50"/>
      <c r="DZ165" s="50"/>
      <c r="EA165" s="50"/>
      <c r="EB165" s="50"/>
      <c r="EC165" s="50"/>
      <c r="ED165" s="50"/>
      <c r="EE165" s="50"/>
      <c r="EF165" s="50"/>
      <c r="EG165" s="50"/>
      <c r="EH165" s="50"/>
      <c r="EI165" s="50"/>
      <c r="EJ165" s="50"/>
      <c r="EK165" s="50"/>
      <c r="EL165" s="50"/>
      <c r="EM165" s="50"/>
      <c r="EN165" s="50"/>
      <c r="EO165" s="50"/>
      <c r="EP165" s="50"/>
      <c r="EQ165" s="50"/>
      <c r="ER165" s="50"/>
      <c r="ES165" s="50"/>
      <c r="ET165" s="50"/>
      <c r="EU165" s="50"/>
      <c r="EV165" s="50"/>
    </row>
    <row r="166" spans="2:152" x14ac:dyDescent="0.75">
      <c r="B166" s="26"/>
      <c r="C166" s="27"/>
      <c r="D166" s="27"/>
      <c r="F166" s="26"/>
      <c r="G166" s="27" t="s">
        <v>348</v>
      </c>
      <c r="H166" s="50">
        <v>1</v>
      </c>
      <c r="I166" s="50">
        <v>1</v>
      </c>
      <c r="J166" s="50">
        <v>1</v>
      </c>
      <c r="K166" s="50">
        <v>1</v>
      </c>
      <c r="L166" s="50">
        <v>1</v>
      </c>
      <c r="M166" s="50">
        <v>1</v>
      </c>
      <c r="N166" s="50">
        <v>1</v>
      </c>
      <c r="O166" s="50">
        <v>1</v>
      </c>
      <c r="P166" s="50">
        <v>1</v>
      </c>
      <c r="Q166" s="50">
        <v>1</v>
      </c>
      <c r="R166" s="50">
        <v>1</v>
      </c>
      <c r="S166" s="50">
        <v>1</v>
      </c>
      <c r="T166" s="50">
        <v>1</v>
      </c>
      <c r="U166" s="50">
        <v>1</v>
      </c>
      <c r="V166" s="50">
        <v>1</v>
      </c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  <c r="CC166" s="50"/>
      <c r="CD166" s="50"/>
      <c r="CE166" s="50"/>
      <c r="CF166" s="50"/>
      <c r="CG166" s="50"/>
      <c r="CH166" s="50"/>
      <c r="CI166" s="50"/>
      <c r="CJ166" s="50"/>
      <c r="CK166" s="50"/>
      <c r="CL166" s="50"/>
      <c r="CM166" s="50"/>
      <c r="CN166" s="50"/>
      <c r="CO166" s="50"/>
      <c r="CP166" s="50"/>
      <c r="CQ166" s="50"/>
      <c r="CR166" s="50"/>
      <c r="CS166" s="50"/>
      <c r="CT166" s="50"/>
      <c r="CU166" s="50"/>
      <c r="CV166" s="50"/>
      <c r="CW166" s="50"/>
      <c r="CX166" s="50"/>
      <c r="CY166" s="50"/>
      <c r="CZ166" s="50"/>
      <c r="DA166" s="50"/>
      <c r="DB166" s="50"/>
      <c r="DC166" s="50"/>
      <c r="DD166" s="50"/>
      <c r="DE166" s="50"/>
      <c r="DF166" s="50"/>
      <c r="DG166" s="50"/>
      <c r="DH166" s="50"/>
      <c r="DI166" s="50"/>
      <c r="DJ166" s="50"/>
      <c r="DK166" s="50"/>
      <c r="DL166" s="50"/>
      <c r="DM166" s="50"/>
      <c r="DN166" s="50"/>
      <c r="DO166" s="50"/>
      <c r="DP166" s="50"/>
      <c r="DQ166" s="50"/>
      <c r="DR166" s="50"/>
      <c r="DS166" s="50"/>
      <c r="DT166" s="50"/>
      <c r="DU166" s="50"/>
      <c r="DV166" s="50"/>
      <c r="DW166" s="50"/>
      <c r="DX166" s="50"/>
      <c r="DY166" s="50"/>
      <c r="DZ166" s="50"/>
      <c r="EA166" s="50"/>
      <c r="EB166" s="50"/>
      <c r="EC166" s="50"/>
      <c r="ED166" s="50"/>
      <c r="EE166" s="50"/>
      <c r="EF166" s="50"/>
      <c r="EG166" s="50"/>
      <c r="EH166" s="50"/>
      <c r="EI166" s="50"/>
      <c r="EJ166" s="50"/>
      <c r="EK166" s="50"/>
      <c r="EL166" s="50"/>
      <c r="EM166" s="50"/>
      <c r="EN166" s="50"/>
      <c r="EO166" s="50"/>
      <c r="EP166" s="50"/>
      <c r="EQ166" s="50"/>
      <c r="ER166" s="50"/>
      <c r="ES166" s="50"/>
      <c r="ET166" s="50"/>
      <c r="EU166" s="50"/>
      <c r="EV166" s="50"/>
    </row>
    <row r="167" spans="2:152" x14ac:dyDescent="0.75">
      <c r="B167" s="26"/>
      <c r="C167" s="27"/>
      <c r="D167" s="27"/>
      <c r="F167" s="26"/>
      <c r="G167" s="27" t="s">
        <v>742</v>
      </c>
      <c r="H167" s="50">
        <v>1</v>
      </c>
      <c r="I167" s="50">
        <v>1</v>
      </c>
      <c r="J167" s="50">
        <v>1</v>
      </c>
      <c r="K167" s="50">
        <v>1</v>
      </c>
      <c r="L167" s="50">
        <v>1</v>
      </c>
      <c r="M167" s="50">
        <v>1</v>
      </c>
      <c r="N167" s="50">
        <v>1</v>
      </c>
      <c r="O167" s="50">
        <v>1</v>
      </c>
      <c r="P167" s="50">
        <v>1</v>
      </c>
      <c r="Q167" s="50">
        <v>1</v>
      </c>
      <c r="R167" s="50">
        <v>1</v>
      </c>
      <c r="S167" s="50">
        <v>1</v>
      </c>
      <c r="T167" s="50">
        <v>1</v>
      </c>
      <c r="U167" s="50">
        <v>1</v>
      </c>
      <c r="V167" s="50">
        <v>1</v>
      </c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  <c r="CP167" s="50"/>
      <c r="CQ167" s="50"/>
      <c r="CR167" s="50"/>
      <c r="CS167" s="50"/>
      <c r="CT167" s="50"/>
      <c r="CU167" s="50"/>
      <c r="CV167" s="50"/>
      <c r="CW167" s="50"/>
      <c r="CX167" s="50"/>
      <c r="CY167" s="50"/>
      <c r="CZ167" s="50"/>
      <c r="DA167" s="50"/>
      <c r="DB167" s="50"/>
      <c r="DC167" s="50"/>
      <c r="DD167" s="50"/>
      <c r="DE167" s="50"/>
      <c r="DF167" s="50"/>
      <c r="DG167" s="50"/>
      <c r="DH167" s="50"/>
      <c r="DI167" s="50"/>
      <c r="DJ167" s="50"/>
      <c r="DK167" s="50"/>
      <c r="DL167" s="50"/>
      <c r="DM167" s="50"/>
      <c r="DN167" s="50"/>
      <c r="DO167" s="50"/>
      <c r="DP167" s="50"/>
      <c r="DQ167" s="50"/>
      <c r="DR167" s="50"/>
      <c r="DS167" s="50"/>
      <c r="DT167" s="50"/>
      <c r="DU167" s="50"/>
      <c r="DV167" s="50"/>
      <c r="DW167" s="50"/>
      <c r="DX167" s="50"/>
      <c r="DY167" s="50"/>
      <c r="DZ167" s="50"/>
      <c r="EA167" s="50"/>
      <c r="EB167" s="50"/>
      <c r="EC167" s="50"/>
      <c r="ED167" s="50"/>
      <c r="EE167" s="50"/>
      <c r="EF167" s="50"/>
      <c r="EG167" s="50"/>
      <c r="EH167" s="50"/>
      <c r="EI167" s="50"/>
      <c r="EJ167" s="50"/>
      <c r="EK167" s="50"/>
      <c r="EL167" s="50"/>
      <c r="EM167" s="50"/>
      <c r="EN167" s="50"/>
      <c r="EO167" s="50"/>
      <c r="EP167" s="50"/>
      <c r="EQ167" s="50"/>
      <c r="ER167" s="50"/>
      <c r="ES167" s="50"/>
      <c r="ET167" s="50"/>
      <c r="EU167" s="50"/>
      <c r="EV167" s="50"/>
    </row>
    <row r="168" spans="2:152" x14ac:dyDescent="0.75">
      <c r="B168" s="26"/>
      <c r="C168" s="27"/>
      <c r="D168" s="27"/>
      <c r="F168" s="26"/>
      <c r="G168" s="27" t="s">
        <v>349</v>
      </c>
      <c r="H168" s="50">
        <v>1</v>
      </c>
      <c r="I168" s="50">
        <v>1</v>
      </c>
      <c r="J168" s="50">
        <v>1</v>
      </c>
      <c r="K168" s="50">
        <v>1</v>
      </c>
      <c r="L168" s="50">
        <v>1</v>
      </c>
      <c r="M168" s="50">
        <v>1</v>
      </c>
      <c r="N168" s="50">
        <v>1</v>
      </c>
      <c r="O168" s="50">
        <v>1</v>
      </c>
      <c r="P168" s="50">
        <v>1</v>
      </c>
      <c r="Q168" s="50">
        <v>1</v>
      </c>
      <c r="R168" s="50">
        <v>1</v>
      </c>
      <c r="S168" s="50">
        <v>1</v>
      </c>
      <c r="T168" s="50">
        <v>1</v>
      </c>
      <c r="U168" s="50">
        <v>1</v>
      </c>
      <c r="V168" s="50">
        <v>1</v>
      </c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  <c r="CP168" s="50"/>
      <c r="CQ168" s="50"/>
      <c r="CR168" s="50"/>
      <c r="CS168" s="50"/>
      <c r="CT168" s="50"/>
      <c r="CU168" s="50"/>
      <c r="CV168" s="50"/>
      <c r="CW168" s="50"/>
      <c r="CX168" s="50"/>
      <c r="CY168" s="50"/>
      <c r="CZ168" s="50"/>
      <c r="DA168" s="50"/>
      <c r="DB168" s="50"/>
      <c r="DC168" s="50"/>
      <c r="DD168" s="50"/>
      <c r="DE168" s="50"/>
      <c r="DF168" s="50"/>
      <c r="DG168" s="50"/>
      <c r="DH168" s="50"/>
      <c r="DI168" s="50"/>
      <c r="DJ168" s="50"/>
      <c r="DK168" s="50"/>
      <c r="DL168" s="50"/>
      <c r="DM168" s="50"/>
      <c r="DN168" s="50"/>
      <c r="DO168" s="50"/>
      <c r="DP168" s="50"/>
      <c r="DQ168" s="50"/>
      <c r="DR168" s="50"/>
      <c r="DS168" s="50"/>
      <c r="DT168" s="50"/>
      <c r="DU168" s="50"/>
      <c r="DV168" s="50"/>
      <c r="DW168" s="50"/>
      <c r="DX168" s="50"/>
      <c r="DY168" s="50"/>
      <c r="DZ168" s="50"/>
      <c r="EA168" s="50"/>
      <c r="EB168" s="50"/>
      <c r="EC168" s="50"/>
      <c r="ED168" s="50"/>
      <c r="EE168" s="50"/>
      <c r="EF168" s="50"/>
      <c r="EG168" s="50"/>
      <c r="EH168" s="50"/>
      <c r="EI168" s="50"/>
      <c r="EJ168" s="50"/>
      <c r="EK168" s="50"/>
      <c r="EL168" s="50"/>
      <c r="EM168" s="50"/>
      <c r="EN168" s="50"/>
      <c r="EO168" s="50"/>
      <c r="EP168" s="50"/>
      <c r="EQ168" s="50"/>
      <c r="ER168" s="50"/>
      <c r="ES168" s="50"/>
      <c r="ET168" s="50"/>
      <c r="EU168" s="50"/>
      <c r="EV168" s="50"/>
    </row>
    <row r="169" spans="2:152" x14ac:dyDescent="0.75">
      <c r="B169" s="26"/>
      <c r="C169" s="27"/>
      <c r="D169" s="27"/>
      <c r="F169" s="26"/>
      <c r="G169" s="27" t="s">
        <v>350</v>
      </c>
      <c r="H169" s="50">
        <v>1</v>
      </c>
      <c r="I169" s="50">
        <v>1</v>
      </c>
      <c r="J169" s="50">
        <v>1</v>
      </c>
      <c r="K169" s="50">
        <v>1</v>
      </c>
      <c r="L169" s="50">
        <v>1</v>
      </c>
      <c r="M169" s="50">
        <v>1</v>
      </c>
      <c r="N169" s="50">
        <v>1</v>
      </c>
      <c r="O169" s="50">
        <v>1</v>
      </c>
      <c r="P169" s="50">
        <v>1</v>
      </c>
      <c r="Q169" s="50">
        <v>1</v>
      </c>
      <c r="R169" s="50">
        <v>1</v>
      </c>
      <c r="S169" s="50">
        <v>1</v>
      </c>
      <c r="T169" s="50">
        <v>1</v>
      </c>
      <c r="U169" s="50">
        <v>1</v>
      </c>
      <c r="V169" s="50">
        <v>1</v>
      </c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0"/>
      <c r="CO169" s="50"/>
      <c r="CP169" s="50"/>
      <c r="CQ169" s="50"/>
      <c r="CR169" s="50"/>
      <c r="CS169" s="50"/>
      <c r="CT169" s="50"/>
      <c r="CU169" s="50"/>
      <c r="CV169" s="50"/>
      <c r="CW169" s="50"/>
      <c r="CX169" s="50"/>
      <c r="CY169" s="50"/>
      <c r="CZ169" s="50"/>
      <c r="DA169" s="50"/>
      <c r="DB169" s="50"/>
      <c r="DC169" s="50"/>
      <c r="DD169" s="50"/>
      <c r="DE169" s="50"/>
      <c r="DF169" s="50"/>
      <c r="DG169" s="50"/>
      <c r="DH169" s="50"/>
      <c r="DI169" s="50"/>
      <c r="DJ169" s="50"/>
      <c r="DK169" s="50"/>
      <c r="DL169" s="50"/>
      <c r="DM169" s="50"/>
      <c r="DN169" s="50"/>
      <c r="DO169" s="50"/>
      <c r="DP169" s="50"/>
      <c r="DQ169" s="50"/>
      <c r="DR169" s="50"/>
      <c r="DS169" s="50"/>
      <c r="DT169" s="50"/>
      <c r="DU169" s="50"/>
      <c r="DV169" s="50"/>
      <c r="DW169" s="50"/>
      <c r="DX169" s="50"/>
      <c r="DY169" s="50"/>
      <c r="DZ169" s="50"/>
      <c r="EA169" s="50"/>
      <c r="EB169" s="50"/>
      <c r="EC169" s="50"/>
      <c r="ED169" s="50"/>
      <c r="EE169" s="50"/>
      <c r="EF169" s="50"/>
      <c r="EG169" s="50"/>
      <c r="EH169" s="50"/>
      <c r="EI169" s="50"/>
      <c r="EJ169" s="50"/>
      <c r="EK169" s="50"/>
      <c r="EL169" s="50"/>
      <c r="EM169" s="50"/>
      <c r="EN169" s="50"/>
      <c r="EO169" s="50"/>
      <c r="EP169" s="50"/>
      <c r="EQ169" s="50"/>
      <c r="ER169" s="50"/>
      <c r="ES169" s="50"/>
      <c r="ET169" s="50"/>
      <c r="EU169" s="50"/>
      <c r="EV169" s="50"/>
    </row>
    <row r="170" spans="2:152" x14ac:dyDescent="0.75">
      <c r="B170" s="26"/>
      <c r="C170" s="27"/>
      <c r="D170" s="27"/>
      <c r="F170" s="26"/>
      <c r="G170" s="27" t="s">
        <v>351</v>
      </c>
      <c r="H170" s="50">
        <v>1</v>
      </c>
      <c r="I170" s="50">
        <v>1</v>
      </c>
      <c r="J170" s="50">
        <v>1</v>
      </c>
      <c r="K170" s="50">
        <v>1</v>
      </c>
      <c r="L170" s="50">
        <v>1</v>
      </c>
      <c r="M170" s="50">
        <v>1</v>
      </c>
      <c r="N170" s="50">
        <v>1</v>
      </c>
      <c r="O170" s="50">
        <v>1</v>
      </c>
      <c r="P170" s="50">
        <v>1</v>
      </c>
      <c r="Q170" s="50">
        <v>1</v>
      </c>
      <c r="R170" s="50">
        <v>1</v>
      </c>
      <c r="S170" s="50">
        <v>1</v>
      </c>
      <c r="T170" s="50">
        <v>1</v>
      </c>
      <c r="U170" s="50">
        <v>1</v>
      </c>
      <c r="V170" s="50">
        <v>1</v>
      </c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C170" s="50"/>
      <c r="DD170" s="50"/>
      <c r="DE170" s="50"/>
      <c r="DF170" s="50"/>
      <c r="DG170" s="50"/>
      <c r="DH170" s="50"/>
      <c r="DI170" s="50"/>
      <c r="DJ170" s="50"/>
      <c r="DK170" s="50"/>
      <c r="DL170" s="50"/>
      <c r="DM170" s="50"/>
      <c r="DN170" s="50"/>
      <c r="DO170" s="50"/>
      <c r="DP170" s="50"/>
      <c r="DQ170" s="50"/>
      <c r="DR170" s="50"/>
      <c r="DS170" s="50"/>
      <c r="DT170" s="50"/>
      <c r="DU170" s="50"/>
      <c r="DV170" s="50"/>
      <c r="DW170" s="50"/>
      <c r="DX170" s="50"/>
      <c r="DY170" s="50"/>
      <c r="DZ170" s="50"/>
      <c r="EA170" s="50"/>
      <c r="EB170" s="50"/>
      <c r="EC170" s="50"/>
      <c r="ED170" s="50"/>
      <c r="EE170" s="50"/>
      <c r="EF170" s="50"/>
      <c r="EG170" s="50"/>
      <c r="EH170" s="50"/>
      <c r="EI170" s="50"/>
      <c r="EJ170" s="50"/>
      <c r="EK170" s="50"/>
      <c r="EL170" s="50"/>
      <c r="EM170" s="50"/>
      <c r="EN170" s="50"/>
      <c r="EO170" s="50"/>
      <c r="EP170" s="50"/>
      <c r="EQ170" s="50"/>
      <c r="ER170" s="50"/>
      <c r="ES170" s="50"/>
      <c r="ET170" s="50"/>
      <c r="EU170" s="50"/>
      <c r="EV170" s="50"/>
    </row>
    <row r="171" spans="2:152" x14ac:dyDescent="0.75">
      <c r="B171" s="26"/>
      <c r="C171" s="27"/>
      <c r="D171" s="27"/>
      <c r="F171" s="26"/>
      <c r="G171" s="27" t="s">
        <v>743</v>
      </c>
      <c r="H171" s="50">
        <v>1</v>
      </c>
      <c r="I171" s="50">
        <v>1</v>
      </c>
      <c r="J171" s="50">
        <v>1</v>
      </c>
      <c r="K171" s="50">
        <v>1</v>
      </c>
      <c r="L171" s="50">
        <v>1</v>
      </c>
      <c r="M171" s="50">
        <v>1</v>
      </c>
      <c r="N171" s="50">
        <v>1</v>
      </c>
      <c r="O171" s="50">
        <v>1</v>
      </c>
      <c r="P171" s="50">
        <v>1</v>
      </c>
      <c r="Q171" s="50">
        <v>1</v>
      </c>
      <c r="R171" s="50">
        <v>1</v>
      </c>
      <c r="S171" s="50">
        <v>1</v>
      </c>
      <c r="T171" s="50">
        <v>1</v>
      </c>
      <c r="U171" s="50">
        <v>1</v>
      </c>
      <c r="V171" s="50">
        <v>1</v>
      </c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  <c r="CP171" s="50"/>
      <c r="CQ171" s="50"/>
      <c r="CR171" s="50"/>
      <c r="CS171" s="50"/>
      <c r="CT171" s="50"/>
      <c r="CU171" s="50"/>
      <c r="CV171" s="50"/>
      <c r="CW171" s="50"/>
      <c r="CX171" s="50"/>
      <c r="CY171" s="50"/>
      <c r="CZ171" s="50"/>
      <c r="DA171" s="50"/>
      <c r="DB171" s="50"/>
      <c r="DC171" s="50"/>
      <c r="DD171" s="50"/>
      <c r="DE171" s="50"/>
      <c r="DF171" s="50"/>
      <c r="DG171" s="50"/>
      <c r="DH171" s="50"/>
      <c r="DI171" s="50"/>
      <c r="DJ171" s="50"/>
      <c r="DK171" s="50"/>
      <c r="DL171" s="50"/>
      <c r="DM171" s="50"/>
      <c r="DN171" s="50"/>
      <c r="DO171" s="50"/>
      <c r="DP171" s="50"/>
      <c r="DQ171" s="50"/>
      <c r="DR171" s="50"/>
      <c r="DS171" s="50"/>
      <c r="DT171" s="50"/>
      <c r="DU171" s="50"/>
      <c r="DV171" s="50"/>
      <c r="DW171" s="50"/>
      <c r="DX171" s="50"/>
      <c r="DY171" s="50"/>
      <c r="DZ171" s="50"/>
      <c r="EA171" s="50"/>
      <c r="EB171" s="50"/>
      <c r="EC171" s="50"/>
      <c r="ED171" s="50"/>
      <c r="EE171" s="50"/>
      <c r="EF171" s="50"/>
      <c r="EG171" s="50"/>
      <c r="EH171" s="50"/>
      <c r="EI171" s="50"/>
      <c r="EJ171" s="50"/>
      <c r="EK171" s="50"/>
      <c r="EL171" s="50"/>
      <c r="EM171" s="50"/>
      <c r="EN171" s="50"/>
      <c r="EO171" s="50"/>
      <c r="EP171" s="50"/>
      <c r="EQ171" s="50"/>
      <c r="ER171" s="50"/>
      <c r="ES171" s="50"/>
      <c r="ET171" s="50"/>
      <c r="EU171" s="50"/>
      <c r="EV171" s="50"/>
    </row>
    <row r="172" spans="2:152" x14ac:dyDescent="0.75">
      <c r="B172" s="26"/>
      <c r="C172" s="27"/>
      <c r="D172" s="27"/>
      <c r="F172" s="26"/>
      <c r="G172" s="27" t="s">
        <v>744</v>
      </c>
      <c r="H172" s="50">
        <v>1</v>
      </c>
      <c r="I172" s="50">
        <v>1</v>
      </c>
      <c r="J172" s="50">
        <v>1</v>
      </c>
      <c r="K172" s="50">
        <v>1</v>
      </c>
      <c r="L172" s="50">
        <v>1</v>
      </c>
      <c r="M172" s="50">
        <v>1</v>
      </c>
      <c r="N172" s="50">
        <v>1</v>
      </c>
      <c r="O172" s="50">
        <v>1</v>
      </c>
      <c r="P172" s="50">
        <v>1</v>
      </c>
      <c r="Q172" s="50">
        <v>1</v>
      </c>
      <c r="R172" s="50">
        <v>1</v>
      </c>
      <c r="S172" s="50">
        <v>1</v>
      </c>
      <c r="T172" s="50">
        <v>1</v>
      </c>
      <c r="U172" s="50">
        <v>1</v>
      </c>
      <c r="V172" s="50">
        <v>1</v>
      </c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  <c r="CP172" s="50"/>
      <c r="CQ172" s="50"/>
      <c r="CR172" s="50"/>
      <c r="CS172" s="50"/>
      <c r="CT172" s="50"/>
      <c r="CU172" s="50"/>
      <c r="CV172" s="50"/>
      <c r="CW172" s="50"/>
      <c r="CX172" s="50"/>
      <c r="CY172" s="50"/>
      <c r="CZ172" s="50"/>
      <c r="DA172" s="50"/>
      <c r="DB172" s="50"/>
      <c r="DC172" s="50"/>
      <c r="DD172" s="50"/>
      <c r="DE172" s="50"/>
      <c r="DF172" s="50"/>
      <c r="DG172" s="50"/>
      <c r="DH172" s="50"/>
      <c r="DI172" s="50"/>
      <c r="DJ172" s="50"/>
      <c r="DK172" s="50"/>
      <c r="DL172" s="50"/>
      <c r="DM172" s="50"/>
      <c r="DN172" s="50"/>
      <c r="DO172" s="50"/>
      <c r="DP172" s="50"/>
      <c r="DQ172" s="50"/>
      <c r="DR172" s="50"/>
      <c r="DS172" s="50"/>
      <c r="DT172" s="50"/>
      <c r="DU172" s="50"/>
      <c r="DV172" s="50"/>
      <c r="DW172" s="50"/>
      <c r="DX172" s="50"/>
      <c r="DY172" s="50"/>
      <c r="DZ172" s="50"/>
      <c r="EA172" s="50"/>
      <c r="EB172" s="50"/>
      <c r="EC172" s="50"/>
      <c r="ED172" s="50"/>
      <c r="EE172" s="50"/>
      <c r="EF172" s="50"/>
      <c r="EG172" s="50"/>
      <c r="EH172" s="50"/>
      <c r="EI172" s="50"/>
      <c r="EJ172" s="50"/>
      <c r="EK172" s="50"/>
      <c r="EL172" s="50"/>
      <c r="EM172" s="50"/>
      <c r="EN172" s="50"/>
      <c r="EO172" s="50"/>
      <c r="EP172" s="50"/>
      <c r="EQ172" s="50"/>
      <c r="ER172" s="50"/>
      <c r="ES172" s="50"/>
      <c r="ET172" s="50"/>
      <c r="EU172" s="50"/>
      <c r="EV172" s="50"/>
    </row>
    <row r="173" spans="2:152" x14ac:dyDescent="0.75">
      <c r="B173" s="26"/>
      <c r="C173" s="27"/>
      <c r="D173" s="27"/>
      <c r="F173" s="26"/>
      <c r="G173" s="27" t="s">
        <v>745</v>
      </c>
      <c r="H173" s="50">
        <v>1</v>
      </c>
      <c r="I173" s="50">
        <v>1</v>
      </c>
      <c r="J173" s="50">
        <v>1</v>
      </c>
      <c r="K173" s="50">
        <v>1</v>
      </c>
      <c r="L173" s="50">
        <v>1</v>
      </c>
      <c r="M173" s="50">
        <v>1</v>
      </c>
      <c r="N173" s="50">
        <v>1</v>
      </c>
      <c r="O173" s="50">
        <v>1</v>
      </c>
      <c r="P173" s="50">
        <v>1</v>
      </c>
      <c r="Q173" s="50">
        <v>1</v>
      </c>
      <c r="R173" s="50">
        <v>1</v>
      </c>
      <c r="S173" s="50">
        <v>1</v>
      </c>
      <c r="T173" s="50">
        <v>1</v>
      </c>
      <c r="U173" s="50">
        <v>1</v>
      </c>
      <c r="V173" s="50">
        <v>1</v>
      </c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  <c r="DA173" s="50"/>
      <c r="DB173" s="50"/>
      <c r="DC173" s="50"/>
      <c r="DD173" s="50"/>
      <c r="DE173" s="50"/>
      <c r="DF173" s="50"/>
      <c r="DG173" s="50"/>
      <c r="DH173" s="50"/>
      <c r="DI173" s="50"/>
      <c r="DJ173" s="50"/>
      <c r="DK173" s="50"/>
      <c r="DL173" s="50"/>
      <c r="DM173" s="50"/>
      <c r="DN173" s="50"/>
      <c r="DO173" s="50"/>
      <c r="DP173" s="50"/>
      <c r="DQ173" s="50"/>
      <c r="DR173" s="50"/>
      <c r="DS173" s="50"/>
      <c r="DT173" s="50"/>
      <c r="DU173" s="50"/>
      <c r="DV173" s="50"/>
      <c r="DW173" s="50"/>
      <c r="DX173" s="50"/>
      <c r="DY173" s="50"/>
      <c r="DZ173" s="50"/>
      <c r="EA173" s="50"/>
      <c r="EB173" s="50"/>
      <c r="EC173" s="50"/>
      <c r="ED173" s="50"/>
      <c r="EE173" s="50"/>
      <c r="EF173" s="50"/>
      <c r="EG173" s="50"/>
      <c r="EH173" s="50"/>
      <c r="EI173" s="50"/>
      <c r="EJ173" s="50"/>
      <c r="EK173" s="50"/>
      <c r="EL173" s="50"/>
      <c r="EM173" s="50"/>
      <c r="EN173" s="50"/>
      <c r="EO173" s="50"/>
      <c r="EP173" s="50"/>
      <c r="EQ173" s="50"/>
      <c r="ER173" s="50"/>
      <c r="ES173" s="50"/>
      <c r="ET173" s="50"/>
      <c r="EU173" s="50"/>
      <c r="EV173" s="50"/>
    </row>
    <row r="174" spans="2:152" x14ac:dyDescent="0.75">
      <c r="B174" s="26"/>
      <c r="C174" s="27"/>
      <c r="D174" s="27"/>
      <c r="F174" s="26"/>
      <c r="G174" s="27" t="s">
        <v>352</v>
      </c>
      <c r="H174" s="50">
        <v>1</v>
      </c>
      <c r="I174" s="50">
        <v>1</v>
      </c>
      <c r="J174" s="50">
        <v>1</v>
      </c>
      <c r="K174" s="50">
        <v>1</v>
      </c>
      <c r="L174" s="50">
        <v>1</v>
      </c>
      <c r="M174" s="50">
        <v>1</v>
      </c>
      <c r="N174" s="50">
        <v>1</v>
      </c>
      <c r="O174" s="50">
        <v>1</v>
      </c>
      <c r="P174" s="50">
        <v>1</v>
      </c>
      <c r="Q174" s="50">
        <v>1</v>
      </c>
      <c r="R174" s="50">
        <v>1</v>
      </c>
      <c r="S174" s="50">
        <v>1</v>
      </c>
      <c r="T174" s="50">
        <v>1</v>
      </c>
      <c r="U174" s="50">
        <v>1</v>
      </c>
      <c r="V174" s="50">
        <v>1</v>
      </c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  <c r="CP174" s="50"/>
      <c r="CQ174" s="50"/>
      <c r="CR174" s="50"/>
      <c r="CS174" s="50"/>
      <c r="CT174" s="50"/>
      <c r="CU174" s="50"/>
      <c r="CV174" s="50"/>
      <c r="CW174" s="50"/>
      <c r="CX174" s="50"/>
      <c r="CY174" s="50"/>
      <c r="CZ174" s="50"/>
      <c r="DA174" s="50"/>
      <c r="DB174" s="50"/>
      <c r="DC174" s="50"/>
      <c r="DD174" s="50"/>
      <c r="DE174" s="50"/>
      <c r="DF174" s="50"/>
      <c r="DG174" s="50"/>
      <c r="DH174" s="50"/>
      <c r="DI174" s="50"/>
      <c r="DJ174" s="50"/>
      <c r="DK174" s="50"/>
      <c r="DL174" s="50"/>
      <c r="DM174" s="50"/>
      <c r="DN174" s="50"/>
      <c r="DO174" s="50"/>
      <c r="DP174" s="50"/>
      <c r="DQ174" s="50"/>
      <c r="DR174" s="50"/>
      <c r="DS174" s="50"/>
      <c r="DT174" s="50"/>
      <c r="DU174" s="50"/>
      <c r="DV174" s="50"/>
      <c r="DW174" s="50"/>
      <c r="DX174" s="50"/>
      <c r="DY174" s="50"/>
      <c r="DZ174" s="50"/>
      <c r="EA174" s="50"/>
      <c r="EB174" s="50"/>
      <c r="EC174" s="50"/>
      <c r="ED174" s="50"/>
      <c r="EE174" s="50"/>
      <c r="EF174" s="50"/>
      <c r="EG174" s="50"/>
      <c r="EH174" s="50"/>
      <c r="EI174" s="50"/>
      <c r="EJ174" s="50"/>
      <c r="EK174" s="50"/>
      <c r="EL174" s="50"/>
      <c r="EM174" s="50"/>
      <c r="EN174" s="50"/>
      <c r="EO174" s="50"/>
      <c r="EP174" s="50"/>
      <c r="EQ174" s="50"/>
      <c r="ER174" s="50"/>
      <c r="ES174" s="50"/>
      <c r="ET174" s="50"/>
      <c r="EU174" s="50"/>
      <c r="EV174" s="50"/>
    </row>
    <row r="175" spans="2:152" x14ac:dyDescent="0.75">
      <c r="B175" s="26"/>
      <c r="C175" s="27"/>
      <c r="D175" s="27"/>
      <c r="F175" s="26"/>
      <c r="G175" s="27" t="s">
        <v>746</v>
      </c>
      <c r="H175" s="50">
        <v>1</v>
      </c>
      <c r="I175" s="50">
        <v>1</v>
      </c>
      <c r="J175" s="50">
        <v>1</v>
      </c>
      <c r="K175" s="50">
        <v>1</v>
      </c>
      <c r="L175" s="50">
        <v>1</v>
      </c>
      <c r="M175" s="50">
        <v>1</v>
      </c>
      <c r="N175" s="50">
        <v>1</v>
      </c>
      <c r="O175" s="50">
        <v>1</v>
      </c>
      <c r="P175" s="50">
        <v>1</v>
      </c>
      <c r="Q175" s="50">
        <v>1</v>
      </c>
      <c r="R175" s="50">
        <v>1</v>
      </c>
      <c r="S175" s="50">
        <v>1</v>
      </c>
      <c r="T175" s="50">
        <v>1</v>
      </c>
      <c r="U175" s="50">
        <v>1</v>
      </c>
      <c r="V175" s="50">
        <v>1</v>
      </c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  <c r="CL175" s="50"/>
      <c r="CM175" s="50"/>
      <c r="CN175" s="50"/>
      <c r="CO175" s="50"/>
      <c r="CP175" s="50"/>
      <c r="CQ175" s="50"/>
      <c r="CR175" s="50"/>
      <c r="CS175" s="50"/>
      <c r="CT175" s="50"/>
      <c r="CU175" s="50"/>
      <c r="CV175" s="50"/>
      <c r="CW175" s="50"/>
      <c r="CX175" s="50"/>
      <c r="CY175" s="50"/>
      <c r="CZ175" s="50"/>
      <c r="DA175" s="50"/>
      <c r="DB175" s="50"/>
      <c r="DC175" s="50"/>
      <c r="DD175" s="50"/>
      <c r="DE175" s="50"/>
      <c r="DF175" s="50"/>
      <c r="DG175" s="50"/>
      <c r="DH175" s="50"/>
      <c r="DI175" s="50"/>
      <c r="DJ175" s="50"/>
      <c r="DK175" s="50"/>
      <c r="DL175" s="50"/>
      <c r="DM175" s="50"/>
      <c r="DN175" s="50"/>
      <c r="DO175" s="50"/>
      <c r="DP175" s="50"/>
      <c r="DQ175" s="50"/>
      <c r="DR175" s="50"/>
      <c r="DS175" s="50"/>
      <c r="DT175" s="50"/>
      <c r="DU175" s="50"/>
      <c r="DV175" s="50"/>
      <c r="DW175" s="50"/>
      <c r="DX175" s="50"/>
      <c r="DY175" s="50"/>
      <c r="DZ175" s="50"/>
      <c r="EA175" s="50"/>
      <c r="EB175" s="50"/>
      <c r="EC175" s="50"/>
      <c r="ED175" s="50"/>
      <c r="EE175" s="50"/>
      <c r="EF175" s="50"/>
      <c r="EG175" s="50"/>
      <c r="EH175" s="50"/>
      <c r="EI175" s="50"/>
      <c r="EJ175" s="50"/>
      <c r="EK175" s="50"/>
      <c r="EL175" s="50"/>
      <c r="EM175" s="50"/>
      <c r="EN175" s="50"/>
      <c r="EO175" s="50"/>
      <c r="EP175" s="50"/>
      <c r="EQ175" s="50"/>
      <c r="ER175" s="50"/>
      <c r="ES175" s="50"/>
      <c r="ET175" s="50"/>
      <c r="EU175" s="50"/>
      <c r="EV175" s="50"/>
    </row>
    <row r="176" spans="2:152" x14ac:dyDescent="0.75">
      <c r="B176" s="26"/>
      <c r="C176" s="27"/>
      <c r="D176" s="27"/>
      <c r="F176" s="26"/>
      <c r="G176" s="27" t="s">
        <v>747</v>
      </c>
      <c r="H176" s="50">
        <v>-2</v>
      </c>
      <c r="I176" s="50">
        <v>-2</v>
      </c>
      <c r="J176" s="50">
        <v>-2</v>
      </c>
      <c r="K176" s="50">
        <v>-2</v>
      </c>
      <c r="L176" s="50">
        <v>-2</v>
      </c>
      <c r="M176" s="50">
        <v>-2</v>
      </c>
      <c r="N176" s="50">
        <v>-2</v>
      </c>
      <c r="O176" s="50">
        <v>-2</v>
      </c>
      <c r="P176" s="50">
        <v>-2</v>
      </c>
      <c r="Q176" s="50">
        <v>-2</v>
      </c>
      <c r="R176" s="50">
        <v>-2</v>
      </c>
      <c r="S176" s="50">
        <v>-2</v>
      </c>
      <c r="T176" s="50">
        <v>-2</v>
      </c>
      <c r="U176" s="50">
        <v>-2</v>
      </c>
      <c r="V176" s="50">
        <v>-2</v>
      </c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  <c r="CM176" s="50"/>
      <c r="CN176" s="50"/>
      <c r="CO176" s="50"/>
      <c r="CP176" s="50"/>
      <c r="CQ176" s="50"/>
      <c r="CR176" s="50"/>
      <c r="CS176" s="50"/>
      <c r="CT176" s="50"/>
      <c r="CU176" s="50"/>
      <c r="CV176" s="50"/>
      <c r="CW176" s="50"/>
      <c r="CX176" s="50"/>
      <c r="CY176" s="50"/>
      <c r="CZ176" s="50"/>
      <c r="DA176" s="50"/>
      <c r="DB176" s="50"/>
      <c r="DC176" s="50"/>
      <c r="DD176" s="50"/>
      <c r="DE176" s="50"/>
      <c r="DF176" s="50"/>
      <c r="DG176" s="50"/>
      <c r="DH176" s="50"/>
      <c r="DI176" s="50"/>
      <c r="DJ176" s="50"/>
      <c r="DK176" s="50"/>
      <c r="DL176" s="50"/>
      <c r="DM176" s="50"/>
      <c r="DN176" s="50"/>
      <c r="DO176" s="50"/>
      <c r="DP176" s="50"/>
      <c r="DQ176" s="50"/>
      <c r="DR176" s="50"/>
      <c r="DS176" s="50"/>
      <c r="DT176" s="50"/>
      <c r="DU176" s="50"/>
      <c r="DV176" s="50"/>
      <c r="DW176" s="50"/>
      <c r="DX176" s="50"/>
      <c r="DY176" s="50"/>
      <c r="DZ176" s="50"/>
      <c r="EA176" s="50"/>
      <c r="EB176" s="50"/>
      <c r="EC176" s="50"/>
      <c r="ED176" s="50"/>
      <c r="EE176" s="50"/>
      <c r="EF176" s="50"/>
      <c r="EG176" s="50"/>
      <c r="EH176" s="50"/>
      <c r="EI176" s="50"/>
      <c r="EJ176" s="50"/>
      <c r="EK176" s="50"/>
      <c r="EL176" s="50"/>
      <c r="EM176" s="50"/>
      <c r="EN176" s="50"/>
      <c r="EO176" s="50"/>
      <c r="EP176" s="50"/>
      <c r="EQ176" s="50"/>
      <c r="ER176" s="50"/>
      <c r="ES176" s="50"/>
      <c r="ET176" s="50"/>
      <c r="EU176" s="50"/>
      <c r="EV176" s="50"/>
    </row>
    <row r="177" spans="2:152" x14ac:dyDescent="0.75">
      <c r="B177" s="26"/>
      <c r="C177" s="27"/>
      <c r="D177" s="27"/>
      <c r="F177" s="26"/>
      <c r="G177" s="27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0"/>
      <c r="CO177" s="50"/>
      <c r="CP177" s="50"/>
      <c r="CQ177" s="50"/>
      <c r="CR177" s="50"/>
      <c r="CS177" s="50"/>
      <c r="CT177" s="50"/>
      <c r="CU177" s="50"/>
      <c r="CV177" s="50"/>
      <c r="CW177" s="50"/>
      <c r="CX177" s="50"/>
      <c r="CY177" s="50"/>
      <c r="CZ177" s="50"/>
      <c r="DA177" s="50"/>
      <c r="DB177" s="50"/>
      <c r="DC177" s="50"/>
      <c r="DD177" s="50"/>
      <c r="DE177" s="50"/>
      <c r="DF177" s="50"/>
      <c r="DG177" s="50"/>
      <c r="DH177" s="50"/>
      <c r="DI177" s="50"/>
      <c r="DJ177" s="50"/>
      <c r="DK177" s="50"/>
      <c r="DL177" s="50"/>
      <c r="DM177" s="50"/>
      <c r="DN177" s="50"/>
      <c r="DO177" s="50"/>
      <c r="DP177" s="50"/>
      <c r="DQ177" s="50"/>
      <c r="DR177" s="50"/>
      <c r="DS177" s="50"/>
      <c r="DT177" s="50"/>
      <c r="DU177" s="50"/>
      <c r="DV177" s="50"/>
      <c r="DW177" s="50"/>
      <c r="DX177" s="50"/>
      <c r="DY177" s="50"/>
      <c r="DZ177" s="50"/>
      <c r="EA177" s="50"/>
      <c r="EB177" s="50"/>
      <c r="EC177" s="50"/>
      <c r="ED177" s="50"/>
      <c r="EE177" s="50"/>
      <c r="EF177" s="50"/>
      <c r="EG177" s="50"/>
      <c r="EH177" s="50"/>
      <c r="EI177" s="50"/>
      <c r="EJ177" s="50"/>
      <c r="EK177" s="50"/>
      <c r="EL177" s="50"/>
      <c r="EM177" s="50"/>
      <c r="EN177" s="50"/>
      <c r="EO177" s="50"/>
      <c r="EP177" s="50"/>
      <c r="EQ177" s="50"/>
      <c r="ER177" s="50"/>
      <c r="ES177" s="50"/>
      <c r="ET177" s="50"/>
      <c r="EU177" s="50"/>
      <c r="EV177" s="50"/>
    </row>
    <row r="178" spans="2:152" x14ac:dyDescent="0.75">
      <c r="B178" s="26"/>
      <c r="C178" s="27"/>
      <c r="D178" s="27"/>
      <c r="F178" s="26"/>
      <c r="G178" s="27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A178" s="50"/>
      <c r="DB178" s="50"/>
      <c r="DC178" s="50"/>
      <c r="DD178" s="50"/>
      <c r="DE178" s="50"/>
      <c r="DF178" s="50"/>
      <c r="DG178" s="50"/>
      <c r="DH178" s="50"/>
      <c r="DI178" s="50"/>
      <c r="DJ178" s="50"/>
      <c r="DK178" s="50"/>
      <c r="DL178" s="50"/>
      <c r="DM178" s="50"/>
      <c r="DN178" s="50"/>
      <c r="DO178" s="50"/>
      <c r="DP178" s="50"/>
      <c r="DQ178" s="50"/>
      <c r="DR178" s="50"/>
      <c r="DS178" s="50"/>
      <c r="DT178" s="50"/>
      <c r="DU178" s="50"/>
      <c r="DV178" s="50"/>
      <c r="DW178" s="50"/>
      <c r="DX178" s="50"/>
      <c r="DY178" s="50"/>
      <c r="DZ178" s="50"/>
      <c r="EA178" s="50"/>
      <c r="EB178" s="50"/>
      <c r="EC178" s="50"/>
      <c r="ED178" s="50"/>
      <c r="EE178" s="50"/>
      <c r="EF178" s="50"/>
      <c r="EG178" s="50"/>
      <c r="EH178" s="50"/>
      <c r="EI178" s="50"/>
      <c r="EJ178" s="50"/>
      <c r="EK178" s="50"/>
      <c r="EL178" s="50"/>
      <c r="EM178" s="50"/>
      <c r="EN178" s="50"/>
      <c r="EO178" s="50"/>
      <c r="EP178" s="50"/>
      <c r="EQ178" s="50"/>
      <c r="ER178" s="50"/>
      <c r="ES178" s="50"/>
      <c r="ET178" s="50"/>
      <c r="EU178" s="50"/>
      <c r="EV178" s="50"/>
    </row>
    <row r="179" spans="2:152" x14ac:dyDescent="0.75">
      <c r="B179" s="26"/>
      <c r="C179" s="27"/>
      <c r="D179" s="27"/>
      <c r="F179" s="26"/>
      <c r="G179" s="27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0"/>
      <c r="CO179" s="50"/>
      <c r="CP179" s="50"/>
      <c r="CQ179" s="50"/>
      <c r="CR179" s="50"/>
      <c r="CS179" s="50"/>
      <c r="CT179" s="50"/>
      <c r="CU179" s="50"/>
      <c r="CV179" s="50"/>
      <c r="CW179" s="50"/>
      <c r="CX179" s="50"/>
      <c r="CY179" s="50"/>
      <c r="CZ179" s="50"/>
      <c r="DA179" s="50"/>
      <c r="DB179" s="50"/>
      <c r="DC179" s="50"/>
      <c r="DD179" s="50"/>
      <c r="DE179" s="50"/>
      <c r="DF179" s="50"/>
      <c r="DG179" s="50"/>
      <c r="DH179" s="50"/>
      <c r="DI179" s="50"/>
      <c r="DJ179" s="50"/>
      <c r="DK179" s="50"/>
      <c r="DL179" s="50"/>
      <c r="DM179" s="50"/>
      <c r="DN179" s="50"/>
      <c r="DO179" s="50"/>
      <c r="DP179" s="50"/>
      <c r="DQ179" s="50"/>
      <c r="DR179" s="50"/>
      <c r="DS179" s="50"/>
      <c r="DT179" s="50"/>
      <c r="DU179" s="50"/>
      <c r="DV179" s="50"/>
      <c r="DW179" s="50"/>
      <c r="DX179" s="50"/>
      <c r="DY179" s="50"/>
      <c r="DZ179" s="50"/>
      <c r="EA179" s="50"/>
      <c r="EB179" s="50"/>
      <c r="EC179" s="50"/>
      <c r="ED179" s="50"/>
      <c r="EE179" s="50"/>
      <c r="EF179" s="50"/>
      <c r="EG179" s="50"/>
      <c r="EH179" s="50"/>
      <c r="EI179" s="50"/>
      <c r="EJ179" s="50"/>
      <c r="EK179" s="50"/>
      <c r="EL179" s="50"/>
      <c r="EM179" s="50"/>
      <c r="EN179" s="50"/>
      <c r="EO179" s="50"/>
      <c r="EP179" s="50"/>
      <c r="EQ179" s="50"/>
      <c r="ER179" s="50"/>
      <c r="ES179" s="50"/>
      <c r="ET179" s="50"/>
      <c r="EU179" s="50"/>
      <c r="EV179" s="50"/>
    </row>
    <row r="180" spans="2:152" x14ac:dyDescent="0.75">
      <c r="B180" s="26"/>
      <c r="C180" s="27"/>
      <c r="D180" s="27"/>
      <c r="F180" s="26"/>
      <c r="G180" s="27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0"/>
      <c r="CO180" s="50"/>
      <c r="CP180" s="50"/>
      <c r="CQ180" s="50"/>
      <c r="CR180" s="50"/>
      <c r="CS180" s="50"/>
      <c r="CT180" s="50"/>
      <c r="CU180" s="50"/>
      <c r="CV180" s="50"/>
      <c r="CW180" s="50"/>
      <c r="CX180" s="50"/>
      <c r="CY180" s="50"/>
      <c r="CZ180" s="50"/>
      <c r="DA180" s="50"/>
      <c r="DB180" s="50"/>
      <c r="DC180" s="50"/>
      <c r="DD180" s="50"/>
      <c r="DE180" s="50"/>
      <c r="DF180" s="50"/>
      <c r="DG180" s="50"/>
      <c r="DH180" s="50"/>
      <c r="DI180" s="50"/>
      <c r="DJ180" s="50"/>
      <c r="DK180" s="50"/>
      <c r="DL180" s="50"/>
      <c r="DM180" s="50"/>
      <c r="DN180" s="50"/>
      <c r="DO180" s="50"/>
      <c r="DP180" s="50"/>
      <c r="DQ180" s="50"/>
      <c r="DR180" s="50"/>
      <c r="DS180" s="50"/>
      <c r="DT180" s="50"/>
      <c r="DU180" s="50"/>
      <c r="DV180" s="50"/>
      <c r="DW180" s="50"/>
      <c r="DX180" s="50"/>
      <c r="DY180" s="50"/>
      <c r="DZ180" s="50"/>
      <c r="EA180" s="50"/>
      <c r="EB180" s="50"/>
      <c r="EC180" s="50"/>
      <c r="ED180" s="50"/>
      <c r="EE180" s="50"/>
      <c r="EF180" s="50"/>
      <c r="EG180" s="50"/>
      <c r="EH180" s="50"/>
      <c r="EI180" s="50"/>
      <c r="EJ180" s="50"/>
      <c r="EK180" s="50"/>
      <c r="EL180" s="50"/>
      <c r="EM180" s="50"/>
      <c r="EN180" s="50"/>
      <c r="EO180" s="50"/>
      <c r="EP180" s="50"/>
      <c r="EQ180" s="50"/>
      <c r="ER180" s="50"/>
      <c r="ES180" s="50"/>
      <c r="ET180" s="50"/>
      <c r="EU180" s="50"/>
      <c r="EV180" s="50"/>
    </row>
    <row r="181" spans="2:152" x14ac:dyDescent="0.75">
      <c r="B181" s="26"/>
      <c r="C181" s="27"/>
      <c r="D181" s="27"/>
      <c r="F181" s="26"/>
      <c r="G181" s="27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50"/>
      <c r="DC181" s="50"/>
      <c r="DD181" s="50"/>
      <c r="DE181" s="50"/>
      <c r="DF181" s="50"/>
      <c r="DG181" s="50"/>
      <c r="DH181" s="50"/>
      <c r="DI181" s="50"/>
      <c r="DJ181" s="50"/>
      <c r="DK181" s="50"/>
      <c r="DL181" s="50"/>
      <c r="DM181" s="50"/>
      <c r="DN181" s="50"/>
      <c r="DO181" s="50"/>
      <c r="DP181" s="50"/>
      <c r="DQ181" s="50"/>
      <c r="DR181" s="50"/>
      <c r="DS181" s="50"/>
      <c r="DT181" s="50"/>
      <c r="DU181" s="50"/>
      <c r="DV181" s="50"/>
      <c r="DW181" s="50"/>
      <c r="DX181" s="50"/>
      <c r="DY181" s="50"/>
      <c r="DZ181" s="50"/>
      <c r="EA181" s="50"/>
      <c r="EB181" s="50"/>
      <c r="EC181" s="50"/>
      <c r="ED181" s="50"/>
      <c r="EE181" s="50"/>
      <c r="EF181" s="50"/>
      <c r="EG181" s="50"/>
      <c r="EH181" s="50"/>
      <c r="EI181" s="50"/>
      <c r="EJ181" s="50"/>
      <c r="EK181" s="50"/>
      <c r="EL181" s="50"/>
      <c r="EM181" s="50"/>
      <c r="EN181" s="50"/>
      <c r="EO181" s="50"/>
      <c r="EP181" s="50"/>
      <c r="EQ181" s="50"/>
      <c r="ER181" s="50"/>
      <c r="ES181" s="50"/>
      <c r="ET181" s="50"/>
      <c r="EU181" s="50"/>
      <c r="EV181" s="50"/>
    </row>
    <row r="182" spans="2:152" x14ac:dyDescent="0.75">
      <c r="B182" s="26"/>
      <c r="C182" s="27"/>
      <c r="D182" s="27"/>
      <c r="F182" s="26"/>
      <c r="G182" s="27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C182" s="50"/>
      <c r="DD182" s="50"/>
      <c r="DE182" s="50"/>
      <c r="DF182" s="50"/>
      <c r="DG182" s="50"/>
      <c r="DH182" s="50"/>
      <c r="DI182" s="50"/>
      <c r="DJ182" s="50"/>
      <c r="DK182" s="50"/>
      <c r="DL182" s="50"/>
      <c r="DM182" s="50"/>
      <c r="DN182" s="50"/>
      <c r="DO182" s="50"/>
      <c r="DP182" s="50"/>
      <c r="DQ182" s="50"/>
      <c r="DR182" s="50"/>
      <c r="DS182" s="50"/>
      <c r="DT182" s="50"/>
      <c r="DU182" s="50"/>
      <c r="DV182" s="50"/>
      <c r="DW182" s="50"/>
      <c r="DX182" s="50"/>
      <c r="DY182" s="50"/>
      <c r="DZ182" s="50"/>
      <c r="EA182" s="50"/>
      <c r="EB182" s="50"/>
      <c r="EC182" s="50"/>
      <c r="ED182" s="50"/>
      <c r="EE182" s="50"/>
      <c r="EF182" s="50"/>
      <c r="EG182" s="50"/>
      <c r="EH182" s="50"/>
      <c r="EI182" s="50"/>
      <c r="EJ182" s="50"/>
      <c r="EK182" s="50"/>
      <c r="EL182" s="50"/>
      <c r="EM182" s="50"/>
      <c r="EN182" s="50"/>
      <c r="EO182" s="50"/>
      <c r="EP182" s="50"/>
      <c r="EQ182" s="50"/>
      <c r="ER182" s="50"/>
      <c r="ES182" s="50"/>
      <c r="ET182" s="50"/>
      <c r="EU182" s="50"/>
      <c r="EV182" s="50"/>
    </row>
    <row r="183" spans="2:152" x14ac:dyDescent="0.75">
      <c r="B183" s="26"/>
      <c r="C183" s="27"/>
      <c r="D183" s="27"/>
      <c r="F183" s="26"/>
      <c r="G183" s="27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  <c r="DA183" s="50"/>
      <c r="DB183" s="50"/>
      <c r="DC183" s="50"/>
      <c r="DD183" s="50"/>
      <c r="DE183" s="50"/>
      <c r="DF183" s="50"/>
      <c r="DG183" s="50"/>
      <c r="DH183" s="50"/>
      <c r="DI183" s="50"/>
      <c r="DJ183" s="50"/>
      <c r="DK183" s="50"/>
      <c r="DL183" s="50"/>
      <c r="DM183" s="50"/>
      <c r="DN183" s="50"/>
      <c r="DO183" s="50"/>
      <c r="DP183" s="50"/>
      <c r="DQ183" s="50"/>
      <c r="DR183" s="50"/>
      <c r="DS183" s="50"/>
      <c r="DT183" s="50"/>
      <c r="DU183" s="50"/>
      <c r="DV183" s="50"/>
      <c r="DW183" s="50"/>
      <c r="DX183" s="50"/>
      <c r="DY183" s="50"/>
      <c r="DZ183" s="50"/>
      <c r="EA183" s="50"/>
      <c r="EB183" s="50"/>
      <c r="EC183" s="50"/>
      <c r="ED183" s="50"/>
      <c r="EE183" s="50"/>
      <c r="EF183" s="50"/>
      <c r="EG183" s="50"/>
      <c r="EH183" s="50"/>
      <c r="EI183" s="50"/>
      <c r="EJ183" s="50"/>
      <c r="EK183" s="50"/>
      <c r="EL183" s="50"/>
      <c r="EM183" s="50"/>
      <c r="EN183" s="50"/>
      <c r="EO183" s="50"/>
      <c r="EP183" s="50"/>
      <c r="EQ183" s="50"/>
      <c r="ER183" s="50"/>
      <c r="ES183" s="50"/>
      <c r="ET183" s="50"/>
      <c r="EU183" s="50"/>
      <c r="EV183" s="50"/>
    </row>
    <row r="184" spans="2:152" x14ac:dyDescent="0.75">
      <c r="B184" s="26"/>
      <c r="C184" s="27"/>
      <c r="D184" s="27"/>
      <c r="F184" s="26"/>
      <c r="G184" s="27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C184" s="50"/>
      <c r="DD184" s="50"/>
      <c r="DE184" s="50"/>
      <c r="DF184" s="50"/>
      <c r="DG184" s="50"/>
      <c r="DH184" s="50"/>
      <c r="DI184" s="50"/>
      <c r="DJ184" s="50"/>
      <c r="DK184" s="50"/>
      <c r="DL184" s="50"/>
      <c r="DM184" s="50"/>
      <c r="DN184" s="50"/>
      <c r="DO184" s="50"/>
      <c r="DP184" s="50"/>
      <c r="DQ184" s="50"/>
      <c r="DR184" s="50"/>
      <c r="DS184" s="50"/>
      <c r="DT184" s="50"/>
      <c r="DU184" s="50"/>
      <c r="DV184" s="50"/>
      <c r="DW184" s="50"/>
      <c r="DX184" s="50"/>
      <c r="DY184" s="50"/>
      <c r="DZ184" s="50"/>
      <c r="EA184" s="50"/>
      <c r="EB184" s="50"/>
      <c r="EC184" s="50"/>
      <c r="ED184" s="50"/>
      <c r="EE184" s="50"/>
      <c r="EF184" s="50"/>
      <c r="EG184" s="50"/>
      <c r="EH184" s="50"/>
      <c r="EI184" s="50"/>
      <c r="EJ184" s="50"/>
      <c r="EK184" s="50"/>
      <c r="EL184" s="50"/>
      <c r="EM184" s="50"/>
      <c r="EN184" s="50"/>
      <c r="EO184" s="50"/>
      <c r="EP184" s="50"/>
      <c r="EQ184" s="50"/>
      <c r="ER184" s="50"/>
      <c r="ES184" s="50"/>
      <c r="ET184" s="50"/>
      <c r="EU184" s="50"/>
      <c r="EV184" s="50"/>
    </row>
    <row r="185" spans="2:152" x14ac:dyDescent="0.75">
      <c r="B185" s="26"/>
      <c r="C185" s="27"/>
      <c r="D185" s="27"/>
      <c r="F185" s="26"/>
      <c r="G185" s="27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  <c r="DA185" s="50"/>
      <c r="DB185" s="50"/>
      <c r="DC185" s="50"/>
      <c r="DD185" s="50"/>
      <c r="DE185" s="50"/>
      <c r="DF185" s="50"/>
      <c r="DG185" s="50"/>
      <c r="DH185" s="50"/>
      <c r="DI185" s="50"/>
      <c r="DJ185" s="50"/>
      <c r="DK185" s="50"/>
      <c r="DL185" s="50"/>
      <c r="DM185" s="50"/>
      <c r="DN185" s="50"/>
      <c r="DO185" s="50"/>
      <c r="DP185" s="50"/>
      <c r="DQ185" s="50"/>
      <c r="DR185" s="50"/>
      <c r="DS185" s="50"/>
      <c r="DT185" s="50"/>
      <c r="DU185" s="50"/>
      <c r="DV185" s="50"/>
      <c r="DW185" s="50"/>
      <c r="DX185" s="50"/>
      <c r="DY185" s="50"/>
      <c r="DZ185" s="50"/>
      <c r="EA185" s="50"/>
      <c r="EB185" s="50"/>
      <c r="EC185" s="50"/>
      <c r="ED185" s="50"/>
      <c r="EE185" s="50"/>
      <c r="EF185" s="50"/>
      <c r="EG185" s="50"/>
      <c r="EH185" s="50"/>
      <c r="EI185" s="50"/>
      <c r="EJ185" s="50"/>
      <c r="EK185" s="50"/>
      <c r="EL185" s="50"/>
      <c r="EM185" s="50"/>
      <c r="EN185" s="50"/>
      <c r="EO185" s="50"/>
      <c r="EP185" s="50"/>
      <c r="EQ185" s="50"/>
      <c r="ER185" s="50"/>
      <c r="ES185" s="50"/>
      <c r="ET185" s="50"/>
      <c r="EU185" s="50"/>
      <c r="EV185" s="50"/>
    </row>
    <row r="186" spans="2:152" x14ac:dyDescent="0.75">
      <c r="B186" s="26"/>
      <c r="C186" s="27"/>
      <c r="D186" s="27"/>
      <c r="F186" s="26"/>
      <c r="G186" s="27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C186" s="50"/>
      <c r="DD186" s="50"/>
      <c r="DE186" s="50"/>
      <c r="DF186" s="50"/>
      <c r="DG186" s="50"/>
      <c r="DH186" s="50"/>
      <c r="DI186" s="50"/>
      <c r="DJ186" s="50"/>
      <c r="DK186" s="50"/>
      <c r="DL186" s="50"/>
      <c r="DM186" s="50"/>
      <c r="DN186" s="50"/>
      <c r="DO186" s="50"/>
      <c r="DP186" s="50"/>
      <c r="DQ186" s="50"/>
      <c r="DR186" s="50"/>
      <c r="DS186" s="50"/>
      <c r="DT186" s="50"/>
      <c r="DU186" s="50"/>
      <c r="DV186" s="50"/>
      <c r="DW186" s="50"/>
      <c r="DX186" s="50"/>
      <c r="DY186" s="50"/>
      <c r="DZ186" s="50"/>
      <c r="EA186" s="50"/>
      <c r="EB186" s="50"/>
      <c r="EC186" s="50"/>
      <c r="ED186" s="50"/>
      <c r="EE186" s="50"/>
      <c r="EF186" s="50"/>
      <c r="EG186" s="50"/>
      <c r="EH186" s="50"/>
      <c r="EI186" s="50"/>
      <c r="EJ186" s="50"/>
      <c r="EK186" s="50"/>
      <c r="EL186" s="50"/>
      <c r="EM186" s="50"/>
      <c r="EN186" s="50"/>
      <c r="EO186" s="50"/>
      <c r="EP186" s="50"/>
      <c r="EQ186" s="50"/>
      <c r="ER186" s="50"/>
      <c r="ES186" s="50"/>
      <c r="ET186" s="50"/>
      <c r="EU186" s="50"/>
      <c r="EV186" s="50"/>
    </row>
    <row r="187" spans="2:152" x14ac:dyDescent="0.75">
      <c r="B187" s="26"/>
      <c r="C187" s="27"/>
      <c r="D187" s="27"/>
      <c r="F187" s="26"/>
      <c r="G187" s="27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  <c r="CL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C187" s="50"/>
      <c r="DD187" s="50"/>
      <c r="DE187" s="50"/>
      <c r="DF187" s="50"/>
      <c r="DG187" s="50"/>
      <c r="DH187" s="50"/>
      <c r="DI187" s="50"/>
      <c r="DJ187" s="50"/>
      <c r="DK187" s="50"/>
      <c r="DL187" s="50"/>
      <c r="DM187" s="50"/>
      <c r="DN187" s="50"/>
      <c r="DO187" s="50"/>
      <c r="DP187" s="50"/>
      <c r="DQ187" s="50"/>
      <c r="DR187" s="50"/>
      <c r="DS187" s="50"/>
      <c r="DT187" s="50"/>
      <c r="DU187" s="50"/>
      <c r="DV187" s="50"/>
      <c r="DW187" s="50"/>
      <c r="DX187" s="50"/>
      <c r="DY187" s="50"/>
      <c r="DZ187" s="50"/>
      <c r="EA187" s="50"/>
      <c r="EB187" s="50"/>
      <c r="EC187" s="50"/>
      <c r="ED187" s="50"/>
      <c r="EE187" s="50"/>
      <c r="EF187" s="50"/>
      <c r="EG187" s="50"/>
      <c r="EH187" s="50"/>
      <c r="EI187" s="50"/>
      <c r="EJ187" s="50"/>
      <c r="EK187" s="50"/>
      <c r="EL187" s="50"/>
      <c r="EM187" s="50"/>
      <c r="EN187" s="50"/>
      <c r="EO187" s="50"/>
      <c r="EP187" s="50"/>
      <c r="EQ187" s="50"/>
      <c r="ER187" s="50"/>
      <c r="ES187" s="50"/>
      <c r="ET187" s="50"/>
      <c r="EU187" s="50"/>
      <c r="EV187" s="50"/>
    </row>
    <row r="188" spans="2:152" x14ac:dyDescent="0.75">
      <c r="B188" s="26"/>
      <c r="C188" s="27"/>
      <c r="D188" s="27"/>
      <c r="F188" s="26"/>
      <c r="G188" s="27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50"/>
      <c r="DC188" s="50"/>
      <c r="DD188" s="50"/>
      <c r="DE188" s="50"/>
      <c r="DF188" s="50"/>
      <c r="DG188" s="50"/>
      <c r="DH188" s="50"/>
      <c r="DI188" s="50"/>
      <c r="DJ188" s="50"/>
      <c r="DK188" s="50"/>
      <c r="DL188" s="50"/>
      <c r="DM188" s="50"/>
      <c r="DN188" s="50"/>
      <c r="DO188" s="50"/>
      <c r="DP188" s="50"/>
      <c r="DQ188" s="50"/>
      <c r="DR188" s="50"/>
      <c r="DS188" s="50"/>
      <c r="DT188" s="50"/>
      <c r="DU188" s="50"/>
      <c r="DV188" s="50"/>
      <c r="DW188" s="50"/>
      <c r="DX188" s="50"/>
      <c r="DY188" s="50"/>
      <c r="DZ188" s="50"/>
      <c r="EA188" s="50"/>
      <c r="EB188" s="50"/>
      <c r="EC188" s="50"/>
      <c r="ED188" s="50"/>
      <c r="EE188" s="50"/>
      <c r="EF188" s="50"/>
      <c r="EG188" s="50"/>
      <c r="EH188" s="50"/>
      <c r="EI188" s="50"/>
      <c r="EJ188" s="50"/>
      <c r="EK188" s="50"/>
      <c r="EL188" s="50"/>
      <c r="EM188" s="50"/>
      <c r="EN188" s="50"/>
      <c r="EO188" s="50"/>
      <c r="EP188" s="50"/>
      <c r="EQ188" s="50"/>
      <c r="ER188" s="50"/>
      <c r="ES188" s="50"/>
      <c r="ET188" s="50"/>
      <c r="EU188" s="50"/>
      <c r="EV188" s="50"/>
    </row>
    <row r="189" spans="2:152" x14ac:dyDescent="0.75">
      <c r="B189" s="26"/>
      <c r="C189" s="27"/>
      <c r="D189" s="27"/>
      <c r="F189" s="26"/>
      <c r="G189" s="27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0"/>
      <c r="BR189" s="50"/>
      <c r="BS189" s="50"/>
      <c r="BT189" s="50"/>
      <c r="BU189" s="50"/>
      <c r="BV189" s="50"/>
      <c r="BW189" s="50"/>
      <c r="BX189" s="50"/>
      <c r="BY189" s="50"/>
      <c r="BZ189" s="50"/>
      <c r="CA189" s="50"/>
      <c r="CB189" s="50"/>
      <c r="CC189" s="50"/>
      <c r="CD189" s="50"/>
      <c r="CE189" s="50"/>
      <c r="CF189" s="50"/>
      <c r="CG189" s="50"/>
      <c r="CH189" s="50"/>
      <c r="CI189" s="50"/>
      <c r="CJ189" s="50"/>
      <c r="CK189" s="50"/>
      <c r="CL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50"/>
      <c r="DC189" s="50"/>
      <c r="DD189" s="50"/>
      <c r="DE189" s="50"/>
      <c r="DF189" s="50"/>
      <c r="DG189" s="50"/>
      <c r="DH189" s="50"/>
      <c r="DI189" s="50"/>
      <c r="DJ189" s="50"/>
      <c r="DK189" s="50"/>
      <c r="DL189" s="50"/>
      <c r="DM189" s="50"/>
      <c r="DN189" s="50"/>
      <c r="DO189" s="50"/>
      <c r="DP189" s="50"/>
      <c r="DQ189" s="50"/>
      <c r="DR189" s="50"/>
      <c r="DS189" s="50"/>
      <c r="DT189" s="50"/>
      <c r="DU189" s="50"/>
      <c r="DV189" s="50"/>
      <c r="DW189" s="50"/>
      <c r="DX189" s="50"/>
      <c r="DY189" s="50"/>
      <c r="DZ189" s="50"/>
      <c r="EA189" s="50"/>
      <c r="EB189" s="50"/>
      <c r="EC189" s="50"/>
      <c r="ED189" s="50"/>
      <c r="EE189" s="50"/>
      <c r="EF189" s="50"/>
      <c r="EG189" s="50"/>
      <c r="EH189" s="50"/>
      <c r="EI189" s="50"/>
      <c r="EJ189" s="50"/>
      <c r="EK189" s="50"/>
      <c r="EL189" s="50"/>
      <c r="EM189" s="50"/>
      <c r="EN189" s="50"/>
      <c r="EO189" s="50"/>
      <c r="EP189" s="50"/>
      <c r="EQ189" s="50"/>
      <c r="ER189" s="50"/>
      <c r="ES189" s="50"/>
      <c r="ET189" s="50"/>
      <c r="EU189" s="50"/>
      <c r="EV189" s="50"/>
    </row>
    <row r="190" spans="2:152" x14ac:dyDescent="0.75">
      <c r="B190" s="26"/>
      <c r="C190" s="27"/>
      <c r="D190" s="27"/>
      <c r="F190" s="26"/>
      <c r="G190" s="27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/>
      <c r="CH190" s="50"/>
      <c r="CI190" s="50"/>
      <c r="CJ190" s="50"/>
      <c r="CK190" s="50"/>
      <c r="CL190" s="50"/>
      <c r="CM190" s="50"/>
      <c r="CN190" s="50"/>
      <c r="CO190" s="50"/>
      <c r="CP190" s="50"/>
      <c r="CQ190" s="50"/>
      <c r="CR190" s="50"/>
      <c r="CS190" s="50"/>
      <c r="CT190" s="50"/>
      <c r="CU190" s="50"/>
      <c r="CV190" s="50"/>
      <c r="CW190" s="50"/>
      <c r="CX190" s="50"/>
      <c r="CY190" s="50"/>
      <c r="CZ190" s="50"/>
      <c r="DA190" s="50"/>
      <c r="DB190" s="50"/>
      <c r="DC190" s="50"/>
      <c r="DD190" s="50"/>
      <c r="DE190" s="50"/>
      <c r="DF190" s="50"/>
      <c r="DG190" s="50"/>
      <c r="DH190" s="50"/>
      <c r="DI190" s="50"/>
      <c r="DJ190" s="50"/>
      <c r="DK190" s="50"/>
      <c r="DL190" s="50"/>
      <c r="DM190" s="50"/>
      <c r="DN190" s="50"/>
      <c r="DO190" s="50"/>
      <c r="DP190" s="50"/>
      <c r="DQ190" s="50"/>
      <c r="DR190" s="50"/>
      <c r="DS190" s="50"/>
      <c r="DT190" s="50"/>
      <c r="DU190" s="50"/>
      <c r="DV190" s="50"/>
      <c r="DW190" s="50"/>
      <c r="DX190" s="50"/>
      <c r="DY190" s="50"/>
      <c r="DZ190" s="50"/>
      <c r="EA190" s="50"/>
      <c r="EB190" s="50"/>
      <c r="EC190" s="50"/>
      <c r="ED190" s="50"/>
      <c r="EE190" s="50"/>
      <c r="EF190" s="50"/>
      <c r="EG190" s="50"/>
      <c r="EH190" s="50"/>
      <c r="EI190" s="50"/>
      <c r="EJ190" s="50"/>
      <c r="EK190" s="50"/>
      <c r="EL190" s="50"/>
      <c r="EM190" s="50"/>
      <c r="EN190" s="50"/>
      <c r="EO190" s="50"/>
      <c r="EP190" s="50"/>
      <c r="EQ190" s="50"/>
      <c r="ER190" s="50"/>
      <c r="ES190" s="50"/>
      <c r="ET190" s="50"/>
      <c r="EU190" s="50"/>
      <c r="EV190" s="50"/>
    </row>
    <row r="191" spans="2:152" x14ac:dyDescent="0.75">
      <c r="B191" s="26"/>
      <c r="C191" s="27"/>
      <c r="D191" s="27"/>
      <c r="F191" s="26"/>
      <c r="G191" s="27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/>
      <c r="CJ191" s="50"/>
      <c r="CK191" s="50"/>
      <c r="CL191" s="50"/>
      <c r="CM191" s="50"/>
      <c r="CN191" s="50"/>
      <c r="CO191" s="50"/>
      <c r="CP191" s="50"/>
      <c r="CQ191" s="50"/>
      <c r="CR191" s="50"/>
      <c r="CS191" s="50"/>
      <c r="CT191" s="50"/>
      <c r="CU191" s="50"/>
      <c r="CV191" s="50"/>
      <c r="CW191" s="50"/>
      <c r="CX191" s="50"/>
      <c r="CY191" s="50"/>
      <c r="CZ191" s="50"/>
      <c r="DA191" s="50"/>
      <c r="DB191" s="50"/>
      <c r="DC191" s="50"/>
      <c r="DD191" s="50"/>
      <c r="DE191" s="50"/>
      <c r="DF191" s="50"/>
      <c r="DG191" s="50"/>
      <c r="DH191" s="50"/>
      <c r="DI191" s="50"/>
      <c r="DJ191" s="50"/>
      <c r="DK191" s="50"/>
      <c r="DL191" s="50"/>
      <c r="DM191" s="50"/>
      <c r="DN191" s="50"/>
      <c r="DO191" s="50"/>
      <c r="DP191" s="50"/>
      <c r="DQ191" s="50"/>
      <c r="DR191" s="50"/>
      <c r="DS191" s="50"/>
      <c r="DT191" s="50"/>
      <c r="DU191" s="50"/>
      <c r="DV191" s="50"/>
      <c r="DW191" s="50"/>
      <c r="DX191" s="50"/>
      <c r="DY191" s="50"/>
      <c r="DZ191" s="50"/>
      <c r="EA191" s="50"/>
      <c r="EB191" s="50"/>
      <c r="EC191" s="50"/>
      <c r="ED191" s="50"/>
      <c r="EE191" s="50"/>
      <c r="EF191" s="50"/>
      <c r="EG191" s="50"/>
      <c r="EH191" s="50"/>
      <c r="EI191" s="50"/>
      <c r="EJ191" s="50"/>
      <c r="EK191" s="50"/>
      <c r="EL191" s="50"/>
      <c r="EM191" s="50"/>
      <c r="EN191" s="50"/>
      <c r="EO191" s="50"/>
      <c r="EP191" s="50"/>
      <c r="EQ191" s="50"/>
      <c r="ER191" s="50"/>
      <c r="ES191" s="50"/>
      <c r="ET191" s="50"/>
      <c r="EU191" s="50"/>
      <c r="EV191" s="50"/>
    </row>
    <row r="192" spans="2:152" x14ac:dyDescent="0.75">
      <c r="B192" s="26"/>
      <c r="C192" s="27"/>
      <c r="D192" s="27"/>
      <c r="F192" s="26"/>
      <c r="G192" s="27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  <c r="CL192" s="50"/>
      <c r="CM192" s="50"/>
      <c r="CN192" s="50"/>
      <c r="CO192" s="50"/>
      <c r="CP192" s="50"/>
      <c r="CQ192" s="50"/>
      <c r="CR192" s="50"/>
      <c r="CS192" s="50"/>
      <c r="CT192" s="50"/>
      <c r="CU192" s="50"/>
      <c r="CV192" s="50"/>
      <c r="CW192" s="50"/>
      <c r="CX192" s="50"/>
      <c r="CY192" s="50"/>
      <c r="CZ192" s="50"/>
      <c r="DA192" s="50"/>
      <c r="DB192" s="50"/>
      <c r="DC192" s="50"/>
      <c r="DD192" s="50"/>
      <c r="DE192" s="50"/>
      <c r="DF192" s="50"/>
      <c r="DG192" s="50"/>
      <c r="DH192" s="50"/>
      <c r="DI192" s="50"/>
      <c r="DJ192" s="50"/>
      <c r="DK192" s="50"/>
      <c r="DL192" s="50"/>
      <c r="DM192" s="50"/>
      <c r="DN192" s="50"/>
      <c r="DO192" s="50"/>
      <c r="DP192" s="50"/>
      <c r="DQ192" s="50"/>
      <c r="DR192" s="50"/>
      <c r="DS192" s="50"/>
      <c r="DT192" s="50"/>
      <c r="DU192" s="50"/>
      <c r="DV192" s="50"/>
      <c r="DW192" s="50"/>
      <c r="DX192" s="50"/>
      <c r="DY192" s="50"/>
      <c r="DZ192" s="50"/>
      <c r="EA192" s="50"/>
      <c r="EB192" s="50"/>
      <c r="EC192" s="50"/>
      <c r="ED192" s="50"/>
      <c r="EE192" s="50"/>
      <c r="EF192" s="50"/>
      <c r="EG192" s="50"/>
      <c r="EH192" s="50"/>
      <c r="EI192" s="50"/>
      <c r="EJ192" s="50"/>
      <c r="EK192" s="50"/>
      <c r="EL192" s="50"/>
      <c r="EM192" s="50"/>
      <c r="EN192" s="50"/>
      <c r="EO192" s="50"/>
      <c r="EP192" s="50"/>
      <c r="EQ192" s="50"/>
      <c r="ER192" s="50"/>
      <c r="ES192" s="50"/>
      <c r="ET192" s="50"/>
      <c r="EU192" s="50"/>
      <c r="EV192" s="50"/>
    </row>
    <row r="193" spans="2:152" x14ac:dyDescent="0.75">
      <c r="B193" s="26"/>
      <c r="C193" s="27"/>
      <c r="D193" s="27"/>
      <c r="F193" s="26"/>
      <c r="G193" s="27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  <c r="CL193" s="50"/>
      <c r="CM193" s="50"/>
      <c r="CN193" s="50"/>
      <c r="CO193" s="50"/>
      <c r="CP193" s="50"/>
      <c r="CQ193" s="50"/>
      <c r="CR193" s="50"/>
      <c r="CS193" s="50"/>
      <c r="CT193" s="50"/>
      <c r="CU193" s="50"/>
      <c r="CV193" s="50"/>
      <c r="CW193" s="50"/>
      <c r="CX193" s="50"/>
      <c r="CY193" s="50"/>
      <c r="CZ193" s="50"/>
      <c r="DA193" s="50"/>
      <c r="DB193" s="50"/>
      <c r="DC193" s="50"/>
      <c r="DD193" s="50"/>
      <c r="DE193" s="50"/>
      <c r="DF193" s="50"/>
      <c r="DG193" s="50"/>
      <c r="DH193" s="50"/>
      <c r="DI193" s="50"/>
      <c r="DJ193" s="50"/>
      <c r="DK193" s="50"/>
      <c r="DL193" s="50"/>
      <c r="DM193" s="50"/>
      <c r="DN193" s="50"/>
      <c r="DO193" s="50"/>
      <c r="DP193" s="50"/>
      <c r="DQ193" s="50"/>
      <c r="DR193" s="50"/>
      <c r="DS193" s="50"/>
      <c r="DT193" s="50"/>
      <c r="DU193" s="50"/>
      <c r="DV193" s="50"/>
      <c r="DW193" s="50"/>
      <c r="DX193" s="50"/>
      <c r="DY193" s="50"/>
      <c r="DZ193" s="50"/>
      <c r="EA193" s="50"/>
      <c r="EB193" s="50"/>
      <c r="EC193" s="50"/>
      <c r="ED193" s="50"/>
      <c r="EE193" s="50"/>
      <c r="EF193" s="50"/>
      <c r="EG193" s="50"/>
      <c r="EH193" s="50"/>
      <c r="EI193" s="50"/>
      <c r="EJ193" s="50"/>
      <c r="EK193" s="50"/>
      <c r="EL193" s="50"/>
      <c r="EM193" s="50"/>
      <c r="EN193" s="50"/>
      <c r="EO193" s="50"/>
      <c r="EP193" s="50"/>
      <c r="EQ193" s="50"/>
      <c r="ER193" s="50"/>
      <c r="ES193" s="50"/>
      <c r="ET193" s="50"/>
      <c r="EU193" s="50"/>
      <c r="EV193" s="50"/>
    </row>
    <row r="194" spans="2:152" x14ac:dyDescent="0.75">
      <c r="B194" s="26"/>
      <c r="C194" s="27"/>
      <c r="D194" s="27"/>
      <c r="F194" s="26"/>
      <c r="G194" s="27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  <c r="CL194" s="50"/>
      <c r="CM194" s="50"/>
      <c r="CN194" s="50"/>
      <c r="CO194" s="50"/>
      <c r="CP194" s="50"/>
      <c r="CQ194" s="50"/>
      <c r="CR194" s="50"/>
      <c r="CS194" s="50"/>
      <c r="CT194" s="50"/>
      <c r="CU194" s="50"/>
      <c r="CV194" s="50"/>
      <c r="CW194" s="50"/>
      <c r="CX194" s="50"/>
      <c r="CY194" s="50"/>
      <c r="CZ194" s="50"/>
      <c r="DA194" s="50"/>
      <c r="DB194" s="50"/>
      <c r="DC194" s="50"/>
      <c r="DD194" s="50"/>
      <c r="DE194" s="50"/>
      <c r="DF194" s="50"/>
      <c r="DG194" s="50"/>
      <c r="DH194" s="50"/>
      <c r="DI194" s="50"/>
      <c r="DJ194" s="50"/>
      <c r="DK194" s="50"/>
      <c r="DL194" s="50"/>
      <c r="DM194" s="50"/>
      <c r="DN194" s="50"/>
      <c r="DO194" s="50"/>
      <c r="DP194" s="50"/>
      <c r="DQ194" s="50"/>
      <c r="DR194" s="50"/>
      <c r="DS194" s="50"/>
      <c r="DT194" s="50"/>
      <c r="DU194" s="50"/>
      <c r="DV194" s="50"/>
      <c r="DW194" s="50"/>
      <c r="DX194" s="50"/>
      <c r="DY194" s="50"/>
      <c r="DZ194" s="50"/>
      <c r="EA194" s="50"/>
      <c r="EB194" s="50"/>
      <c r="EC194" s="50"/>
      <c r="ED194" s="50"/>
      <c r="EE194" s="50"/>
      <c r="EF194" s="50"/>
      <c r="EG194" s="50"/>
      <c r="EH194" s="50"/>
      <c r="EI194" s="50"/>
      <c r="EJ194" s="50"/>
      <c r="EK194" s="50"/>
      <c r="EL194" s="50"/>
      <c r="EM194" s="50"/>
      <c r="EN194" s="50"/>
      <c r="EO194" s="50"/>
      <c r="EP194" s="50"/>
      <c r="EQ194" s="50"/>
      <c r="ER194" s="50"/>
      <c r="ES194" s="50"/>
      <c r="ET194" s="50"/>
      <c r="EU194" s="50"/>
      <c r="EV194" s="50"/>
    </row>
    <row r="195" spans="2:152" x14ac:dyDescent="0.75">
      <c r="B195" s="26"/>
      <c r="C195" s="27"/>
      <c r="D195" s="27"/>
      <c r="F195" s="26"/>
      <c r="G195" s="27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A195" s="50"/>
      <c r="DB195" s="50"/>
      <c r="DC195" s="50"/>
      <c r="DD195" s="50"/>
      <c r="DE195" s="50"/>
      <c r="DF195" s="50"/>
      <c r="DG195" s="50"/>
      <c r="DH195" s="50"/>
      <c r="DI195" s="50"/>
      <c r="DJ195" s="50"/>
      <c r="DK195" s="50"/>
      <c r="DL195" s="50"/>
      <c r="DM195" s="50"/>
      <c r="DN195" s="50"/>
      <c r="DO195" s="50"/>
      <c r="DP195" s="50"/>
      <c r="DQ195" s="50"/>
      <c r="DR195" s="50"/>
      <c r="DS195" s="50"/>
      <c r="DT195" s="50"/>
      <c r="DU195" s="50"/>
      <c r="DV195" s="50"/>
      <c r="DW195" s="50"/>
      <c r="DX195" s="50"/>
      <c r="DY195" s="50"/>
      <c r="DZ195" s="50"/>
      <c r="EA195" s="50"/>
      <c r="EB195" s="50"/>
      <c r="EC195" s="50"/>
      <c r="ED195" s="50"/>
      <c r="EE195" s="50"/>
      <c r="EF195" s="50"/>
      <c r="EG195" s="50"/>
      <c r="EH195" s="50"/>
      <c r="EI195" s="50"/>
      <c r="EJ195" s="50"/>
      <c r="EK195" s="50"/>
      <c r="EL195" s="50"/>
      <c r="EM195" s="50"/>
      <c r="EN195" s="50"/>
      <c r="EO195" s="50"/>
      <c r="EP195" s="50"/>
      <c r="EQ195" s="50"/>
      <c r="ER195" s="50"/>
      <c r="ES195" s="50"/>
      <c r="ET195" s="50"/>
      <c r="EU195" s="50"/>
      <c r="EV195" s="50"/>
    </row>
    <row r="196" spans="2:152" x14ac:dyDescent="0.75">
      <c r="B196" s="26"/>
      <c r="C196" s="27"/>
      <c r="D196" s="27"/>
      <c r="F196" s="26"/>
      <c r="G196" s="27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  <c r="CL196" s="50"/>
      <c r="CM196" s="50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C196" s="50"/>
      <c r="DD196" s="50"/>
      <c r="DE196" s="50"/>
      <c r="DF196" s="50"/>
      <c r="DG196" s="50"/>
      <c r="DH196" s="50"/>
      <c r="DI196" s="50"/>
      <c r="DJ196" s="50"/>
      <c r="DK196" s="50"/>
      <c r="DL196" s="50"/>
      <c r="DM196" s="50"/>
      <c r="DN196" s="50"/>
      <c r="DO196" s="50"/>
      <c r="DP196" s="50"/>
      <c r="DQ196" s="50"/>
      <c r="DR196" s="50"/>
      <c r="DS196" s="50"/>
      <c r="DT196" s="50"/>
      <c r="DU196" s="50"/>
      <c r="DV196" s="50"/>
      <c r="DW196" s="50"/>
      <c r="DX196" s="50"/>
      <c r="DY196" s="50"/>
      <c r="DZ196" s="50"/>
      <c r="EA196" s="50"/>
      <c r="EB196" s="50"/>
      <c r="EC196" s="50"/>
      <c r="ED196" s="50"/>
      <c r="EE196" s="50"/>
      <c r="EF196" s="50"/>
      <c r="EG196" s="50"/>
      <c r="EH196" s="50"/>
      <c r="EI196" s="50"/>
      <c r="EJ196" s="50"/>
      <c r="EK196" s="50"/>
      <c r="EL196" s="50"/>
      <c r="EM196" s="50"/>
      <c r="EN196" s="50"/>
      <c r="EO196" s="50"/>
      <c r="EP196" s="50"/>
      <c r="EQ196" s="50"/>
      <c r="ER196" s="50"/>
      <c r="ES196" s="50"/>
      <c r="ET196" s="50"/>
      <c r="EU196" s="50"/>
      <c r="EV196" s="50"/>
    </row>
    <row r="197" spans="2:152" x14ac:dyDescent="0.75">
      <c r="B197" s="26"/>
      <c r="C197" s="27"/>
      <c r="D197" s="27"/>
      <c r="F197" s="26"/>
      <c r="G197" s="27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  <c r="CL197" s="50"/>
      <c r="CM197" s="50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50"/>
      <c r="DC197" s="50"/>
      <c r="DD197" s="50"/>
      <c r="DE197" s="50"/>
      <c r="DF197" s="50"/>
      <c r="DG197" s="50"/>
      <c r="DH197" s="50"/>
      <c r="DI197" s="50"/>
      <c r="DJ197" s="50"/>
      <c r="DK197" s="50"/>
      <c r="DL197" s="50"/>
      <c r="DM197" s="50"/>
      <c r="DN197" s="50"/>
      <c r="DO197" s="50"/>
      <c r="DP197" s="50"/>
      <c r="DQ197" s="50"/>
      <c r="DR197" s="50"/>
      <c r="DS197" s="50"/>
      <c r="DT197" s="50"/>
      <c r="DU197" s="50"/>
      <c r="DV197" s="50"/>
      <c r="DW197" s="50"/>
      <c r="DX197" s="50"/>
      <c r="DY197" s="50"/>
      <c r="DZ197" s="50"/>
      <c r="EA197" s="50"/>
      <c r="EB197" s="50"/>
      <c r="EC197" s="50"/>
      <c r="ED197" s="50"/>
      <c r="EE197" s="50"/>
      <c r="EF197" s="50"/>
      <c r="EG197" s="50"/>
      <c r="EH197" s="50"/>
      <c r="EI197" s="50"/>
      <c r="EJ197" s="50"/>
      <c r="EK197" s="50"/>
      <c r="EL197" s="50"/>
      <c r="EM197" s="50"/>
      <c r="EN197" s="50"/>
      <c r="EO197" s="50"/>
      <c r="EP197" s="50"/>
      <c r="EQ197" s="50"/>
      <c r="ER197" s="50"/>
      <c r="ES197" s="50"/>
      <c r="ET197" s="50"/>
      <c r="EU197" s="50"/>
      <c r="EV197" s="50"/>
    </row>
    <row r="198" spans="2:152" x14ac:dyDescent="0.75">
      <c r="B198" s="26"/>
      <c r="C198" s="27"/>
      <c r="D198" s="27"/>
      <c r="F198" s="26"/>
      <c r="G198" s="27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  <c r="CL198" s="50"/>
      <c r="CM198" s="50"/>
      <c r="CN198" s="50"/>
      <c r="CO198" s="50"/>
      <c r="CP198" s="50"/>
      <c r="CQ198" s="50"/>
      <c r="CR198" s="50"/>
      <c r="CS198" s="50"/>
      <c r="CT198" s="50"/>
      <c r="CU198" s="50"/>
      <c r="CV198" s="50"/>
      <c r="CW198" s="50"/>
      <c r="CX198" s="50"/>
      <c r="CY198" s="50"/>
      <c r="CZ198" s="50"/>
      <c r="DA198" s="50"/>
      <c r="DB198" s="50"/>
      <c r="DC198" s="50"/>
      <c r="DD198" s="50"/>
      <c r="DE198" s="50"/>
      <c r="DF198" s="50"/>
      <c r="DG198" s="50"/>
      <c r="DH198" s="50"/>
      <c r="DI198" s="50"/>
      <c r="DJ198" s="50"/>
      <c r="DK198" s="50"/>
      <c r="DL198" s="50"/>
      <c r="DM198" s="50"/>
      <c r="DN198" s="50"/>
      <c r="DO198" s="50"/>
      <c r="DP198" s="50"/>
      <c r="DQ198" s="50"/>
      <c r="DR198" s="50"/>
      <c r="DS198" s="50"/>
      <c r="DT198" s="50"/>
      <c r="DU198" s="50"/>
      <c r="DV198" s="50"/>
      <c r="DW198" s="50"/>
      <c r="DX198" s="50"/>
      <c r="DY198" s="50"/>
      <c r="DZ198" s="50"/>
      <c r="EA198" s="50"/>
      <c r="EB198" s="50"/>
      <c r="EC198" s="50"/>
      <c r="ED198" s="50"/>
      <c r="EE198" s="50"/>
      <c r="EF198" s="50"/>
      <c r="EG198" s="50"/>
      <c r="EH198" s="50"/>
      <c r="EI198" s="50"/>
      <c r="EJ198" s="50"/>
      <c r="EK198" s="50"/>
      <c r="EL198" s="50"/>
      <c r="EM198" s="50"/>
      <c r="EN198" s="50"/>
      <c r="EO198" s="50"/>
      <c r="EP198" s="50"/>
      <c r="EQ198" s="50"/>
      <c r="ER198" s="50"/>
      <c r="ES198" s="50"/>
      <c r="ET198" s="50"/>
      <c r="EU198" s="50"/>
      <c r="EV198" s="50"/>
    </row>
    <row r="199" spans="2:152" x14ac:dyDescent="0.75">
      <c r="B199" s="26"/>
      <c r="C199" s="27"/>
      <c r="D199" s="27"/>
      <c r="F199" s="26"/>
      <c r="G199" s="27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  <c r="CL199" s="50"/>
      <c r="CM199" s="50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C199" s="50"/>
      <c r="DD199" s="50"/>
      <c r="DE199" s="50"/>
      <c r="DF199" s="50"/>
      <c r="DG199" s="50"/>
      <c r="DH199" s="50"/>
      <c r="DI199" s="50"/>
      <c r="DJ199" s="50"/>
      <c r="DK199" s="50"/>
      <c r="DL199" s="50"/>
      <c r="DM199" s="50"/>
      <c r="DN199" s="50"/>
      <c r="DO199" s="50"/>
      <c r="DP199" s="50"/>
      <c r="DQ199" s="50"/>
      <c r="DR199" s="50"/>
      <c r="DS199" s="50"/>
      <c r="DT199" s="50"/>
      <c r="DU199" s="50"/>
      <c r="DV199" s="50"/>
      <c r="DW199" s="50"/>
      <c r="DX199" s="50"/>
      <c r="DY199" s="50"/>
      <c r="DZ199" s="50"/>
      <c r="EA199" s="50"/>
      <c r="EB199" s="50"/>
      <c r="EC199" s="50"/>
      <c r="ED199" s="50"/>
      <c r="EE199" s="50"/>
      <c r="EF199" s="50"/>
      <c r="EG199" s="50"/>
      <c r="EH199" s="50"/>
      <c r="EI199" s="50"/>
      <c r="EJ199" s="50"/>
      <c r="EK199" s="50"/>
      <c r="EL199" s="50"/>
      <c r="EM199" s="50"/>
      <c r="EN199" s="50"/>
      <c r="EO199" s="50"/>
      <c r="EP199" s="50"/>
      <c r="EQ199" s="50"/>
      <c r="ER199" s="50"/>
      <c r="ES199" s="50"/>
      <c r="ET199" s="50"/>
      <c r="EU199" s="50"/>
      <c r="EV199" s="50"/>
    </row>
    <row r="200" spans="2:152" x14ac:dyDescent="0.75">
      <c r="B200" s="26"/>
      <c r="C200" s="27"/>
      <c r="D200" s="27"/>
      <c r="F200" s="26"/>
      <c r="G200" s="27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  <c r="CL200" s="50"/>
      <c r="CM200" s="50"/>
      <c r="CN200" s="50"/>
      <c r="CO200" s="50"/>
      <c r="CP200" s="50"/>
      <c r="CQ200" s="50"/>
      <c r="CR200" s="50"/>
      <c r="CS200" s="50"/>
      <c r="CT200" s="50"/>
      <c r="CU200" s="50"/>
      <c r="CV200" s="50"/>
      <c r="CW200" s="50"/>
      <c r="CX200" s="50"/>
      <c r="CY200" s="50"/>
      <c r="CZ200" s="50"/>
      <c r="DA200" s="50"/>
      <c r="DB200" s="50"/>
      <c r="DC200" s="50"/>
      <c r="DD200" s="50"/>
      <c r="DE200" s="50"/>
      <c r="DF200" s="50"/>
      <c r="DG200" s="50"/>
      <c r="DH200" s="50"/>
      <c r="DI200" s="50"/>
      <c r="DJ200" s="50"/>
      <c r="DK200" s="50"/>
      <c r="DL200" s="50"/>
      <c r="DM200" s="50"/>
      <c r="DN200" s="50"/>
      <c r="DO200" s="50"/>
      <c r="DP200" s="50"/>
      <c r="DQ200" s="50"/>
      <c r="DR200" s="50"/>
      <c r="DS200" s="50"/>
      <c r="DT200" s="50"/>
      <c r="DU200" s="50"/>
      <c r="DV200" s="50"/>
      <c r="DW200" s="50"/>
      <c r="DX200" s="50"/>
      <c r="DY200" s="50"/>
      <c r="DZ200" s="50"/>
      <c r="EA200" s="50"/>
      <c r="EB200" s="50"/>
      <c r="EC200" s="50"/>
      <c r="ED200" s="50"/>
      <c r="EE200" s="50"/>
      <c r="EF200" s="50"/>
      <c r="EG200" s="50"/>
      <c r="EH200" s="50"/>
      <c r="EI200" s="50"/>
      <c r="EJ200" s="50"/>
      <c r="EK200" s="50"/>
      <c r="EL200" s="50"/>
      <c r="EM200" s="50"/>
      <c r="EN200" s="50"/>
      <c r="EO200" s="50"/>
      <c r="EP200" s="50"/>
      <c r="EQ200" s="50"/>
      <c r="ER200" s="50"/>
      <c r="ES200" s="50"/>
      <c r="ET200" s="50"/>
      <c r="EU200" s="50"/>
      <c r="EV200" s="50"/>
    </row>
    <row r="201" spans="2:152" x14ac:dyDescent="0.75">
      <c r="B201" s="26"/>
      <c r="C201" s="27"/>
      <c r="D201" s="27"/>
      <c r="F201" s="26"/>
      <c r="G201" s="27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C201" s="50"/>
      <c r="DD201" s="50"/>
      <c r="DE201" s="50"/>
      <c r="DF201" s="50"/>
      <c r="DG201" s="50"/>
      <c r="DH201" s="50"/>
      <c r="DI201" s="50"/>
      <c r="DJ201" s="50"/>
      <c r="DK201" s="50"/>
      <c r="DL201" s="50"/>
      <c r="DM201" s="50"/>
      <c r="DN201" s="50"/>
      <c r="DO201" s="50"/>
      <c r="DP201" s="50"/>
      <c r="DQ201" s="50"/>
      <c r="DR201" s="50"/>
      <c r="DS201" s="50"/>
      <c r="DT201" s="50"/>
      <c r="DU201" s="50"/>
      <c r="DV201" s="50"/>
      <c r="DW201" s="50"/>
      <c r="DX201" s="50"/>
      <c r="DY201" s="50"/>
      <c r="DZ201" s="50"/>
      <c r="EA201" s="50"/>
      <c r="EB201" s="50"/>
      <c r="EC201" s="50"/>
      <c r="ED201" s="50"/>
      <c r="EE201" s="50"/>
      <c r="EF201" s="50"/>
      <c r="EG201" s="50"/>
      <c r="EH201" s="50"/>
      <c r="EI201" s="50"/>
      <c r="EJ201" s="50"/>
      <c r="EK201" s="50"/>
      <c r="EL201" s="50"/>
      <c r="EM201" s="50"/>
      <c r="EN201" s="50"/>
      <c r="EO201" s="50"/>
      <c r="EP201" s="50"/>
      <c r="EQ201" s="50"/>
      <c r="ER201" s="50"/>
      <c r="ES201" s="50"/>
      <c r="ET201" s="50"/>
      <c r="EU201" s="50"/>
      <c r="EV201" s="50"/>
    </row>
    <row r="202" spans="2:152" x14ac:dyDescent="0.75">
      <c r="B202" s="26"/>
      <c r="C202" s="27"/>
      <c r="D202" s="27"/>
      <c r="F202" s="26"/>
      <c r="G202" s="27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50"/>
      <c r="CH202" s="50"/>
      <c r="CI202" s="50"/>
      <c r="CJ202" s="50"/>
      <c r="CK202" s="50"/>
      <c r="CL202" s="50"/>
      <c r="CM202" s="50"/>
      <c r="CN202" s="50"/>
      <c r="CO202" s="50"/>
      <c r="CP202" s="50"/>
      <c r="CQ202" s="50"/>
      <c r="CR202" s="50"/>
      <c r="CS202" s="50"/>
      <c r="CT202" s="50"/>
      <c r="CU202" s="50"/>
      <c r="CV202" s="50"/>
      <c r="CW202" s="50"/>
      <c r="CX202" s="50"/>
      <c r="CY202" s="50"/>
      <c r="CZ202" s="50"/>
      <c r="DA202" s="50"/>
      <c r="DB202" s="50"/>
      <c r="DC202" s="50"/>
      <c r="DD202" s="50"/>
      <c r="DE202" s="50"/>
      <c r="DF202" s="50"/>
      <c r="DG202" s="50"/>
      <c r="DH202" s="50"/>
      <c r="DI202" s="50"/>
      <c r="DJ202" s="50"/>
      <c r="DK202" s="50"/>
      <c r="DL202" s="50"/>
      <c r="DM202" s="50"/>
      <c r="DN202" s="50"/>
      <c r="DO202" s="50"/>
      <c r="DP202" s="50"/>
      <c r="DQ202" s="50"/>
      <c r="DR202" s="50"/>
      <c r="DS202" s="50"/>
      <c r="DT202" s="50"/>
      <c r="DU202" s="50"/>
      <c r="DV202" s="50"/>
      <c r="DW202" s="50"/>
      <c r="DX202" s="50"/>
      <c r="DY202" s="50"/>
      <c r="DZ202" s="50"/>
      <c r="EA202" s="50"/>
      <c r="EB202" s="50"/>
      <c r="EC202" s="50"/>
      <c r="ED202" s="50"/>
      <c r="EE202" s="50"/>
      <c r="EF202" s="50"/>
      <c r="EG202" s="50"/>
      <c r="EH202" s="50"/>
      <c r="EI202" s="50"/>
      <c r="EJ202" s="50"/>
      <c r="EK202" s="50"/>
      <c r="EL202" s="50"/>
      <c r="EM202" s="50"/>
      <c r="EN202" s="50"/>
      <c r="EO202" s="50"/>
      <c r="EP202" s="50"/>
      <c r="EQ202" s="50"/>
      <c r="ER202" s="50"/>
      <c r="ES202" s="50"/>
      <c r="ET202" s="50"/>
      <c r="EU202" s="50"/>
      <c r="EV202" s="50"/>
    </row>
    <row r="203" spans="2:152" x14ac:dyDescent="0.75">
      <c r="B203" s="26"/>
      <c r="C203" s="27"/>
      <c r="D203" s="27"/>
      <c r="F203" s="26"/>
      <c r="G203" s="27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50"/>
      <c r="CH203" s="50"/>
      <c r="CI203" s="50"/>
      <c r="CJ203" s="50"/>
      <c r="CK203" s="50"/>
      <c r="CL203" s="50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C203" s="50"/>
      <c r="DD203" s="50"/>
      <c r="DE203" s="50"/>
      <c r="DF203" s="50"/>
      <c r="DG203" s="50"/>
      <c r="DH203" s="50"/>
      <c r="DI203" s="50"/>
      <c r="DJ203" s="50"/>
      <c r="DK203" s="50"/>
      <c r="DL203" s="50"/>
      <c r="DM203" s="50"/>
      <c r="DN203" s="50"/>
      <c r="DO203" s="50"/>
      <c r="DP203" s="50"/>
      <c r="DQ203" s="50"/>
      <c r="DR203" s="50"/>
      <c r="DS203" s="50"/>
      <c r="DT203" s="50"/>
      <c r="DU203" s="50"/>
      <c r="DV203" s="50"/>
      <c r="DW203" s="50"/>
      <c r="DX203" s="50"/>
      <c r="DY203" s="50"/>
      <c r="DZ203" s="50"/>
      <c r="EA203" s="50"/>
      <c r="EB203" s="50"/>
      <c r="EC203" s="50"/>
      <c r="ED203" s="50"/>
      <c r="EE203" s="50"/>
      <c r="EF203" s="50"/>
      <c r="EG203" s="50"/>
      <c r="EH203" s="50"/>
      <c r="EI203" s="50"/>
      <c r="EJ203" s="50"/>
      <c r="EK203" s="50"/>
      <c r="EL203" s="50"/>
      <c r="EM203" s="50"/>
      <c r="EN203" s="50"/>
      <c r="EO203" s="50"/>
      <c r="EP203" s="50"/>
      <c r="EQ203" s="50"/>
      <c r="ER203" s="50"/>
      <c r="ES203" s="50"/>
      <c r="ET203" s="50"/>
      <c r="EU203" s="50"/>
      <c r="EV203" s="50"/>
    </row>
    <row r="204" spans="2:152" x14ac:dyDescent="0.75">
      <c r="B204" s="26"/>
      <c r="C204" s="27"/>
      <c r="D204" s="27"/>
      <c r="F204" s="26"/>
      <c r="G204" s="27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  <c r="CB204" s="50"/>
      <c r="CC204" s="50"/>
      <c r="CD204" s="50"/>
      <c r="CE204" s="50"/>
      <c r="CF204" s="50"/>
      <c r="CG204" s="50"/>
      <c r="CH204" s="50"/>
      <c r="CI204" s="50"/>
      <c r="CJ204" s="50"/>
      <c r="CK204" s="50"/>
      <c r="CL204" s="50"/>
      <c r="CM204" s="50"/>
      <c r="CN204" s="50"/>
      <c r="CO204" s="50"/>
      <c r="CP204" s="50"/>
      <c r="CQ204" s="50"/>
      <c r="CR204" s="50"/>
      <c r="CS204" s="50"/>
      <c r="CT204" s="50"/>
      <c r="CU204" s="50"/>
      <c r="CV204" s="50"/>
      <c r="CW204" s="50"/>
      <c r="CX204" s="50"/>
      <c r="CY204" s="50"/>
      <c r="CZ204" s="50"/>
      <c r="DA204" s="50"/>
      <c r="DB204" s="50"/>
      <c r="DC204" s="50"/>
      <c r="DD204" s="50"/>
      <c r="DE204" s="50"/>
      <c r="DF204" s="50"/>
      <c r="DG204" s="50"/>
      <c r="DH204" s="50"/>
      <c r="DI204" s="50"/>
      <c r="DJ204" s="50"/>
      <c r="DK204" s="50"/>
      <c r="DL204" s="50"/>
      <c r="DM204" s="50"/>
      <c r="DN204" s="50"/>
      <c r="DO204" s="50"/>
      <c r="DP204" s="50"/>
      <c r="DQ204" s="50"/>
      <c r="DR204" s="50"/>
      <c r="DS204" s="50"/>
      <c r="DT204" s="50"/>
      <c r="DU204" s="50"/>
      <c r="DV204" s="50"/>
      <c r="DW204" s="50"/>
      <c r="DX204" s="50"/>
      <c r="DY204" s="50"/>
      <c r="DZ204" s="50"/>
      <c r="EA204" s="50"/>
      <c r="EB204" s="50"/>
      <c r="EC204" s="50"/>
      <c r="ED204" s="50"/>
      <c r="EE204" s="50"/>
      <c r="EF204" s="50"/>
      <c r="EG204" s="50"/>
      <c r="EH204" s="50"/>
      <c r="EI204" s="50"/>
      <c r="EJ204" s="50"/>
      <c r="EK204" s="50"/>
      <c r="EL204" s="50"/>
      <c r="EM204" s="50"/>
      <c r="EN204" s="50"/>
      <c r="EO204" s="50"/>
      <c r="EP204" s="50"/>
      <c r="EQ204" s="50"/>
      <c r="ER204" s="50"/>
      <c r="ES204" s="50"/>
      <c r="ET204" s="50"/>
      <c r="EU204" s="50"/>
      <c r="EV204" s="50"/>
    </row>
    <row r="205" spans="2:152" x14ac:dyDescent="0.75">
      <c r="B205" s="26"/>
      <c r="C205" s="27"/>
      <c r="D205" s="27"/>
      <c r="F205" s="26"/>
      <c r="G205" s="27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/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50"/>
      <c r="CH205" s="50"/>
      <c r="CI205" s="50"/>
      <c r="CJ205" s="50"/>
      <c r="CK205" s="50"/>
      <c r="CL205" s="50"/>
      <c r="CM205" s="50"/>
      <c r="CN205" s="50"/>
      <c r="CO205" s="50"/>
      <c r="CP205" s="50"/>
      <c r="CQ205" s="50"/>
      <c r="CR205" s="50"/>
      <c r="CS205" s="50"/>
      <c r="CT205" s="50"/>
      <c r="CU205" s="50"/>
      <c r="CV205" s="50"/>
      <c r="CW205" s="50"/>
      <c r="CX205" s="50"/>
      <c r="CY205" s="50"/>
      <c r="CZ205" s="50"/>
      <c r="DA205" s="50"/>
      <c r="DB205" s="50"/>
      <c r="DC205" s="50"/>
      <c r="DD205" s="50"/>
      <c r="DE205" s="50"/>
      <c r="DF205" s="50"/>
      <c r="DG205" s="50"/>
      <c r="DH205" s="50"/>
      <c r="DI205" s="50"/>
      <c r="DJ205" s="50"/>
      <c r="DK205" s="50"/>
      <c r="DL205" s="50"/>
      <c r="DM205" s="50"/>
      <c r="DN205" s="50"/>
      <c r="DO205" s="50"/>
      <c r="DP205" s="50"/>
      <c r="DQ205" s="50"/>
      <c r="DR205" s="50"/>
      <c r="DS205" s="50"/>
      <c r="DT205" s="50"/>
      <c r="DU205" s="50"/>
      <c r="DV205" s="50"/>
      <c r="DW205" s="50"/>
      <c r="DX205" s="50"/>
      <c r="DY205" s="50"/>
      <c r="DZ205" s="50"/>
      <c r="EA205" s="50"/>
      <c r="EB205" s="50"/>
      <c r="EC205" s="50"/>
      <c r="ED205" s="50"/>
      <c r="EE205" s="50"/>
      <c r="EF205" s="50"/>
      <c r="EG205" s="50"/>
      <c r="EH205" s="50"/>
      <c r="EI205" s="50"/>
      <c r="EJ205" s="50"/>
      <c r="EK205" s="50"/>
      <c r="EL205" s="50"/>
      <c r="EM205" s="50"/>
      <c r="EN205" s="50"/>
      <c r="EO205" s="50"/>
      <c r="EP205" s="50"/>
      <c r="EQ205" s="50"/>
      <c r="ER205" s="50"/>
      <c r="ES205" s="50"/>
      <c r="ET205" s="50"/>
      <c r="EU205" s="50"/>
      <c r="EV205" s="50"/>
    </row>
    <row r="206" spans="2:152" x14ac:dyDescent="0.75">
      <c r="B206" s="26"/>
      <c r="C206" s="27"/>
      <c r="D206" s="27"/>
      <c r="F206" s="26"/>
      <c r="G206" s="27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/>
      <c r="BR206" s="50"/>
      <c r="BS206" s="50"/>
      <c r="BT206" s="50"/>
      <c r="BU206" s="50"/>
      <c r="BV206" s="50"/>
      <c r="BW206" s="50"/>
      <c r="BX206" s="50"/>
      <c r="BY206" s="50"/>
      <c r="BZ206" s="50"/>
      <c r="CA206" s="50"/>
      <c r="CB206" s="50"/>
      <c r="CC206" s="50"/>
      <c r="CD206" s="50"/>
      <c r="CE206" s="50"/>
      <c r="CF206" s="50"/>
      <c r="CG206" s="50"/>
      <c r="CH206" s="50"/>
      <c r="CI206" s="50"/>
      <c r="CJ206" s="50"/>
      <c r="CK206" s="50"/>
      <c r="CL206" s="50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C206" s="50"/>
      <c r="DD206" s="50"/>
      <c r="DE206" s="50"/>
      <c r="DF206" s="50"/>
      <c r="DG206" s="50"/>
      <c r="DH206" s="50"/>
      <c r="DI206" s="50"/>
      <c r="DJ206" s="50"/>
      <c r="DK206" s="50"/>
      <c r="DL206" s="50"/>
      <c r="DM206" s="50"/>
      <c r="DN206" s="50"/>
      <c r="DO206" s="50"/>
      <c r="DP206" s="50"/>
      <c r="DQ206" s="50"/>
      <c r="DR206" s="50"/>
      <c r="DS206" s="50"/>
      <c r="DT206" s="50"/>
      <c r="DU206" s="50"/>
      <c r="DV206" s="50"/>
      <c r="DW206" s="50"/>
      <c r="DX206" s="50"/>
      <c r="DY206" s="50"/>
      <c r="DZ206" s="50"/>
      <c r="EA206" s="50"/>
      <c r="EB206" s="50"/>
      <c r="EC206" s="50"/>
      <c r="ED206" s="50"/>
      <c r="EE206" s="50"/>
      <c r="EF206" s="50"/>
      <c r="EG206" s="50"/>
      <c r="EH206" s="50"/>
      <c r="EI206" s="50"/>
      <c r="EJ206" s="50"/>
      <c r="EK206" s="50"/>
      <c r="EL206" s="50"/>
      <c r="EM206" s="50"/>
      <c r="EN206" s="50"/>
      <c r="EO206" s="50"/>
      <c r="EP206" s="50"/>
      <c r="EQ206" s="50"/>
      <c r="ER206" s="50"/>
      <c r="ES206" s="50"/>
      <c r="ET206" s="50"/>
      <c r="EU206" s="50"/>
      <c r="EV206" s="50"/>
    </row>
    <row r="207" spans="2:152" x14ac:dyDescent="0.75">
      <c r="B207" s="26"/>
      <c r="C207" s="27"/>
      <c r="D207" s="27"/>
      <c r="F207" s="26"/>
      <c r="G207" s="27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50"/>
      <c r="BS207" s="50"/>
      <c r="BT207" s="50"/>
      <c r="BU207" s="50"/>
      <c r="BV207" s="50"/>
      <c r="BW207" s="50"/>
      <c r="BX207" s="50"/>
      <c r="BY207" s="50"/>
      <c r="BZ207" s="50"/>
      <c r="CA207" s="50"/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  <c r="CL207" s="50"/>
      <c r="CM207" s="50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C207" s="50"/>
      <c r="DD207" s="50"/>
      <c r="DE207" s="50"/>
      <c r="DF207" s="50"/>
      <c r="DG207" s="50"/>
      <c r="DH207" s="50"/>
      <c r="DI207" s="50"/>
      <c r="DJ207" s="50"/>
      <c r="DK207" s="50"/>
      <c r="DL207" s="50"/>
      <c r="DM207" s="50"/>
      <c r="DN207" s="50"/>
      <c r="DO207" s="50"/>
      <c r="DP207" s="50"/>
      <c r="DQ207" s="50"/>
      <c r="DR207" s="50"/>
      <c r="DS207" s="50"/>
      <c r="DT207" s="50"/>
      <c r="DU207" s="50"/>
      <c r="DV207" s="50"/>
      <c r="DW207" s="50"/>
      <c r="DX207" s="50"/>
      <c r="DY207" s="50"/>
      <c r="DZ207" s="50"/>
      <c r="EA207" s="50"/>
      <c r="EB207" s="50"/>
      <c r="EC207" s="50"/>
      <c r="ED207" s="50"/>
      <c r="EE207" s="50"/>
      <c r="EF207" s="50"/>
      <c r="EG207" s="50"/>
      <c r="EH207" s="50"/>
      <c r="EI207" s="50"/>
      <c r="EJ207" s="50"/>
      <c r="EK207" s="50"/>
      <c r="EL207" s="50"/>
      <c r="EM207" s="50"/>
      <c r="EN207" s="50"/>
      <c r="EO207" s="50"/>
      <c r="EP207" s="50"/>
      <c r="EQ207" s="50"/>
      <c r="ER207" s="50"/>
      <c r="ES207" s="50"/>
      <c r="ET207" s="50"/>
      <c r="EU207" s="50"/>
      <c r="EV207" s="50"/>
    </row>
    <row r="208" spans="2:152" x14ac:dyDescent="0.75">
      <c r="B208" s="26"/>
      <c r="C208" s="27"/>
      <c r="D208" s="27"/>
      <c r="F208" s="26"/>
      <c r="G208" s="27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50"/>
      <c r="BS208" s="50"/>
      <c r="BT208" s="50"/>
      <c r="BU208" s="50"/>
      <c r="BV208" s="50"/>
      <c r="BW208" s="50"/>
      <c r="BX208" s="50"/>
      <c r="BY208" s="50"/>
      <c r="BZ208" s="50"/>
      <c r="CA208" s="50"/>
      <c r="CB208" s="50"/>
      <c r="CC208" s="50"/>
      <c r="CD208" s="50"/>
      <c r="CE208" s="50"/>
      <c r="CF208" s="50"/>
      <c r="CG208" s="50"/>
      <c r="CH208" s="50"/>
      <c r="CI208" s="50"/>
      <c r="CJ208" s="50"/>
      <c r="CK208" s="50"/>
      <c r="CL208" s="50"/>
      <c r="CM208" s="50"/>
      <c r="CN208" s="50"/>
      <c r="CO208" s="50"/>
      <c r="CP208" s="50"/>
      <c r="CQ208" s="50"/>
      <c r="CR208" s="50"/>
      <c r="CS208" s="50"/>
      <c r="CT208" s="50"/>
      <c r="CU208" s="50"/>
      <c r="CV208" s="50"/>
      <c r="CW208" s="50"/>
      <c r="CX208" s="50"/>
      <c r="CY208" s="50"/>
      <c r="CZ208" s="50"/>
      <c r="DA208" s="50"/>
      <c r="DB208" s="50"/>
      <c r="DC208" s="50"/>
      <c r="DD208" s="50"/>
      <c r="DE208" s="50"/>
      <c r="DF208" s="50"/>
      <c r="DG208" s="50"/>
      <c r="DH208" s="50"/>
      <c r="DI208" s="50"/>
      <c r="DJ208" s="50"/>
      <c r="DK208" s="50"/>
      <c r="DL208" s="50"/>
      <c r="DM208" s="50"/>
      <c r="DN208" s="50"/>
      <c r="DO208" s="50"/>
      <c r="DP208" s="50"/>
      <c r="DQ208" s="50"/>
      <c r="DR208" s="50"/>
      <c r="DS208" s="50"/>
      <c r="DT208" s="50"/>
      <c r="DU208" s="50"/>
      <c r="DV208" s="50"/>
      <c r="DW208" s="50"/>
      <c r="DX208" s="50"/>
      <c r="DY208" s="50"/>
      <c r="DZ208" s="50"/>
      <c r="EA208" s="50"/>
      <c r="EB208" s="50"/>
      <c r="EC208" s="50"/>
      <c r="ED208" s="50"/>
      <c r="EE208" s="50"/>
      <c r="EF208" s="50"/>
      <c r="EG208" s="50"/>
      <c r="EH208" s="50"/>
      <c r="EI208" s="50"/>
      <c r="EJ208" s="50"/>
      <c r="EK208" s="50"/>
      <c r="EL208" s="50"/>
      <c r="EM208" s="50"/>
      <c r="EN208" s="50"/>
      <c r="EO208" s="50"/>
      <c r="EP208" s="50"/>
      <c r="EQ208" s="50"/>
      <c r="ER208" s="50"/>
      <c r="ES208" s="50"/>
      <c r="ET208" s="50"/>
      <c r="EU208" s="50"/>
      <c r="EV208" s="50"/>
    </row>
    <row r="209" spans="2:152" x14ac:dyDescent="0.75">
      <c r="B209" s="26"/>
      <c r="C209" s="27"/>
      <c r="D209" s="27"/>
      <c r="F209" s="26"/>
      <c r="G209" s="27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50"/>
      <c r="CH209" s="50"/>
      <c r="CI209" s="50"/>
      <c r="CJ209" s="50"/>
      <c r="CK209" s="50"/>
      <c r="CL209" s="50"/>
      <c r="CM209" s="50"/>
      <c r="CN209" s="50"/>
      <c r="CO209" s="50"/>
      <c r="CP209" s="50"/>
      <c r="CQ209" s="50"/>
      <c r="CR209" s="50"/>
      <c r="CS209" s="50"/>
      <c r="CT209" s="50"/>
      <c r="CU209" s="50"/>
      <c r="CV209" s="50"/>
      <c r="CW209" s="50"/>
      <c r="CX209" s="50"/>
      <c r="CY209" s="50"/>
      <c r="CZ209" s="50"/>
      <c r="DA209" s="50"/>
      <c r="DB209" s="50"/>
      <c r="DC209" s="50"/>
      <c r="DD209" s="50"/>
      <c r="DE209" s="50"/>
      <c r="DF209" s="50"/>
      <c r="DG209" s="50"/>
      <c r="DH209" s="50"/>
      <c r="DI209" s="50"/>
      <c r="DJ209" s="50"/>
      <c r="DK209" s="50"/>
      <c r="DL209" s="50"/>
      <c r="DM209" s="50"/>
      <c r="DN209" s="50"/>
      <c r="DO209" s="50"/>
      <c r="DP209" s="50"/>
      <c r="DQ209" s="50"/>
      <c r="DR209" s="50"/>
      <c r="DS209" s="50"/>
      <c r="DT209" s="50"/>
      <c r="DU209" s="50"/>
      <c r="DV209" s="50"/>
      <c r="DW209" s="50"/>
      <c r="DX209" s="50"/>
      <c r="DY209" s="50"/>
      <c r="DZ209" s="50"/>
      <c r="EA209" s="50"/>
      <c r="EB209" s="50"/>
      <c r="EC209" s="50"/>
      <c r="ED209" s="50"/>
      <c r="EE209" s="50"/>
      <c r="EF209" s="50"/>
      <c r="EG209" s="50"/>
      <c r="EH209" s="50"/>
      <c r="EI209" s="50"/>
      <c r="EJ209" s="50"/>
      <c r="EK209" s="50"/>
      <c r="EL209" s="50"/>
      <c r="EM209" s="50"/>
      <c r="EN209" s="50"/>
      <c r="EO209" s="50"/>
      <c r="EP209" s="50"/>
      <c r="EQ209" s="50"/>
      <c r="ER209" s="50"/>
      <c r="ES209" s="50"/>
      <c r="ET209" s="50"/>
      <c r="EU209" s="50"/>
      <c r="EV209" s="50"/>
    </row>
    <row r="210" spans="2:152" x14ac:dyDescent="0.75">
      <c r="B210" s="26"/>
      <c r="C210" s="27"/>
      <c r="D210" s="27"/>
      <c r="F210" s="26"/>
      <c r="G210" s="27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/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50"/>
      <c r="CH210" s="50"/>
      <c r="CI210" s="50"/>
      <c r="CJ210" s="50"/>
      <c r="CK210" s="50"/>
      <c r="CL210" s="50"/>
      <c r="CM210" s="50"/>
      <c r="CN210" s="50"/>
      <c r="CO210" s="50"/>
      <c r="CP210" s="50"/>
      <c r="CQ210" s="50"/>
      <c r="CR210" s="50"/>
      <c r="CS210" s="50"/>
      <c r="CT210" s="50"/>
      <c r="CU210" s="50"/>
      <c r="CV210" s="50"/>
      <c r="CW210" s="50"/>
      <c r="CX210" s="50"/>
      <c r="CY210" s="50"/>
      <c r="CZ210" s="50"/>
      <c r="DA210" s="50"/>
      <c r="DB210" s="50"/>
      <c r="DC210" s="50"/>
      <c r="DD210" s="50"/>
      <c r="DE210" s="50"/>
      <c r="DF210" s="50"/>
      <c r="DG210" s="50"/>
      <c r="DH210" s="50"/>
      <c r="DI210" s="50"/>
      <c r="DJ210" s="50"/>
      <c r="DK210" s="50"/>
      <c r="DL210" s="50"/>
      <c r="DM210" s="50"/>
      <c r="DN210" s="50"/>
      <c r="DO210" s="50"/>
      <c r="DP210" s="50"/>
      <c r="DQ210" s="50"/>
      <c r="DR210" s="50"/>
      <c r="DS210" s="50"/>
      <c r="DT210" s="50"/>
      <c r="DU210" s="50"/>
      <c r="DV210" s="50"/>
      <c r="DW210" s="50"/>
      <c r="DX210" s="50"/>
      <c r="DY210" s="50"/>
      <c r="DZ210" s="50"/>
      <c r="EA210" s="50"/>
      <c r="EB210" s="50"/>
      <c r="EC210" s="50"/>
      <c r="ED210" s="50"/>
      <c r="EE210" s="50"/>
      <c r="EF210" s="50"/>
      <c r="EG210" s="50"/>
      <c r="EH210" s="50"/>
      <c r="EI210" s="50"/>
      <c r="EJ210" s="50"/>
      <c r="EK210" s="50"/>
      <c r="EL210" s="50"/>
      <c r="EM210" s="50"/>
      <c r="EN210" s="50"/>
      <c r="EO210" s="50"/>
      <c r="EP210" s="50"/>
      <c r="EQ210" s="50"/>
      <c r="ER210" s="50"/>
      <c r="ES210" s="50"/>
      <c r="ET210" s="50"/>
      <c r="EU210" s="50"/>
      <c r="EV210" s="50"/>
    </row>
    <row r="211" spans="2:152" x14ac:dyDescent="0.75">
      <c r="B211" s="26"/>
      <c r="C211" s="27"/>
      <c r="D211" s="27"/>
      <c r="F211" s="26"/>
      <c r="G211" s="27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C211" s="50"/>
      <c r="DD211" s="50"/>
      <c r="DE211" s="50"/>
      <c r="DF211" s="50"/>
      <c r="DG211" s="50"/>
      <c r="DH211" s="50"/>
      <c r="DI211" s="50"/>
      <c r="DJ211" s="50"/>
      <c r="DK211" s="50"/>
      <c r="DL211" s="50"/>
      <c r="DM211" s="50"/>
      <c r="DN211" s="50"/>
      <c r="DO211" s="50"/>
      <c r="DP211" s="50"/>
      <c r="DQ211" s="50"/>
      <c r="DR211" s="50"/>
      <c r="DS211" s="50"/>
      <c r="DT211" s="50"/>
      <c r="DU211" s="50"/>
      <c r="DV211" s="50"/>
      <c r="DW211" s="50"/>
      <c r="DX211" s="50"/>
      <c r="DY211" s="50"/>
      <c r="DZ211" s="50"/>
      <c r="EA211" s="50"/>
      <c r="EB211" s="50"/>
      <c r="EC211" s="50"/>
      <c r="ED211" s="50"/>
      <c r="EE211" s="50"/>
      <c r="EF211" s="50"/>
      <c r="EG211" s="50"/>
      <c r="EH211" s="50"/>
      <c r="EI211" s="50"/>
      <c r="EJ211" s="50"/>
      <c r="EK211" s="50"/>
      <c r="EL211" s="50"/>
      <c r="EM211" s="50"/>
      <c r="EN211" s="50"/>
      <c r="EO211" s="50"/>
      <c r="EP211" s="50"/>
      <c r="EQ211" s="50"/>
      <c r="ER211" s="50"/>
      <c r="ES211" s="50"/>
      <c r="ET211" s="50"/>
      <c r="EU211" s="50"/>
      <c r="EV211" s="50"/>
    </row>
    <row r="212" spans="2:152" x14ac:dyDescent="0.75">
      <c r="B212" s="26"/>
      <c r="C212" s="27"/>
      <c r="D212" s="27"/>
      <c r="F212" s="26"/>
      <c r="G212" s="27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/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50"/>
      <c r="CH212" s="50"/>
      <c r="CI212" s="50"/>
      <c r="CJ212" s="50"/>
      <c r="CK212" s="50"/>
      <c r="CL212" s="50"/>
      <c r="CM212" s="50"/>
      <c r="CN212" s="50"/>
      <c r="CO212" s="50"/>
      <c r="CP212" s="50"/>
      <c r="CQ212" s="50"/>
      <c r="CR212" s="50"/>
      <c r="CS212" s="50"/>
      <c r="CT212" s="50"/>
      <c r="CU212" s="50"/>
      <c r="CV212" s="50"/>
      <c r="CW212" s="50"/>
      <c r="CX212" s="50"/>
      <c r="CY212" s="50"/>
      <c r="CZ212" s="50"/>
      <c r="DA212" s="50"/>
      <c r="DB212" s="50"/>
      <c r="DC212" s="50"/>
      <c r="DD212" s="50"/>
      <c r="DE212" s="50"/>
      <c r="DF212" s="50"/>
      <c r="DG212" s="50"/>
      <c r="DH212" s="50"/>
      <c r="DI212" s="50"/>
      <c r="DJ212" s="50"/>
      <c r="DK212" s="50"/>
      <c r="DL212" s="50"/>
      <c r="DM212" s="50"/>
      <c r="DN212" s="50"/>
      <c r="DO212" s="50"/>
      <c r="DP212" s="50"/>
      <c r="DQ212" s="50"/>
      <c r="DR212" s="50"/>
      <c r="DS212" s="50"/>
      <c r="DT212" s="50"/>
      <c r="DU212" s="50"/>
      <c r="DV212" s="50"/>
      <c r="DW212" s="50"/>
      <c r="DX212" s="50"/>
      <c r="DY212" s="50"/>
      <c r="DZ212" s="50"/>
      <c r="EA212" s="50"/>
      <c r="EB212" s="50"/>
      <c r="EC212" s="50"/>
      <c r="ED212" s="50"/>
      <c r="EE212" s="50"/>
      <c r="EF212" s="50"/>
      <c r="EG212" s="50"/>
      <c r="EH212" s="50"/>
      <c r="EI212" s="50"/>
      <c r="EJ212" s="50"/>
      <c r="EK212" s="50"/>
      <c r="EL212" s="50"/>
      <c r="EM212" s="50"/>
      <c r="EN212" s="50"/>
      <c r="EO212" s="50"/>
      <c r="EP212" s="50"/>
      <c r="EQ212" s="50"/>
      <c r="ER212" s="50"/>
      <c r="ES212" s="50"/>
      <c r="ET212" s="50"/>
      <c r="EU212" s="50"/>
      <c r="EV212" s="50"/>
    </row>
    <row r="213" spans="2:152" x14ac:dyDescent="0.75">
      <c r="B213" s="26"/>
      <c r="C213" s="27"/>
      <c r="D213" s="27"/>
      <c r="F213" s="26"/>
      <c r="G213" s="27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  <c r="CL213" s="50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C213" s="50"/>
      <c r="DD213" s="50"/>
      <c r="DE213" s="50"/>
      <c r="DF213" s="50"/>
      <c r="DG213" s="50"/>
      <c r="DH213" s="50"/>
      <c r="DI213" s="50"/>
      <c r="DJ213" s="50"/>
      <c r="DK213" s="50"/>
      <c r="DL213" s="50"/>
      <c r="DM213" s="50"/>
      <c r="DN213" s="50"/>
      <c r="DO213" s="50"/>
      <c r="DP213" s="50"/>
      <c r="DQ213" s="50"/>
      <c r="DR213" s="50"/>
      <c r="DS213" s="50"/>
      <c r="DT213" s="50"/>
      <c r="DU213" s="50"/>
      <c r="DV213" s="50"/>
      <c r="DW213" s="50"/>
      <c r="DX213" s="50"/>
      <c r="DY213" s="50"/>
      <c r="DZ213" s="50"/>
      <c r="EA213" s="50"/>
      <c r="EB213" s="50"/>
      <c r="EC213" s="50"/>
      <c r="ED213" s="50"/>
      <c r="EE213" s="50"/>
      <c r="EF213" s="50"/>
      <c r="EG213" s="50"/>
      <c r="EH213" s="50"/>
      <c r="EI213" s="50"/>
      <c r="EJ213" s="50"/>
      <c r="EK213" s="50"/>
      <c r="EL213" s="50"/>
      <c r="EM213" s="50"/>
      <c r="EN213" s="50"/>
      <c r="EO213" s="50"/>
      <c r="EP213" s="50"/>
      <c r="EQ213" s="50"/>
      <c r="ER213" s="50"/>
      <c r="ES213" s="50"/>
      <c r="ET213" s="50"/>
      <c r="EU213" s="50"/>
      <c r="EV213" s="50"/>
    </row>
    <row r="214" spans="2:152" x14ac:dyDescent="0.75">
      <c r="B214" s="26"/>
      <c r="C214" s="27"/>
      <c r="D214" s="27"/>
      <c r="F214" s="26"/>
      <c r="G214" s="27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50"/>
      <c r="CH214" s="50"/>
      <c r="CI214" s="50"/>
      <c r="CJ214" s="50"/>
      <c r="CK214" s="50"/>
      <c r="CL214" s="50"/>
      <c r="CM214" s="50"/>
      <c r="CN214" s="50"/>
      <c r="CO214" s="50"/>
      <c r="CP214" s="50"/>
      <c r="CQ214" s="50"/>
      <c r="CR214" s="50"/>
      <c r="CS214" s="50"/>
      <c r="CT214" s="50"/>
      <c r="CU214" s="50"/>
      <c r="CV214" s="50"/>
      <c r="CW214" s="50"/>
      <c r="CX214" s="50"/>
      <c r="CY214" s="50"/>
      <c r="CZ214" s="50"/>
      <c r="DA214" s="50"/>
      <c r="DB214" s="50"/>
      <c r="DC214" s="50"/>
      <c r="DD214" s="50"/>
      <c r="DE214" s="50"/>
      <c r="DF214" s="50"/>
      <c r="DG214" s="50"/>
      <c r="DH214" s="50"/>
      <c r="DI214" s="50"/>
      <c r="DJ214" s="50"/>
      <c r="DK214" s="50"/>
      <c r="DL214" s="50"/>
      <c r="DM214" s="50"/>
      <c r="DN214" s="50"/>
      <c r="DO214" s="50"/>
      <c r="DP214" s="50"/>
      <c r="DQ214" s="50"/>
      <c r="DR214" s="50"/>
      <c r="DS214" s="50"/>
      <c r="DT214" s="50"/>
      <c r="DU214" s="50"/>
      <c r="DV214" s="50"/>
      <c r="DW214" s="50"/>
      <c r="DX214" s="50"/>
      <c r="DY214" s="50"/>
      <c r="DZ214" s="50"/>
      <c r="EA214" s="50"/>
      <c r="EB214" s="50"/>
      <c r="EC214" s="50"/>
      <c r="ED214" s="50"/>
      <c r="EE214" s="50"/>
      <c r="EF214" s="50"/>
      <c r="EG214" s="50"/>
      <c r="EH214" s="50"/>
      <c r="EI214" s="50"/>
      <c r="EJ214" s="50"/>
      <c r="EK214" s="50"/>
      <c r="EL214" s="50"/>
      <c r="EM214" s="50"/>
      <c r="EN214" s="50"/>
      <c r="EO214" s="50"/>
      <c r="EP214" s="50"/>
      <c r="EQ214" s="50"/>
      <c r="ER214" s="50"/>
      <c r="ES214" s="50"/>
      <c r="ET214" s="50"/>
      <c r="EU214" s="50"/>
      <c r="EV214" s="50"/>
    </row>
    <row r="215" spans="2:152" x14ac:dyDescent="0.75">
      <c r="B215" s="26"/>
      <c r="C215" s="27"/>
      <c r="D215" s="27"/>
      <c r="F215" s="26"/>
      <c r="G215" s="27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50"/>
      <c r="CH215" s="50"/>
      <c r="CI215" s="50"/>
      <c r="CJ215" s="50"/>
      <c r="CK215" s="50"/>
      <c r="CL215" s="50"/>
      <c r="CM215" s="50"/>
      <c r="CN215" s="50"/>
      <c r="CO215" s="50"/>
      <c r="CP215" s="50"/>
      <c r="CQ215" s="50"/>
      <c r="CR215" s="50"/>
      <c r="CS215" s="50"/>
      <c r="CT215" s="50"/>
      <c r="CU215" s="50"/>
      <c r="CV215" s="50"/>
      <c r="CW215" s="50"/>
      <c r="CX215" s="50"/>
      <c r="CY215" s="50"/>
      <c r="CZ215" s="50"/>
      <c r="DA215" s="50"/>
      <c r="DB215" s="50"/>
      <c r="DC215" s="50"/>
      <c r="DD215" s="50"/>
      <c r="DE215" s="50"/>
      <c r="DF215" s="50"/>
      <c r="DG215" s="50"/>
      <c r="DH215" s="50"/>
      <c r="DI215" s="50"/>
      <c r="DJ215" s="50"/>
      <c r="DK215" s="50"/>
      <c r="DL215" s="50"/>
      <c r="DM215" s="50"/>
      <c r="DN215" s="50"/>
      <c r="DO215" s="50"/>
      <c r="DP215" s="50"/>
      <c r="DQ215" s="50"/>
      <c r="DR215" s="50"/>
      <c r="DS215" s="50"/>
      <c r="DT215" s="50"/>
      <c r="DU215" s="50"/>
      <c r="DV215" s="50"/>
      <c r="DW215" s="50"/>
      <c r="DX215" s="50"/>
      <c r="DY215" s="50"/>
      <c r="DZ215" s="50"/>
      <c r="EA215" s="50"/>
      <c r="EB215" s="50"/>
      <c r="EC215" s="50"/>
      <c r="ED215" s="50"/>
      <c r="EE215" s="50"/>
      <c r="EF215" s="50"/>
      <c r="EG215" s="50"/>
      <c r="EH215" s="50"/>
      <c r="EI215" s="50"/>
      <c r="EJ215" s="50"/>
      <c r="EK215" s="50"/>
      <c r="EL215" s="50"/>
      <c r="EM215" s="50"/>
      <c r="EN215" s="50"/>
      <c r="EO215" s="50"/>
      <c r="EP215" s="50"/>
      <c r="EQ215" s="50"/>
      <c r="ER215" s="50"/>
      <c r="ES215" s="50"/>
      <c r="ET215" s="50"/>
      <c r="EU215" s="50"/>
      <c r="EV215" s="50"/>
    </row>
    <row r="216" spans="2:152" x14ac:dyDescent="0.75">
      <c r="B216" s="26"/>
      <c r="C216" s="27"/>
      <c r="D216" s="27"/>
      <c r="F216" s="26"/>
      <c r="G216" s="27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  <c r="CL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C216" s="50"/>
      <c r="DD216" s="50"/>
      <c r="DE216" s="50"/>
      <c r="DF216" s="50"/>
      <c r="DG216" s="50"/>
      <c r="DH216" s="50"/>
      <c r="DI216" s="50"/>
      <c r="DJ216" s="50"/>
      <c r="DK216" s="50"/>
      <c r="DL216" s="50"/>
      <c r="DM216" s="50"/>
      <c r="DN216" s="50"/>
      <c r="DO216" s="50"/>
      <c r="DP216" s="50"/>
      <c r="DQ216" s="50"/>
      <c r="DR216" s="50"/>
      <c r="DS216" s="50"/>
      <c r="DT216" s="50"/>
      <c r="DU216" s="50"/>
      <c r="DV216" s="50"/>
      <c r="DW216" s="50"/>
      <c r="DX216" s="50"/>
      <c r="DY216" s="50"/>
      <c r="DZ216" s="50"/>
      <c r="EA216" s="50"/>
      <c r="EB216" s="50"/>
      <c r="EC216" s="50"/>
      <c r="ED216" s="50"/>
      <c r="EE216" s="50"/>
      <c r="EF216" s="50"/>
      <c r="EG216" s="50"/>
      <c r="EH216" s="50"/>
      <c r="EI216" s="50"/>
      <c r="EJ216" s="50"/>
      <c r="EK216" s="50"/>
      <c r="EL216" s="50"/>
      <c r="EM216" s="50"/>
      <c r="EN216" s="50"/>
      <c r="EO216" s="50"/>
      <c r="EP216" s="50"/>
      <c r="EQ216" s="50"/>
      <c r="ER216" s="50"/>
      <c r="ES216" s="50"/>
      <c r="ET216" s="50"/>
      <c r="EU216" s="50"/>
      <c r="EV216" s="50"/>
    </row>
    <row r="217" spans="2:152" x14ac:dyDescent="0.75">
      <c r="B217" s="26"/>
      <c r="C217" s="27"/>
      <c r="D217" s="27"/>
      <c r="F217" s="26"/>
      <c r="G217" s="27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  <c r="CP217" s="50"/>
      <c r="CQ217" s="50"/>
      <c r="CR217" s="50"/>
      <c r="CS217" s="50"/>
      <c r="CT217" s="50"/>
      <c r="CU217" s="50"/>
      <c r="CV217" s="50"/>
      <c r="CW217" s="50"/>
      <c r="CX217" s="50"/>
      <c r="CY217" s="50"/>
      <c r="CZ217" s="50"/>
      <c r="DA217" s="50"/>
      <c r="DB217" s="50"/>
      <c r="DC217" s="50"/>
      <c r="DD217" s="50"/>
      <c r="DE217" s="50"/>
      <c r="DF217" s="50"/>
      <c r="DG217" s="50"/>
      <c r="DH217" s="50"/>
      <c r="DI217" s="50"/>
      <c r="DJ217" s="50"/>
      <c r="DK217" s="50"/>
      <c r="DL217" s="50"/>
      <c r="DM217" s="50"/>
      <c r="DN217" s="50"/>
      <c r="DO217" s="50"/>
      <c r="DP217" s="50"/>
      <c r="DQ217" s="50"/>
      <c r="DR217" s="50"/>
      <c r="DS217" s="50"/>
      <c r="DT217" s="50"/>
      <c r="DU217" s="50"/>
      <c r="DV217" s="50"/>
      <c r="DW217" s="50"/>
      <c r="DX217" s="50"/>
      <c r="DY217" s="50"/>
      <c r="DZ217" s="50"/>
      <c r="EA217" s="50"/>
      <c r="EB217" s="50"/>
      <c r="EC217" s="50"/>
      <c r="ED217" s="50"/>
      <c r="EE217" s="50"/>
      <c r="EF217" s="50"/>
      <c r="EG217" s="50"/>
      <c r="EH217" s="50"/>
      <c r="EI217" s="50"/>
      <c r="EJ217" s="50"/>
      <c r="EK217" s="50"/>
      <c r="EL217" s="50"/>
      <c r="EM217" s="50"/>
      <c r="EN217" s="50"/>
      <c r="EO217" s="50"/>
      <c r="EP217" s="50"/>
      <c r="EQ217" s="50"/>
      <c r="ER217" s="50"/>
      <c r="ES217" s="50"/>
      <c r="ET217" s="50"/>
      <c r="EU217" s="50"/>
      <c r="EV217" s="50"/>
    </row>
    <row r="218" spans="2:152" x14ac:dyDescent="0.75">
      <c r="B218" s="26"/>
      <c r="C218" s="27"/>
      <c r="D218" s="27"/>
      <c r="F218" s="26"/>
      <c r="G218" s="27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/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/>
      <c r="CY218" s="50"/>
      <c r="CZ218" s="50"/>
      <c r="DA218" s="50"/>
      <c r="DB218" s="50"/>
      <c r="DC218" s="50"/>
      <c r="DD218" s="50"/>
      <c r="DE218" s="50"/>
      <c r="DF218" s="50"/>
      <c r="DG218" s="50"/>
      <c r="DH218" s="50"/>
      <c r="DI218" s="50"/>
      <c r="DJ218" s="50"/>
      <c r="DK218" s="50"/>
      <c r="DL218" s="50"/>
      <c r="DM218" s="50"/>
      <c r="DN218" s="50"/>
      <c r="DO218" s="50"/>
      <c r="DP218" s="50"/>
      <c r="DQ218" s="50"/>
      <c r="DR218" s="50"/>
      <c r="DS218" s="50"/>
      <c r="DT218" s="50"/>
      <c r="DU218" s="50"/>
      <c r="DV218" s="50"/>
      <c r="DW218" s="50"/>
      <c r="DX218" s="50"/>
      <c r="DY218" s="50"/>
      <c r="DZ218" s="50"/>
      <c r="EA218" s="50"/>
      <c r="EB218" s="50"/>
      <c r="EC218" s="50"/>
      <c r="ED218" s="50"/>
      <c r="EE218" s="50"/>
      <c r="EF218" s="50"/>
      <c r="EG218" s="50"/>
      <c r="EH218" s="50"/>
      <c r="EI218" s="50"/>
      <c r="EJ218" s="50"/>
      <c r="EK218" s="50"/>
      <c r="EL218" s="50"/>
      <c r="EM218" s="50"/>
      <c r="EN218" s="50"/>
      <c r="EO218" s="50"/>
      <c r="EP218" s="50"/>
      <c r="EQ218" s="50"/>
      <c r="ER218" s="50"/>
      <c r="ES218" s="50"/>
      <c r="ET218" s="50"/>
      <c r="EU218" s="50"/>
      <c r="EV218" s="50"/>
    </row>
    <row r="219" spans="2:152" x14ac:dyDescent="0.75">
      <c r="B219" s="26"/>
      <c r="C219" s="27"/>
      <c r="D219" s="27"/>
      <c r="F219" s="26"/>
      <c r="G219" s="27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50"/>
      <c r="DB219" s="50"/>
      <c r="DC219" s="50"/>
      <c r="DD219" s="50"/>
      <c r="DE219" s="50"/>
      <c r="DF219" s="50"/>
      <c r="DG219" s="50"/>
      <c r="DH219" s="50"/>
      <c r="DI219" s="50"/>
      <c r="DJ219" s="50"/>
      <c r="DK219" s="50"/>
      <c r="DL219" s="50"/>
      <c r="DM219" s="50"/>
      <c r="DN219" s="50"/>
      <c r="DO219" s="50"/>
      <c r="DP219" s="50"/>
      <c r="DQ219" s="50"/>
      <c r="DR219" s="50"/>
      <c r="DS219" s="50"/>
      <c r="DT219" s="50"/>
      <c r="DU219" s="50"/>
      <c r="DV219" s="50"/>
      <c r="DW219" s="50"/>
      <c r="DX219" s="50"/>
      <c r="DY219" s="50"/>
      <c r="DZ219" s="50"/>
      <c r="EA219" s="50"/>
      <c r="EB219" s="50"/>
      <c r="EC219" s="50"/>
      <c r="ED219" s="50"/>
      <c r="EE219" s="50"/>
      <c r="EF219" s="50"/>
      <c r="EG219" s="50"/>
      <c r="EH219" s="50"/>
      <c r="EI219" s="50"/>
      <c r="EJ219" s="50"/>
      <c r="EK219" s="50"/>
      <c r="EL219" s="50"/>
      <c r="EM219" s="50"/>
      <c r="EN219" s="50"/>
      <c r="EO219" s="50"/>
      <c r="EP219" s="50"/>
      <c r="EQ219" s="50"/>
      <c r="ER219" s="50"/>
      <c r="ES219" s="50"/>
      <c r="ET219" s="50"/>
      <c r="EU219" s="50"/>
      <c r="EV219" s="50"/>
    </row>
    <row r="220" spans="2:152" x14ac:dyDescent="0.75">
      <c r="B220" s="26"/>
      <c r="C220" s="27"/>
      <c r="D220" s="27"/>
      <c r="F220" s="26"/>
      <c r="G220" s="27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  <c r="CL220" s="50"/>
      <c r="CM220" s="50"/>
      <c r="CN220" s="50"/>
      <c r="CO220" s="50"/>
      <c r="CP220" s="50"/>
      <c r="CQ220" s="50"/>
      <c r="CR220" s="50"/>
      <c r="CS220" s="50"/>
      <c r="CT220" s="50"/>
      <c r="CU220" s="50"/>
      <c r="CV220" s="50"/>
      <c r="CW220" s="50"/>
      <c r="CX220" s="50"/>
      <c r="CY220" s="50"/>
      <c r="CZ220" s="50"/>
      <c r="DA220" s="50"/>
      <c r="DB220" s="50"/>
      <c r="DC220" s="50"/>
      <c r="DD220" s="50"/>
      <c r="DE220" s="50"/>
      <c r="DF220" s="50"/>
      <c r="DG220" s="50"/>
      <c r="DH220" s="50"/>
      <c r="DI220" s="50"/>
      <c r="DJ220" s="50"/>
      <c r="DK220" s="50"/>
      <c r="DL220" s="50"/>
      <c r="DM220" s="50"/>
      <c r="DN220" s="50"/>
      <c r="DO220" s="50"/>
      <c r="DP220" s="50"/>
      <c r="DQ220" s="50"/>
      <c r="DR220" s="50"/>
      <c r="DS220" s="50"/>
      <c r="DT220" s="50"/>
      <c r="DU220" s="50"/>
      <c r="DV220" s="50"/>
      <c r="DW220" s="50"/>
      <c r="DX220" s="50"/>
      <c r="DY220" s="50"/>
      <c r="DZ220" s="50"/>
      <c r="EA220" s="50"/>
      <c r="EB220" s="50"/>
      <c r="EC220" s="50"/>
      <c r="ED220" s="50"/>
      <c r="EE220" s="50"/>
      <c r="EF220" s="50"/>
      <c r="EG220" s="50"/>
      <c r="EH220" s="50"/>
      <c r="EI220" s="50"/>
      <c r="EJ220" s="50"/>
      <c r="EK220" s="50"/>
      <c r="EL220" s="50"/>
      <c r="EM220" s="50"/>
      <c r="EN220" s="50"/>
      <c r="EO220" s="50"/>
      <c r="EP220" s="50"/>
      <c r="EQ220" s="50"/>
      <c r="ER220" s="50"/>
      <c r="ES220" s="50"/>
      <c r="ET220" s="50"/>
      <c r="EU220" s="50"/>
      <c r="EV220" s="50"/>
    </row>
    <row r="221" spans="2:152" x14ac:dyDescent="0.75">
      <c r="B221" s="26"/>
      <c r="C221" s="27"/>
      <c r="D221" s="27"/>
      <c r="F221" s="26"/>
      <c r="G221" s="27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  <c r="CN221" s="50"/>
      <c r="CO221" s="50"/>
      <c r="CP221" s="50"/>
      <c r="CQ221" s="50"/>
      <c r="CR221" s="50"/>
      <c r="CS221" s="50"/>
      <c r="CT221" s="50"/>
      <c r="CU221" s="50"/>
      <c r="CV221" s="50"/>
      <c r="CW221" s="50"/>
      <c r="CX221" s="50"/>
      <c r="CY221" s="50"/>
      <c r="CZ221" s="50"/>
      <c r="DA221" s="50"/>
      <c r="DB221" s="50"/>
      <c r="DC221" s="50"/>
      <c r="DD221" s="50"/>
      <c r="DE221" s="50"/>
      <c r="DF221" s="50"/>
      <c r="DG221" s="50"/>
      <c r="DH221" s="50"/>
      <c r="DI221" s="50"/>
      <c r="DJ221" s="50"/>
      <c r="DK221" s="50"/>
      <c r="DL221" s="50"/>
      <c r="DM221" s="50"/>
      <c r="DN221" s="50"/>
      <c r="DO221" s="50"/>
      <c r="DP221" s="50"/>
      <c r="DQ221" s="50"/>
      <c r="DR221" s="50"/>
      <c r="DS221" s="50"/>
      <c r="DT221" s="50"/>
      <c r="DU221" s="50"/>
      <c r="DV221" s="50"/>
      <c r="DW221" s="50"/>
      <c r="DX221" s="50"/>
      <c r="DY221" s="50"/>
      <c r="DZ221" s="50"/>
      <c r="EA221" s="50"/>
      <c r="EB221" s="50"/>
      <c r="EC221" s="50"/>
      <c r="ED221" s="50"/>
      <c r="EE221" s="50"/>
      <c r="EF221" s="50"/>
      <c r="EG221" s="50"/>
      <c r="EH221" s="50"/>
      <c r="EI221" s="50"/>
      <c r="EJ221" s="50"/>
      <c r="EK221" s="50"/>
      <c r="EL221" s="50"/>
      <c r="EM221" s="50"/>
      <c r="EN221" s="50"/>
      <c r="EO221" s="50"/>
      <c r="EP221" s="50"/>
      <c r="EQ221" s="50"/>
      <c r="ER221" s="50"/>
      <c r="ES221" s="50"/>
      <c r="ET221" s="50"/>
      <c r="EU221" s="50"/>
      <c r="EV221" s="50"/>
    </row>
    <row r="222" spans="2:152" x14ac:dyDescent="0.75">
      <c r="B222" s="26"/>
      <c r="C222" s="27"/>
      <c r="D222" s="27"/>
      <c r="F222" s="26"/>
      <c r="G222" s="27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  <c r="CN222" s="50"/>
      <c r="CO222" s="50"/>
      <c r="CP222" s="50"/>
      <c r="CQ222" s="50"/>
      <c r="CR222" s="50"/>
      <c r="CS222" s="50"/>
      <c r="CT222" s="50"/>
      <c r="CU222" s="50"/>
      <c r="CV222" s="50"/>
      <c r="CW222" s="50"/>
      <c r="CX222" s="50"/>
      <c r="CY222" s="50"/>
      <c r="CZ222" s="50"/>
      <c r="DA222" s="50"/>
      <c r="DB222" s="50"/>
      <c r="DC222" s="50"/>
      <c r="DD222" s="50"/>
      <c r="DE222" s="50"/>
      <c r="DF222" s="50"/>
      <c r="DG222" s="50"/>
      <c r="DH222" s="50"/>
      <c r="DI222" s="50"/>
      <c r="DJ222" s="50"/>
      <c r="DK222" s="50"/>
      <c r="DL222" s="50"/>
      <c r="DM222" s="50"/>
      <c r="DN222" s="50"/>
      <c r="DO222" s="50"/>
      <c r="DP222" s="50"/>
      <c r="DQ222" s="50"/>
      <c r="DR222" s="50"/>
      <c r="DS222" s="50"/>
      <c r="DT222" s="50"/>
      <c r="DU222" s="50"/>
      <c r="DV222" s="50"/>
      <c r="DW222" s="50"/>
      <c r="DX222" s="50"/>
      <c r="DY222" s="50"/>
      <c r="DZ222" s="50"/>
      <c r="EA222" s="50"/>
      <c r="EB222" s="50"/>
      <c r="EC222" s="50"/>
      <c r="ED222" s="50"/>
      <c r="EE222" s="50"/>
      <c r="EF222" s="50"/>
      <c r="EG222" s="50"/>
      <c r="EH222" s="50"/>
      <c r="EI222" s="50"/>
      <c r="EJ222" s="50"/>
      <c r="EK222" s="50"/>
      <c r="EL222" s="50"/>
      <c r="EM222" s="50"/>
      <c r="EN222" s="50"/>
      <c r="EO222" s="50"/>
      <c r="EP222" s="50"/>
      <c r="EQ222" s="50"/>
      <c r="ER222" s="50"/>
      <c r="ES222" s="50"/>
      <c r="ET222" s="50"/>
      <c r="EU222" s="50"/>
      <c r="EV222" s="50"/>
    </row>
    <row r="223" spans="2:152" x14ac:dyDescent="0.75">
      <c r="B223" s="26"/>
      <c r="C223" s="27"/>
      <c r="D223" s="27"/>
      <c r="F223" s="26"/>
      <c r="G223" s="27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  <c r="CN223" s="50"/>
      <c r="CO223" s="50"/>
      <c r="CP223" s="50"/>
      <c r="CQ223" s="50"/>
      <c r="CR223" s="50"/>
      <c r="CS223" s="50"/>
      <c r="CT223" s="50"/>
      <c r="CU223" s="50"/>
      <c r="CV223" s="50"/>
      <c r="CW223" s="50"/>
      <c r="CX223" s="50"/>
      <c r="CY223" s="50"/>
      <c r="CZ223" s="50"/>
      <c r="DA223" s="50"/>
      <c r="DB223" s="50"/>
      <c r="DC223" s="50"/>
      <c r="DD223" s="50"/>
      <c r="DE223" s="50"/>
      <c r="DF223" s="50"/>
      <c r="DG223" s="50"/>
      <c r="DH223" s="50"/>
      <c r="DI223" s="50"/>
      <c r="DJ223" s="50"/>
      <c r="DK223" s="50"/>
      <c r="DL223" s="50"/>
      <c r="DM223" s="50"/>
      <c r="DN223" s="50"/>
      <c r="DO223" s="50"/>
      <c r="DP223" s="50"/>
      <c r="DQ223" s="50"/>
      <c r="DR223" s="50"/>
      <c r="DS223" s="50"/>
      <c r="DT223" s="50"/>
      <c r="DU223" s="50"/>
      <c r="DV223" s="50"/>
      <c r="DW223" s="50"/>
      <c r="DX223" s="50"/>
      <c r="DY223" s="50"/>
      <c r="DZ223" s="50"/>
      <c r="EA223" s="50"/>
      <c r="EB223" s="50"/>
      <c r="EC223" s="50"/>
      <c r="ED223" s="50"/>
      <c r="EE223" s="50"/>
      <c r="EF223" s="50"/>
      <c r="EG223" s="50"/>
      <c r="EH223" s="50"/>
      <c r="EI223" s="50"/>
      <c r="EJ223" s="50"/>
      <c r="EK223" s="50"/>
      <c r="EL223" s="50"/>
      <c r="EM223" s="50"/>
      <c r="EN223" s="50"/>
      <c r="EO223" s="50"/>
      <c r="EP223" s="50"/>
      <c r="EQ223" s="50"/>
      <c r="ER223" s="50"/>
      <c r="ES223" s="50"/>
      <c r="ET223" s="50"/>
      <c r="EU223" s="50"/>
      <c r="EV223" s="50"/>
    </row>
    <row r="224" spans="2:152" x14ac:dyDescent="0.75">
      <c r="B224" s="26"/>
      <c r="C224" s="27"/>
      <c r="D224" s="27"/>
      <c r="F224" s="26"/>
      <c r="G224" s="27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A224" s="50"/>
      <c r="DB224" s="50"/>
      <c r="DC224" s="50"/>
      <c r="DD224" s="50"/>
      <c r="DE224" s="50"/>
      <c r="DF224" s="50"/>
      <c r="DG224" s="50"/>
      <c r="DH224" s="50"/>
      <c r="DI224" s="50"/>
      <c r="DJ224" s="50"/>
      <c r="DK224" s="50"/>
      <c r="DL224" s="50"/>
      <c r="DM224" s="50"/>
      <c r="DN224" s="50"/>
      <c r="DO224" s="50"/>
      <c r="DP224" s="50"/>
      <c r="DQ224" s="50"/>
      <c r="DR224" s="50"/>
      <c r="DS224" s="50"/>
      <c r="DT224" s="50"/>
      <c r="DU224" s="50"/>
      <c r="DV224" s="50"/>
      <c r="DW224" s="50"/>
      <c r="DX224" s="50"/>
      <c r="DY224" s="50"/>
      <c r="DZ224" s="50"/>
      <c r="EA224" s="50"/>
      <c r="EB224" s="50"/>
      <c r="EC224" s="50"/>
      <c r="ED224" s="50"/>
      <c r="EE224" s="50"/>
      <c r="EF224" s="50"/>
      <c r="EG224" s="50"/>
      <c r="EH224" s="50"/>
      <c r="EI224" s="50"/>
      <c r="EJ224" s="50"/>
      <c r="EK224" s="50"/>
      <c r="EL224" s="50"/>
      <c r="EM224" s="50"/>
      <c r="EN224" s="50"/>
      <c r="EO224" s="50"/>
      <c r="EP224" s="50"/>
      <c r="EQ224" s="50"/>
      <c r="ER224" s="50"/>
      <c r="ES224" s="50"/>
      <c r="ET224" s="50"/>
      <c r="EU224" s="50"/>
      <c r="EV224" s="50"/>
    </row>
    <row r="225" spans="2:152" x14ac:dyDescent="0.75">
      <c r="B225" s="26"/>
      <c r="C225" s="27"/>
      <c r="D225" s="27"/>
      <c r="F225" s="26"/>
      <c r="G225" s="27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  <c r="CN225" s="50"/>
      <c r="CO225" s="50"/>
      <c r="CP225" s="50"/>
      <c r="CQ225" s="50"/>
      <c r="CR225" s="50"/>
      <c r="CS225" s="50"/>
      <c r="CT225" s="50"/>
      <c r="CU225" s="50"/>
      <c r="CV225" s="50"/>
      <c r="CW225" s="50"/>
      <c r="CX225" s="50"/>
      <c r="CY225" s="50"/>
      <c r="CZ225" s="50"/>
      <c r="DA225" s="50"/>
      <c r="DB225" s="50"/>
      <c r="DC225" s="50"/>
      <c r="DD225" s="50"/>
      <c r="DE225" s="50"/>
      <c r="DF225" s="50"/>
      <c r="DG225" s="50"/>
      <c r="DH225" s="50"/>
      <c r="DI225" s="50"/>
      <c r="DJ225" s="50"/>
      <c r="DK225" s="50"/>
      <c r="DL225" s="50"/>
      <c r="DM225" s="50"/>
      <c r="DN225" s="50"/>
      <c r="DO225" s="50"/>
      <c r="DP225" s="50"/>
      <c r="DQ225" s="50"/>
      <c r="DR225" s="50"/>
      <c r="DS225" s="50"/>
      <c r="DT225" s="50"/>
      <c r="DU225" s="50"/>
      <c r="DV225" s="50"/>
      <c r="DW225" s="50"/>
      <c r="DX225" s="50"/>
      <c r="DY225" s="50"/>
      <c r="DZ225" s="50"/>
      <c r="EA225" s="50"/>
      <c r="EB225" s="50"/>
      <c r="EC225" s="50"/>
      <c r="ED225" s="50"/>
      <c r="EE225" s="50"/>
      <c r="EF225" s="50"/>
      <c r="EG225" s="50"/>
      <c r="EH225" s="50"/>
      <c r="EI225" s="50"/>
      <c r="EJ225" s="50"/>
      <c r="EK225" s="50"/>
      <c r="EL225" s="50"/>
      <c r="EM225" s="50"/>
      <c r="EN225" s="50"/>
      <c r="EO225" s="50"/>
      <c r="EP225" s="50"/>
      <c r="EQ225" s="50"/>
      <c r="ER225" s="50"/>
      <c r="ES225" s="50"/>
      <c r="ET225" s="50"/>
      <c r="EU225" s="50"/>
      <c r="EV225" s="50"/>
    </row>
    <row r="226" spans="2:152" x14ac:dyDescent="0.75">
      <c r="B226" s="26"/>
      <c r="C226" s="27"/>
      <c r="D226" s="27"/>
      <c r="F226" s="26"/>
      <c r="G226" s="27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C226" s="50"/>
      <c r="DD226" s="50"/>
      <c r="DE226" s="50"/>
      <c r="DF226" s="50"/>
      <c r="DG226" s="50"/>
      <c r="DH226" s="50"/>
      <c r="DI226" s="50"/>
      <c r="DJ226" s="50"/>
      <c r="DK226" s="50"/>
      <c r="DL226" s="50"/>
      <c r="DM226" s="50"/>
      <c r="DN226" s="50"/>
      <c r="DO226" s="50"/>
      <c r="DP226" s="50"/>
      <c r="DQ226" s="50"/>
      <c r="DR226" s="50"/>
      <c r="DS226" s="50"/>
      <c r="DT226" s="50"/>
      <c r="DU226" s="50"/>
      <c r="DV226" s="50"/>
      <c r="DW226" s="50"/>
      <c r="DX226" s="50"/>
      <c r="DY226" s="50"/>
      <c r="DZ226" s="50"/>
      <c r="EA226" s="50"/>
      <c r="EB226" s="50"/>
      <c r="EC226" s="50"/>
      <c r="ED226" s="50"/>
      <c r="EE226" s="50"/>
      <c r="EF226" s="50"/>
      <c r="EG226" s="50"/>
      <c r="EH226" s="50"/>
      <c r="EI226" s="50"/>
      <c r="EJ226" s="50"/>
      <c r="EK226" s="50"/>
      <c r="EL226" s="50"/>
      <c r="EM226" s="50"/>
      <c r="EN226" s="50"/>
      <c r="EO226" s="50"/>
      <c r="EP226" s="50"/>
      <c r="EQ226" s="50"/>
      <c r="ER226" s="50"/>
      <c r="ES226" s="50"/>
      <c r="ET226" s="50"/>
      <c r="EU226" s="50"/>
      <c r="EV226" s="50"/>
    </row>
    <row r="227" spans="2:152" x14ac:dyDescent="0.75">
      <c r="B227" s="26"/>
      <c r="C227" s="27"/>
      <c r="D227" s="27"/>
      <c r="F227" s="26"/>
      <c r="G227" s="27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  <c r="CN227" s="50"/>
      <c r="CO227" s="50"/>
      <c r="CP227" s="50"/>
      <c r="CQ227" s="50"/>
      <c r="CR227" s="50"/>
      <c r="CS227" s="50"/>
      <c r="CT227" s="50"/>
      <c r="CU227" s="50"/>
      <c r="CV227" s="50"/>
      <c r="CW227" s="50"/>
      <c r="CX227" s="50"/>
      <c r="CY227" s="50"/>
      <c r="CZ227" s="50"/>
      <c r="DA227" s="50"/>
      <c r="DB227" s="50"/>
      <c r="DC227" s="50"/>
      <c r="DD227" s="50"/>
      <c r="DE227" s="50"/>
      <c r="DF227" s="50"/>
      <c r="DG227" s="50"/>
      <c r="DH227" s="50"/>
      <c r="DI227" s="50"/>
      <c r="DJ227" s="50"/>
      <c r="DK227" s="50"/>
      <c r="DL227" s="50"/>
      <c r="DM227" s="50"/>
      <c r="DN227" s="50"/>
      <c r="DO227" s="50"/>
      <c r="DP227" s="50"/>
      <c r="DQ227" s="50"/>
      <c r="DR227" s="50"/>
      <c r="DS227" s="50"/>
      <c r="DT227" s="50"/>
      <c r="DU227" s="50"/>
      <c r="DV227" s="50"/>
      <c r="DW227" s="50"/>
      <c r="DX227" s="50"/>
      <c r="DY227" s="50"/>
      <c r="DZ227" s="50"/>
      <c r="EA227" s="50"/>
      <c r="EB227" s="50"/>
      <c r="EC227" s="50"/>
      <c r="ED227" s="50"/>
      <c r="EE227" s="50"/>
      <c r="EF227" s="50"/>
      <c r="EG227" s="50"/>
      <c r="EH227" s="50"/>
      <c r="EI227" s="50"/>
      <c r="EJ227" s="50"/>
      <c r="EK227" s="50"/>
      <c r="EL227" s="50"/>
      <c r="EM227" s="50"/>
      <c r="EN227" s="50"/>
      <c r="EO227" s="50"/>
      <c r="EP227" s="50"/>
      <c r="EQ227" s="50"/>
      <c r="ER227" s="50"/>
      <c r="ES227" s="50"/>
      <c r="ET227" s="50"/>
      <c r="EU227" s="50"/>
      <c r="EV227" s="50"/>
    </row>
    <row r="228" spans="2:152" x14ac:dyDescent="0.75">
      <c r="B228" s="26"/>
      <c r="C228" s="27"/>
      <c r="D228" s="27"/>
      <c r="F228" s="26"/>
      <c r="G228" s="27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  <c r="CL228" s="50"/>
      <c r="CM228" s="50"/>
      <c r="CN228" s="50"/>
      <c r="CO228" s="50"/>
      <c r="CP228" s="50"/>
      <c r="CQ228" s="50"/>
      <c r="CR228" s="50"/>
      <c r="CS228" s="50"/>
      <c r="CT228" s="50"/>
      <c r="CU228" s="50"/>
      <c r="CV228" s="50"/>
      <c r="CW228" s="50"/>
      <c r="CX228" s="50"/>
      <c r="CY228" s="50"/>
      <c r="CZ228" s="50"/>
      <c r="DA228" s="50"/>
      <c r="DB228" s="50"/>
      <c r="DC228" s="50"/>
      <c r="DD228" s="50"/>
      <c r="DE228" s="50"/>
      <c r="DF228" s="50"/>
      <c r="DG228" s="50"/>
      <c r="DH228" s="50"/>
      <c r="DI228" s="50"/>
      <c r="DJ228" s="50"/>
      <c r="DK228" s="50"/>
      <c r="DL228" s="50"/>
      <c r="DM228" s="50"/>
      <c r="DN228" s="50"/>
      <c r="DO228" s="50"/>
      <c r="DP228" s="50"/>
      <c r="DQ228" s="50"/>
      <c r="DR228" s="50"/>
      <c r="DS228" s="50"/>
      <c r="DT228" s="50"/>
      <c r="DU228" s="50"/>
      <c r="DV228" s="50"/>
      <c r="DW228" s="50"/>
      <c r="DX228" s="50"/>
      <c r="DY228" s="50"/>
      <c r="DZ228" s="50"/>
      <c r="EA228" s="50"/>
      <c r="EB228" s="50"/>
      <c r="EC228" s="50"/>
      <c r="ED228" s="50"/>
      <c r="EE228" s="50"/>
      <c r="EF228" s="50"/>
      <c r="EG228" s="50"/>
      <c r="EH228" s="50"/>
      <c r="EI228" s="50"/>
      <c r="EJ228" s="50"/>
      <c r="EK228" s="50"/>
      <c r="EL228" s="50"/>
      <c r="EM228" s="50"/>
      <c r="EN228" s="50"/>
      <c r="EO228" s="50"/>
      <c r="EP228" s="50"/>
      <c r="EQ228" s="50"/>
      <c r="ER228" s="50"/>
      <c r="ES228" s="50"/>
      <c r="ET228" s="50"/>
      <c r="EU228" s="50"/>
      <c r="EV228" s="50"/>
    </row>
    <row r="229" spans="2:152" x14ac:dyDescent="0.75">
      <c r="B229" s="26"/>
      <c r="C229" s="27"/>
      <c r="D229" s="27"/>
      <c r="F229" s="26"/>
      <c r="G229" s="27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  <c r="DF229" s="50"/>
      <c r="DG229" s="50"/>
      <c r="DH229" s="50"/>
      <c r="DI229" s="50"/>
      <c r="DJ229" s="50"/>
      <c r="DK229" s="50"/>
      <c r="DL229" s="50"/>
      <c r="DM229" s="50"/>
      <c r="DN229" s="50"/>
      <c r="DO229" s="50"/>
      <c r="DP229" s="50"/>
      <c r="DQ229" s="50"/>
      <c r="DR229" s="50"/>
      <c r="DS229" s="50"/>
      <c r="DT229" s="50"/>
      <c r="DU229" s="50"/>
      <c r="DV229" s="50"/>
      <c r="DW229" s="50"/>
      <c r="DX229" s="50"/>
      <c r="DY229" s="50"/>
      <c r="DZ229" s="50"/>
      <c r="EA229" s="50"/>
      <c r="EB229" s="50"/>
      <c r="EC229" s="50"/>
      <c r="ED229" s="50"/>
      <c r="EE229" s="50"/>
      <c r="EF229" s="50"/>
      <c r="EG229" s="50"/>
      <c r="EH229" s="50"/>
      <c r="EI229" s="50"/>
      <c r="EJ229" s="50"/>
      <c r="EK229" s="50"/>
      <c r="EL229" s="50"/>
      <c r="EM229" s="50"/>
      <c r="EN229" s="50"/>
      <c r="EO229" s="50"/>
      <c r="EP229" s="50"/>
      <c r="EQ229" s="50"/>
      <c r="ER229" s="50"/>
      <c r="ES229" s="50"/>
      <c r="ET229" s="50"/>
      <c r="EU229" s="50"/>
      <c r="EV229" s="50"/>
    </row>
    <row r="230" spans="2:152" x14ac:dyDescent="0.75">
      <c r="B230" s="26"/>
      <c r="C230" s="27"/>
      <c r="D230" s="27"/>
      <c r="F230" s="26"/>
      <c r="G230" s="27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  <c r="CL230" s="50"/>
      <c r="CM230" s="50"/>
      <c r="CN230" s="50"/>
      <c r="CO230" s="50"/>
      <c r="CP230" s="50"/>
      <c r="CQ230" s="50"/>
      <c r="CR230" s="50"/>
      <c r="CS230" s="50"/>
      <c r="CT230" s="50"/>
      <c r="CU230" s="50"/>
      <c r="CV230" s="50"/>
      <c r="CW230" s="50"/>
      <c r="CX230" s="50"/>
      <c r="CY230" s="50"/>
      <c r="CZ230" s="50"/>
      <c r="DA230" s="50"/>
      <c r="DB230" s="50"/>
      <c r="DC230" s="50"/>
      <c r="DD230" s="50"/>
      <c r="DE230" s="50"/>
      <c r="DF230" s="50"/>
      <c r="DG230" s="50"/>
      <c r="DH230" s="50"/>
      <c r="DI230" s="50"/>
      <c r="DJ230" s="50"/>
      <c r="DK230" s="50"/>
      <c r="DL230" s="50"/>
      <c r="DM230" s="50"/>
      <c r="DN230" s="50"/>
      <c r="DO230" s="50"/>
      <c r="DP230" s="50"/>
      <c r="DQ230" s="50"/>
      <c r="DR230" s="50"/>
      <c r="DS230" s="50"/>
      <c r="DT230" s="50"/>
      <c r="DU230" s="50"/>
      <c r="DV230" s="50"/>
      <c r="DW230" s="50"/>
      <c r="DX230" s="50"/>
      <c r="DY230" s="50"/>
      <c r="DZ230" s="50"/>
      <c r="EA230" s="50"/>
      <c r="EB230" s="50"/>
      <c r="EC230" s="50"/>
      <c r="ED230" s="50"/>
      <c r="EE230" s="50"/>
      <c r="EF230" s="50"/>
      <c r="EG230" s="50"/>
      <c r="EH230" s="50"/>
      <c r="EI230" s="50"/>
      <c r="EJ230" s="50"/>
      <c r="EK230" s="50"/>
      <c r="EL230" s="50"/>
      <c r="EM230" s="50"/>
      <c r="EN230" s="50"/>
      <c r="EO230" s="50"/>
      <c r="EP230" s="50"/>
      <c r="EQ230" s="50"/>
      <c r="ER230" s="50"/>
      <c r="ES230" s="50"/>
      <c r="ET230" s="50"/>
      <c r="EU230" s="50"/>
      <c r="EV230" s="50"/>
    </row>
    <row r="231" spans="2:152" x14ac:dyDescent="0.75">
      <c r="B231" s="26"/>
      <c r="C231" s="27"/>
      <c r="D231" s="27"/>
      <c r="F231" s="26"/>
      <c r="G231" s="27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  <c r="CN231" s="50"/>
      <c r="CO231" s="50"/>
      <c r="CP231" s="50"/>
      <c r="CQ231" s="50"/>
      <c r="CR231" s="50"/>
      <c r="CS231" s="50"/>
      <c r="CT231" s="50"/>
      <c r="CU231" s="50"/>
      <c r="CV231" s="50"/>
      <c r="CW231" s="50"/>
      <c r="CX231" s="50"/>
      <c r="CY231" s="50"/>
      <c r="CZ231" s="50"/>
      <c r="DA231" s="50"/>
      <c r="DB231" s="50"/>
      <c r="DC231" s="50"/>
      <c r="DD231" s="50"/>
      <c r="DE231" s="50"/>
      <c r="DF231" s="50"/>
      <c r="DG231" s="50"/>
      <c r="DH231" s="50"/>
      <c r="DI231" s="50"/>
      <c r="DJ231" s="50"/>
      <c r="DK231" s="50"/>
      <c r="DL231" s="50"/>
      <c r="DM231" s="50"/>
      <c r="DN231" s="50"/>
      <c r="DO231" s="50"/>
      <c r="DP231" s="50"/>
      <c r="DQ231" s="50"/>
      <c r="DR231" s="50"/>
      <c r="DS231" s="50"/>
      <c r="DT231" s="50"/>
      <c r="DU231" s="50"/>
      <c r="DV231" s="50"/>
      <c r="DW231" s="50"/>
      <c r="DX231" s="50"/>
      <c r="DY231" s="50"/>
      <c r="DZ231" s="50"/>
      <c r="EA231" s="50"/>
      <c r="EB231" s="50"/>
      <c r="EC231" s="50"/>
      <c r="ED231" s="50"/>
      <c r="EE231" s="50"/>
      <c r="EF231" s="50"/>
      <c r="EG231" s="50"/>
      <c r="EH231" s="50"/>
      <c r="EI231" s="50"/>
      <c r="EJ231" s="50"/>
      <c r="EK231" s="50"/>
      <c r="EL231" s="50"/>
      <c r="EM231" s="50"/>
      <c r="EN231" s="50"/>
      <c r="EO231" s="50"/>
      <c r="EP231" s="50"/>
      <c r="EQ231" s="50"/>
      <c r="ER231" s="50"/>
      <c r="ES231" s="50"/>
      <c r="ET231" s="50"/>
      <c r="EU231" s="50"/>
      <c r="EV231" s="50"/>
    </row>
    <row r="232" spans="2:152" x14ac:dyDescent="0.75">
      <c r="B232" s="26"/>
      <c r="C232" s="27"/>
      <c r="D232" s="27"/>
      <c r="F232" s="26"/>
      <c r="G232" s="27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  <c r="CL232" s="50"/>
      <c r="CM232" s="50"/>
      <c r="CN232" s="50"/>
      <c r="CO232" s="50"/>
      <c r="CP232" s="50"/>
      <c r="CQ232" s="50"/>
      <c r="CR232" s="50"/>
      <c r="CS232" s="50"/>
      <c r="CT232" s="50"/>
      <c r="CU232" s="50"/>
      <c r="CV232" s="50"/>
      <c r="CW232" s="50"/>
      <c r="CX232" s="50"/>
      <c r="CY232" s="50"/>
      <c r="CZ232" s="50"/>
      <c r="DA232" s="50"/>
      <c r="DB232" s="50"/>
      <c r="DC232" s="50"/>
      <c r="DD232" s="50"/>
      <c r="DE232" s="50"/>
      <c r="DF232" s="50"/>
      <c r="DG232" s="50"/>
      <c r="DH232" s="50"/>
      <c r="DI232" s="50"/>
      <c r="DJ232" s="50"/>
      <c r="DK232" s="50"/>
      <c r="DL232" s="50"/>
      <c r="DM232" s="50"/>
      <c r="DN232" s="50"/>
      <c r="DO232" s="50"/>
      <c r="DP232" s="50"/>
      <c r="DQ232" s="50"/>
      <c r="DR232" s="50"/>
      <c r="DS232" s="50"/>
      <c r="DT232" s="50"/>
      <c r="DU232" s="50"/>
      <c r="DV232" s="50"/>
      <c r="DW232" s="50"/>
      <c r="DX232" s="50"/>
      <c r="DY232" s="50"/>
      <c r="DZ232" s="50"/>
      <c r="EA232" s="50"/>
      <c r="EB232" s="50"/>
      <c r="EC232" s="50"/>
      <c r="ED232" s="50"/>
      <c r="EE232" s="50"/>
      <c r="EF232" s="50"/>
      <c r="EG232" s="50"/>
      <c r="EH232" s="50"/>
      <c r="EI232" s="50"/>
      <c r="EJ232" s="50"/>
      <c r="EK232" s="50"/>
      <c r="EL232" s="50"/>
      <c r="EM232" s="50"/>
      <c r="EN232" s="50"/>
      <c r="EO232" s="50"/>
      <c r="EP232" s="50"/>
      <c r="EQ232" s="50"/>
      <c r="ER232" s="50"/>
      <c r="ES232" s="50"/>
      <c r="ET232" s="50"/>
      <c r="EU232" s="50"/>
      <c r="EV232" s="50"/>
    </row>
    <row r="233" spans="2:152" x14ac:dyDescent="0.75">
      <c r="B233" s="26"/>
      <c r="C233" s="27"/>
      <c r="D233" s="27"/>
      <c r="F233" s="26"/>
      <c r="G233" s="27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  <c r="CN233" s="50"/>
      <c r="CO233" s="50"/>
      <c r="CP233" s="50"/>
      <c r="CQ233" s="50"/>
      <c r="CR233" s="50"/>
      <c r="CS233" s="50"/>
      <c r="CT233" s="50"/>
      <c r="CU233" s="50"/>
      <c r="CV233" s="50"/>
      <c r="CW233" s="50"/>
      <c r="CX233" s="50"/>
      <c r="CY233" s="50"/>
      <c r="CZ233" s="50"/>
      <c r="DA233" s="50"/>
      <c r="DB233" s="50"/>
      <c r="DC233" s="50"/>
      <c r="DD233" s="50"/>
      <c r="DE233" s="50"/>
      <c r="DF233" s="50"/>
      <c r="DG233" s="50"/>
      <c r="DH233" s="50"/>
      <c r="DI233" s="50"/>
      <c r="DJ233" s="50"/>
      <c r="DK233" s="50"/>
      <c r="DL233" s="50"/>
      <c r="DM233" s="50"/>
      <c r="DN233" s="50"/>
      <c r="DO233" s="50"/>
      <c r="DP233" s="50"/>
      <c r="DQ233" s="50"/>
      <c r="DR233" s="50"/>
      <c r="DS233" s="50"/>
      <c r="DT233" s="50"/>
      <c r="DU233" s="50"/>
      <c r="DV233" s="50"/>
      <c r="DW233" s="50"/>
      <c r="DX233" s="50"/>
      <c r="DY233" s="50"/>
      <c r="DZ233" s="50"/>
      <c r="EA233" s="50"/>
      <c r="EB233" s="50"/>
      <c r="EC233" s="50"/>
      <c r="ED233" s="50"/>
      <c r="EE233" s="50"/>
      <c r="EF233" s="50"/>
      <c r="EG233" s="50"/>
      <c r="EH233" s="50"/>
      <c r="EI233" s="50"/>
      <c r="EJ233" s="50"/>
      <c r="EK233" s="50"/>
      <c r="EL233" s="50"/>
      <c r="EM233" s="50"/>
      <c r="EN233" s="50"/>
      <c r="EO233" s="50"/>
      <c r="EP233" s="50"/>
      <c r="EQ233" s="50"/>
      <c r="ER233" s="50"/>
      <c r="ES233" s="50"/>
      <c r="ET233" s="50"/>
      <c r="EU233" s="50"/>
      <c r="EV233" s="50"/>
    </row>
    <row r="234" spans="2:152" x14ac:dyDescent="0.75">
      <c r="B234" s="26"/>
      <c r="C234" s="27"/>
      <c r="D234" s="27"/>
      <c r="F234" s="26"/>
      <c r="G234" s="27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/>
      <c r="BR234" s="50"/>
      <c r="BS234" s="50"/>
      <c r="BT234" s="50"/>
      <c r="BU234" s="50"/>
      <c r="BV234" s="50"/>
      <c r="BW234" s="50"/>
      <c r="BX234" s="50"/>
      <c r="BY234" s="50"/>
      <c r="BZ234" s="50"/>
      <c r="CA234" s="50"/>
      <c r="CB234" s="50"/>
      <c r="CC234" s="50"/>
      <c r="CD234" s="50"/>
      <c r="CE234" s="50"/>
      <c r="CF234" s="50"/>
      <c r="CG234" s="50"/>
      <c r="CH234" s="50"/>
      <c r="CI234" s="50"/>
      <c r="CJ234" s="50"/>
      <c r="CK234" s="50"/>
      <c r="CL234" s="50"/>
      <c r="CM234" s="50"/>
      <c r="CN234" s="50"/>
      <c r="CO234" s="50"/>
      <c r="CP234" s="50"/>
      <c r="CQ234" s="50"/>
      <c r="CR234" s="50"/>
      <c r="CS234" s="50"/>
      <c r="CT234" s="50"/>
      <c r="CU234" s="50"/>
      <c r="CV234" s="50"/>
      <c r="CW234" s="50"/>
      <c r="CX234" s="50"/>
      <c r="CY234" s="50"/>
      <c r="CZ234" s="50"/>
      <c r="DA234" s="50"/>
      <c r="DB234" s="50"/>
      <c r="DC234" s="50"/>
      <c r="DD234" s="50"/>
      <c r="DE234" s="50"/>
      <c r="DF234" s="50"/>
      <c r="DG234" s="50"/>
      <c r="DH234" s="50"/>
      <c r="DI234" s="50"/>
      <c r="DJ234" s="50"/>
      <c r="DK234" s="50"/>
      <c r="DL234" s="50"/>
      <c r="DM234" s="50"/>
      <c r="DN234" s="50"/>
      <c r="DO234" s="50"/>
      <c r="DP234" s="50"/>
      <c r="DQ234" s="50"/>
      <c r="DR234" s="50"/>
      <c r="DS234" s="50"/>
      <c r="DT234" s="50"/>
      <c r="DU234" s="50"/>
      <c r="DV234" s="50"/>
      <c r="DW234" s="50"/>
      <c r="DX234" s="50"/>
      <c r="DY234" s="50"/>
      <c r="DZ234" s="50"/>
      <c r="EA234" s="50"/>
      <c r="EB234" s="50"/>
      <c r="EC234" s="50"/>
      <c r="ED234" s="50"/>
      <c r="EE234" s="50"/>
      <c r="EF234" s="50"/>
      <c r="EG234" s="50"/>
      <c r="EH234" s="50"/>
      <c r="EI234" s="50"/>
      <c r="EJ234" s="50"/>
      <c r="EK234" s="50"/>
      <c r="EL234" s="50"/>
      <c r="EM234" s="50"/>
      <c r="EN234" s="50"/>
      <c r="EO234" s="50"/>
      <c r="EP234" s="50"/>
      <c r="EQ234" s="50"/>
      <c r="ER234" s="50"/>
      <c r="ES234" s="50"/>
      <c r="ET234" s="50"/>
      <c r="EU234" s="50"/>
      <c r="EV234" s="50"/>
    </row>
    <row r="235" spans="2:152" x14ac:dyDescent="0.75">
      <c r="B235" s="26"/>
      <c r="C235" s="27"/>
      <c r="D235" s="27"/>
      <c r="F235" s="26"/>
      <c r="G235" s="27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  <c r="CL235" s="50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50"/>
      <c r="DB235" s="50"/>
      <c r="DC235" s="50"/>
      <c r="DD235" s="50"/>
      <c r="DE235" s="50"/>
      <c r="DF235" s="50"/>
      <c r="DG235" s="50"/>
      <c r="DH235" s="50"/>
      <c r="DI235" s="50"/>
      <c r="DJ235" s="50"/>
      <c r="DK235" s="50"/>
      <c r="DL235" s="50"/>
      <c r="DM235" s="50"/>
      <c r="DN235" s="50"/>
      <c r="DO235" s="50"/>
      <c r="DP235" s="50"/>
      <c r="DQ235" s="50"/>
      <c r="DR235" s="50"/>
      <c r="DS235" s="50"/>
      <c r="DT235" s="50"/>
      <c r="DU235" s="50"/>
      <c r="DV235" s="50"/>
      <c r="DW235" s="50"/>
      <c r="DX235" s="50"/>
      <c r="DY235" s="50"/>
      <c r="DZ235" s="50"/>
      <c r="EA235" s="50"/>
      <c r="EB235" s="50"/>
      <c r="EC235" s="50"/>
      <c r="ED235" s="50"/>
      <c r="EE235" s="50"/>
      <c r="EF235" s="50"/>
      <c r="EG235" s="50"/>
      <c r="EH235" s="50"/>
      <c r="EI235" s="50"/>
      <c r="EJ235" s="50"/>
      <c r="EK235" s="50"/>
      <c r="EL235" s="50"/>
      <c r="EM235" s="50"/>
      <c r="EN235" s="50"/>
      <c r="EO235" s="50"/>
      <c r="EP235" s="50"/>
      <c r="EQ235" s="50"/>
      <c r="ER235" s="50"/>
      <c r="ES235" s="50"/>
      <c r="ET235" s="50"/>
      <c r="EU235" s="50"/>
      <c r="EV235" s="50"/>
    </row>
    <row r="236" spans="2:152" x14ac:dyDescent="0.75">
      <c r="B236" s="26"/>
      <c r="C236" s="27"/>
      <c r="D236" s="27"/>
      <c r="F236" s="26"/>
      <c r="G236" s="27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  <c r="CL236" s="50"/>
      <c r="CM236" s="50"/>
      <c r="CN236" s="50"/>
      <c r="CO236" s="50"/>
      <c r="CP236" s="50"/>
      <c r="CQ236" s="50"/>
      <c r="CR236" s="50"/>
      <c r="CS236" s="50"/>
      <c r="CT236" s="50"/>
      <c r="CU236" s="50"/>
      <c r="CV236" s="50"/>
      <c r="CW236" s="50"/>
      <c r="CX236" s="50"/>
      <c r="CY236" s="50"/>
      <c r="CZ236" s="50"/>
      <c r="DA236" s="50"/>
      <c r="DB236" s="50"/>
      <c r="DC236" s="50"/>
      <c r="DD236" s="50"/>
      <c r="DE236" s="50"/>
      <c r="DF236" s="50"/>
      <c r="DG236" s="50"/>
      <c r="DH236" s="50"/>
      <c r="DI236" s="50"/>
      <c r="DJ236" s="50"/>
      <c r="DK236" s="50"/>
      <c r="DL236" s="50"/>
      <c r="DM236" s="50"/>
      <c r="DN236" s="50"/>
      <c r="DO236" s="50"/>
      <c r="DP236" s="50"/>
      <c r="DQ236" s="50"/>
      <c r="DR236" s="50"/>
      <c r="DS236" s="50"/>
      <c r="DT236" s="50"/>
      <c r="DU236" s="50"/>
      <c r="DV236" s="50"/>
      <c r="DW236" s="50"/>
      <c r="DX236" s="50"/>
      <c r="DY236" s="50"/>
      <c r="DZ236" s="50"/>
      <c r="EA236" s="50"/>
      <c r="EB236" s="50"/>
      <c r="EC236" s="50"/>
      <c r="ED236" s="50"/>
      <c r="EE236" s="50"/>
      <c r="EF236" s="50"/>
      <c r="EG236" s="50"/>
      <c r="EH236" s="50"/>
      <c r="EI236" s="50"/>
      <c r="EJ236" s="50"/>
      <c r="EK236" s="50"/>
      <c r="EL236" s="50"/>
      <c r="EM236" s="50"/>
      <c r="EN236" s="50"/>
      <c r="EO236" s="50"/>
      <c r="EP236" s="50"/>
      <c r="EQ236" s="50"/>
      <c r="ER236" s="50"/>
      <c r="ES236" s="50"/>
      <c r="ET236" s="50"/>
      <c r="EU236" s="50"/>
      <c r="EV236" s="50"/>
    </row>
    <row r="237" spans="2:152" x14ac:dyDescent="0.75">
      <c r="B237" s="26"/>
      <c r="C237" s="27"/>
      <c r="D237" s="27"/>
      <c r="F237" s="26"/>
      <c r="G237" s="27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  <c r="CL237" s="50"/>
      <c r="CM237" s="50"/>
      <c r="CN237" s="50"/>
      <c r="CO237" s="50"/>
      <c r="CP237" s="50"/>
      <c r="CQ237" s="50"/>
      <c r="CR237" s="50"/>
      <c r="CS237" s="50"/>
      <c r="CT237" s="50"/>
      <c r="CU237" s="50"/>
      <c r="CV237" s="50"/>
      <c r="CW237" s="50"/>
      <c r="CX237" s="50"/>
      <c r="CY237" s="50"/>
      <c r="CZ237" s="50"/>
      <c r="DA237" s="50"/>
      <c r="DB237" s="50"/>
      <c r="DC237" s="50"/>
      <c r="DD237" s="50"/>
      <c r="DE237" s="50"/>
      <c r="DF237" s="50"/>
      <c r="DG237" s="50"/>
      <c r="DH237" s="50"/>
      <c r="DI237" s="50"/>
      <c r="DJ237" s="50"/>
      <c r="DK237" s="50"/>
      <c r="DL237" s="50"/>
      <c r="DM237" s="50"/>
      <c r="DN237" s="50"/>
      <c r="DO237" s="50"/>
      <c r="DP237" s="50"/>
      <c r="DQ237" s="50"/>
      <c r="DR237" s="50"/>
      <c r="DS237" s="50"/>
      <c r="DT237" s="50"/>
      <c r="DU237" s="50"/>
      <c r="DV237" s="50"/>
      <c r="DW237" s="50"/>
      <c r="DX237" s="50"/>
      <c r="DY237" s="50"/>
      <c r="DZ237" s="50"/>
      <c r="EA237" s="50"/>
      <c r="EB237" s="50"/>
      <c r="EC237" s="50"/>
      <c r="ED237" s="50"/>
      <c r="EE237" s="50"/>
      <c r="EF237" s="50"/>
      <c r="EG237" s="50"/>
      <c r="EH237" s="50"/>
      <c r="EI237" s="50"/>
      <c r="EJ237" s="50"/>
      <c r="EK237" s="50"/>
      <c r="EL237" s="50"/>
      <c r="EM237" s="50"/>
      <c r="EN237" s="50"/>
      <c r="EO237" s="50"/>
      <c r="EP237" s="50"/>
      <c r="EQ237" s="50"/>
      <c r="ER237" s="50"/>
      <c r="ES237" s="50"/>
      <c r="ET237" s="50"/>
      <c r="EU237" s="50"/>
      <c r="EV237" s="50"/>
    </row>
    <row r="238" spans="2:152" x14ac:dyDescent="0.75">
      <c r="B238" s="26"/>
      <c r="C238" s="27"/>
      <c r="D238" s="27"/>
      <c r="F238" s="26"/>
      <c r="G238" s="27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  <c r="CP238" s="50"/>
      <c r="CQ238" s="50"/>
      <c r="CR238" s="50"/>
      <c r="CS238" s="50"/>
      <c r="CT238" s="50"/>
      <c r="CU238" s="50"/>
      <c r="CV238" s="50"/>
      <c r="CW238" s="50"/>
      <c r="CX238" s="50"/>
      <c r="CY238" s="50"/>
      <c r="CZ238" s="50"/>
      <c r="DA238" s="50"/>
      <c r="DB238" s="50"/>
      <c r="DC238" s="50"/>
      <c r="DD238" s="50"/>
      <c r="DE238" s="50"/>
      <c r="DF238" s="50"/>
      <c r="DG238" s="50"/>
      <c r="DH238" s="50"/>
      <c r="DI238" s="50"/>
      <c r="DJ238" s="50"/>
      <c r="DK238" s="50"/>
      <c r="DL238" s="50"/>
      <c r="DM238" s="50"/>
      <c r="DN238" s="50"/>
      <c r="DO238" s="50"/>
      <c r="DP238" s="50"/>
      <c r="DQ238" s="50"/>
      <c r="DR238" s="50"/>
      <c r="DS238" s="50"/>
      <c r="DT238" s="50"/>
      <c r="DU238" s="50"/>
      <c r="DV238" s="50"/>
      <c r="DW238" s="50"/>
      <c r="DX238" s="50"/>
      <c r="DY238" s="50"/>
      <c r="DZ238" s="50"/>
      <c r="EA238" s="50"/>
      <c r="EB238" s="50"/>
      <c r="EC238" s="50"/>
      <c r="ED238" s="50"/>
      <c r="EE238" s="50"/>
      <c r="EF238" s="50"/>
      <c r="EG238" s="50"/>
      <c r="EH238" s="50"/>
      <c r="EI238" s="50"/>
      <c r="EJ238" s="50"/>
      <c r="EK238" s="50"/>
      <c r="EL238" s="50"/>
      <c r="EM238" s="50"/>
      <c r="EN238" s="50"/>
      <c r="EO238" s="50"/>
      <c r="EP238" s="50"/>
      <c r="EQ238" s="50"/>
      <c r="ER238" s="50"/>
      <c r="ES238" s="50"/>
      <c r="ET238" s="50"/>
      <c r="EU238" s="50"/>
      <c r="EV238" s="50"/>
    </row>
    <row r="239" spans="2:152" x14ac:dyDescent="0.75">
      <c r="B239" s="26"/>
      <c r="C239" s="27"/>
      <c r="D239" s="27"/>
      <c r="F239" s="26"/>
      <c r="G239" s="27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  <c r="CN239" s="50"/>
      <c r="CO239" s="50"/>
      <c r="CP239" s="50"/>
      <c r="CQ239" s="50"/>
      <c r="CR239" s="50"/>
      <c r="CS239" s="50"/>
      <c r="CT239" s="50"/>
      <c r="CU239" s="50"/>
      <c r="CV239" s="50"/>
      <c r="CW239" s="50"/>
      <c r="CX239" s="50"/>
      <c r="CY239" s="50"/>
      <c r="CZ239" s="50"/>
      <c r="DA239" s="50"/>
      <c r="DB239" s="50"/>
      <c r="DC239" s="50"/>
      <c r="DD239" s="50"/>
      <c r="DE239" s="50"/>
      <c r="DF239" s="50"/>
      <c r="DG239" s="50"/>
      <c r="DH239" s="50"/>
      <c r="DI239" s="50"/>
      <c r="DJ239" s="50"/>
      <c r="DK239" s="50"/>
      <c r="DL239" s="50"/>
      <c r="DM239" s="50"/>
      <c r="DN239" s="50"/>
      <c r="DO239" s="50"/>
      <c r="DP239" s="50"/>
      <c r="DQ239" s="50"/>
      <c r="DR239" s="50"/>
      <c r="DS239" s="50"/>
      <c r="DT239" s="50"/>
      <c r="DU239" s="50"/>
      <c r="DV239" s="50"/>
      <c r="DW239" s="50"/>
      <c r="DX239" s="50"/>
      <c r="DY239" s="50"/>
      <c r="DZ239" s="50"/>
      <c r="EA239" s="50"/>
      <c r="EB239" s="50"/>
      <c r="EC239" s="50"/>
      <c r="ED239" s="50"/>
      <c r="EE239" s="50"/>
      <c r="EF239" s="50"/>
      <c r="EG239" s="50"/>
      <c r="EH239" s="50"/>
      <c r="EI239" s="50"/>
      <c r="EJ239" s="50"/>
      <c r="EK239" s="50"/>
      <c r="EL239" s="50"/>
      <c r="EM239" s="50"/>
      <c r="EN239" s="50"/>
      <c r="EO239" s="50"/>
      <c r="EP239" s="50"/>
      <c r="EQ239" s="50"/>
      <c r="ER239" s="50"/>
      <c r="ES239" s="50"/>
      <c r="ET239" s="50"/>
      <c r="EU239" s="50"/>
      <c r="EV239" s="50"/>
    </row>
    <row r="240" spans="2:152" x14ac:dyDescent="0.75">
      <c r="B240" s="26"/>
      <c r="C240" s="27"/>
      <c r="D240" s="27"/>
      <c r="F240" s="26"/>
      <c r="G240" s="27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  <c r="CN240" s="50"/>
      <c r="CO240" s="50"/>
      <c r="CP240" s="50"/>
      <c r="CQ240" s="50"/>
      <c r="CR240" s="50"/>
      <c r="CS240" s="50"/>
      <c r="CT240" s="50"/>
      <c r="CU240" s="50"/>
      <c r="CV240" s="50"/>
      <c r="CW240" s="50"/>
      <c r="CX240" s="50"/>
      <c r="CY240" s="50"/>
      <c r="CZ240" s="50"/>
      <c r="DA240" s="50"/>
      <c r="DB240" s="50"/>
      <c r="DC240" s="50"/>
      <c r="DD240" s="50"/>
      <c r="DE240" s="50"/>
      <c r="DF240" s="50"/>
      <c r="DG240" s="50"/>
      <c r="DH240" s="50"/>
      <c r="DI240" s="50"/>
      <c r="DJ240" s="50"/>
      <c r="DK240" s="50"/>
      <c r="DL240" s="50"/>
      <c r="DM240" s="50"/>
      <c r="DN240" s="50"/>
      <c r="DO240" s="50"/>
      <c r="DP240" s="50"/>
      <c r="DQ240" s="50"/>
      <c r="DR240" s="50"/>
      <c r="DS240" s="50"/>
      <c r="DT240" s="50"/>
      <c r="DU240" s="50"/>
      <c r="DV240" s="50"/>
      <c r="DW240" s="50"/>
      <c r="DX240" s="50"/>
      <c r="DY240" s="50"/>
      <c r="DZ240" s="50"/>
      <c r="EA240" s="50"/>
      <c r="EB240" s="50"/>
      <c r="EC240" s="50"/>
      <c r="ED240" s="50"/>
      <c r="EE240" s="50"/>
      <c r="EF240" s="50"/>
      <c r="EG240" s="50"/>
      <c r="EH240" s="50"/>
      <c r="EI240" s="50"/>
      <c r="EJ240" s="50"/>
      <c r="EK240" s="50"/>
      <c r="EL240" s="50"/>
      <c r="EM240" s="50"/>
      <c r="EN240" s="50"/>
      <c r="EO240" s="50"/>
      <c r="EP240" s="50"/>
      <c r="EQ240" s="50"/>
      <c r="ER240" s="50"/>
      <c r="ES240" s="50"/>
      <c r="ET240" s="50"/>
      <c r="EU240" s="50"/>
      <c r="EV240" s="50"/>
    </row>
    <row r="241" spans="2:152" x14ac:dyDescent="0.75">
      <c r="B241" s="26"/>
      <c r="C241" s="27"/>
      <c r="D241" s="27"/>
      <c r="F241" s="26"/>
      <c r="G241" s="27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  <c r="CP241" s="50"/>
      <c r="CQ241" s="50"/>
      <c r="CR241" s="50"/>
      <c r="CS241" s="50"/>
      <c r="CT241" s="50"/>
      <c r="CU241" s="50"/>
      <c r="CV241" s="50"/>
      <c r="CW241" s="50"/>
      <c r="CX241" s="50"/>
      <c r="CY241" s="50"/>
      <c r="CZ241" s="50"/>
      <c r="DA241" s="50"/>
      <c r="DB241" s="50"/>
      <c r="DC241" s="50"/>
      <c r="DD241" s="50"/>
      <c r="DE241" s="50"/>
      <c r="DF241" s="50"/>
      <c r="DG241" s="50"/>
      <c r="DH241" s="50"/>
      <c r="DI241" s="50"/>
      <c r="DJ241" s="50"/>
      <c r="DK241" s="50"/>
      <c r="DL241" s="50"/>
      <c r="DM241" s="50"/>
      <c r="DN241" s="50"/>
      <c r="DO241" s="50"/>
      <c r="DP241" s="50"/>
      <c r="DQ241" s="50"/>
      <c r="DR241" s="50"/>
      <c r="DS241" s="50"/>
      <c r="DT241" s="50"/>
      <c r="DU241" s="50"/>
      <c r="DV241" s="50"/>
      <c r="DW241" s="50"/>
      <c r="DX241" s="50"/>
      <c r="DY241" s="50"/>
      <c r="DZ241" s="50"/>
      <c r="EA241" s="50"/>
      <c r="EB241" s="50"/>
      <c r="EC241" s="50"/>
      <c r="ED241" s="50"/>
      <c r="EE241" s="50"/>
      <c r="EF241" s="50"/>
      <c r="EG241" s="50"/>
      <c r="EH241" s="50"/>
      <c r="EI241" s="50"/>
      <c r="EJ241" s="50"/>
      <c r="EK241" s="50"/>
      <c r="EL241" s="50"/>
      <c r="EM241" s="50"/>
      <c r="EN241" s="50"/>
      <c r="EO241" s="50"/>
      <c r="EP241" s="50"/>
      <c r="EQ241" s="50"/>
      <c r="ER241" s="50"/>
      <c r="ES241" s="50"/>
      <c r="ET241" s="50"/>
      <c r="EU241" s="50"/>
      <c r="EV241" s="50"/>
    </row>
    <row r="242" spans="2:152" x14ac:dyDescent="0.75">
      <c r="B242" s="26"/>
      <c r="C242" s="27"/>
      <c r="D242" s="27"/>
      <c r="F242" s="26"/>
      <c r="G242" s="27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50"/>
      <c r="DB242" s="50"/>
      <c r="DC242" s="50"/>
      <c r="DD242" s="50"/>
      <c r="DE242" s="50"/>
      <c r="DF242" s="50"/>
      <c r="DG242" s="50"/>
      <c r="DH242" s="50"/>
      <c r="DI242" s="50"/>
      <c r="DJ242" s="50"/>
      <c r="DK242" s="50"/>
      <c r="DL242" s="50"/>
      <c r="DM242" s="50"/>
      <c r="DN242" s="50"/>
      <c r="DO242" s="50"/>
      <c r="DP242" s="50"/>
      <c r="DQ242" s="50"/>
      <c r="DR242" s="50"/>
      <c r="DS242" s="50"/>
      <c r="DT242" s="50"/>
      <c r="DU242" s="50"/>
      <c r="DV242" s="50"/>
      <c r="DW242" s="50"/>
      <c r="DX242" s="50"/>
      <c r="DY242" s="50"/>
      <c r="DZ242" s="50"/>
      <c r="EA242" s="50"/>
      <c r="EB242" s="50"/>
      <c r="EC242" s="50"/>
      <c r="ED242" s="50"/>
      <c r="EE242" s="50"/>
      <c r="EF242" s="50"/>
      <c r="EG242" s="50"/>
      <c r="EH242" s="50"/>
      <c r="EI242" s="50"/>
      <c r="EJ242" s="50"/>
      <c r="EK242" s="50"/>
      <c r="EL242" s="50"/>
      <c r="EM242" s="50"/>
      <c r="EN242" s="50"/>
      <c r="EO242" s="50"/>
      <c r="EP242" s="50"/>
      <c r="EQ242" s="50"/>
      <c r="ER242" s="50"/>
      <c r="ES242" s="50"/>
      <c r="ET242" s="50"/>
      <c r="EU242" s="50"/>
      <c r="EV242" s="50"/>
    </row>
    <row r="243" spans="2:152" x14ac:dyDescent="0.75">
      <c r="B243" s="26"/>
      <c r="C243" s="27"/>
      <c r="D243" s="27"/>
      <c r="F243" s="26"/>
      <c r="G243" s="27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  <c r="CP243" s="50"/>
      <c r="CQ243" s="50"/>
      <c r="CR243" s="50"/>
      <c r="CS243" s="50"/>
      <c r="CT243" s="50"/>
      <c r="CU243" s="50"/>
      <c r="CV243" s="50"/>
      <c r="CW243" s="50"/>
      <c r="CX243" s="50"/>
      <c r="CY243" s="50"/>
      <c r="CZ243" s="50"/>
      <c r="DA243" s="50"/>
      <c r="DB243" s="50"/>
      <c r="DC243" s="50"/>
      <c r="DD243" s="50"/>
      <c r="DE243" s="50"/>
      <c r="DF243" s="50"/>
      <c r="DG243" s="50"/>
      <c r="DH243" s="50"/>
      <c r="DI243" s="50"/>
      <c r="DJ243" s="50"/>
      <c r="DK243" s="50"/>
      <c r="DL243" s="50"/>
      <c r="DM243" s="50"/>
      <c r="DN243" s="50"/>
      <c r="DO243" s="50"/>
      <c r="DP243" s="50"/>
      <c r="DQ243" s="50"/>
      <c r="DR243" s="50"/>
      <c r="DS243" s="50"/>
      <c r="DT243" s="50"/>
      <c r="DU243" s="50"/>
      <c r="DV243" s="50"/>
      <c r="DW243" s="50"/>
      <c r="DX243" s="50"/>
      <c r="DY243" s="50"/>
      <c r="DZ243" s="50"/>
      <c r="EA243" s="50"/>
      <c r="EB243" s="50"/>
      <c r="EC243" s="50"/>
      <c r="ED243" s="50"/>
      <c r="EE243" s="50"/>
      <c r="EF243" s="50"/>
      <c r="EG243" s="50"/>
      <c r="EH243" s="50"/>
      <c r="EI243" s="50"/>
      <c r="EJ243" s="50"/>
      <c r="EK243" s="50"/>
      <c r="EL243" s="50"/>
      <c r="EM243" s="50"/>
      <c r="EN243" s="50"/>
      <c r="EO243" s="50"/>
      <c r="EP243" s="50"/>
      <c r="EQ243" s="50"/>
      <c r="ER243" s="50"/>
      <c r="ES243" s="50"/>
      <c r="ET243" s="50"/>
      <c r="EU243" s="50"/>
      <c r="EV243" s="50"/>
    </row>
    <row r="244" spans="2:152" x14ac:dyDescent="0.75">
      <c r="B244" s="26"/>
      <c r="C244" s="27"/>
      <c r="D244" s="27"/>
      <c r="F244" s="26"/>
      <c r="G244" s="27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  <c r="CP244" s="50"/>
      <c r="CQ244" s="50"/>
      <c r="CR244" s="50"/>
      <c r="CS244" s="50"/>
      <c r="CT244" s="50"/>
      <c r="CU244" s="50"/>
      <c r="CV244" s="50"/>
      <c r="CW244" s="50"/>
      <c r="CX244" s="50"/>
      <c r="CY244" s="50"/>
      <c r="CZ244" s="50"/>
      <c r="DA244" s="50"/>
      <c r="DB244" s="50"/>
      <c r="DC244" s="50"/>
      <c r="DD244" s="50"/>
      <c r="DE244" s="50"/>
      <c r="DF244" s="50"/>
      <c r="DG244" s="50"/>
      <c r="DH244" s="50"/>
      <c r="DI244" s="50"/>
      <c r="DJ244" s="50"/>
      <c r="DK244" s="50"/>
      <c r="DL244" s="50"/>
      <c r="DM244" s="50"/>
      <c r="DN244" s="50"/>
      <c r="DO244" s="50"/>
      <c r="DP244" s="50"/>
      <c r="DQ244" s="50"/>
      <c r="DR244" s="50"/>
      <c r="DS244" s="50"/>
      <c r="DT244" s="50"/>
      <c r="DU244" s="50"/>
      <c r="DV244" s="50"/>
      <c r="DW244" s="50"/>
      <c r="DX244" s="50"/>
      <c r="DY244" s="50"/>
      <c r="DZ244" s="50"/>
      <c r="EA244" s="50"/>
      <c r="EB244" s="50"/>
      <c r="EC244" s="50"/>
      <c r="ED244" s="50"/>
      <c r="EE244" s="50"/>
      <c r="EF244" s="50"/>
      <c r="EG244" s="50"/>
      <c r="EH244" s="50"/>
      <c r="EI244" s="50"/>
      <c r="EJ244" s="50"/>
      <c r="EK244" s="50"/>
      <c r="EL244" s="50"/>
      <c r="EM244" s="50"/>
      <c r="EN244" s="50"/>
      <c r="EO244" s="50"/>
      <c r="EP244" s="50"/>
      <c r="EQ244" s="50"/>
      <c r="ER244" s="50"/>
      <c r="ES244" s="50"/>
      <c r="ET244" s="50"/>
      <c r="EU244" s="50"/>
      <c r="EV244" s="50"/>
    </row>
    <row r="245" spans="2:152" x14ac:dyDescent="0.75">
      <c r="B245" s="26"/>
      <c r="C245" s="27"/>
      <c r="D245" s="27"/>
      <c r="F245" s="26"/>
      <c r="G245" s="27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  <c r="CP245" s="50"/>
      <c r="CQ245" s="50"/>
      <c r="CR245" s="50"/>
      <c r="CS245" s="50"/>
      <c r="CT245" s="50"/>
      <c r="CU245" s="50"/>
      <c r="CV245" s="50"/>
      <c r="CW245" s="50"/>
      <c r="CX245" s="50"/>
      <c r="CY245" s="50"/>
      <c r="CZ245" s="50"/>
      <c r="DA245" s="50"/>
      <c r="DB245" s="50"/>
      <c r="DC245" s="50"/>
      <c r="DD245" s="50"/>
      <c r="DE245" s="50"/>
      <c r="DF245" s="50"/>
      <c r="DG245" s="50"/>
      <c r="DH245" s="50"/>
      <c r="DI245" s="50"/>
      <c r="DJ245" s="50"/>
      <c r="DK245" s="50"/>
      <c r="DL245" s="50"/>
      <c r="DM245" s="50"/>
      <c r="DN245" s="50"/>
      <c r="DO245" s="50"/>
      <c r="DP245" s="50"/>
      <c r="DQ245" s="50"/>
      <c r="DR245" s="50"/>
      <c r="DS245" s="50"/>
      <c r="DT245" s="50"/>
      <c r="DU245" s="50"/>
      <c r="DV245" s="50"/>
      <c r="DW245" s="50"/>
      <c r="DX245" s="50"/>
      <c r="DY245" s="50"/>
      <c r="DZ245" s="50"/>
      <c r="EA245" s="50"/>
      <c r="EB245" s="50"/>
      <c r="EC245" s="50"/>
      <c r="ED245" s="50"/>
      <c r="EE245" s="50"/>
      <c r="EF245" s="50"/>
      <c r="EG245" s="50"/>
      <c r="EH245" s="50"/>
      <c r="EI245" s="50"/>
      <c r="EJ245" s="50"/>
      <c r="EK245" s="50"/>
      <c r="EL245" s="50"/>
      <c r="EM245" s="50"/>
      <c r="EN245" s="50"/>
      <c r="EO245" s="50"/>
      <c r="EP245" s="50"/>
      <c r="EQ245" s="50"/>
      <c r="ER245" s="50"/>
      <c r="ES245" s="50"/>
      <c r="ET245" s="50"/>
      <c r="EU245" s="50"/>
      <c r="EV245" s="50"/>
    </row>
    <row r="246" spans="2:152" x14ac:dyDescent="0.75">
      <c r="B246" s="26"/>
      <c r="C246" s="27"/>
      <c r="D246" s="27"/>
      <c r="F246" s="26"/>
      <c r="G246" s="27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  <c r="CP246" s="50"/>
      <c r="CQ246" s="50"/>
      <c r="CR246" s="50"/>
      <c r="CS246" s="50"/>
      <c r="CT246" s="50"/>
      <c r="CU246" s="50"/>
      <c r="CV246" s="50"/>
      <c r="CW246" s="50"/>
      <c r="CX246" s="50"/>
      <c r="CY246" s="50"/>
      <c r="CZ246" s="50"/>
      <c r="DA246" s="50"/>
      <c r="DB246" s="50"/>
      <c r="DC246" s="50"/>
      <c r="DD246" s="50"/>
      <c r="DE246" s="50"/>
      <c r="DF246" s="50"/>
      <c r="DG246" s="50"/>
      <c r="DH246" s="50"/>
      <c r="DI246" s="50"/>
      <c r="DJ246" s="50"/>
      <c r="DK246" s="50"/>
      <c r="DL246" s="50"/>
      <c r="DM246" s="50"/>
      <c r="DN246" s="50"/>
      <c r="DO246" s="50"/>
      <c r="DP246" s="50"/>
      <c r="DQ246" s="50"/>
      <c r="DR246" s="50"/>
      <c r="DS246" s="50"/>
      <c r="DT246" s="50"/>
      <c r="DU246" s="50"/>
      <c r="DV246" s="50"/>
      <c r="DW246" s="50"/>
      <c r="DX246" s="50"/>
      <c r="DY246" s="50"/>
      <c r="DZ246" s="50"/>
      <c r="EA246" s="50"/>
      <c r="EB246" s="50"/>
      <c r="EC246" s="50"/>
      <c r="ED246" s="50"/>
      <c r="EE246" s="50"/>
      <c r="EF246" s="50"/>
      <c r="EG246" s="50"/>
      <c r="EH246" s="50"/>
      <c r="EI246" s="50"/>
      <c r="EJ246" s="50"/>
      <c r="EK246" s="50"/>
      <c r="EL246" s="50"/>
      <c r="EM246" s="50"/>
      <c r="EN246" s="50"/>
      <c r="EO246" s="50"/>
      <c r="EP246" s="50"/>
      <c r="EQ246" s="50"/>
      <c r="ER246" s="50"/>
      <c r="ES246" s="50"/>
      <c r="ET246" s="50"/>
      <c r="EU246" s="50"/>
      <c r="EV246" s="50"/>
    </row>
    <row r="247" spans="2:152" x14ac:dyDescent="0.75">
      <c r="B247" s="26"/>
      <c r="C247" s="27"/>
      <c r="D247" s="27"/>
      <c r="F247" s="26"/>
      <c r="G247" s="27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C247" s="50"/>
      <c r="DD247" s="50"/>
      <c r="DE247" s="50"/>
      <c r="DF247" s="50"/>
      <c r="DG247" s="50"/>
      <c r="DH247" s="50"/>
      <c r="DI247" s="50"/>
      <c r="DJ247" s="50"/>
      <c r="DK247" s="50"/>
      <c r="DL247" s="50"/>
      <c r="DM247" s="50"/>
      <c r="DN247" s="50"/>
      <c r="DO247" s="50"/>
      <c r="DP247" s="50"/>
      <c r="DQ247" s="50"/>
      <c r="DR247" s="50"/>
      <c r="DS247" s="50"/>
      <c r="DT247" s="50"/>
      <c r="DU247" s="50"/>
      <c r="DV247" s="50"/>
      <c r="DW247" s="50"/>
      <c r="DX247" s="50"/>
      <c r="DY247" s="50"/>
      <c r="DZ247" s="50"/>
      <c r="EA247" s="50"/>
      <c r="EB247" s="50"/>
      <c r="EC247" s="50"/>
      <c r="ED247" s="50"/>
      <c r="EE247" s="50"/>
      <c r="EF247" s="50"/>
      <c r="EG247" s="50"/>
      <c r="EH247" s="50"/>
      <c r="EI247" s="50"/>
      <c r="EJ247" s="50"/>
      <c r="EK247" s="50"/>
      <c r="EL247" s="50"/>
      <c r="EM247" s="50"/>
      <c r="EN247" s="50"/>
      <c r="EO247" s="50"/>
      <c r="EP247" s="50"/>
      <c r="EQ247" s="50"/>
      <c r="ER247" s="50"/>
      <c r="ES247" s="50"/>
      <c r="ET247" s="50"/>
      <c r="EU247" s="50"/>
      <c r="EV247" s="50"/>
    </row>
    <row r="248" spans="2:152" x14ac:dyDescent="0.75">
      <c r="B248" s="26"/>
      <c r="C248" s="27"/>
      <c r="D248" s="27"/>
      <c r="F248" s="26"/>
      <c r="G248" s="27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  <c r="BS248" s="50"/>
      <c r="BT248" s="50"/>
      <c r="BU248" s="50"/>
      <c r="BV248" s="50"/>
      <c r="BW248" s="50"/>
      <c r="BX248" s="50"/>
      <c r="BY248" s="50"/>
      <c r="BZ248" s="50"/>
      <c r="CA248" s="50"/>
      <c r="CB248" s="50"/>
      <c r="CC248" s="50"/>
      <c r="CD248" s="50"/>
      <c r="CE248" s="50"/>
      <c r="CF248" s="50"/>
      <c r="CG248" s="50"/>
      <c r="CH248" s="50"/>
      <c r="CI248" s="50"/>
      <c r="CJ248" s="50"/>
      <c r="CK248" s="50"/>
      <c r="CL248" s="50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50"/>
      <c r="DB248" s="50"/>
      <c r="DC248" s="50"/>
      <c r="DD248" s="50"/>
      <c r="DE248" s="50"/>
      <c r="DF248" s="50"/>
      <c r="DG248" s="50"/>
      <c r="DH248" s="50"/>
      <c r="DI248" s="50"/>
      <c r="DJ248" s="50"/>
      <c r="DK248" s="50"/>
      <c r="DL248" s="50"/>
      <c r="DM248" s="50"/>
      <c r="DN248" s="50"/>
      <c r="DO248" s="50"/>
      <c r="DP248" s="50"/>
      <c r="DQ248" s="50"/>
      <c r="DR248" s="50"/>
      <c r="DS248" s="50"/>
      <c r="DT248" s="50"/>
      <c r="DU248" s="50"/>
      <c r="DV248" s="50"/>
      <c r="DW248" s="50"/>
      <c r="DX248" s="50"/>
      <c r="DY248" s="50"/>
      <c r="DZ248" s="50"/>
      <c r="EA248" s="50"/>
      <c r="EB248" s="50"/>
      <c r="EC248" s="50"/>
      <c r="ED248" s="50"/>
      <c r="EE248" s="50"/>
      <c r="EF248" s="50"/>
      <c r="EG248" s="50"/>
      <c r="EH248" s="50"/>
      <c r="EI248" s="50"/>
      <c r="EJ248" s="50"/>
      <c r="EK248" s="50"/>
      <c r="EL248" s="50"/>
      <c r="EM248" s="50"/>
      <c r="EN248" s="50"/>
      <c r="EO248" s="50"/>
      <c r="EP248" s="50"/>
      <c r="EQ248" s="50"/>
      <c r="ER248" s="50"/>
      <c r="ES248" s="50"/>
      <c r="ET248" s="50"/>
      <c r="EU248" s="50"/>
      <c r="EV248" s="50"/>
    </row>
    <row r="249" spans="2:152" x14ac:dyDescent="0.75">
      <c r="B249" s="26"/>
      <c r="C249" s="27"/>
      <c r="D249" s="27"/>
      <c r="F249" s="26"/>
      <c r="G249" s="27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  <c r="CP249" s="50"/>
      <c r="CQ249" s="50"/>
      <c r="CR249" s="50"/>
      <c r="CS249" s="50"/>
      <c r="CT249" s="50"/>
      <c r="CU249" s="50"/>
      <c r="CV249" s="50"/>
      <c r="CW249" s="50"/>
      <c r="CX249" s="50"/>
      <c r="CY249" s="50"/>
      <c r="CZ249" s="50"/>
      <c r="DA249" s="50"/>
      <c r="DB249" s="50"/>
      <c r="DC249" s="50"/>
      <c r="DD249" s="50"/>
      <c r="DE249" s="50"/>
      <c r="DF249" s="50"/>
      <c r="DG249" s="50"/>
      <c r="DH249" s="50"/>
      <c r="DI249" s="50"/>
      <c r="DJ249" s="50"/>
      <c r="DK249" s="50"/>
      <c r="DL249" s="50"/>
      <c r="DM249" s="50"/>
      <c r="DN249" s="50"/>
      <c r="DO249" s="50"/>
      <c r="DP249" s="50"/>
      <c r="DQ249" s="50"/>
      <c r="DR249" s="50"/>
      <c r="DS249" s="50"/>
      <c r="DT249" s="50"/>
      <c r="DU249" s="50"/>
      <c r="DV249" s="50"/>
      <c r="DW249" s="50"/>
      <c r="DX249" s="50"/>
      <c r="DY249" s="50"/>
      <c r="DZ249" s="50"/>
      <c r="EA249" s="50"/>
      <c r="EB249" s="50"/>
      <c r="EC249" s="50"/>
      <c r="ED249" s="50"/>
      <c r="EE249" s="50"/>
      <c r="EF249" s="50"/>
      <c r="EG249" s="50"/>
      <c r="EH249" s="50"/>
      <c r="EI249" s="50"/>
      <c r="EJ249" s="50"/>
      <c r="EK249" s="50"/>
      <c r="EL249" s="50"/>
      <c r="EM249" s="50"/>
      <c r="EN249" s="50"/>
      <c r="EO249" s="50"/>
      <c r="EP249" s="50"/>
      <c r="EQ249" s="50"/>
      <c r="ER249" s="50"/>
      <c r="ES249" s="50"/>
      <c r="ET249" s="50"/>
      <c r="EU249" s="50"/>
      <c r="EV249" s="50"/>
    </row>
    <row r="250" spans="2:152" x14ac:dyDescent="0.75">
      <c r="B250" s="26"/>
      <c r="C250" s="27"/>
      <c r="D250" s="27"/>
      <c r="F250" s="26"/>
      <c r="G250" s="27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  <c r="CP250" s="50"/>
      <c r="CQ250" s="50"/>
      <c r="CR250" s="50"/>
      <c r="CS250" s="50"/>
      <c r="CT250" s="50"/>
      <c r="CU250" s="50"/>
      <c r="CV250" s="50"/>
      <c r="CW250" s="50"/>
      <c r="CX250" s="50"/>
      <c r="CY250" s="50"/>
      <c r="CZ250" s="50"/>
      <c r="DA250" s="50"/>
      <c r="DB250" s="50"/>
      <c r="DC250" s="50"/>
      <c r="DD250" s="50"/>
      <c r="DE250" s="50"/>
      <c r="DF250" s="50"/>
      <c r="DG250" s="50"/>
      <c r="DH250" s="50"/>
      <c r="DI250" s="50"/>
      <c r="DJ250" s="50"/>
      <c r="DK250" s="50"/>
      <c r="DL250" s="50"/>
      <c r="DM250" s="50"/>
      <c r="DN250" s="50"/>
      <c r="DO250" s="50"/>
      <c r="DP250" s="50"/>
      <c r="DQ250" s="50"/>
      <c r="DR250" s="50"/>
      <c r="DS250" s="50"/>
      <c r="DT250" s="50"/>
      <c r="DU250" s="50"/>
      <c r="DV250" s="50"/>
      <c r="DW250" s="50"/>
      <c r="DX250" s="50"/>
      <c r="DY250" s="50"/>
      <c r="DZ250" s="50"/>
      <c r="EA250" s="50"/>
      <c r="EB250" s="50"/>
      <c r="EC250" s="50"/>
      <c r="ED250" s="50"/>
      <c r="EE250" s="50"/>
      <c r="EF250" s="50"/>
      <c r="EG250" s="50"/>
      <c r="EH250" s="50"/>
      <c r="EI250" s="50"/>
      <c r="EJ250" s="50"/>
      <c r="EK250" s="50"/>
      <c r="EL250" s="50"/>
      <c r="EM250" s="50"/>
      <c r="EN250" s="50"/>
      <c r="EO250" s="50"/>
      <c r="EP250" s="50"/>
      <c r="EQ250" s="50"/>
      <c r="ER250" s="50"/>
      <c r="ES250" s="50"/>
      <c r="ET250" s="50"/>
      <c r="EU250" s="50"/>
      <c r="EV250" s="50"/>
    </row>
    <row r="251" spans="2:152" x14ac:dyDescent="0.75">
      <c r="B251" s="26"/>
      <c r="C251" s="27"/>
      <c r="D251" s="27"/>
      <c r="F251" s="26"/>
      <c r="G251" s="27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50"/>
      <c r="CI251" s="50"/>
      <c r="CJ251" s="50"/>
      <c r="CK251" s="50"/>
      <c r="CL251" s="50"/>
      <c r="CM251" s="50"/>
      <c r="CN251" s="50"/>
      <c r="CO251" s="50"/>
      <c r="CP251" s="50"/>
      <c r="CQ251" s="50"/>
      <c r="CR251" s="50"/>
      <c r="CS251" s="50"/>
      <c r="CT251" s="50"/>
      <c r="CU251" s="50"/>
      <c r="CV251" s="50"/>
      <c r="CW251" s="50"/>
      <c r="CX251" s="50"/>
      <c r="CY251" s="50"/>
      <c r="CZ251" s="50"/>
      <c r="DA251" s="50"/>
      <c r="DB251" s="50"/>
      <c r="DC251" s="50"/>
      <c r="DD251" s="50"/>
      <c r="DE251" s="50"/>
      <c r="DF251" s="50"/>
      <c r="DG251" s="50"/>
      <c r="DH251" s="50"/>
      <c r="DI251" s="50"/>
      <c r="DJ251" s="50"/>
      <c r="DK251" s="50"/>
      <c r="DL251" s="50"/>
      <c r="DM251" s="50"/>
      <c r="DN251" s="50"/>
      <c r="DO251" s="50"/>
      <c r="DP251" s="50"/>
      <c r="DQ251" s="50"/>
      <c r="DR251" s="50"/>
      <c r="DS251" s="50"/>
      <c r="DT251" s="50"/>
      <c r="DU251" s="50"/>
      <c r="DV251" s="50"/>
      <c r="DW251" s="50"/>
      <c r="DX251" s="50"/>
      <c r="DY251" s="50"/>
      <c r="DZ251" s="50"/>
      <c r="EA251" s="50"/>
      <c r="EB251" s="50"/>
      <c r="EC251" s="50"/>
      <c r="ED251" s="50"/>
      <c r="EE251" s="50"/>
      <c r="EF251" s="50"/>
      <c r="EG251" s="50"/>
      <c r="EH251" s="50"/>
      <c r="EI251" s="50"/>
      <c r="EJ251" s="50"/>
      <c r="EK251" s="50"/>
      <c r="EL251" s="50"/>
      <c r="EM251" s="50"/>
      <c r="EN251" s="50"/>
      <c r="EO251" s="50"/>
      <c r="EP251" s="50"/>
      <c r="EQ251" s="50"/>
      <c r="ER251" s="50"/>
      <c r="ES251" s="50"/>
      <c r="ET251" s="50"/>
      <c r="EU251" s="50"/>
      <c r="EV251" s="50"/>
    </row>
    <row r="252" spans="2:152" x14ac:dyDescent="0.75">
      <c r="B252" s="26"/>
      <c r="C252" s="27"/>
      <c r="D252" s="27"/>
      <c r="F252" s="26"/>
      <c r="G252" s="27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  <c r="CP252" s="50"/>
      <c r="CQ252" s="50"/>
      <c r="CR252" s="50"/>
      <c r="CS252" s="50"/>
      <c r="CT252" s="50"/>
      <c r="CU252" s="50"/>
      <c r="CV252" s="50"/>
      <c r="CW252" s="50"/>
      <c r="CX252" s="50"/>
      <c r="CY252" s="50"/>
      <c r="CZ252" s="50"/>
      <c r="DA252" s="50"/>
      <c r="DB252" s="50"/>
      <c r="DC252" s="50"/>
      <c r="DD252" s="50"/>
      <c r="DE252" s="50"/>
      <c r="DF252" s="50"/>
      <c r="DG252" s="50"/>
      <c r="DH252" s="50"/>
      <c r="DI252" s="50"/>
      <c r="DJ252" s="50"/>
      <c r="DK252" s="50"/>
      <c r="DL252" s="50"/>
      <c r="DM252" s="50"/>
      <c r="DN252" s="50"/>
      <c r="DO252" s="50"/>
      <c r="DP252" s="50"/>
      <c r="DQ252" s="50"/>
      <c r="DR252" s="50"/>
      <c r="DS252" s="50"/>
      <c r="DT252" s="50"/>
      <c r="DU252" s="50"/>
      <c r="DV252" s="50"/>
      <c r="DW252" s="50"/>
      <c r="DX252" s="50"/>
      <c r="DY252" s="50"/>
      <c r="DZ252" s="50"/>
      <c r="EA252" s="50"/>
      <c r="EB252" s="50"/>
      <c r="EC252" s="50"/>
      <c r="ED252" s="50"/>
      <c r="EE252" s="50"/>
      <c r="EF252" s="50"/>
      <c r="EG252" s="50"/>
      <c r="EH252" s="50"/>
      <c r="EI252" s="50"/>
      <c r="EJ252" s="50"/>
      <c r="EK252" s="50"/>
      <c r="EL252" s="50"/>
      <c r="EM252" s="50"/>
      <c r="EN252" s="50"/>
      <c r="EO252" s="50"/>
      <c r="EP252" s="50"/>
      <c r="EQ252" s="50"/>
      <c r="ER252" s="50"/>
      <c r="ES252" s="50"/>
      <c r="ET252" s="50"/>
      <c r="EU252" s="50"/>
      <c r="EV252" s="50"/>
    </row>
    <row r="253" spans="2:152" x14ac:dyDescent="0.75">
      <c r="B253" s="26"/>
      <c r="C253" s="27"/>
      <c r="D253" s="27"/>
      <c r="F253" s="26"/>
      <c r="G253" s="27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50"/>
      <c r="CI253" s="50"/>
      <c r="CJ253" s="50"/>
      <c r="CK253" s="50"/>
      <c r="CL253" s="50"/>
      <c r="CM253" s="50"/>
      <c r="CN253" s="50"/>
      <c r="CO253" s="50"/>
      <c r="CP253" s="50"/>
      <c r="CQ253" s="50"/>
      <c r="CR253" s="50"/>
      <c r="CS253" s="50"/>
      <c r="CT253" s="50"/>
      <c r="CU253" s="50"/>
      <c r="CV253" s="50"/>
      <c r="CW253" s="50"/>
      <c r="CX253" s="50"/>
      <c r="CY253" s="50"/>
      <c r="CZ253" s="50"/>
      <c r="DA253" s="50"/>
      <c r="DB253" s="50"/>
      <c r="DC253" s="50"/>
      <c r="DD253" s="50"/>
      <c r="DE253" s="50"/>
      <c r="DF253" s="50"/>
      <c r="DG253" s="50"/>
      <c r="DH253" s="50"/>
      <c r="DI253" s="50"/>
      <c r="DJ253" s="50"/>
      <c r="DK253" s="50"/>
      <c r="DL253" s="50"/>
      <c r="DM253" s="50"/>
      <c r="DN253" s="50"/>
      <c r="DO253" s="50"/>
      <c r="DP253" s="50"/>
      <c r="DQ253" s="50"/>
      <c r="DR253" s="50"/>
      <c r="DS253" s="50"/>
      <c r="DT253" s="50"/>
      <c r="DU253" s="50"/>
      <c r="DV253" s="50"/>
      <c r="DW253" s="50"/>
      <c r="DX253" s="50"/>
      <c r="DY253" s="50"/>
      <c r="DZ253" s="50"/>
      <c r="EA253" s="50"/>
      <c r="EB253" s="50"/>
      <c r="EC253" s="50"/>
      <c r="ED253" s="50"/>
      <c r="EE253" s="50"/>
      <c r="EF253" s="50"/>
      <c r="EG253" s="50"/>
      <c r="EH253" s="50"/>
      <c r="EI253" s="50"/>
      <c r="EJ253" s="50"/>
      <c r="EK253" s="50"/>
      <c r="EL253" s="50"/>
      <c r="EM253" s="50"/>
      <c r="EN253" s="50"/>
      <c r="EO253" s="50"/>
      <c r="EP253" s="50"/>
      <c r="EQ253" s="50"/>
      <c r="ER253" s="50"/>
      <c r="ES253" s="50"/>
      <c r="ET253" s="50"/>
      <c r="EU253" s="50"/>
      <c r="EV253" s="50"/>
    </row>
    <row r="254" spans="2:152" x14ac:dyDescent="0.75">
      <c r="B254" s="26"/>
      <c r="C254" s="27"/>
      <c r="D254" s="27"/>
      <c r="F254" s="26"/>
      <c r="G254" s="27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50"/>
      <c r="CI254" s="50"/>
      <c r="CJ254" s="50"/>
      <c r="CK254" s="50"/>
      <c r="CL254" s="50"/>
      <c r="CM254" s="50"/>
      <c r="CN254" s="50"/>
      <c r="CO254" s="50"/>
      <c r="CP254" s="50"/>
      <c r="CQ254" s="50"/>
      <c r="CR254" s="50"/>
      <c r="CS254" s="50"/>
      <c r="CT254" s="50"/>
      <c r="CU254" s="50"/>
      <c r="CV254" s="50"/>
      <c r="CW254" s="50"/>
      <c r="CX254" s="50"/>
      <c r="CY254" s="50"/>
      <c r="CZ254" s="50"/>
      <c r="DA254" s="50"/>
      <c r="DB254" s="50"/>
      <c r="DC254" s="50"/>
      <c r="DD254" s="50"/>
      <c r="DE254" s="50"/>
      <c r="DF254" s="50"/>
      <c r="DG254" s="50"/>
      <c r="DH254" s="50"/>
      <c r="DI254" s="50"/>
      <c r="DJ254" s="50"/>
      <c r="DK254" s="50"/>
      <c r="DL254" s="50"/>
      <c r="DM254" s="50"/>
      <c r="DN254" s="50"/>
      <c r="DO254" s="50"/>
      <c r="DP254" s="50"/>
      <c r="DQ254" s="50"/>
      <c r="DR254" s="50"/>
      <c r="DS254" s="50"/>
      <c r="DT254" s="50"/>
      <c r="DU254" s="50"/>
      <c r="DV254" s="50"/>
      <c r="DW254" s="50"/>
      <c r="DX254" s="50"/>
      <c r="DY254" s="50"/>
      <c r="DZ254" s="50"/>
      <c r="EA254" s="50"/>
      <c r="EB254" s="50"/>
      <c r="EC254" s="50"/>
      <c r="ED254" s="50"/>
      <c r="EE254" s="50"/>
      <c r="EF254" s="50"/>
      <c r="EG254" s="50"/>
      <c r="EH254" s="50"/>
      <c r="EI254" s="50"/>
      <c r="EJ254" s="50"/>
      <c r="EK254" s="50"/>
      <c r="EL254" s="50"/>
      <c r="EM254" s="50"/>
      <c r="EN254" s="50"/>
      <c r="EO254" s="50"/>
      <c r="EP254" s="50"/>
      <c r="EQ254" s="50"/>
      <c r="ER254" s="50"/>
      <c r="ES254" s="50"/>
      <c r="ET254" s="50"/>
      <c r="EU254" s="50"/>
      <c r="EV254" s="50"/>
    </row>
    <row r="255" spans="2:152" x14ac:dyDescent="0.75">
      <c r="B255" s="26"/>
      <c r="C255" s="27"/>
      <c r="D255" s="27"/>
      <c r="F255" s="26"/>
      <c r="G255" s="27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50"/>
      <c r="CI255" s="50"/>
      <c r="CJ255" s="50"/>
      <c r="CK255" s="50"/>
      <c r="CL255" s="50"/>
      <c r="CM255" s="50"/>
      <c r="CN255" s="50"/>
      <c r="CO255" s="50"/>
      <c r="CP255" s="50"/>
      <c r="CQ255" s="50"/>
      <c r="CR255" s="50"/>
      <c r="CS255" s="50"/>
      <c r="CT255" s="50"/>
      <c r="CU255" s="50"/>
      <c r="CV255" s="50"/>
      <c r="CW255" s="50"/>
      <c r="CX255" s="50"/>
      <c r="CY255" s="50"/>
      <c r="CZ255" s="50"/>
      <c r="DA255" s="50"/>
      <c r="DB255" s="50"/>
      <c r="DC255" s="50"/>
      <c r="DD255" s="50"/>
      <c r="DE255" s="50"/>
      <c r="DF255" s="50"/>
      <c r="DG255" s="50"/>
      <c r="DH255" s="50"/>
      <c r="DI255" s="50"/>
      <c r="DJ255" s="50"/>
      <c r="DK255" s="50"/>
      <c r="DL255" s="50"/>
      <c r="DM255" s="50"/>
      <c r="DN255" s="50"/>
      <c r="DO255" s="50"/>
      <c r="DP255" s="50"/>
      <c r="DQ255" s="50"/>
      <c r="DR255" s="50"/>
      <c r="DS255" s="50"/>
      <c r="DT255" s="50"/>
      <c r="DU255" s="50"/>
      <c r="DV255" s="50"/>
      <c r="DW255" s="50"/>
      <c r="DX255" s="50"/>
      <c r="DY255" s="50"/>
      <c r="DZ255" s="50"/>
      <c r="EA255" s="50"/>
      <c r="EB255" s="50"/>
      <c r="EC255" s="50"/>
      <c r="ED255" s="50"/>
      <c r="EE255" s="50"/>
      <c r="EF255" s="50"/>
      <c r="EG255" s="50"/>
      <c r="EH255" s="50"/>
      <c r="EI255" s="50"/>
      <c r="EJ255" s="50"/>
      <c r="EK255" s="50"/>
      <c r="EL255" s="50"/>
      <c r="EM255" s="50"/>
      <c r="EN255" s="50"/>
      <c r="EO255" s="50"/>
      <c r="EP255" s="50"/>
      <c r="EQ255" s="50"/>
      <c r="ER255" s="50"/>
      <c r="ES255" s="50"/>
      <c r="ET255" s="50"/>
      <c r="EU255" s="50"/>
      <c r="EV255" s="50"/>
    </row>
    <row r="256" spans="2:152" x14ac:dyDescent="0.75">
      <c r="B256" s="26"/>
      <c r="C256" s="27"/>
      <c r="D256" s="27"/>
      <c r="F256" s="26"/>
      <c r="G256" s="27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  <c r="CP256" s="50"/>
      <c r="CQ256" s="50"/>
      <c r="CR256" s="50"/>
      <c r="CS256" s="50"/>
      <c r="CT256" s="50"/>
      <c r="CU256" s="50"/>
      <c r="CV256" s="50"/>
      <c r="CW256" s="50"/>
      <c r="CX256" s="50"/>
      <c r="CY256" s="50"/>
      <c r="CZ256" s="50"/>
      <c r="DA256" s="50"/>
      <c r="DB256" s="50"/>
      <c r="DC256" s="50"/>
      <c r="DD256" s="50"/>
      <c r="DE256" s="50"/>
      <c r="DF256" s="50"/>
      <c r="DG256" s="50"/>
      <c r="DH256" s="50"/>
      <c r="DI256" s="50"/>
      <c r="DJ256" s="50"/>
      <c r="DK256" s="50"/>
      <c r="DL256" s="50"/>
      <c r="DM256" s="50"/>
      <c r="DN256" s="50"/>
      <c r="DO256" s="50"/>
      <c r="DP256" s="50"/>
      <c r="DQ256" s="50"/>
      <c r="DR256" s="50"/>
      <c r="DS256" s="50"/>
      <c r="DT256" s="50"/>
      <c r="DU256" s="50"/>
      <c r="DV256" s="50"/>
      <c r="DW256" s="50"/>
      <c r="DX256" s="50"/>
      <c r="DY256" s="50"/>
      <c r="DZ256" s="50"/>
      <c r="EA256" s="50"/>
      <c r="EB256" s="50"/>
      <c r="EC256" s="50"/>
      <c r="ED256" s="50"/>
      <c r="EE256" s="50"/>
      <c r="EF256" s="50"/>
      <c r="EG256" s="50"/>
      <c r="EH256" s="50"/>
      <c r="EI256" s="50"/>
      <c r="EJ256" s="50"/>
      <c r="EK256" s="50"/>
      <c r="EL256" s="50"/>
      <c r="EM256" s="50"/>
      <c r="EN256" s="50"/>
      <c r="EO256" s="50"/>
      <c r="EP256" s="50"/>
      <c r="EQ256" s="50"/>
      <c r="ER256" s="50"/>
      <c r="ES256" s="50"/>
      <c r="ET256" s="50"/>
      <c r="EU256" s="50"/>
      <c r="EV256" s="50"/>
    </row>
    <row r="257" spans="2:152" x14ac:dyDescent="0.75">
      <c r="B257" s="26"/>
      <c r="C257" s="27"/>
      <c r="D257" s="27"/>
      <c r="F257" s="26"/>
      <c r="G257" s="27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  <c r="CP257" s="50"/>
      <c r="CQ257" s="50"/>
      <c r="CR257" s="50"/>
      <c r="CS257" s="50"/>
      <c r="CT257" s="50"/>
      <c r="CU257" s="50"/>
      <c r="CV257" s="50"/>
      <c r="CW257" s="50"/>
      <c r="CX257" s="50"/>
      <c r="CY257" s="50"/>
      <c r="CZ257" s="50"/>
      <c r="DA257" s="50"/>
      <c r="DB257" s="50"/>
      <c r="DC257" s="50"/>
      <c r="DD257" s="50"/>
      <c r="DE257" s="50"/>
      <c r="DF257" s="50"/>
      <c r="DG257" s="50"/>
      <c r="DH257" s="50"/>
      <c r="DI257" s="50"/>
      <c r="DJ257" s="50"/>
      <c r="DK257" s="50"/>
      <c r="DL257" s="50"/>
      <c r="DM257" s="50"/>
      <c r="DN257" s="50"/>
      <c r="DO257" s="50"/>
      <c r="DP257" s="50"/>
      <c r="DQ257" s="50"/>
      <c r="DR257" s="50"/>
      <c r="DS257" s="50"/>
      <c r="DT257" s="50"/>
      <c r="DU257" s="50"/>
      <c r="DV257" s="50"/>
      <c r="DW257" s="50"/>
      <c r="DX257" s="50"/>
      <c r="DY257" s="50"/>
      <c r="DZ257" s="50"/>
      <c r="EA257" s="50"/>
      <c r="EB257" s="50"/>
      <c r="EC257" s="50"/>
      <c r="ED257" s="50"/>
      <c r="EE257" s="50"/>
      <c r="EF257" s="50"/>
      <c r="EG257" s="50"/>
      <c r="EH257" s="50"/>
      <c r="EI257" s="50"/>
      <c r="EJ257" s="50"/>
      <c r="EK257" s="50"/>
      <c r="EL257" s="50"/>
      <c r="EM257" s="50"/>
      <c r="EN257" s="50"/>
      <c r="EO257" s="50"/>
      <c r="EP257" s="50"/>
      <c r="EQ257" s="50"/>
      <c r="ER257" s="50"/>
      <c r="ES257" s="50"/>
      <c r="ET257" s="50"/>
      <c r="EU257" s="50"/>
      <c r="EV257" s="50"/>
    </row>
    <row r="258" spans="2:152" x14ac:dyDescent="0.75">
      <c r="B258" s="26"/>
      <c r="C258" s="27"/>
      <c r="D258" s="27"/>
      <c r="F258" s="26"/>
      <c r="G258" s="27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  <c r="CP258" s="50"/>
      <c r="CQ258" s="50"/>
      <c r="CR258" s="50"/>
      <c r="CS258" s="50"/>
      <c r="CT258" s="50"/>
      <c r="CU258" s="50"/>
      <c r="CV258" s="50"/>
      <c r="CW258" s="50"/>
      <c r="CX258" s="50"/>
      <c r="CY258" s="50"/>
      <c r="CZ258" s="50"/>
      <c r="DA258" s="50"/>
      <c r="DB258" s="50"/>
      <c r="DC258" s="50"/>
      <c r="DD258" s="50"/>
      <c r="DE258" s="50"/>
      <c r="DF258" s="50"/>
      <c r="DG258" s="50"/>
      <c r="DH258" s="50"/>
      <c r="DI258" s="50"/>
      <c r="DJ258" s="50"/>
      <c r="DK258" s="50"/>
      <c r="DL258" s="50"/>
      <c r="DM258" s="50"/>
      <c r="DN258" s="50"/>
      <c r="DO258" s="50"/>
      <c r="DP258" s="50"/>
      <c r="DQ258" s="50"/>
      <c r="DR258" s="50"/>
      <c r="DS258" s="50"/>
      <c r="DT258" s="50"/>
      <c r="DU258" s="50"/>
      <c r="DV258" s="50"/>
      <c r="DW258" s="50"/>
      <c r="DX258" s="50"/>
      <c r="DY258" s="50"/>
      <c r="DZ258" s="50"/>
      <c r="EA258" s="50"/>
      <c r="EB258" s="50"/>
      <c r="EC258" s="50"/>
      <c r="ED258" s="50"/>
      <c r="EE258" s="50"/>
      <c r="EF258" s="50"/>
      <c r="EG258" s="50"/>
      <c r="EH258" s="50"/>
      <c r="EI258" s="50"/>
      <c r="EJ258" s="50"/>
      <c r="EK258" s="50"/>
      <c r="EL258" s="50"/>
      <c r="EM258" s="50"/>
      <c r="EN258" s="50"/>
      <c r="EO258" s="50"/>
      <c r="EP258" s="50"/>
      <c r="EQ258" s="50"/>
      <c r="ER258" s="50"/>
      <c r="ES258" s="50"/>
      <c r="ET258" s="50"/>
      <c r="EU258" s="50"/>
      <c r="EV258" s="50"/>
    </row>
    <row r="259" spans="2:152" x14ac:dyDescent="0.75">
      <c r="B259" s="26"/>
      <c r="C259" s="27"/>
      <c r="D259" s="27"/>
      <c r="F259" s="26"/>
      <c r="G259" s="27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  <c r="CP259" s="50"/>
      <c r="CQ259" s="50"/>
      <c r="CR259" s="50"/>
      <c r="CS259" s="50"/>
      <c r="CT259" s="50"/>
      <c r="CU259" s="50"/>
      <c r="CV259" s="50"/>
      <c r="CW259" s="50"/>
      <c r="CX259" s="50"/>
      <c r="CY259" s="50"/>
      <c r="CZ259" s="50"/>
      <c r="DA259" s="50"/>
      <c r="DB259" s="50"/>
      <c r="DC259" s="50"/>
      <c r="DD259" s="50"/>
      <c r="DE259" s="50"/>
      <c r="DF259" s="50"/>
      <c r="DG259" s="50"/>
      <c r="DH259" s="50"/>
      <c r="DI259" s="50"/>
      <c r="DJ259" s="50"/>
      <c r="DK259" s="50"/>
      <c r="DL259" s="50"/>
      <c r="DM259" s="50"/>
      <c r="DN259" s="50"/>
      <c r="DO259" s="50"/>
      <c r="DP259" s="50"/>
      <c r="DQ259" s="50"/>
      <c r="DR259" s="50"/>
      <c r="DS259" s="50"/>
      <c r="DT259" s="50"/>
      <c r="DU259" s="50"/>
      <c r="DV259" s="50"/>
      <c r="DW259" s="50"/>
      <c r="DX259" s="50"/>
      <c r="DY259" s="50"/>
      <c r="DZ259" s="50"/>
      <c r="EA259" s="50"/>
      <c r="EB259" s="50"/>
      <c r="EC259" s="50"/>
      <c r="ED259" s="50"/>
      <c r="EE259" s="50"/>
      <c r="EF259" s="50"/>
      <c r="EG259" s="50"/>
      <c r="EH259" s="50"/>
      <c r="EI259" s="50"/>
      <c r="EJ259" s="50"/>
      <c r="EK259" s="50"/>
      <c r="EL259" s="50"/>
      <c r="EM259" s="50"/>
      <c r="EN259" s="50"/>
      <c r="EO259" s="50"/>
      <c r="EP259" s="50"/>
      <c r="EQ259" s="50"/>
      <c r="ER259" s="50"/>
      <c r="ES259" s="50"/>
      <c r="ET259" s="50"/>
      <c r="EU259" s="50"/>
      <c r="EV259" s="50"/>
    </row>
    <row r="260" spans="2:152" x14ac:dyDescent="0.75">
      <c r="B260" s="26"/>
      <c r="C260" s="27"/>
      <c r="D260" s="27"/>
      <c r="F260" s="26"/>
      <c r="G260" s="27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  <c r="CP260" s="50"/>
      <c r="CQ260" s="50"/>
      <c r="CR260" s="50"/>
      <c r="CS260" s="50"/>
      <c r="CT260" s="50"/>
      <c r="CU260" s="50"/>
      <c r="CV260" s="50"/>
      <c r="CW260" s="50"/>
      <c r="CX260" s="50"/>
      <c r="CY260" s="50"/>
      <c r="CZ260" s="50"/>
      <c r="DA260" s="50"/>
      <c r="DB260" s="50"/>
      <c r="DC260" s="50"/>
      <c r="DD260" s="50"/>
      <c r="DE260" s="50"/>
      <c r="DF260" s="50"/>
      <c r="DG260" s="50"/>
      <c r="DH260" s="50"/>
      <c r="DI260" s="50"/>
      <c r="DJ260" s="50"/>
      <c r="DK260" s="50"/>
      <c r="DL260" s="50"/>
      <c r="DM260" s="50"/>
      <c r="DN260" s="50"/>
      <c r="DO260" s="50"/>
      <c r="DP260" s="50"/>
      <c r="DQ260" s="50"/>
      <c r="DR260" s="50"/>
      <c r="DS260" s="50"/>
      <c r="DT260" s="50"/>
      <c r="DU260" s="50"/>
      <c r="DV260" s="50"/>
      <c r="DW260" s="50"/>
      <c r="DX260" s="50"/>
      <c r="DY260" s="50"/>
      <c r="DZ260" s="50"/>
      <c r="EA260" s="50"/>
      <c r="EB260" s="50"/>
      <c r="EC260" s="50"/>
      <c r="ED260" s="50"/>
      <c r="EE260" s="50"/>
      <c r="EF260" s="50"/>
      <c r="EG260" s="50"/>
      <c r="EH260" s="50"/>
      <c r="EI260" s="50"/>
      <c r="EJ260" s="50"/>
      <c r="EK260" s="50"/>
      <c r="EL260" s="50"/>
      <c r="EM260" s="50"/>
      <c r="EN260" s="50"/>
      <c r="EO260" s="50"/>
      <c r="EP260" s="50"/>
      <c r="EQ260" s="50"/>
      <c r="ER260" s="50"/>
      <c r="ES260" s="50"/>
      <c r="ET260" s="50"/>
      <c r="EU260" s="50"/>
      <c r="EV260" s="50"/>
    </row>
    <row r="261" spans="2:152" x14ac:dyDescent="0.75">
      <c r="B261" s="26"/>
      <c r="C261" s="27"/>
      <c r="D261" s="27"/>
      <c r="F261" s="26"/>
      <c r="G261" s="27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50"/>
      <c r="DB261" s="50"/>
      <c r="DC261" s="50"/>
      <c r="DD261" s="50"/>
      <c r="DE261" s="50"/>
      <c r="DF261" s="50"/>
      <c r="DG261" s="50"/>
      <c r="DH261" s="50"/>
      <c r="DI261" s="50"/>
      <c r="DJ261" s="50"/>
      <c r="DK261" s="50"/>
      <c r="DL261" s="50"/>
      <c r="DM261" s="50"/>
      <c r="DN261" s="50"/>
      <c r="DO261" s="50"/>
      <c r="DP261" s="50"/>
      <c r="DQ261" s="50"/>
      <c r="DR261" s="50"/>
      <c r="DS261" s="50"/>
      <c r="DT261" s="50"/>
      <c r="DU261" s="50"/>
      <c r="DV261" s="50"/>
      <c r="DW261" s="50"/>
      <c r="DX261" s="50"/>
      <c r="DY261" s="50"/>
      <c r="DZ261" s="50"/>
      <c r="EA261" s="50"/>
      <c r="EB261" s="50"/>
      <c r="EC261" s="50"/>
      <c r="ED261" s="50"/>
      <c r="EE261" s="50"/>
      <c r="EF261" s="50"/>
      <c r="EG261" s="50"/>
      <c r="EH261" s="50"/>
      <c r="EI261" s="50"/>
      <c r="EJ261" s="50"/>
      <c r="EK261" s="50"/>
      <c r="EL261" s="50"/>
      <c r="EM261" s="50"/>
      <c r="EN261" s="50"/>
      <c r="EO261" s="50"/>
      <c r="EP261" s="50"/>
      <c r="EQ261" s="50"/>
      <c r="ER261" s="50"/>
      <c r="ES261" s="50"/>
      <c r="ET261" s="50"/>
      <c r="EU261" s="50"/>
      <c r="EV261" s="50"/>
    </row>
    <row r="262" spans="2:152" x14ac:dyDescent="0.75">
      <c r="B262" s="26"/>
      <c r="C262" s="27"/>
      <c r="D262" s="27"/>
      <c r="F262" s="26"/>
      <c r="G262" s="27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50"/>
      <c r="DB262" s="50"/>
      <c r="DC262" s="50"/>
      <c r="DD262" s="50"/>
      <c r="DE262" s="50"/>
      <c r="DF262" s="50"/>
      <c r="DG262" s="50"/>
      <c r="DH262" s="50"/>
      <c r="DI262" s="50"/>
      <c r="DJ262" s="50"/>
      <c r="DK262" s="50"/>
      <c r="DL262" s="50"/>
      <c r="DM262" s="50"/>
      <c r="DN262" s="50"/>
      <c r="DO262" s="50"/>
      <c r="DP262" s="50"/>
      <c r="DQ262" s="50"/>
      <c r="DR262" s="50"/>
      <c r="DS262" s="50"/>
      <c r="DT262" s="50"/>
      <c r="DU262" s="50"/>
      <c r="DV262" s="50"/>
      <c r="DW262" s="50"/>
      <c r="DX262" s="50"/>
      <c r="DY262" s="50"/>
      <c r="DZ262" s="50"/>
      <c r="EA262" s="50"/>
      <c r="EB262" s="50"/>
      <c r="EC262" s="50"/>
      <c r="ED262" s="50"/>
      <c r="EE262" s="50"/>
      <c r="EF262" s="50"/>
      <c r="EG262" s="50"/>
      <c r="EH262" s="50"/>
      <c r="EI262" s="50"/>
      <c r="EJ262" s="50"/>
      <c r="EK262" s="50"/>
      <c r="EL262" s="50"/>
      <c r="EM262" s="50"/>
      <c r="EN262" s="50"/>
      <c r="EO262" s="50"/>
      <c r="EP262" s="50"/>
      <c r="EQ262" s="50"/>
      <c r="ER262" s="50"/>
      <c r="ES262" s="50"/>
      <c r="ET262" s="50"/>
      <c r="EU262" s="50"/>
      <c r="EV262" s="50"/>
    </row>
    <row r="263" spans="2:152" x14ac:dyDescent="0.75">
      <c r="B263" s="26"/>
      <c r="C263" s="27"/>
      <c r="D263" s="27"/>
      <c r="F263" s="26"/>
      <c r="G263" s="27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C263" s="50"/>
      <c r="DD263" s="50"/>
      <c r="DE263" s="50"/>
      <c r="DF263" s="50"/>
      <c r="DG263" s="50"/>
      <c r="DH263" s="50"/>
      <c r="DI263" s="50"/>
      <c r="DJ263" s="50"/>
      <c r="DK263" s="50"/>
      <c r="DL263" s="50"/>
      <c r="DM263" s="50"/>
      <c r="DN263" s="50"/>
      <c r="DO263" s="50"/>
      <c r="DP263" s="50"/>
      <c r="DQ263" s="50"/>
      <c r="DR263" s="50"/>
      <c r="DS263" s="50"/>
      <c r="DT263" s="50"/>
      <c r="DU263" s="50"/>
      <c r="DV263" s="50"/>
      <c r="DW263" s="50"/>
      <c r="DX263" s="50"/>
      <c r="DY263" s="50"/>
      <c r="DZ263" s="50"/>
      <c r="EA263" s="50"/>
      <c r="EB263" s="50"/>
      <c r="EC263" s="50"/>
      <c r="ED263" s="50"/>
      <c r="EE263" s="50"/>
      <c r="EF263" s="50"/>
      <c r="EG263" s="50"/>
      <c r="EH263" s="50"/>
      <c r="EI263" s="50"/>
      <c r="EJ263" s="50"/>
      <c r="EK263" s="50"/>
      <c r="EL263" s="50"/>
      <c r="EM263" s="50"/>
      <c r="EN263" s="50"/>
      <c r="EO263" s="50"/>
      <c r="EP263" s="50"/>
      <c r="EQ263" s="50"/>
      <c r="ER263" s="50"/>
      <c r="ES263" s="50"/>
      <c r="ET263" s="50"/>
      <c r="EU263" s="50"/>
      <c r="EV263" s="50"/>
    </row>
    <row r="264" spans="2:152" x14ac:dyDescent="0.75">
      <c r="B264" s="26"/>
      <c r="C264" s="27"/>
      <c r="D264" s="27"/>
      <c r="F264" s="26"/>
      <c r="G264" s="27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  <c r="CP264" s="50"/>
      <c r="CQ264" s="50"/>
      <c r="CR264" s="50"/>
      <c r="CS264" s="50"/>
      <c r="CT264" s="50"/>
      <c r="CU264" s="50"/>
      <c r="CV264" s="50"/>
      <c r="CW264" s="50"/>
      <c r="CX264" s="50"/>
      <c r="CY264" s="50"/>
      <c r="CZ264" s="50"/>
      <c r="DA264" s="50"/>
      <c r="DB264" s="50"/>
      <c r="DC264" s="50"/>
      <c r="DD264" s="50"/>
      <c r="DE264" s="50"/>
      <c r="DF264" s="50"/>
      <c r="DG264" s="50"/>
      <c r="DH264" s="50"/>
      <c r="DI264" s="50"/>
      <c r="DJ264" s="50"/>
      <c r="DK264" s="50"/>
      <c r="DL264" s="50"/>
      <c r="DM264" s="50"/>
      <c r="DN264" s="50"/>
      <c r="DO264" s="50"/>
      <c r="DP264" s="50"/>
      <c r="DQ264" s="50"/>
      <c r="DR264" s="50"/>
      <c r="DS264" s="50"/>
      <c r="DT264" s="50"/>
      <c r="DU264" s="50"/>
      <c r="DV264" s="50"/>
      <c r="DW264" s="50"/>
      <c r="DX264" s="50"/>
      <c r="DY264" s="50"/>
      <c r="DZ264" s="50"/>
      <c r="EA264" s="50"/>
      <c r="EB264" s="50"/>
      <c r="EC264" s="50"/>
      <c r="ED264" s="50"/>
      <c r="EE264" s="50"/>
      <c r="EF264" s="50"/>
      <c r="EG264" s="50"/>
      <c r="EH264" s="50"/>
      <c r="EI264" s="50"/>
      <c r="EJ264" s="50"/>
      <c r="EK264" s="50"/>
      <c r="EL264" s="50"/>
      <c r="EM264" s="50"/>
      <c r="EN264" s="50"/>
      <c r="EO264" s="50"/>
      <c r="EP264" s="50"/>
      <c r="EQ264" s="50"/>
      <c r="ER264" s="50"/>
      <c r="ES264" s="50"/>
      <c r="ET264" s="50"/>
      <c r="EU264" s="50"/>
      <c r="EV264" s="50"/>
    </row>
    <row r="265" spans="2:152" x14ac:dyDescent="0.75">
      <c r="B265" s="26"/>
      <c r="C265" s="27"/>
      <c r="D265" s="27"/>
      <c r="F265" s="26"/>
      <c r="G265" s="27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  <c r="CP265" s="50"/>
      <c r="CQ265" s="50"/>
      <c r="CR265" s="50"/>
      <c r="CS265" s="50"/>
      <c r="CT265" s="50"/>
      <c r="CU265" s="50"/>
      <c r="CV265" s="50"/>
      <c r="CW265" s="50"/>
      <c r="CX265" s="50"/>
      <c r="CY265" s="50"/>
      <c r="CZ265" s="50"/>
      <c r="DA265" s="50"/>
      <c r="DB265" s="50"/>
      <c r="DC265" s="50"/>
      <c r="DD265" s="50"/>
      <c r="DE265" s="50"/>
      <c r="DF265" s="50"/>
      <c r="DG265" s="50"/>
      <c r="DH265" s="50"/>
      <c r="DI265" s="50"/>
      <c r="DJ265" s="50"/>
      <c r="DK265" s="50"/>
      <c r="DL265" s="50"/>
      <c r="DM265" s="50"/>
      <c r="DN265" s="50"/>
      <c r="DO265" s="50"/>
      <c r="DP265" s="50"/>
      <c r="DQ265" s="50"/>
      <c r="DR265" s="50"/>
      <c r="DS265" s="50"/>
      <c r="DT265" s="50"/>
      <c r="DU265" s="50"/>
      <c r="DV265" s="50"/>
      <c r="DW265" s="50"/>
      <c r="DX265" s="50"/>
      <c r="DY265" s="50"/>
      <c r="DZ265" s="50"/>
      <c r="EA265" s="50"/>
      <c r="EB265" s="50"/>
      <c r="EC265" s="50"/>
      <c r="ED265" s="50"/>
      <c r="EE265" s="50"/>
      <c r="EF265" s="50"/>
      <c r="EG265" s="50"/>
      <c r="EH265" s="50"/>
      <c r="EI265" s="50"/>
      <c r="EJ265" s="50"/>
      <c r="EK265" s="50"/>
      <c r="EL265" s="50"/>
      <c r="EM265" s="50"/>
      <c r="EN265" s="50"/>
      <c r="EO265" s="50"/>
      <c r="EP265" s="50"/>
      <c r="EQ265" s="50"/>
      <c r="ER265" s="50"/>
      <c r="ES265" s="50"/>
      <c r="ET265" s="50"/>
      <c r="EU265" s="50"/>
      <c r="EV265" s="50"/>
    </row>
    <row r="266" spans="2:152" x14ac:dyDescent="0.75">
      <c r="B266" s="26"/>
      <c r="C266" s="27"/>
      <c r="D266" s="27"/>
      <c r="F266" s="26"/>
      <c r="G266" s="27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C266" s="50"/>
      <c r="DD266" s="50"/>
      <c r="DE266" s="50"/>
      <c r="DF266" s="50"/>
      <c r="DG266" s="50"/>
      <c r="DH266" s="50"/>
      <c r="DI266" s="50"/>
      <c r="DJ266" s="50"/>
      <c r="DK266" s="50"/>
      <c r="DL266" s="50"/>
      <c r="DM266" s="50"/>
      <c r="DN266" s="50"/>
      <c r="DO266" s="50"/>
      <c r="DP266" s="50"/>
      <c r="DQ266" s="50"/>
      <c r="DR266" s="50"/>
      <c r="DS266" s="50"/>
      <c r="DT266" s="50"/>
      <c r="DU266" s="50"/>
      <c r="DV266" s="50"/>
      <c r="DW266" s="50"/>
      <c r="DX266" s="50"/>
      <c r="DY266" s="50"/>
      <c r="DZ266" s="50"/>
      <c r="EA266" s="50"/>
      <c r="EB266" s="50"/>
      <c r="EC266" s="50"/>
      <c r="ED266" s="50"/>
      <c r="EE266" s="50"/>
      <c r="EF266" s="50"/>
      <c r="EG266" s="50"/>
      <c r="EH266" s="50"/>
      <c r="EI266" s="50"/>
      <c r="EJ266" s="50"/>
      <c r="EK266" s="50"/>
      <c r="EL266" s="50"/>
      <c r="EM266" s="50"/>
      <c r="EN266" s="50"/>
      <c r="EO266" s="50"/>
      <c r="EP266" s="50"/>
      <c r="EQ266" s="50"/>
      <c r="ER266" s="50"/>
      <c r="ES266" s="50"/>
      <c r="ET266" s="50"/>
      <c r="EU266" s="50"/>
      <c r="EV266" s="50"/>
    </row>
    <row r="267" spans="2:152" x14ac:dyDescent="0.75">
      <c r="B267" s="26"/>
      <c r="C267" s="27"/>
      <c r="D267" s="27"/>
      <c r="F267" s="26"/>
      <c r="G267" s="27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50"/>
      <c r="CI267" s="50"/>
      <c r="CJ267" s="50"/>
      <c r="CK267" s="50"/>
      <c r="CL267" s="50"/>
      <c r="CM267" s="50"/>
      <c r="CN267" s="50"/>
      <c r="CO267" s="50"/>
      <c r="CP267" s="50"/>
      <c r="CQ267" s="50"/>
      <c r="CR267" s="50"/>
      <c r="CS267" s="50"/>
      <c r="CT267" s="50"/>
      <c r="CU267" s="50"/>
      <c r="CV267" s="50"/>
      <c r="CW267" s="50"/>
      <c r="CX267" s="50"/>
      <c r="CY267" s="50"/>
      <c r="CZ267" s="50"/>
      <c r="DA267" s="50"/>
      <c r="DB267" s="50"/>
      <c r="DC267" s="50"/>
      <c r="DD267" s="50"/>
      <c r="DE267" s="50"/>
      <c r="DF267" s="50"/>
      <c r="DG267" s="50"/>
      <c r="DH267" s="50"/>
      <c r="DI267" s="50"/>
      <c r="DJ267" s="50"/>
      <c r="DK267" s="50"/>
      <c r="DL267" s="50"/>
      <c r="DM267" s="50"/>
      <c r="DN267" s="50"/>
      <c r="DO267" s="50"/>
      <c r="DP267" s="50"/>
      <c r="DQ267" s="50"/>
      <c r="DR267" s="50"/>
      <c r="DS267" s="50"/>
      <c r="DT267" s="50"/>
      <c r="DU267" s="50"/>
      <c r="DV267" s="50"/>
      <c r="DW267" s="50"/>
      <c r="DX267" s="50"/>
      <c r="DY267" s="50"/>
      <c r="DZ267" s="50"/>
      <c r="EA267" s="50"/>
      <c r="EB267" s="50"/>
      <c r="EC267" s="50"/>
      <c r="ED267" s="50"/>
      <c r="EE267" s="50"/>
      <c r="EF267" s="50"/>
      <c r="EG267" s="50"/>
      <c r="EH267" s="50"/>
      <c r="EI267" s="50"/>
      <c r="EJ267" s="50"/>
      <c r="EK267" s="50"/>
      <c r="EL267" s="50"/>
      <c r="EM267" s="50"/>
      <c r="EN267" s="50"/>
      <c r="EO267" s="50"/>
      <c r="EP267" s="50"/>
      <c r="EQ267" s="50"/>
      <c r="ER267" s="50"/>
      <c r="ES267" s="50"/>
      <c r="ET267" s="50"/>
      <c r="EU267" s="50"/>
      <c r="EV267" s="50"/>
    </row>
    <row r="268" spans="2:152" x14ac:dyDescent="0.75">
      <c r="B268" s="26"/>
      <c r="C268" s="27"/>
      <c r="D268" s="27"/>
      <c r="F268" s="26"/>
      <c r="G268" s="27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  <c r="CP268" s="50"/>
      <c r="CQ268" s="50"/>
      <c r="CR268" s="50"/>
      <c r="CS268" s="50"/>
      <c r="CT268" s="50"/>
      <c r="CU268" s="50"/>
      <c r="CV268" s="50"/>
      <c r="CW268" s="50"/>
      <c r="CX268" s="50"/>
      <c r="CY268" s="50"/>
      <c r="CZ268" s="50"/>
      <c r="DA268" s="50"/>
      <c r="DB268" s="50"/>
      <c r="DC268" s="50"/>
      <c r="DD268" s="50"/>
      <c r="DE268" s="50"/>
      <c r="DF268" s="50"/>
      <c r="DG268" s="50"/>
      <c r="DH268" s="50"/>
      <c r="DI268" s="50"/>
      <c r="DJ268" s="50"/>
      <c r="DK268" s="50"/>
      <c r="DL268" s="50"/>
      <c r="DM268" s="50"/>
      <c r="DN268" s="50"/>
      <c r="DO268" s="50"/>
      <c r="DP268" s="50"/>
      <c r="DQ268" s="50"/>
      <c r="DR268" s="50"/>
      <c r="DS268" s="50"/>
      <c r="DT268" s="50"/>
      <c r="DU268" s="50"/>
      <c r="DV268" s="50"/>
      <c r="DW268" s="50"/>
      <c r="DX268" s="50"/>
      <c r="DY268" s="50"/>
      <c r="DZ268" s="50"/>
      <c r="EA268" s="50"/>
      <c r="EB268" s="50"/>
      <c r="EC268" s="50"/>
      <c r="ED268" s="50"/>
      <c r="EE268" s="50"/>
      <c r="EF268" s="50"/>
      <c r="EG268" s="50"/>
      <c r="EH268" s="50"/>
      <c r="EI268" s="50"/>
      <c r="EJ268" s="50"/>
      <c r="EK268" s="50"/>
      <c r="EL268" s="50"/>
      <c r="EM268" s="50"/>
      <c r="EN268" s="50"/>
      <c r="EO268" s="50"/>
      <c r="EP268" s="50"/>
      <c r="EQ268" s="50"/>
      <c r="ER268" s="50"/>
      <c r="ES268" s="50"/>
      <c r="ET268" s="50"/>
      <c r="EU268" s="50"/>
      <c r="EV268" s="50"/>
    </row>
    <row r="269" spans="2:152" x14ac:dyDescent="0.75">
      <c r="B269" s="26"/>
      <c r="C269" s="27"/>
      <c r="D269" s="27"/>
      <c r="F269" s="26"/>
      <c r="G269" s="27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  <c r="CP269" s="50"/>
      <c r="CQ269" s="50"/>
      <c r="CR269" s="50"/>
      <c r="CS269" s="50"/>
      <c r="CT269" s="50"/>
      <c r="CU269" s="50"/>
      <c r="CV269" s="50"/>
      <c r="CW269" s="50"/>
      <c r="CX269" s="50"/>
      <c r="CY269" s="50"/>
      <c r="CZ269" s="50"/>
      <c r="DA269" s="50"/>
      <c r="DB269" s="50"/>
      <c r="DC269" s="50"/>
      <c r="DD269" s="50"/>
      <c r="DE269" s="50"/>
      <c r="DF269" s="50"/>
      <c r="DG269" s="50"/>
      <c r="DH269" s="50"/>
      <c r="DI269" s="50"/>
      <c r="DJ269" s="50"/>
      <c r="DK269" s="50"/>
      <c r="DL269" s="50"/>
      <c r="DM269" s="50"/>
      <c r="DN269" s="50"/>
      <c r="DO269" s="50"/>
      <c r="DP269" s="50"/>
      <c r="DQ269" s="50"/>
      <c r="DR269" s="50"/>
      <c r="DS269" s="50"/>
      <c r="DT269" s="50"/>
      <c r="DU269" s="50"/>
      <c r="DV269" s="50"/>
      <c r="DW269" s="50"/>
      <c r="DX269" s="50"/>
      <c r="DY269" s="50"/>
      <c r="DZ269" s="50"/>
      <c r="EA269" s="50"/>
      <c r="EB269" s="50"/>
      <c r="EC269" s="50"/>
      <c r="ED269" s="50"/>
      <c r="EE269" s="50"/>
      <c r="EF269" s="50"/>
      <c r="EG269" s="50"/>
      <c r="EH269" s="50"/>
      <c r="EI269" s="50"/>
      <c r="EJ269" s="50"/>
      <c r="EK269" s="50"/>
      <c r="EL269" s="50"/>
      <c r="EM269" s="50"/>
      <c r="EN269" s="50"/>
      <c r="EO269" s="50"/>
      <c r="EP269" s="50"/>
      <c r="EQ269" s="50"/>
      <c r="ER269" s="50"/>
      <c r="ES269" s="50"/>
      <c r="ET269" s="50"/>
      <c r="EU269" s="50"/>
      <c r="EV269" s="50"/>
    </row>
    <row r="270" spans="2:152" x14ac:dyDescent="0.75">
      <c r="B270" s="26"/>
      <c r="C270" s="27"/>
      <c r="D270" s="27"/>
      <c r="F270" s="26"/>
      <c r="G270" s="27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  <c r="CP270" s="50"/>
      <c r="CQ270" s="50"/>
      <c r="CR270" s="50"/>
      <c r="CS270" s="50"/>
      <c r="CT270" s="50"/>
      <c r="CU270" s="50"/>
      <c r="CV270" s="50"/>
      <c r="CW270" s="50"/>
      <c r="CX270" s="50"/>
      <c r="CY270" s="50"/>
      <c r="CZ270" s="50"/>
      <c r="DA270" s="50"/>
      <c r="DB270" s="50"/>
      <c r="DC270" s="50"/>
      <c r="DD270" s="50"/>
      <c r="DE270" s="50"/>
      <c r="DF270" s="50"/>
      <c r="DG270" s="50"/>
      <c r="DH270" s="50"/>
      <c r="DI270" s="50"/>
      <c r="DJ270" s="50"/>
      <c r="DK270" s="50"/>
      <c r="DL270" s="50"/>
      <c r="DM270" s="50"/>
      <c r="DN270" s="50"/>
      <c r="DO270" s="50"/>
      <c r="DP270" s="50"/>
      <c r="DQ270" s="50"/>
      <c r="DR270" s="50"/>
      <c r="DS270" s="50"/>
      <c r="DT270" s="50"/>
      <c r="DU270" s="50"/>
      <c r="DV270" s="50"/>
      <c r="DW270" s="50"/>
      <c r="DX270" s="50"/>
      <c r="DY270" s="50"/>
      <c r="DZ270" s="50"/>
      <c r="EA270" s="50"/>
      <c r="EB270" s="50"/>
      <c r="EC270" s="50"/>
      <c r="ED270" s="50"/>
      <c r="EE270" s="50"/>
      <c r="EF270" s="50"/>
      <c r="EG270" s="50"/>
      <c r="EH270" s="50"/>
      <c r="EI270" s="50"/>
      <c r="EJ270" s="50"/>
      <c r="EK270" s="50"/>
      <c r="EL270" s="50"/>
      <c r="EM270" s="50"/>
      <c r="EN270" s="50"/>
      <c r="EO270" s="50"/>
      <c r="EP270" s="50"/>
      <c r="EQ270" s="50"/>
      <c r="ER270" s="50"/>
      <c r="ES270" s="50"/>
      <c r="ET270" s="50"/>
      <c r="EU270" s="50"/>
      <c r="EV270" s="50"/>
    </row>
    <row r="271" spans="2:152" x14ac:dyDescent="0.75">
      <c r="B271" s="26"/>
      <c r="C271" s="27"/>
      <c r="D271" s="27"/>
      <c r="F271" s="26"/>
      <c r="G271" s="27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C271" s="50"/>
      <c r="DD271" s="50"/>
      <c r="DE271" s="50"/>
      <c r="DF271" s="50"/>
      <c r="DG271" s="50"/>
      <c r="DH271" s="50"/>
      <c r="DI271" s="50"/>
      <c r="DJ271" s="50"/>
      <c r="DK271" s="50"/>
      <c r="DL271" s="50"/>
      <c r="DM271" s="50"/>
      <c r="DN271" s="50"/>
      <c r="DO271" s="50"/>
      <c r="DP271" s="50"/>
      <c r="DQ271" s="50"/>
      <c r="DR271" s="50"/>
      <c r="DS271" s="50"/>
      <c r="DT271" s="50"/>
      <c r="DU271" s="50"/>
      <c r="DV271" s="50"/>
      <c r="DW271" s="50"/>
      <c r="DX271" s="50"/>
      <c r="DY271" s="50"/>
      <c r="DZ271" s="50"/>
      <c r="EA271" s="50"/>
      <c r="EB271" s="50"/>
      <c r="EC271" s="50"/>
      <c r="ED271" s="50"/>
      <c r="EE271" s="50"/>
      <c r="EF271" s="50"/>
      <c r="EG271" s="50"/>
      <c r="EH271" s="50"/>
      <c r="EI271" s="50"/>
      <c r="EJ271" s="50"/>
      <c r="EK271" s="50"/>
      <c r="EL271" s="50"/>
      <c r="EM271" s="50"/>
      <c r="EN271" s="50"/>
      <c r="EO271" s="50"/>
      <c r="EP271" s="50"/>
      <c r="EQ271" s="50"/>
      <c r="ER271" s="50"/>
      <c r="ES271" s="50"/>
      <c r="ET271" s="50"/>
      <c r="EU271" s="50"/>
      <c r="EV271" s="50"/>
    </row>
    <row r="272" spans="2:152" x14ac:dyDescent="0.75">
      <c r="B272" s="26"/>
      <c r="C272" s="27"/>
      <c r="D272" s="27"/>
      <c r="F272" s="26"/>
      <c r="G272" s="27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  <c r="CP272" s="50"/>
      <c r="CQ272" s="50"/>
      <c r="CR272" s="50"/>
      <c r="CS272" s="50"/>
      <c r="CT272" s="50"/>
      <c r="CU272" s="50"/>
      <c r="CV272" s="50"/>
      <c r="CW272" s="50"/>
      <c r="CX272" s="50"/>
      <c r="CY272" s="50"/>
      <c r="CZ272" s="50"/>
      <c r="DA272" s="50"/>
      <c r="DB272" s="50"/>
      <c r="DC272" s="50"/>
      <c r="DD272" s="50"/>
      <c r="DE272" s="50"/>
      <c r="DF272" s="50"/>
      <c r="DG272" s="50"/>
      <c r="DH272" s="50"/>
      <c r="DI272" s="50"/>
      <c r="DJ272" s="50"/>
      <c r="DK272" s="50"/>
      <c r="DL272" s="50"/>
      <c r="DM272" s="50"/>
      <c r="DN272" s="50"/>
      <c r="DO272" s="50"/>
      <c r="DP272" s="50"/>
      <c r="DQ272" s="50"/>
      <c r="DR272" s="50"/>
      <c r="DS272" s="50"/>
      <c r="DT272" s="50"/>
      <c r="DU272" s="50"/>
      <c r="DV272" s="50"/>
      <c r="DW272" s="50"/>
      <c r="DX272" s="50"/>
      <c r="DY272" s="50"/>
      <c r="DZ272" s="50"/>
      <c r="EA272" s="50"/>
      <c r="EB272" s="50"/>
      <c r="EC272" s="50"/>
      <c r="ED272" s="50"/>
      <c r="EE272" s="50"/>
      <c r="EF272" s="50"/>
      <c r="EG272" s="50"/>
      <c r="EH272" s="50"/>
      <c r="EI272" s="50"/>
      <c r="EJ272" s="50"/>
      <c r="EK272" s="50"/>
      <c r="EL272" s="50"/>
      <c r="EM272" s="50"/>
      <c r="EN272" s="50"/>
      <c r="EO272" s="50"/>
      <c r="EP272" s="50"/>
      <c r="EQ272" s="50"/>
      <c r="ER272" s="50"/>
      <c r="ES272" s="50"/>
      <c r="ET272" s="50"/>
      <c r="EU272" s="50"/>
      <c r="EV272" s="50"/>
    </row>
    <row r="273" spans="2:152" x14ac:dyDescent="0.75">
      <c r="B273" s="26"/>
      <c r="C273" s="27"/>
      <c r="D273" s="27"/>
      <c r="F273" s="26"/>
      <c r="G273" s="27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  <c r="CP273" s="50"/>
      <c r="CQ273" s="50"/>
      <c r="CR273" s="50"/>
      <c r="CS273" s="50"/>
      <c r="CT273" s="50"/>
      <c r="CU273" s="50"/>
      <c r="CV273" s="50"/>
      <c r="CW273" s="50"/>
      <c r="CX273" s="50"/>
      <c r="CY273" s="50"/>
      <c r="CZ273" s="50"/>
      <c r="DA273" s="50"/>
      <c r="DB273" s="50"/>
      <c r="DC273" s="50"/>
      <c r="DD273" s="50"/>
      <c r="DE273" s="50"/>
      <c r="DF273" s="50"/>
      <c r="DG273" s="50"/>
      <c r="DH273" s="50"/>
      <c r="DI273" s="50"/>
      <c r="DJ273" s="50"/>
      <c r="DK273" s="50"/>
      <c r="DL273" s="50"/>
      <c r="DM273" s="50"/>
      <c r="DN273" s="50"/>
      <c r="DO273" s="50"/>
      <c r="DP273" s="50"/>
      <c r="DQ273" s="50"/>
      <c r="DR273" s="50"/>
      <c r="DS273" s="50"/>
      <c r="DT273" s="50"/>
      <c r="DU273" s="50"/>
      <c r="DV273" s="50"/>
      <c r="DW273" s="50"/>
      <c r="DX273" s="50"/>
      <c r="DY273" s="50"/>
      <c r="DZ273" s="50"/>
      <c r="EA273" s="50"/>
      <c r="EB273" s="50"/>
      <c r="EC273" s="50"/>
      <c r="ED273" s="50"/>
      <c r="EE273" s="50"/>
      <c r="EF273" s="50"/>
      <c r="EG273" s="50"/>
      <c r="EH273" s="50"/>
      <c r="EI273" s="50"/>
      <c r="EJ273" s="50"/>
      <c r="EK273" s="50"/>
      <c r="EL273" s="50"/>
      <c r="EM273" s="50"/>
      <c r="EN273" s="50"/>
      <c r="EO273" s="50"/>
      <c r="EP273" s="50"/>
      <c r="EQ273" s="50"/>
      <c r="ER273" s="50"/>
      <c r="ES273" s="50"/>
      <c r="ET273" s="50"/>
      <c r="EU273" s="50"/>
      <c r="EV273" s="50"/>
    </row>
    <row r="274" spans="2:152" x14ac:dyDescent="0.75">
      <c r="B274" s="26"/>
      <c r="C274" s="27"/>
      <c r="D274" s="27"/>
      <c r="F274" s="26"/>
      <c r="G274" s="27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  <c r="CP274" s="50"/>
      <c r="CQ274" s="50"/>
      <c r="CR274" s="50"/>
      <c r="CS274" s="50"/>
      <c r="CT274" s="50"/>
      <c r="CU274" s="50"/>
      <c r="CV274" s="50"/>
      <c r="CW274" s="50"/>
      <c r="CX274" s="50"/>
      <c r="CY274" s="50"/>
      <c r="CZ274" s="50"/>
      <c r="DA274" s="50"/>
      <c r="DB274" s="50"/>
      <c r="DC274" s="50"/>
      <c r="DD274" s="50"/>
      <c r="DE274" s="50"/>
      <c r="DF274" s="50"/>
      <c r="DG274" s="50"/>
      <c r="DH274" s="50"/>
      <c r="DI274" s="50"/>
      <c r="DJ274" s="50"/>
      <c r="DK274" s="50"/>
      <c r="DL274" s="50"/>
      <c r="DM274" s="50"/>
      <c r="DN274" s="50"/>
      <c r="DO274" s="50"/>
      <c r="DP274" s="50"/>
      <c r="DQ274" s="50"/>
      <c r="DR274" s="50"/>
      <c r="DS274" s="50"/>
      <c r="DT274" s="50"/>
      <c r="DU274" s="50"/>
      <c r="DV274" s="50"/>
      <c r="DW274" s="50"/>
      <c r="DX274" s="50"/>
      <c r="DY274" s="50"/>
      <c r="DZ274" s="50"/>
      <c r="EA274" s="50"/>
      <c r="EB274" s="50"/>
      <c r="EC274" s="50"/>
      <c r="ED274" s="50"/>
      <c r="EE274" s="50"/>
      <c r="EF274" s="50"/>
      <c r="EG274" s="50"/>
      <c r="EH274" s="50"/>
      <c r="EI274" s="50"/>
      <c r="EJ274" s="50"/>
      <c r="EK274" s="50"/>
      <c r="EL274" s="50"/>
      <c r="EM274" s="50"/>
      <c r="EN274" s="50"/>
      <c r="EO274" s="50"/>
      <c r="EP274" s="50"/>
      <c r="EQ274" s="50"/>
      <c r="ER274" s="50"/>
      <c r="ES274" s="50"/>
      <c r="ET274" s="50"/>
      <c r="EU274" s="50"/>
      <c r="EV274" s="50"/>
    </row>
    <row r="275" spans="2:152" x14ac:dyDescent="0.75">
      <c r="B275" s="26"/>
      <c r="C275" s="27"/>
      <c r="D275" s="27"/>
      <c r="F275" s="26"/>
      <c r="G275" s="27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  <c r="CP275" s="50"/>
      <c r="CQ275" s="50"/>
      <c r="CR275" s="50"/>
      <c r="CS275" s="50"/>
      <c r="CT275" s="50"/>
      <c r="CU275" s="50"/>
      <c r="CV275" s="50"/>
      <c r="CW275" s="50"/>
      <c r="CX275" s="50"/>
      <c r="CY275" s="50"/>
      <c r="CZ275" s="50"/>
      <c r="DA275" s="50"/>
      <c r="DB275" s="50"/>
      <c r="DC275" s="50"/>
      <c r="DD275" s="50"/>
      <c r="DE275" s="50"/>
      <c r="DF275" s="50"/>
      <c r="DG275" s="50"/>
      <c r="DH275" s="50"/>
      <c r="DI275" s="50"/>
      <c r="DJ275" s="50"/>
      <c r="DK275" s="50"/>
      <c r="DL275" s="50"/>
      <c r="DM275" s="50"/>
      <c r="DN275" s="50"/>
      <c r="DO275" s="50"/>
      <c r="DP275" s="50"/>
      <c r="DQ275" s="50"/>
      <c r="DR275" s="50"/>
      <c r="DS275" s="50"/>
      <c r="DT275" s="50"/>
      <c r="DU275" s="50"/>
      <c r="DV275" s="50"/>
      <c r="DW275" s="50"/>
      <c r="DX275" s="50"/>
      <c r="DY275" s="50"/>
      <c r="DZ275" s="50"/>
      <c r="EA275" s="50"/>
      <c r="EB275" s="50"/>
      <c r="EC275" s="50"/>
      <c r="ED275" s="50"/>
      <c r="EE275" s="50"/>
      <c r="EF275" s="50"/>
      <c r="EG275" s="50"/>
      <c r="EH275" s="50"/>
      <c r="EI275" s="50"/>
      <c r="EJ275" s="50"/>
      <c r="EK275" s="50"/>
      <c r="EL275" s="50"/>
      <c r="EM275" s="50"/>
      <c r="EN275" s="50"/>
      <c r="EO275" s="50"/>
      <c r="EP275" s="50"/>
      <c r="EQ275" s="50"/>
      <c r="ER275" s="50"/>
      <c r="ES275" s="50"/>
      <c r="ET275" s="50"/>
      <c r="EU275" s="50"/>
      <c r="EV275" s="50"/>
    </row>
    <row r="276" spans="2:152" x14ac:dyDescent="0.75">
      <c r="B276" s="26"/>
      <c r="C276" s="27"/>
      <c r="D276" s="27"/>
      <c r="F276" s="26"/>
      <c r="G276" s="27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  <c r="CB276" s="50"/>
      <c r="CC276" s="50"/>
      <c r="CD276" s="50"/>
      <c r="CE276" s="50"/>
      <c r="CF276" s="50"/>
      <c r="CG276" s="50"/>
      <c r="CH276" s="50"/>
      <c r="CI276" s="50"/>
      <c r="CJ276" s="50"/>
      <c r="CK276" s="50"/>
      <c r="CL276" s="50"/>
      <c r="CM276" s="50"/>
      <c r="CN276" s="50"/>
      <c r="CO276" s="50"/>
      <c r="CP276" s="50"/>
      <c r="CQ276" s="50"/>
      <c r="CR276" s="50"/>
      <c r="CS276" s="50"/>
      <c r="CT276" s="50"/>
      <c r="CU276" s="50"/>
      <c r="CV276" s="50"/>
      <c r="CW276" s="50"/>
      <c r="CX276" s="50"/>
      <c r="CY276" s="50"/>
      <c r="CZ276" s="50"/>
      <c r="DA276" s="50"/>
      <c r="DB276" s="50"/>
      <c r="DC276" s="50"/>
      <c r="DD276" s="50"/>
      <c r="DE276" s="50"/>
      <c r="DF276" s="50"/>
      <c r="DG276" s="50"/>
      <c r="DH276" s="50"/>
      <c r="DI276" s="50"/>
      <c r="DJ276" s="50"/>
      <c r="DK276" s="50"/>
      <c r="DL276" s="50"/>
      <c r="DM276" s="50"/>
      <c r="DN276" s="50"/>
      <c r="DO276" s="50"/>
      <c r="DP276" s="50"/>
      <c r="DQ276" s="50"/>
      <c r="DR276" s="50"/>
      <c r="DS276" s="50"/>
      <c r="DT276" s="50"/>
      <c r="DU276" s="50"/>
      <c r="DV276" s="50"/>
      <c r="DW276" s="50"/>
      <c r="DX276" s="50"/>
      <c r="DY276" s="50"/>
      <c r="DZ276" s="50"/>
      <c r="EA276" s="50"/>
      <c r="EB276" s="50"/>
      <c r="EC276" s="50"/>
      <c r="ED276" s="50"/>
      <c r="EE276" s="50"/>
      <c r="EF276" s="50"/>
      <c r="EG276" s="50"/>
      <c r="EH276" s="50"/>
      <c r="EI276" s="50"/>
      <c r="EJ276" s="50"/>
      <c r="EK276" s="50"/>
      <c r="EL276" s="50"/>
      <c r="EM276" s="50"/>
      <c r="EN276" s="50"/>
      <c r="EO276" s="50"/>
      <c r="EP276" s="50"/>
      <c r="EQ276" s="50"/>
      <c r="ER276" s="50"/>
      <c r="ES276" s="50"/>
      <c r="ET276" s="50"/>
      <c r="EU276" s="50"/>
      <c r="EV276" s="50"/>
    </row>
    <row r="277" spans="2:152" x14ac:dyDescent="0.75">
      <c r="B277" s="26"/>
      <c r="C277" s="27"/>
      <c r="D277" s="27"/>
      <c r="F277" s="26"/>
      <c r="G277" s="27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  <c r="CB277" s="50"/>
      <c r="CC277" s="50"/>
      <c r="CD277" s="50"/>
      <c r="CE277" s="50"/>
      <c r="CF277" s="50"/>
      <c r="CG277" s="50"/>
      <c r="CH277" s="50"/>
      <c r="CI277" s="50"/>
      <c r="CJ277" s="50"/>
      <c r="CK277" s="50"/>
      <c r="CL277" s="50"/>
      <c r="CM277" s="50"/>
      <c r="CN277" s="50"/>
      <c r="CO277" s="50"/>
      <c r="CP277" s="50"/>
      <c r="CQ277" s="50"/>
      <c r="CR277" s="50"/>
      <c r="CS277" s="50"/>
      <c r="CT277" s="50"/>
      <c r="CU277" s="50"/>
      <c r="CV277" s="50"/>
      <c r="CW277" s="50"/>
      <c r="CX277" s="50"/>
      <c r="CY277" s="50"/>
      <c r="CZ277" s="50"/>
      <c r="DA277" s="50"/>
      <c r="DB277" s="50"/>
      <c r="DC277" s="50"/>
      <c r="DD277" s="50"/>
      <c r="DE277" s="50"/>
      <c r="DF277" s="50"/>
      <c r="DG277" s="50"/>
      <c r="DH277" s="50"/>
      <c r="DI277" s="50"/>
      <c r="DJ277" s="50"/>
      <c r="DK277" s="50"/>
      <c r="DL277" s="50"/>
      <c r="DM277" s="50"/>
      <c r="DN277" s="50"/>
      <c r="DO277" s="50"/>
      <c r="DP277" s="50"/>
      <c r="DQ277" s="50"/>
      <c r="DR277" s="50"/>
      <c r="DS277" s="50"/>
      <c r="DT277" s="50"/>
      <c r="DU277" s="50"/>
      <c r="DV277" s="50"/>
      <c r="DW277" s="50"/>
      <c r="DX277" s="50"/>
      <c r="DY277" s="50"/>
      <c r="DZ277" s="50"/>
      <c r="EA277" s="50"/>
      <c r="EB277" s="50"/>
      <c r="EC277" s="50"/>
      <c r="ED277" s="50"/>
      <c r="EE277" s="50"/>
      <c r="EF277" s="50"/>
      <c r="EG277" s="50"/>
      <c r="EH277" s="50"/>
      <c r="EI277" s="50"/>
      <c r="EJ277" s="50"/>
      <c r="EK277" s="50"/>
      <c r="EL277" s="50"/>
      <c r="EM277" s="50"/>
      <c r="EN277" s="50"/>
      <c r="EO277" s="50"/>
      <c r="EP277" s="50"/>
      <c r="EQ277" s="50"/>
      <c r="ER277" s="50"/>
      <c r="ES277" s="50"/>
      <c r="ET277" s="50"/>
      <c r="EU277" s="50"/>
      <c r="EV277" s="50"/>
    </row>
    <row r="278" spans="2:152" x14ac:dyDescent="0.75">
      <c r="B278" s="26"/>
      <c r="C278" s="27"/>
      <c r="D278" s="27"/>
      <c r="F278" s="26"/>
      <c r="G278" s="27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  <c r="CP278" s="50"/>
      <c r="CQ278" s="50"/>
      <c r="CR278" s="50"/>
      <c r="CS278" s="50"/>
      <c r="CT278" s="50"/>
      <c r="CU278" s="50"/>
      <c r="CV278" s="50"/>
      <c r="CW278" s="50"/>
      <c r="CX278" s="50"/>
      <c r="CY278" s="50"/>
      <c r="CZ278" s="50"/>
      <c r="DA278" s="50"/>
      <c r="DB278" s="50"/>
      <c r="DC278" s="50"/>
      <c r="DD278" s="50"/>
      <c r="DE278" s="50"/>
      <c r="DF278" s="50"/>
      <c r="DG278" s="50"/>
      <c r="DH278" s="50"/>
      <c r="DI278" s="50"/>
      <c r="DJ278" s="50"/>
      <c r="DK278" s="50"/>
      <c r="DL278" s="50"/>
      <c r="DM278" s="50"/>
      <c r="DN278" s="50"/>
      <c r="DO278" s="50"/>
      <c r="DP278" s="50"/>
      <c r="DQ278" s="50"/>
      <c r="DR278" s="50"/>
      <c r="DS278" s="50"/>
      <c r="DT278" s="50"/>
      <c r="DU278" s="50"/>
      <c r="DV278" s="50"/>
      <c r="DW278" s="50"/>
      <c r="DX278" s="50"/>
      <c r="DY278" s="50"/>
      <c r="DZ278" s="50"/>
      <c r="EA278" s="50"/>
      <c r="EB278" s="50"/>
      <c r="EC278" s="50"/>
      <c r="ED278" s="50"/>
      <c r="EE278" s="50"/>
      <c r="EF278" s="50"/>
      <c r="EG278" s="50"/>
      <c r="EH278" s="50"/>
      <c r="EI278" s="50"/>
      <c r="EJ278" s="50"/>
      <c r="EK278" s="50"/>
      <c r="EL278" s="50"/>
      <c r="EM278" s="50"/>
      <c r="EN278" s="50"/>
      <c r="EO278" s="50"/>
      <c r="EP278" s="50"/>
      <c r="EQ278" s="50"/>
      <c r="ER278" s="50"/>
      <c r="ES278" s="50"/>
      <c r="ET278" s="50"/>
      <c r="EU278" s="50"/>
      <c r="EV278" s="50"/>
    </row>
    <row r="279" spans="2:152" x14ac:dyDescent="0.75">
      <c r="B279" s="26"/>
      <c r="C279" s="27"/>
      <c r="D279" s="27"/>
      <c r="F279" s="26"/>
      <c r="G279" s="27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  <c r="CP279" s="50"/>
      <c r="CQ279" s="50"/>
      <c r="CR279" s="50"/>
      <c r="CS279" s="50"/>
      <c r="CT279" s="50"/>
      <c r="CU279" s="50"/>
      <c r="CV279" s="50"/>
      <c r="CW279" s="50"/>
      <c r="CX279" s="50"/>
      <c r="CY279" s="50"/>
      <c r="CZ279" s="50"/>
      <c r="DA279" s="50"/>
      <c r="DB279" s="50"/>
      <c r="DC279" s="50"/>
      <c r="DD279" s="50"/>
      <c r="DE279" s="50"/>
      <c r="DF279" s="50"/>
      <c r="DG279" s="50"/>
      <c r="DH279" s="50"/>
      <c r="DI279" s="50"/>
      <c r="DJ279" s="50"/>
      <c r="DK279" s="50"/>
      <c r="DL279" s="50"/>
      <c r="DM279" s="50"/>
      <c r="DN279" s="50"/>
      <c r="DO279" s="50"/>
      <c r="DP279" s="50"/>
      <c r="DQ279" s="50"/>
      <c r="DR279" s="50"/>
      <c r="DS279" s="50"/>
      <c r="DT279" s="50"/>
      <c r="DU279" s="50"/>
      <c r="DV279" s="50"/>
      <c r="DW279" s="50"/>
      <c r="DX279" s="50"/>
      <c r="DY279" s="50"/>
      <c r="DZ279" s="50"/>
      <c r="EA279" s="50"/>
      <c r="EB279" s="50"/>
      <c r="EC279" s="50"/>
      <c r="ED279" s="50"/>
      <c r="EE279" s="50"/>
      <c r="EF279" s="50"/>
      <c r="EG279" s="50"/>
      <c r="EH279" s="50"/>
      <c r="EI279" s="50"/>
      <c r="EJ279" s="50"/>
      <c r="EK279" s="50"/>
      <c r="EL279" s="50"/>
      <c r="EM279" s="50"/>
      <c r="EN279" s="50"/>
      <c r="EO279" s="50"/>
      <c r="EP279" s="50"/>
      <c r="EQ279" s="50"/>
      <c r="ER279" s="50"/>
      <c r="ES279" s="50"/>
      <c r="ET279" s="50"/>
      <c r="EU279" s="50"/>
      <c r="EV279" s="50"/>
    </row>
    <row r="280" spans="2:152" x14ac:dyDescent="0.75">
      <c r="B280" s="26"/>
      <c r="C280" s="27"/>
      <c r="D280" s="27"/>
      <c r="F280" s="26"/>
      <c r="G280" s="27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  <c r="CB280" s="50"/>
      <c r="CC280" s="50"/>
      <c r="CD280" s="50"/>
      <c r="CE280" s="50"/>
      <c r="CF280" s="50"/>
      <c r="CG280" s="50"/>
      <c r="CH280" s="50"/>
      <c r="CI280" s="50"/>
      <c r="CJ280" s="50"/>
      <c r="CK280" s="50"/>
      <c r="CL280" s="50"/>
      <c r="CM280" s="50"/>
      <c r="CN280" s="50"/>
      <c r="CO280" s="50"/>
      <c r="CP280" s="50"/>
      <c r="CQ280" s="50"/>
      <c r="CR280" s="50"/>
      <c r="CS280" s="50"/>
      <c r="CT280" s="50"/>
      <c r="CU280" s="50"/>
      <c r="CV280" s="50"/>
      <c r="CW280" s="50"/>
      <c r="CX280" s="50"/>
      <c r="CY280" s="50"/>
      <c r="CZ280" s="50"/>
      <c r="DA280" s="50"/>
      <c r="DB280" s="50"/>
      <c r="DC280" s="50"/>
      <c r="DD280" s="50"/>
      <c r="DE280" s="50"/>
      <c r="DF280" s="50"/>
      <c r="DG280" s="50"/>
      <c r="DH280" s="50"/>
      <c r="DI280" s="50"/>
      <c r="DJ280" s="50"/>
      <c r="DK280" s="50"/>
      <c r="DL280" s="50"/>
      <c r="DM280" s="50"/>
      <c r="DN280" s="50"/>
      <c r="DO280" s="50"/>
      <c r="DP280" s="50"/>
      <c r="DQ280" s="50"/>
      <c r="DR280" s="50"/>
      <c r="DS280" s="50"/>
      <c r="DT280" s="50"/>
      <c r="DU280" s="50"/>
      <c r="DV280" s="50"/>
      <c r="DW280" s="50"/>
      <c r="DX280" s="50"/>
      <c r="DY280" s="50"/>
      <c r="DZ280" s="50"/>
      <c r="EA280" s="50"/>
      <c r="EB280" s="50"/>
      <c r="EC280" s="50"/>
      <c r="ED280" s="50"/>
      <c r="EE280" s="50"/>
      <c r="EF280" s="50"/>
      <c r="EG280" s="50"/>
      <c r="EH280" s="50"/>
      <c r="EI280" s="50"/>
      <c r="EJ280" s="50"/>
      <c r="EK280" s="50"/>
      <c r="EL280" s="50"/>
      <c r="EM280" s="50"/>
      <c r="EN280" s="50"/>
      <c r="EO280" s="50"/>
      <c r="EP280" s="50"/>
      <c r="EQ280" s="50"/>
      <c r="ER280" s="50"/>
      <c r="ES280" s="50"/>
      <c r="ET280" s="50"/>
      <c r="EU280" s="50"/>
      <c r="EV280" s="50"/>
    </row>
    <row r="281" spans="2:152" x14ac:dyDescent="0.75">
      <c r="B281" s="26"/>
      <c r="C281" s="27"/>
      <c r="D281" s="27"/>
      <c r="F281" s="26"/>
      <c r="G281" s="27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  <c r="CG281" s="50"/>
      <c r="CH281" s="50"/>
      <c r="CI281" s="50"/>
      <c r="CJ281" s="50"/>
      <c r="CK281" s="50"/>
      <c r="CL281" s="50"/>
      <c r="CM281" s="50"/>
      <c r="CN281" s="50"/>
      <c r="CO281" s="50"/>
      <c r="CP281" s="50"/>
      <c r="CQ281" s="50"/>
      <c r="CR281" s="50"/>
      <c r="CS281" s="50"/>
      <c r="CT281" s="50"/>
      <c r="CU281" s="50"/>
      <c r="CV281" s="50"/>
      <c r="CW281" s="50"/>
      <c r="CX281" s="50"/>
      <c r="CY281" s="50"/>
      <c r="CZ281" s="50"/>
      <c r="DA281" s="50"/>
      <c r="DB281" s="50"/>
      <c r="DC281" s="50"/>
      <c r="DD281" s="50"/>
      <c r="DE281" s="50"/>
      <c r="DF281" s="50"/>
      <c r="DG281" s="50"/>
      <c r="DH281" s="50"/>
      <c r="DI281" s="50"/>
      <c r="DJ281" s="50"/>
      <c r="DK281" s="50"/>
      <c r="DL281" s="50"/>
      <c r="DM281" s="50"/>
      <c r="DN281" s="50"/>
      <c r="DO281" s="50"/>
      <c r="DP281" s="50"/>
      <c r="DQ281" s="50"/>
      <c r="DR281" s="50"/>
      <c r="DS281" s="50"/>
      <c r="DT281" s="50"/>
      <c r="DU281" s="50"/>
      <c r="DV281" s="50"/>
      <c r="DW281" s="50"/>
      <c r="DX281" s="50"/>
      <c r="DY281" s="50"/>
      <c r="DZ281" s="50"/>
      <c r="EA281" s="50"/>
      <c r="EB281" s="50"/>
      <c r="EC281" s="50"/>
      <c r="ED281" s="50"/>
      <c r="EE281" s="50"/>
      <c r="EF281" s="50"/>
      <c r="EG281" s="50"/>
      <c r="EH281" s="50"/>
      <c r="EI281" s="50"/>
      <c r="EJ281" s="50"/>
      <c r="EK281" s="50"/>
      <c r="EL281" s="50"/>
      <c r="EM281" s="50"/>
      <c r="EN281" s="50"/>
      <c r="EO281" s="50"/>
      <c r="EP281" s="50"/>
      <c r="EQ281" s="50"/>
      <c r="ER281" s="50"/>
      <c r="ES281" s="50"/>
      <c r="ET281" s="50"/>
      <c r="EU281" s="50"/>
      <c r="EV281" s="50"/>
    </row>
    <row r="282" spans="2:152" x14ac:dyDescent="0.75">
      <c r="B282" s="26"/>
      <c r="C282" s="27"/>
      <c r="D282" s="27"/>
      <c r="F282" s="26"/>
      <c r="G282" s="27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  <c r="CG282" s="50"/>
      <c r="CH282" s="50"/>
      <c r="CI282" s="50"/>
      <c r="CJ282" s="50"/>
      <c r="CK282" s="50"/>
      <c r="CL282" s="50"/>
      <c r="CM282" s="50"/>
      <c r="CN282" s="50"/>
      <c r="CO282" s="50"/>
      <c r="CP282" s="50"/>
      <c r="CQ282" s="50"/>
      <c r="CR282" s="50"/>
      <c r="CS282" s="50"/>
      <c r="CT282" s="50"/>
      <c r="CU282" s="50"/>
      <c r="CV282" s="50"/>
      <c r="CW282" s="50"/>
      <c r="CX282" s="50"/>
      <c r="CY282" s="50"/>
      <c r="CZ282" s="50"/>
      <c r="DA282" s="50"/>
      <c r="DB282" s="50"/>
      <c r="DC282" s="50"/>
      <c r="DD282" s="50"/>
      <c r="DE282" s="50"/>
      <c r="DF282" s="50"/>
      <c r="DG282" s="50"/>
      <c r="DH282" s="50"/>
      <c r="DI282" s="50"/>
      <c r="DJ282" s="50"/>
      <c r="DK282" s="50"/>
      <c r="DL282" s="50"/>
      <c r="DM282" s="50"/>
      <c r="DN282" s="50"/>
      <c r="DO282" s="50"/>
      <c r="DP282" s="50"/>
      <c r="DQ282" s="50"/>
      <c r="DR282" s="50"/>
      <c r="DS282" s="50"/>
      <c r="DT282" s="50"/>
      <c r="DU282" s="50"/>
      <c r="DV282" s="50"/>
      <c r="DW282" s="50"/>
      <c r="DX282" s="50"/>
      <c r="DY282" s="50"/>
      <c r="DZ282" s="50"/>
      <c r="EA282" s="50"/>
      <c r="EB282" s="50"/>
      <c r="EC282" s="50"/>
      <c r="ED282" s="50"/>
      <c r="EE282" s="50"/>
      <c r="EF282" s="50"/>
      <c r="EG282" s="50"/>
      <c r="EH282" s="50"/>
      <c r="EI282" s="50"/>
      <c r="EJ282" s="50"/>
      <c r="EK282" s="50"/>
      <c r="EL282" s="50"/>
      <c r="EM282" s="50"/>
      <c r="EN282" s="50"/>
      <c r="EO282" s="50"/>
      <c r="EP282" s="50"/>
      <c r="EQ282" s="50"/>
      <c r="ER282" s="50"/>
      <c r="ES282" s="50"/>
      <c r="ET282" s="50"/>
      <c r="EU282" s="50"/>
      <c r="EV282" s="50"/>
    </row>
    <row r="283" spans="2:152" x14ac:dyDescent="0.75">
      <c r="B283" s="26"/>
      <c r="C283" s="27"/>
      <c r="D283" s="27"/>
      <c r="F283" s="26"/>
      <c r="G283" s="27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50"/>
      <c r="CI283" s="50"/>
      <c r="CJ283" s="50"/>
      <c r="CK283" s="50"/>
      <c r="CL283" s="50"/>
      <c r="CM283" s="50"/>
      <c r="CN283" s="50"/>
      <c r="CO283" s="50"/>
      <c r="CP283" s="50"/>
      <c r="CQ283" s="50"/>
      <c r="CR283" s="50"/>
      <c r="CS283" s="50"/>
      <c r="CT283" s="50"/>
      <c r="CU283" s="50"/>
      <c r="CV283" s="50"/>
      <c r="CW283" s="50"/>
      <c r="CX283" s="50"/>
      <c r="CY283" s="50"/>
      <c r="CZ283" s="50"/>
      <c r="DA283" s="50"/>
      <c r="DB283" s="50"/>
      <c r="DC283" s="50"/>
      <c r="DD283" s="50"/>
      <c r="DE283" s="50"/>
      <c r="DF283" s="50"/>
      <c r="DG283" s="50"/>
      <c r="DH283" s="50"/>
      <c r="DI283" s="50"/>
      <c r="DJ283" s="50"/>
      <c r="DK283" s="50"/>
      <c r="DL283" s="50"/>
      <c r="DM283" s="50"/>
      <c r="DN283" s="50"/>
      <c r="DO283" s="50"/>
      <c r="DP283" s="50"/>
      <c r="DQ283" s="50"/>
      <c r="DR283" s="50"/>
      <c r="DS283" s="50"/>
      <c r="DT283" s="50"/>
      <c r="DU283" s="50"/>
      <c r="DV283" s="50"/>
      <c r="DW283" s="50"/>
      <c r="DX283" s="50"/>
      <c r="DY283" s="50"/>
      <c r="DZ283" s="50"/>
      <c r="EA283" s="50"/>
      <c r="EB283" s="50"/>
      <c r="EC283" s="50"/>
      <c r="ED283" s="50"/>
      <c r="EE283" s="50"/>
      <c r="EF283" s="50"/>
      <c r="EG283" s="50"/>
      <c r="EH283" s="50"/>
      <c r="EI283" s="50"/>
      <c r="EJ283" s="50"/>
      <c r="EK283" s="50"/>
      <c r="EL283" s="50"/>
      <c r="EM283" s="50"/>
      <c r="EN283" s="50"/>
      <c r="EO283" s="50"/>
      <c r="EP283" s="50"/>
      <c r="EQ283" s="50"/>
      <c r="ER283" s="50"/>
      <c r="ES283" s="50"/>
      <c r="ET283" s="50"/>
      <c r="EU283" s="50"/>
      <c r="EV283" s="50"/>
    </row>
    <row r="284" spans="2:152" x14ac:dyDescent="0.75">
      <c r="B284" s="26"/>
      <c r="C284" s="27"/>
      <c r="D284" s="27"/>
      <c r="F284" s="26"/>
      <c r="G284" s="27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  <c r="CP284" s="50"/>
      <c r="CQ284" s="50"/>
      <c r="CR284" s="50"/>
      <c r="CS284" s="50"/>
      <c r="CT284" s="50"/>
      <c r="CU284" s="50"/>
      <c r="CV284" s="50"/>
      <c r="CW284" s="50"/>
      <c r="CX284" s="50"/>
      <c r="CY284" s="50"/>
      <c r="CZ284" s="50"/>
      <c r="DA284" s="50"/>
      <c r="DB284" s="50"/>
      <c r="DC284" s="50"/>
      <c r="DD284" s="50"/>
      <c r="DE284" s="50"/>
      <c r="DF284" s="50"/>
      <c r="DG284" s="50"/>
      <c r="DH284" s="50"/>
      <c r="DI284" s="50"/>
      <c r="DJ284" s="50"/>
      <c r="DK284" s="50"/>
      <c r="DL284" s="50"/>
      <c r="DM284" s="50"/>
      <c r="DN284" s="50"/>
      <c r="DO284" s="50"/>
      <c r="DP284" s="50"/>
      <c r="DQ284" s="50"/>
      <c r="DR284" s="50"/>
      <c r="DS284" s="50"/>
      <c r="DT284" s="50"/>
      <c r="DU284" s="50"/>
      <c r="DV284" s="50"/>
      <c r="DW284" s="50"/>
      <c r="DX284" s="50"/>
      <c r="DY284" s="50"/>
      <c r="DZ284" s="50"/>
      <c r="EA284" s="50"/>
      <c r="EB284" s="50"/>
      <c r="EC284" s="50"/>
      <c r="ED284" s="50"/>
      <c r="EE284" s="50"/>
      <c r="EF284" s="50"/>
      <c r="EG284" s="50"/>
      <c r="EH284" s="50"/>
      <c r="EI284" s="50"/>
      <c r="EJ284" s="50"/>
      <c r="EK284" s="50"/>
      <c r="EL284" s="50"/>
      <c r="EM284" s="50"/>
      <c r="EN284" s="50"/>
      <c r="EO284" s="50"/>
      <c r="EP284" s="50"/>
      <c r="EQ284" s="50"/>
      <c r="ER284" s="50"/>
      <c r="ES284" s="50"/>
      <c r="ET284" s="50"/>
      <c r="EU284" s="50"/>
      <c r="EV284" s="50"/>
    </row>
    <row r="285" spans="2:152" x14ac:dyDescent="0.75">
      <c r="B285" s="38"/>
      <c r="C285" s="38"/>
      <c r="D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</row>
    <row r="286" spans="2:152" x14ac:dyDescent="0.75"/>
    <row r="287" spans="2:152" x14ac:dyDescent="0.75"/>
    <row r="288" spans="2:152" x14ac:dyDescent="0.75"/>
    <row r="289" x14ac:dyDescent="0.75"/>
    <row r="290" x14ac:dyDescent="0.75"/>
    <row r="291" x14ac:dyDescent="0.75"/>
    <row r="292" x14ac:dyDescent="0.75"/>
    <row r="293" x14ac:dyDescent="0.75"/>
    <row r="294" x14ac:dyDescent="0.75"/>
    <row r="295" x14ac:dyDescent="0.75"/>
    <row r="296" x14ac:dyDescent="0.75"/>
    <row r="297" x14ac:dyDescent="0.75"/>
    <row r="298" x14ac:dyDescent="0.75"/>
    <row r="299" x14ac:dyDescent="0.75"/>
    <row r="300" x14ac:dyDescent="0.75"/>
    <row r="301" x14ac:dyDescent="0.75"/>
    <row r="302" x14ac:dyDescent="0.75"/>
    <row r="303" x14ac:dyDescent="0.75"/>
    <row r="304" x14ac:dyDescent="0.75"/>
    <row r="305" x14ac:dyDescent="0.75"/>
    <row r="306" x14ac:dyDescent="0.75"/>
    <row r="307" x14ac:dyDescent="0.75"/>
    <row r="308" x14ac:dyDescent="0.75"/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D476-65DD-492E-B1F8-53907ABE3513}">
  <sheetPr>
    <tabColor theme="8" tint="-0.499984740745262"/>
  </sheetPr>
  <dimension ref="A1:FB158"/>
  <sheetViews>
    <sheetView zoomScale="85" zoomScaleNormal="85" workbookViewId="0">
      <pane ySplit="6" topLeftCell="A70" activePane="bottomLeft" state="frozen"/>
      <selection activeCell="D10" sqref="D10"/>
      <selection pane="bottomLeft" activeCell="C7" sqref="C7:C23"/>
    </sheetView>
  </sheetViews>
  <sheetFormatPr defaultColWidth="0" defaultRowHeight="14.75" zeroHeight="1" x14ac:dyDescent="0.75"/>
  <cols>
    <col min="1" max="2" width="2.453125" customWidth="1"/>
    <col min="3" max="4" width="9.08984375" customWidth="1"/>
    <col min="5" max="6" width="2.453125" customWidth="1"/>
    <col min="7" max="157" width="9.08984375" customWidth="1"/>
    <col min="158" max="158" width="2.453125" customWidth="1"/>
    <col min="159" max="16384" width="9.08984375" hidden="1"/>
  </cols>
  <sheetData>
    <row r="1" spans="1:158" ht="18.5" x14ac:dyDescent="0.9">
      <c r="A1" s="23" t="s">
        <v>224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</row>
    <row r="2" spans="1:158" x14ac:dyDescent="0.75"/>
    <row r="3" spans="1:158" x14ac:dyDescent="0.75"/>
    <row r="4" spans="1:158" x14ac:dyDescent="0.75">
      <c r="B4" s="35"/>
      <c r="C4" s="29" t="s">
        <v>139</v>
      </c>
      <c r="D4" s="30"/>
      <c r="F4" s="35"/>
      <c r="G4" s="29" t="s">
        <v>140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</row>
    <row r="5" spans="1:158" x14ac:dyDescent="0.75">
      <c r="B5" s="40"/>
      <c r="C5" s="42"/>
      <c r="D5" s="42"/>
      <c r="F5" s="40"/>
      <c r="G5" s="42"/>
      <c r="H5" s="53" t="s">
        <v>35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</row>
    <row r="6" spans="1:158" x14ac:dyDescent="0.75">
      <c r="B6" s="26"/>
      <c r="D6" s="49" t="s">
        <v>34</v>
      </c>
      <c r="F6" s="26"/>
      <c r="G6" s="27"/>
      <c r="H6" s="27" t="s">
        <v>541</v>
      </c>
      <c r="I6" s="27" t="s">
        <v>542</v>
      </c>
      <c r="J6" s="27" t="s">
        <v>543</v>
      </c>
      <c r="K6" s="27" t="s">
        <v>544</v>
      </c>
      <c r="L6" s="27" t="s">
        <v>545</v>
      </c>
      <c r="M6" s="27" t="s">
        <v>546</v>
      </c>
      <c r="N6" s="27" t="s">
        <v>547</v>
      </c>
      <c r="O6" s="27" t="s">
        <v>548</v>
      </c>
      <c r="P6" s="27" t="s">
        <v>748</v>
      </c>
      <c r="Q6" s="27" t="s">
        <v>749</v>
      </c>
      <c r="R6" s="27" t="s">
        <v>750</v>
      </c>
      <c r="S6" s="27" t="s">
        <v>751</v>
      </c>
      <c r="T6" s="27" t="s">
        <v>17</v>
      </c>
      <c r="U6" s="27" t="s">
        <v>549</v>
      </c>
      <c r="V6" s="27" t="s">
        <v>550</v>
      </c>
      <c r="W6" s="27" t="s">
        <v>551</v>
      </c>
      <c r="X6" s="27" t="s">
        <v>552</v>
      </c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</row>
    <row r="7" spans="1:158" x14ac:dyDescent="0.75">
      <c r="B7" s="26"/>
      <c r="C7" s="27" t="s">
        <v>541</v>
      </c>
      <c r="D7" s="52"/>
      <c r="F7" s="26"/>
      <c r="G7" s="27" t="s">
        <v>285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</row>
    <row r="8" spans="1:158" x14ac:dyDescent="0.75">
      <c r="B8" s="26"/>
      <c r="C8" s="27" t="s">
        <v>542</v>
      </c>
      <c r="D8" s="52"/>
      <c r="F8" s="26"/>
      <c r="G8" s="27" t="s">
        <v>463</v>
      </c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</row>
    <row r="9" spans="1:158" x14ac:dyDescent="0.75">
      <c r="B9" s="26"/>
      <c r="C9" s="27" t="s">
        <v>543</v>
      </c>
      <c r="D9" s="52"/>
      <c r="F9" s="26"/>
      <c r="G9" s="27" t="s">
        <v>638</v>
      </c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</row>
    <row r="10" spans="1:158" x14ac:dyDescent="0.75">
      <c r="B10" s="26"/>
      <c r="C10" s="27" t="s">
        <v>544</v>
      </c>
      <c r="D10" s="52"/>
      <c r="F10" s="26"/>
      <c r="G10" s="27" t="s">
        <v>639</v>
      </c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</row>
    <row r="11" spans="1:158" x14ac:dyDescent="0.75">
      <c r="B11" s="26"/>
      <c r="C11" s="27" t="s">
        <v>545</v>
      </c>
      <c r="D11" s="52"/>
      <c r="F11" s="26"/>
      <c r="G11" s="27" t="s">
        <v>464</v>
      </c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</row>
    <row r="12" spans="1:158" x14ac:dyDescent="0.75">
      <c r="B12" s="26"/>
      <c r="C12" s="27" t="s">
        <v>546</v>
      </c>
      <c r="D12" s="52"/>
      <c r="F12" s="26"/>
      <c r="G12" s="27" t="s">
        <v>353</v>
      </c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</row>
    <row r="13" spans="1:158" x14ac:dyDescent="0.75">
      <c r="B13" s="26"/>
      <c r="C13" s="27" t="s">
        <v>547</v>
      </c>
      <c r="D13" s="52"/>
      <c r="F13" s="26"/>
      <c r="G13" s="27" t="s">
        <v>286</v>
      </c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</row>
    <row r="14" spans="1:158" x14ac:dyDescent="0.75">
      <c r="B14" s="26"/>
      <c r="C14" s="27" t="s">
        <v>548</v>
      </c>
      <c r="D14" s="52"/>
      <c r="F14" s="26"/>
      <c r="G14" s="27" t="s">
        <v>554</v>
      </c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</row>
    <row r="15" spans="1:158" x14ac:dyDescent="0.75">
      <c r="B15" s="26"/>
      <c r="C15" s="27" t="s">
        <v>748</v>
      </c>
      <c r="D15" s="52"/>
      <c r="F15" s="26"/>
      <c r="G15" s="27" t="s">
        <v>287</v>
      </c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</row>
    <row r="16" spans="1:158" x14ac:dyDescent="0.75">
      <c r="B16" s="26"/>
      <c r="C16" s="27" t="s">
        <v>749</v>
      </c>
      <c r="D16" s="52"/>
      <c r="F16" s="26"/>
      <c r="G16" s="27" t="s">
        <v>557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</row>
    <row r="17" spans="2:157" x14ac:dyDescent="0.75">
      <c r="B17" s="26"/>
      <c r="C17" s="27" t="s">
        <v>750</v>
      </c>
      <c r="D17" s="52"/>
      <c r="F17" s="26"/>
      <c r="G17" s="27" t="s">
        <v>560</v>
      </c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</row>
    <row r="18" spans="2:157" x14ac:dyDescent="0.75">
      <c r="B18" s="26"/>
      <c r="C18" s="27" t="s">
        <v>751</v>
      </c>
      <c r="D18" s="52"/>
      <c r="F18" s="26"/>
      <c r="G18" s="27" t="s">
        <v>465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</row>
    <row r="19" spans="2:157" x14ac:dyDescent="0.75">
      <c r="B19" s="26"/>
      <c r="C19" s="27" t="s">
        <v>17</v>
      </c>
      <c r="D19" s="52"/>
      <c r="F19" s="26"/>
      <c r="G19" s="27" t="s">
        <v>288</v>
      </c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</row>
    <row r="20" spans="2:157" x14ac:dyDescent="0.75">
      <c r="B20" s="26"/>
      <c r="C20" s="27" t="s">
        <v>549</v>
      </c>
      <c r="D20" s="52"/>
      <c r="F20" s="26"/>
      <c r="G20" s="27" t="s">
        <v>640</v>
      </c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</row>
    <row r="21" spans="2:157" x14ac:dyDescent="0.75">
      <c r="B21" s="26"/>
      <c r="C21" s="27" t="s">
        <v>550</v>
      </c>
      <c r="D21" s="52"/>
      <c r="F21" s="26"/>
      <c r="G21" s="27" t="s">
        <v>289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</row>
    <row r="22" spans="2:157" x14ac:dyDescent="0.75">
      <c r="B22" s="26"/>
      <c r="C22" s="27" t="s">
        <v>551</v>
      </c>
      <c r="D22" s="52"/>
      <c r="F22" s="26"/>
      <c r="G22" s="27" t="s">
        <v>290</v>
      </c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</row>
    <row r="23" spans="2:157" x14ac:dyDescent="0.75">
      <c r="B23" s="26"/>
      <c r="C23" s="27" t="s">
        <v>552</v>
      </c>
      <c r="D23" s="52"/>
      <c r="F23" s="26"/>
      <c r="G23" s="27" t="s">
        <v>354</v>
      </c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</row>
    <row r="24" spans="2:157" x14ac:dyDescent="0.75">
      <c r="B24" s="26"/>
      <c r="C24" s="27"/>
      <c r="D24" s="52"/>
      <c r="F24" s="26"/>
      <c r="G24" s="27" t="s">
        <v>355</v>
      </c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</row>
    <row r="25" spans="2:157" x14ac:dyDescent="0.75">
      <c r="B25" s="26"/>
      <c r="C25" s="27"/>
      <c r="D25" s="52"/>
      <c r="F25" s="26"/>
      <c r="G25" s="27" t="s">
        <v>641</v>
      </c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</row>
    <row r="26" spans="2:157" x14ac:dyDescent="0.75">
      <c r="B26" s="26"/>
      <c r="C26" s="27"/>
      <c r="D26" s="52"/>
      <c r="F26" s="26"/>
      <c r="G26" s="27" t="s">
        <v>466</v>
      </c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</row>
    <row r="27" spans="2:157" x14ac:dyDescent="0.75">
      <c r="B27" s="26"/>
      <c r="C27" s="27"/>
      <c r="D27" s="52"/>
      <c r="F27" s="26"/>
      <c r="G27" s="27" t="s">
        <v>467</v>
      </c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</row>
    <row r="28" spans="2:157" x14ac:dyDescent="0.75">
      <c r="B28" s="26"/>
      <c r="C28" s="27"/>
      <c r="D28" s="52"/>
      <c r="F28" s="26"/>
      <c r="G28" s="27" t="s">
        <v>291</v>
      </c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</row>
    <row r="29" spans="2:157" x14ac:dyDescent="0.75">
      <c r="B29" s="26"/>
      <c r="C29" s="27"/>
      <c r="D29" s="52"/>
      <c r="F29" s="26"/>
      <c r="G29" s="27" t="s">
        <v>468</v>
      </c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</row>
    <row r="30" spans="2:157" x14ac:dyDescent="0.75">
      <c r="B30" s="26"/>
      <c r="C30" s="27"/>
      <c r="D30" s="52"/>
      <c r="F30" s="26"/>
      <c r="G30" s="27" t="s">
        <v>292</v>
      </c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</row>
    <row r="31" spans="2:157" x14ac:dyDescent="0.75">
      <c r="B31" s="26"/>
      <c r="C31" s="27"/>
      <c r="D31" s="52"/>
      <c r="F31" s="26"/>
      <c r="G31" s="27" t="s">
        <v>567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</row>
    <row r="32" spans="2:157" x14ac:dyDescent="0.75">
      <c r="B32" s="26"/>
      <c r="C32" s="27"/>
      <c r="D32" s="52"/>
      <c r="F32" s="26"/>
      <c r="G32" s="27" t="s">
        <v>569</v>
      </c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</row>
    <row r="33" spans="2:157" x14ac:dyDescent="0.75">
      <c r="B33" s="26"/>
      <c r="C33" s="27"/>
      <c r="D33" s="52"/>
      <c r="F33" s="26"/>
      <c r="G33" s="27" t="s">
        <v>571</v>
      </c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</row>
    <row r="34" spans="2:157" x14ac:dyDescent="0.75">
      <c r="B34" s="26"/>
      <c r="C34" s="27"/>
      <c r="D34" s="52"/>
      <c r="F34" s="26"/>
      <c r="G34" s="27" t="s">
        <v>293</v>
      </c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</row>
    <row r="35" spans="2:157" x14ac:dyDescent="0.75">
      <c r="B35" s="26"/>
      <c r="C35" s="27"/>
      <c r="D35" s="52"/>
      <c r="F35" s="26"/>
      <c r="G35" s="27" t="s">
        <v>294</v>
      </c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</row>
    <row r="36" spans="2:157" x14ac:dyDescent="0.75">
      <c r="B36" s="26"/>
      <c r="C36" s="27"/>
      <c r="D36" s="52"/>
      <c r="F36" s="26"/>
      <c r="G36" s="27" t="s">
        <v>469</v>
      </c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</row>
    <row r="37" spans="2:157" x14ac:dyDescent="0.75">
      <c r="B37" s="26"/>
      <c r="C37" s="27"/>
      <c r="D37" s="52"/>
      <c r="F37" s="26"/>
      <c r="G37" s="27" t="s">
        <v>295</v>
      </c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</row>
    <row r="38" spans="2:157" x14ac:dyDescent="0.75">
      <c r="B38" s="26"/>
      <c r="C38" s="27"/>
      <c r="D38" s="52"/>
      <c r="F38" s="26"/>
      <c r="G38" s="27" t="s">
        <v>470</v>
      </c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</row>
    <row r="39" spans="2:157" x14ac:dyDescent="0.75">
      <c r="B39" s="26"/>
      <c r="C39" s="27"/>
      <c r="D39" s="52"/>
      <c r="F39" s="26"/>
      <c r="G39" s="27" t="s">
        <v>471</v>
      </c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</row>
    <row r="40" spans="2:157" x14ac:dyDescent="0.75">
      <c r="B40" s="26"/>
      <c r="C40" s="27"/>
      <c r="D40" s="52"/>
      <c r="F40" s="26"/>
      <c r="G40" s="27" t="s">
        <v>296</v>
      </c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</row>
    <row r="41" spans="2:157" x14ac:dyDescent="0.75">
      <c r="B41" s="26"/>
      <c r="C41" s="27"/>
      <c r="D41" s="52"/>
      <c r="F41" s="26"/>
      <c r="G41" s="27" t="s">
        <v>297</v>
      </c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</row>
    <row r="42" spans="2:157" x14ac:dyDescent="0.75">
      <c r="B42" s="26"/>
      <c r="C42" s="27"/>
      <c r="D42" s="52"/>
      <c r="F42" s="26"/>
      <c r="G42" s="27" t="s">
        <v>472</v>
      </c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</row>
    <row r="43" spans="2:157" x14ac:dyDescent="0.75">
      <c r="B43" s="26"/>
      <c r="C43" s="27"/>
      <c r="D43" s="52"/>
      <c r="F43" s="26"/>
      <c r="G43" s="27" t="s">
        <v>298</v>
      </c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</row>
    <row r="44" spans="2:157" x14ac:dyDescent="0.75">
      <c r="B44" s="26"/>
      <c r="C44" s="27"/>
      <c r="D44" s="52"/>
      <c r="F44" s="26"/>
      <c r="G44" s="27" t="s">
        <v>473</v>
      </c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</row>
    <row r="45" spans="2:157" x14ac:dyDescent="0.75">
      <c r="B45" s="26"/>
      <c r="C45" s="27"/>
      <c r="D45" s="52"/>
      <c r="F45" s="26"/>
      <c r="G45" s="27" t="s">
        <v>474</v>
      </c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</row>
    <row r="46" spans="2:157" x14ac:dyDescent="0.75">
      <c r="B46" s="26"/>
      <c r="C46" s="27"/>
      <c r="D46" s="52"/>
      <c r="F46" s="26"/>
      <c r="G46" s="27" t="s">
        <v>475</v>
      </c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</row>
    <row r="47" spans="2:157" x14ac:dyDescent="0.75">
      <c r="B47" s="26"/>
      <c r="C47" s="27"/>
      <c r="D47" s="52"/>
      <c r="F47" s="26"/>
      <c r="G47" s="27" t="s">
        <v>476</v>
      </c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</row>
    <row r="48" spans="2:157" x14ac:dyDescent="0.75">
      <c r="B48" s="26"/>
      <c r="C48" s="27"/>
      <c r="D48" s="52"/>
      <c r="F48" s="26"/>
      <c r="G48" s="27" t="s">
        <v>477</v>
      </c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</row>
    <row r="49" spans="2:157" x14ac:dyDescent="0.75">
      <c r="B49" s="26"/>
      <c r="C49" s="27"/>
      <c r="D49" s="52"/>
      <c r="F49" s="26"/>
      <c r="G49" s="27" t="s">
        <v>478</v>
      </c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</row>
    <row r="50" spans="2:157" x14ac:dyDescent="0.75">
      <c r="B50" s="26"/>
      <c r="C50" s="27"/>
      <c r="D50" s="52"/>
      <c r="F50" s="26"/>
      <c r="G50" s="27" t="s">
        <v>481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</row>
    <row r="51" spans="2:157" x14ac:dyDescent="0.75">
      <c r="B51" s="26"/>
      <c r="C51" s="27"/>
      <c r="D51" s="52"/>
      <c r="F51" s="26"/>
      <c r="G51" s="27" t="s">
        <v>479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</row>
    <row r="52" spans="2:157" x14ac:dyDescent="0.75">
      <c r="B52" s="26"/>
      <c r="C52" s="27"/>
      <c r="D52" s="52"/>
      <c r="F52" s="26"/>
      <c r="G52" s="27" t="s">
        <v>480</v>
      </c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</row>
    <row r="53" spans="2:157" x14ac:dyDescent="0.75">
      <c r="B53" s="26"/>
      <c r="C53" s="27"/>
      <c r="D53" s="52"/>
      <c r="F53" s="26"/>
      <c r="G53" s="27" t="s">
        <v>482</v>
      </c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</row>
    <row r="54" spans="2:157" x14ac:dyDescent="0.75">
      <c r="B54" s="26"/>
      <c r="C54" s="27"/>
      <c r="D54" s="52"/>
      <c r="F54" s="26"/>
      <c r="G54" s="27" t="s">
        <v>483</v>
      </c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</row>
    <row r="55" spans="2:157" x14ac:dyDescent="0.75">
      <c r="B55" s="26"/>
      <c r="C55" s="27"/>
      <c r="D55" s="52"/>
      <c r="F55" s="26"/>
      <c r="G55" s="27" t="s">
        <v>484</v>
      </c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</row>
    <row r="56" spans="2:157" x14ac:dyDescent="0.75">
      <c r="B56" s="26"/>
      <c r="C56" s="27"/>
      <c r="D56" s="52"/>
      <c r="F56" s="26"/>
      <c r="G56" s="27" t="s">
        <v>642</v>
      </c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</row>
    <row r="57" spans="2:157" x14ac:dyDescent="0.75">
      <c r="B57" s="26"/>
      <c r="C57" s="27"/>
      <c r="D57" s="52"/>
      <c r="F57" s="26"/>
      <c r="G57" s="27" t="s">
        <v>643</v>
      </c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</row>
    <row r="58" spans="2:157" x14ac:dyDescent="0.75">
      <c r="B58" s="26"/>
      <c r="C58" s="27"/>
      <c r="D58" s="52"/>
      <c r="F58" s="26"/>
      <c r="G58" s="27" t="s">
        <v>485</v>
      </c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</row>
    <row r="59" spans="2:157" x14ac:dyDescent="0.75">
      <c r="B59" s="26"/>
      <c r="C59" s="27"/>
      <c r="D59" s="52"/>
      <c r="F59" s="26"/>
      <c r="G59" s="27" t="s">
        <v>486</v>
      </c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</row>
    <row r="60" spans="2:157" x14ac:dyDescent="0.75">
      <c r="B60" s="26"/>
      <c r="C60" s="27"/>
      <c r="D60" s="52"/>
      <c r="F60" s="26"/>
      <c r="G60" s="27" t="s">
        <v>487</v>
      </c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</row>
    <row r="61" spans="2:157" x14ac:dyDescent="0.75">
      <c r="B61" s="26"/>
      <c r="C61" s="27"/>
      <c r="D61" s="52"/>
      <c r="F61" s="26"/>
      <c r="G61" s="27" t="s">
        <v>488</v>
      </c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</row>
    <row r="62" spans="2:157" x14ac:dyDescent="0.75">
      <c r="B62" s="26"/>
      <c r="C62" s="27"/>
      <c r="D62" s="52"/>
      <c r="F62" s="26"/>
      <c r="G62" s="27" t="s">
        <v>489</v>
      </c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</row>
    <row r="63" spans="2:157" x14ac:dyDescent="0.75">
      <c r="B63" s="26"/>
      <c r="C63" s="27"/>
      <c r="D63" s="52"/>
      <c r="F63" s="26"/>
      <c r="G63" s="27" t="s">
        <v>299</v>
      </c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</row>
    <row r="64" spans="2:157" x14ac:dyDescent="0.75">
      <c r="B64" s="26"/>
      <c r="C64" s="27"/>
      <c r="D64" s="52"/>
      <c r="F64" s="26"/>
      <c r="G64" s="27" t="s">
        <v>490</v>
      </c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</row>
    <row r="65" spans="2:157" x14ac:dyDescent="0.75">
      <c r="B65" s="26"/>
      <c r="C65" s="27"/>
      <c r="D65" s="52"/>
      <c r="F65" s="26"/>
      <c r="G65" s="27" t="s">
        <v>300</v>
      </c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</row>
    <row r="66" spans="2:157" x14ac:dyDescent="0.75">
      <c r="B66" s="26"/>
      <c r="C66" s="27"/>
      <c r="D66" s="52"/>
      <c r="F66" s="26"/>
      <c r="G66" s="27" t="s">
        <v>491</v>
      </c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</row>
    <row r="67" spans="2:157" x14ac:dyDescent="0.75">
      <c r="B67" s="26"/>
      <c r="C67" s="27"/>
      <c r="D67" s="52"/>
      <c r="F67" s="26"/>
      <c r="G67" s="27" t="s">
        <v>644</v>
      </c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</row>
    <row r="68" spans="2:157" x14ac:dyDescent="0.75">
      <c r="B68" s="26"/>
      <c r="C68" s="27"/>
      <c r="D68" s="52"/>
      <c r="F68" s="26"/>
      <c r="G68" s="27" t="s">
        <v>645</v>
      </c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</row>
    <row r="69" spans="2:157" x14ac:dyDescent="0.75">
      <c r="B69" s="26"/>
      <c r="C69" s="27"/>
      <c r="D69" s="52"/>
      <c r="F69" s="26"/>
      <c r="G69" s="27" t="s">
        <v>646</v>
      </c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</row>
    <row r="70" spans="2:157" x14ac:dyDescent="0.75">
      <c r="B70" s="26"/>
      <c r="C70" s="27"/>
      <c r="D70" s="52"/>
      <c r="F70" s="26"/>
      <c r="G70" s="27" t="s">
        <v>301</v>
      </c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</row>
    <row r="71" spans="2:157" x14ac:dyDescent="0.75">
      <c r="B71" s="26"/>
      <c r="C71" s="27"/>
      <c r="D71" s="52"/>
      <c r="F71" s="26"/>
      <c r="G71" s="27" t="s">
        <v>492</v>
      </c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</row>
    <row r="72" spans="2:157" x14ac:dyDescent="0.75">
      <c r="B72" s="26"/>
      <c r="C72" s="27"/>
      <c r="D72" s="52"/>
      <c r="F72" s="26"/>
      <c r="G72" s="27" t="s">
        <v>493</v>
      </c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</row>
    <row r="73" spans="2:157" x14ac:dyDescent="0.75">
      <c r="B73" s="26"/>
      <c r="C73" s="27"/>
      <c r="D73" s="52"/>
      <c r="F73" s="26"/>
      <c r="G73" s="27" t="s">
        <v>302</v>
      </c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</row>
    <row r="74" spans="2:157" x14ac:dyDescent="0.75">
      <c r="B74" s="26"/>
      <c r="C74" s="27"/>
      <c r="D74" s="52"/>
      <c r="F74" s="26"/>
      <c r="G74" s="27" t="s">
        <v>494</v>
      </c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</row>
    <row r="75" spans="2:157" x14ac:dyDescent="0.75">
      <c r="B75" s="26"/>
      <c r="C75" s="27"/>
      <c r="D75" s="52"/>
      <c r="F75" s="26"/>
      <c r="G75" s="27" t="s">
        <v>495</v>
      </c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</row>
    <row r="76" spans="2:157" x14ac:dyDescent="0.75">
      <c r="B76" s="26"/>
      <c r="C76" s="27"/>
      <c r="D76" s="52"/>
      <c r="F76" s="26"/>
      <c r="G76" s="27" t="s">
        <v>496</v>
      </c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</row>
    <row r="77" spans="2:157" x14ac:dyDescent="0.75">
      <c r="B77" s="26"/>
      <c r="C77" s="27"/>
      <c r="D77" s="52"/>
      <c r="F77" s="26"/>
      <c r="G77" s="27" t="s">
        <v>303</v>
      </c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</row>
    <row r="78" spans="2:157" x14ac:dyDescent="0.75">
      <c r="B78" s="26"/>
      <c r="C78" s="27"/>
      <c r="D78" s="52"/>
      <c r="F78" s="26"/>
      <c r="G78" s="27" t="s">
        <v>304</v>
      </c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</row>
    <row r="79" spans="2:157" x14ac:dyDescent="0.75">
      <c r="B79" s="26"/>
      <c r="C79" s="27"/>
      <c r="D79" s="52"/>
      <c r="F79" s="26"/>
      <c r="G79" s="27" t="s">
        <v>305</v>
      </c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</row>
    <row r="80" spans="2:157" x14ac:dyDescent="0.75">
      <c r="B80" s="26"/>
      <c r="C80" s="27"/>
      <c r="D80" s="52"/>
      <c r="F80" s="26"/>
      <c r="G80" s="27" t="s">
        <v>306</v>
      </c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</row>
    <row r="81" spans="2:157" x14ac:dyDescent="0.75">
      <c r="B81" s="26"/>
      <c r="C81" s="27"/>
      <c r="D81" s="52"/>
      <c r="F81" s="26"/>
      <c r="G81" s="27" t="s">
        <v>497</v>
      </c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</row>
    <row r="82" spans="2:157" x14ac:dyDescent="0.75">
      <c r="B82" s="26"/>
      <c r="C82" s="27"/>
      <c r="D82" s="52"/>
      <c r="F82" s="26"/>
      <c r="G82" s="27" t="s">
        <v>498</v>
      </c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</row>
    <row r="83" spans="2:157" x14ac:dyDescent="0.75">
      <c r="B83" s="26"/>
      <c r="C83" s="27"/>
      <c r="D83" s="52"/>
      <c r="F83" s="26"/>
      <c r="G83" s="27" t="s">
        <v>307</v>
      </c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</row>
    <row r="84" spans="2:157" x14ac:dyDescent="0.75">
      <c r="B84" s="26"/>
      <c r="C84" s="27"/>
      <c r="D84" s="52"/>
      <c r="F84" s="26"/>
      <c r="G84" s="27" t="s">
        <v>308</v>
      </c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</row>
    <row r="85" spans="2:157" x14ac:dyDescent="0.75">
      <c r="B85" s="26"/>
      <c r="C85" s="27"/>
      <c r="D85" s="52"/>
      <c r="F85" s="26"/>
      <c r="G85" s="27" t="s">
        <v>309</v>
      </c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</row>
    <row r="86" spans="2:157" x14ac:dyDescent="0.75">
      <c r="B86" s="26"/>
      <c r="C86" s="27"/>
      <c r="D86" s="52"/>
      <c r="F86" s="26"/>
      <c r="G86" s="27" t="s">
        <v>310</v>
      </c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</row>
    <row r="87" spans="2:157" x14ac:dyDescent="0.75">
      <c r="B87" s="26"/>
      <c r="C87" s="27"/>
      <c r="D87" s="52"/>
      <c r="F87" s="26"/>
      <c r="G87" s="27" t="s">
        <v>311</v>
      </c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</row>
    <row r="88" spans="2:157" x14ac:dyDescent="0.75">
      <c r="B88" s="26"/>
      <c r="C88" s="27"/>
      <c r="D88" s="52"/>
      <c r="F88" s="26"/>
      <c r="G88" s="27" t="s">
        <v>312</v>
      </c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</row>
    <row r="89" spans="2:157" x14ac:dyDescent="0.75">
      <c r="B89" s="26"/>
      <c r="C89" s="27"/>
      <c r="D89" s="52"/>
      <c r="F89" s="26"/>
      <c r="G89" s="27" t="s">
        <v>313</v>
      </c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</row>
    <row r="90" spans="2:157" x14ac:dyDescent="0.75">
      <c r="B90" s="26"/>
      <c r="C90" s="27"/>
      <c r="D90" s="52"/>
      <c r="F90" s="26"/>
      <c r="G90" s="27" t="s">
        <v>499</v>
      </c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</row>
    <row r="91" spans="2:157" x14ac:dyDescent="0.75">
      <c r="B91" s="26"/>
      <c r="C91" s="27"/>
      <c r="D91" s="52"/>
      <c r="F91" s="26"/>
      <c r="G91" s="27" t="s">
        <v>314</v>
      </c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</row>
    <row r="92" spans="2:157" x14ac:dyDescent="0.75">
      <c r="B92" s="26"/>
      <c r="C92" s="27"/>
      <c r="D92" s="52"/>
      <c r="F92" s="26"/>
      <c r="G92" s="27" t="s">
        <v>315</v>
      </c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</row>
    <row r="93" spans="2:157" x14ac:dyDescent="0.75">
      <c r="B93" s="26"/>
      <c r="C93" s="27"/>
      <c r="D93" s="52"/>
      <c r="F93" s="26"/>
      <c r="G93" s="27" t="s">
        <v>316</v>
      </c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</row>
    <row r="94" spans="2:157" x14ac:dyDescent="0.75">
      <c r="B94" s="26"/>
      <c r="C94" s="27"/>
      <c r="D94" s="52"/>
      <c r="F94" s="26"/>
      <c r="G94" s="27" t="s">
        <v>317</v>
      </c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</row>
    <row r="95" spans="2:157" x14ac:dyDescent="0.75">
      <c r="B95" s="26"/>
      <c r="C95" s="27"/>
      <c r="D95" s="52"/>
      <c r="F95" s="26"/>
      <c r="G95" s="27" t="s">
        <v>318</v>
      </c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</row>
    <row r="96" spans="2:157" x14ac:dyDescent="0.75">
      <c r="B96" s="26"/>
      <c r="C96" s="27"/>
      <c r="D96" s="52"/>
      <c r="F96" s="26"/>
      <c r="G96" s="27" t="s">
        <v>319</v>
      </c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</row>
    <row r="97" spans="2:157" x14ac:dyDescent="0.75">
      <c r="B97" s="26"/>
      <c r="C97" s="27"/>
      <c r="D97" s="52"/>
      <c r="F97" s="26"/>
      <c r="G97" s="27" t="s">
        <v>320</v>
      </c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</row>
    <row r="98" spans="2:157" x14ac:dyDescent="0.75">
      <c r="B98" s="26"/>
      <c r="C98" s="27"/>
      <c r="D98" s="52"/>
      <c r="F98" s="26"/>
      <c r="G98" s="27" t="s">
        <v>321</v>
      </c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</row>
    <row r="99" spans="2:157" x14ac:dyDescent="0.75">
      <c r="B99" s="26"/>
      <c r="C99" s="27"/>
      <c r="D99" s="52"/>
      <c r="F99" s="26"/>
      <c r="G99" s="27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</row>
    <row r="100" spans="2:157" x14ac:dyDescent="0.75">
      <c r="B100" s="26"/>
      <c r="C100" s="27"/>
      <c r="D100" s="52"/>
      <c r="F100" s="26"/>
      <c r="G100" s="27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</row>
    <row r="101" spans="2:157" x14ac:dyDescent="0.75">
      <c r="B101" s="26"/>
      <c r="C101" s="27"/>
      <c r="D101" s="52"/>
      <c r="F101" s="26"/>
      <c r="G101" s="27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</row>
    <row r="102" spans="2:157" x14ac:dyDescent="0.75">
      <c r="B102" s="26"/>
      <c r="C102" s="27"/>
      <c r="D102" s="52"/>
      <c r="F102" s="26"/>
      <c r="G102" s="27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/>
      <c r="DQ102" s="52"/>
      <c r="DR102" s="52"/>
      <c r="DS102" s="52"/>
      <c r="DT102" s="52"/>
      <c r="DU102" s="52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2"/>
    </row>
    <row r="103" spans="2:157" x14ac:dyDescent="0.75">
      <c r="B103" s="26"/>
      <c r="C103" s="27"/>
      <c r="D103" s="52"/>
      <c r="F103" s="26"/>
      <c r="G103" s="27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</row>
    <row r="104" spans="2:157" x14ac:dyDescent="0.75">
      <c r="B104" s="26"/>
      <c r="C104" s="27"/>
      <c r="D104" s="52"/>
      <c r="F104" s="26"/>
      <c r="G104" s="27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</row>
    <row r="105" spans="2:157" x14ac:dyDescent="0.75">
      <c r="B105" s="26"/>
      <c r="C105" s="27"/>
      <c r="D105" s="52"/>
      <c r="F105" s="26"/>
      <c r="G105" s="27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</row>
    <row r="106" spans="2:157" x14ac:dyDescent="0.75">
      <c r="B106" s="26"/>
      <c r="C106" s="27"/>
      <c r="D106" s="52"/>
      <c r="F106" s="26"/>
      <c r="G106" s="27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</row>
    <row r="107" spans="2:157" x14ac:dyDescent="0.75">
      <c r="B107" s="26"/>
      <c r="C107" s="27"/>
      <c r="D107" s="52"/>
      <c r="F107" s="26"/>
      <c r="G107" s="27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</row>
    <row r="108" spans="2:157" x14ac:dyDescent="0.75">
      <c r="B108" s="26"/>
      <c r="C108" s="27"/>
      <c r="D108" s="52"/>
      <c r="F108" s="26"/>
      <c r="G108" s="27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</row>
    <row r="109" spans="2:157" x14ac:dyDescent="0.75">
      <c r="B109" s="26"/>
      <c r="C109" s="27"/>
      <c r="D109" s="52"/>
      <c r="F109" s="26"/>
      <c r="G109" s="27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/>
      <c r="DQ109" s="52"/>
      <c r="DR109" s="52"/>
      <c r="DS109" s="52"/>
      <c r="DT109" s="52"/>
      <c r="DU109" s="52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  <c r="EM109" s="52"/>
      <c r="EN109" s="52"/>
      <c r="EO109" s="52"/>
      <c r="EP109" s="52"/>
      <c r="EQ109" s="52"/>
      <c r="ER109" s="52"/>
      <c r="ES109" s="52"/>
      <c r="ET109" s="52"/>
      <c r="EU109" s="52"/>
      <c r="EV109" s="52"/>
      <c r="EW109" s="52"/>
      <c r="EX109" s="52"/>
      <c r="EY109" s="52"/>
      <c r="EZ109" s="52"/>
      <c r="FA109" s="52"/>
    </row>
    <row r="110" spans="2:157" x14ac:dyDescent="0.75">
      <c r="B110" s="26"/>
      <c r="C110" s="27"/>
      <c r="D110" s="52"/>
      <c r="F110" s="26"/>
      <c r="G110" s="27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2"/>
    </row>
    <row r="111" spans="2:157" x14ac:dyDescent="0.75">
      <c r="B111" s="26"/>
      <c r="C111" s="27"/>
      <c r="D111" s="52"/>
      <c r="F111" s="26"/>
      <c r="G111" s="27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/>
      <c r="DQ111" s="52"/>
      <c r="DR111" s="52"/>
      <c r="DS111" s="52"/>
      <c r="DT111" s="52"/>
      <c r="DU111" s="52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  <c r="EM111" s="52"/>
      <c r="EN111" s="52"/>
      <c r="EO111" s="52"/>
      <c r="EP111" s="52"/>
      <c r="EQ111" s="52"/>
      <c r="ER111" s="52"/>
      <c r="ES111" s="52"/>
      <c r="ET111" s="52"/>
      <c r="EU111" s="52"/>
      <c r="EV111" s="52"/>
      <c r="EW111" s="52"/>
      <c r="EX111" s="52"/>
      <c r="EY111" s="52"/>
      <c r="EZ111" s="52"/>
      <c r="FA111" s="52"/>
    </row>
    <row r="112" spans="2:157" x14ac:dyDescent="0.75">
      <c r="B112" s="26"/>
      <c r="C112" s="27"/>
      <c r="D112" s="52"/>
      <c r="F112" s="26"/>
      <c r="G112" s="27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2"/>
    </row>
    <row r="113" spans="2:157" x14ac:dyDescent="0.75">
      <c r="B113" s="26"/>
      <c r="C113" s="27"/>
      <c r="D113" s="52"/>
      <c r="F113" s="26"/>
      <c r="G113" s="27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2"/>
    </row>
    <row r="114" spans="2:157" x14ac:dyDescent="0.75">
      <c r="B114" s="26"/>
      <c r="C114" s="27"/>
      <c r="D114" s="52"/>
      <c r="F114" s="26"/>
      <c r="G114" s="27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/>
      <c r="DQ114" s="52"/>
      <c r="DR114" s="52"/>
      <c r="DS114" s="52"/>
      <c r="DT114" s="52"/>
      <c r="DU114" s="52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  <c r="EM114" s="52"/>
      <c r="EN114" s="52"/>
      <c r="EO114" s="52"/>
      <c r="EP114" s="52"/>
      <c r="EQ114" s="52"/>
      <c r="ER114" s="52"/>
      <c r="ES114" s="52"/>
      <c r="ET114" s="52"/>
      <c r="EU114" s="52"/>
      <c r="EV114" s="52"/>
      <c r="EW114" s="52"/>
      <c r="EX114" s="52"/>
      <c r="EY114" s="52"/>
      <c r="EZ114" s="52"/>
      <c r="FA114" s="52"/>
    </row>
    <row r="115" spans="2:157" x14ac:dyDescent="0.75">
      <c r="B115" s="26"/>
      <c r="C115" s="27"/>
      <c r="D115" s="52"/>
      <c r="F115" s="26"/>
      <c r="G115" s="27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2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2"/>
    </row>
    <row r="116" spans="2:157" x14ac:dyDescent="0.75">
      <c r="B116" s="26"/>
      <c r="C116" s="27"/>
      <c r="D116" s="52"/>
      <c r="F116" s="26"/>
      <c r="G116" s="27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</row>
    <row r="117" spans="2:157" x14ac:dyDescent="0.75">
      <c r="B117" s="26"/>
      <c r="C117" s="27"/>
      <c r="D117" s="52"/>
      <c r="F117" s="26"/>
      <c r="G117" s="27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</row>
    <row r="118" spans="2:157" x14ac:dyDescent="0.75">
      <c r="B118" s="26"/>
      <c r="C118" s="27"/>
      <c r="D118" s="52"/>
      <c r="F118" s="26"/>
      <c r="G118" s="27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</row>
    <row r="119" spans="2:157" x14ac:dyDescent="0.75">
      <c r="B119" s="26"/>
      <c r="C119" s="27"/>
      <c r="D119" s="52"/>
      <c r="F119" s="26"/>
      <c r="G119" s="27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</row>
    <row r="120" spans="2:157" x14ac:dyDescent="0.75">
      <c r="B120" s="26"/>
      <c r="C120" s="27"/>
      <c r="D120" s="52"/>
      <c r="F120" s="26"/>
      <c r="G120" s="27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</row>
    <row r="121" spans="2:157" x14ac:dyDescent="0.75">
      <c r="B121" s="26"/>
      <c r="C121" s="27"/>
      <c r="D121" s="52"/>
      <c r="F121" s="26"/>
      <c r="G121" s="27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/>
      <c r="DQ121" s="52"/>
      <c r="DR121" s="52"/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</row>
    <row r="122" spans="2:157" x14ac:dyDescent="0.75">
      <c r="B122" s="26"/>
      <c r="C122" s="27"/>
      <c r="D122" s="52"/>
      <c r="F122" s="26"/>
      <c r="G122" s="27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</row>
    <row r="123" spans="2:157" x14ac:dyDescent="0.75">
      <c r="B123" s="26"/>
      <c r="C123" s="27"/>
      <c r="D123" s="52"/>
      <c r="F123" s="26"/>
      <c r="G123" s="27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</row>
    <row r="124" spans="2:157" x14ac:dyDescent="0.75">
      <c r="B124" s="26"/>
      <c r="C124" s="27"/>
      <c r="D124" s="52"/>
      <c r="F124" s="26"/>
      <c r="G124" s="27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/>
      <c r="DQ124" s="52"/>
      <c r="DR124" s="52"/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</row>
    <row r="125" spans="2:157" x14ac:dyDescent="0.75">
      <c r="B125" s="26"/>
      <c r="C125" s="27"/>
      <c r="D125" s="52"/>
      <c r="F125" s="26"/>
      <c r="G125" s="27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</row>
    <row r="126" spans="2:157" x14ac:dyDescent="0.75">
      <c r="B126" s="26"/>
      <c r="C126" s="27"/>
      <c r="D126" s="52"/>
      <c r="F126" s="26"/>
      <c r="G126" s="27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/>
      <c r="DQ126" s="52"/>
      <c r="DR126" s="52"/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</row>
    <row r="127" spans="2:157" x14ac:dyDescent="0.75">
      <c r="B127" s="26"/>
      <c r="C127" s="27"/>
      <c r="D127" s="52"/>
      <c r="F127" s="26"/>
      <c r="G127" s="27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/>
      <c r="DQ127" s="52"/>
      <c r="DR127" s="52"/>
      <c r="DS127" s="52"/>
      <c r="DT127" s="52"/>
      <c r="DU127" s="52"/>
      <c r="DV127" s="52"/>
      <c r="DW127" s="52"/>
      <c r="DX127" s="52"/>
      <c r="DY127" s="52"/>
      <c r="DZ127" s="52"/>
      <c r="EA127" s="52"/>
      <c r="EB127" s="52"/>
      <c r="EC127" s="52"/>
      <c r="ED127" s="52"/>
      <c r="EE127" s="52"/>
      <c r="EF127" s="52"/>
      <c r="EG127" s="52"/>
      <c r="EH127" s="52"/>
      <c r="EI127" s="52"/>
      <c r="EJ127" s="52"/>
      <c r="EK127" s="52"/>
      <c r="EL127" s="52"/>
      <c r="EM127" s="52"/>
      <c r="EN127" s="52"/>
      <c r="EO127" s="52"/>
      <c r="EP127" s="52"/>
      <c r="EQ127" s="52"/>
      <c r="ER127" s="52"/>
      <c r="ES127" s="52"/>
      <c r="ET127" s="52"/>
      <c r="EU127" s="52"/>
      <c r="EV127" s="52"/>
      <c r="EW127" s="52"/>
      <c r="EX127" s="52"/>
      <c r="EY127" s="52"/>
      <c r="EZ127" s="52"/>
      <c r="FA127" s="52"/>
    </row>
    <row r="128" spans="2:157" x14ac:dyDescent="0.75">
      <c r="B128" s="26"/>
      <c r="C128" s="27"/>
      <c r="D128" s="52"/>
      <c r="F128" s="26"/>
      <c r="G128" s="27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/>
      <c r="DQ128" s="52"/>
      <c r="DR128" s="52"/>
      <c r="DS128" s="52"/>
      <c r="DT128" s="52"/>
      <c r="DU128" s="52"/>
      <c r="DV128" s="52"/>
      <c r="DW128" s="52"/>
      <c r="DX128" s="52"/>
      <c r="DY128" s="52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  <c r="EM128" s="52"/>
      <c r="EN128" s="52"/>
      <c r="EO128" s="52"/>
      <c r="EP128" s="52"/>
      <c r="EQ128" s="52"/>
      <c r="ER128" s="52"/>
      <c r="ES128" s="52"/>
      <c r="ET128" s="52"/>
      <c r="EU128" s="52"/>
      <c r="EV128" s="52"/>
      <c r="EW128" s="52"/>
      <c r="EX128" s="52"/>
      <c r="EY128" s="52"/>
      <c r="EZ128" s="52"/>
      <c r="FA128" s="52"/>
    </row>
    <row r="129" spans="2:157" x14ac:dyDescent="0.75">
      <c r="B129" s="26"/>
      <c r="C129" s="27"/>
      <c r="D129" s="52"/>
      <c r="F129" s="26"/>
      <c r="G129" s="27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/>
      <c r="DQ129" s="52"/>
      <c r="DR129" s="52"/>
      <c r="DS129" s="52"/>
      <c r="DT129" s="52"/>
      <c r="DU129" s="52"/>
      <c r="DV129" s="52"/>
      <c r="DW129" s="52"/>
      <c r="DX129" s="52"/>
      <c r="DY129" s="52"/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  <c r="EM129" s="52"/>
      <c r="EN129" s="52"/>
      <c r="EO129" s="52"/>
      <c r="EP129" s="52"/>
      <c r="EQ129" s="52"/>
      <c r="ER129" s="52"/>
      <c r="ES129" s="52"/>
      <c r="ET129" s="52"/>
      <c r="EU129" s="52"/>
      <c r="EV129" s="52"/>
      <c r="EW129" s="52"/>
      <c r="EX129" s="52"/>
      <c r="EY129" s="52"/>
      <c r="EZ129" s="52"/>
      <c r="FA129" s="52"/>
    </row>
    <row r="130" spans="2:157" x14ac:dyDescent="0.75">
      <c r="B130" s="26"/>
      <c r="C130" s="27"/>
      <c r="D130" s="52"/>
      <c r="F130" s="26"/>
      <c r="G130" s="27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  <c r="DO130" s="52"/>
      <c r="DP130" s="52"/>
      <c r="DQ130" s="52"/>
      <c r="DR130" s="52"/>
      <c r="DS130" s="52"/>
      <c r="DT130" s="52"/>
      <c r="DU130" s="52"/>
      <c r="DV130" s="52"/>
      <c r="DW130" s="52"/>
      <c r="DX130" s="52"/>
      <c r="DY130" s="52"/>
      <c r="DZ130" s="52"/>
      <c r="EA130" s="52"/>
      <c r="EB130" s="52"/>
      <c r="EC130" s="52"/>
      <c r="ED130" s="52"/>
      <c r="EE130" s="52"/>
      <c r="EF130" s="52"/>
      <c r="EG130" s="52"/>
      <c r="EH130" s="52"/>
      <c r="EI130" s="52"/>
      <c r="EJ130" s="52"/>
      <c r="EK130" s="52"/>
      <c r="EL130" s="52"/>
      <c r="EM130" s="52"/>
      <c r="EN130" s="52"/>
      <c r="EO130" s="52"/>
      <c r="EP130" s="52"/>
      <c r="EQ130" s="52"/>
      <c r="ER130" s="52"/>
      <c r="ES130" s="52"/>
      <c r="ET130" s="52"/>
      <c r="EU130" s="52"/>
      <c r="EV130" s="52"/>
      <c r="EW130" s="52"/>
      <c r="EX130" s="52"/>
      <c r="EY130" s="52"/>
      <c r="EZ130" s="52"/>
      <c r="FA130" s="52"/>
    </row>
    <row r="131" spans="2:157" x14ac:dyDescent="0.75">
      <c r="B131" s="26"/>
      <c r="C131" s="27"/>
      <c r="D131" s="52"/>
      <c r="F131" s="26"/>
      <c r="G131" s="27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/>
      <c r="DQ131" s="52"/>
      <c r="DR131" s="52"/>
      <c r="DS131" s="52"/>
      <c r="DT131" s="52"/>
      <c r="DU131" s="52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  <c r="EM131" s="52"/>
      <c r="EN131" s="52"/>
      <c r="EO131" s="52"/>
      <c r="EP131" s="52"/>
      <c r="EQ131" s="52"/>
      <c r="ER131" s="52"/>
      <c r="ES131" s="52"/>
      <c r="ET131" s="52"/>
      <c r="EU131" s="52"/>
      <c r="EV131" s="52"/>
      <c r="EW131" s="52"/>
      <c r="EX131" s="52"/>
      <c r="EY131" s="52"/>
      <c r="EZ131" s="52"/>
      <c r="FA131" s="52"/>
    </row>
    <row r="132" spans="2:157" x14ac:dyDescent="0.75">
      <c r="B132" s="26"/>
      <c r="C132" s="27"/>
      <c r="D132" s="52"/>
      <c r="F132" s="26"/>
      <c r="G132" s="27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/>
      <c r="DQ132" s="52"/>
      <c r="DR132" s="52"/>
      <c r="DS132" s="52"/>
      <c r="DT132" s="52"/>
      <c r="DU132" s="52"/>
      <c r="DV132" s="52"/>
      <c r="DW132" s="52"/>
      <c r="DX132" s="52"/>
      <c r="DY132" s="52"/>
      <c r="DZ132" s="52"/>
      <c r="EA132" s="52"/>
      <c r="EB132" s="52"/>
      <c r="EC132" s="52"/>
      <c r="ED132" s="52"/>
      <c r="EE132" s="52"/>
      <c r="EF132" s="52"/>
      <c r="EG132" s="52"/>
      <c r="EH132" s="52"/>
      <c r="EI132" s="52"/>
      <c r="EJ132" s="52"/>
      <c r="EK132" s="52"/>
      <c r="EL132" s="52"/>
      <c r="EM132" s="52"/>
      <c r="EN132" s="52"/>
      <c r="EO132" s="52"/>
      <c r="EP132" s="52"/>
      <c r="EQ132" s="52"/>
      <c r="ER132" s="52"/>
      <c r="ES132" s="52"/>
      <c r="ET132" s="52"/>
      <c r="EU132" s="52"/>
      <c r="EV132" s="52"/>
      <c r="EW132" s="52"/>
      <c r="EX132" s="52"/>
      <c r="EY132" s="52"/>
      <c r="EZ132" s="52"/>
      <c r="FA132" s="52"/>
    </row>
    <row r="133" spans="2:157" x14ac:dyDescent="0.75">
      <c r="B133" s="26"/>
      <c r="C133" s="27"/>
      <c r="D133" s="52"/>
      <c r="F133" s="26"/>
      <c r="G133" s="27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/>
      <c r="DQ133" s="52"/>
      <c r="DR133" s="52"/>
      <c r="DS133" s="52"/>
      <c r="DT133" s="52"/>
      <c r="DU133" s="52"/>
      <c r="DV133" s="52"/>
      <c r="DW133" s="52"/>
      <c r="DX133" s="52"/>
      <c r="DY133" s="52"/>
      <c r="DZ133" s="52"/>
      <c r="EA133" s="52"/>
      <c r="EB133" s="52"/>
      <c r="EC133" s="52"/>
      <c r="ED133" s="52"/>
      <c r="EE133" s="52"/>
      <c r="EF133" s="52"/>
      <c r="EG133" s="52"/>
      <c r="EH133" s="52"/>
      <c r="EI133" s="52"/>
      <c r="EJ133" s="52"/>
      <c r="EK133" s="52"/>
      <c r="EL133" s="52"/>
      <c r="EM133" s="52"/>
      <c r="EN133" s="52"/>
      <c r="EO133" s="52"/>
      <c r="EP133" s="52"/>
      <c r="EQ133" s="52"/>
      <c r="ER133" s="52"/>
      <c r="ES133" s="52"/>
      <c r="ET133" s="52"/>
      <c r="EU133" s="52"/>
      <c r="EV133" s="52"/>
      <c r="EW133" s="52"/>
      <c r="EX133" s="52"/>
      <c r="EY133" s="52"/>
      <c r="EZ133" s="52"/>
      <c r="FA133" s="52"/>
    </row>
    <row r="134" spans="2:157" x14ac:dyDescent="0.75">
      <c r="B134" s="26"/>
      <c r="C134" s="27"/>
      <c r="D134" s="52"/>
      <c r="F134" s="26"/>
      <c r="G134" s="27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/>
      <c r="DQ134" s="52"/>
      <c r="DR134" s="52"/>
      <c r="DS134" s="52"/>
      <c r="DT134" s="52"/>
      <c r="DU134" s="52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  <c r="EM134" s="52"/>
      <c r="EN134" s="52"/>
      <c r="EO134" s="52"/>
      <c r="EP134" s="52"/>
      <c r="EQ134" s="52"/>
      <c r="ER134" s="52"/>
      <c r="ES134" s="52"/>
      <c r="ET134" s="52"/>
      <c r="EU134" s="52"/>
      <c r="EV134" s="52"/>
      <c r="EW134" s="52"/>
      <c r="EX134" s="52"/>
      <c r="EY134" s="52"/>
      <c r="EZ134" s="52"/>
      <c r="FA134" s="52"/>
    </row>
    <row r="135" spans="2:157" x14ac:dyDescent="0.75">
      <c r="B135" s="26"/>
      <c r="C135" s="27"/>
      <c r="D135" s="52"/>
      <c r="F135" s="26"/>
      <c r="G135" s="27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/>
      <c r="DQ135" s="52"/>
      <c r="DR135" s="52"/>
      <c r="DS135" s="52"/>
      <c r="DT135" s="52"/>
      <c r="DU135" s="52"/>
      <c r="DV135" s="52"/>
      <c r="DW135" s="52"/>
      <c r="DX135" s="52"/>
      <c r="DY135" s="52"/>
      <c r="DZ135" s="52"/>
      <c r="EA135" s="52"/>
      <c r="EB135" s="52"/>
      <c r="EC135" s="52"/>
      <c r="ED135" s="52"/>
      <c r="EE135" s="52"/>
      <c r="EF135" s="52"/>
      <c r="EG135" s="52"/>
      <c r="EH135" s="52"/>
      <c r="EI135" s="52"/>
      <c r="EJ135" s="52"/>
      <c r="EK135" s="52"/>
      <c r="EL135" s="52"/>
      <c r="EM135" s="52"/>
      <c r="EN135" s="52"/>
      <c r="EO135" s="52"/>
      <c r="EP135" s="52"/>
      <c r="EQ135" s="52"/>
      <c r="ER135" s="52"/>
      <c r="ES135" s="52"/>
      <c r="ET135" s="52"/>
      <c r="EU135" s="52"/>
      <c r="EV135" s="52"/>
      <c r="EW135" s="52"/>
      <c r="EX135" s="52"/>
      <c r="EY135" s="52"/>
      <c r="EZ135" s="52"/>
      <c r="FA135" s="52"/>
    </row>
    <row r="136" spans="2:157" x14ac:dyDescent="0.75">
      <c r="B136" s="26"/>
      <c r="C136" s="27"/>
      <c r="D136" s="52"/>
      <c r="F136" s="26"/>
      <c r="G136" s="27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/>
      <c r="DQ136" s="52"/>
      <c r="DR136" s="52"/>
      <c r="DS136" s="52"/>
      <c r="DT136" s="52"/>
      <c r="DU136" s="52"/>
      <c r="DV136" s="52"/>
      <c r="DW136" s="52"/>
      <c r="DX136" s="52"/>
      <c r="DY136" s="52"/>
      <c r="DZ136" s="52"/>
      <c r="EA136" s="52"/>
      <c r="EB136" s="52"/>
      <c r="EC136" s="52"/>
      <c r="ED136" s="52"/>
      <c r="EE136" s="52"/>
      <c r="EF136" s="52"/>
      <c r="EG136" s="52"/>
      <c r="EH136" s="52"/>
      <c r="EI136" s="52"/>
      <c r="EJ136" s="52"/>
      <c r="EK136" s="52"/>
      <c r="EL136" s="52"/>
      <c r="EM136" s="52"/>
      <c r="EN136" s="52"/>
      <c r="EO136" s="52"/>
      <c r="EP136" s="52"/>
      <c r="EQ136" s="52"/>
      <c r="ER136" s="52"/>
      <c r="ES136" s="52"/>
      <c r="ET136" s="52"/>
      <c r="EU136" s="52"/>
      <c r="EV136" s="52"/>
      <c r="EW136" s="52"/>
      <c r="EX136" s="52"/>
      <c r="EY136" s="52"/>
      <c r="EZ136" s="52"/>
      <c r="FA136" s="52"/>
    </row>
    <row r="137" spans="2:157" x14ac:dyDescent="0.75">
      <c r="B137" s="26"/>
      <c r="C137" s="27"/>
      <c r="D137" s="52"/>
      <c r="F137" s="26"/>
      <c r="G137" s="27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/>
      <c r="DQ137" s="52"/>
      <c r="DR137" s="52"/>
      <c r="DS137" s="52"/>
      <c r="DT137" s="52"/>
      <c r="DU137" s="52"/>
      <c r="DV137" s="52"/>
      <c r="DW137" s="52"/>
      <c r="DX137" s="52"/>
      <c r="DY137" s="52"/>
      <c r="DZ137" s="52"/>
      <c r="EA137" s="52"/>
      <c r="EB137" s="52"/>
      <c r="EC137" s="52"/>
      <c r="ED137" s="52"/>
      <c r="EE137" s="52"/>
      <c r="EF137" s="52"/>
      <c r="EG137" s="52"/>
      <c r="EH137" s="52"/>
      <c r="EI137" s="52"/>
      <c r="EJ137" s="52"/>
      <c r="EK137" s="52"/>
      <c r="EL137" s="52"/>
      <c r="EM137" s="52"/>
      <c r="EN137" s="52"/>
      <c r="EO137" s="52"/>
      <c r="EP137" s="52"/>
      <c r="EQ137" s="52"/>
      <c r="ER137" s="52"/>
      <c r="ES137" s="52"/>
      <c r="ET137" s="52"/>
      <c r="EU137" s="52"/>
      <c r="EV137" s="52"/>
      <c r="EW137" s="52"/>
      <c r="EX137" s="52"/>
      <c r="EY137" s="52"/>
      <c r="EZ137" s="52"/>
      <c r="FA137" s="52"/>
    </row>
    <row r="138" spans="2:157" x14ac:dyDescent="0.75">
      <c r="B138" s="26"/>
      <c r="C138" s="27"/>
      <c r="D138" s="52"/>
      <c r="F138" s="26"/>
      <c r="G138" s="27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2"/>
      <c r="CV138" s="52"/>
      <c r="CW138" s="52"/>
      <c r="CX138" s="52"/>
      <c r="CY138" s="52"/>
      <c r="CZ138" s="52"/>
      <c r="DA138" s="52"/>
      <c r="DB138" s="52"/>
      <c r="DC138" s="52"/>
      <c r="DD138" s="52"/>
      <c r="DE138" s="52"/>
      <c r="DF138" s="52"/>
      <c r="DG138" s="52"/>
      <c r="DH138" s="52"/>
      <c r="DI138" s="52"/>
      <c r="DJ138" s="52"/>
      <c r="DK138" s="52"/>
      <c r="DL138" s="52"/>
      <c r="DM138" s="52"/>
      <c r="DN138" s="52"/>
      <c r="DO138" s="52"/>
      <c r="DP138" s="52"/>
      <c r="DQ138" s="52"/>
      <c r="DR138" s="52"/>
      <c r="DS138" s="52"/>
      <c r="DT138" s="52"/>
      <c r="DU138" s="52"/>
      <c r="DV138" s="52"/>
      <c r="DW138" s="52"/>
      <c r="DX138" s="52"/>
      <c r="DY138" s="52"/>
      <c r="DZ138" s="52"/>
      <c r="EA138" s="52"/>
      <c r="EB138" s="52"/>
      <c r="EC138" s="52"/>
      <c r="ED138" s="52"/>
      <c r="EE138" s="52"/>
      <c r="EF138" s="52"/>
      <c r="EG138" s="52"/>
      <c r="EH138" s="52"/>
      <c r="EI138" s="52"/>
      <c r="EJ138" s="52"/>
      <c r="EK138" s="52"/>
      <c r="EL138" s="52"/>
      <c r="EM138" s="52"/>
      <c r="EN138" s="52"/>
      <c r="EO138" s="52"/>
      <c r="EP138" s="52"/>
      <c r="EQ138" s="52"/>
      <c r="ER138" s="52"/>
      <c r="ES138" s="52"/>
      <c r="ET138" s="52"/>
      <c r="EU138" s="52"/>
      <c r="EV138" s="52"/>
      <c r="EW138" s="52"/>
      <c r="EX138" s="52"/>
      <c r="EY138" s="52"/>
      <c r="EZ138" s="52"/>
      <c r="FA138" s="52"/>
    </row>
    <row r="139" spans="2:157" x14ac:dyDescent="0.75">
      <c r="B139" s="26"/>
      <c r="C139" s="27"/>
      <c r="D139" s="52"/>
      <c r="F139" s="26"/>
      <c r="G139" s="27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52"/>
      <c r="DF139" s="52"/>
      <c r="DG139" s="52"/>
      <c r="DH139" s="52"/>
      <c r="DI139" s="52"/>
      <c r="DJ139" s="52"/>
      <c r="DK139" s="52"/>
      <c r="DL139" s="52"/>
      <c r="DM139" s="52"/>
      <c r="DN139" s="52"/>
      <c r="DO139" s="52"/>
      <c r="DP139" s="52"/>
      <c r="DQ139" s="52"/>
      <c r="DR139" s="52"/>
      <c r="DS139" s="52"/>
      <c r="DT139" s="52"/>
      <c r="DU139" s="52"/>
      <c r="DV139" s="52"/>
      <c r="DW139" s="52"/>
      <c r="DX139" s="52"/>
      <c r="DY139" s="52"/>
      <c r="DZ139" s="52"/>
      <c r="EA139" s="52"/>
      <c r="EB139" s="52"/>
      <c r="EC139" s="52"/>
      <c r="ED139" s="52"/>
      <c r="EE139" s="52"/>
      <c r="EF139" s="52"/>
      <c r="EG139" s="52"/>
      <c r="EH139" s="52"/>
      <c r="EI139" s="52"/>
      <c r="EJ139" s="52"/>
      <c r="EK139" s="52"/>
      <c r="EL139" s="52"/>
      <c r="EM139" s="52"/>
      <c r="EN139" s="52"/>
      <c r="EO139" s="52"/>
      <c r="EP139" s="52"/>
      <c r="EQ139" s="52"/>
      <c r="ER139" s="52"/>
      <c r="ES139" s="52"/>
      <c r="ET139" s="52"/>
      <c r="EU139" s="52"/>
      <c r="EV139" s="52"/>
      <c r="EW139" s="52"/>
      <c r="EX139" s="52"/>
      <c r="EY139" s="52"/>
      <c r="EZ139" s="52"/>
      <c r="FA139" s="52"/>
    </row>
    <row r="140" spans="2:157" x14ac:dyDescent="0.75">
      <c r="B140" s="26"/>
      <c r="C140" s="27"/>
      <c r="D140" s="52"/>
      <c r="F140" s="26"/>
      <c r="G140" s="27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2"/>
      <c r="DN140" s="52"/>
      <c r="DO140" s="52"/>
      <c r="DP140" s="52"/>
      <c r="DQ140" s="52"/>
      <c r="DR140" s="52"/>
      <c r="DS140" s="52"/>
      <c r="DT140" s="52"/>
      <c r="DU140" s="52"/>
      <c r="DV140" s="52"/>
      <c r="DW140" s="52"/>
      <c r="DX140" s="52"/>
      <c r="DY140" s="52"/>
      <c r="DZ140" s="52"/>
      <c r="EA140" s="52"/>
      <c r="EB140" s="52"/>
      <c r="EC140" s="52"/>
      <c r="ED140" s="52"/>
      <c r="EE140" s="52"/>
      <c r="EF140" s="52"/>
      <c r="EG140" s="52"/>
      <c r="EH140" s="52"/>
      <c r="EI140" s="52"/>
      <c r="EJ140" s="52"/>
      <c r="EK140" s="52"/>
      <c r="EL140" s="52"/>
      <c r="EM140" s="52"/>
      <c r="EN140" s="52"/>
      <c r="EO140" s="52"/>
      <c r="EP140" s="52"/>
      <c r="EQ140" s="52"/>
      <c r="ER140" s="52"/>
      <c r="ES140" s="52"/>
      <c r="ET140" s="52"/>
      <c r="EU140" s="52"/>
      <c r="EV140" s="52"/>
      <c r="EW140" s="52"/>
      <c r="EX140" s="52"/>
      <c r="EY140" s="52"/>
      <c r="EZ140" s="52"/>
      <c r="FA140" s="52"/>
    </row>
    <row r="141" spans="2:157" x14ac:dyDescent="0.75">
      <c r="B141" s="26"/>
      <c r="C141" s="27"/>
      <c r="D141" s="52"/>
      <c r="F141" s="26"/>
      <c r="G141" s="27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/>
      <c r="DQ141" s="52"/>
      <c r="DR141" s="52"/>
      <c r="DS141" s="52"/>
      <c r="DT141" s="52"/>
      <c r="DU141" s="52"/>
      <c r="DV141" s="52"/>
      <c r="DW141" s="52"/>
      <c r="DX141" s="52"/>
      <c r="DY141" s="52"/>
      <c r="DZ141" s="52"/>
      <c r="EA141" s="52"/>
      <c r="EB141" s="52"/>
      <c r="EC141" s="52"/>
      <c r="ED141" s="52"/>
      <c r="EE141" s="52"/>
      <c r="EF141" s="52"/>
      <c r="EG141" s="52"/>
      <c r="EH141" s="52"/>
      <c r="EI141" s="52"/>
      <c r="EJ141" s="52"/>
      <c r="EK141" s="52"/>
      <c r="EL141" s="52"/>
      <c r="EM141" s="52"/>
      <c r="EN141" s="52"/>
      <c r="EO141" s="52"/>
      <c r="EP141" s="52"/>
      <c r="EQ141" s="52"/>
      <c r="ER141" s="52"/>
      <c r="ES141" s="52"/>
      <c r="ET141" s="52"/>
      <c r="EU141" s="52"/>
      <c r="EV141" s="52"/>
      <c r="EW141" s="52"/>
      <c r="EX141" s="52"/>
      <c r="EY141" s="52"/>
      <c r="EZ141" s="52"/>
      <c r="FA141" s="52"/>
    </row>
    <row r="142" spans="2:157" x14ac:dyDescent="0.75">
      <c r="B142" s="26"/>
      <c r="C142" s="27"/>
      <c r="D142" s="52"/>
      <c r="F142" s="26"/>
      <c r="G142" s="27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/>
      <c r="DQ142" s="52"/>
      <c r="DR142" s="52"/>
      <c r="DS142" s="52"/>
      <c r="DT142" s="52"/>
      <c r="DU142" s="52"/>
      <c r="DV142" s="52"/>
      <c r="DW142" s="52"/>
      <c r="DX142" s="52"/>
      <c r="DY142" s="52"/>
      <c r="DZ142" s="52"/>
      <c r="EA142" s="52"/>
      <c r="EB142" s="52"/>
      <c r="EC142" s="52"/>
      <c r="ED142" s="52"/>
      <c r="EE142" s="52"/>
      <c r="EF142" s="52"/>
      <c r="EG142" s="52"/>
      <c r="EH142" s="52"/>
      <c r="EI142" s="52"/>
      <c r="EJ142" s="52"/>
      <c r="EK142" s="52"/>
      <c r="EL142" s="52"/>
      <c r="EM142" s="52"/>
      <c r="EN142" s="52"/>
      <c r="EO142" s="52"/>
      <c r="EP142" s="52"/>
      <c r="EQ142" s="52"/>
      <c r="ER142" s="52"/>
      <c r="ES142" s="52"/>
      <c r="ET142" s="52"/>
      <c r="EU142" s="52"/>
      <c r="EV142" s="52"/>
      <c r="EW142" s="52"/>
      <c r="EX142" s="52"/>
      <c r="EY142" s="52"/>
      <c r="EZ142" s="52"/>
      <c r="FA142" s="52"/>
    </row>
    <row r="143" spans="2:157" x14ac:dyDescent="0.75">
      <c r="B143" s="26"/>
      <c r="C143" s="27"/>
      <c r="D143" s="52"/>
      <c r="F143" s="26"/>
      <c r="G143" s="27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/>
      <c r="DQ143" s="52"/>
      <c r="DR143" s="52"/>
      <c r="DS143" s="52"/>
      <c r="DT143" s="52"/>
      <c r="DU143" s="52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  <c r="EM143" s="52"/>
      <c r="EN143" s="52"/>
      <c r="EO143" s="52"/>
      <c r="EP143" s="52"/>
      <c r="EQ143" s="52"/>
      <c r="ER143" s="52"/>
      <c r="ES143" s="52"/>
      <c r="ET143" s="52"/>
      <c r="EU143" s="52"/>
      <c r="EV143" s="52"/>
      <c r="EW143" s="52"/>
      <c r="EX143" s="52"/>
      <c r="EY143" s="52"/>
      <c r="EZ143" s="52"/>
      <c r="FA143" s="52"/>
    </row>
    <row r="144" spans="2:157" x14ac:dyDescent="0.75">
      <c r="B144" s="26"/>
      <c r="C144" s="27"/>
      <c r="D144" s="52"/>
      <c r="F144" s="26"/>
      <c r="G144" s="27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/>
      <c r="DQ144" s="52"/>
      <c r="DR144" s="52"/>
      <c r="DS144" s="52"/>
      <c r="DT144" s="52"/>
      <c r="DU144" s="52"/>
      <c r="DV144" s="52"/>
      <c r="DW144" s="52"/>
      <c r="DX144" s="52"/>
      <c r="DY144" s="52"/>
      <c r="DZ144" s="52"/>
      <c r="EA144" s="52"/>
      <c r="EB144" s="52"/>
      <c r="EC144" s="52"/>
      <c r="ED144" s="52"/>
      <c r="EE144" s="52"/>
      <c r="EF144" s="52"/>
      <c r="EG144" s="52"/>
      <c r="EH144" s="52"/>
      <c r="EI144" s="52"/>
      <c r="EJ144" s="52"/>
      <c r="EK144" s="52"/>
      <c r="EL144" s="52"/>
      <c r="EM144" s="52"/>
      <c r="EN144" s="52"/>
      <c r="EO144" s="52"/>
      <c r="EP144" s="52"/>
      <c r="EQ144" s="52"/>
      <c r="ER144" s="52"/>
      <c r="ES144" s="52"/>
      <c r="ET144" s="52"/>
      <c r="EU144" s="52"/>
      <c r="EV144" s="52"/>
      <c r="EW144" s="52"/>
      <c r="EX144" s="52"/>
      <c r="EY144" s="52"/>
      <c r="EZ144" s="52"/>
      <c r="FA144" s="52"/>
    </row>
    <row r="145" spans="2:157" x14ac:dyDescent="0.75">
      <c r="B145" s="26"/>
      <c r="C145" s="27"/>
      <c r="D145" s="52"/>
      <c r="F145" s="26"/>
      <c r="G145" s="27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  <c r="DN145" s="52"/>
      <c r="DO145" s="52"/>
      <c r="DP145" s="52"/>
      <c r="DQ145" s="52"/>
      <c r="DR145" s="52"/>
      <c r="DS145" s="52"/>
      <c r="DT145" s="52"/>
      <c r="DU145" s="52"/>
      <c r="DV145" s="52"/>
      <c r="DW145" s="52"/>
      <c r="DX145" s="52"/>
      <c r="DY145" s="52"/>
      <c r="DZ145" s="52"/>
      <c r="EA145" s="52"/>
      <c r="EB145" s="52"/>
      <c r="EC145" s="52"/>
      <c r="ED145" s="52"/>
      <c r="EE145" s="52"/>
      <c r="EF145" s="52"/>
      <c r="EG145" s="52"/>
      <c r="EH145" s="52"/>
      <c r="EI145" s="52"/>
      <c r="EJ145" s="52"/>
      <c r="EK145" s="52"/>
      <c r="EL145" s="52"/>
      <c r="EM145" s="52"/>
      <c r="EN145" s="52"/>
      <c r="EO145" s="52"/>
      <c r="EP145" s="52"/>
      <c r="EQ145" s="52"/>
      <c r="ER145" s="52"/>
      <c r="ES145" s="52"/>
      <c r="ET145" s="52"/>
      <c r="EU145" s="52"/>
      <c r="EV145" s="52"/>
      <c r="EW145" s="52"/>
      <c r="EX145" s="52"/>
      <c r="EY145" s="52"/>
      <c r="EZ145" s="52"/>
      <c r="FA145" s="52"/>
    </row>
    <row r="146" spans="2:157" x14ac:dyDescent="0.75">
      <c r="B146" s="26"/>
      <c r="C146" s="27"/>
      <c r="D146" s="52"/>
      <c r="F146" s="26"/>
      <c r="G146" s="27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/>
      <c r="DQ146" s="52"/>
      <c r="DR146" s="52"/>
      <c r="DS146" s="52"/>
      <c r="DT146" s="52"/>
      <c r="DU146" s="52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  <c r="EM146" s="52"/>
      <c r="EN146" s="52"/>
      <c r="EO146" s="52"/>
      <c r="EP146" s="52"/>
      <c r="EQ146" s="52"/>
      <c r="ER146" s="52"/>
      <c r="ES146" s="52"/>
      <c r="ET146" s="52"/>
      <c r="EU146" s="52"/>
      <c r="EV146" s="52"/>
      <c r="EW146" s="52"/>
      <c r="EX146" s="52"/>
      <c r="EY146" s="52"/>
      <c r="EZ146" s="52"/>
      <c r="FA146" s="52"/>
    </row>
    <row r="147" spans="2:157" x14ac:dyDescent="0.75">
      <c r="B147" s="26"/>
      <c r="C147" s="27"/>
      <c r="D147" s="52"/>
      <c r="F147" s="26"/>
      <c r="G147" s="27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  <c r="DN147" s="52"/>
      <c r="DO147" s="52"/>
      <c r="DP147" s="52"/>
      <c r="DQ147" s="52"/>
      <c r="DR147" s="52"/>
      <c r="DS147" s="52"/>
      <c r="DT147" s="52"/>
      <c r="DU147" s="52"/>
      <c r="DV147" s="52"/>
      <c r="DW147" s="52"/>
      <c r="DX147" s="52"/>
      <c r="DY147" s="52"/>
      <c r="DZ147" s="52"/>
      <c r="EA147" s="52"/>
      <c r="EB147" s="52"/>
      <c r="EC147" s="52"/>
      <c r="ED147" s="52"/>
      <c r="EE147" s="52"/>
      <c r="EF147" s="52"/>
      <c r="EG147" s="52"/>
      <c r="EH147" s="52"/>
      <c r="EI147" s="52"/>
      <c r="EJ147" s="52"/>
      <c r="EK147" s="52"/>
      <c r="EL147" s="52"/>
      <c r="EM147" s="52"/>
      <c r="EN147" s="52"/>
      <c r="EO147" s="52"/>
      <c r="EP147" s="52"/>
      <c r="EQ147" s="52"/>
      <c r="ER147" s="52"/>
      <c r="ES147" s="52"/>
      <c r="ET147" s="52"/>
      <c r="EU147" s="52"/>
      <c r="EV147" s="52"/>
      <c r="EW147" s="52"/>
      <c r="EX147" s="52"/>
      <c r="EY147" s="52"/>
      <c r="EZ147" s="52"/>
      <c r="FA147" s="52"/>
    </row>
    <row r="148" spans="2:157" x14ac:dyDescent="0.75">
      <c r="B148" s="26"/>
      <c r="C148" s="27"/>
      <c r="D148" s="52"/>
      <c r="F148" s="26"/>
      <c r="G148" s="27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  <c r="DA148" s="52"/>
      <c r="DB148" s="52"/>
      <c r="DC148" s="52"/>
      <c r="DD148" s="52"/>
      <c r="DE148" s="52"/>
      <c r="DF148" s="52"/>
      <c r="DG148" s="52"/>
      <c r="DH148" s="52"/>
      <c r="DI148" s="52"/>
      <c r="DJ148" s="52"/>
      <c r="DK148" s="52"/>
      <c r="DL148" s="52"/>
      <c r="DM148" s="52"/>
      <c r="DN148" s="52"/>
      <c r="DO148" s="52"/>
      <c r="DP148" s="52"/>
      <c r="DQ148" s="52"/>
      <c r="DR148" s="52"/>
      <c r="DS148" s="52"/>
      <c r="DT148" s="52"/>
      <c r="DU148" s="52"/>
      <c r="DV148" s="52"/>
      <c r="DW148" s="52"/>
      <c r="DX148" s="52"/>
      <c r="DY148" s="52"/>
      <c r="DZ148" s="52"/>
      <c r="EA148" s="52"/>
      <c r="EB148" s="52"/>
      <c r="EC148" s="52"/>
      <c r="ED148" s="52"/>
      <c r="EE148" s="52"/>
      <c r="EF148" s="52"/>
      <c r="EG148" s="52"/>
      <c r="EH148" s="52"/>
      <c r="EI148" s="52"/>
      <c r="EJ148" s="52"/>
      <c r="EK148" s="52"/>
      <c r="EL148" s="52"/>
      <c r="EM148" s="52"/>
      <c r="EN148" s="52"/>
      <c r="EO148" s="52"/>
      <c r="EP148" s="52"/>
      <c r="EQ148" s="52"/>
      <c r="ER148" s="52"/>
      <c r="ES148" s="52"/>
      <c r="ET148" s="52"/>
      <c r="EU148" s="52"/>
      <c r="EV148" s="52"/>
      <c r="EW148" s="52"/>
      <c r="EX148" s="52"/>
      <c r="EY148" s="52"/>
      <c r="EZ148" s="52"/>
      <c r="FA148" s="52"/>
    </row>
    <row r="149" spans="2:157" x14ac:dyDescent="0.75">
      <c r="B149" s="26"/>
      <c r="C149" s="27"/>
      <c r="D149" s="52"/>
      <c r="F149" s="26"/>
      <c r="G149" s="27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2"/>
      <c r="DN149" s="52"/>
      <c r="DO149" s="52"/>
      <c r="DP149" s="52"/>
      <c r="DQ149" s="52"/>
      <c r="DR149" s="52"/>
      <c r="DS149" s="52"/>
      <c r="DT149" s="52"/>
      <c r="DU149" s="52"/>
      <c r="DV149" s="52"/>
      <c r="DW149" s="52"/>
      <c r="DX149" s="52"/>
      <c r="DY149" s="52"/>
      <c r="DZ149" s="52"/>
      <c r="EA149" s="52"/>
      <c r="EB149" s="52"/>
      <c r="EC149" s="52"/>
      <c r="ED149" s="52"/>
      <c r="EE149" s="52"/>
      <c r="EF149" s="52"/>
      <c r="EG149" s="52"/>
      <c r="EH149" s="52"/>
      <c r="EI149" s="52"/>
      <c r="EJ149" s="52"/>
      <c r="EK149" s="52"/>
      <c r="EL149" s="52"/>
      <c r="EM149" s="52"/>
      <c r="EN149" s="52"/>
      <c r="EO149" s="52"/>
      <c r="EP149" s="52"/>
      <c r="EQ149" s="52"/>
      <c r="ER149" s="52"/>
      <c r="ES149" s="52"/>
      <c r="ET149" s="52"/>
      <c r="EU149" s="52"/>
      <c r="EV149" s="52"/>
      <c r="EW149" s="52"/>
      <c r="EX149" s="52"/>
      <c r="EY149" s="52"/>
      <c r="EZ149" s="52"/>
      <c r="FA149" s="52"/>
    </row>
    <row r="150" spans="2:157" x14ac:dyDescent="0.75">
      <c r="B150" s="26"/>
      <c r="C150" s="27"/>
      <c r="D150" s="52"/>
      <c r="F150" s="26"/>
      <c r="G150" s="27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  <c r="DN150" s="52"/>
      <c r="DO150" s="52"/>
      <c r="DP150" s="52"/>
      <c r="DQ150" s="52"/>
      <c r="DR150" s="52"/>
      <c r="DS150" s="52"/>
      <c r="DT150" s="52"/>
      <c r="DU150" s="52"/>
      <c r="DV150" s="52"/>
      <c r="DW150" s="52"/>
      <c r="DX150" s="52"/>
      <c r="DY150" s="52"/>
      <c r="DZ150" s="52"/>
      <c r="EA150" s="52"/>
      <c r="EB150" s="52"/>
      <c r="EC150" s="52"/>
      <c r="ED150" s="52"/>
      <c r="EE150" s="52"/>
      <c r="EF150" s="52"/>
      <c r="EG150" s="52"/>
      <c r="EH150" s="52"/>
      <c r="EI150" s="52"/>
      <c r="EJ150" s="52"/>
      <c r="EK150" s="52"/>
      <c r="EL150" s="52"/>
      <c r="EM150" s="52"/>
      <c r="EN150" s="52"/>
      <c r="EO150" s="52"/>
      <c r="EP150" s="52"/>
      <c r="EQ150" s="52"/>
      <c r="ER150" s="52"/>
      <c r="ES150" s="52"/>
      <c r="ET150" s="52"/>
      <c r="EU150" s="52"/>
      <c r="EV150" s="52"/>
      <c r="EW150" s="52"/>
      <c r="EX150" s="52"/>
      <c r="EY150" s="52"/>
      <c r="EZ150" s="52"/>
      <c r="FA150" s="52"/>
    </row>
    <row r="151" spans="2:157" x14ac:dyDescent="0.75">
      <c r="B151" s="26"/>
      <c r="C151" s="27"/>
      <c r="D151" s="52"/>
      <c r="F151" s="26"/>
      <c r="G151" s="27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/>
      <c r="DQ151" s="52"/>
      <c r="DR151" s="52"/>
      <c r="DS151" s="52"/>
      <c r="DT151" s="52"/>
      <c r="DU151" s="52"/>
      <c r="DV151" s="52"/>
      <c r="DW151" s="52"/>
      <c r="DX151" s="52"/>
      <c r="DY151" s="52"/>
      <c r="DZ151" s="52"/>
      <c r="EA151" s="52"/>
      <c r="EB151" s="52"/>
      <c r="EC151" s="52"/>
      <c r="ED151" s="52"/>
      <c r="EE151" s="52"/>
      <c r="EF151" s="52"/>
      <c r="EG151" s="52"/>
      <c r="EH151" s="52"/>
      <c r="EI151" s="52"/>
      <c r="EJ151" s="52"/>
      <c r="EK151" s="52"/>
      <c r="EL151" s="52"/>
      <c r="EM151" s="52"/>
      <c r="EN151" s="52"/>
      <c r="EO151" s="52"/>
      <c r="EP151" s="52"/>
      <c r="EQ151" s="52"/>
      <c r="ER151" s="52"/>
      <c r="ES151" s="52"/>
      <c r="ET151" s="52"/>
      <c r="EU151" s="52"/>
      <c r="EV151" s="52"/>
      <c r="EW151" s="52"/>
      <c r="EX151" s="52"/>
      <c r="EY151" s="52"/>
      <c r="EZ151" s="52"/>
      <c r="FA151" s="52"/>
    </row>
    <row r="152" spans="2:157" x14ac:dyDescent="0.75">
      <c r="B152" s="26"/>
      <c r="C152" s="27"/>
      <c r="D152" s="52"/>
      <c r="F152" s="26"/>
      <c r="G152" s="27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/>
      <c r="DQ152" s="52"/>
      <c r="DR152" s="52"/>
      <c r="DS152" s="52"/>
      <c r="DT152" s="52"/>
      <c r="DU152" s="52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F152" s="52"/>
      <c r="EG152" s="52"/>
      <c r="EH152" s="52"/>
      <c r="EI152" s="52"/>
      <c r="EJ152" s="52"/>
      <c r="EK152" s="52"/>
      <c r="EL152" s="52"/>
      <c r="EM152" s="52"/>
      <c r="EN152" s="52"/>
      <c r="EO152" s="52"/>
      <c r="EP152" s="52"/>
      <c r="EQ152" s="52"/>
      <c r="ER152" s="52"/>
      <c r="ES152" s="52"/>
      <c r="ET152" s="52"/>
      <c r="EU152" s="52"/>
      <c r="EV152" s="52"/>
      <c r="EW152" s="52"/>
      <c r="EX152" s="52"/>
      <c r="EY152" s="52"/>
      <c r="EZ152" s="52"/>
      <c r="FA152" s="52"/>
    </row>
    <row r="153" spans="2:157" x14ac:dyDescent="0.75">
      <c r="B153" s="26"/>
      <c r="C153" s="27"/>
      <c r="D153" s="52"/>
      <c r="F153" s="26"/>
      <c r="G153" s="27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  <c r="DN153" s="52"/>
      <c r="DO153" s="52"/>
      <c r="DP153" s="52"/>
      <c r="DQ153" s="52"/>
      <c r="DR153" s="52"/>
      <c r="DS153" s="52"/>
      <c r="DT153" s="52"/>
      <c r="DU153" s="52"/>
      <c r="DV153" s="52"/>
      <c r="DW153" s="52"/>
      <c r="DX153" s="52"/>
      <c r="DY153" s="52"/>
      <c r="DZ153" s="52"/>
      <c r="EA153" s="52"/>
      <c r="EB153" s="52"/>
      <c r="EC153" s="52"/>
      <c r="ED153" s="52"/>
      <c r="EE153" s="52"/>
      <c r="EF153" s="52"/>
      <c r="EG153" s="52"/>
      <c r="EH153" s="52"/>
      <c r="EI153" s="52"/>
      <c r="EJ153" s="52"/>
      <c r="EK153" s="52"/>
      <c r="EL153" s="52"/>
      <c r="EM153" s="52"/>
      <c r="EN153" s="52"/>
      <c r="EO153" s="52"/>
      <c r="EP153" s="52"/>
      <c r="EQ153" s="52"/>
      <c r="ER153" s="52"/>
      <c r="ES153" s="52"/>
      <c r="ET153" s="52"/>
      <c r="EU153" s="52"/>
      <c r="EV153" s="52"/>
      <c r="EW153" s="52"/>
      <c r="EX153" s="52"/>
      <c r="EY153" s="52"/>
      <c r="EZ153" s="52"/>
      <c r="FA153" s="52"/>
    </row>
    <row r="154" spans="2:157" x14ac:dyDescent="0.75">
      <c r="B154" s="26"/>
      <c r="C154" s="27"/>
      <c r="D154" s="52"/>
      <c r="F154" s="26"/>
      <c r="G154" s="27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/>
      <c r="DQ154" s="52"/>
      <c r="DR154" s="52"/>
      <c r="DS154" s="52"/>
      <c r="DT154" s="52"/>
      <c r="DU154" s="52"/>
      <c r="DV154" s="52"/>
      <c r="DW154" s="52"/>
      <c r="DX154" s="52"/>
      <c r="DY154" s="52"/>
      <c r="DZ154" s="52"/>
      <c r="EA154" s="52"/>
      <c r="EB154" s="52"/>
      <c r="EC154" s="52"/>
      <c r="ED154" s="52"/>
      <c r="EE154" s="52"/>
      <c r="EF154" s="52"/>
      <c r="EG154" s="52"/>
      <c r="EH154" s="52"/>
      <c r="EI154" s="52"/>
      <c r="EJ154" s="52"/>
      <c r="EK154" s="52"/>
      <c r="EL154" s="52"/>
      <c r="EM154" s="52"/>
      <c r="EN154" s="52"/>
      <c r="EO154" s="52"/>
      <c r="EP154" s="52"/>
      <c r="EQ154" s="52"/>
      <c r="ER154" s="52"/>
      <c r="ES154" s="52"/>
      <c r="ET154" s="52"/>
      <c r="EU154" s="52"/>
      <c r="EV154" s="52"/>
      <c r="EW154" s="52"/>
      <c r="EX154" s="52"/>
      <c r="EY154" s="52"/>
      <c r="EZ154" s="52"/>
      <c r="FA154" s="52"/>
    </row>
    <row r="155" spans="2:157" x14ac:dyDescent="0.75">
      <c r="B155" s="26"/>
      <c r="C155" s="27"/>
      <c r="D155" s="52"/>
      <c r="F155" s="26"/>
      <c r="G155" s="27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/>
      <c r="DQ155" s="52"/>
      <c r="DR155" s="52"/>
      <c r="DS155" s="52"/>
      <c r="DT155" s="52"/>
      <c r="DU155" s="52"/>
      <c r="DV155" s="52"/>
      <c r="DW155" s="52"/>
      <c r="DX155" s="52"/>
      <c r="DY155" s="52"/>
      <c r="DZ155" s="52"/>
      <c r="EA155" s="52"/>
      <c r="EB155" s="52"/>
      <c r="EC155" s="52"/>
      <c r="ED155" s="52"/>
      <c r="EE155" s="52"/>
      <c r="EF155" s="52"/>
      <c r="EG155" s="52"/>
      <c r="EH155" s="52"/>
      <c r="EI155" s="52"/>
      <c r="EJ155" s="52"/>
      <c r="EK155" s="52"/>
      <c r="EL155" s="52"/>
      <c r="EM155" s="52"/>
      <c r="EN155" s="52"/>
      <c r="EO155" s="52"/>
      <c r="EP155" s="52"/>
      <c r="EQ155" s="52"/>
      <c r="ER155" s="52"/>
      <c r="ES155" s="52"/>
      <c r="ET155" s="52"/>
      <c r="EU155" s="52"/>
      <c r="EV155" s="52"/>
      <c r="EW155" s="52"/>
      <c r="EX155" s="52"/>
      <c r="EY155" s="52"/>
      <c r="EZ155" s="52"/>
      <c r="FA155" s="52"/>
    </row>
    <row r="156" spans="2:157" x14ac:dyDescent="0.75">
      <c r="B156" s="26"/>
      <c r="C156" s="27"/>
      <c r="D156" s="52"/>
      <c r="F156" s="26"/>
      <c r="G156" s="27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/>
      <c r="DQ156" s="52"/>
      <c r="DR156" s="52"/>
      <c r="DS156" s="52"/>
      <c r="DT156" s="52"/>
      <c r="DU156" s="52"/>
      <c r="DV156" s="52"/>
      <c r="DW156" s="52"/>
      <c r="DX156" s="52"/>
      <c r="DY156" s="52"/>
      <c r="DZ156" s="52"/>
      <c r="EA156" s="52"/>
      <c r="EB156" s="52"/>
      <c r="EC156" s="52"/>
      <c r="ED156" s="52"/>
      <c r="EE156" s="52"/>
      <c r="EF156" s="52"/>
      <c r="EG156" s="52"/>
      <c r="EH156" s="52"/>
      <c r="EI156" s="52"/>
      <c r="EJ156" s="52"/>
      <c r="EK156" s="52"/>
      <c r="EL156" s="52"/>
      <c r="EM156" s="52"/>
      <c r="EN156" s="52"/>
      <c r="EO156" s="52"/>
      <c r="EP156" s="52"/>
      <c r="EQ156" s="52"/>
      <c r="ER156" s="52"/>
      <c r="ES156" s="52"/>
      <c r="ET156" s="52"/>
      <c r="EU156" s="52"/>
      <c r="EV156" s="52"/>
      <c r="EW156" s="52"/>
      <c r="EX156" s="52"/>
      <c r="EY156" s="52"/>
      <c r="EZ156" s="52"/>
      <c r="FA156" s="52"/>
    </row>
    <row r="157" spans="2:157" x14ac:dyDescent="0.75">
      <c r="B157" s="26"/>
      <c r="C157" s="27"/>
      <c r="D157" s="52"/>
      <c r="F157" s="26"/>
      <c r="G157" s="27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52"/>
      <c r="DF157" s="52"/>
      <c r="DG157" s="52"/>
      <c r="DH157" s="52"/>
      <c r="DI157" s="52"/>
      <c r="DJ157" s="52"/>
      <c r="DK157" s="52"/>
      <c r="DL157" s="52"/>
      <c r="DM157" s="52"/>
      <c r="DN157" s="52"/>
      <c r="DO157" s="52"/>
      <c r="DP157" s="52"/>
      <c r="DQ157" s="52"/>
      <c r="DR157" s="52"/>
      <c r="DS157" s="52"/>
      <c r="DT157" s="52"/>
      <c r="DU157" s="52"/>
      <c r="DV157" s="52"/>
      <c r="DW157" s="52"/>
      <c r="DX157" s="52"/>
      <c r="DY157" s="52"/>
      <c r="DZ157" s="52"/>
      <c r="EA157" s="52"/>
      <c r="EB157" s="52"/>
      <c r="EC157" s="52"/>
      <c r="ED157" s="52"/>
      <c r="EE157" s="52"/>
      <c r="EF157" s="52"/>
      <c r="EG157" s="52"/>
      <c r="EH157" s="52"/>
      <c r="EI157" s="52"/>
      <c r="EJ157" s="52"/>
      <c r="EK157" s="52"/>
      <c r="EL157" s="52"/>
      <c r="EM157" s="52"/>
      <c r="EN157" s="52"/>
      <c r="EO157" s="52"/>
      <c r="EP157" s="52"/>
      <c r="EQ157" s="52"/>
      <c r="ER157" s="52"/>
      <c r="ES157" s="52"/>
      <c r="ET157" s="52"/>
      <c r="EU157" s="52"/>
      <c r="EV157" s="52"/>
      <c r="EW157" s="52"/>
      <c r="EX157" s="52"/>
      <c r="EY157" s="52"/>
      <c r="EZ157" s="52"/>
      <c r="FA157" s="52"/>
    </row>
    <row r="158" spans="2:157" x14ac:dyDescent="0.75">
      <c r="B158" s="38"/>
      <c r="C158" s="38"/>
      <c r="D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38"/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  <c r="DE158" s="38"/>
      <c r="DF158" s="38"/>
      <c r="DG158" s="38"/>
      <c r="DH158" s="38"/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  <c r="EH158" s="38"/>
      <c r="EI158" s="38"/>
      <c r="EJ158" s="38"/>
      <c r="EK158" s="38"/>
      <c r="EL158" s="38"/>
      <c r="EM158" s="38"/>
      <c r="EN158" s="38"/>
      <c r="EO158" s="38"/>
      <c r="EP158" s="38"/>
      <c r="EQ158" s="38"/>
      <c r="ER158" s="38"/>
      <c r="ES158" s="38"/>
      <c r="ET158" s="38"/>
      <c r="EU158" s="38"/>
      <c r="EV158" s="38"/>
      <c r="EW158" s="38"/>
      <c r="EX158" s="38"/>
      <c r="EY158" s="38"/>
      <c r="EZ158" s="38"/>
      <c r="FA158" s="38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935F-80DD-450D-9EC1-08352CE4F5E0}">
  <sheetPr>
    <tabColor theme="8" tint="-0.499984740745262"/>
  </sheetPr>
  <dimension ref="A1:FB158"/>
  <sheetViews>
    <sheetView zoomScale="85" zoomScaleNormal="85" workbookViewId="0">
      <pane ySplit="6" topLeftCell="A7" activePane="bottomLeft" state="frozen"/>
      <selection activeCell="D10" sqref="D10"/>
      <selection pane="bottomLeft" activeCell="D7" sqref="D7:D21"/>
    </sheetView>
  </sheetViews>
  <sheetFormatPr defaultColWidth="0" defaultRowHeight="14.75" zeroHeight="1" x14ac:dyDescent="0.75"/>
  <cols>
    <col min="1" max="2" width="2.453125" customWidth="1"/>
    <col min="3" max="4" width="9.08984375" customWidth="1"/>
    <col min="5" max="6" width="2.453125" customWidth="1"/>
    <col min="7" max="157" width="9.08984375" customWidth="1"/>
    <col min="158" max="158" width="2.453125" customWidth="1"/>
    <col min="159" max="16384" width="9.08984375" hidden="1"/>
  </cols>
  <sheetData>
    <row r="1" spans="1:158" ht="18.5" x14ac:dyDescent="0.9">
      <c r="A1" s="23" t="s">
        <v>225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</row>
    <row r="2" spans="1:158" x14ac:dyDescent="0.75"/>
    <row r="3" spans="1:158" x14ac:dyDescent="0.75"/>
    <row r="4" spans="1:158" x14ac:dyDescent="0.75">
      <c r="B4" s="35"/>
      <c r="C4" s="29" t="s">
        <v>264</v>
      </c>
      <c r="D4" s="28"/>
      <c r="F4" s="35"/>
      <c r="G4" s="29" t="s">
        <v>232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</row>
    <row r="5" spans="1:158" x14ac:dyDescent="0.75">
      <c r="B5" s="40"/>
      <c r="C5" s="42"/>
      <c r="D5" s="42"/>
      <c r="F5" s="40"/>
      <c r="G5" s="42"/>
      <c r="H5" s="53" t="s">
        <v>226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</row>
    <row r="6" spans="1:158" x14ac:dyDescent="0.75">
      <c r="B6" s="26"/>
      <c r="D6" s="49" t="s">
        <v>33</v>
      </c>
      <c r="F6" s="26"/>
      <c r="G6" s="52"/>
      <c r="H6" s="27" t="s">
        <v>541</v>
      </c>
      <c r="I6" s="27" t="s">
        <v>542</v>
      </c>
      <c r="J6" s="27" t="s">
        <v>543</v>
      </c>
      <c r="K6" s="27" t="s">
        <v>544</v>
      </c>
      <c r="L6" s="27" t="s">
        <v>545</v>
      </c>
      <c r="M6" s="52" t="s">
        <v>546</v>
      </c>
      <c r="N6" s="52" t="s">
        <v>547</v>
      </c>
      <c r="O6" s="52" t="s">
        <v>548</v>
      </c>
      <c r="P6" s="52" t="s">
        <v>17</v>
      </c>
      <c r="Q6" s="52" t="s">
        <v>549</v>
      </c>
      <c r="R6" s="52" t="s">
        <v>550</v>
      </c>
      <c r="S6" s="52" t="s">
        <v>551</v>
      </c>
      <c r="T6" s="52" t="s">
        <v>552</v>
      </c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</row>
    <row r="7" spans="1:158" x14ac:dyDescent="0.75">
      <c r="B7" s="26"/>
      <c r="C7" s="27" t="s">
        <v>662</v>
      </c>
      <c r="D7" s="52">
        <v>2152.9370756462981</v>
      </c>
      <c r="F7" s="26"/>
      <c r="G7" s="27" t="s">
        <v>662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</row>
    <row r="8" spans="1:158" x14ac:dyDescent="0.75">
      <c r="B8" s="26"/>
      <c r="C8" s="27" t="s">
        <v>663</v>
      </c>
      <c r="D8" s="52">
        <v>2084.7817957116085</v>
      </c>
      <c r="F8" s="26"/>
      <c r="G8" s="27" t="s">
        <v>663</v>
      </c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</row>
    <row r="9" spans="1:158" x14ac:dyDescent="0.75">
      <c r="B9" s="26"/>
      <c r="C9" s="27" t="s">
        <v>664</v>
      </c>
      <c r="D9" s="52">
        <v>2037.2986486745156</v>
      </c>
      <c r="F9" s="26"/>
      <c r="G9" s="27" t="s">
        <v>664</v>
      </c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</row>
    <row r="10" spans="1:158" x14ac:dyDescent="0.75">
      <c r="B10" s="26"/>
      <c r="C10" s="27" t="s">
        <v>665</v>
      </c>
      <c r="D10" s="52">
        <v>1914.0339390963979</v>
      </c>
      <c r="F10" s="26"/>
      <c r="G10" s="27" t="s">
        <v>665</v>
      </c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</row>
    <row r="11" spans="1:158" x14ac:dyDescent="0.75">
      <c r="B11" s="26"/>
      <c r="C11" s="27" t="s">
        <v>666</v>
      </c>
      <c r="D11" s="52">
        <v>1029.844011435785</v>
      </c>
      <c r="F11" s="26"/>
      <c r="G11" s="27" t="s">
        <v>666</v>
      </c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</row>
    <row r="12" spans="1:158" x14ac:dyDescent="0.75">
      <c r="B12" s="26"/>
      <c r="C12" s="27" t="s">
        <v>656</v>
      </c>
      <c r="D12" s="52">
        <v>128.38241807103526</v>
      </c>
      <c r="F12" s="26"/>
      <c r="G12" s="27" t="s">
        <v>656</v>
      </c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</row>
    <row r="13" spans="1:158" x14ac:dyDescent="0.75">
      <c r="B13" s="26"/>
      <c r="C13" s="27" t="s">
        <v>657</v>
      </c>
      <c r="D13" s="52">
        <v>141.80111730984015</v>
      </c>
      <c r="F13" s="26"/>
      <c r="G13" s="27" t="s">
        <v>657</v>
      </c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</row>
    <row r="14" spans="1:158" x14ac:dyDescent="0.75">
      <c r="B14" s="26"/>
      <c r="C14" s="27" t="s">
        <v>658</v>
      </c>
      <c r="D14" s="52">
        <v>158.49289365180553</v>
      </c>
      <c r="F14" s="26"/>
      <c r="G14" s="27" t="s">
        <v>658</v>
      </c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</row>
    <row r="15" spans="1:158" x14ac:dyDescent="0.75">
      <c r="B15" s="26"/>
      <c r="C15" s="27" t="s">
        <v>659</v>
      </c>
      <c r="D15" s="52">
        <v>166.17827641808705</v>
      </c>
      <c r="F15" s="26"/>
      <c r="G15" s="27" t="s">
        <v>659</v>
      </c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</row>
    <row r="16" spans="1:158" x14ac:dyDescent="0.75">
      <c r="B16" s="26"/>
      <c r="C16" s="27" t="s">
        <v>660</v>
      </c>
      <c r="D16" s="52">
        <v>363.32780324612639</v>
      </c>
      <c r="F16" s="26"/>
      <c r="G16" s="27" t="s">
        <v>660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</row>
    <row r="17" spans="2:157" x14ac:dyDescent="0.75">
      <c r="B17" s="26"/>
      <c r="C17" t="s">
        <v>752</v>
      </c>
      <c r="D17" s="52">
        <v>59.470371854950464</v>
      </c>
      <c r="F17" s="26"/>
      <c r="G17" s="52" t="s">
        <v>752</v>
      </c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</row>
    <row r="18" spans="2:157" x14ac:dyDescent="0.75">
      <c r="B18" s="26"/>
      <c r="C18" t="s">
        <v>753</v>
      </c>
      <c r="D18" s="52">
        <v>115.49890012581693</v>
      </c>
      <c r="F18" s="26"/>
      <c r="G18" s="52" t="s">
        <v>753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</row>
    <row r="19" spans="2:157" x14ac:dyDescent="0.75">
      <c r="B19" s="26"/>
      <c r="C19" t="s">
        <v>754</v>
      </c>
      <c r="D19" s="52">
        <v>144.36032037092224</v>
      </c>
      <c r="F19" s="26"/>
      <c r="G19" s="52" t="s">
        <v>754</v>
      </c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</row>
    <row r="20" spans="2:157" x14ac:dyDescent="0.75">
      <c r="B20" s="26"/>
      <c r="C20" t="s">
        <v>755</v>
      </c>
      <c r="D20" s="52">
        <v>263.9707482931853</v>
      </c>
      <c r="F20" s="26"/>
      <c r="G20" s="52" t="s">
        <v>755</v>
      </c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</row>
    <row r="21" spans="2:157" x14ac:dyDescent="0.75">
      <c r="B21" s="26"/>
      <c r="C21" t="s">
        <v>756</v>
      </c>
      <c r="D21" s="52">
        <v>956.64015009362697</v>
      </c>
      <c r="F21" s="26"/>
      <c r="G21" s="52" t="s">
        <v>756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</row>
    <row r="22" spans="2:157" x14ac:dyDescent="0.75">
      <c r="B22" s="26"/>
      <c r="C22" s="27"/>
      <c r="D22" s="52"/>
      <c r="F22" s="26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</row>
    <row r="23" spans="2:157" x14ac:dyDescent="0.75">
      <c r="B23" s="26"/>
      <c r="C23" s="27"/>
      <c r="D23" s="52"/>
      <c r="F23" s="26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</row>
    <row r="24" spans="2:157" x14ac:dyDescent="0.75">
      <c r="B24" s="26"/>
      <c r="C24" s="27"/>
      <c r="D24" s="52"/>
      <c r="F24" s="26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</row>
    <row r="25" spans="2:157" x14ac:dyDescent="0.75">
      <c r="B25" s="26"/>
      <c r="C25" s="27"/>
      <c r="D25" s="52"/>
      <c r="F25" s="26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</row>
    <row r="26" spans="2:157" x14ac:dyDescent="0.75">
      <c r="B26" s="26"/>
      <c r="C26" s="27"/>
      <c r="D26" s="52"/>
      <c r="F26" s="26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</row>
    <row r="27" spans="2:157" x14ac:dyDescent="0.75">
      <c r="B27" s="26"/>
      <c r="C27" s="27"/>
      <c r="D27" s="52"/>
      <c r="F27" s="26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</row>
    <row r="28" spans="2:157" x14ac:dyDescent="0.75">
      <c r="B28" s="26"/>
      <c r="C28" s="27"/>
      <c r="D28" s="52"/>
      <c r="F28" s="26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</row>
    <row r="29" spans="2:157" x14ac:dyDescent="0.75">
      <c r="B29" s="26"/>
      <c r="C29" s="27"/>
      <c r="D29" s="52"/>
      <c r="F29" s="26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</row>
    <row r="30" spans="2:157" x14ac:dyDescent="0.75">
      <c r="B30" s="26"/>
      <c r="C30" s="27"/>
      <c r="D30" s="52"/>
      <c r="F30" s="26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</row>
    <row r="31" spans="2:157" x14ac:dyDescent="0.75">
      <c r="B31" s="26"/>
      <c r="C31" s="27"/>
      <c r="D31" s="52"/>
      <c r="F31" s="26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</row>
    <row r="32" spans="2:157" x14ac:dyDescent="0.75">
      <c r="B32" s="26"/>
      <c r="C32" s="27"/>
      <c r="D32" s="52"/>
      <c r="F32" s="26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</row>
    <row r="33" spans="2:157" x14ac:dyDescent="0.75">
      <c r="B33" s="26"/>
      <c r="C33" s="27"/>
      <c r="D33" s="52"/>
      <c r="F33" s="26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</row>
    <row r="34" spans="2:157" x14ac:dyDescent="0.75">
      <c r="B34" s="26"/>
      <c r="C34" s="27"/>
      <c r="D34" s="52"/>
      <c r="F34" s="26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</row>
    <row r="35" spans="2:157" x14ac:dyDescent="0.75">
      <c r="B35" s="26"/>
      <c r="C35" s="27"/>
      <c r="D35" s="52"/>
      <c r="F35" s="26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</row>
    <row r="36" spans="2:157" x14ac:dyDescent="0.75">
      <c r="B36" s="26"/>
      <c r="C36" s="27"/>
      <c r="D36" s="52"/>
      <c r="F36" s="26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</row>
    <row r="37" spans="2:157" x14ac:dyDescent="0.75">
      <c r="B37" s="26"/>
      <c r="C37" s="27"/>
      <c r="D37" s="52"/>
      <c r="F37" s="26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</row>
    <row r="38" spans="2:157" x14ac:dyDescent="0.75">
      <c r="B38" s="26"/>
      <c r="C38" s="27"/>
      <c r="D38" s="52"/>
      <c r="F38" s="26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</row>
    <row r="39" spans="2:157" x14ac:dyDescent="0.75">
      <c r="B39" s="26"/>
      <c r="C39" s="27"/>
      <c r="D39" s="52"/>
      <c r="F39" s="26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</row>
    <row r="40" spans="2:157" x14ac:dyDescent="0.75">
      <c r="B40" s="26"/>
      <c r="C40" s="27"/>
      <c r="D40" s="52"/>
      <c r="F40" s="26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</row>
    <row r="41" spans="2:157" x14ac:dyDescent="0.75">
      <c r="B41" s="26"/>
      <c r="C41" s="27"/>
      <c r="D41" s="52"/>
      <c r="F41" s="26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</row>
    <row r="42" spans="2:157" x14ac:dyDescent="0.75">
      <c r="B42" s="26"/>
      <c r="C42" s="27"/>
      <c r="D42" s="52"/>
      <c r="F42" s="26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</row>
    <row r="43" spans="2:157" x14ac:dyDescent="0.75">
      <c r="B43" s="26"/>
      <c r="C43" s="27"/>
      <c r="D43" s="52"/>
      <c r="F43" s="26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</row>
    <row r="44" spans="2:157" x14ac:dyDescent="0.75">
      <c r="B44" s="26"/>
      <c r="C44" s="27"/>
      <c r="D44" s="52"/>
      <c r="F44" s="26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</row>
    <row r="45" spans="2:157" x14ac:dyDescent="0.75">
      <c r="B45" s="26"/>
      <c r="C45" s="27"/>
      <c r="D45" s="52"/>
      <c r="F45" s="26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</row>
    <row r="46" spans="2:157" x14ac:dyDescent="0.75">
      <c r="B46" s="26"/>
      <c r="C46" s="27"/>
      <c r="D46" s="52"/>
      <c r="F46" s="26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</row>
    <row r="47" spans="2:157" x14ac:dyDescent="0.75">
      <c r="B47" s="26"/>
      <c r="C47" s="27"/>
      <c r="D47" s="52"/>
      <c r="F47" s="26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</row>
    <row r="48" spans="2:157" x14ac:dyDescent="0.75">
      <c r="B48" s="26"/>
      <c r="C48" s="27"/>
      <c r="D48" s="52"/>
      <c r="F48" s="26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</row>
    <row r="49" spans="2:157" x14ac:dyDescent="0.75">
      <c r="B49" s="26"/>
      <c r="C49" s="27"/>
      <c r="D49" s="52"/>
      <c r="F49" s="26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</row>
    <row r="50" spans="2:157" x14ac:dyDescent="0.75">
      <c r="B50" s="26"/>
      <c r="C50" s="27"/>
      <c r="D50" s="52"/>
      <c r="F50" s="26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</row>
    <row r="51" spans="2:157" x14ac:dyDescent="0.75">
      <c r="B51" s="26"/>
      <c r="C51" s="27"/>
      <c r="D51" s="52"/>
      <c r="F51" s="26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</row>
    <row r="52" spans="2:157" x14ac:dyDescent="0.75">
      <c r="B52" s="26"/>
      <c r="C52" s="27"/>
      <c r="D52" s="52"/>
      <c r="F52" s="26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</row>
    <row r="53" spans="2:157" x14ac:dyDescent="0.75">
      <c r="B53" s="26"/>
      <c r="C53" s="27"/>
      <c r="D53" s="52"/>
      <c r="F53" s="26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</row>
    <row r="54" spans="2:157" x14ac:dyDescent="0.75">
      <c r="B54" s="26"/>
      <c r="C54" s="27"/>
      <c r="D54" s="52"/>
      <c r="F54" s="26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</row>
    <row r="55" spans="2:157" x14ac:dyDescent="0.75">
      <c r="B55" s="26"/>
      <c r="C55" s="27"/>
      <c r="D55" s="52"/>
      <c r="F55" s="26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</row>
    <row r="56" spans="2:157" x14ac:dyDescent="0.75">
      <c r="B56" s="26"/>
      <c r="C56" s="27"/>
      <c r="D56" s="52"/>
      <c r="F56" s="26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</row>
    <row r="57" spans="2:157" x14ac:dyDescent="0.75">
      <c r="B57" s="26"/>
      <c r="C57" s="27"/>
      <c r="D57" s="52"/>
      <c r="F57" s="26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</row>
    <row r="58" spans="2:157" x14ac:dyDescent="0.75">
      <c r="B58" s="26"/>
      <c r="C58" s="27"/>
      <c r="D58" s="52"/>
      <c r="F58" s="26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</row>
    <row r="59" spans="2:157" x14ac:dyDescent="0.75">
      <c r="B59" s="26"/>
      <c r="C59" s="27"/>
      <c r="D59" s="52"/>
      <c r="F59" s="26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</row>
    <row r="60" spans="2:157" x14ac:dyDescent="0.75">
      <c r="B60" s="26"/>
      <c r="C60" s="27"/>
      <c r="D60" s="52"/>
      <c r="F60" s="26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</row>
    <row r="61" spans="2:157" x14ac:dyDescent="0.75">
      <c r="B61" s="26"/>
      <c r="C61" s="27"/>
      <c r="D61" s="52"/>
      <c r="F61" s="26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</row>
    <row r="62" spans="2:157" x14ac:dyDescent="0.75">
      <c r="B62" s="26"/>
      <c r="C62" s="27"/>
      <c r="D62" s="52"/>
      <c r="F62" s="26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</row>
    <row r="63" spans="2:157" x14ac:dyDescent="0.75">
      <c r="B63" s="26"/>
      <c r="C63" s="27"/>
      <c r="D63" s="52"/>
      <c r="F63" s="26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</row>
    <row r="64" spans="2:157" x14ac:dyDescent="0.75">
      <c r="B64" s="26"/>
      <c r="C64" s="27"/>
      <c r="D64" s="52"/>
      <c r="F64" s="26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</row>
    <row r="65" spans="2:157" x14ac:dyDescent="0.75">
      <c r="B65" s="26"/>
      <c r="C65" s="27"/>
      <c r="D65" s="52"/>
      <c r="F65" s="26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</row>
    <row r="66" spans="2:157" x14ac:dyDescent="0.75">
      <c r="B66" s="26"/>
      <c r="C66" s="27"/>
      <c r="D66" s="52"/>
      <c r="F66" s="26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</row>
    <row r="67" spans="2:157" x14ac:dyDescent="0.75">
      <c r="B67" s="26"/>
      <c r="C67" s="27"/>
      <c r="D67" s="52"/>
      <c r="F67" s="26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</row>
    <row r="68" spans="2:157" x14ac:dyDescent="0.75">
      <c r="B68" s="26"/>
      <c r="C68" s="27"/>
      <c r="D68" s="52"/>
      <c r="F68" s="26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</row>
    <row r="69" spans="2:157" x14ac:dyDescent="0.75">
      <c r="B69" s="26"/>
      <c r="C69" s="27"/>
      <c r="D69" s="52"/>
      <c r="F69" s="26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</row>
    <row r="70" spans="2:157" x14ac:dyDescent="0.75">
      <c r="B70" s="26"/>
      <c r="C70" s="27"/>
      <c r="D70" s="52"/>
      <c r="F70" s="26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</row>
    <row r="71" spans="2:157" x14ac:dyDescent="0.75">
      <c r="B71" s="26"/>
      <c r="C71" s="27"/>
      <c r="D71" s="52"/>
      <c r="F71" s="26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</row>
    <row r="72" spans="2:157" x14ac:dyDescent="0.75">
      <c r="B72" s="26"/>
      <c r="C72" s="27"/>
      <c r="D72" s="52"/>
      <c r="F72" s="26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</row>
    <row r="73" spans="2:157" x14ac:dyDescent="0.75">
      <c r="B73" s="26"/>
      <c r="C73" s="27"/>
      <c r="D73" s="52"/>
      <c r="F73" s="26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</row>
    <row r="74" spans="2:157" x14ac:dyDescent="0.75">
      <c r="B74" s="26"/>
      <c r="C74" s="27"/>
      <c r="D74" s="52"/>
      <c r="F74" s="26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</row>
    <row r="75" spans="2:157" x14ac:dyDescent="0.75">
      <c r="B75" s="26"/>
      <c r="C75" s="27"/>
      <c r="D75" s="52"/>
      <c r="F75" s="26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</row>
    <row r="76" spans="2:157" x14ac:dyDescent="0.75">
      <c r="B76" s="26"/>
      <c r="C76" s="27"/>
      <c r="D76" s="52"/>
      <c r="F76" s="26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</row>
    <row r="77" spans="2:157" x14ac:dyDescent="0.75">
      <c r="B77" s="26"/>
      <c r="C77" s="27"/>
      <c r="D77" s="52"/>
      <c r="F77" s="26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</row>
    <row r="78" spans="2:157" x14ac:dyDescent="0.75">
      <c r="B78" s="26"/>
      <c r="C78" s="27"/>
      <c r="D78" s="52"/>
      <c r="F78" s="26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</row>
    <row r="79" spans="2:157" x14ac:dyDescent="0.75">
      <c r="B79" s="26"/>
      <c r="C79" s="27"/>
      <c r="D79" s="52"/>
      <c r="F79" s="26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</row>
    <row r="80" spans="2:157" x14ac:dyDescent="0.75">
      <c r="B80" s="26"/>
      <c r="C80" s="27"/>
      <c r="D80" s="52"/>
      <c r="F80" s="26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</row>
    <row r="81" spans="2:157" x14ac:dyDescent="0.75">
      <c r="B81" s="26"/>
      <c r="C81" s="27"/>
      <c r="D81" s="52"/>
      <c r="F81" s="26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</row>
    <row r="82" spans="2:157" x14ac:dyDescent="0.75">
      <c r="B82" s="26"/>
      <c r="C82" s="27"/>
      <c r="D82" s="52"/>
      <c r="F82" s="26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</row>
    <row r="83" spans="2:157" x14ac:dyDescent="0.75">
      <c r="B83" s="26"/>
      <c r="C83" s="27"/>
      <c r="D83" s="52"/>
      <c r="F83" s="26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</row>
    <row r="84" spans="2:157" x14ac:dyDescent="0.75">
      <c r="B84" s="26"/>
      <c r="C84" s="27"/>
      <c r="D84" s="52"/>
      <c r="F84" s="26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</row>
    <row r="85" spans="2:157" x14ac:dyDescent="0.75">
      <c r="B85" s="26"/>
      <c r="C85" s="27"/>
      <c r="D85" s="52"/>
      <c r="F85" s="26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</row>
    <row r="86" spans="2:157" x14ac:dyDescent="0.75">
      <c r="B86" s="26"/>
      <c r="C86" s="27"/>
      <c r="D86" s="52"/>
      <c r="F86" s="26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</row>
    <row r="87" spans="2:157" x14ac:dyDescent="0.75">
      <c r="B87" s="26"/>
      <c r="C87" s="27"/>
      <c r="D87" s="52"/>
      <c r="F87" s="26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</row>
    <row r="88" spans="2:157" x14ac:dyDescent="0.75">
      <c r="B88" s="26"/>
      <c r="C88" s="27"/>
      <c r="D88" s="52"/>
      <c r="F88" s="26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</row>
    <row r="89" spans="2:157" x14ac:dyDescent="0.75">
      <c r="B89" s="26"/>
      <c r="C89" s="27"/>
      <c r="D89" s="52"/>
      <c r="F89" s="26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</row>
    <row r="90" spans="2:157" x14ac:dyDescent="0.75">
      <c r="B90" s="26"/>
      <c r="C90" s="27"/>
      <c r="D90" s="52"/>
      <c r="F90" s="26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</row>
    <row r="91" spans="2:157" x14ac:dyDescent="0.75">
      <c r="B91" s="26"/>
      <c r="C91" s="27"/>
      <c r="D91" s="52"/>
      <c r="F91" s="26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</row>
    <row r="92" spans="2:157" x14ac:dyDescent="0.75">
      <c r="B92" s="26"/>
      <c r="C92" s="27"/>
      <c r="D92" s="52"/>
      <c r="F92" s="26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</row>
    <row r="93" spans="2:157" x14ac:dyDescent="0.75">
      <c r="B93" s="26"/>
      <c r="C93" s="27"/>
      <c r="D93" s="52"/>
      <c r="F93" s="26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</row>
    <row r="94" spans="2:157" x14ac:dyDescent="0.75">
      <c r="B94" s="26"/>
      <c r="C94" s="27"/>
      <c r="D94" s="52"/>
      <c r="F94" s="26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</row>
    <row r="95" spans="2:157" x14ac:dyDescent="0.75">
      <c r="B95" s="26"/>
      <c r="C95" s="27"/>
      <c r="D95" s="52"/>
      <c r="F95" s="26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</row>
    <row r="96" spans="2:157" x14ac:dyDescent="0.75">
      <c r="B96" s="26"/>
      <c r="C96" s="27"/>
      <c r="D96" s="52"/>
      <c r="F96" s="26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</row>
    <row r="97" spans="2:157" x14ac:dyDescent="0.75">
      <c r="B97" s="26"/>
      <c r="C97" s="27"/>
      <c r="D97" s="52"/>
      <c r="F97" s="26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</row>
    <row r="98" spans="2:157" x14ac:dyDescent="0.75">
      <c r="B98" s="26"/>
      <c r="C98" s="27"/>
      <c r="D98" s="52"/>
      <c r="F98" s="26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</row>
    <row r="99" spans="2:157" x14ac:dyDescent="0.75">
      <c r="B99" s="26"/>
      <c r="C99" s="27"/>
      <c r="D99" s="52"/>
      <c r="F99" s="26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</row>
    <row r="100" spans="2:157" x14ac:dyDescent="0.75">
      <c r="B100" s="26"/>
      <c r="C100" s="27"/>
      <c r="D100" s="52"/>
      <c r="F100" s="26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</row>
    <row r="101" spans="2:157" x14ac:dyDescent="0.75">
      <c r="B101" s="26"/>
      <c r="C101" s="27"/>
      <c r="D101" s="52"/>
      <c r="F101" s="26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</row>
    <row r="102" spans="2:157" x14ac:dyDescent="0.75">
      <c r="B102" s="26"/>
      <c r="C102" s="27"/>
      <c r="D102" s="52"/>
      <c r="F102" s="26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/>
      <c r="DQ102" s="52"/>
      <c r="DR102" s="52"/>
      <c r="DS102" s="52"/>
      <c r="DT102" s="52"/>
      <c r="DU102" s="52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2"/>
    </row>
    <row r="103" spans="2:157" x14ac:dyDescent="0.75">
      <c r="B103" s="26"/>
      <c r="C103" s="27"/>
      <c r="D103" s="52"/>
      <c r="F103" s="26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</row>
    <row r="104" spans="2:157" x14ac:dyDescent="0.75">
      <c r="B104" s="26"/>
      <c r="C104" s="27"/>
      <c r="D104" s="52"/>
      <c r="F104" s="26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</row>
    <row r="105" spans="2:157" x14ac:dyDescent="0.75">
      <c r="B105" s="26"/>
      <c r="C105" s="27"/>
      <c r="D105" s="52"/>
      <c r="F105" s="26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</row>
    <row r="106" spans="2:157" x14ac:dyDescent="0.75">
      <c r="B106" s="26"/>
      <c r="C106" s="27"/>
      <c r="D106" s="52"/>
      <c r="F106" s="26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</row>
    <row r="107" spans="2:157" x14ac:dyDescent="0.75">
      <c r="B107" s="26"/>
      <c r="C107" s="27"/>
      <c r="D107" s="52"/>
      <c r="F107" s="26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</row>
    <row r="108" spans="2:157" x14ac:dyDescent="0.75">
      <c r="B108" s="26"/>
      <c r="C108" s="27"/>
      <c r="D108" s="52"/>
      <c r="F108" s="26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</row>
    <row r="109" spans="2:157" x14ac:dyDescent="0.75">
      <c r="B109" s="26"/>
      <c r="C109" s="27"/>
      <c r="D109" s="52"/>
      <c r="F109" s="26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/>
      <c r="DQ109" s="52"/>
      <c r="DR109" s="52"/>
      <c r="DS109" s="52"/>
      <c r="DT109" s="52"/>
      <c r="DU109" s="52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  <c r="EM109" s="52"/>
      <c r="EN109" s="52"/>
      <c r="EO109" s="52"/>
      <c r="EP109" s="52"/>
      <c r="EQ109" s="52"/>
      <c r="ER109" s="52"/>
      <c r="ES109" s="52"/>
      <c r="ET109" s="52"/>
      <c r="EU109" s="52"/>
      <c r="EV109" s="52"/>
      <c r="EW109" s="52"/>
      <c r="EX109" s="52"/>
      <c r="EY109" s="52"/>
      <c r="EZ109" s="52"/>
      <c r="FA109" s="52"/>
    </row>
    <row r="110" spans="2:157" x14ac:dyDescent="0.75">
      <c r="B110" s="26"/>
      <c r="C110" s="27"/>
      <c r="D110" s="52"/>
      <c r="F110" s="26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2"/>
    </row>
    <row r="111" spans="2:157" x14ac:dyDescent="0.75">
      <c r="B111" s="26"/>
      <c r="C111" s="27"/>
      <c r="D111" s="52"/>
      <c r="F111" s="26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/>
      <c r="DQ111" s="52"/>
      <c r="DR111" s="52"/>
      <c r="DS111" s="52"/>
      <c r="DT111" s="52"/>
      <c r="DU111" s="52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  <c r="EM111" s="52"/>
      <c r="EN111" s="52"/>
      <c r="EO111" s="52"/>
      <c r="EP111" s="52"/>
      <c r="EQ111" s="52"/>
      <c r="ER111" s="52"/>
      <c r="ES111" s="52"/>
      <c r="ET111" s="52"/>
      <c r="EU111" s="52"/>
      <c r="EV111" s="52"/>
      <c r="EW111" s="52"/>
      <c r="EX111" s="52"/>
      <c r="EY111" s="52"/>
      <c r="EZ111" s="52"/>
      <c r="FA111" s="52"/>
    </row>
    <row r="112" spans="2:157" x14ac:dyDescent="0.75">
      <c r="B112" s="26"/>
      <c r="C112" s="27"/>
      <c r="D112" s="52"/>
      <c r="F112" s="26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2"/>
    </row>
    <row r="113" spans="2:157" x14ac:dyDescent="0.75">
      <c r="B113" s="26"/>
      <c r="C113" s="27"/>
      <c r="D113" s="52"/>
      <c r="F113" s="26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2"/>
    </row>
    <row r="114" spans="2:157" x14ac:dyDescent="0.75">
      <c r="B114" s="26"/>
      <c r="C114" s="27"/>
      <c r="D114" s="52"/>
      <c r="F114" s="26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/>
      <c r="DQ114" s="52"/>
      <c r="DR114" s="52"/>
      <c r="DS114" s="52"/>
      <c r="DT114" s="52"/>
      <c r="DU114" s="52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  <c r="EM114" s="52"/>
      <c r="EN114" s="52"/>
      <c r="EO114" s="52"/>
      <c r="EP114" s="52"/>
      <c r="EQ114" s="52"/>
      <c r="ER114" s="52"/>
      <c r="ES114" s="52"/>
      <c r="ET114" s="52"/>
      <c r="EU114" s="52"/>
      <c r="EV114" s="52"/>
      <c r="EW114" s="52"/>
      <c r="EX114" s="52"/>
      <c r="EY114" s="52"/>
      <c r="EZ114" s="52"/>
      <c r="FA114" s="52"/>
    </row>
    <row r="115" spans="2:157" x14ac:dyDescent="0.75">
      <c r="B115" s="26"/>
      <c r="C115" s="27"/>
      <c r="D115" s="52"/>
      <c r="F115" s="26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2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2"/>
    </row>
    <row r="116" spans="2:157" x14ac:dyDescent="0.75">
      <c r="B116" s="26"/>
      <c r="C116" s="27"/>
      <c r="D116" s="52"/>
      <c r="F116" s="26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</row>
    <row r="117" spans="2:157" x14ac:dyDescent="0.75">
      <c r="B117" s="26"/>
      <c r="C117" s="27"/>
      <c r="D117" s="52"/>
      <c r="F117" s="26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</row>
    <row r="118" spans="2:157" x14ac:dyDescent="0.75">
      <c r="B118" s="26"/>
      <c r="C118" s="27"/>
      <c r="D118" s="52"/>
      <c r="F118" s="26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</row>
    <row r="119" spans="2:157" x14ac:dyDescent="0.75">
      <c r="B119" s="26"/>
      <c r="C119" s="27"/>
      <c r="D119" s="52"/>
      <c r="F119" s="26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</row>
    <row r="120" spans="2:157" x14ac:dyDescent="0.75">
      <c r="B120" s="26"/>
      <c r="C120" s="27"/>
      <c r="D120" s="52"/>
      <c r="F120" s="26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</row>
    <row r="121" spans="2:157" x14ac:dyDescent="0.75">
      <c r="B121" s="26"/>
      <c r="C121" s="27"/>
      <c r="D121" s="52"/>
      <c r="F121" s="26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/>
      <c r="DQ121" s="52"/>
      <c r="DR121" s="52"/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</row>
    <row r="122" spans="2:157" x14ac:dyDescent="0.75">
      <c r="B122" s="26"/>
      <c r="C122" s="27"/>
      <c r="D122" s="52"/>
      <c r="F122" s="26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</row>
    <row r="123" spans="2:157" x14ac:dyDescent="0.75">
      <c r="B123" s="26"/>
      <c r="C123" s="27"/>
      <c r="D123" s="52"/>
      <c r="F123" s="26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</row>
    <row r="124" spans="2:157" x14ac:dyDescent="0.75">
      <c r="B124" s="26"/>
      <c r="C124" s="27"/>
      <c r="D124" s="52"/>
      <c r="F124" s="26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/>
      <c r="DQ124" s="52"/>
      <c r="DR124" s="52"/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</row>
    <row r="125" spans="2:157" x14ac:dyDescent="0.75">
      <c r="B125" s="26"/>
      <c r="C125" s="27"/>
      <c r="D125" s="52"/>
      <c r="F125" s="26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</row>
    <row r="126" spans="2:157" x14ac:dyDescent="0.75">
      <c r="B126" s="26"/>
      <c r="C126" s="27"/>
      <c r="D126" s="52"/>
      <c r="F126" s="26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/>
      <c r="DQ126" s="52"/>
      <c r="DR126" s="52"/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</row>
    <row r="127" spans="2:157" x14ac:dyDescent="0.75">
      <c r="B127" s="26"/>
      <c r="C127" s="27"/>
      <c r="D127" s="52"/>
      <c r="F127" s="26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/>
      <c r="DQ127" s="52"/>
      <c r="DR127" s="52"/>
      <c r="DS127" s="52"/>
      <c r="DT127" s="52"/>
      <c r="DU127" s="52"/>
      <c r="DV127" s="52"/>
      <c r="DW127" s="52"/>
      <c r="DX127" s="52"/>
      <c r="DY127" s="52"/>
      <c r="DZ127" s="52"/>
      <c r="EA127" s="52"/>
      <c r="EB127" s="52"/>
      <c r="EC127" s="52"/>
      <c r="ED127" s="52"/>
      <c r="EE127" s="52"/>
      <c r="EF127" s="52"/>
      <c r="EG127" s="52"/>
      <c r="EH127" s="52"/>
      <c r="EI127" s="52"/>
      <c r="EJ127" s="52"/>
      <c r="EK127" s="52"/>
      <c r="EL127" s="52"/>
      <c r="EM127" s="52"/>
      <c r="EN127" s="52"/>
      <c r="EO127" s="52"/>
      <c r="EP127" s="52"/>
      <c r="EQ127" s="52"/>
      <c r="ER127" s="52"/>
      <c r="ES127" s="52"/>
      <c r="ET127" s="52"/>
      <c r="EU127" s="52"/>
      <c r="EV127" s="52"/>
      <c r="EW127" s="52"/>
      <c r="EX127" s="52"/>
      <c r="EY127" s="52"/>
      <c r="EZ127" s="52"/>
      <c r="FA127" s="52"/>
    </row>
    <row r="128" spans="2:157" x14ac:dyDescent="0.75">
      <c r="B128" s="26"/>
      <c r="C128" s="27"/>
      <c r="D128" s="52"/>
      <c r="F128" s="26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/>
      <c r="DQ128" s="52"/>
      <c r="DR128" s="52"/>
      <c r="DS128" s="52"/>
      <c r="DT128" s="52"/>
      <c r="DU128" s="52"/>
      <c r="DV128" s="52"/>
      <c r="DW128" s="52"/>
      <c r="DX128" s="52"/>
      <c r="DY128" s="52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  <c r="EM128" s="52"/>
      <c r="EN128" s="52"/>
      <c r="EO128" s="52"/>
      <c r="EP128" s="52"/>
      <c r="EQ128" s="52"/>
      <c r="ER128" s="52"/>
      <c r="ES128" s="52"/>
      <c r="ET128" s="52"/>
      <c r="EU128" s="52"/>
      <c r="EV128" s="52"/>
      <c r="EW128" s="52"/>
      <c r="EX128" s="52"/>
      <c r="EY128" s="52"/>
      <c r="EZ128" s="52"/>
      <c r="FA128" s="52"/>
    </row>
    <row r="129" spans="2:157" x14ac:dyDescent="0.75">
      <c r="B129" s="26"/>
      <c r="C129" s="27"/>
      <c r="D129" s="52"/>
      <c r="F129" s="26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/>
      <c r="DQ129" s="52"/>
      <c r="DR129" s="52"/>
      <c r="DS129" s="52"/>
      <c r="DT129" s="52"/>
      <c r="DU129" s="52"/>
      <c r="DV129" s="52"/>
      <c r="DW129" s="52"/>
      <c r="DX129" s="52"/>
      <c r="DY129" s="52"/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  <c r="EM129" s="52"/>
      <c r="EN129" s="52"/>
      <c r="EO129" s="52"/>
      <c r="EP129" s="52"/>
      <c r="EQ129" s="52"/>
      <c r="ER129" s="52"/>
      <c r="ES129" s="52"/>
      <c r="ET129" s="52"/>
      <c r="EU129" s="52"/>
      <c r="EV129" s="52"/>
      <c r="EW129" s="52"/>
      <c r="EX129" s="52"/>
      <c r="EY129" s="52"/>
      <c r="EZ129" s="52"/>
      <c r="FA129" s="52"/>
    </row>
    <row r="130" spans="2:157" x14ac:dyDescent="0.75">
      <c r="B130" s="26"/>
      <c r="C130" s="27"/>
      <c r="D130" s="52"/>
      <c r="F130" s="26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  <c r="DO130" s="52"/>
      <c r="DP130" s="52"/>
      <c r="DQ130" s="52"/>
      <c r="DR130" s="52"/>
      <c r="DS130" s="52"/>
      <c r="DT130" s="52"/>
      <c r="DU130" s="52"/>
      <c r="DV130" s="52"/>
      <c r="DW130" s="52"/>
      <c r="DX130" s="52"/>
      <c r="DY130" s="52"/>
      <c r="DZ130" s="52"/>
      <c r="EA130" s="52"/>
      <c r="EB130" s="52"/>
      <c r="EC130" s="52"/>
      <c r="ED130" s="52"/>
      <c r="EE130" s="52"/>
      <c r="EF130" s="52"/>
      <c r="EG130" s="52"/>
      <c r="EH130" s="52"/>
      <c r="EI130" s="52"/>
      <c r="EJ130" s="52"/>
      <c r="EK130" s="52"/>
      <c r="EL130" s="52"/>
      <c r="EM130" s="52"/>
      <c r="EN130" s="52"/>
      <c r="EO130" s="52"/>
      <c r="EP130" s="52"/>
      <c r="EQ130" s="52"/>
      <c r="ER130" s="52"/>
      <c r="ES130" s="52"/>
      <c r="ET130" s="52"/>
      <c r="EU130" s="52"/>
      <c r="EV130" s="52"/>
      <c r="EW130" s="52"/>
      <c r="EX130" s="52"/>
      <c r="EY130" s="52"/>
      <c r="EZ130" s="52"/>
      <c r="FA130" s="52"/>
    </row>
    <row r="131" spans="2:157" x14ac:dyDescent="0.75">
      <c r="B131" s="26"/>
      <c r="C131" s="27"/>
      <c r="D131" s="52"/>
      <c r="F131" s="26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/>
      <c r="DQ131" s="52"/>
      <c r="DR131" s="52"/>
      <c r="DS131" s="52"/>
      <c r="DT131" s="52"/>
      <c r="DU131" s="52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  <c r="EM131" s="52"/>
      <c r="EN131" s="52"/>
      <c r="EO131" s="52"/>
      <c r="EP131" s="52"/>
      <c r="EQ131" s="52"/>
      <c r="ER131" s="52"/>
      <c r="ES131" s="52"/>
      <c r="ET131" s="52"/>
      <c r="EU131" s="52"/>
      <c r="EV131" s="52"/>
      <c r="EW131" s="52"/>
      <c r="EX131" s="52"/>
      <c r="EY131" s="52"/>
      <c r="EZ131" s="52"/>
      <c r="FA131" s="52"/>
    </row>
    <row r="132" spans="2:157" x14ac:dyDescent="0.75">
      <c r="B132" s="26"/>
      <c r="C132" s="27"/>
      <c r="D132" s="52"/>
      <c r="F132" s="26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/>
      <c r="DQ132" s="52"/>
      <c r="DR132" s="52"/>
      <c r="DS132" s="52"/>
      <c r="DT132" s="52"/>
      <c r="DU132" s="52"/>
      <c r="DV132" s="52"/>
      <c r="DW132" s="52"/>
      <c r="DX132" s="52"/>
      <c r="DY132" s="52"/>
      <c r="DZ132" s="52"/>
      <c r="EA132" s="52"/>
      <c r="EB132" s="52"/>
      <c r="EC132" s="52"/>
      <c r="ED132" s="52"/>
      <c r="EE132" s="52"/>
      <c r="EF132" s="52"/>
      <c r="EG132" s="52"/>
      <c r="EH132" s="52"/>
      <c r="EI132" s="52"/>
      <c r="EJ132" s="52"/>
      <c r="EK132" s="52"/>
      <c r="EL132" s="52"/>
      <c r="EM132" s="52"/>
      <c r="EN132" s="52"/>
      <c r="EO132" s="52"/>
      <c r="EP132" s="52"/>
      <c r="EQ132" s="52"/>
      <c r="ER132" s="52"/>
      <c r="ES132" s="52"/>
      <c r="ET132" s="52"/>
      <c r="EU132" s="52"/>
      <c r="EV132" s="52"/>
      <c r="EW132" s="52"/>
      <c r="EX132" s="52"/>
      <c r="EY132" s="52"/>
      <c r="EZ132" s="52"/>
      <c r="FA132" s="52"/>
    </row>
    <row r="133" spans="2:157" x14ac:dyDescent="0.75">
      <c r="B133" s="26"/>
      <c r="C133" s="27"/>
      <c r="D133" s="52"/>
      <c r="F133" s="26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/>
      <c r="DQ133" s="52"/>
      <c r="DR133" s="52"/>
      <c r="DS133" s="52"/>
      <c r="DT133" s="52"/>
      <c r="DU133" s="52"/>
      <c r="DV133" s="52"/>
      <c r="DW133" s="52"/>
      <c r="DX133" s="52"/>
      <c r="DY133" s="52"/>
      <c r="DZ133" s="52"/>
      <c r="EA133" s="52"/>
      <c r="EB133" s="52"/>
      <c r="EC133" s="52"/>
      <c r="ED133" s="52"/>
      <c r="EE133" s="52"/>
      <c r="EF133" s="52"/>
      <c r="EG133" s="52"/>
      <c r="EH133" s="52"/>
      <c r="EI133" s="52"/>
      <c r="EJ133" s="52"/>
      <c r="EK133" s="52"/>
      <c r="EL133" s="52"/>
      <c r="EM133" s="52"/>
      <c r="EN133" s="52"/>
      <c r="EO133" s="52"/>
      <c r="EP133" s="52"/>
      <c r="EQ133" s="52"/>
      <c r="ER133" s="52"/>
      <c r="ES133" s="52"/>
      <c r="ET133" s="52"/>
      <c r="EU133" s="52"/>
      <c r="EV133" s="52"/>
      <c r="EW133" s="52"/>
      <c r="EX133" s="52"/>
      <c r="EY133" s="52"/>
      <c r="EZ133" s="52"/>
      <c r="FA133" s="52"/>
    </row>
    <row r="134" spans="2:157" x14ac:dyDescent="0.75">
      <c r="B134" s="26"/>
      <c r="C134" s="27"/>
      <c r="D134" s="52"/>
      <c r="F134" s="26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/>
      <c r="DQ134" s="52"/>
      <c r="DR134" s="52"/>
      <c r="DS134" s="52"/>
      <c r="DT134" s="52"/>
      <c r="DU134" s="52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  <c r="EM134" s="52"/>
      <c r="EN134" s="52"/>
      <c r="EO134" s="52"/>
      <c r="EP134" s="52"/>
      <c r="EQ134" s="52"/>
      <c r="ER134" s="52"/>
      <c r="ES134" s="52"/>
      <c r="ET134" s="52"/>
      <c r="EU134" s="52"/>
      <c r="EV134" s="52"/>
      <c r="EW134" s="52"/>
      <c r="EX134" s="52"/>
      <c r="EY134" s="52"/>
      <c r="EZ134" s="52"/>
      <c r="FA134" s="52"/>
    </row>
    <row r="135" spans="2:157" x14ac:dyDescent="0.75">
      <c r="B135" s="26"/>
      <c r="C135" s="27"/>
      <c r="D135" s="52"/>
      <c r="F135" s="26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/>
      <c r="DQ135" s="52"/>
      <c r="DR135" s="52"/>
      <c r="DS135" s="52"/>
      <c r="DT135" s="52"/>
      <c r="DU135" s="52"/>
      <c r="DV135" s="52"/>
      <c r="DW135" s="52"/>
      <c r="DX135" s="52"/>
      <c r="DY135" s="52"/>
      <c r="DZ135" s="52"/>
      <c r="EA135" s="52"/>
      <c r="EB135" s="52"/>
      <c r="EC135" s="52"/>
      <c r="ED135" s="52"/>
      <c r="EE135" s="52"/>
      <c r="EF135" s="52"/>
      <c r="EG135" s="52"/>
      <c r="EH135" s="52"/>
      <c r="EI135" s="52"/>
      <c r="EJ135" s="52"/>
      <c r="EK135" s="52"/>
      <c r="EL135" s="52"/>
      <c r="EM135" s="52"/>
      <c r="EN135" s="52"/>
      <c r="EO135" s="52"/>
      <c r="EP135" s="52"/>
      <c r="EQ135" s="52"/>
      <c r="ER135" s="52"/>
      <c r="ES135" s="52"/>
      <c r="ET135" s="52"/>
      <c r="EU135" s="52"/>
      <c r="EV135" s="52"/>
      <c r="EW135" s="52"/>
      <c r="EX135" s="52"/>
      <c r="EY135" s="52"/>
      <c r="EZ135" s="52"/>
      <c r="FA135" s="52"/>
    </row>
    <row r="136" spans="2:157" x14ac:dyDescent="0.75">
      <c r="B136" s="26"/>
      <c r="C136" s="27"/>
      <c r="D136" s="52"/>
      <c r="F136" s="26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/>
      <c r="DQ136" s="52"/>
      <c r="DR136" s="52"/>
      <c r="DS136" s="52"/>
      <c r="DT136" s="52"/>
      <c r="DU136" s="52"/>
      <c r="DV136" s="52"/>
      <c r="DW136" s="52"/>
      <c r="DX136" s="52"/>
      <c r="DY136" s="52"/>
      <c r="DZ136" s="52"/>
      <c r="EA136" s="52"/>
      <c r="EB136" s="52"/>
      <c r="EC136" s="52"/>
      <c r="ED136" s="52"/>
      <c r="EE136" s="52"/>
      <c r="EF136" s="52"/>
      <c r="EG136" s="52"/>
      <c r="EH136" s="52"/>
      <c r="EI136" s="52"/>
      <c r="EJ136" s="52"/>
      <c r="EK136" s="52"/>
      <c r="EL136" s="52"/>
      <c r="EM136" s="52"/>
      <c r="EN136" s="52"/>
      <c r="EO136" s="52"/>
      <c r="EP136" s="52"/>
      <c r="EQ136" s="52"/>
      <c r="ER136" s="52"/>
      <c r="ES136" s="52"/>
      <c r="ET136" s="52"/>
      <c r="EU136" s="52"/>
      <c r="EV136" s="52"/>
      <c r="EW136" s="52"/>
      <c r="EX136" s="52"/>
      <c r="EY136" s="52"/>
      <c r="EZ136" s="52"/>
      <c r="FA136" s="52"/>
    </row>
    <row r="137" spans="2:157" x14ac:dyDescent="0.75">
      <c r="B137" s="26"/>
      <c r="C137" s="27"/>
      <c r="D137" s="52"/>
      <c r="F137" s="26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/>
      <c r="DQ137" s="52"/>
      <c r="DR137" s="52"/>
      <c r="DS137" s="52"/>
      <c r="DT137" s="52"/>
      <c r="DU137" s="52"/>
      <c r="DV137" s="52"/>
      <c r="DW137" s="52"/>
      <c r="DX137" s="52"/>
      <c r="DY137" s="52"/>
      <c r="DZ137" s="52"/>
      <c r="EA137" s="52"/>
      <c r="EB137" s="52"/>
      <c r="EC137" s="52"/>
      <c r="ED137" s="52"/>
      <c r="EE137" s="52"/>
      <c r="EF137" s="52"/>
      <c r="EG137" s="52"/>
      <c r="EH137" s="52"/>
      <c r="EI137" s="52"/>
      <c r="EJ137" s="52"/>
      <c r="EK137" s="52"/>
      <c r="EL137" s="52"/>
      <c r="EM137" s="52"/>
      <c r="EN137" s="52"/>
      <c r="EO137" s="52"/>
      <c r="EP137" s="52"/>
      <c r="EQ137" s="52"/>
      <c r="ER137" s="52"/>
      <c r="ES137" s="52"/>
      <c r="ET137" s="52"/>
      <c r="EU137" s="52"/>
      <c r="EV137" s="52"/>
      <c r="EW137" s="52"/>
      <c r="EX137" s="52"/>
      <c r="EY137" s="52"/>
      <c r="EZ137" s="52"/>
      <c r="FA137" s="52"/>
    </row>
    <row r="138" spans="2:157" x14ac:dyDescent="0.75">
      <c r="B138" s="26"/>
      <c r="C138" s="27"/>
      <c r="D138" s="52"/>
      <c r="F138" s="26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2"/>
      <c r="CV138" s="52"/>
      <c r="CW138" s="52"/>
      <c r="CX138" s="52"/>
      <c r="CY138" s="52"/>
      <c r="CZ138" s="52"/>
      <c r="DA138" s="52"/>
      <c r="DB138" s="52"/>
      <c r="DC138" s="52"/>
      <c r="DD138" s="52"/>
      <c r="DE138" s="52"/>
      <c r="DF138" s="52"/>
      <c r="DG138" s="52"/>
      <c r="DH138" s="52"/>
      <c r="DI138" s="52"/>
      <c r="DJ138" s="52"/>
      <c r="DK138" s="52"/>
      <c r="DL138" s="52"/>
      <c r="DM138" s="52"/>
      <c r="DN138" s="52"/>
      <c r="DO138" s="52"/>
      <c r="DP138" s="52"/>
      <c r="DQ138" s="52"/>
      <c r="DR138" s="52"/>
      <c r="DS138" s="52"/>
      <c r="DT138" s="52"/>
      <c r="DU138" s="52"/>
      <c r="DV138" s="52"/>
      <c r="DW138" s="52"/>
      <c r="DX138" s="52"/>
      <c r="DY138" s="52"/>
      <c r="DZ138" s="52"/>
      <c r="EA138" s="52"/>
      <c r="EB138" s="52"/>
      <c r="EC138" s="52"/>
      <c r="ED138" s="52"/>
      <c r="EE138" s="52"/>
      <c r="EF138" s="52"/>
      <c r="EG138" s="52"/>
      <c r="EH138" s="52"/>
      <c r="EI138" s="52"/>
      <c r="EJ138" s="52"/>
      <c r="EK138" s="52"/>
      <c r="EL138" s="52"/>
      <c r="EM138" s="52"/>
      <c r="EN138" s="52"/>
      <c r="EO138" s="52"/>
      <c r="EP138" s="52"/>
      <c r="EQ138" s="52"/>
      <c r="ER138" s="52"/>
      <c r="ES138" s="52"/>
      <c r="ET138" s="52"/>
      <c r="EU138" s="52"/>
      <c r="EV138" s="52"/>
      <c r="EW138" s="52"/>
      <c r="EX138" s="52"/>
      <c r="EY138" s="52"/>
      <c r="EZ138" s="52"/>
      <c r="FA138" s="52"/>
    </row>
    <row r="139" spans="2:157" x14ac:dyDescent="0.75">
      <c r="B139" s="26"/>
      <c r="C139" s="27"/>
      <c r="D139" s="52"/>
      <c r="F139" s="26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52"/>
      <c r="DF139" s="52"/>
      <c r="DG139" s="52"/>
      <c r="DH139" s="52"/>
      <c r="DI139" s="52"/>
      <c r="DJ139" s="52"/>
      <c r="DK139" s="52"/>
      <c r="DL139" s="52"/>
      <c r="DM139" s="52"/>
      <c r="DN139" s="52"/>
      <c r="DO139" s="52"/>
      <c r="DP139" s="52"/>
      <c r="DQ139" s="52"/>
      <c r="DR139" s="52"/>
      <c r="DS139" s="52"/>
      <c r="DT139" s="52"/>
      <c r="DU139" s="52"/>
      <c r="DV139" s="52"/>
      <c r="DW139" s="52"/>
      <c r="DX139" s="52"/>
      <c r="DY139" s="52"/>
      <c r="DZ139" s="52"/>
      <c r="EA139" s="52"/>
      <c r="EB139" s="52"/>
      <c r="EC139" s="52"/>
      <c r="ED139" s="52"/>
      <c r="EE139" s="52"/>
      <c r="EF139" s="52"/>
      <c r="EG139" s="52"/>
      <c r="EH139" s="52"/>
      <c r="EI139" s="52"/>
      <c r="EJ139" s="52"/>
      <c r="EK139" s="52"/>
      <c r="EL139" s="52"/>
      <c r="EM139" s="52"/>
      <c r="EN139" s="52"/>
      <c r="EO139" s="52"/>
      <c r="EP139" s="52"/>
      <c r="EQ139" s="52"/>
      <c r="ER139" s="52"/>
      <c r="ES139" s="52"/>
      <c r="ET139" s="52"/>
      <c r="EU139" s="52"/>
      <c r="EV139" s="52"/>
      <c r="EW139" s="52"/>
      <c r="EX139" s="52"/>
      <c r="EY139" s="52"/>
      <c r="EZ139" s="52"/>
      <c r="FA139" s="52"/>
    </row>
    <row r="140" spans="2:157" x14ac:dyDescent="0.75">
      <c r="B140" s="26"/>
      <c r="C140" s="27"/>
      <c r="D140" s="52"/>
      <c r="F140" s="26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2"/>
      <c r="DN140" s="52"/>
      <c r="DO140" s="52"/>
      <c r="DP140" s="52"/>
      <c r="DQ140" s="52"/>
      <c r="DR140" s="52"/>
      <c r="DS140" s="52"/>
      <c r="DT140" s="52"/>
      <c r="DU140" s="52"/>
      <c r="DV140" s="52"/>
      <c r="DW140" s="52"/>
      <c r="DX140" s="52"/>
      <c r="DY140" s="52"/>
      <c r="DZ140" s="52"/>
      <c r="EA140" s="52"/>
      <c r="EB140" s="52"/>
      <c r="EC140" s="52"/>
      <c r="ED140" s="52"/>
      <c r="EE140" s="52"/>
      <c r="EF140" s="52"/>
      <c r="EG140" s="52"/>
      <c r="EH140" s="52"/>
      <c r="EI140" s="52"/>
      <c r="EJ140" s="52"/>
      <c r="EK140" s="52"/>
      <c r="EL140" s="52"/>
      <c r="EM140" s="52"/>
      <c r="EN140" s="52"/>
      <c r="EO140" s="52"/>
      <c r="EP140" s="52"/>
      <c r="EQ140" s="52"/>
      <c r="ER140" s="52"/>
      <c r="ES140" s="52"/>
      <c r="ET140" s="52"/>
      <c r="EU140" s="52"/>
      <c r="EV140" s="52"/>
      <c r="EW140" s="52"/>
      <c r="EX140" s="52"/>
      <c r="EY140" s="52"/>
      <c r="EZ140" s="52"/>
      <c r="FA140" s="52"/>
    </row>
    <row r="141" spans="2:157" x14ac:dyDescent="0.75">
      <c r="B141" s="26"/>
      <c r="C141" s="27"/>
      <c r="D141" s="52"/>
      <c r="F141" s="26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/>
      <c r="DQ141" s="52"/>
      <c r="DR141" s="52"/>
      <c r="DS141" s="52"/>
      <c r="DT141" s="52"/>
      <c r="DU141" s="52"/>
      <c r="DV141" s="52"/>
      <c r="DW141" s="52"/>
      <c r="DX141" s="52"/>
      <c r="DY141" s="52"/>
      <c r="DZ141" s="52"/>
      <c r="EA141" s="52"/>
      <c r="EB141" s="52"/>
      <c r="EC141" s="52"/>
      <c r="ED141" s="52"/>
      <c r="EE141" s="52"/>
      <c r="EF141" s="52"/>
      <c r="EG141" s="52"/>
      <c r="EH141" s="52"/>
      <c r="EI141" s="52"/>
      <c r="EJ141" s="52"/>
      <c r="EK141" s="52"/>
      <c r="EL141" s="52"/>
      <c r="EM141" s="52"/>
      <c r="EN141" s="52"/>
      <c r="EO141" s="52"/>
      <c r="EP141" s="52"/>
      <c r="EQ141" s="52"/>
      <c r="ER141" s="52"/>
      <c r="ES141" s="52"/>
      <c r="ET141" s="52"/>
      <c r="EU141" s="52"/>
      <c r="EV141" s="52"/>
      <c r="EW141" s="52"/>
      <c r="EX141" s="52"/>
      <c r="EY141" s="52"/>
      <c r="EZ141" s="52"/>
      <c r="FA141" s="52"/>
    </row>
    <row r="142" spans="2:157" x14ac:dyDescent="0.75">
      <c r="B142" s="26"/>
      <c r="C142" s="27"/>
      <c r="D142" s="52"/>
      <c r="F142" s="26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/>
      <c r="DQ142" s="52"/>
      <c r="DR142" s="52"/>
      <c r="DS142" s="52"/>
      <c r="DT142" s="52"/>
      <c r="DU142" s="52"/>
      <c r="DV142" s="52"/>
      <c r="DW142" s="52"/>
      <c r="DX142" s="52"/>
      <c r="DY142" s="52"/>
      <c r="DZ142" s="52"/>
      <c r="EA142" s="52"/>
      <c r="EB142" s="52"/>
      <c r="EC142" s="52"/>
      <c r="ED142" s="52"/>
      <c r="EE142" s="52"/>
      <c r="EF142" s="52"/>
      <c r="EG142" s="52"/>
      <c r="EH142" s="52"/>
      <c r="EI142" s="52"/>
      <c r="EJ142" s="52"/>
      <c r="EK142" s="52"/>
      <c r="EL142" s="52"/>
      <c r="EM142" s="52"/>
      <c r="EN142" s="52"/>
      <c r="EO142" s="52"/>
      <c r="EP142" s="52"/>
      <c r="EQ142" s="52"/>
      <c r="ER142" s="52"/>
      <c r="ES142" s="52"/>
      <c r="ET142" s="52"/>
      <c r="EU142" s="52"/>
      <c r="EV142" s="52"/>
      <c r="EW142" s="52"/>
      <c r="EX142" s="52"/>
      <c r="EY142" s="52"/>
      <c r="EZ142" s="52"/>
      <c r="FA142" s="52"/>
    </row>
    <row r="143" spans="2:157" x14ac:dyDescent="0.75">
      <c r="B143" s="26"/>
      <c r="C143" s="27"/>
      <c r="D143" s="52"/>
      <c r="F143" s="26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/>
      <c r="DQ143" s="52"/>
      <c r="DR143" s="52"/>
      <c r="DS143" s="52"/>
      <c r="DT143" s="52"/>
      <c r="DU143" s="52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  <c r="EM143" s="52"/>
      <c r="EN143" s="52"/>
      <c r="EO143" s="52"/>
      <c r="EP143" s="52"/>
      <c r="EQ143" s="52"/>
      <c r="ER143" s="52"/>
      <c r="ES143" s="52"/>
      <c r="ET143" s="52"/>
      <c r="EU143" s="52"/>
      <c r="EV143" s="52"/>
      <c r="EW143" s="52"/>
      <c r="EX143" s="52"/>
      <c r="EY143" s="52"/>
      <c r="EZ143" s="52"/>
      <c r="FA143" s="52"/>
    </row>
    <row r="144" spans="2:157" x14ac:dyDescent="0.75">
      <c r="B144" s="26"/>
      <c r="C144" s="27"/>
      <c r="D144" s="52"/>
      <c r="F144" s="26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/>
      <c r="DQ144" s="52"/>
      <c r="DR144" s="52"/>
      <c r="DS144" s="52"/>
      <c r="DT144" s="52"/>
      <c r="DU144" s="52"/>
      <c r="DV144" s="52"/>
      <c r="DW144" s="52"/>
      <c r="DX144" s="52"/>
      <c r="DY144" s="52"/>
      <c r="DZ144" s="52"/>
      <c r="EA144" s="52"/>
      <c r="EB144" s="52"/>
      <c r="EC144" s="52"/>
      <c r="ED144" s="52"/>
      <c r="EE144" s="52"/>
      <c r="EF144" s="52"/>
      <c r="EG144" s="52"/>
      <c r="EH144" s="52"/>
      <c r="EI144" s="52"/>
      <c r="EJ144" s="52"/>
      <c r="EK144" s="52"/>
      <c r="EL144" s="52"/>
      <c r="EM144" s="52"/>
      <c r="EN144" s="52"/>
      <c r="EO144" s="52"/>
      <c r="EP144" s="52"/>
      <c r="EQ144" s="52"/>
      <c r="ER144" s="52"/>
      <c r="ES144" s="52"/>
      <c r="ET144" s="52"/>
      <c r="EU144" s="52"/>
      <c r="EV144" s="52"/>
      <c r="EW144" s="52"/>
      <c r="EX144" s="52"/>
      <c r="EY144" s="52"/>
      <c r="EZ144" s="52"/>
      <c r="FA144" s="52"/>
    </row>
    <row r="145" spans="2:157" x14ac:dyDescent="0.75">
      <c r="B145" s="26"/>
      <c r="C145" s="27"/>
      <c r="D145" s="52"/>
      <c r="F145" s="26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  <c r="DN145" s="52"/>
      <c r="DO145" s="52"/>
      <c r="DP145" s="52"/>
      <c r="DQ145" s="52"/>
      <c r="DR145" s="52"/>
      <c r="DS145" s="52"/>
      <c r="DT145" s="52"/>
      <c r="DU145" s="52"/>
      <c r="DV145" s="52"/>
      <c r="DW145" s="52"/>
      <c r="DX145" s="52"/>
      <c r="DY145" s="52"/>
      <c r="DZ145" s="52"/>
      <c r="EA145" s="52"/>
      <c r="EB145" s="52"/>
      <c r="EC145" s="52"/>
      <c r="ED145" s="52"/>
      <c r="EE145" s="52"/>
      <c r="EF145" s="52"/>
      <c r="EG145" s="52"/>
      <c r="EH145" s="52"/>
      <c r="EI145" s="52"/>
      <c r="EJ145" s="52"/>
      <c r="EK145" s="52"/>
      <c r="EL145" s="52"/>
      <c r="EM145" s="52"/>
      <c r="EN145" s="52"/>
      <c r="EO145" s="52"/>
      <c r="EP145" s="52"/>
      <c r="EQ145" s="52"/>
      <c r="ER145" s="52"/>
      <c r="ES145" s="52"/>
      <c r="ET145" s="52"/>
      <c r="EU145" s="52"/>
      <c r="EV145" s="52"/>
      <c r="EW145" s="52"/>
      <c r="EX145" s="52"/>
      <c r="EY145" s="52"/>
      <c r="EZ145" s="52"/>
      <c r="FA145" s="52"/>
    </row>
    <row r="146" spans="2:157" x14ac:dyDescent="0.75">
      <c r="B146" s="26"/>
      <c r="C146" s="27"/>
      <c r="D146" s="52"/>
      <c r="F146" s="26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/>
      <c r="DQ146" s="52"/>
      <c r="DR146" s="52"/>
      <c r="DS146" s="52"/>
      <c r="DT146" s="52"/>
      <c r="DU146" s="52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  <c r="EM146" s="52"/>
      <c r="EN146" s="52"/>
      <c r="EO146" s="52"/>
      <c r="EP146" s="52"/>
      <c r="EQ146" s="52"/>
      <c r="ER146" s="52"/>
      <c r="ES146" s="52"/>
      <c r="ET146" s="52"/>
      <c r="EU146" s="52"/>
      <c r="EV146" s="52"/>
      <c r="EW146" s="52"/>
      <c r="EX146" s="52"/>
      <c r="EY146" s="52"/>
      <c r="EZ146" s="52"/>
      <c r="FA146" s="52"/>
    </row>
    <row r="147" spans="2:157" x14ac:dyDescent="0.75">
      <c r="B147" s="26"/>
      <c r="C147" s="27"/>
      <c r="D147" s="52"/>
      <c r="F147" s="26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  <c r="DN147" s="52"/>
      <c r="DO147" s="52"/>
      <c r="DP147" s="52"/>
      <c r="DQ147" s="52"/>
      <c r="DR147" s="52"/>
      <c r="DS147" s="52"/>
      <c r="DT147" s="52"/>
      <c r="DU147" s="52"/>
      <c r="DV147" s="52"/>
      <c r="DW147" s="52"/>
      <c r="DX147" s="52"/>
      <c r="DY147" s="52"/>
      <c r="DZ147" s="52"/>
      <c r="EA147" s="52"/>
      <c r="EB147" s="52"/>
      <c r="EC147" s="52"/>
      <c r="ED147" s="52"/>
      <c r="EE147" s="52"/>
      <c r="EF147" s="52"/>
      <c r="EG147" s="52"/>
      <c r="EH147" s="52"/>
      <c r="EI147" s="52"/>
      <c r="EJ147" s="52"/>
      <c r="EK147" s="52"/>
      <c r="EL147" s="52"/>
      <c r="EM147" s="52"/>
      <c r="EN147" s="52"/>
      <c r="EO147" s="52"/>
      <c r="EP147" s="52"/>
      <c r="EQ147" s="52"/>
      <c r="ER147" s="52"/>
      <c r="ES147" s="52"/>
      <c r="ET147" s="52"/>
      <c r="EU147" s="52"/>
      <c r="EV147" s="52"/>
      <c r="EW147" s="52"/>
      <c r="EX147" s="52"/>
      <c r="EY147" s="52"/>
      <c r="EZ147" s="52"/>
      <c r="FA147" s="52"/>
    </row>
    <row r="148" spans="2:157" x14ac:dyDescent="0.75">
      <c r="B148" s="26"/>
      <c r="C148" s="27"/>
      <c r="D148" s="52"/>
      <c r="F148" s="26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  <c r="DA148" s="52"/>
      <c r="DB148" s="52"/>
      <c r="DC148" s="52"/>
      <c r="DD148" s="52"/>
      <c r="DE148" s="52"/>
      <c r="DF148" s="52"/>
      <c r="DG148" s="52"/>
      <c r="DH148" s="52"/>
      <c r="DI148" s="52"/>
      <c r="DJ148" s="52"/>
      <c r="DK148" s="52"/>
      <c r="DL148" s="52"/>
      <c r="DM148" s="52"/>
      <c r="DN148" s="52"/>
      <c r="DO148" s="52"/>
      <c r="DP148" s="52"/>
      <c r="DQ148" s="52"/>
      <c r="DR148" s="52"/>
      <c r="DS148" s="52"/>
      <c r="DT148" s="52"/>
      <c r="DU148" s="52"/>
      <c r="DV148" s="52"/>
      <c r="DW148" s="52"/>
      <c r="DX148" s="52"/>
      <c r="DY148" s="52"/>
      <c r="DZ148" s="52"/>
      <c r="EA148" s="52"/>
      <c r="EB148" s="52"/>
      <c r="EC148" s="52"/>
      <c r="ED148" s="52"/>
      <c r="EE148" s="52"/>
      <c r="EF148" s="52"/>
      <c r="EG148" s="52"/>
      <c r="EH148" s="52"/>
      <c r="EI148" s="52"/>
      <c r="EJ148" s="52"/>
      <c r="EK148" s="52"/>
      <c r="EL148" s="52"/>
      <c r="EM148" s="52"/>
      <c r="EN148" s="52"/>
      <c r="EO148" s="52"/>
      <c r="EP148" s="52"/>
      <c r="EQ148" s="52"/>
      <c r="ER148" s="52"/>
      <c r="ES148" s="52"/>
      <c r="ET148" s="52"/>
      <c r="EU148" s="52"/>
      <c r="EV148" s="52"/>
      <c r="EW148" s="52"/>
      <c r="EX148" s="52"/>
      <c r="EY148" s="52"/>
      <c r="EZ148" s="52"/>
      <c r="FA148" s="52"/>
    </row>
    <row r="149" spans="2:157" x14ac:dyDescent="0.75">
      <c r="B149" s="26"/>
      <c r="C149" s="27"/>
      <c r="D149" s="52"/>
      <c r="F149" s="26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2"/>
      <c r="DN149" s="52"/>
      <c r="DO149" s="52"/>
      <c r="DP149" s="52"/>
      <c r="DQ149" s="52"/>
      <c r="DR149" s="52"/>
      <c r="DS149" s="52"/>
      <c r="DT149" s="52"/>
      <c r="DU149" s="52"/>
      <c r="DV149" s="52"/>
      <c r="DW149" s="52"/>
      <c r="DX149" s="52"/>
      <c r="DY149" s="52"/>
      <c r="DZ149" s="52"/>
      <c r="EA149" s="52"/>
      <c r="EB149" s="52"/>
      <c r="EC149" s="52"/>
      <c r="ED149" s="52"/>
      <c r="EE149" s="52"/>
      <c r="EF149" s="52"/>
      <c r="EG149" s="52"/>
      <c r="EH149" s="52"/>
      <c r="EI149" s="52"/>
      <c r="EJ149" s="52"/>
      <c r="EK149" s="52"/>
      <c r="EL149" s="52"/>
      <c r="EM149" s="52"/>
      <c r="EN149" s="52"/>
      <c r="EO149" s="52"/>
      <c r="EP149" s="52"/>
      <c r="EQ149" s="52"/>
      <c r="ER149" s="52"/>
      <c r="ES149" s="52"/>
      <c r="ET149" s="52"/>
      <c r="EU149" s="52"/>
      <c r="EV149" s="52"/>
      <c r="EW149" s="52"/>
      <c r="EX149" s="52"/>
      <c r="EY149" s="52"/>
      <c r="EZ149" s="52"/>
      <c r="FA149" s="52"/>
    </row>
    <row r="150" spans="2:157" x14ac:dyDescent="0.75">
      <c r="B150" s="26"/>
      <c r="C150" s="27"/>
      <c r="D150" s="52"/>
      <c r="F150" s="26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  <c r="DN150" s="52"/>
      <c r="DO150" s="52"/>
      <c r="DP150" s="52"/>
      <c r="DQ150" s="52"/>
      <c r="DR150" s="52"/>
      <c r="DS150" s="52"/>
      <c r="DT150" s="52"/>
      <c r="DU150" s="52"/>
      <c r="DV150" s="52"/>
      <c r="DW150" s="52"/>
      <c r="DX150" s="52"/>
      <c r="DY150" s="52"/>
      <c r="DZ150" s="52"/>
      <c r="EA150" s="52"/>
      <c r="EB150" s="52"/>
      <c r="EC150" s="52"/>
      <c r="ED150" s="52"/>
      <c r="EE150" s="52"/>
      <c r="EF150" s="52"/>
      <c r="EG150" s="52"/>
      <c r="EH150" s="52"/>
      <c r="EI150" s="52"/>
      <c r="EJ150" s="52"/>
      <c r="EK150" s="52"/>
      <c r="EL150" s="52"/>
      <c r="EM150" s="52"/>
      <c r="EN150" s="52"/>
      <c r="EO150" s="52"/>
      <c r="EP150" s="52"/>
      <c r="EQ150" s="52"/>
      <c r="ER150" s="52"/>
      <c r="ES150" s="52"/>
      <c r="ET150" s="52"/>
      <c r="EU150" s="52"/>
      <c r="EV150" s="52"/>
      <c r="EW150" s="52"/>
      <c r="EX150" s="52"/>
      <c r="EY150" s="52"/>
      <c r="EZ150" s="52"/>
      <c r="FA150" s="52"/>
    </row>
    <row r="151" spans="2:157" x14ac:dyDescent="0.75">
      <c r="B151" s="26"/>
      <c r="C151" s="27"/>
      <c r="D151" s="52"/>
      <c r="F151" s="26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/>
      <c r="DQ151" s="52"/>
      <c r="DR151" s="52"/>
      <c r="DS151" s="52"/>
      <c r="DT151" s="52"/>
      <c r="DU151" s="52"/>
      <c r="DV151" s="52"/>
      <c r="DW151" s="52"/>
      <c r="DX151" s="52"/>
      <c r="DY151" s="52"/>
      <c r="DZ151" s="52"/>
      <c r="EA151" s="52"/>
      <c r="EB151" s="52"/>
      <c r="EC151" s="52"/>
      <c r="ED151" s="52"/>
      <c r="EE151" s="52"/>
      <c r="EF151" s="52"/>
      <c r="EG151" s="52"/>
      <c r="EH151" s="52"/>
      <c r="EI151" s="52"/>
      <c r="EJ151" s="52"/>
      <c r="EK151" s="52"/>
      <c r="EL151" s="52"/>
      <c r="EM151" s="52"/>
      <c r="EN151" s="52"/>
      <c r="EO151" s="52"/>
      <c r="EP151" s="52"/>
      <c r="EQ151" s="52"/>
      <c r="ER151" s="52"/>
      <c r="ES151" s="52"/>
      <c r="ET151" s="52"/>
      <c r="EU151" s="52"/>
      <c r="EV151" s="52"/>
      <c r="EW151" s="52"/>
      <c r="EX151" s="52"/>
      <c r="EY151" s="52"/>
      <c r="EZ151" s="52"/>
      <c r="FA151" s="52"/>
    </row>
    <row r="152" spans="2:157" x14ac:dyDescent="0.75">
      <c r="B152" s="26"/>
      <c r="C152" s="27"/>
      <c r="D152" s="52"/>
      <c r="F152" s="26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/>
      <c r="DQ152" s="52"/>
      <c r="DR152" s="52"/>
      <c r="DS152" s="52"/>
      <c r="DT152" s="52"/>
      <c r="DU152" s="52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F152" s="52"/>
      <c r="EG152" s="52"/>
      <c r="EH152" s="52"/>
      <c r="EI152" s="52"/>
      <c r="EJ152" s="52"/>
      <c r="EK152" s="52"/>
      <c r="EL152" s="52"/>
      <c r="EM152" s="52"/>
      <c r="EN152" s="52"/>
      <c r="EO152" s="52"/>
      <c r="EP152" s="52"/>
      <c r="EQ152" s="52"/>
      <c r="ER152" s="52"/>
      <c r="ES152" s="52"/>
      <c r="ET152" s="52"/>
      <c r="EU152" s="52"/>
      <c r="EV152" s="52"/>
      <c r="EW152" s="52"/>
      <c r="EX152" s="52"/>
      <c r="EY152" s="52"/>
      <c r="EZ152" s="52"/>
      <c r="FA152" s="52"/>
    </row>
    <row r="153" spans="2:157" x14ac:dyDescent="0.75">
      <c r="B153" s="26"/>
      <c r="C153" s="27"/>
      <c r="D153" s="52"/>
      <c r="F153" s="26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  <c r="DN153" s="52"/>
      <c r="DO153" s="52"/>
      <c r="DP153" s="52"/>
      <c r="DQ153" s="52"/>
      <c r="DR153" s="52"/>
      <c r="DS153" s="52"/>
      <c r="DT153" s="52"/>
      <c r="DU153" s="52"/>
      <c r="DV153" s="52"/>
      <c r="DW153" s="52"/>
      <c r="DX153" s="52"/>
      <c r="DY153" s="52"/>
      <c r="DZ153" s="52"/>
      <c r="EA153" s="52"/>
      <c r="EB153" s="52"/>
      <c r="EC153" s="52"/>
      <c r="ED153" s="52"/>
      <c r="EE153" s="52"/>
      <c r="EF153" s="52"/>
      <c r="EG153" s="52"/>
      <c r="EH153" s="52"/>
      <c r="EI153" s="52"/>
      <c r="EJ153" s="52"/>
      <c r="EK153" s="52"/>
      <c r="EL153" s="52"/>
      <c r="EM153" s="52"/>
      <c r="EN153" s="52"/>
      <c r="EO153" s="52"/>
      <c r="EP153" s="52"/>
      <c r="EQ153" s="52"/>
      <c r="ER153" s="52"/>
      <c r="ES153" s="52"/>
      <c r="ET153" s="52"/>
      <c r="EU153" s="52"/>
      <c r="EV153" s="52"/>
      <c r="EW153" s="52"/>
      <c r="EX153" s="52"/>
      <c r="EY153" s="52"/>
      <c r="EZ153" s="52"/>
      <c r="FA153" s="52"/>
    </row>
    <row r="154" spans="2:157" x14ac:dyDescent="0.75">
      <c r="B154" s="26"/>
      <c r="C154" s="27"/>
      <c r="D154" s="52"/>
      <c r="F154" s="26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/>
      <c r="DQ154" s="52"/>
      <c r="DR154" s="52"/>
      <c r="DS154" s="52"/>
      <c r="DT154" s="52"/>
      <c r="DU154" s="52"/>
      <c r="DV154" s="52"/>
      <c r="DW154" s="52"/>
      <c r="DX154" s="52"/>
      <c r="DY154" s="52"/>
      <c r="DZ154" s="52"/>
      <c r="EA154" s="52"/>
      <c r="EB154" s="52"/>
      <c r="EC154" s="52"/>
      <c r="ED154" s="52"/>
      <c r="EE154" s="52"/>
      <c r="EF154" s="52"/>
      <c r="EG154" s="52"/>
      <c r="EH154" s="52"/>
      <c r="EI154" s="52"/>
      <c r="EJ154" s="52"/>
      <c r="EK154" s="52"/>
      <c r="EL154" s="52"/>
      <c r="EM154" s="52"/>
      <c r="EN154" s="52"/>
      <c r="EO154" s="52"/>
      <c r="EP154" s="52"/>
      <c r="EQ154" s="52"/>
      <c r="ER154" s="52"/>
      <c r="ES154" s="52"/>
      <c r="ET154" s="52"/>
      <c r="EU154" s="52"/>
      <c r="EV154" s="52"/>
      <c r="EW154" s="52"/>
      <c r="EX154" s="52"/>
      <c r="EY154" s="52"/>
      <c r="EZ154" s="52"/>
      <c r="FA154" s="52"/>
    </row>
    <row r="155" spans="2:157" x14ac:dyDescent="0.75">
      <c r="B155" s="26"/>
      <c r="C155" s="27"/>
      <c r="D155" s="52"/>
      <c r="F155" s="26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/>
      <c r="DQ155" s="52"/>
      <c r="DR155" s="52"/>
      <c r="DS155" s="52"/>
      <c r="DT155" s="52"/>
      <c r="DU155" s="52"/>
      <c r="DV155" s="52"/>
      <c r="DW155" s="52"/>
      <c r="DX155" s="52"/>
      <c r="DY155" s="52"/>
      <c r="DZ155" s="52"/>
      <c r="EA155" s="52"/>
      <c r="EB155" s="52"/>
      <c r="EC155" s="52"/>
      <c r="ED155" s="52"/>
      <c r="EE155" s="52"/>
      <c r="EF155" s="52"/>
      <c r="EG155" s="52"/>
      <c r="EH155" s="52"/>
      <c r="EI155" s="52"/>
      <c r="EJ155" s="52"/>
      <c r="EK155" s="52"/>
      <c r="EL155" s="52"/>
      <c r="EM155" s="52"/>
      <c r="EN155" s="52"/>
      <c r="EO155" s="52"/>
      <c r="EP155" s="52"/>
      <c r="EQ155" s="52"/>
      <c r="ER155" s="52"/>
      <c r="ES155" s="52"/>
      <c r="ET155" s="52"/>
      <c r="EU155" s="52"/>
      <c r="EV155" s="52"/>
      <c r="EW155" s="52"/>
      <c r="EX155" s="52"/>
      <c r="EY155" s="52"/>
      <c r="EZ155" s="52"/>
      <c r="FA155" s="52"/>
    </row>
    <row r="156" spans="2:157" x14ac:dyDescent="0.75">
      <c r="B156" s="26"/>
      <c r="C156" s="27"/>
      <c r="D156" s="52"/>
      <c r="F156" s="26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/>
      <c r="DQ156" s="52"/>
      <c r="DR156" s="52"/>
      <c r="DS156" s="52"/>
      <c r="DT156" s="52"/>
      <c r="DU156" s="52"/>
      <c r="DV156" s="52"/>
      <c r="DW156" s="52"/>
      <c r="DX156" s="52"/>
      <c r="DY156" s="52"/>
      <c r="DZ156" s="52"/>
      <c r="EA156" s="52"/>
      <c r="EB156" s="52"/>
      <c r="EC156" s="52"/>
      <c r="ED156" s="52"/>
      <c r="EE156" s="52"/>
      <c r="EF156" s="52"/>
      <c r="EG156" s="52"/>
      <c r="EH156" s="52"/>
      <c r="EI156" s="52"/>
      <c r="EJ156" s="52"/>
      <c r="EK156" s="52"/>
      <c r="EL156" s="52"/>
      <c r="EM156" s="52"/>
      <c r="EN156" s="52"/>
      <c r="EO156" s="52"/>
      <c r="EP156" s="52"/>
      <c r="EQ156" s="52"/>
      <c r="ER156" s="52"/>
      <c r="ES156" s="52"/>
      <c r="ET156" s="52"/>
      <c r="EU156" s="52"/>
      <c r="EV156" s="52"/>
      <c r="EW156" s="52"/>
      <c r="EX156" s="52"/>
      <c r="EY156" s="52"/>
      <c r="EZ156" s="52"/>
      <c r="FA156" s="52"/>
    </row>
    <row r="157" spans="2:157" x14ac:dyDescent="0.75">
      <c r="B157" s="26"/>
      <c r="C157" s="27"/>
      <c r="D157" s="52"/>
      <c r="F157" s="26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52"/>
      <c r="DF157" s="52"/>
      <c r="DG157" s="52"/>
      <c r="DH157" s="52"/>
      <c r="DI157" s="52"/>
      <c r="DJ157" s="52"/>
      <c r="DK157" s="52"/>
      <c r="DL157" s="52"/>
      <c r="DM157" s="52"/>
      <c r="DN157" s="52"/>
      <c r="DO157" s="52"/>
      <c r="DP157" s="52"/>
      <c r="DQ157" s="52"/>
      <c r="DR157" s="52"/>
      <c r="DS157" s="52"/>
      <c r="DT157" s="52"/>
      <c r="DU157" s="52"/>
      <c r="DV157" s="52"/>
      <c r="DW157" s="52"/>
      <c r="DX157" s="52"/>
      <c r="DY157" s="52"/>
      <c r="DZ157" s="52"/>
      <c r="EA157" s="52"/>
      <c r="EB157" s="52"/>
      <c r="EC157" s="52"/>
      <c r="ED157" s="52"/>
      <c r="EE157" s="52"/>
      <c r="EF157" s="52"/>
      <c r="EG157" s="52"/>
      <c r="EH157" s="52"/>
      <c r="EI157" s="52"/>
      <c r="EJ157" s="52"/>
      <c r="EK157" s="52"/>
      <c r="EL157" s="52"/>
      <c r="EM157" s="52"/>
      <c r="EN157" s="52"/>
      <c r="EO157" s="52"/>
      <c r="EP157" s="52"/>
      <c r="EQ157" s="52"/>
      <c r="ER157" s="52"/>
      <c r="ES157" s="52"/>
      <c r="ET157" s="52"/>
      <c r="EU157" s="52"/>
      <c r="EV157" s="52"/>
      <c r="EW157" s="52"/>
      <c r="EX157" s="52"/>
      <c r="EY157" s="52"/>
      <c r="EZ157" s="52"/>
      <c r="FA157" s="52"/>
    </row>
    <row r="158" spans="2:157" x14ac:dyDescent="0.75">
      <c r="B158" s="38"/>
      <c r="C158" s="38"/>
      <c r="D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38"/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  <c r="DE158" s="38"/>
      <c r="DF158" s="38"/>
      <c r="DG158" s="38"/>
      <c r="DH158" s="38"/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  <c r="EH158" s="38"/>
      <c r="EI158" s="38"/>
      <c r="EJ158" s="38"/>
      <c r="EK158" s="38"/>
      <c r="EL158" s="38"/>
      <c r="EM158" s="38"/>
      <c r="EN158" s="38"/>
      <c r="EO158" s="38"/>
      <c r="EP158" s="38"/>
      <c r="EQ158" s="38"/>
      <c r="ER158" s="38"/>
      <c r="ES158" s="38"/>
      <c r="ET158" s="38"/>
      <c r="EU158" s="38"/>
      <c r="EV158" s="38"/>
      <c r="EW158" s="38"/>
      <c r="EX158" s="38"/>
      <c r="EY158" s="38"/>
      <c r="EZ158" s="38"/>
      <c r="FA158" s="38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31E1-0BEF-4B6C-A0B0-F706A02274AF}">
  <sheetPr>
    <tabColor theme="1" tint="0.34998626667073579"/>
  </sheetPr>
  <dimension ref="A1:F56"/>
  <sheetViews>
    <sheetView zoomScale="85" zoomScaleNormal="85" workbookViewId="0">
      <pane ySplit="5" topLeftCell="A10" activePane="bottomLeft" state="frozen"/>
      <selection activeCell="D10" sqref="D10"/>
      <selection pane="bottomLeft" activeCell="B40" sqref="B40"/>
    </sheetView>
  </sheetViews>
  <sheetFormatPr defaultRowHeight="14.75" x14ac:dyDescent="0.75"/>
  <cols>
    <col min="2" max="3" width="16.54296875" customWidth="1"/>
  </cols>
  <sheetData>
    <row r="1" spans="1:6" ht="18.5" x14ac:dyDescent="0.9">
      <c r="A1" s="23" t="s">
        <v>0</v>
      </c>
      <c r="B1" s="54"/>
      <c r="C1" s="54"/>
      <c r="D1" s="54"/>
      <c r="E1" s="54"/>
      <c r="F1" s="54"/>
    </row>
    <row r="5" spans="1:6" x14ac:dyDescent="0.75">
      <c r="D5" t="s">
        <v>1</v>
      </c>
      <c r="E5" t="s">
        <v>2</v>
      </c>
      <c r="F5" t="s">
        <v>3</v>
      </c>
    </row>
    <row r="6" spans="1:6" x14ac:dyDescent="0.75">
      <c r="A6" t="s">
        <v>5</v>
      </c>
      <c r="B6" t="s">
        <v>4</v>
      </c>
      <c r="C6" t="s">
        <v>94</v>
      </c>
      <c r="D6">
        <v>1</v>
      </c>
    </row>
    <row r="7" spans="1:6" x14ac:dyDescent="0.75">
      <c r="A7" t="s">
        <v>5</v>
      </c>
      <c r="B7" t="s">
        <v>6</v>
      </c>
      <c r="C7" t="s">
        <v>95</v>
      </c>
      <c r="D7">
        <v>1</v>
      </c>
    </row>
    <row r="8" spans="1:6" x14ac:dyDescent="0.75">
      <c r="A8" t="s">
        <v>5</v>
      </c>
      <c r="B8" t="s">
        <v>7</v>
      </c>
      <c r="C8" t="s">
        <v>96</v>
      </c>
      <c r="D8">
        <v>1</v>
      </c>
    </row>
    <row r="9" spans="1:6" x14ac:dyDescent="0.75">
      <c r="A9" t="s">
        <v>5</v>
      </c>
      <c r="B9" t="s">
        <v>26</v>
      </c>
      <c r="C9" t="s">
        <v>97</v>
      </c>
      <c r="D9">
        <v>1</v>
      </c>
    </row>
    <row r="10" spans="1:6" x14ac:dyDescent="0.75">
      <c r="A10" t="s">
        <v>5</v>
      </c>
      <c r="B10" t="s">
        <v>113</v>
      </c>
      <c r="C10" t="s">
        <v>98</v>
      </c>
      <c r="D10">
        <v>1</v>
      </c>
    </row>
    <row r="11" spans="1:6" x14ac:dyDescent="0.75">
      <c r="A11" t="s">
        <v>5</v>
      </c>
      <c r="B11" t="s">
        <v>8</v>
      </c>
      <c r="C11" t="s">
        <v>99</v>
      </c>
      <c r="D11">
        <v>1</v>
      </c>
    </row>
    <row r="12" spans="1:6" x14ac:dyDescent="0.75">
      <c r="A12" t="s">
        <v>5</v>
      </c>
      <c r="B12" t="s">
        <v>9</v>
      </c>
      <c r="C12" t="s">
        <v>100</v>
      </c>
      <c r="D12">
        <v>1</v>
      </c>
    </row>
    <row r="13" spans="1:6" x14ac:dyDescent="0.75">
      <c r="A13" t="s">
        <v>5</v>
      </c>
      <c r="B13" t="s">
        <v>114</v>
      </c>
      <c r="C13" t="s">
        <v>101</v>
      </c>
      <c r="D13">
        <v>1</v>
      </c>
    </row>
    <row r="14" spans="1:6" x14ac:dyDescent="0.75">
      <c r="A14" t="s">
        <v>5</v>
      </c>
      <c r="B14" t="s">
        <v>115</v>
      </c>
      <c r="C14" t="s">
        <v>102</v>
      </c>
      <c r="D14">
        <v>1</v>
      </c>
    </row>
    <row r="15" spans="1:6" x14ac:dyDescent="0.75">
      <c r="A15" t="s">
        <v>5</v>
      </c>
      <c r="B15" t="s">
        <v>14</v>
      </c>
      <c r="C15" t="s">
        <v>103</v>
      </c>
      <c r="D15">
        <v>1</v>
      </c>
    </row>
    <row r="16" spans="1:6" x14ac:dyDescent="0.75">
      <c r="A16" t="s">
        <v>5</v>
      </c>
      <c r="B16" t="s">
        <v>15</v>
      </c>
      <c r="C16" t="s">
        <v>104</v>
      </c>
      <c r="D16">
        <v>1</v>
      </c>
    </row>
    <row r="17" spans="1:4" x14ac:dyDescent="0.75">
      <c r="A17" t="s">
        <v>5</v>
      </c>
      <c r="B17" t="s">
        <v>16</v>
      </c>
      <c r="C17" t="s">
        <v>105</v>
      </c>
      <c r="D17">
        <v>1</v>
      </c>
    </row>
    <row r="18" spans="1:4" x14ac:dyDescent="0.75">
      <c r="A18" t="s">
        <v>5</v>
      </c>
      <c r="B18" t="s">
        <v>18</v>
      </c>
      <c r="C18" t="s">
        <v>106</v>
      </c>
      <c r="D18">
        <v>1</v>
      </c>
    </row>
    <row r="19" spans="1:4" x14ac:dyDescent="0.75">
      <c r="A19" t="s">
        <v>5</v>
      </c>
      <c r="B19" t="s">
        <v>20</v>
      </c>
      <c r="C19" t="s">
        <v>107</v>
      </c>
      <c r="D19">
        <v>1</v>
      </c>
    </row>
    <row r="20" spans="1:4" x14ac:dyDescent="0.75">
      <c r="A20" t="s">
        <v>5</v>
      </c>
      <c r="B20" t="s">
        <v>21</v>
      </c>
      <c r="C20" t="s">
        <v>108</v>
      </c>
      <c r="D20">
        <v>1</v>
      </c>
    </row>
    <row r="21" spans="1:4" x14ac:dyDescent="0.75">
      <c r="A21" t="s">
        <v>5</v>
      </c>
      <c r="B21" t="s">
        <v>22</v>
      </c>
      <c r="C21" t="s">
        <v>109</v>
      </c>
      <c r="D21">
        <v>1</v>
      </c>
    </row>
    <row r="22" spans="1:4" x14ac:dyDescent="0.75">
      <c r="A22" t="s">
        <v>5</v>
      </c>
      <c r="B22" t="s">
        <v>23</v>
      </c>
      <c r="C22" t="s">
        <v>116</v>
      </c>
      <c r="D22">
        <v>1</v>
      </c>
    </row>
    <row r="23" spans="1:4" x14ac:dyDescent="0.75">
      <c r="A23" t="s">
        <v>5</v>
      </c>
      <c r="B23" t="s">
        <v>24</v>
      </c>
      <c r="C23" t="s">
        <v>117</v>
      </c>
      <c r="D23">
        <v>1</v>
      </c>
    </row>
    <row r="24" spans="1:4" x14ac:dyDescent="0.75">
      <c r="A24" t="s">
        <v>5</v>
      </c>
      <c r="B24" t="s">
        <v>48</v>
      </c>
      <c r="C24" t="s">
        <v>118</v>
      </c>
      <c r="D24">
        <v>1</v>
      </c>
    </row>
    <row r="25" spans="1:4" x14ac:dyDescent="0.75">
      <c r="A25" t="s">
        <v>5</v>
      </c>
      <c r="B25" t="s">
        <v>10</v>
      </c>
      <c r="C25" t="s">
        <v>119</v>
      </c>
      <c r="D25">
        <v>1</v>
      </c>
    </row>
    <row r="26" spans="1:4" x14ac:dyDescent="0.75">
      <c r="A26" t="s">
        <v>5</v>
      </c>
      <c r="B26" t="s">
        <v>11</v>
      </c>
      <c r="C26" t="s">
        <v>152</v>
      </c>
      <c r="D26">
        <v>1</v>
      </c>
    </row>
    <row r="27" spans="1:4" x14ac:dyDescent="0.75">
      <c r="A27" t="s">
        <v>5</v>
      </c>
      <c r="B27" t="s">
        <v>12</v>
      </c>
      <c r="C27" t="s">
        <v>153</v>
      </c>
      <c r="D27">
        <v>1</v>
      </c>
    </row>
    <row r="28" spans="1:4" x14ac:dyDescent="0.75">
      <c r="A28" t="s">
        <v>5</v>
      </c>
      <c r="B28" t="s">
        <v>13</v>
      </c>
      <c r="C28" t="s">
        <v>154</v>
      </c>
      <c r="D28">
        <v>1</v>
      </c>
    </row>
    <row r="29" spans="1:4" x14ac:dyDescent="0.75">
      <c r="A29" t="s">
        <v>5</v>
      </c>
      <c r="B29" t="s">
        <v>25</v>
      </c>
      <c r="C29" t="s">
        <v>155</v>
      </c>
      <c r="D29">
        <v>1</v>
      </c>
    </row>
    <row r="30" spans="1:4" x14ac:dyDescent="0.75">
      <c r="A30" t="s">
        <v>5</v>
      </c>
      <c r="B30" t="s">
        <v>52</v>
      </c>
      <c r="C30" t="s">
        <v>157</v>
      </c>
      <c r="D30">
        <v>1</v>
      </c>
    </row>
    <row r="31" spans="1:4" x14ac:dyDescent="0.75">
      <c r="A31" t="s">
        <v>5</v>
      </c>
      <c r="B31" t="s">
        <v>110</v>
      </c>
      <c r="C31" t="s">
        <v>265</v>
      </c>
      <c r="D31">
        <v>1</v>
      </c>
    </row>
    <row r="32" spans="1:4" x14ac:dyDescent="0.75">
      <c r="A32" t="s">
        <v>5</v>
      </c>
      <c r="B32" t="s">
        <v>248</v>
      </c>
      <c r="C32" t="s">
        <v>266</v>
      </c>
      <c r="D32">
        <v>1</v>
      </c>
    </row>
    <row r="33" spans="1:6" x14ac:dyDescent="0.75">
      <c r="A33" t="s">
        <v>222</v>
      </c>
      <c r="B33" t="s">
        <v>246</v>
      </c>
      <c r="C33" t="s">
        <v>267</v>
      </c>
      <c r="D33">
        <v>2</v>
      </c>
    </row>
    <row r="34" spans="1:6" x14ac:dyDescent="0.75">
      <c r="A34" s="4" t="s">
        <v>222</v>
      </c>
      <c r="B34" s="4" t="s">
        <v>400</v>
      </c>
      <c r="C34" s="4" t="s">
        <v>404</v>
      </c>
      <c r="D34" s="4">
        <v>2</v>
      </c>
      <c r="E34" s="4"/>
      <c r="F34" s="4"/>
    </row>
    <row r="35" spans="1:6" x14ac:dyDescent="0.75">
      <c r="A35" t="s">
        <v>27</v>
      </c>
      <c r="B35" t="s">
        <v>28</v>
      </c>
      <c r="C35" t="s">
        <v>121</v>
      </c>
      <c r="D35">
        <v>1</v>
      </c>
      <c r="E35">
        <v>1</v>
      </c>
    </row>
    <row r="36" spans="1:6" x14ac:dyDescent="0.75">
      <c r="A36" t="s">
        <v>27</v>
      </c>
      <c r="B36" t="s">
        <v>135</v>
      </c>
      <c r="C36" t="s">
        <v>268</v>
      </c>
      <c r="D36">
        <v>1</v>
      </c>
      <c r="E36">
        <v>1</v>
      </c>
    </row>
    <row r="37" spans="1:6" x14ac:dyDescent="0.75">
      <c r="A37" t="s">
        <v>27</v>
      </c>
      <c r="B37" t="s">
        <v>136</v>
      </c>
      <c r="C37" t="s">
        <v>269</v>
      </c>
      <c r="D37">
        <v>1</v>
      </c>
      <c r="E37">
        <v>1</v>
      </c>
    </row>
    <row r="38" spans="1:6" x14ac:dyDescent="0.75">
      <c r="A38" t="s">
        <v>27</v>
      </c>
      <c r="B38" t="s">
        <v>137</v>
      </c>
      <c r="C38" t="s">
        <v>270</v>
      </c>
      <c r="D38">
        <v>1</v>
      </c>
      <c r="E38">
        <v>1</v>
      </c>
    </row>
    <row r="39" spans="1:6" x14ac:dyDescent="0.75">
      <c r="A39" t="s">
        <v>27</v>
      </c>
      <c r="B39" t="s">
        <v>30</v>
      </c>
      <c r="C39" t="s">
        <v>271</v>
      </c>
      <c r="D39">
        <v>1</v>
      </c>
    </row>
    <row r="40" spans="1:6" x14ac:dyDescent="0.75">
      <c r="A40" t="s">
        <v>27</v>
      </c>
      <c r="B40" t="s">
        <v>158</v>
      </c>
      <c r="C40" t="s">
        <v>272</v>
      </c>
      <c r="D40">
        <v>1</v>
      </c>
      <c r="E40">
        <v>1</v>
      </c>
    </row>
    <row r="41" spans="1:6" x14ac:dyDescent="0.75">
      <c r="A41" t="s">
        <v>27</v>
      </c>
      <c r="B41" t="s">
        <v>34</v>
      </c>
      <c r="C41" t="s">
        <v>273</v>
      </c>
      <c r="D41">
        <v>1</v>
      </c>
    </row>
    <row r="42" spans="1:6" x14ac:dyDescent="0.75">
      <c r="A42" t="s">
        <v>27</v>
      </c>
      <c r="B42" t="s">
        <v>35</v>
      </c>
      <c r="C42" t="s">
        <v>274</v>
      </c>
      <c r="D42">
        <v>1</v>
      </c>
      <c r="E42">
        <v>1</v>
      </c>
    </row>
    <row r="43" spans="1:6" x14ac:dyDescent="0.75">
      <c r="A43" t="s">
        <v>27</v>
      </c>
      <c r="B43" t="s">
        <v>284</v>
      </c>
      <c r="C43" t="s">
        <v>275</v>
      </c>
      <c r="D43">
        <v>1</v>
      </c>
    </row>
    <row r="44" spans="1:6" x14ac:dyDescent="0.75">
      <c r="A44" s="4" t="s">
        <v>27</v>
      </c>
      <c r="B44" s="4" t="s">
        <v>226</v>
      </c>
      <c r="C44" s="4" t="s">
        <v>276</v>
      </c>
      <c r="D44" s="4">
        <v>1</v>
      </c>
      <c r="E44" s="4">
        <v>1</v>
      </c>
      <c r="F44" s="4"/>
    </row>
    <row r="45" spans="1:6" x14ac:dyDescent="0.75">
      <c r="A45" t="s">
        <v>27</v>
      </c>
      <c r="B45" t="s">
        <v>122</v>
      </c>
      <c r="C45" t="s">
        <v>277</v>
      </c>
      <c r="F45">
        <v>0</v>
      </c>
    </row>
    <row r="46" spans="1:6" x14ac:dyDescent="0.75">
      <c r="A46" t="s">
        <v>27</v>
      </c>
      <c r="B46" t="s">
        <v>241</v>
      </c>
      <c r="C46" t="s">
        <v>278</v>
      </c>
      <c r="F46">
        <v>0</v>
      </c>
    </row>
    <row r="47" spans="1:6" x14ac:dyDescent="0.75">
      <c r="A47" t="s">
        <v>27</v>
      </c>
      <c r="B47" t="s">
        <v>242</v>
      </c>
      <c r="C47" t="s">
        <v>279</v>
      </c>
      <c r="F47">
        <v>0</v>
      </c>
    </row>
    <row r="48" spans="1:6" x14ac:dyDescent="0.75">
      <c r="A48" t="s">
        <v>27</v>
      </c>
      <c r="B48" t="s">
        <v>243</v>
      </c>
      <c r="C48" t="s">
        <v>280</v>
      </c>
      <c r="F48">
        <v>0</v>
      </c>
    </row>
    <row r="49" spans="1:6" x14ac:dyDescent="0.75">
      <c r="A49" t="s">
        <v>27</v>
      </c>
      <c r="B49" t="s">
        <v>159</v>
      </c>
      <c r="C49" t="s">
        <v>281</v>
      </c>
      <c r="F49">
        <v>0</v>
      </c>
    </row>
    <row r="50" spans="1:6" x14ac:dyDescent="0.75">
      <c r="A50" t="s">
        <v>27</v>
      </c>
      <c r="B50" t="s">
        <v>245</v>
      </c>
      <c r="C50" t="s">
        <v>282</v>
      </c>
      <c r="F50">
        <v>0</v>
      </c>
    </row>
    <row r="51" spans="1:6" x14ac:dyDescent="0.75">
      <c r="A51" s="4" t="s">
        <v>27</v>
      </c>
      <c r="B51" s="4" t="s">
        <v>244</v>
      </c>
      <c r="C51" s="4" t="s">
        <v>283</v>
      </c>
      <c r="D51" s="4"/>
      <c r="E51" s="4"/>
      <c r="F51" s="4">
        <v>0</v>
      </c>
    </row>
    <row r="52" spans="1:6" x14ac:dyDescent="0.75">
      <c r="A52" t="s">
        <v>5</v>
      </c>
      <c r="B52" t="s">
        <v>396</v>
      </c>
      <c r="C52" t="s">
        <v>387</v>
      </c>
      <c r="D52">
        <v>1</v>
      </c>
    </row>
    <row r="53" spans="1:6" x14ac:dyDescent="0.75">
      <c r="A53" t="s">
        <v>5</v>
      </c>
      <c r="B53" t="s">
        <v>397</v>
      </c>
      <c r="C53" t="s">
        <v>388</v>
      </c>
      <c r="D53">
        <v>1</v>
      </c>
    </row>
    <row r="54" spans="1:6" x14ac:dyDescent="0.75">
      <c r="A54" t="s">
        <v>5</v>
      </c>
      <c r="B54" t="s">
        <v>398</v>
      </c>
      <c r="C54" t="s">
        <v>389</v>
      </c>
      <c r="D54">
        <v>1</v>
      </c>
    </row>
    <row r="55" spans="1:6" x14ac:dyDescent="0.75">
      <c r="A55" t="s">
        <v>5</v>
      </c>
      <c r="B55" t="s">
        <v>395</v>
      </c>
      <c r="C55" t="s">
        <v>391</v>
      </c>
      <c r="D55">
        <v>1</v>
      </c>
    </row>
    <row r="56" spans="1:6" x14ac:dyDescent="0.75">
      <c r="A56" t="s">
        <v>5</v>
      </c>
      <c r="B56" t="s">
        <v>399</v>
      </c>
      <c r="C56" t="s">
        <v>390</v>
      </c>
      <c r="D56">
        <v>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36B1-8D18-483B-9E71-846E1562860B}">
  <sheetPr>
    <tabColor theme="1" tint="0.34998626667073579"/>
  </sheetPr>
  <dimension ref="A1:BW81"/>
  <sheetViews>
    <sheetView showZeros="0" zoomScale="85" zoomScaleNormal="85" workbookViewId="0">
      <pane xSplit="2" ySplit="7" topLeftCell="C8" activePane="bottomRight" state="frozen"/>
      <selection activeCell="B42" sqref="B42"/>
      <selection pane="topRight" activeCell="B42" sqref="B42"/>
      <selection pane="bottomLeft" activeCell="B42" sqref="B42"/>
      <selection pane="bottomRight" activeCell="B42" sqref="B42"/>
    </sheetView>
  </sheetViews>
  <sheetFormatPr defaultRowHeight="14.75" x14ac:dyDescent="0.75"/>
  <sheetData>
    <row r="1" spans="1:52" x14ac:dyDescent="0.75">
      <c r="AJ1">
        <f ca="1">SUM(AJ3:AK4)</f>
        <v>7</v>
      </c>
    </row>
    <row r="2" spans="1:52" x14ac:dyDescent="0.75">
      <c r="AJ2" s="20" t="s">
        <v>166</v>
      </c>
      <c r="AK2" s="20" t="s">
        <v>24</v>
      </c>
    </row>
    <row r="3" spans="1:52" x14ac:dyDescent="0.75">
      <c r="AJ3" s="20">
        <f ca="1">COUNTIF(AJ41:AJ48,"&lt;0")</f>
        <v>0</v>
      </c>
      <c r="AK3" s="20">
        <f ca="1">COUNTIF(AK8:AN48,"&lt;0")</f>
        <v>5</v>
      </c>
    </row>
    <row r="4" spans="1:52" x14ac:dyDescent="0.75">
      <c r="AJ4" s="20">
        <f ca="1">COUNTIF(AJ56,"&lt;0")</f>
        <v>0</v>
      </c>
      <c r="AK4" s="20">
        <f ca="1">COUNTIF(AK56:AN56,"&lt;0")</f>
        <v>2</v>
      </c>
    </row>
    <row r="7" spans="1:52" x14ac:dyDescent="0.75">
      <c r="B7" s="5"/>
      <c r="C7" s="6" t="s">
        <v>174</v>
      </c>
      <c r="D7" s="6" t="s">
        <v>175</v>
      </c>
      <c r="E7" s="6" t="s">
        <v>176</v>
      </c>
      <c r="F7" s="6" t="s">
        <v>177</v>
      </c>
      <c r="G7" s="6" t="s">
        <v>178</v>
      </c>
      <c r="H7" s="6" t="s">
        <v>179</v>
      </c>
      <c r="I7" s="6" t="s">
        <v>180</v>
      </c>
      <c r="J7" s="6" t="s">
        <v>181</v>
      </c>
      <c r="K7" s="6" t="s">
        <v>182</v>
      </c>
      <c r="L7" s="6" t="s">
        <v>183</v>
      </c>
      <c r="M7" s="6" t="s">
        <v>184</v>
      </c>
      <c r="N7" s="6" t="s">
        <v>185</v>
      </c>
      <c r="O7" s="6" t="s">
        <v>186</v>
      </c>
      <c r="P7" s="7" t="s">
        <v>187</v>
      </c>
      <c r="Q7" s="6" t="s">
        <v>188</v>
      </c>
      <c r="R7" s="6" t="s">
        <v>189</v>
      </c>
      <c r="S7" s="6" t="s">
        <v>190</v>
      </c>
      <c r="T7" s="6" t="s">
        <v>191</v>
      </c>
      <c r="U7" s="6" t="s">
        <v>192</v>
      </c>
      <c r="V7" s="6" t="s">
        <v>193</v>
      </c>
      <c r="W7" s="6" t="s">
        <v>194</v>
      </c>
      <c r="X7" s="6" t="s">
        <v>195</v>
      </c>
      <c r="Y7" s="6" t="s">
        <v>196</v>
      </c>
      <c r="Z7" s="6" t="s">
        <v>197</v>
      </c>
      <c r="AA7" s="6" t="s">
        <v>198</v>
      </c>
      <c r="AB7" s="6" t="s">
        <v>199</v>
      </c>
      <c r="AC7" s="6" t="s">
        <v>200</v>
      </c>
      <c r="AD7" s="7" t="s">
        <v>201</v>
      </c>
      <c r="AE7" s="7" t="s">
        <v>69</v>
      </c>
      <c r="AF7" s="6" t="s">
        <v>202</v>
      </c>
      <c r="AG7" s="6" t="s">
        <v>203</v>
      </c>
      <c r="AH7" s="6" t="s">
        <v>17</v>
      </c>
      <c r="AI7" s="7" t="s">
        <v>209</v>
      </c>
      <c r="AJ7" s="7" t="s">
        <v>75</v>
      </c>
      <c r="AK7" s="6" t="s">
        <v>204</v>
      </c>
      <c r="AL7" s="6" t="s">
        <v>205</v>
      </c>
      <c r="AM7" s="6" t="s">
        <v>206</v>
      </c>
      <c r="AN7" s="7" t="s">
        <v>207</v>
      </c>
      <c r="AO7" s="16" t="s">
        <v>80</v>
      </c>
      <c r="AP7" s="6" t="s">
        <v>162</v>
      </c>
      <c r="AQ7" s="6" t="s">
        <v>81</v>
      </c>
      <c r="AR7" s="6" t="s">
        <v>161</v>
      </c>
      <c r="AS7" s="6" t="s">
        <v>160</v>
      </c>
      <c r="AT7" s="6" t="s">
        <v>82</v>
      </c>
      <c r="AU7" s="6" t="s">
        <v>83</v>
      </c>
      <c r="AV7" s="7" t="s">
        <v>163</v>
      </c>
      <c r="AW7" s="6" t="s">
        <v>84</v>
      </c>
      <c r="AX7" s="7" t="s">
        <v>85</v>
      </c>
      <c r="AY7" s="7" t="s">
        <v>86</v>
      </c>
      <c r="AZ7" s="7" t="s">
        <v>87</v>
      </c>
    </row>
    <row r="8" spans="1:52" x14ac:dyDescent="0.75">
      <c r="A8" s="3">
        <f t="array" aca="1" ref="A8:A56" ca="1">TRANSPOSE(C57:AY57)-AZ8:AZ56</f>
        <v>0</v>
      </c>
      <c r="B8" s="8" t="s">
        <v>174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0"/>
      <c r="Q8" s="3">
        <f ca="1">C$57-SUM($AK8:$AN8)</f>
        <v>237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  <c r="AE8" s="10"/>
      <c r="AF8" s="3"/>
      <c r="AG8" s="3"/>
      <c r="AH8" s="3"/>
      <c r="AI8" s="10"/>
      <c r="AJ8" s="10"/>
      <c r="AK8" s="3">
        <f t="shared" ref="AK8:AL14" ca="1" si="0">RANDBETWEEN(0,20)</f>
        <v>8</v>
      </c>
      <c r="AL8" s="3">
        <f t="shared" ca="1" si="0"/>
        <v>11</v>
      </c>
      <c r="AM8" s="3"/>
      <c r="AN8" s="10"/>
      <c r="AO8" s="17"/>
      <c r="AP8" s="3"/>
      <c r="AQ8" s="3"/>
      <c r="AR8" s="3"/>
      <c r="AS8" s="3"/>
      <c r="AT8" s="3"/>
      <c r="AU8" s="3"/>
      <c r="AV8" s="10"/>
      <c r="AW8" s="3"/>
      <c r="AX8" s="10"/>
      <c r="AY8" s="10"/>
      <c r="AZ8" s="10">
        <f ca="1">SUM(C8:AY8)</f>
        <v>256</v>
      </c>
    </row>
    <row r="9" spans="1:52" x14ac:dyDescent="0.75">
      <c r="A9" s="3">
        <f ca="1"/>
        <v>0</v>
      </c>
      <c r="B9" s="8" t="s">
        <v>175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0"/>
      <c r="Q9" s="3"/>
      <c r="R9" s="3">
        <f ca="1">D$57-SUM($AK9:$AN9)</f>
        <v>395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  <c r="AE9" s="10"/>
      <c r="AF9" s="3"/>
      <c r="AG9" s="3"/>
      <c r="AH9" s="3"/>
      <c r="AI9" s="10"/>
      <c r="AJ9" s="10"/>
      <c r="AK9" s="3">
        <f t="shared" ca="1" si="0"/>
        <v>10</v>
      </c>
      <c r="AL9" s="3">
        <f t="shared" ca="1" si="0"/>
        <v>18</v>
      </c>
      <c r="AM9" s="3"/>
      <c r="AN9" s="10"/>
      <c r="AO9" s="17"/>
      <c r="AP9" s="3"/>
      <c r="AQ9" s="3"/>
      <c r="AR9" s="3"/>
      <c r="AS9" s="3"/>
      <c r="AT9" s="3"/>
      <c r="AU9" s="3"/>
      <c r="AV9" s="10"/>
      <c r="AW9" s="3"/>
      <c r="AX9" s="10"/>
      <c r="AY9" s="10"/>
      <c r="AZ9" s="10">
        <f t="shared" ref="AZ9:AZ56" ca="1" si="1">SUM(C9:AY9)</f>
        <v>423</v>
      </c>
    </row>
    <row r="10" spans="1:52" x14ac:dyDescent="0.75">
      <c r="A10" s="3">
        <f ca="1"/>
        <v>0</v>
      </c>
      <c r="B10" s="8" t="s">
        <v>176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0"/>
      <c r="Q10" s="3"/>
      <c r="R10" s="3"/>
      <c r="S10" s="3">
        <f ca="1">E$57-SUM($AK10:$AN10)</f>
        <v>469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  <c r="AE10" s="10"/>
      <c r="AF10" s="3"/>
      <c r="AG10" s="3"/>
      <c r="AH10" s="3"/>
      <c r="AI10" s="10"/>
      <c r="AJ10" s="10"/>
      <c r="AK10" s="3">
        <f t="shared" ca="1" si="0"/>
        <v>13</v>
      </c>
      <c r="AL10" s="3">
        <f t="shared" ca="1" si="0"/>
        <v>10</v>
      </c>
      <c r="AM10" s="3"/>
      <c r="AN10" s="10"/>
      <c r="AO10" s="17"/>
      <c r="AP10" s="3"/>
      <c r="AQ10" s="3"/>
      <c r="AR10" s="3"/>
      <c r="AS10" s="3"/>
      <c r="AT10" s="3"/>
      <c r="AU10" s="3"/>
      <c r="AV10" s="10"/>
      <c r="AW10" s="3"/>
      <c r="AX10" s="10"/>
      <c r="AY10" s="10"/>
      <c r="AZ10" s="10">
        <f t="shared" ca="1" si="1"/>
        <v>492</v>
      </c>
    </row>
    <row r="11" spans="1:52" x14ac:dyDescent="0.75">
      <c r="A11" s="3">
        <f ca="1"/>
        <v>0</v>
      </c>
      <c r="B11" s="8" t="s">
        <v>177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3"/>
      <c r="R11" s="3"/>
      <c r="S11" s="3"/>
      <c r="T11" s="3">
        <f ca="1">F$57-SUM($AK11:$AN11)</f>
        <v>278</v>
      </c>
      <c r="U11" s="3"/>
      <c r="V11" s="3"/>
      <c r="W11" s="3"/>
      <c r="X11" s="3"/>
      <c r="Y11" s="3"/>
      <c r="Z11" s="3"/>
      <c r="AA11" s="3"/>
      <c r="AB11" s="3"/>
      <c r="AC11" s="3"/>
      <c r="AD11" s="10"/>
      <c r="AE11" s="10"/>
      <c r="AF11" s="3"/>
      <c r="AG11" s="3"/>
      <c r="AH11" s="3"/>
      <c r="AI11" s="10"/>
      <c r="AJ11" s="10"/>
      <c r="AK11" s="3">
        <f t="shared" ca="1" si="0"/>
        <v>3</v>
      </c>
      <c r="AL11" s="3">
        <f t="shared" ca="1" si="0"/>
        <v>16</v>
      </c>
      <c r="AM11" s="3"/>
      <c r="AN11" s="10"/>
      <c r="AO11" s="17"/>
      <c r="AP11" s="3"/>
      <c r="AQ11" s="3"/>
      <c r="AR11" s="3"/>
      <c r="AS11" s="3"/>
      <c r="AT11" s="3"/>
      <c r="AU11" s="3"/>
      <c r="AV11" s="10"/>
      <c r="AW11" s="3"/>
      <c r="AX11" s="10"/>
      <c r="AY11" s="10"/>
      <c r="AZ11" s="10">
        <f t="shared" ca="1" si="1"/>
        <v>297</v>
      </c>
    </row>
    <row r="12" spans="1:52" x14ac:dyDescent="0.75">
      <c r="A12" s="3">
        <f ca="1"/>
        <v>0</v>
      </c>
      <c r="B12" s="8" t="s">
        <v>178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3"/>
      <c r="R12" s="3"/>
      <c r="S12" s="3"/>
      <c r="T12" s="3"/>
      <c r="U12" s="3">
        <f ca="1">G$57-SUM($AK12:$AN12)</f>
        <v>330</v>
      </c>
      <c r="V12" s="3"/>
      <c r="W12" s="3"/>
      <c r="X12" s="3"/>
      <c r="Y12" s="3"/>
      <c r="Z12" s="3"/>
      <c r="AA12" s="3"/>
      <c r="AB12" s="3"/>
      <c r="AC12" s="3"/>
      <c r="AD12" s="10"/>
      <c r="AE12" s="10"/>
      <c r="AF12" s="3"/>
      <c r="AG12" s="3"/>
      <c r="AH12" s="3"/>
      <c r="AI12" s="10"/>
      <c r="AJ12" s="10"/>
      <c r="AK12" s="3">
        <f t="shared" ca="1" si="0"/>
        <v>11</v>
      </c>
      <c r="AL12" s="3">
        <f t="shared" ca="1" si="0"/>
        <v>15</v>
      </c>
      <c r="AM12" s="3"/>
      <c r="AN12" s="10"/>
      <c r="AO12" s="17"/>
      <c r="AP12" s="3"/>
      <c r="AQ12" s="3"/>
      <c r="AR12" s="3"/>
      <c r="AS12" s="3"/>
      <c r="AT12" s="3"/>
      <c r="AU12" s="3"/>
      <c r="AV12" s="10"/>
      <c r="AW12" s="3"/>
      <c r="AX12" s="10"/>
      <c r="AY12" s="10"/>
      <c r="AZ12" s="10">
        <f t="shared" ca="1" si="1"/>
        <v>356</v>
      </c>
    </row>
    <row r="13" spans="1:52" x14ac:dyDescent="0.75">
      <c r="A13" s="3">
        <f ca="1"/>
        <v>0</v>
      </c>
      <c r="B13" s="8" t="s">
        <v>179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0"/>
      <c r="Q13" s="3"/>
      <c r="R13" s="3"/>
      <c r="S13" s="3"/>
      <c r="T13" s="3"/>
      <c r="U13" s="3"/>
      <c r="V13" s="3">
        <f ca="1">H$57-SUM($AK13:$AN13)</f>
        <v>842</v>
      </c>
      <c r="W13" s="3"/>
      <c r="X13" s="3"/>
      <c r="Y13" s="3"/>
      <c r="Z13" s="3"/>
      <c r="AA13" s="3"/>
      <c r="AB13" s="3"/>
      <c r="AC13" s="3"/>
      <c r="AD13" s="10"/>
      <c r="AE13" s="10"/>
      <c r="AF13" s="3"/>
      <c r="AG13" s="3"/>
      <c r="AH13" s="3"/>
      <c r="AI13" s="10"/>
      <c r="AJ13" s="10"/>
      <c r="AK13" s="3"/>
      <c r="AL13" s="3"/>
      <c r="AM13" s="3"/>
      <c r="AN13" s="10"/>
      <c r="AO13" s="17"/>
      <c r="AP13" s="3"/>
      <c r="AQ13" s="3"/>
      <c r="AR13" s="3"/>
      <c r="AS13" s="3"/>
      <c r="AT13" s="3"/>
      <c r="AU13" s="3"/>
      <c r="AV13" s="10"/>
      <c r="AW13" s="3"/>
      <c r="AX13" s="10"/>
      <c r="AY13" s="10"/>
      <c r="AZ13" s="10">
        <f t="shared" ca="1" si="1"/>
        <v>842</v>
      </c>
    </row>
    <row r="14" spans="1:52" x14ac:dyDescent="0.75">
      <c r="A14" s="3">
        <f ca="1"/>
        <v>0</v>
      </c>
      <c r="B14" s="8" t="s">
        <v>180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0"/>
      <c r="Q14" s="3"/>
      <c r="R14" s="3"/>
      <c r="S14" s="3"/>
      <c r="T14" s="3"/>
      <c r="U14" s="3"/>
      <c r="V14" s="3"/>
      <c r="W14" s="3">
        <f ca="1">I$57-SUM($AK14:$AN14)</f>
        <v>543</v>
      </c>
      <c r="X14" s="3"/>
      <c r="Y14" s="3"/>
      <c r="Z14" s="3"/>
      <c r="AA14" s="3"/>
      <c r="AB14" s="3"/>
      <c r="AC14" s="3"/>
      <c r="AD14" s="10"/>
      <c r="AE14" s="10"/>
      <c r="AF14" s="3"/>
      <c r="AG14" s="3"/>
      <c r="AH14" s="3"/>
      <c r="AI14" s="10"/>
      <c r="AJ14" s="10"/>
      <c r="AK14" s="3">
        <f t="shared" ca="1" si="0"/>
        <v>7</v>
      </c>
      <c r="AL14" s="3">
        <f t="shared" ca="1" si="0"/>
        <v>14</v>
      </c>
      <c r="AM14" s="3"/>
      <c r="AN14" s="10"/>
      <c r="AO14" s="17"/>
      <c r="AP14" s="3"/>
      <c r="AQ14" s="3"/>
      <c r="AR14" s="3"/>
      <c r="AS14" s="3"/>
      <c r="AT14" s="3"/>
      <c r="AU14" s="3"/>
      <c r="AV14" s="10"/>
      <c r="AW14" s="3"/>
      <c r="AX14" s="10"/>
      <c r="AY14" s="10"/>
      <c r="AZ14" s="10">
        <f t="shared" ca="1" si="1"/>
        <v>564</v>
      </c>
    </row>
    <row r="15" spans="1:52" x14ac:dyDescent="0.75">
      <c r="A15" s="3">
        <f ca="1"/>
        <v>0</v>
      </c>
      <c r="B15" s="8" t="s">
        <v>181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0"/>
      <c r="Q15" s="3"/>
      <c r="R15" s="3"/>
      <c r="S15" s="3"/>
      <c r="T15" s="3"/>
      <c r="U15" s="3"/>
      <c r="V15" s="3"/>
      <c r="W15" s="3"/>
      <c r="X15" s="3">
        <f ca="1">J$57-SUM($AK15:$AN15)</f>
        <v>503</v>
      </c>
      <c r="Y15" s="3"/>
      <c r="Z15" s="3"/>
      <c r="AA15" s="3"/>
      <c r="AB15" s="3"/>
      <c r="AC15" s="3"/>
      <c r="AD15" s="10"/>
      <c r="AE15" s="10"/>
      <c r="AF15" s="3"/>
      <c r="AG15" s="3"/>
      <c r="AH15" s="3"/>
      <c r="AI15" s="10"/>
      <c r="AJ15" s="10"/>
      <c r="AK15" s="3"/>
      <c r="AL15" s="3"/>
      <c r="AM15" s="3"/>
      <c r="AN15" s="10"/>
      <c r="AO15" s="17"/>
      <c r="AP15" s="3"/>
      <c r="AQ15" s="3"/>
      <c r="AR15" s="3"/>
      <c r="AS15" s="3"/>
      <c r="AT15" s="3"/>
      <c r="AU15" s="3"/>
      <c r="AV15" s="10"/>
      <c r="AW15" s="3"/>
      <c r="AX15" s="10"/>
      <c r="AY15" s="10"/>
      <c r="AZ15" s="10">
        <f t="shared" ca="1" si="1"/>
        <v>503</v>
      </c>
    </row>
    <row r="16" spans="1:52" x14ac:dyDescent="0.75">
      <c r="A16" s="3">
        <f ca="1"/>
        <v>0</v>
      </c>
      <c r="B16" s="8" t="s">
        <v>182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0"/>
      <c r="Q16" s="3"/>
      <c r="R16" s="3"/>
      <c r="S16" s="3"/>
      <c r="T16" s="3"/>
      <c r="U16" s="3"/>
      <c r="V16" s="3"/>
      <c r="W16" s="3"/>
      <c r="X16" s="3"/>
      <c r="Y16" s="3">
        <f ca="1">K$57-SUM($AK16:$AN16)</f>
        <v>866</v>
      </c>
      <c r="Z16" s="3"/>
      <c r="AA16" s="3"/>
      <c r="AB16" s="3"/>
      <c r="AC16" s="3"/>
      <c r="AD16" s="10"/>
      <c r="AE16" s="10"/>
      <c r="AF16" s="3"/>
      <c r="AG16" s="3"/>
      <c r="AH16" s="3"/>
      <c r="AI16" s="10"/>
      <c r="AJ16" s="10"/>
      <c r="AK16" s="3"/>
      <c r="AL16" s="3"/>
      <c r="AM16" s="3"/>
      <c r="AN16" s="10"/>
      <c r="AO16" s="17"/>
      <c r="AP16" s="3"/>
      <c r="AQ16" s="3"/>
      <c r="AR16" s="3"/>
      <c r="AS16" s="3"/>
      <c r="AT16" s="3"/>
      <c r="AU16" s="3"/>
      <c r="AV16" s="10"/>
      <c r="AW16" s="3"/>
      <c r="AX16" s="10"/>
      <c r="AY16" s="10"/>
      <c r="AZ16" s="10">
        <f t="shared" ca="1" si="1"/>
        <v>866</v>
      </c>
    </row>
    <row r="17" spans="1:61" x14ac:dyDescent="0.75">
      <c r="A17" s="3">
        <f ca="1"/>
        <v>0</v>
      </c>
      <c r="B17" s="8" t="s">
        <v>183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0"/>
      <c r="Q17" s="3"/>
      <c r="R17" s="3"/>
      <c r="S17" s="3"/>
      <c r="T17" s="3"/>
      <c r="U17" s="3"/>
      <c r="V17" s="3"/>
      <c r="W17" s="3"/>
      <c r="X17" s="3"/>
      <c r="Y17" s="3"/>
      <c r="Z17" s="3">
        <f ca="1">L$57-SUM($AK17:$AN17)</f>
        <v>668</v>
      </c>
      <c r="AA17" s="3"/>
      <c r="AB17" s="3"/>
      <c r="AC17" s="3"/>
      <c r="AD17" s="10"/>
      <c r="AE17" s="10"/>
      <c r="AF17" s="3"/>
      <c r="AG17" s="3"/>
      <c r="AH17" s="3"/>
      <c r="AI17" s="10"/>
      <c r="AJ17" s="10"/>
      <c r="AK17" s="3"/>
      <c r="AL17" s="3"/>
      <c r="AM17" s="3"/>
      <c r="AN17" s="10"/>
      <c r="AO17" s="17"/>
      <c r="AP17" s="3"/>
      <c r="AQ17" s="3"/>
      <c r="AR17" s="3"/>
      <c r="AS17" s="3"/>
      <c r="AT17" s="3"/>
      <c r="AU17" s="3"/>
      <c r="AV17" s="10"/>
      <c r="AW17" s="3"/>
      <c r="AX17" s="10"/>
      <c r="AY17" s="10"/>
      <c r="AZ17" s="10">
        <f t="shared" ca="1" si="1"/>
        <v>668</v>
      </c>
    </row>
    <row r="18" spans="1:61" x14ac:dyDescent="0.75">
      <c r="A18" s="3">
        <f ca="1"/>
        <v>0</v>
      </c>
      <c r="B18" s="8" t="s">
        <v>184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f ca="1">M$57-SUM($AK18:$AN18)</f>
        <v>675</v>
      </c>
      <c r="AB18" s="3"/>
      <c r="AC18" s="3"/>
      <c r="AD18" s="10"/>
      <c r="AE18" s="10"/>
      <c r="AF18" s="3"/>
      <c r="AG18" s="3"/>
      <c r="AH18" s="3"/>
      <c r="AI18" s="10"/>
      <c r="AJ18" s="10"/>
      <c r="AK18" s="3"/>
      <c r="AL18" s="3"/>
      <c r="AM18" s="3"/>
      <c r="AN18" s="10"/>
      <c r="AO18" s="17"/>
      <c r="AP18" s="3"/>
      <c r="AQ18" s="3"/>
      <c r="AR18" s="3"/>
      <c r="AS18" s="3"/>
      <c r="AT18" s="3"/>
      <c r="AU18" s="3"/>
      <c r="AV18" s="10"/>
      <c r="AW18" s="3"/>
      <c r="AX18" s="10"/>
      <c r="AY18" s="10"/>
      <c r="AZ18" s="10">
        <f t="shared" ca="1" si="1"/>
        <v>675</v>
      </c>
    </row>
    <row r="19" spans="1:61" x14ac:dyDescent="0.75">
      <c r="A19" s="3">
        <f ca="1"/>
        <v>0</v>
      </c>
      <c r="B19" s="8" t="s">
        <v>185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0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f ca="1">N$57-SUM($AK19:$AN19)</f>
        <v>926</v>
      </c>
      <c r="AC19" s="3"/>
      <c r="AD19" s="10"/>
      <c r="AE19" s="10"/>
      <c r="AF19" s="3"/>
      <c r="AG19" s="3"/>
      <c r="AH19" s="3"/>
      <c r="AI19" s="10"/>
      <c r="AJ19" s="10"/>
      <c r="AK19" s="3"/>
      <c r="AL19" s="3"/>
      <c r="AM19" s="3"/>
      <c r="AN19" s="10"/>
      <c r="AO19" s="17"/>
      <c r="AP19" s="3"/>
      <c r="AQ19" s="3"/>
      <c r="AR19" s="3"/>
      <c r="AS19" s="3"/>
      <c r="AT19" s="3"/>
      <c r="AU19" s="3"/>
      <c r="AV19" s="10"/>
      <c r="AW19" s="3"/>
      <c r="AX19" s="10"/>
      <c r="AY19" s="10"/>
      <c r="AZ19" s="10">
        <f t="shared" ca="1" si="1"/>
        <v>926</v>
      </c>
    </row>
    <row r="20" spans="1:61" x14ac:dyDescent="0.75">
      <c r="A20" s="3">
        <f ca="1"/>
        <v>0</v>
      </c>
      <c r="B20" s="8" t="s">
        <v>186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0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f ca="1">O$57-SUM($AK20:$AN20)</f>
        <v>587</v>
      </c>
      <c r="AD20" s="10"/>
      <c r="AE20" s="10"/>
      <c r="AF20" s="3"/>
      <c r="AG20" s="3"/>
      <c r="AH20" s="3"/>
      <c r="AI20" s="10"/>
      <c r="AJ20" s="10"/>
      <c r="AK20" s="3"/>
      <c r="AL20" s="3"/>
      <c r="AM20" s="3"/>
      <c r="AN20" s="10"/>
      <c r="AO20" s="17"/>
      <c r="AP20" s="3"/>
      <c r="AQ20" s="3"/>
      <c r="AR20" s="3"/>
      <c r="AS20" s="3"/>
      <c r="AT20" s="3"/>
      <c r="AU20" s="3"/>
      <c r="AV20" s="10"/>
      <c r="AW20" s="3"/>
      <c r="AX20" s="10"/>
      <c r="AY20" s="10"/>
      <c r="AZ20" s="10">
        <f t="shared" ca="1" si="1"/>
        <v>587</v>
      </c>
    </row>
    <row r="21" spans="1:61" x14ac:dyDescent="0.75">
      <c r="A21" s="3">
        <f ca="1"/>
        <v>0</v>
      </c>
      <c r="B21" s="9" t="s">
        <v>187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2">
        <f ca="1">P$57-SUM($AK21:$AN21)</f>
        <v>521</v>
      </c>
      <c r="AE21" s="12"/>
      <c r="AF21" s="11"/>
      <c r="AG21" s="11"/>
      <c r="AH21" s="11"/>
      <c r="AI21" s="12"/>
      <c r="AJ21" s="12"/>
      <c r="AK21" s="11"/>
      <c r="AL21" s="11"/>
      <c r="AM21" s="11"/>
      <c r="AN21" s="12"/>
      <c r="AO21" s="18"/>
      <c r="AP21" s="11"/>
      <c r="AQ21" s="11"/>
      <c r="AR21" s="11"/>
      <c r="AS21" s="11"/>
      <c r="AT21" s="11"/>
      <c r="AU21" s="11"/>
      <c r="AV21" s="12"/>
      <c r="AW21" s="11"/>
      <c r="AX21" s="12"/>
      <c r="AY21" s="12"/>
      <c r="AZ21" s="12">
        <f t="shared" ca="1" si="1"/>
        <v>521</v>
      </c>
      <c r="BD21" t="s">
        <v>76</v>
      </c>
      <c r="BE21" t="s">
        <v>77</v>
      </c>
      <c r="BF21" t="s">
        <v>78</v>
      </c>
      <c r="BG21" t="s">
        <v>79</v>
      </c>
    </row>
    <row r="22" spans="1:61" x14ac:dyDescent="0.75">
      <c r="A22" s="3">
        <f ca="1"/>
        <v>0</v>
      </c>
      <c r="B22" s="8" t="s">
        <v>188</v>
      </c>
      <c r="C22" s="3">
        <f ca="1">RANDBETWEEN(1,20)</f>
        <v>3</v>
      </c>
      <c r="D22" s="3"/>
      <c r="E22" s="3"/>
      <c r="F22" s="3"/>
      <c r="G22" s="3">
        <f t="shared" ref="D22:P30" ca="1" si="2">RANDBETWEEN(1,20)</f>
        <v>17</v>
      </c>
      <c r="H22" s="3"/>
      <c r="I22" s="3"/>
      <c r="J22" s="3"/>
      <c r="K22" s="3"/>
      <c r="L22" s="3"/>
      <c r="M22" s="3"/>
      <c r="N22" s="3"/>
      <c r="O22" s="3">
        <f t="shared" ca="1" si="2"/>
        <v>13</v>
      </c>
      <c r="P22" s="10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  <c r="AF22" s="3"/>
      <c r="AG22" s="3"/>
      <c r="AH22" s="3"/>
      <c r="AI22" s="10"/>
      <c r="AJ22" s="10"/>
      <c r="AK22" s="3">
        <f ca="1">BD22/(SUM($BD22:$BG22))*($BI22-SUM($C22:$AJ22,$AO22:$AY22))</f>
        <v>109.50169811320754</v>
      </c>
      <c r="AL22" s="3">
        <f t="shared" ref="AL22:AL30" ca="1" si="3">BE22/(SUM($BD22:$BG22))*($BI22-SUM($C22:$AJ22,$AO22:$AY22))</f>
        <v>117.92490566037735</v>
      </c>
      <c r="AM22" s="3">
        <f t="shared" ref="AM22:AM30" ca="1" si="4">BF22/(SUM($BD22:$BG22))*($BI22-SUM($C22:$AJ22,$AO22:$AY22))</f>
        <v>39.308301886792449</v>
      </c>
      <c r="AN22" s="10">
        <f t="shared" ref="AN22:AN30" ca="1" si="5">BG22/(SUM($BD22:$BG22))*($BI22-SUM($C22:$AJ22,$AO22:$AY22))</f>
        <v>30.88509433962264</v>
      </c>
      <c r="AO22" s="17"/>
      <c r="AP22" s="3"/>
      <c r="AQ22" s="3"/>
      <c r="AR22" s="3"/>
      <c r="AS22" s="3"/>
      <c r="AT22" s="3"/>
      <c r="AU22" s="3"/>
      <c r="AV22" s="10"/>
      <c r="AW22" s="3"/>
      <c r="AX22" s="10">
        <f ca="1">RANDBETWEEN(0,6)-3</f>
        <v>-3</v>
      </c>
      <c r="AY22" s="10">
        <f ca="1">RANDBETWEEN(0,10)</f>
        <v>7</v>
      </c>
      <c r="AZ22" s="10">
        <f t="shared" ca="1" si="1"/>
        <v>334.61999999999995</v>
      </c>
      <c r="BC22" t="s">
        <v>55</v>
      </c>
      <c r="BD22">
        <f ca="1">RANDBETWEEN(0,100)/100</f>
        <v>0.39</v>
      </c>
      <c r="BE22">
        <f t="shared" ref="BE22:BG35" ca="1" si="6">RANDBETWEEN(0,100)/100</f>
        <v>0.42</v>
      </c>
      <c r="BF22">
        <f t="shared" ca="1" si="6"/>
        <v>0.14000000000000001</v>
      </c>
      <c r="BG22">
        <f t="shared" ca="1" si="6"/>
        <v>0.11</v>
      </c>
      <c r="BI22">
        <f t="array" aca="1" ref="BI22:BI35" ca="1">TRANSPOSE(Q57:AD57)</f>
        <v>334.62</v>
      </c>
    </row>
    <row r="23" spans="1:61" x14ac:dyDescent="0.75">
      <c r="A23" s="3">
        <f ca="1"/>
        <v>0</v>
      </c>
      <c r="B23" s="8" t="s">
        <v>189</v>
      </c>
      <c r="C23" s="3"/>
      <c r="D23" s="3">
        <f t="shared" ca="1" si="2"/>
        <v>12</v>
      </c>
      <c r="E23" s="3"/>
      <c r="F23" s="3"/>
      <c r="G23" s="3">
        <f t="shared" ca="1" si="2"/>
        <v>18</v>
      </c>
      <c r="H23" s="3"/>
      <c r="I23" s="3"/>
      <c r="J23" s="3"/>
      <c r="K23" s="3"/>
      <c r="L23" s="3"/>
      <c r="M23" s="3"/>
      <c r="N23" s="3"/>
      <c r="O23" s="3">
        <f t="shared" ca="1" si="2"/>
        <v>5</v>
      </c>
      <c r="P23" s="10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  <c r="AF23" s="3"/>
      <c r="AG23" s="3"/>
      <c r="AH23" s="3"/>
      <c r="AI23" s="10"/>
      <c r="AJ23" s="10"/>
      <c r="AK23" s="3">
        <f t="shared" ref="AK23:AK30" ca="1" si="7">BD23/(SUM($BD23:$BG23))*($BI23-SUM($C23:$AJ23,$AO23:$AY23))</f>
        <v>38.100928270042189</v>
      </c>
      <c r="AL23" s="3">
        <f t="shared" ca="1" si="3"/>
        <v>145.25978902953585</v>
      </c>
      <c r="AM23" s="3">
        <f t="shared" ca="1" si="4"/>
        <v>200.02987341772149</v>
      </c>
      <c r="AN23" s="10">
        <f t="shared" ca="1" si="5"/>
        <v>180.9794092827004</v>
      </c>
      <c r="AO23" s="17"/>
      <c r="AP23" s="3"/>
      <c r="AQ23" s="3"/>
      <c r="AR23" s="3"/>
      <c r="AS23" s="3"/>
      <c r="AT23" s="3"/>
      <c r="AU23" s="3"/>
      <c r="AV23" s="10"/>
      <c r="AW23" s="3"/>
      <c r="AX23" s="10">
        <f t="shared" ref="AX23:AX24" ca="1" si="8">RANDBETWEEN(0,6)-3</f>
        <v>-3</v>
      </c>
      <c r="AY23" s="10">
        <f t="shared" ref="AY23:AY34" ca="1" si="9">RANDBETWEEN(0,10)</f>
        <v>0</v>
      </c>
      <c r="AZ23" s="10">
        <f t="shared" ca="1" si="1"/>
        <v>596.36999999999989</v>
      </c>
      <c r="BC23" t="s">
        <v>56</v>
      </c>
      <c r="BD23">
        <f t="shared" ref="BD23:BD35" ca="1" si="10">RANDBETWEEN(0,100)/100</f>
        <v>0.16</v>
      </c>
      <c r="BE23">
        <f t="shared" ca="1" si="6"/>
        <v>0.61</v>
      </c>
      <c r="BF23">
        <f t="shared" ca="1" si="6"/>
        <v>0.84</v>
      </c>
      <c r="BG23">
        <f t="shared" ca="1" si="6"/>
        <v>0.76</v>
      </c>
      <c r="BI23">
        <f ca="1"/>
        <v>596.37</v>
      </c>
    </row>
    <row r="24" spans="1:61" x14ac:dyDescent="0.75">
      <c r="A24" s="3">
        <f ca="1"/>
        <v>0</v>
      </c>
      <c r="B24" s="8" t="s">
        <v>190</v>
      </c>
      <c r="C24" s="3"/>
      <c r="D24" s="3"/>
      <c r="E24" s="3">
        <f t="shared" ca="1" si="2"/>
        <v>17</v>
      </c>
      <c r="F24" s="3"/>
      <c r="G24" s="3"/>
      <c r="H24" s="3"/>
      <c r="I24" s="3"/>
      <c r="J24" s="3"/>
      <c r="K24" s="3"/>
      <c r="L24" s="3"/>
      <c r="M24" s="3"/>
      <c r="N24" s="3"/>
      <c r="O24" s="3">
        <f t="shared" ca="1" si="2"/>
        <v>9</v>
      </c>
      <c r="P24" s="10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  <c r="AF24" s="3"/>
      <c r="AG24" s="3"/>
      <c r="AH24" s="3"/>
      <c r="AI24" s="10"/>
      <c r="AJ24" s="10"/>
      <c r="AK24" s="3">
        <f t="shared" ca="1" si="7"/>
        <v>225.94125</v>
      </c>
      <c r="AL24" s="3">
        <f t="shared" ca="1" si="3"/>
        <v>162.67770000000002</v>
      </c>
      <c r="AM24" s="3">
        <f t="shared" ca="1" si="4"/>
        <v>30.125500000000002</v>
      </c>
      <c r="AN24" s="10">
        <f t="shared" ca="1" si="5"/>
        <v>183.76554999999999</v>
      </c>
      <c r="AO24" s="17"/>
      <c r="AP24" s="3"/>
      <c r="AQ24" s="3"/>
      <c r="AR24" s="3"/>
      <c r="AS24" s="3"/>
      <c r="AT24" s="3"/>
      <c r="AU24" s="3"/>
      <c r="AV24" s="10"/>
      <c r="AW24" s="3"/>
      <c r="AX24" s="10">
        <f t="shared" ca="1" si="8"/>
        <v>-2</v>
      </c>
      <c r="AY24" s="10">
        <f t="shared" ca="1" si="9"/>
        <v>10</v>
      </c>
      <c r="AZ24" s="10">
        <f t="shared" ca="1" si="1"/>
        <v>636.51</v>
      </c>
      <c r="BC24" t="s">
        <v>57</v>
      </c>
      <c r="BD24">
        <f t="shared" ca="1" si="10"/>
        <v>0.75</v>
      </c>
      <c r="BE24">
        <f t="shared" ca="1" si="6"/>
        <v>0.54</v>
      </c>
      <c r="BF24">
        <f t="shared" ca="1" si="6"/>
        <v>0.1</v>
      </c>
      <c r="BG24">
        <f t="shared" ca="1" si="6"/>
        <v>0.61</v>
      </c>
      <c r="BI24">
        <f ca="1"/>
        <v>636.51</v>
      </c>
    </row>
    <row r="25" spans="1:61" x14ac:dyDescent="0.75">
      <c r="A25" s="3">
        <f ca="1"/>
        <v>0</v>
      </c>
      <c r="B25" s="8" t="s">
        <v>191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0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  <c r="AF25" s="3"/>
      <c r="AG25" s="3"/>
      <c r="AH25" s="3"/>
      <c r="AI25" s="10"/>
      <c r="AJ25" s="10"/>
      <c r="AK25" s="3">
        <f t="shared" ca="1" si="7"/>
        <v>0</v>
      </c>
      <c r="AL25" s="3">
        <f t="shared" ca="1" si="3"/>
        <v>0</v>
      </c>
      <c r="AM25" s="3">
        <f t="shared" ca="1" si="4"/>
        <v>0</v>
      </c>
      <c r="AN25" s="10">
        <f t="shared" ca="1" si="5"/>
        <v>0</v>
      </c>
      <c r="AO25" s="17"/>
      <c r="AP25" s="3"/>
      <c r="AQ25" s="3"/>
      <c r="AR25" s="3"/>
      <c r="AS25" s="3"/>
      <c r="AT25" s="3"/>
      <c r="AU25" s="3"/>
      <c r="AV25" s="10"/>
      <c r="AW25" s="3"/>
      <c r="AX25" s="10"/>
      <c r="AY25" s="10">
        <f ca="1">T57</f>
        <v>285.77999999999997</v>
      </c>
      <c r="AZ25" s="10">
        <f t="shared" ca="1" si="1"/>
        <v>285.77999999999997</v>
      </c>
      <c r="BA25" t="s">
        <v>164</v>
      </c>
      <c r="BC25" t="s">
        <v>58</v>
      </c>
      <c r="BD25">
        <f t="shared" ca="1" si="10"/>
        <v>0.77</v>
      </c>
      <c r="BE25">
        <f t="shared" ca="1" si="6"/>
        <v>0.31</v>
      </c>
      <c r="BF25">
        <f t="shared" ca="1" si="6"/>
        <v>0.27</v>
      </c>
      <c r="BG25">
        <f t="shared" ca="1" si="6"/>
        <v>0.61</v>
      </c>
      <c r="BI25">
        <f ca="1"/>
        <v>285.77999999999997</v>
      </c>
    </row>
    <row r="26" spans="1:61" x14ac:dyDescent="0.75">
      <c r="A26" s="3">
        <f ca="1"/>
        <v>0</v>
      </c>
      <c r="B26" s="8" t="s">
        <v>192</v>
      </c>
      <c r="C26" s="3"/>
      <c r="D26" s="3"/>
      <c r="E26" s="3"/>
      <c r="F26" s="3">
        <f t="shared" ca="1" si="2"/>
        <v>19</v>
      </c>
      <c r="G26" s="3">
        <f t="shared" ca="1" si="2"/>
        <v>7</v>
      </c>
      <c r="H26" s="3">
        <f t="shared" ca="1" si="2"/>
        <v>8</v>
      </c>
      <c r="I26" s="3">
        <f t="shared" ca="1" si="2"/>
        <v>7</v>
      </c>
      <c r="J26" s="3">
        <f t="shared" ca="1" si="2"/>
        <v>7</v>
      </c>
      <c r="K26" s="3">
        <f t="shared" ca="1" si="2"/>
        <v>3</v>
      </c>
      <c r="L26" s="3"/>
      <c r="M26" s="3">
        <f t="shared" ca="1" si="2"/>
        <v>19</v>
      </c>
      <c r="N26" s="3">
        <f t="shared" ca="1" si="2"/>
        <v>13</v>
      </c>
      <c r="O26" s="3">
        <f t="shared" ca="1" si="2"/>
        <v>1</v>
      </c>
      <c r="P26" s="10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  <c r="AF26" s="3"/>
      <c r="AG26" s="3"/>
      <c r="AH26" s="3"/>
      <c r="AI26" s="10"/>
      <c r="AJ26" s="10"/>
      <c r="AK26" s="3">
        <f t="shared" ca="1" si="7"/>
        <v>30.59518348623854</v>
      </c>
      <c r="AL26" s="3">
        <f t="shared" ca="1" si="3"/>
        <v>114.22201834862391</v>
      </c>
      <c r="AM26" s="3">
        <f t="shared" ca="1" si="4"/>
        <v>199.8885321100918</v>
      </c>
      <c r="AN26" s="10">
        <f t="shared" ca="1" si="5"/>
        <v>99.944266055045901</v>
      </c>
      <c r="AO26" s="17"/>
      <c r="AP26" s="3"/>
      <c r="AQ26" s="3"/>
      <c r="AR26" s="3"/>
      <c r="AS26" s="3"/>
      <c r="AT26" s="3"/>
      <c r="AU26" s="3"/>
      <c r="AV26" s="10"/>
      <c r="AW26" s="3"/>
      <c r="AX26" s="10">
        <f t="shared" ref="AX26:AX31" ca="1" si="11">RANDBETWEEN(0,6)-3</f>
        <v>-1</v>
      </c>
      <c r="AY26" s="10">
        <f t="shared" ca="1" si="9"/>
        <v>5</v>
      </c>
      <c r="AZ26" s="10">
        <f t="shared" ca="1" si="1"/>
        <v>532.65000000000009</v>
      </c>
      <c r="BC26" t="s">
        <v>59</v>
      </c>
      <c r="BD26">
        <f t="shared" ca="1" si="10"/>
        <v>0.15</v>
      </c>
      <c r="BE26">
        <f t="shared" ca="1" si="6"/>
        <v>0.56000000000000005</v>
      </c>
      <c r="BF26">
        <f t="shared" ca="1" si="6"/>
        <v>0.98</v>
      </c>
      <c r="BG26">
        <f t="shared" ca="1" si="6"/>
        <v>0.49</v>
      </c>
      <c r="BI26">
        <f ca="1"/>
        <v>532.65000000000009</v>
      </c>
    </row>
    <row r="27" spans="1:61" x14ac:dyDescent="0.75">
      <c r="A27" s="3">
        <f ca="1"/>
        <v>0</v>
      </c>
      <c r="B27" s="8" t="s">
        <v>193</v>
      </c>
      <c r="C27" s="3"/>
      <c r="D27" s="3"/>
      <c r="E27" s="3"/>
      <c r="F27" s="3"/>
      <c r="G27" s="3"/>
      <c r="H27" s="3">
        <f t="shared" ca="1" si="2"/>
        <v>19</v>
      </c>
      <c r="I27" s="3"/>
      <c r="J27" s="3"/>
      <c r="K27" s="3"/>
      <c r="L27" s="3"/>
      <c r="M27" s="3">
        <f t="shared" ca="1" si="2"/>
        <v>4</v>
      </c>
      <c r="N27" s="3"/>
      <c r="O27" s="3">
        <f t="shared" ca="1" si="2"/>
        <v>15</v>
      </c>
      <c r="P27" s="10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  <c r="AF27" s="3"/>
      <c r="AG27" s="3"/>
      <c r="AH27" s="3"/>
      <c r="AI27" s="10"/>
      <c r="AJ27" s="10"/>
      <c r="AK27" s="3">
        <f t="shared" ca="1" si="7"/>
        <v>547.83552763819102</v>
      </c>
      <c r="AL27" s="3">
        <f t="shared" ca="1" si="3"/>
        <v>107.30798994974874</v>
      </c>
      <c r="AM27" s="3">
        <f t="shared" ca="1" si="4"/>
        <v>39.534522613065334</v>
      </c>
      <c r="AN27" s="10">
        <f t="shared" ca="1" si="5"/>
        <v>429.23195979899498</v>
      </c>
      <c r="AO27" s="17"/>
      <c r="AP27" s="3"/>
      <c r="AQ27" s="3"/>
      <c r="AR27" s="3"/>
      <c r="AS27" s="3"/>
      <c r="AT27" s="3"/>
      <c r="AU27" s="3"/>
      <c r="AV27" s="10"/>
      <c r="AW27" s="3"/>
      <c r="AX27" s="10">
        <f t="shared" ca="1" si="11"/>
        <v>1</v>
      </c>
      <c r="AY27" s="10">
        <f t="shared" ca="1" si="9"/>
        <v>8</v>
      </c>
      <c r="AZ27" s="10">
        <f t="shared" ca="1" si="1"/>
        <v>1170.9100000000001</v>
      </c>
      <c r="BC27" t="s">
        <v>60</v>
      </c>
      <c r="BD27">
        <f t="shared" ca="1" si="10"/>
        <v>0.97</v>
      </c>
      <c r="BE27">
        <f t="shared" ca="1" si="6"/>
        <v>0.19</v>
      </c>
      <c r="BF27">
        <f t="shared" ca="1" si="6"/>
        <v>7.0000000000000007E-2</v>
      </c>
      <c r="BG27">
        <f t="shared" ca="1" si="6"/>
        <v>0.76</v>
      </c>
      <c r="BI27">
        <f ca="1"/>
        <v>1170.9100000000001</v>
      </c>
    </row>
    <row r="28" spans="1:61" x14ac:dyDescent="0.75">
      <c r="A28" s="3">
        <f ca="1"/>
        <v>0</v>
      </c>
      <c r="B28" s="8" t="s">
        <v>194</v>
      </c>
      <c r="C28" s="3"/>
      <c r="D28" s="3"/>
      <c r="E28" s="3"/>
      <c r="F28" s="3"/>
      <c r="G28" s="3"/>
      <c r="H28" s="3">
        <f t="shared" ca="1" si="2"/>
        <v>11</v>
      </c>
      <c r="I28" s="3">
        <f t="shared" ca="1" si="2"/>
        <v>6</v>
      </c>
      <c r="J28" s="3">
        <f t="shared" ca="1" si="2"/>
        <v>9</v>
      </c>
      <c r="K28" s="3">
        <f t="shared" ca="1" si="2"/>
        <v>11</v>
      </c>
      <c r="L28" s="3"/>
      <c r="M28" s="3">
        <f t="shared" ca="1" si="2"/>
        <v>9</v>
      </c>
      <c r="N28" s="3">
        <f t="shared" ca="1" si="2"/>
        <v>8</v>
      </c>
      <c r="O28" s="3">
        <f t="shared" ca="1" si="2"/>
        <v>13</v>
      </c>
      <c r="P28" s="10">
        <f t="shared" ca="1" si="2"/>
        <v>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  <c r="AF28" s="3"/>
      <c r="AG28" s="3"/>
      <c r="AH28" s="3"/>
      <c r="AI28" s="10"/>
      <c r="AJ28" s="10"/>
      <c r="AK28" s="3">
        <f t="shared" ca="1" si="7"/>
        <v>115.20661764705881</v>
      </c>
      <c r="AL28" s="3">
        <f t="shared" ca="1" si="3"/>
        <v>292.95397058823528</v>
      </c>
      <c r="AM28" s="3">
        <f t="shared" ca="1" si="4"/>
        <v>177.74735294117647</v>
      </c>
      <c r="AN28" s="10">
        <f t="shared" ca="1" si="5"/>
        <v>85.582058823529408</v>
      </c>
      <c r="AO28" s="17"/>
      <c r="AP28" s="3"/>
      <c r="AQ28" s="3"/>
      <c r="AR28" s="3"/>
      <c r="AS28" s="3"/>
      <c r="AT28" s="3"/>
      <c r="AU28" s="3"/>
      <c r="AV28" s="10"/>
      <c r="AW28" s="3"/>
      <c r="AX28" s="10">
        <f t="shared" ca="1" si="11"/>
        <v>-3</v>
      </c>
      <c r="AY28" s="10">
        <f t="shared" ca="1" si="9"/>
        <v>3</v>
      </c>
      <c r="AZ28" s="10">
        <f t="shared" ca="1" si="1"/>
        <v>740.49</v>
      </c>
      <c r="BC28" t="s">
        <v>61</v>
      </c>
      <c r="BD28">
        <f t="shared" ca="1" si="10"/>
        <v>0.35</v>
      </c>
      <c r="BE28">
        <f t="shared" ca="1" si="6"/>
        <v>0.89</v>
      </c>
      <c r="BF28">
        <f t="shared" ca="1" si="6"/>
        <v>0.54</v>
      </c>
      <c r="BG28">
        <f t="shared" ca="1" si="6"/>
        <v>0.26</v>
      </c>
      <c r="BI28">
        <f ca="1"/>
        <v>740.49</v>
      </c>
    </row>
    <row r="29" spans="1:61" x14ac:dyDescent="0.75">
      <c r="A29" s="3">
        <f ca="1"/>
        <v>0</v>
      </c>
      <c r="B29" s="8" t="s">
        <v>195</v>
      </c>
      <c r="C29" s="3"/>
      <c r="D29" s="3"/>
      <c r="E29" s="3"/>
      <c r="F29" s="3"/>
      <c r="G29" s="3"/>
      <c r="H29" s="3">
        <f t="shared" ca="1" si="2"/>
        <v>19</v>
      </c>
      <c r="I29" s="3">
        <f t="shared" ca="1" si="2"/>
        <v>19</v>
      </c>
      <c r="J29" s="3">
        <f t="shared" ca="1" si="2"/>
        <v>1</v>
      </c>
      <c r="K29" s="3">
        <f t="shared" ca="1" si="2"/>
        <v>7</v>
      </c>
      <c r="L29" s="3"/>
      <c r="M29" s="3">
        <f t="shared" ca="1" si="2"/>
        <v>8</v>
      </c>
      <c r="N29" s="3">
        <f t="shared" ca="1" si="2"/>
        <v>13</v>
      </c>
      <c r="O29" s="3">
        <f t="shared" ca="1" si="2"/>
        <v>12</v>
      </c>
      <c r="P29" s="10">
        <f t="shared" ca="1" si="2"/>
        <v>9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  <c r="AE29" s="10"/>
      <c r="AF29" s="3"/>
      <c r="AG29" s="3"/>
      <c r="AH29" s="3"/>
      <c r="AI29" s="10"/>
      <c r="AJ29" s="10"/>
      <c r="AK29" s="3">
        <f t="shared" ca="1" si="7"/>
        <v>221.95662650602412</v>
      </c>
      <c r="AL29" s="3">
        <f t="shared" ca="1" si="3"/>
        <v>145.65903614457832</v>
      </c>
      <c r="AM29" s="3">
        <f t="shared" ca="1" si="4"/>
        <v>58.957228915662661</v>
      </c>
      <c r="AN29" s="10">
        <f t="shared" ca="1" si="5"/>
        <v>149.12710843373495</v>
      </c>
      <c r="AO29" s="17"/>
      <c r="AP29" s="3"/>
      <c r="AQ29" s="3"/>
      <c r="AR29" s="3"/>
      <c r="AS29" s="3"/>
      <c r="AT29" s="3"/>
      <c r="AU29" s="3"/>
      <c r="AV29" s="10"/>
      <c r="AW29" s="3"/>
      <c r="AX29" s="10">
        <f t="shared" ca="1" si="11"/>
        <v>1</v>
      </c>
      <c r="AY29" s="10">
        <f t="shared" ca="1" si="9"/>
        <v>0</v>
      </c>
      <c r="AZ29" s="10">
        <f t="shared" ca="1" si="1"/>
        <v>664.7</v>
      </c>
      <c r="BC29" t="s">
        <v>62</v>
      </c>
      <c r="BD29">
        <f t="shared" ca="1" si="10"/>
        <v>0.64</v>
      </c>
      <c r="BE29">
        <f t="shared" ca="1" si="6"/>
        <v>0.42</v>
      </c>
      <c r="BF29">
        <f t="shared" ca="1" si="6"/>
        <v>0.17</v>
      </c>
      <c r="BG29">
        <f t="shared" ca="1" si="6"/>
        <v>0.43</v>
      </c>
      <c r="BI29">
        <f ca="1"/>
        <v>664.7</v>
      </c>
    </row>
    <row r="30" spans="1:61" x14ac:dyDescent="0.75">
      <c r="A30" s="3">
        <f ca="1"/>
        <v>0</v>
      </c>
      <c r="B30" s="8" t="s">
        <v>196</v>
      </c>
      <c r="C30" s="3">
        <f t="shared" ref="C30" ca="1" si="12">RANDBETWEEN(1,20)</f>
        <v>4</v>
      </c>
      <c r="D30" s="3">
        <f t="shared" ca="1" si="2"/>
        <v>2</v>
      </c>
      <c r="E30" s="3">
        <f t="shared" ca="1" si="2"/>
        <v>17</v>
      </c>
      <c r="F30" s="3">
        <f t="shared" ca="1" si="2"/>
        <v>1</v>
      </c>
      <c r="G30" s="3">
        <f t="shared" ca="1" si="2"/>
        <v>9</v>
      </c>
      <c r="H30" s="3">
        <f t="shared" ca="1" si="2"/>
        <v>19</v>
      </c>
      <c r="I30" s="3">
        <f t="shared" ca="1" si="2"/>
        <v>4</v>
      </c>
      <c r="J30" s="3">
        <f t="shared" ca="1" si="2"/>
        <v>20</v>
      </c>
      <c r="K30" s="3">
        <f t="shared" ca="1" si="2"/>
        <v>12</v>
      </c>
      <c r="L30" s="3"/>
      <c r="M30" s="3">
        <f t="shared" ca="1" si="2"/>
        <v>11</v>
      </c>
      <c r="N30" s="3">
        <f t="shared" ca="1" si="2"/>
        <v>14</v>
      </c>
      <c r="O30" s="3">
        <f t="shared" ca="1" si="2"/>
        <v>11</v>
      </c>
      <c r="P30" s="10">
        <f t="shared" ca="1" si="2"/>
        <v>7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  <c r="AE30" s="10"/>
      <c r="AF30" s="3"/>
      <c r="AG30" s="3"/>
      <c r="AH30" s="3"/>
      <c r="AI30" s="10"/>
      <c r="AJ30" s="10"/>
      <c r="AK30" s="3">
        <f t="shared" ca="1" si="7"/>
        <v>67.876190476190473</v>
      </c>
      <c r="AL30" s="3">
        <f t="shared" ca="1" si="3"/>
        <v>315.62428571428575</v>
      </c>
      <c r="AM30" s="3">
        <f t="shared" ca="1" si="4"/>
        <v>329.19952380952384</v>
      </c>
      <c r="AN30" s="10">
        <f t="shared" ca="1" si="5"/>
        <v>71.27</v>
      </c>
      <c r="AO30" s="17"/>
      <c r="AP30" s="3"/>
      <c r="AQ30" s="3"/>
      <c r="AR30" s="3"/>
      <c r="AS30" s="3"/>
      <c r="AT30" s="3"/>
      <c r="AU30" s="3"/>
      <c r="AV30" s="10"/>
      <c r="AW30" s="3"/>
      <c r="AX30" s="10">
        <f t="shared" ca="1" si="11"/>
        <v>0</v>
      </c>
      <c r="AY30" s="10">
        <f t="shared" ca="1" si="9"/>
        <v>6</v>
      </c>
      <c r="AZ30" s="10">
        <f t="shared" ca="1" si="1"/>
        <v>920.97</v>
      </c>
      <c r="BC30" t="s">
        <v>63</v>
      </c>
      <c r="BD30">
        <f t="shared" ca="1" si="10"/>
        <v>0.2</v>
      </c>
      <c r="BE30">
        <f t="shared" ca="1" si="6"/>
        <v>0.93</v>
      </c>
      <c r="BF30">
        <f t="shared" ca="1" si="6"/>
        <v>0.97</v>
      </c>
      <c r="BG30">
        <f t="shared" ca="1" si="6"/>
        <v>0.21</v>
      </c>
      <c r="BI30">
        <f ca="1"/>
        <v>920.97</v>
      </c>
    </row>
    <row r="31" spans="1:61" x14ac:dyDescent="0.75">
      <c r="A31" s="3">
        <f ca="1"/>
        <v>0</v>
      </c>
      <c r="B31" s="8" t="s">
        <v>197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0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  <c r="AE31" s="10"/>
      <c r="AF31" s="3"/>
      <c r="AG31" s="3"/>
      <c r="AH31" s="3"/>
      <c r="AI31" s="10"/>
      <c r="AJ31" s="10"/>
      <c r="AK31" s="3"/>
      <c r="AL31" s="3"/>
      <c r="AM31" s="3"/>
      <c r="AN31" s="10"/>
      <c r="AO31" s="17"/>
      <c r="AP31" s="3"/>
      <c r="AQ31" s="3"/>
      <c r="AR31" s="3"/>
      <c r="AS31" s="3"/>
      <c r="AT31" s="3"/>
      <c r="AU31" s="3"/>
      <c r="AV31" s="10"/>
      <c r="AW31" s="3">
        <f ca="1">Z57-SUM(C31:AV31,AX31:AY31)</f>
        <v>840.28</v>
      </c>
      <c r="AX31" s="10">
        <f t="shared" ca="1" si="11"/>
        <v>-2</v>
      </c>
      <c r="AY31" s="10"/>
      <c r="AZ31" s="10">
        <f t="shared" ca="1" si="1"/>
        <v>838.28</v>
      </c>
      <c r="BA31" t="s">
        <v>165</v>
      </c>
      <c r="BC31" t="s">
        <v>64</v>
      </c>
      <c r="BD31">
        <f t="shared" ca="1" si="10"/>
        <v>0.99</v>
      </c>
      <c r="BE31">
        <f t="shared" ca="1" si="6"/>
        <v>0.01</v>
      </c>
      <c r="BF31">
        <f t="shared" ca="1" si="6"/>
        <v>0.47</v>
      </c>
      <c r="BG31">
        <f t="shared" ca="1" si="6"/>
        <v>0.35</v>
      </c>
      <c r="BI31">
        <f ca="1"/>
        <v>838.28</v>
      </c>
    </row>
    <row r="32" spans="1:61" x14ac:dyDescent="0.75">
      <c r="A32" s="3">
        <f ca="1"/>
        <v>0</v>
      </c>
      <c r="B32" s="8" t="s">
        <v>198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0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  <c r="AE32" s="10"/>
      <c r="AF32" s="3"/>
      <c r="AG32" s="3"/>
      <c r="AH32" s="3"/>
      <c r="AI32" s="10"/>
      <c r="AJ32" s="10"/>
      <c r="AK32" s="3"/>
      <c r="AL32" s="3"/>
      <c r="AM32" s="3"/>
      <c r="AN32" s="10"/>
      <c r="AO32" s="17"/>
      <c r="AP32" s="3"/>
      <c r="AQ32" s="3"/>
      <c r="AR32" s="3"/>
      <c r="AS32" s="3"/>
      <c r="AT32" s="3"/>
      <c r="AU32" s="3"/>
      <c r="AV32" s="10"/>
      <c r="AW32" s="3">
        <f ca="1">AA57-SUM(C32:AV32,AX32:AY32)</f>
        <v>804.42</v>
      </c>
      <c r="AX32" s="10"/>
      <c r="AY32" s="10">
        <f t="shared" ca="1" si="9"/>
        <v>6</v>
      </c>
      <c r="AZ32" s="10">
        <f t="shared" ca="1" si="1"/>
        <v>810.42</v>
      </c>
      <c r="BC32" t="s">
        <v>65</v>
      </c>
      <c r="BD32">
        <f t="shared" ca="1" si="10"/>
        <v>0.65</v>
      </c>
      <c r="BE32">
        <f t="shared" ca="1" si="6"/>
        <v>0.05</v>
      </c>
      <c r="BF32">
        <f t="shared" ca="1" si="6"/>
        <v>0.52</v>
      </c>
      <c r="BG32">
        <f t="shared" ca="1" si="6"/>
        <v>0.28000000000000003</v>
      </c>
      <c r="BI32">
        <f ca="1"/>
        <v>810.42</v>
      </c>
    </row>
    <row r="33" spans="1:75" x14ac:dyDescent="0.75">
      <c r="A33" s="3">
        <f ca="1"/>
        <v>0</v>
      </c>
      <c r="B33" s="8" t="s">
        <v>199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0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  <c r="AE33" s="10">
        <f ca="1">AZ36</f>
        <v>520.30000000000007</v>
      </c>
      <c r="AF33" s="3"/>
      <c r="AG33" s="3"/>
      <c r="AH33" s="3"/>
      <c r="AI33" s="10"/>
      <c r="AJ33" s="10"/>
      <c r="AK33" s="3">
        <f t="shared" ref="AK33:AK34" ca="1" si="13">BD33/(SUM($BD33:$BG33))*($BI33-SUM($C33:$AJ33,$AO33:$AY33))</f>
        <v>81.459230769230757</v>
      </c>
      <c r="AL33" s="3">
        <f t="shared" ref="AL33:AL34" ca="1" si="14">BE33/(SUM($BD33:$BG33))*($BI33-SUM($C33:$AJ33,$AO33:$AY33))</f>
        <v>184.64092307692309</v>
      </c>
      <c r="AM33" s="3">
        <f t="shared" ref="AM33:AM34" ca="1" si="15">BF33/(SUM($BD33:$BG33))*($BI33-SUM($C33:$AJ33,$AO33:$AY33))</f>
        <v>114.04292307692307</v>
      </c>
      <c r="AN33" s="10">
        <f t="shared" ref="AN33:AN34" ca="1" si="16">BG33/(SUM($BD33:$BG33))*($BI33-SUM($C33:$AJ33,$AO33:$AY33))</f>
        <v>325.83692307692303</v>
      </c>
      <c r="AO33" s="17"/>
      <c r="AP33" s="3"/>
      <c r="AQ33" s="3"/>
      <c r="AR33" s="3"/>
      <c r="AS33" s="3"/>
      <c r="AT33" s="3"/>
      <c r="AU33" s="3"/>
      <c r="AV33" s="10"/>
      <c r="AW33" s="3"/>
      <c r="AX33" s="10"/>
      <c r="AY33" s="10"/>
      <c r="AZ33" s="10">
        <f t="shared" ca="1" si="1"/>
        <v>1226.28</v>
      </c>
      <c r="BC33" t="s">
        <v>66</v>
      </c>
      <c r="BD33">
        <f t="shared" ca="1" si="10"/>
        <v>0.15</v>
      </c>
      <c r="BE33">
        <f t="shared" ca="1" si="6"/>
        <v>0.34</v>
      </c>
      <c r="BF33">
        <f t="shared" ca="1" si="6"/>
        <v>0.21</v>
      </c>
      <c r="BG33">
        <f t="shared" ca="1" si="6"/>
        <v>0.6</v>
      </c>
      <c r="BI33">
        <f ca="1"/>
        <v>1226.28</v>
      </c>
    </row>
    <row r="34" spans="1:75" x14ac:dyDescent="0.75">
      <c r="A34" s="3">
        <f ca="1"/>
        <v>0</v>
      </c>
      <c r="B34" s="8" t="s">
        <v>200</v>
      </c>
      <c r="C34" s="3">
        <f ca="1">RANDBETWEEN(1,10)</f>
        <v>4</v>
      </c>
      <c r="D34" s="3">
        <f t="shared" ref="D34:P35" ca="1" si="17">RANDBETWEEN(1,10)</f>
        <v>3</v>
      </c>
      <c r="E34" s="3">
        <f t="shared" ca="1" si="17"/>
        <v>3</v>
      </c>
      <c r="F34" s="3">
        <f t="shared" ca="1" si="17"/>
        <v>7</v>
      </c>
      <c r="G34" s="3">
        <f t="shared" ca="1" si="17"/>
        <v>3</v>
      </c>
      <c r="H34" s="3">
        <f t="shared" ca="1" si="17"/>
        <v>8</v>
      </c>
      <c r="I34" s="3">
        <f t="shared" ca="1" si="17"/>
        <v>3</v>
      </c>
      <c r="J34" s="3">
        <f t="shared" ca="1" si="17"/>
        <v>8</v>
      </c>
      <c r="K34" s="3">
        <f t="shared" ca="1" si="17"/>
        <v>1</v>
      </c>
      <c r="L34" s="3"/>
      <c r="M34" s="3">
        <f t="shared" ca="1" si="17"/>
        <v>5</v>
      </c>
      <c r="N34" s="3">
        <f t="shared" ca="1" si="17"/>
        <v>6</v>
      </c>
      <c r="O34" s="3">
        <f t="shared" ca="1" si="17"/>
        <v>5</v>
      </c>
      <c r="P34" s="10">
        <f t="shared" ca="1" si="17"/>
        <v>9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  <c r="AE34" s="10"/>
      <c r="AF34" s="3"/>
      <c r="AG34" s="3"/>
      <c r="AH34" s="3"/>
      <c r="AI34" s="10"/>
      <c r="AJ34" s="10"/>
      <c r="AK34" s="3">
        <f t="shared" ca="1" si="13"/>
        <v>150.72935672514623</v>
      </c>
      <c r="AL34" s="3">
        <f t="shared" ca="1" si="14"/>
        <v>159.59578947368422</v>
      </c>
      <c r="AM34" s="3">
        <f t="shared" ca="1" si="15"/>
        <v>323.62479532163741</v>
      </c>
      <c r="AN34" s="10">
        <f t="shared" ca="1" si="16"/>
        <v>124.13005847953218</v>
      </c>
      <c r="AO34" s="17"/>
      <c r="AP34" s="3"/>
      <c r="AQ34" s="3"/>
      <c r="AR34" s="3"/>
      <c r="AS34" s="3"/>
      <c r="AT34" s="3"/>
      <c r="AU34" s="3"/>
      <c r="AV34" s="10"/>
      <c r="AW34" s="3"/>
      <c r="AX34" s="10"/>
      <c r="AY34" s="10">
        <f t="shared" ca="1" si="9"/>
        <v>1</v>
      </c>
      <c r="AZ34" s="10">
        <f t="shared" ca="1" si="1"/>
        <v>824.08</v>
      </c>
      <c r="BC34" t="s">
        <v>67</v>
      </c>
      <c r="BD34">
        <f t="shared" ca="1" si="10"/>
        <v>0.34</v>
      </c>
      <c r="BE34">
        <f t="shared" ca="1" si="6"/>
        <v>0.36</v>
      </c>
      <c r="BF34">
        <f t="shared" ca="1" si="6"/>
        <v>0.73</v>
      </c>
      <c r="BG34">
        <f t="shared" ca="1" si="6"/>
        <v>0.28000000000000003</v>
      </c>
      <c r="BI34">
        <f ca="1"/>
        <v>824.08</v>
      </c>
    </row>
    <row r="35" spans="1:75" x14ac:dyDescent="0.75">
      <c r="A35" s="3">
        <f ca="1"/>
        <v>0</v>
      </c>
      <c r="B35" s="9" t="s">
        <v>201</v>
      </c>
      <c r="C35" s="11">
        <f ca="1">RANDBETWEEN(1,10)</f>
        <v>8</v>
      </c>
      <c r="D35" s="11">
        <f t="shared" ca="1" si="17"/>
        <v>1</v>
      </c>
      <c r="E35" s="11">
        <f t="shared" ca="1" si="17"/>
        <v>6</v>
      </c>
      <c r="F35" s="11">
        <f t="shared" ca="1" si="17"/>
        <v>3</v>
      </c>
      <c r="G35" s="11">
        <f t="shared" ca="1" si="17"/>
        <v>1</v>
      </c>
      <c r="H35" s="11">
        <f t="shared" ca="1" si="17"/>
        <v>10</v>
      </c>
      <c r="I35" s="11">
        <f t="shared" ca="1" si="17"/>
        <v>3</v>
      </c>
      <c r="J35" s="11">
        <f t="shared" ca="1" si="17"/>
        <v>1</v>
      </c>
      <c r="K35" s="11">
        <f t="shared" ca="1" si="17"/>
        <v>10</v>
      </c>
      <c r="L35" s="11"/>
      <c r="M35" s="11">
        <f t="shared" ca="1" si="17"/>
        <v>5</v>
      </c>
      <c r="N35" s="11">
        <f t="shared" ca="1" si="17"/>
        <v>2</v>
      </c>
      <c r="O35" s="11">
        <f t="shared" ca="1" si="17"/>
        <v>1</v>
      </c>
      <c r="P35" s="12">
        <f t="shared" ca="1" si="17"/>
        <v>2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2"/>
      <c r="AE35" s="12"/>
      <c r="AF35" s="11"/>
      <c r="AG35" s="11"/>
      <c r="AH35" s="11"/>
      <c r="AI35" s="12"/>
      <c r="AJ35" s="12"/>
      <c r="AK35" s="11"/>
      <c r="AL35" s="11"/>
      <c r="AM35" s="11"/>
      <c r="AN35" s="12"/>
      <c r="AO35" s="18">
        <f ca="1">1*(AD57-SUM(C35:AN35,AP35:AY35))</f>
        <v>563.71</v>
      </c>
      <c r="AP35" s="11"/>
      <c r="AQ35" s="11"/>
      <c r="AR35" s="11"/>
      <c r="AS35" s="11"/>
      <c r="AT35" s="11"/>
      <c r="AU35" s="11"/>
      <c r="AV35" s="12"/>
      <c r="AW35" s="11"/>
      <c r="AX35" s="12"/>
      <c r="AY35" s="12"/>
      <c r="AZ35" s="12">
        <f t="shared" ca="1" si="1"/>
        <v>616.71</v>
      </c>
      <c r="BC35" t="s">
        <v>68</v>
      </c>
      <c r="BD35">
        <f t="shared" ca="1" si="10"/>
        <v>0.14000000000000001</v>
      </c>
      <c r="BE35">
        <f t="shared" ca="1" si="6"/>
        <v>0.17</v>
      </c>
      <c r="BF35">
        <f t="shared" ca="1" si="6"/>
        <v>0.05</v>
      </c>
      <c r="BG35">
        <f t="shared" ca="1" si="6"/>
        <v>0.76</v>
      </c>
      <c r="BI35">
        <f ca="1"/>
        <v>616.71</v>
      </c>
    </row>
    <row r="36" spans="1:75" x14ac:dyDescent="0.75">
      <c r="A36" s="3">
        <f ca="1"/>
        <v>0</v>
      </c>
      <c r="B36" s="9" t="s">
        <v>69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  <c r="Q36" s="11">
        <f ca="1">RANDBETWEEN(0,20)/100*SUM(Q8:Q21,Q56)</f>
        <v>9.4499999999999993</v>
      </c>
      <c r="R36" s="11">
        <f t="shared" ref="R36:Z36" ca="1" si="18">RANDBETWEEN(0,20)/100*SUM(R8:R21,R56)</f>
        <v>92.800000000000011</v>
      </c>
      <c r="S36" s="11">
        <f t="shared" ca="1" si="18"/>
        <v>81.760000000000005</v>
      </c>
      <c r="T36" s="11">
        <f t="shared" ca="1" si="18"/>
        <v>2.7800000000000002</v>
      </c>
      <c r="U36" s="11">
        <f t="shared" ca="1" si="18"/>
        <v>46.09</v>
      </c>
      <c r="V36" s="11">
        <f t="shared" ca="1" si="18"/>
        <v>121.94000000000001</v>
      </c>
      <c r="W36" s="11">
        <f t="shared" ca="1" si="18"/>
        <v>18.45</v>
      </c>
      <c r="X36" s="11">
        <f t="shared" ca="1" si="18"/>
        <v>66</v>
      </c>
      <c r="Y36" s="11">
        <f t="shared" ca="1" si="18"/>
        <v>26.55</v>
      </c>
      <c r="Z36" s="11">
        <f t="shared" ca="1" si="18"/>
        <v>54.480000000000004</v>
      </c>
      <c r="AA36" s="11"/>
      <c r="AB36" s="11"/>
      <c r="AC36" s="11"/>
      <c r="AD36" s="12"/>
      <c r="AE36" s="12"/>
      <c r="AF36" s="11"/>
      <c r="AG36" s="11"/>
      <c r="AH36" s="11"/>
      <c r="AI36" s="12"/>
      <c r="AJ36" s="12"/>
      <c r="AK36" s="11"/>
      <c r="AL36" s="11"/>
      <c r="AM36" s="11"/>
      <c r="AN36" s="12"/>
      <c r="AO36" s="18"/>
      <c r="AP36" s="11"/>
      <c r="AQ36" s="11"/>
      <c r="AR36" s="11"/>
      <c r="AS36" s="11"/>
      <c r="AT36" s="11"/>
      <c r="AU36" s="11"/>
      <c r="AV36" s="12"/>
      <c r="AW36" s="11"/>
      <c r="AX36" s="12"/>
      <c r="AY36" s="12"/>
      <c r="AZ36" s="12">
        <f t="shared" ca="1" si="1"/>
        <v>520.30000000000007</v>
      </c>
    </row>
    <row r="37" spans="1:75" x14ac:dyDescent="0.75">
      <c r="A37" s="3">
        <f ca="1"/>
        <v>0</v>
      </c>
      <c r="B37" s="8" t="s">
        <v>202</v>
      </c>
      <c r="C37" s="3">
        <f ca="1">RANDBETWEEN(0,150)</f>
        <v>18</v>
      </c>
      <c r="D37" s="3">
        <f t="shared" ref="D37:F40" ca="1" si="19">RANDBETWEEN(0,150)</f>
        <v>55</v>
      </c>
      <c r="E37" s="3">
        <f t="shared" ca="1" si="19"/>
        <v>104</v>
      </c>
      <c r="F37" s="3">
        <f t="shared" ca="1" si="19"/>
        <v>57</v>
      </c>
      <c r="G37" s="3">
        <f ca="1">RANDBETWEEN(0,250)</f>
        <v>90</v>
      </c>
      <c r="H37" s="3">
        <f ca="1">RANDBETWEEN(0,350)</f>
        <v>109</v>
      </c>
      <c r="I37" s="3">
        <f t="shared" ref="I37:P38" ca="1" si="20">RANDBETWEEN(0,350)</f>
        <v>198</v>
      </c>
      <c r="J37" s="3">
        <f t="shared" ca="1" si="20"/>
        <v>37</v>
      </c>
      <c r="K37" s="3">
        <f t="shared" ca="1" si="20"/>
        <v>350</v>
      </c>
      <c r="L37" s="3">
        <f t="shared" ca="1" si="20"/>
        <v>316</v>
      </c>
      <c r="M37" s="3">
        <f t="shared" ca="1" si="20"/>
        <v>28</v>
      </c>
      <c r="N37" s="3">
        <f t="shared" ca="1" si="20"/>
        <v>208</v>
      </c>
      <c r="O37" s="3">
        <f t="shared" ca="1" si="20"/>
        <v>102</v>
      </c>
      <c r="P37" s="10">
        <f t="shared" ca="1" si="20"/>
        <v>194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  <c r="AE37" s="10"/>
      <c r="AF37" s="3"/>
      <c r="AG37" s="3"/>
      <c r="AH37" s="3"/>
      <c r="AI37" s="10"/>
      <c r="AJ37" s="10"/>
      <c r="AK37" s="3"/>
      <c r="AL37" s="3"/>
      <c r="AM37" s="3"/>
      <c r="AN37" s="10"/>
      <c r="AO37" s="17"/>
      <c r="AP37" s="3"/>
      <c r="AQ37" s="3"/>
      <c r="AR37" s="3"/>
      <c r="AS37" s="3"/>
      <c r="AT37" s="3"/>
      <c r="AU37" s="3"/>
      <c r="AV37" s="10"/>
      <c r="AW37" s="3"/>
      <c r="AX37" s="10"/>
      <c r="AY37" s="10">
        <f ca="1">RANDBETWEEN(0,15)/100*SUM(C37:P37)</f>
        <v>149.28</v>
      </c>
      <c r="AZ37" s="10">
        <f t="shared" ca="1" si="1"/>
        <v>2015.28</v>
      </c>
    </row>
    <row r="38" spans="1:75" x14ac:dyDescent="0.75">
      <c r="A38" s="3">
        <f ca="1"/>
        <v>0</v>
      </c>
      <c r="B38" s="8" t="s">
        <v>203</v>
      </c>
      <c r="C38" s="3">
        <f t="shared" ref="C38:C40" ca="1" si="21">RANDBETWEEN(0,150)</f>
        <v>64</v>
      </c>
      <c r="D38" s="3">
        <f t="shared" ca="1" si="19"/>
        <v>107</v>
      </c>
      <c r="E38" s="3">
        <f t="shared" ca="1" si="19"/>
        <v>109</v>
      </c>
      <c r="F38" s="3">
        <f t="shared" ca="1" si="19"/>
        <v>134</v>
      </c>
      <c r="G38" s="3">
        <f t="shared" ref="G38" ca="1" si="22">RANDBETWEEN(0,250)</f>
        <v>10</v>
      </c>
      <c r="H38" s="3">
        <f t="shared" ref="H38" ca="1" si="23">RANDBETWEEN(0,350)</f>
        <v>314</v>
      </c>
      <c r="I38" s="3">
        <f t="shared" ca="1" si="20"/>
        <v>229</v>
      </c>
      <c r="J38" s="3">
        <f t="shared" ca="1" si="20"/>
        <v>232</v>
      </c>
      <c r="K38" s="3">
        <f t="shared" ca="1" si="20"/>
        <v>346</v>
      </c>
      <c r="L38" s="3">
        <f t="shared" ca="1" si="20"/>
        <v>315</v>
      </c>
      <c r="M38" s="3">
        <f t="shared" ca="1" si="20"/>
        <v>234</v>
      </c>
      <c r="N38" s="3">
        <f t="shared" ca="1" si="20"/>
        <v>321</v>
      </c>
      <c r="O38" s="3">
        <f t="shared" ca="1" si="20"/>
        <v>287</v>
      </c>
      <c r="P38" s="10">
        <f t="shared" ca="1" si="20"/>
        <v>36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  <c r="AE38" s="10"/>
      <c r="AF38" s="3"/>
      <c r="AG38" s="3"/>
      <c r="AH38" s="3"/>
      <c r="AI38" s="10"/>
      <c r="AJ38" s="10"/>
      <c r="AK38" s="3"/>
      <c r="AL38" s="3"/>
      <c r="AM38" s="3"/>
      <c r="AN38" s="10"/>
      <c r="AO38" s="17"/>
      <c r="AP38" s="3"/>
      <c r="AQ38" s="3"/>
      <c r="AR38" s="3"/>
      <c r="AS38" s="3"/>
      <c r="AT38" s="3"/>
      <c r="AU38" s="3"/>
      <c r="AV38" s="10"/>
      <c r="AW38" s="3"/>
      <c r="AX38" s="10"/>
      <c r="AY38" s="10">
        <f ca="1">RANDBETWEEN(0,15)/100*SUM(C38:P38)</f>
        <v>219.04</v>
      </c>
      <c r="AZ38" s="10">
        <f t="shared" ca="1" si="1"/>
        <v>2957.04</v>
      </c>
    </row>
    <row r="39" spans="1:75" x14ac:dyDescent="0.75">
      <c r="A39" s="3">
        <f ca="1"/>
        <v>0</v>
      </c>
      <c r="B39" s="8" t="s">
        <v>17</v>
      </c>
      <c r="C39" s="3">
        <f t="shared" ca="1" si="21"/>
        <v>82</v>
      </c>
      <c r="D39" s="3">
        <f t="shared" ca="1" si="19"/>
        <v>122</v>
      </c>
      <c r="E39" s="3">
        <f t="shared" ca="1" si="19"/>
        <v>141</v>
      </c>
      <c r="F39" s="3">
        <f t="shared" ca="1" si="19"/>
        <v>63</v>
      </c>
      <c r="G39" s="3"/>
      <c r="H39" s="3"/>
      <c r="I39" s="3"/>
      <c r="J39" s="3"/>
      <c r="K39" s="3"/>
      <c r="L39" s="3"/>
      <c r="M39" s="3"/>
      <c r="N39" s="3">
        <f t="shared" ref="N39" ca="1" si="24">RANDBETWEEN(0,100)</f>
        <v>43</v>
      </c>
      <c r="O39" s="3"/>
      <c r="P39" s="10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  <c r="AE39" s="10"/>
      <c r="AF39" s="3"/>
      <c r="AG39" s="3"/>
      <c r="AH39" s="3"/>
      <c r="AI39" s="10"/>
      <c r="AJ39" s="10"/>
      <c r="AK39" s="3"/>
      <c r="AL39" s="3"/>
      <c r="AM39" s="3"/>
      <c r="AN39" s="10"/>
      <c r="AO39" s="17"/>
      <c r="AP39" s="3"/>
      <c r="AQ39" s="3"/>
      <c r="AR39" s="3"/>
      <c r="AS39" s="3"/>
      <c r="AT39" s="3"/>
      <c r="AU39" s="3"/>
      <c r="AV39" s="10"/>
      <c r="AW39" s="3"/>
      <c r="AX39" s="10"/>
      <c r="AY39" s="10">
        <f t="shared" ref="AY39:AY40" ca="1" si="25">RANDBETWEEN(0,15)/100*SUM(C39:P39)</f>
        <v>58.63</v>
      </c>
      <c r="AZ39" s="10">
        <f t="shared" ca="1" si="1"/>
        <v>509.63</v>
      </c>
      <c r="BD39" t="s">
        <v>151</v>
      </c>
      <c r="BE39" t="s">
        <v>151</v>
      </c>
      <c r="BF39" t="s">
        <v>151</v>
      </c>
      <c r="BG39" t="s">
        <v>151</v>
      </c>
    </row>
    <row r="40" spans="1:75" x14ac:dyDescent="0.75">
      <c r="A40" s="3">
        <f ca="1"/>
        <v>0</v>
      </c>
      <c r="B40" s="9" t="s">
        <v>209</v>
      </c>
      <c r="C40" s="11">
        <f t="shared" ca="1" si="21"/>
        <v>75</v>
      </c>
      <c r="D40" s="11">
        <f t="shared" ca="1" si="19"/>
        <v>120</v>
      </c>
      <c r="E40" s="11">
        <f t="shared" ca="1" si="19"/>
        <v>94</v>
      </c>
      <c r="F40" s="11">
        <f t="shared" ca="1" si="19"/>
        <v>3</v>
      </c>
      <c r="G40" s="11">
        <f t="shared" ref="G40" ca="1" si="26">RANDBETWEEN(0,250)</f>
        <v>195</v>
      </c>
      <c r="H40" s="11">
        <f t="shared" ref="H40:P40" ca="1" si="27">RANDBETWEEN(0,350)</f>
        <v>318</v>
      </c>
      <c r="I40" s="11">
        <f t="shared" ca="1" si="27"/>
        <v>86</v>
      </c>
      <c r="J40" s="11">
        <f t="shared" ca="1" si="27"/>
        <v>185</v>
      </c>
      <c r="K40" s="11">
        <f t="shared" ca="1" si="27"/>
        <v>115</v>
      </c>
      <c r="L40" s="11">
        <f t="shared" ca="1" si="27"/>
        <v>37</v>
      </c>
      <c r="M40" s="11">
        <f t="shared" ca="1" si="27"/>
        <v>345</v>
      </c>
      <c r="N40" s="11">
        <f t="shared" ca="1" si="27"/>
        <v>297</v>
      </c>
      <c r="O40" s="11">
        <f t="shared" ca="1" si="27"/>
        <v>104</v>
      </c>
      <c r="P40" s="12">
        <f t="shared" ca="1" si="27"/>
        <v>258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2"/>
      <c r="AE40" s="12"/>
      <c r="AF40" s="11"/>
      <c r="AG40" s="11"/>
      <c r="AH40" s="11"/>
      <c r="AI40" s="12"/>
      <c r="AJ40" s="12"/>
      <c r="AK40" s="11"/>
      <c r="AL40" s="11"/>
      <c r="AM40" s="11"/>
      <c r="AN40" s="12"/>
      <c r="AO40" s="18"/>
      <c r="AP40" s="11"/>
      <c r="AQ40" s="11"/>
      <c r="AR40" s="11"/>
      <c r="AS40" s="11"/>
      <c r="AT40" s="11"/>
      <c r="AU40" s="11"/>
      <c r="AV40" s="12"/>
      <c r="AW40" s="11"/>
      <c r="AX40" s="12"/>
      <c r="AY40" s="12">
        <f t="shared" ca="1" si="25"/>
        <v>223.20000000000002</v>
      </c>
      <c r="AZ40" s="12">
        <f t="shared" ca="1" si="1"/>
        <v>2455.1999999999998</v>
      </c>
      <c r="BD40" t="s">
        <v>73</v>
      </c>
      <c r="BE40" t="s">
        <v>74</v>
      </c>
      <c r="BF40" t="s">
        <v>17</v>
      </c>
      <c r="BG40" t="s">
        <v>19</v>
      </c>
      <c r="BH40" t="s">
        <v>75</v>
      </c>
      <c r="BI40" t="s">
        <v>76</v>
      </c>
      <c r="BJ40" t="s">
        <v>77</v>
      </c>
      <c r="BK40" t="s">
        <v>78</v>
      </c>
      <c r="BL40" t="s">
        <v>79</v>
      </c>
      <c r="BM40" t="s">
        <v>80</v>
      </c>
      <c r="BN40" t="s">
        <v>162</v>
      </c>
      <c r="BO40" t="s">
        <v>81</v>
      </c>
      <c r="BP40" t="s">
        <v>161</v>
      </c>
      <c r="BQ40" t="s">
        <v>160</v>
      </c>
      <c r="BR40" t="s">
        <v>82</v>
      </c>
      <c r="BS40" t="s">
        <v>83</v>
      </c>
      <c r="BT40" t="s">
        <v>163</v>
      </c>
      <c r="BU40" t="s">
        <v>84</v>
      </c>
      <c r="BV40" t="s">
        <v>85</v>
      </c>
      <c r="BW40" t="s">
        <v>86</v>
      </c>
    </row>
    <row r="41" spans="1:75" x14ac:dyDescent="0.75">
      <c r="A41" s="3">
        <f ca="1"/>
        <v>0</v>
      </c>
      <c r="B41" s="9" t="s">
        <v>75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2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2"/>
      <c r="AE41" s="12"/>
      <c r="AF41" s="11">
        <f ca="1">BD41/SUM(BD$41:BD$56)*$AZ$37</f>
        <v>0</v>
      </c>
      <c r="AG41" s="11">
        <f ca="1">BE41/SUM(BE$41:BE$56)*AZ$38</f>
        <v>0</v>
      </c>
      <c r="AH41" s="11">
        <f ca="1">BF41/SUM(BF$41:BF$56)*$AZ$39</f>
        <v>0</v>
      </c>
      <c r="AI41" s="12">
        <f ca="1">BG41/SUM(BG$41:BG$56)*$AZ$40</f>
        <v>2188.3304347826083</v>
      </c>
      <c r="AJ41" s="12"/>
      <c r="AK41" s="11">
        <f ca="1">BI41/SUM(BI$41:BI$56)*AK$60</f>
        <v>-50.418822148698517</v>
      </c>
      <c r="AL41" s="11">
        <f t="shared" ref="AL41:AN41" ca="1" si="28">BJ41/SUM(BJ$41:BJ$56)*AL$60</f>
        <v>-66.903688716406094</v>
      </c>
      <c r="AM41" s="11">
        <f t="shared" ca="1" si="28"/>
        <v>5.2526411182628934</v>
      </c>
      <c r="AN41" s="12">
        <f t="shared" ca="1" si="28"/>
        <v>274.76306772659041</v>
      </c>
      <c r="AO41" s="18">
        <f ca="1">RANDBETWEEN(0,80)</f>
        <v>20</v>
      </c>
      <c r="AP41" s="11"/>
      <c r="AQ41" s="11"/>
      <c r="AR41" s="11"/>
      <c r="AS41" s="11"/>
      <c r="AT41" s="11"/>
      <c r="AU41" s="11"/>
      <c r="AV41" s="12"/>
      <c r="AW41" s="11"/>
      <c r="AX41" s="12"/>
      <c r="AY41" s="12">
        <f ca="1">RANDBETWEEN(0,20)</f>
        <v>15</v>
      </c>
      <c r="AZ41" s="12">
        <f t="shared" ca="1" si="1"/>
        <v>2386.023632762357</v>
      </c>
      <c r="BC41" t="s">
        <v>75</v>
      </c>
      <c r="BG41">
        <f t="shared" ref="BG41:BS45" ca="1" si="29">RANDBETWEEN(0,100)</f>
        <v>82</v>
      </c>
      <c r="BI41">
        <f ca="1">RANDBETWEEN(0,10)</f>
        <v>9</v>
      </c>
      <c r="BJ41">
        <f t="shared" ref="BJ41:BL41" ca="1" si="30">RANDBETWEEN(0,10)</f>
        <v>10</v>
      </c>
      <c r="BK41">
        <f t="shared" ca="1" si="30"/>
        <v>1</v>
      </c>
      <c r="BL41">
        <f t="shared" ca="1" si="30"/>
        <v>9</v>
      </c>
      <c r="BM41">
        <f t="shared" ca="1" si="29"/>
        <v>44</v>
      </c>
      <c r="BN41">
        <f t="shared" ca="1" si="29"/>
        <v>36</v>
      </c>
      <c r="BO41">
        <f t="shared" ca="1" si="29"/>
        <v>6</v>
      </c>
      <c r="BP41">
        <f t="shared" ca="1" si="29"/>
        <v>98</v>
      </c>
      <c r="BQ41">
        <f t="shared" ca="1" si="29"/>
        <v>96</v>
      </c>
      <c r="BR41">
        <f t="shared" ca="1" si="29"/>
        <v>92</v>
      </c>
      <c r="BS41">
        <f t="shared" ca="1" si="29"/>
        <v>72</v>
      </c>
      <c r="BT41">
        <f t="shared" ref="BD41:BW54" ca="1" si="31">RANDBETWEEN(0,100)</f>
        <v>14</v>
      </c>
      <c r="BU41">
        <f t="shared" ca="1" si="31"/>
        <v>26</v>
      </c>
      <c r="BV41">
        <f t="shared" ca="1" si="31"/>
        <v>11</v>
      </c>
      <c r="BW41">
        <f t="shared" ca="1" si="31"/>
        <v>5</v>
      </c>
    </row>
    <row r="42" spans="1:75" x14ac:dyDescent="0.75">
      <c r="A42" s="3">
        <f ca="1"/>
        <v>0</v>
      </c>
      <c r="B42" s="8" t="s">
        <v>204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10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0"/>
      <c r="AE42" s="10"/>
      <c r="AF42" s="3">
        <f t="shared" ref="AF42:AF56" ca="1" si="32">BD42/SUM(BD$41:BD$56)*$AZ$37</f>
        <v>542.26409638554219</v>
      </c>
      <c r="AG42" s="3">
        <f t="shared" ref="AG42:AG56" ca="1" si="33">BE42/SUM(BE$41:BE$56)*AZ$38</f>
        <v>591.40800000000002</v>
      </c>
      <c r="AH42" s="3">
        <f t="shared" ref="AH42:AH56" ca="1" si="34">BF42/SUM(BF$41:BF$56)*$AZ$39</f>
        <v>174.23247863247863</v>
      </c>
      <c r="AI42" s="10">
        <f t="shared" ref="AI42:AJ56" ca="1" si="35">BG42/SUM(BG$41:BG$56)*$AZ$40</f>
        <v>0</v>
      </c>
      <c r="AJ42" s="10">
        <f t="shared" ca="1" si="35"/>
        <v>80.235294117647058</v>
      </c>
      <c r="AK42" s="3"/>
      <c r="AL42" s="3"/>
      <c r="AM42" s="3"/>
      <c r="AN42" s="10"/>
      <c r="AO42" s="17">
        <f ca="1">RANDBETWEEN(0,80)</f>
        <v>71</v>
      </c>
      <c r="AP42" s="3"/>
      <c r="AQ42" s="3"/>
      <c r="AR42" s="3"/>
      <c r="AS42" s="3"/>
      <c r="AT42" s="3"/>
      <c r="AU42" s="3"/>
      <c r="AV42" s="10"/>
      <c r="AW42" s="3"/>
      <c r="AX42" s="10"/>
      <c r="AY42" s="10">
        <f ca="1">RANDBETWEEN(0,20)</f>
        <v>14</v>
      </c>
      <c r="AZ42" s="10">
        <f t="shared" ca="1" si="1"/>
        <v>1473.1398691356681</v>
      </c>
      <c r="BC42" t="s">
        <v>76</v>
      </c>
      <c r="BD42">
        <f t="shared" ca="1" si="31"/>
        <v>67</v>
      </c>
      <c r="BE42">
        <f t="shared" ca="1" si="31"/>
        <v>49</v>
      </c>
      <c r="BF42">
        <f t="shared" ca="1" si="31"/>
        <v>80</v>
      </c>
      <c r="BH42">
        <f t="shared" ca="1" si="29"/>
        <v>5</v>
      </c>
      <c r="BM42">
        <f t="shared" ca="1" si="31"/>
        <v>41</v>
      </c>
      <c r="BN42">
        <f t="shared" ca="1" si="31"/>
        <v>8</v>
      </c>
      <c r="BO42">
        <f t="shared" ca="1" si="31"/>
        <v>72</v>
      </c>
      <c r="BP42">
        <f t="shared" ca="1" si="31"/>
        <v>46</v>
      </c>
      <c r="BQ42">
        <f t="shared" ca="1" si="31"/>
        <v>79</v>
      </c>
      <c r="BR42">
        <f t="shared" ca="1" si="31"/>
        <v>11</v>
      </c>
      <c r="BS42">
        <f t="shared" ca="1" si="31"/>
        <v>22</v>
      </c>
      <c r="BT42">
        <f t="shared" ca="1" si="31"/>
        <v>7</v>
      </c>
      <c r="BU42">
        <f t="shared" ca="1" si="31"/>
        <v>72</v>
      </c>
      <c r="BV42">
        <f t="shared" ca="1" si="31"/>
        <v>30</v>
      </c>
      <c r="BW42">
        <f t="shared" ca="1" si="31"/>
        <v>73</v>
      </c>
    </row>
    <row r="43" spans="1:75" x14ac:dyDescent="0.75">
      <c r="A43" s="3">
        <f ca="1"/>
        <v>0</v>
      </c>
      <c r="B43" s="8" t="s">
        <v>205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10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/>
      <c r="AE43" s="10"/>
      <c r="AF43" s="3">
        <f t="shared" ca="1" si="32"/>
        <v>250.89831325301202</v>
      </c>
      <c r="AG43" s="3">
        <f t="shared" ca="1" si="33"/>
        <v>1050.0509387755101</v>
      </c>
      <c r="AH43" s="3">
        <f t="shared" ca="1" si="34"/>
        <v>87.116239316239316</v>
      </c>
      <c r="AI43" s="10">
        <f t="shared" ca="1" si="35"/>
        <v>0</v>
      </c>
      <c r="AJ43" s="10">
        <f t="shared" ca="1" si="35"/>
        <v>160.47058823529412</v>
      </c>
      <c r="AK43" s="3"/>
      <c r="AL43" s="3"/>
      <c r="AM43" s="3"/>
      <c r="AN43" s="10"/>
      <c r="AO43" s="17">
        <f t="shared" ref="AO43:AO45" ca="1" si="36">RANDBETWEEN(0,80)</f>
        <v>77</v>
      </c>
      <c r="AP43" s="3"/>
      <c r="AQ43" s="3"/>
      <c r="AR43" s="3"/>
      <c r="AS43" s="3"/>
      <c r="AT43" s="3"/>
      <c r="AU43" s="3"/>
      <c r="AV43" s="10"/>
      <c r="AW43" s="3"/>
      <c r="AX43" s="10"/>
      <c r="AY43" s="10">
        <f t="shared" ref="AY43:AY45" ca="1" si="37">RANDBETWEEN(0,20)</f>
        <v>17</v>
      </c>
      <c r="AZ43" s="10">
        <f t="shared" ca="1" si="1"/>
        <v>1642.5360795800555</v>
      </c>
      <c r="BC43" t="s">
        <v>77</v>
      </c>
      <c r="BD43">
        <f t="shared" ca="1" si="31"/>
        <v>31</v>
      </c>
      <c r="BE43">
        <f t="shared" ca="1" si="31"/>
        <v>87</v>
      </c>
      <c r="BF43">
        <f t="shared" ca="1" si="31"/>
        <v>40</v>
      </c>
      <c r="BH43">
        <f t="shared" ca="1" si="29"/>
        <v>10</v>
      </c>
      <c r="BM43">
        <f t="shared" ca="1" si="31"/>
        <v>59</v>
      </c>
      <c r="BN43">
        <f t="shared" ca="1" si="31"/>
        <v>79</v>
      </c>
      <c r="BO43">
        <f t="shared" ca="1" si="31"/>
        <v>89</v>
      </c>
      <c r="BP43">
        <f t="shared" ca="1" si="31"/>
        <v>74</v>
      </c>
      <c r="BQ43">
        <f t="shared" ca="1" si="31"/>
        <v>39</v>
      </c>
      <c r="BR43">
        <f t="shared" ca="1" si="31"/>
        <v>29</v>
      </c>
      <c r="BS43">
        <f t="shared" ca="1" si="31"/>
        <v>97</v>
      </c>
      <c r="BT43">
        <f t="shared" ca="1" si="31"/>
        <v>35</v>
      </c>
      <c r="BU43">
        <f t="shared" ca="1" si="31"/>
        <v>35</v>
      </c>
      <c r="BV43">
        <f t="shared" ca="1" si="31"/>
        <v>26</v>
      </c>
      <c r="BW43">
        <f t="shared" ca="1" si="31"/>
        <v>44</v>
      </c>
    </row>
    <row r="44" spans="1:75" x14ac:dyDescent="0.75">
      <c r="A44" s="3">
        <f ca="1"/>
        <v>0</v>
      </c>
      <c r="B44" s="8" t="s">
        <v>206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0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/>
      <c r="AE44" s="10"/>
      <c r="AF44" s="3">
        <f t="shared" ca="1" si="32"/>
        <v>655.57301204819271</v>
      </c>
      <c r="AG44" s="3">
        <f t="shared" ca="1" si="33"/>
        <v>205.18236734693878</v>
      </c>
      <c r="AH44" s="3">
        <f t="shared" ca="1" si="34"/>
        <v>178.5882905982906</v>
      </c>
      <c r="AI44" s="10">
        <f t="shared" ca="1" si="35"/>
        <v>0</v>
      </c>
      <c r="AJ44" s="10">
        <f t="shared" ca="1" si="35"/>
        <v>577.69411764705876</v>
      </c>
      <c r="AK44" s="3"/>
      <c r="AL44" s="3"/>
      <c r="AM44" s="3"/>
      <c r="AN44" s="10"/>
      <c r="AO44" s="17">
        <f ca="1">RANDBETWEEN(0,80)</f>
        <v>37</v>
      </c>
      <c r="AP44" s="3"/>
      <c r="AQ44" s="3"/>
      <c r="AR44" s="3"/>
      <c r="AS44" s="3"/>
      <c r="AT44" s="3"/>
      <c r="AU44" s="3"/>
      <c r="AV44" s="10"/>
      <c r="AW44" s="3"/>
      <c r="AX44" s="10"/>
      <c r="AY44" s="10">
        <f t="shared" ca="1" si="37"/>
        <v>16</v>
      </c>
      <c r="AZ44" s="10">
        <f t="shared" ca="1" si="1"/>
        <v>1670.0377876404809</v>
      </c>
      <c r="BC44" t="s">
        <v>78</v>
      </c>
      <c r="BD44">
        <f t="shared" ca="1" si="31"/>
        <v>81</v>
      </c>
      <c r="BE44">
        <f t="shared" ca="1" si="31"/>
        <v>17</v>
      </c>
      <c r="BF44">
        <f t="shared" ca="1" si="31"/>
        <v>82</v>
      </c>
      <c r="BH44">
        <f t="shared" ca="1" si="29"/>
        <v>36</v>
      </c>
      <c r="BM44">
        <f t="shared" ca="1" si="31"/>
        <v>38</v>
      </c>
      <c r="BN44">
        <f t="shared" ca="1" si="31"/>
        <v>87</v>
      </c>
      <c r="BO44">
        <f t="shared" ca="1" si="31"/>
        <v>98</v>
      </c>
      <c r="BP44">
        <f t="shared" ca="1" si="31"/>
        <v>84</v>
      </c>
      <c r="BQ44">
        <f t="shared" ca="1" si="31"/>
        <v>77</v>
      </c>
      <c r="BR44">
        <f t="shared" ca="1" si="31"/>
        <v>14</v>
      </c>
      <c r="BS44">
        <f t="shared" ca="1" si="31"/>
        <v>6</v>
      </c>
      <c r="BT44">
        <f t="shared" ca="1" si="31"/>
        <v>35</v>
      </c>
      <c r="BU44">
        <f t="shared" ca="1" si="31"/>
        <v>56</v>
      </c>
      <c r="BV44">
        <f t="shared" ca="1" si="31"/>
        <v>84</v>
      </c>
      <c r="BW44">
        <f t="shared" ca="1" si="31"/>
        <v>72</v>
      </c>
    </row>
    <row r="45" spans="1:75" x14ac:dyDescent="0.75">
      <c r="A45" s="3">
        <f ca="1"/>
        <v>0</v>
      </c>
      <c r="B45" s="9" t="s">
        <v>207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2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2"/>
      <c r="AE45" s="12"/>
      <c r="AF45" s="11">
        <f t="shared" ca="1" si="32"/>
        <v>517.98361445783132</v>
      </c>
      <c r="AG45" s="11">
        <f t="shared" ca="1" si="33"/>
        <v>1013.8422857142857</v>
      </c>
      <c r="AH45" s="11">
        <f t="shared" ca="1" si="34"/>
        <v>37.024401709401715</v>
      </c>
      <c r="AI45" s="12">
        <f t="shared" ca="1" si="35"/>
        <v>0</v>
      </c>
      <c r="AJ45" s="12">
        <f t="shared" ca="1" si="35"/>
        <v>1428.1882352941177</v>
      </c>
      <c r="AK45" s="11"/>
      <c r="AL45" s="11"/>
      <c r="AM45" s="11"/>
      <c r="AN45" s="12"/>
      <c r="AO45" s="18">
        <f t="shared" ca="1" si="36"/>
        <v>25</v>
      </c>
      <c r="AP45" s="11"/>
      <c r="AQ45" s="11"/>
      <c r="AR45" s="11"/>
      <c r="AS45" s="11"/>
      <c r="AT45" s="11"/>
      <c r="AU45" s="11"/>
      <c r="AV45" s="12"/>
      <c r="AW45" s="11"/>
      <c r="AX45" s="12"/>
      <c r="AY45" s="12">
        <f t="shared" ca="1" si="37"/>
        <v>2</v>
      </c>
      <c r="AZ45" s="12">
        <f t="shared" ca="1" si="1"/>
        <v>3024.0385371756365</v>
      </c>
      <c r="BC45" t="s">
        <v>79</v>
      </c>
      <c r="BD45">
        <f t="shared" ca="1" si="31"/>
        <v>64</v>
      </c>
      <c r="BE45">
        <f t="shared" ca="1" si="31"/>
        <v>84</v>
      </c>
      <c r="BF45">
        <f t="shared" ca="1" si="31"/>
        <v>17</v>
      </c>
      <c r="BH45">
        <f t="shared" ca="1" si="29"/>
        <v>89</v>
      </c>
      <c r="BM45">
        <f t="shared" ca="1" si="31"/>
        <v>32</v>
      </c>
      <c r="BN45">
        <f t="shared" ca="1" si="31"/>
        <v>59</v>
      </c>
      <c r="BO45">
        <f t="shared" ca="1" si="31"/>
        <v>75</v>
      </c>
      <c r="BP45">
        <f t="shared" ca="1" si="31"/>
        <v>98</v>
      </c>
      <c r="BQ45">
        <f t="shared" ca="1" si="31"/>
        <v>60</v>
      </c>
      <c r="BR45">
        <f t="shared" ca="1" si="31"/>
        <v>20</v>
      </c>
      <c r="BS45">
        <f t="shared" ca="1" si="31"/>
        <v>66</v>
      </c>
      <c r="BT45">
        <f t="shared" ca="1" si="31"/>
        <v>42</v>
      </c>
      <c r="BU45">
        <f t="shared" ca="1" si="31"/>
        <v>73</v>
      </c>
      <c r="BV45">
        <f t="shared" ca="1" si="31"/>
        <v>45</v>
      </c>
      <c r="BW45">
        <f t="shared" ca="1" si="31"/>
        <v>38</v>
      </c>
    </row>
    <row r="46" spans="1:75" x14ac:dyDescent="0.75">
      <c r="A46" s="3">
        <f ca="1"/>
        <v>0</v>
      </c>
      <c r="B46" s="13" t="s">
        <v>80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5"/>
      <c r="AE46" s="15"/>
      <c r="AF46" s="14">
        <f t="shared" ca="1" si="32"/>
        <v>8.0934939759036144</v>
      </c>
      <c r="AG46" s="14">
        <f t="shared" ca="1" si="33"/>
        <v>24.139102040816329</v>
      </c>
      <c r="AH46" s="14">
        <f t="shared" ca="1" si="34"/>
        <v>8.711623931623933</v>
      </c>
      <c r="AI46" s="15">
        <f t="shared" ca="1" si="35"/>
        <v>133.43478260869563</v>
      </c>
      <c r="AJ46" s="15">
        <f t="shared" ca="1" si="35"/>
        <v>48.141176470588228</v>
      </c>
      <c r="AK46" s="14">
        <f t="shared" ref="AK46:AN46" ca="1" si="38">BI46/SUM(BI$41:BI$56)*AK$60</f>
        <v>-56.020913498553909</v>
      </c>
      <c r="AL46" s="14">
        <f t="shared" ca="1" si="38"/>
        <v>-26.761475486562436</v>
      </c>
      <c r="AM46" s="14">
        <f t="shared" ca="1" si="38"/>
        <v>89.294899010469194</v>
      </c>
      <c r="AN46" s="15">
        <f t="shared" ca="1" si="38"/>
        <v>396.87998671618612</v>
      </c>
      <c r="AO46" s="19">
        <f ca="1">RANDBETWEEN(0,80)</f>
        <v>1</v>
      </c>
      <c r="AP46" s="14">
        <f t="array" aca="1" ref="AP46:AV46" ca="1">TRANSPOSE(AZ47:AZ53)</f>
        <v>37</v>
      </c>
      <c r="AQ46" s="14">
        <f ca="1"/>
        <v>295.88040441008013</v>
      </c>
      <c r="AR46" s="14">
        <f ca="1"/>
        <v>5</v>
      </c>
      <c r="AS46" s="14">
        <f ca="1"/>
        <v>228.71417451856431</v>
      </c>
      <c r="AT46" s="14">
        <f ca="1"/>
        <v>94.320000000000007</v>
      </c>
      <c r="AU46" s="14">
        <f ca="1"/>
        <v>1010.15</v>
      </c>
      <c r="AV46" s="15">
        <f ca="1"/>
        <v>30</v>
      </c>
      <c r="AW46" s="14"/>
      <c r="AX46" s="15"/>
      <c r="AY46" s="15"/>
      <c r="AZ46" s="15">
        <f t="shared" ca="1" si="1"/>
        <v>2327.9772546978111</v>
      </c>
      <c r="BC46" t="s">
        <v>80</v>
      </c>
      <c r="BD46">
        <f ca="1">RANDBETWEEN(0,5)</f>
        <v>1</v>
      </c>
      <c r="BE46">
        <f t="shared" ref="BE46:BG46" ca="1" si="39">RANDBETWEEN(0,5)</f>
        <v>2</v>
      </c>
      <c r="BF46">
        <f t="shared" ca="1" si="39"/>
        <v>4</v>
      </c>
      <c r="BG46">
        <f t="shared" ca="1" si="39"/>
        <v>5</v>
      </c>
      <c r="BH46">
        <f ca="1">RANDBETWEEN(0,10)</f>
        <v>3</v>
      </c>
      <c r="BI46">
        <f ca="1">RANDBETWEEN(0,20)</f>
        <v>10</v>
      </c>
      <c r="BJ46">
        <f t="shared" ref="BJ46:BL46" ca="1" si="40">RANDBETWEEN(0,20)</f>
        <v>4</v>
      </c>
      <c r="BK46">
        <f t="shared" ca="1" si="40"/>
        <v>17</v>
      </c>
      <c r="BL46">
        <f t="shared" ca="1" si="40"/>
        <v>13</v>
      </c>
      <c r="BM46">
        <f t="shared" ca="1" si="31"/>
        <v>49</v>
      </c>
      <c r="BN46">
        <f t="shared" ca="1" si="31"/>
        <v>47</v>
      </c>
      <c r="BO46">
        <f t="shared" ca="1" si="31"/>
        <v>62</v>
      </c>
      <c r="BP46">
        <f t="shared" ca="1" si="31"/>
        <v>29</v>
      </c>
      <c r="BQ46">
        <f t="shared" ca="1" si="31"/>
        <v>74</v>
      </c>
      <c r="BR46">
        <f t="shared" ca="1" si="31"/>
        <v>45</v>
      </c>
      <c r="BS46">
        <f t="shared" ca="1" si="31"/>
        <v>43</v>
      </c>
      <c r="BT46">
        <f t="shared" ca="1" si="31"/>
        <v>15</v>
      </c>
      <c r="BU46">
        <f t="shared" ca="1" si="31"/>
        <v>49</v>
      </c>
      <c r="BV46">
        <f t="shared" ca="1" si="31"/>
        <v>80</v>
      </c>
      <c r="BW46">
        <f t="shared" ca="1" si="31"/>
        <v>84</v>
      </c>
    </row>
    <row r="47" spans="1:75" x14ac:dyDescent="0.75">
      <c r="A47" s="3">
        <f ca="1"/>
        <v>0</v>
      </c>
      <c r="B47" s="8" t="s">
        <v>162</v>
      </c>
      <c r="C47" s="3">
        <f ca="1">RANDBETWEEN(0,10)-2</f>
        <v>-2</v>
      </c>
      <c r="D47" s="3">
        <f t="shared" ref="D47:P47" ca="1" si="41">RANDBETWEEN(0,10)-2</f>
        <v>0</v>
      </c>
      <c r="E47" s="3">
        <f t="shared" ca="1" si="41"/>
        <v>-2</v>
      </c>
      <c r="F47" s="3">
        <f t="shared" ca="1" si="41"/>
        <v>8</v>
      </c>
      <c r="G47" s="3">
        <f t="shared" ca="1" si="41"/>
        <v>4</v>
      </c>
      <c r="H47" s="3">
        <f t="shared" ca="1" si="41"/>
        <v>5</v>
      </c>
      <c r="I47" s="3">
        <f t="shared" ca="1" si="41"/>
        <v>6</v>
      </c>
      <c r="J47" s="3">
        <f t="shared" ca="1" si="41"/>
        <v>1</v>
      </c>
      <c r="K47" s="3">
        <f t="shared" ca="1" si="41"/>
        <v>8</v>
      </c>
      <c r="L47" s="3"/>
      <c r="M47" s="3">
        <f t="shared" ca="1" si="41"/>
        <v>7</v>
      </c>
      <c r="N47" s="3">
        <f t="shared" ca="1" si="41"/>
        <v>-2</v>
      </c>
      <c r="O47" s="3">
        <f t="shared" ca="1" si="41"/>
        <v>5</v>
      </c>
      <c r="P47" s="10">
        <f t="shared" ca="1" si="41"/>
        <v>-1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/>
      <c r="AE47" s="10"/>
      <c r="AF47" s="3">
        <f t="shared" ca="1" si="32"/>
        <v>0</v>
      </c>
      <c r="AG47" s="3">
        <f t="shared" ca="1" si="33"/>
        <v>0</v>
      </c>
      <c r="AH47" s="3">
        <f t="shared" ca="1" si="34"/>
        <v>0</v>
      </c>
      <c r="AI47" s="10">
        <f t="shared" ca="1" si="35"/>
        <v>0</v>
      </c>
      <c r="AJ47" s="10">
        <f t="shared" ca="1" si="35"/>
        <v>0</v>
      </c>
      <c r="AK47" s="3"/>
      <c r="AL47" s="3"/>
      <c r="AM47" s="3"/>
      <c r="AN47" s="10"/>
      <c r="AO47" s="17"/>
      <c r="AP47" s="3"/>
      <c r="AQ47" s="3"/>
      <c r="AR47" s="3"/>
      <c r="AS47" s="3"/>
      <c r="AT47" s="3"/>
      <c r="AU47" s="3"/>
      <c r="AV47" s="10"/>
      <c r="AW47" s="3"/>
      <c r="AX47" s="10"/>
      <c r="AY47" s="10"/>
      <c r="AZ47" s="10">
        <f t="shared" ca="1" si="1"/>
        <v>37</v>
      </c>
      <c r="BC47" t="s">
        <v>162</v>
      </c>
      <c r="BM47">
        <f t="shared" ca="1" si="31"/>
        <v>92</v>
      </c>
      <c r="BN47">
        <f t="shared" ca="1" si="31"/>
        <v>26</v>
      </c>
      <c r="BO47">
        <f t="shared" ca="1" si="31"/>
        <v>6</v>
      </c>
      <c r="BP47">
        <f t="shared" ca="1" si="31"/>
        <v>66</v>
      </c>
      <c r="BQ47">
        <f t="shared" ca="1" si="31"/>
        <v>1</v>
      </c>
      <c r="BR47">
        <f t="shared" ca="1" si="31"/>
        <v>7</v>
      </c>
      <c r="BS47">
        <f t="shared" ca="1" si="31"/>
        <v>6</v>
      </c>
      <c r="BT47">
        <f t="shared" ca="1" si="31"/>
        <v>2</v>
      </c>
      <c r="BU47">
        <f t="shared" ca="1" si="31"/>
        <v>40</v>
      </c>
      <c r="BV47">
        <f t="shared" ca="1" si="31"/>
        <v>17</v>
      </c>
      <c r="BW47">
        <f t="shared" ca="1" si="31"/>
        <v>60</v>
      </c>
    </row>
    <row r="48" spans="1:75" x14ac:dyDescent="0.75">
      <c r="A48" s="3">
        <f ca="1"/>
        <v>0</v>
      </c>
      <c r="B48" s="8" t="s">
        <v>81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0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  <c r="AE48" s="10"/>
      <c r="AF48" s="3">
        <f t="shared" ca="1" si="32"/>
        <v>0</v>
      </c>
      <c r="AG48" s="3">
        <f t="shared" ca="1" si="33"/>
        <v>0</v>
      </c>
      <c r="AH48" s="3">
        <f t="shared" ca="1" si="34"/>
        <v>0</v>
      </c>
      <c r="AI48" s="10">
        <f t="shared" ca="1" si="35"/>
        <v>0</v>
      </c>
      <c r="AJ48" s="10">
        <f t="shared" ca="1" si="35"/>
        <v>48.141176470588228</v>
      </c>
      <c r="AK48" s="3">
        <f t="shared" ref="AK48:AN48" ca="1" si="42">BI48/SUM(BI$41:BI$56)*AK$60</f>
        <v>-28.010456749276955</v>
      </c>
      <c r="AL48" s="3">
        <f t="shared" ca="1" si="42"/>
        <v>0</v>
      </c>
      <c r="AM48" s="3">
        <f t="shared" ca="1" si="42"/>
        <v>31.515846709577364</v>
      </c>
      <c r="AN48" s="10">
        <f t="shared" ca="1" si="42"/>
        <v>244.23383797919146</v>
      </c>
      <c r="AO48" s="17"/>
      <c r="AP48" s="3"/>
      <c r="AQ48" s="3"/>
      <c r="AR48" s="3"/>
      <c r="AS48" s="3"/>
      <c r="AT48" s="3"/>
      <c r="AU48" s="3"/>
      <c r="AV48" s="10"/>
      <c r="AW48" s="3"/>
      <c r="AX48" s="10"/>
      <c r="AY48" s="10"/>
      <c r="AZ48" s="10">
        <f t="shared" ca="1" si="1"/>
        <v>295.88040441008013</v>
      </c>
      <c r="BC48" t="s">
        <v>81</v>
      </c>
      <c r="BH48">
        <f ca="1">RANDBETWEEN(0,10)</f>
        <v>3</v>
      </c>
      <c r="BI48">
        <f ca="1">RANDBETWEEN(0,10)</f>
        <v>5</v>
      </c>
      <c r="BJ48">
        <f t="shared" ref="BJ48:BL48" ca="1" si="43">RANDBETWEEN(0,10)</f>
        <v>0</v>
      </c>
      <c r="BK48">
        <f t="shared" ca="1" si="43"/>
        <v>6</v>
      </c>
      <c r="BL48">
        <f t="shared" ca="1" si="43"/>
        <v>8</v>
      </c>
      <c r="BM48">
        <f t="shared" ca="1" si="31"/>
        <v>10</v>
      </c>
      <c r="BN48">
        <f t="shared" ca="1" si="31"/>
        <v>4</v>
      </c>
      <c r="BO48">
        <f t="shared" ca="1" si="31"/>
        <v>58</v>
      </c>
      <c r="BP48">
        <f t="shared" ca="1" si="31"/>
        <v>89</v>
      </c>
      <c r="BQ48">
        <f t="shared" ca="1" si="31"/>
        <v>89</v>
      </c>
      <c r="BR48">
        <f t="shared" ca="1" si="31"/>
        <v>66</v>
      </c>
      <c r="BS48">
        <f t="shared" ca="1" si="31"/>
        <v>8</v>
      </c>
      <c r="BT48">
        <f t="shared" ca="1" si="31"/>
        <v>6</v>
      </c>
      <c r="BU48">
        <f t="shared" ca="1" si="31"/>
        <v>32</v>
      </c>
      <c r="BV48">
        <f t="shared" ca="1" si="31"/>
        <v>17</v>
      </c>
      <c r="BW48">
        <f t="shared" ca="1" si="31"/>
        <v>72</v>
      </c>
    </row>
    <row r="49" spans="1:75" x14ac:dyDescent="0.75">
      <c r="A49" s="3">
        <f ca="1"/>
        <v>0</v>
      </c>
      <c r="B49" s="8" t="s">
        <v>161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0"/>
      <c r="Q49" s="3"/>
      <c r="R49" s="3"/>
      <c r="S49" s="3"/>
      <c r="T49" s="3">
        <f ca="1">RANDBETWEEN(0,10)</f>
        <v>5</v>
      </c>
      <c r="U49" s="3"/>
      <c r="V49" s="3"/>
      <c r="W49" s="3"/>
      <c r="X49" s="3"/>
      <c r="Y49" s="3"/>
      <c r="Z49" s="3"/>
      <c r="AA49" s="3"/>
      <c r="AB49" s="3"/>
      <c r="AC49" s="3"/>
      <c r="AD49" s="10"/>
      <c r="AE49" s="10"/>
      <c r="AF49" s="3">
        <f t="shared" ca="1" si="32"/>
        <v>0</v>
      </c>
      <c r="AG49" s="3">
        <f t="shared" ca="1" si="33"/>
        <v>0</v>
      </c>
      <c r="AH49" s="3">
        <f t="shared" ca="1" si="34"/>
        <v>0</v>
      </c>
      <c r="AI49" s="10">
        <f t="shared" ca="1" si="35"/>
        <v>0</v>
      </c>
      <c r="AJ49" s="10">
        <f t="shared" ca="1" si="35"/>
        <v>0</v>
      </c>
      <c r="AK49" s="3"/>
      <c r="AL49" s="3"/>
      <c r="AM49" s="3"/>
      <c r="AN49" s="10"/>
      <c r="AO49" s="17"/>
      <c r="AP49" s="3"/>
      <c r="AQ49" s="3"/>
      <c r="AR49" s="3"/>
      <c r="AS49" s="3"/>
      <c r="AT49" s="3"/>
      <c r="AU49" s="3"/>
      <c r="AV49" s="10"/>
      <c r="AW49" s="3"/>
      <c r="AX49" s="10"/>
      <c r="AY49" s="10"/>
      <c r="AZ49" s="10">
        <f t="shared" ca="1" si="1"/>
        <v>5</v>
      </c>
      <c r="BC49" t="s">
        <v>161</v>
      </c>
      <c r="BM49">
        <f t="shared" ca="1" si="31"/>
        <v>8</v>
      </c>
      <c r="BN49">
        <f t="shared" ca="1" si="31"/>
        <v>9</v>
      </c>
      <c r="BO49">
        <f t="shared" ca="1" si="31"/>
        <v>54</v>
      </c>
      <c r="BP49">
        <f t="shared" ca="1" si="31"/>
        <v>95</v>
      </c>
      <c r="BQ49">
        <f t="shared" ca="1" si="31"/>
        <v>47</v>
      </c>
      <c r="BR49">
        <f t="shared" ca="1" si="31"/>
        <v>7</v>
      </c>
      <c r="BS49">
        <f t="shared" ca="1" si="31"/>
        <v>40</v>
      </c>
      <c r="BT49">
        <f t="shared" ca="1" si="31"/>
        <v>25</v>
      </c>
      <c r="BU49">
        <f t="shared" ca="1" si="31"/>
        <v>84</v>
      </c>
      <c r="BV49">
        <f t="shared" ca="1" si="31"/>
        <v>56</v>
      </c>
      <c r="BW49">
        <f t="shared" ca="1" si="31"/>
        <v>77</v>
      </c>
    </row>
    <row r="50" spans="1:75" x14ac:dyDescent="0.75">
      <c r="A50" s="3">
        <f ca="1"/>
        <v>0</v>
      </c>
      <c r="B50" s="8" t="s">
        <v>160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0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  <c r="AE50" s="10"/>
      <c r="AF50" s="3">
        <f t="shared" ca="1" si="32"/>
        <v>40.46746987951807</v>
      </c>
      <c r="AG50" s="3">
        <f t="shared" ca="1" si="33"/>
        <v>48.278204081632659</v>
      </c>
      <c r="AH50" s="3">
        <f t="shared" ca="1" si="34"/>
        <v>6.5337179487179489</v>
      </c>
      <c r="AI50" s="10">
        <f t="shared" ca="1" si="35"/>
        <v>133.43478260869563</v>
      </c>
      <c r="AJ50" s="10">
        <f t="shared" ca="1" si="35"/>
        <v>0</v>
      </c>
      <c r="AK50" s="3"/>
      <c r="AL50" s="3"/>
      <c r="AM50" s="3"/>
      <c r="AN50" s="10"/>
      <c r="AO50" s="17"/>
      <c r="AP50" s="3"/>
      <c r="AQ50" s="3"/>
      <c r="AR50" s="3"/>
      <c r="AS50" s="3"/>
      <c r="AT50" s="3"/>
      <c r="AU50" s="3"/>
      <c r="AV50" s="10"/>
      <c r="AW50" s="3"/>
      <c r="AX50" s="10"/>
      <c r="AY50" s="10"/>
      <c r="AZ50" s="10">
        <f t="shared" ca="1" si="1"/>
        <v>228.71417451856431</v>
      </c>
      <c r="BC50" t="s">
        <v>160</v>
      </c>
      <c r="BD50">
        <f t="shared" ref="BD50:BG50" ca="1" si="44">RANDBETWEEN(0,5)</f>
        <v>5</v>
      </c>
      <c r="BE50">
        <f t="shared" ca="1" si="44"/>
        <v>4</v>
      </c>
      <c r="BF50">
        <f t="shared" ca="1" si="44"/>
        <v>3</v>
      </c>
      <c r="BG50">
        <f t="shared" ca="1" si="44"/>
        <v>5</v>
      </c>
      <c r="BM50">
        <f t="shared" ca="1" si="31"/>
        <v>83</v>
      </c>
      <c r="BN50">
        <f t="shared" ca="1" si="31"/>
        <v>100</v>
      </c>
      <c r="BO50">
        <f t="shared" ca="1" si="31"/>
        <v>1</v>
      </c>
      <c r="BP50">
        <f t="shared" ca="1" si="31"/>
        <v>96</v>
      </c>
      <c r="BQ50">
        <f t="shared" ca="1" si="31"/>
        <v>1</v>
      </c>
      <c r="BR50">
        <f t="shared" ca="1" si="31"/>
        <v>77</v>
      </c>
      <c r="BS50">
        <f t="shared" ca="1" si="31"/>
        <v>62</v>
      </c>
      <c r="BT50">
        <f t="shared" ca="1" si="31"/>
        <v>30</v>
      </c>
      <c r="BU50">
        <f t="shared" ca="1" si="31"/>
        <v>69</v>
      </c>
      <c r="BV50">
        <f t="shared" ca="1" si="31"/>
        <v>68</v>
      </c>
      <c r="BW50">
        <f t="shared" ca="1" si="31"/>
        <v>27</v>
      </c>
    </row>
    <row r="51" spans="1:75" x14ac:dyDescent="0.75">
      <c r="A51" s="3">
        <f ca="1"/>
        <v>0</v>
      </c>
      <c r="B51" s="8" t="s">
        <v>82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0"/>
      <c r="Q51" s="3">
        <f ca="1">RANDBETWEEN(0,20)/100*Q56</f>
        <v>7.02</v>
      </c>
      <c r="R51" s="3">
        <f t="shared" ref="R51:AD51" ca="1" si="45">RANDBETWEEN(0,20)/100*R56</f>
        <v>11.73</v>
      </c>
      <c r="S51" s="3">
        <f t="shared" ca="1" si="45"/>
        <v>7.98</v>
      </c>
      <c r="T51" s="3">
        <f t="shared" ca="1" si="45"/>
        <v>0</v>
      </c>
      <c r="U51" s="3">
        <f t="shared" ca="1" si="45"/>
        <v>8.9</v>
      </c>
      <c r="V51" s="3">
        <f t="shared" ca="1" si="45"/>
        <v>3.77</v>
      </c>
      <c r="W51" s="3">
        <f t="shared" ca="1" si="45"/>
        <v>8.64</v>
      </c>
      <c r="X51" s="3">
        <f t="shared" ca="1" si="45"/>
        <v>4.7</v>
      </c>
      <c r="Y51" s="3">
        <f t="shared" ca="1" si="45"/>
        <v>0.56999999999999995</v>
      </c>
      <c r="Z51" s="3">
        <f t="shared" ca="1" si="45"/>
        <v>0.65</v>
      </c>
      <c r="AA51" s="3">
        <f t="shared" ca="1" si="45"/>
        <v>6.9</v>
      </c>
      <c r="AB51" s="3">
        <f t="shared" ca="1" si="45"/>
        <v>14.280000000000001</v>
      </c>
      <c r="AC51" s="3">
        <f t="shared" ca="1" si="45"/>
        <v>14.08</v>
      </c>
      <c r="AD51" s="10">
        <f t="shared" ca="1" si="45"/>
        <v>5.1000000000000005</v>
      </c>
      <c r="AE51" s="10"/>
      <c r="AF51" s="3">
        <f t="shared" ca="1" si="32"/>
        <v>0</v>
      </c>
      <c r="AG51" s="3">
        <f t="shared" ca="1" si="33"/>
        <v>0</v>
      </c>
      <c r="AH51" s="3">
        <f t="shared" ca="1" si="34"/>
        <v>0</v>
      </c>
      <c r="AI51" s="10">
        <f t="shared" ca="1" si="35"/>
        <v>0</v>
      </c>
      <c r="AJ51" s="10">
        <f t="shared" ca="1" si="35"/>
        <v>0</v>
      </c>
      <c r="AK51" s="3"/>
      <c r="AL51" s="3"/>
      <c r="AM51" s="3"/>
      <c r="AN51" s="10"/>
      <c r="AO51" s="17"/>
      <c r="AP51" s="3"/>
      <c r="AQ51" s="3"/>
      <c r="AR51" s="3"/>
      <c r="AS51" s="3"/>
      <c r="AT51" s="3"/>
      <c r="AU51" s="3"/>
      <c r="AV51" s="10"/>
      <c r="AW51" s="3"/>
      <c r="AX51" s="10"/>
      <c r="AY51" s="10"/>
      <c r="AZ51" s="10">
        <f t="shared" ca="1" si="1"/>
        <v>94.320000000000007</v>
      </c>
      <c r="BC51" t="s">
        <v>82</v>
      </c>
      <c r="BM51">
        <f t="shared" ca="1" si="31"/>
        <v>18</v>
      </c>
      <c r="BN51">
        <f t="shared" ca="1" si="31"/>
        <v>46</v>
      </c>
      <c r="BO51">
        <f t="shared" ca="1" si="31"/>
        <v>54</v>
      </c>
      <c r="BP51">
        <f t="shared" ca="1" si="31"/>
        <v>94</v>
      </c>
      <c r="BQ51">
        <f t="shared" ca="1" si="31"/>
        <v>79</v>
      </c>
      <c r="BR51">
        <f t="shared" ca="1" si="31"/>
        <v>28</v>
      </c>
      <c r="BS51">
        <f t="shared" ca="1" si="31"/>
        <v>35</v>
      </c>
      <c r="BT51">
        <f t="shared" ca="1" si="31"/>
        <v>94</v>
      </c>
      <c r="BU51">
        <f t="shared" ca="1" si="31"/>
        <v>64</v>
      </c>
      <c r="BV51">
        <f t="shared" ca="1" si="31"/>
        <v>61</v>
      </c>
      <c r="BW51">
        <f t="shared" ca="1" si="31"/>
        <v>76</v>
      </c>
    </row>
    <row r="52" spans="1:75" x14ac:dyDescent="0.75">
      <c r="A52" s="3">
        <f ca="1"/>
        <v>0</v>
      </c>
      <c r="B52" s="8" t="s">
        <v>83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10"/>
      <c r="Q52" s="3">
        <f ca="1">RANDBETWEEN(0,20)/100*SUM(Q8:Q21,Q56)</f>
        <v>3.15</v>
      </c>
      <c r="R52" s="3">
        <f t="shared" ref="R52:AD52" ca="1" si="46">RANDBETWEEN(0,20)/100*SUM(R8:R21,R56)</f>
        <v>27.84</v>
      </c>
      <c r="S52" s="3">
        <f t="shared" ca="1" si="46"/>
        <v>35.770000000000003</v>
      </c>
      <c r="T52" s="3"/>
      <c r="U52" s="3">
        <f t="shared" ca="1" si="46"/>
        <v>58.660000000000004</v>
      </c>
      <c r="V52" s="3">
        <f t="shared" ca="1" si="46"/>
        <v>174.20000000000002</v>
      </c>
      <c r="W52" s="3">
        <f t="shared" ca="1" si="46"/>
        <v>98.4</v>
      </c>
      <c r="X52" s="3">
        <f t="shared" ca="1" si="46"/>
        <v>44</v>
      </c>
      <c r="Y52" s="3">
        <f t="shared" ca="1" si="46"/>
        <v>8.85</v>
      </c>
      <c r="Z52" s="3">
        <f t="shared" ca="1" si="46"/>
        <v>102.14999999999999</v>
      </c>
      <c r="AA52" s="3">
        <f t="shared" ca="1" si="46"/>
        <v>59.52</v>
      </c>
      <c r="AB52" s="3">
        <f t="shared" ca="1" si="46"/>
        <v>202</v>
      </c>
      <c r="AC52" s="3">
        <f t="shared" ca="1" si="46"/>
        <v>135</v>
      </c>
      <c r="AD52" s="10">
        <f t="shared" ca="1" si="46"/>
        <v>60.61</v>
      </c>
      <c r="AE52" s="10"/>
      <c r="AF52" s="3">
        <f t="shared" ca="1" si="32"/>
        <v>0</v>
      </c>
      <c r="AG52" s="3">
        <f t="shared" ca="1" si="33"/>
        <v>0</v>
      </c>
      <c r="AH52" s="3">
        <f t="shared" ca="1" si="34"/>
        <v>0</v>
      </c>
      <c r="AI52" s="10">
        <f t="shared" ca="1" si="35"/>
        <v>0</v>
      </c>
      <c r="AJ52" s="10">
        <f t="shared" ca="1" si="35"/>
        <v>0</v>
      </c>
      <c r="AK52" s="3"/>
      <c r="AL52" s="3"/>
      <c r="AM52" s="3"/>
      <c r="AN52" s="10"/>
      <c r="AO52" s="17"/>
      <c r="AP52" s="3"/>
      <c r="AQ52" s="3"/>
      <c r="AR52" s="3"/>
      <c r="AS52" s="3"/>
      <c r="AT52" s="3"/>
      <c r="AU52" s="3"/>
      <c r="AV52" s="10"/>
      <c r="AW52" s="3"/>
      <c r="AX52" s="10"/>
      <c r="AY52" s="10"/>
      <c r="AZ52" s="10">
        <f t="shared" ca="1" si="1"/>
        <v>1010.15</v>
      </c>
      <c r="BC52" t="s">
        <v>83</v>
      </c>
      <c r="BM52">
        <f t="shared" ca="1" si="31"/>
        <v>34</v>
      </c>
      <c r="BN52">
        <f t="shared" ca="1" si="31"/>
        <v>22</v>
      </c>
      <c r="BO52">
        <f t="shared" ca="1" si="31"/>
        <v>56</v>
      </c>
      <c r="BP52">
        <f t="shared" ca="1" si="31"/>
        <v>77</v>
      </c>
      <c r="BQ52">
        <f t="shared" ca="1" si="31"/>
        <v>55</v>
      </c>
      <c r="BR52">
        <f t="shared" ca="1" si="31"/>
        <v>6</v>
      </c>
      <c r="BS52">
        <f t="shared" ca="1" si="31"/>
        <v>81</v>
      </c>
      <c r="BT52">
        <f t="shared" ca="1" si="31"/>
        <v>80</v>
      </c>
      <c r="BU52">
        <f t="shared" ca="1" si="31"/>
        <v>49</v>
      </c>
      <c r="BV52">
        <f t="shared" ca="1" si="31"/>
        <v>1</v>
      </c>
      <c r="BW52">
        <f t="shared" ca="1" si="31"/>
        <v>98</v>
      </c>
    </row>
    <row r="53" spans="1:75" x14ac:dyDescent="0.75">
      <c r="A53" s="3">
        <f ca="1"/>
        <v>0</v>
      </c>
      <c r="B53" s="9" t="s">
        <v>163</v>
      </c>
      <c r="C53" s="11">
        <f ca="1">RANDBETWEEN(0,5)</f>
        <v>0</v>
      </c>
      <c r="D53" s="11">
        <f t="shared" ref="D53:P53" ca="1" si="47">RANDBETWEEN(0,5)</f>
        <v>1</v>
      </c>
      <c r="E53" s="11">
        <f t="shared" ca="1" si="47"/>
        <v>3</v>
      </c>
      <c r="F53" s="11">
        <f t="shared" ca="1" si="47"/>
        <v>2</v>
      </c>
      <c r="G53" s="11">
        <f t="shared" ca="1" si="47"/>
        <v>2</v>
      </c>
      <c r="H53" s="11">
        <f t="shared" ca="1" si="47"/>
        <v>2</v>
      </c>
      <c r="I53" s="11">
        <f t="shared" ca="1" si="47"/>
        <v>3</v>
      </c>
      <c r="J53" s="11">
        <f t="shared" ca="1" si="47"/>
        <v>2</v>
      </c>
      <c r="K53" s="11">
        <f t="shared" ca="1" si="47"/>
        <v>3</v>
      </c>
      <c r="L53" s="11"/>
      <c r="M53" s="11">
        <f t="shared" ca="1" si="47"/>
        <v>0</v>
      </c>
      <c r="N53" s="11">
        <f t="shared" ca="1" si="47"/>
        <v>3</v>
      </c>
      <c r="O53" s="11">
        <f t="shared" ca="1" si="47"/>
        <v>4</v>
      </c>
      <c r="P53" s="12">
        <f t="shared" ca="1" si="47"/>
        <v>5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2"/>
      <c r="AE53" s="12"/>
      <c r="AF53" s="11">
        <f t="shared" ca="1" si="32"/>
        <v>0</v>
      </c>
      <c r="AG53" s="11">
        <f t="shared" ca="1" si="33"/>
        <v>0</v>
      </c>
      <c r="AH53" s="11">
        <f t="shared" ca="1" si="34"/>
        <v>0</v>
      </c>
      <c r="AI53" s="12">
        <f t="shared" ca="1" si="35"/>
        <v>0</v>
      </c>
      <c r="AJ53" s="12">
        <f t="shared" ca="1" si="35"/>
        <v>0</v>
      </c>
      <c r="AK53" s="11"/>
      <c r="AL53" s="11"/>
      <c r="AM53" s="11"/>
      <c r="AN53" s="12"/>
      <c r="AO53" s="18"/>
      <c r="AP53" s="11"/>
      <c r="AQ53" s="11"/>
      <c r="AR53" s="11"/>
      <c r="AS53" s="11"/>
      <c r="AT53" s="11"/>
      <c r="AU53" s="11"/>
      <c r="AV53" s="12"/>
      <c r="AW53" s="11"/>
      <c r="AX53" s="12"/>
      <c r="AY53" s="12"/>
      <c r="AZ53" s="12">
        <f t="shared" ca="1" si="1"/>
        <v>30</v>
      </c>
      <c r="BC53" t="s">
        <v>163</v>
      </c>
      <c r="BM53">
        <f t="shared" ca="1" si="31"/>
        <v>39</v>
      </c>
      <c r="BN53">
        <f t="shared" ca="1" si="31"/>
        <v>98</v>
      </c>
      <c r="BO53">
        <f t="shared" ca="1" si="31"/>
        <v>50</v>
      </c>
      <c r="BP53">
        <f t="shared" ca="1" si="31"/>
        <v>78</v>
      </c>
      <c r="BQ53">
        <f t="shared" ca="1" si="31"/>
        <v>46</v>
      </c>
      <c r="BR53">
        <f t="shared" ca="1" si="31"/>
        <v>68</v>
      </c>
      <c r="BS53">
        <f t="shared" ca="1" si="31"/>
        <v>53</v>
      </c>
      <c r="BT53">
        <f t="shared" ca="1" si="31"/>
        <v>43</v>
      </c>
      <c r="BU53">
        <f t="shared" ca="1" si="31"/>
        <v>67</v>
      </c>
      <c r="BV53">
        <f t="shared" ca="1" si="31"/>
        <v>15</v>
      </c>
      <c r="BW53">
        <f t="shared" ca="1" si="31"/>
        <v>9</v>
      </c>
    </row>
    <row r="54" spans="1:75" x14ac:dyDescent="0.75">
      <c r="A54" s="3">
        <f ca="1"/>
        <v>0</v>
      </c>
      <c r="B54" s="8" t="s">
        <v>84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0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10"/>
      <c r="AE54" s="10"/>
      <c r="AF54" s="3">
        <f t="shared" ca="1" si="32"/>
        <v>0</v>
      </c>
      <c r="AG54" s="3">
        <f t="shared" ca="1" si="33"/>
        <v>0</v>
      </c>
      <c r="AH54" s="3">
        <f t="shared" ca="1" si="34"/>
        <v>0</v>
      </c>
      <c r="AI54" s="10">
        <f t="shared" ca="1" si="35"/>
        <v>0</v>
      </c>
      <c r="AJ54" s="10">
        <f ca="1">$AZ41-SUM(AJ$8:AJ$53,AJ$55:AJ$56)</f>
        <v>-21.035190767054246</v>
      </c>
      <c r="AK54" s="3">
        <f ca="1">$AZ42-SUM(AK$8:AK$53,AK$55:AK$56)</f>
        <v>-22.408365399421427</v>
      </c>
      <c r="AL54" s="3">
        <f ca="1">$AZ43-SUM(AL$8:AL$53,AL$55:AL$56)</f>
        <v>-33.451844358203061</v>
      </c>
      <c r="AM54" s="3">
        <f ca="1">$AZ44-SUM(AM$8:AM$53,AM$55:AM$56)</f>
        <v>10.505282236525773</v>
      </c>
      <c r="AN54" s="10">
        <f ca="1">$AZ45-SUM(AN$8:AN$53,AN$55:AN$56)</f>
        <v>213.70460823179246</v>
      </c>
      <c r="AO54" s="17">
        <f ca="1">$AZ46-SUM(AO$8:AO$53,AO$55:AO$56)</f>
        <v>1507.267254697811</v>
      </c>
      <c r="AP54" s="3"/>
      <c r="AQ54" s="3"/>
      <c r="AR54" s="3"/>
      <c r="AS54" s="3"/>
      <c r="AT54" s="3"/>
      <c r="AU54" s="3"/>
      <c r="AV54" s="10"/>
      <c r="AW54" s="3"/>
      <c r="AX54" s="10"/>
      <c r="AY54" s="10">
        <f ca="1">AZ56-SUM(AY8:AY53,AY55:AY56)</f>
        <v>-21.881744641450268</v>
      </c>
      <c r="AZ54" s="10">
        <f t="shared" ca="1" si="1"/>
        <v>1632.7000000000003</v>
      </c>
      <c r="BC54" t="s">
        <v>84</v>
      </c>
      <c r="BH54">
        <f ca="1">RANDBETWEEN(0,20)</f>
        <v>3</v>
      </c>
      <c r="BI54">
        <f ca="1">RANDBETWEEN(0,10)</f>
        <v>4</v>
      </c>
      <c r="BJ54">
        <f t="shared" ref="BJ54:BL54" ca="1" si="48">RANDBETWEEN(0,10)</f>
        <v>5</v>
      </c>
      <c r="BK54">
        <f t="shared" ca="1" si="48"/>
        <v>2</v>
      </c>
      <c r="BL54">
        <f t="shared" ca="1" si="48"/>
        <v>7</v>
      </c>
      <c r="BM54">
        <f t="shared" ca="1" si="31"/>
        <v>3</v>
      </c>
      <c r="BN54">
        <f t="shared" ca="1" si="31"/>
        <v>6</v>
      </c>
      <c r="BO54">
        <f t="shared" ca="1" si="31"/>
        <v>81</v>
      </c>
      <c r="BP54">
        <f t="shared" ca="1" si="31"/>
        <v>4</v>
      </c>
      <c r="BQ54">
        <f t="shared" ca="1" si="31"/>
        <v>5</v>
      </c>
      <c r="BR54">
        <f t="shared" ca="1" si="31"/>
        <v>32</v>
      </c>
      <c r="BS54">
        <f t="shared" ca="1" si="31"/>
        <v>65</v>
      </c>
      <c r="BT54">
        <f t="shared" ca="1" si="31"/>
        <v>31</v>
      </c>
      <c r="BU54">
        <f t="shared" ca="1" si="31"/>
        <v>14</v>
      </c>
      <c r="BV54">
        <f t="shared" ca="1" si="31"/>
        <v>46</v>
      </c>
      <c r="BW54">
        <f t="shared" ca="1" si="31"/>
        <v>93</v>
      </c>
    </row>
    <row r="55" spans="1:75" x14ac:dyDescent="0.75">
      <c r="A55" s="3">
        <f ca="1"/>
        <v>0</v>
      </c>
      <c r="B55" s="9" t="s">
        <v>85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2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2"/>
      <c r="AE55" s="12"/>
      <c r="AF55" s="11">
        <f t="shared" ca="1" si="32"/>
        <v>0</v>
      </c>
      <c r="AG55" s="11">
        <f t="shared" ca="1" si="33"/>
        <v>0</v>
      </c>
      <c r="AH55" s="11">
        <f t="shared" ca="1" si="34"/>
        <v>0</v>
      </c>
      <c r="AI55" s="12">
        <f t="shared" ca="1" si="35"/>
        <v>0</v>
      </c>
      <c r="AJ55" s="12">
        <f t="shared" ca="1" si="35"/>
        <v>0</v>
      </c>
      <c r="AK55" s="11"/>
      <c r="AL55" s="11"/>
      <c r="AM55" s="11"/>
      <c r="AN55" s="12"/>
      <c r="AO55" s="18"/>
      <c r="AP55" s="11"/>
      <c r="AQ55" s="11"/>
      <c r="AR55" s="11"/>
      <c r="AS55" s="11"/>
      <c r="AT55" s="11"/>
      <c r="AU55" s="11"/>
      <c r="AV55" s="12"/>
      <c r="AW55" s="11">
        <f ca="1">AX57</f>
        <v>-12</v>
      </c>
      <c r="AX55" s="12"/>
      <c r="AY55" s="12"/>
      <c r="AZ55" s="12">
        <f t="shared" ca="1" si="1"/>
        <v>-12</v>
      </c>
      <c r="BC55" t="s">
        <v>85</v>
      </c>
      <c r="BM55">
        <f t="shared" ref="BM55:BW56" ca="1" si="49">RANDBETWEEN(0,100)</f>
        <v>42</v>
      </c>
      <c r="BN55">
        <f t="shared" ca="1" si="49"/>
        <v>30</v>
      </c>
      <c r="BO55">
        <f t="shared" ca="1" si="49"/>
        <v>65</v>
      </c>
      <c r="BP55">
        <f t="shared" ca="1" si="49"/>
        <v>84</v>
      </c>
      <c r="BQ55">
        <f t="shared" ca="1" si="49"/>
        <v>65</v>
      </c>
      <c r="BR55">
        <f t="shared" ca="1" si="49"/>
        <v>47</v>
      </c>
      <c r="BS55">
        <f t="shared" ca="1" si="49"/>
        <v>60</v>
      </c>
      <c r="BT55">
        <f t="shared" ca="1" si="49"/>
        <v>88</v>
      </c>
      <c r="BU55">
        <f t="shared" ca="1" si="49"/>
        <v>67</v>
      </c>
      <c r="BV55">
        <f t="shared" ca="1" si="49"/>
        <v>6</v>
      </c>
      <c r="BW55">
        <f t="shared" ca="1" si="49"/>
        <v>14</v>
      </c>
    </row>
    <row r="56" spans="1:75" x14ac:dyDescent="0.75">
      <c r="A56" s="3">
        <f ca="1"/>
        <v>0</v>
      </c>
      <c r="B56" s="9" t="s">
        <v>86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2"/>
      <c r="Q56" s="11">
        <f ca="1">RANDBETWEEN(0,100)</f>
        <v>78</v>
      </c>
      <c r="R56" s="11">
        <f t="shared" ref="R56:AD56" ca="1" si="50">RANDBETWEEN(0,100)</f>
        <v>69</v>
      </c>
      <c r="S56" s="11">
        <f t="shared" ca="1" si="50"/>
        <v>42</v>
      </c>
      <c r="T56" s="11"/>
      <c r="U56" s="11">
        <f t="shared" ca="1" si="50"/>
        <v>89</v>
      </c>
      <c r="V56" s="11">
        <f t="shared" ca="1" si="50"/>
        <v>29</v>
      </c>
      <c r="W56" s="11">
        <f t="shared" ca="1" si="50"/>
        <v>72</v>
      </c>
      <c r="X56" s="11">
        <f t="shared" ca="1" si="50"/>
        <v>47</v>
      </c>
      <c r="Y56" s="11">
        <f t="shared" ca="1" si="50"/>
        <v>19</v>
      </c>
      <c r="Z56" s="11">
        <f t="shared" ca="1" si="50"/>
        <v>13</v>
      </c>
      <c r="AA56" s="11">
        <f t="shared" ca="1" si="50"/>
        <v>69</v>
      </c>
      <c r="AB56" s="11">
        <f t="shared" ca="1" si="50"/>
        <v>84</v>
      </c>
      <c r="AC56" s="11">
        <f t="shared" ca="1" si="50"/>
        <v>88</v>
      </c>
      <c r="AD56" s="12">
        <f t="shared" ca="1" si="50"/>
        <v>30</v>
      </c>
      <c r="AE56" s="12"/>
      <c r="AF56" s="11">
        <f t="shared" ca="1" si="32"/>
        <v>0</v>
      </c>
      <c r="AG56" s="11">
        <f t="shared" ca="1" si="33"/>
        <v>24.139102040816329</v>
      </c>
      <c r="AH56" s="11">
        <f t="shared" ca="1" si="34"/>
        <v>17.423247863247866</v>
      </c>
      <c r="AI56" s="12">
        <f t="shared" ca="1" si="35"/>
        <v>0</v>
      </c>
      <c r="AJ56" s="12">
        <f t="shared" ca="1" si="35"/>
        <v>64.188235294117646</v>
      </c>
      <c r="AK56" s="11">
        <f t="shared" ref="AK56" ca="1" si="51">BI56/SUM(BI$41:BI$56)*AK$60</f>
        <v>-11.204182699710781</v>
      </c>
      <c r="AL56" s="11">
        <f t="shared" ref="AL56" ca="1" si="52">BJ56/SUM(BJ$41:BJ$56)*AL$60</f>
        <v>-60.213319844765486</v>
      </c>
      <c r="AM56" s="11">
        <f t="shared" ref="AM56" ca="1" si="53">BK56/SUM(BK$41:BK$56)*AM$60</f>
        <v>21.010564473051573</v>
      </c>
      <c r="AN56" s="12">
        <f t="shared" ref="AN56" ca="1" si="54">BL56/SUM(BL$41:BL$56)*AN$60</f>
        <v>213.70460823179252</v>
      </c>
      <c r="AO56" s="18">
        <f t="shared" ref="AO56" ca="1" si="55">RANDBETWEEN(0,80)</f>
        <v>26</v>
      </c>
      <c r="AP56" s="11"/>
      <c r="AQ56" s="11"/>
      <c r="AR56" s="11"/>
      <c r="AS56" s="11"/>
      <c r="AT56" s="11"/>
      <c r="AU56" s="11"/>
      <c r="AV56" s="12"/>
      <c r="AW56" s="11"/>
      <c r="AX56" s="12"/>
      <c r="AY56" s="12"/>
      <c r="AZ56" s="12">
        <f t="shared" ca="1" si="1"/>
        <v>1024.0482553585496</v>
      </c>
      <c r="BC56" t="s">
        <v>86</v>
      </c>
      <c r="BD56">
        <f ca="1">RANDBETWEEN(0,10)</f>
        <v>0</v>
      </c>
      <c r="BE56">
        <f t="shared" ref="BE56:BG56" ca="1" si="56">RANDBETWEEN(0,10)</f>
        <v>2</v>
      </c>
      <c r="BF56">
        <f t="shared" ca="1" si="56"/>
        <v>8</v>
      </c>
      <c r="BG56">
        <f t="shared" ca="1" si="56"/>
        <v>0</v>
      </c>
      <c r="BH56">
        <f ca="1">RANDBETWEEN(0,20)</f>
        <v>4</v>
      </c>
      <c r="BI56">
        <f ca="1">RANDBETWEEN(0,10)</f>
        <v>2</v>
      </c>
      <c r="BJ56">
        <f t="shared" ref="BJ56:BL56" ca="1" si="57">RANDBETWEEN(0,10)</f>
        <v>9</v>
      </c>
      <c r="BK56">
        <f t="shared" ca="1" si="57"/>
        <v>4</v>
      </c>
      <c r="BL56">
        <f t="shared" ca="1" si="57"/>
        <v>7</v>
      </c>
      <c r="BM56">
        <f t="shared" ca="1" si="49"/>
        <v>51</v>
      </c>
      <c r="BN56">
        <f t="shared" ca="1" si="49"/>
        <v>84</v>
      </c>
      <c r="BO56">
        <f t="shared" ca="1" si="49"/>
        <v>79</v>
      </c>
      <c r="BP56">
        <f t="shared" ca="1" si="49"/>
        <v>73</v>
      </c>
      <c r="BQ56">
        <f t="shared" ca="1" si="49"/>
        <v>11</v>
      </c>
      <c r="BR56">
        <f t="shared" ca="1" si="49"/>
        <v>89</v>
      </c>
      <c r="BS56">
        <f t="shared" ca="1" si="49"/>
        <v>71</v>
      </c>
      <c r="BT56">
        <f t="shared" ca="1" si="49"/>
        <v>27</v>
      </c>
      <c r="BU56">
        <f t="shared" ca="1" si="49"/>
        <v>74</v>
      </c>
      <c r="BV56">
        <f t="shared" ca="1" si="49"/>
        <v>71</v>
      </c>
      <c r="BW56">
        <f t="shared" ca="1" si="49"/>
        <v>74</v>
      </c>
    </row>
    <row r="57" spans="1:75" x14ac:dyDescent="0.75">
      <c r="B57" s="9" t="s">
        <v>87</v>
      </c>
      <c r="C57" s="11">
        <f ca="1">SUM(C8:C56)</f>
        <v>256</v>
      </c>
      <c r="D57" s="11">
        <f t="shared" ref="D57:AY57" ca="1" si="58">SUM(D8:D56)</f>
        <v>423</v>
      </c>
      <c r="E57" s="11">
        <f t="shared" ca="1" si="58"/>
        <v>492</v>
      </c>
      <c r="F57" s="11">
        <f t="shared" ca="1" si="58"/>
        <v>297</v>
      </c>
      <c r="G57" s="11">
        <f t="shared" ca="1" si="58"/>
        <v>356</v>
      </c>
      <c r="H57" s="11">
        <f t="shared" ca="1" si="58"/>
        <v>842</v>
      </c>
      <c r="I57" s="11">
        <f t="shared" ca="1" si="58"/>
        <v>564</v>
      </c>
      <c r="J57" s="11">
        <f t="shared" ca="1" si="58"/>
        <v>503</v>
      </c>
      <c r="K57" s="11">
        <f t="shared" ca="1" si="58"/>
        <v>866</v>
      </c>
      <c r="L57" s="11">
        <f t="shared" ca="1" si="58"/>
        <v>668</v>
      </c>
      <c r="M57" s="11">
        <f t="shared" ca="1" si="58"/>
        <v>675</v>
      </c>
      <c r="N57" s="11">
        <f t="shared" ca="1" si="58"/>
        <v>926</v>
      </c>
      <c r="O57" s="11">
        <f t="shared" ca="1" si="58"/>
        <v>587</v>
      </c>
      <c r="P57" s="12">
        <f t="shared" ca="1" si="58"/>
        <v>521</v>
      </c>
      <c r="Q57" s="11">
        <f t="shared" ca="1" si="58"/>
        <v>334.62</v>
      </c>
      <c r="R57" s="11">
        <f t="shared" ca="1" si="58"/>
        <v>596.37</v>
      </c>
      <c r="S57" s="11">
        <f t="shared" ca="1" si="58"/>
        <v>636.51</v>
      </c>
      <c r="T57" s="11">
        <f t="shared" ca="1" si="58"/>
        <v>285.77999999999997</v>
      </c>
      <c r="U57" s="11">
        <f t="shared" ca="1" si="58"/>
        <v>532.65000000000009</v>
      </c>
      <c r="V57" s="11">
        <f t="shared" ca="1" si="58"/>
        <v>1170.9100000000001</v>
      </c>
      <c r="W57" s="11">
        <f t="shared" ca="1" si="58"/>
        <v>740.49</v>
      </c>
      <c r="X57" s="11">
        <f t="shared" ca="1" si="58"/>
        <v>664.7</v>
      </c>
      <c r="Y57" s="11">
        <f t="shared" ca="1" si="58"/>
        <v>920.97</v>
      </c>
      <c r="Z57" s="11">
        <f t="shared" ca="1" si="58"/>
        <v>838.28</v>
      </c>
      <c r="AA57" s="11">
        <f t="shared" ca="1" si="58"/>
        <v>810.42</v>
      </c>
      <c r="AB57" s="11">
        <f t="shared" ca="1" si="58"/>
        <v>1226.28</v>
      </c>
      <c r="AC57" s="11">
        <f t="shared" ca="1" si="58"/>
        <v>824.08</v>
      </c>
      <c r="AD57" s="12">
        <f t="shared" ca="1" si="58"/>
        <v>616.71</v>
      </c>
      <c r="AE57" s="12">
        <f t="shared" ca="1" si="58"/>
        <v>520.30000000000007</v>
      </c>
      <c r="AF57" s="11">
        <f t="shared" ca="1" si="58"/>
        <v>2015.28</v>
      </c>
      <c r="AG57" s="11">
        <f t="shared" ca="1" si="58"/>
        <v>2957.04</v>
      </c>
      <c r="AH57" s="11">
        <f t="shared" ca="1" si="58"/>
        <v>509.63</v>
      </c>
      <c r="AI57" s="12">
        <f t="shared" ca="1" si="58"/>
        <v>2455.1999999999994</v>
      </c>
      <c r="AJ57" s="12">
        <f t="shared" ca="1" si="58"/>
        <v>2386.023632762357</v>
      </c>
      <c r="AK57" s="11">
        <f t="shared" ca="1" si="58"/>
        <v>1473.1398691356681</v>
      </c>
      <c r="AL57" s="11">
        <f t="shared" ca="1" si="58"/>
        <v>1642.5360795800555</v>
      </c>
      <c r="AM57" s="11">
        <f t="shared" ca="1" si="58"/>
        <v>1670.0377876404809</v>
      </c>
      <c r="AN57" s="12">
        <f t="shared" ca="1" si="58"/>
        <v>3024.0385371756365</v>
      </c>
      <c r="AO57" s="18">
        <f t="shared" ca="1" si="58"/>
        <v>2327.9772546978111</v>
      </c>
      <c r="AP57" s="11">
        <f t="shared" ca="1" si="58"/>
        <v>37</v>
      </c>
      <c r="AQ57" s="11">
        <f t="shared" ca="1" si="58"/>
        <v>295.88040441008013</v>
      </c>
      <c r="AR57" s="11">
        <f t="shared" ca="1" si="58"/>
        <v>5</v>
      </c>
      <c r="AS57" s="11">
        <f t="shared" ca="1" si="58"/>
        <v>228.71417451856431</v>
      </c>
      <c r="AT57" s="11">
        <f t="shared" ca="1" si="58"/>
        <v>94.320000000000007</v>
      </c>
      <c r="AU57" s="11">
        <f t="shared" ca="1" si="58"/>
        <v>1010.15</v>
      </c>
      <c r="AV57" s="12">
        <f t="shared" ca="1" si="58"/>
        <v>30</v>
      </c>
      <c r="AW57" s="11">
        <f t="shared" ca="1" si="58"/>
        <v>1632.6999999999998</v>
      </c>
      <c r="AX57" s="12">
        <f t="shared" ca="1" si="58"/>
        <v>-12</v>
      </c>
      <c r="AY57" s="12">
        <f t="shared" ca="1" si="58"/>
        <v>1024.0482553585496</v>
      </c>
      <c r="AZ57" s="12"/>
    </row>
    <row r="59" spans="1:75" x14ac:dyDescent="0.75">
      <c r="AK59" s="3">
        <f t="array" aca="1" ref="AK59:AN59" ca="1">TRANSPOSE(AZ42:AZ45)</f>
        <v>1473.1398691356681</v>
      </c>
      <c r="AL59" s="3">
        <f ca="1"/>
        <v>1642.5360795800555</v>
      </c>
      <c r="AM59" s="3">
        <f ca="1"/>
        <v>1670.0377876404809</v>
      </c>
      <c r="AN59" s="3">
        <f ca="1"/>
        <v>3024.0385371756365</v>
      </c>
    </row>
    <row r="60" spans="1:75" x14ac:dyDescent="0.75">
      <c r="AK60" s="3">
        <f ca="1">AK59-SUM(AK$8:AK$35)</f>
        <v>-168.06274049566173</v>
      </c>
      <c r="AL60" s="3">
        <f t="shared" ref="AL60:AN60" ca="1" si="59">AL59-SUM(AL$8:AL$35)</f>
        <v>-187.33032840593705</v>
      </c>
      <c r="AM60" s="3">
        <f t="shared" ca="1" si="59"/>
        <v>157.57923354788682</v>
      </c>
      <c r="AN60" s="3">
        <f t="shared" ca="1" si="59"/>
        <v>1343.2861088855529</v>
      </c>
    </row>
    <row r="64" spans="1:75" x14ac:dyDescent="0.75">
      <c r="C64" s="1" t="s">
        <v>227</v>
      </c>
      <c r="J64" s="1" t="s">
        <v>228</v>
      </c>
      <c r="T64" s="1" t="s">
        <v>141</v>
      </c>
      <c r="Z64" s="1" t="s">
        <v>233</v>
      </c>
    </row>
    <row r="65" spans="3:32" x14ac:dyDescent="0.75">
      <c r="K65">
        <v>1</v>
      </c>
      <c r="L65">
        <v>2</v>
      </c>
      <c r="M65">
        <v>0.5</v>
      </c>
      <c r="N65">
        <v>2.5</v>
      </c>
      <c r="O65">
        <v>1</v>
      </c>
    </row>
    <row r="66" spans="3:32" x14ac:dyDescent="0.75">
      <c r="D66" t="s">
        <v>202</v>
      </c>
      <c r="E66" t="s">
        <v>203</v>
      </c>
      <c r="F66" t="s">
        <v>17</v>
      </c>
      <c r="G66" t="s">
        <v>209</v>
      </c>
      <c r="H66" t="s">
        <v>210</v>
      </c>
      <c r="K66" t="s">
        <v>202</v>
      </c>
      <c r="L66" t="s">
        <v>203</v>
      </c>
      <c r="M66" t="s">
        <v>17</v>
      </c>
      <c r="N66" t="s">
        <v>209</v>
      </c>
      <c r="O66" t="s">
        <v>210</v>
      </c>
      <c r="U66" t="s">
        <v>229</v>
      </c>
      <c r="V66" t="s">
        <v>230</v>
      </c>
      <c r="W66" t="s">
        <v>231</v>
      </c>
      <c r="AA66" t="s">
        <v>202</v>
      </c>
      <c r="AB66" t="s">
        <v>203</v>
      </c>
      <c r="AC66" t="s">
        <v>17</v>
      </c>
      <c r="AD66" t="s">
        <v>209</v>
      </c>
      <c r="AE66" t="s">
        <v>210</v>
      </c>
    </row>
    <row r="67" spans="3:32" x14ac:dyDescent="0.75">
      <c r="C67" t="s">
        <v>174</v>
      </c>
      <c r="D67">
        <f t="array" ref="D67:G80" ca="1">TRANSPOSE(C37:P40)</f>
        <v>18</v>
      </c>
      <c r="E67">
        <f ca="1"/>
        <v>64</v>
      </c>
      <c r="F67">
        <f ca="1"/>
        <v>82</v>
      </c>
      <c r="G67">
        <f ca="1"/>
        <v>75</v>
      </c>
      <c r="I67">
        <v>1</v>
      </c>
      <c r="J67" t="s">
        <v>174</v>
      </c>
      <c r="K67">
        <f t="shared" ref="K67:K81" ca="1" si="60">D67/($I67*K$65)</f>
        <v>18</v>
      </c>
      <c r="L67">
        <f t="shared" ref="L67:L81" ca="1" si="61">E67/($I67*L$65)</f>
        <v>32</v>
      </c>
      <c r="M67">
        <f t="shared" ref="M67:M81" ca="1" si="62">F67/($I67*M$65)</f>
        <v>164</v>
      </c>
      <c r="N67">
        <f t="shared" ref="N67:N81" ca="1" si="63">G67/($I67*N$65)</f>
        <v>30</v>
      </c>
      <c r="O67">
        <f t="shared" ref="O67:O81" si="64">H67/($I67*O$65)</f>
        <v>0</v>
      </c>
      <c r="T67" t="s">
        <v>204</v>
      </c>
      <c r="U67">
        <f t="array" aca="1" ref="U67:U70" ca="1">TRANSPOSE(AK57:AN57)</f>
        <v>1473.1398691356681</v>
      </c>
      <c r="V67">
        <f ca="1">U67/W67</f>
        <v>147.31398691356679</v>
      </c>
      <c r="W67">
        <v>10</v>
      </c>
      <c r="Z67" t="s">
        <v>204</v>
      </c>
      <c r="AA67" s="3">
        <f ca="1">AF42</f>
        <v>542.26409638554219</v>
      </c>
      <c r="AB67" s="3">
        <f t="shared" ref="AB67:AD67" ca="1" si="65">AG42</f>
        <v>591.40800000000002</v>
      </c>
      <c r="AC67" s="3">
        <f t="shared" ca="1" si="65"/>
        <v>174.23247863247863</v>
      </c>
      <c r="AD67" s="3">
        <f t="shared" ca="1" si="65"/>
        <v>0</v>
      </c>
      <c r="AE67">
        <f>SUM(O$67:O$81)*$Y67</f>
        <v>0</v>
      </c>
      <c r="AF67" s="3"/>
    </row>
    <row r="68" spans="3:32" x14ac:dyDescent="0.75">
      <c r="C68" t="s">
        <v>175</v>
      </c>
      <c r="D68">
        <f ca="1"/>
        <v>55</v>
      </c>
      <c r="E68">
        <f ca="1"/>
        <v>107</v>
      </c>
      <c r="F68">
        <f ca="1"/>
        <v>122</v>
      </c>
      <c r="G68">
        <f ca="1"/>
        <v>120</v>
      </c>
      <c r="I68">
        <f t="shared" ref="I68:I81" si="66">I67+0.1</f>
        <v>1.1000000000000001</v>
      </c>
      <c r="J68" t="s">
        <v>175</v>
      </c>
      <c r="K68">
        <f t="shared" ca="1" si="60"/>
        <v>49.999999999999993</v>
      </c>
      <c r="L68">
        <f t="shared" ca="1" si="61"/>
        <v>48.636363636363633</v>
      </c>
      <c r="M68">
        <f t="shared" ca="1" si="62"/>
        <v>221.81818181818181</v>
      </c>
      <c r="N68">
        <f t="shared" ca="1" si="63"/>
        <v>43.636363636363633</v>
      </c>
      <c r="O68">
        <f t="shared" si="64"/>
        <v>0</v>
      </c>
      <c r="T68" t="s">
        <v>205</v>
      </c>
      <c r="U68">
        <f ca="1"/>
        <v>1642.5360795800555</v>
      </c>
      <c r="V68">
        <f t="shared" ref="V68:V71" ca="1" si="67">U68/W68</f>
        <v>82.126803979002773</v>
      </c>
      <c r="W68">
        <v>20</v>
      </c>
      <c r="Z68" t="s">
        <v>205</v>
      </c>
      <c r="AA68" s="3">
        <f t="shared" ref="AA68:AD68" ca="1" si="68">AF43</f>
        <v>250.89831325301202</v>
      </c>
      <c r="AB68" s="3">
        <f t="shared" ca="1" si="68"/>
        <v>1050.0509387755101</v>
      </c>
      <c r="AC68" s="3">
        <f t="shared" ca="1" si="68"/>
        <v>87.116239316239316</v>
      </c>
      <c r="AD68" s="3">
        <f t="shared" ca="1" si="68"/>
        <v>0</v>
      </c>
      <c r="AE68">
        <f>SUM(O$67:O$81)*$Y68</f>
        <v>0</v>
      </c>
      <c r="AF68" s="3"/>
    </row>
    <row r="69" spans="3:32" x14ac:dyDescent="0.75">
      <c r="C69" t="s">
        <v>176</v>
      </c>
      <c r="D69">
        <f ca="1"/>
        <v>104</v>
      </c>
      <c r="E69">
        <f ca="1"/>
        <v>109</v>
      </c>
      <c r="F69">
        <f ca="1"/>
        <v>141</v>
      </c>
      <c r="G69">
        <f ca="1"/>
        <v>94</v>
      </c>
      <c r="I69">
        <f t="shared" si="66"/>
        <v>1.2000000000000002</v>
      </c>
      <c r="J69" t="s">
        <v>176</v>
      </c>
      <c r="K69">
        <f t="shared" ca="1" si="60"/>
        <v>86.666666666666657</v>
      </c>
      <c r="L69">
        <f t="shared" ca="1" si="61"/>
        <v>45.416666666666657</v>
      </c>
      <c r="M69">
        <f t="shared" ca="1" si="62"/>
        <v>234.99999999999997</v>
      </c>
      <c r="N69">
        <f t="shared" ca="1" si="63"/>
        <v>31.333333333333329</v>
      </c>
      <c r="O69">
        <f t="shared" si="64"/>
        <v>0</v>
      </c>
      <c r="T69" t="s">
        <v>206</v>
      </c>
      <c r="U69">
        <f ca="1"/>
        <v>1670.0377876404809</v>
      </c>
      <c r="V69">
        <f t="shared" ca="1" si="67"/>
        <v>111.3358525093654</v>
      </c>
      <c r="W69">
        <v>15</v>
      </c>
      <c r="Z69" t="s">
        <v>206</v>
      </c>
      <c r="AA69" s="3">
        <f t="shared" ref="AA69:AD69" ca="1" si="69">AF44</f>
        <v>655.57301204819271</v>
      </c>
      <c r="AB69" s="3">
        <f t="shared" ca="1" si="69"/>
        <v>205.18236734693878</v>
      </c>
      <c r="AC69" s="3">
        <f t="shared" ca="1" si="69"/>
        <v>178.5882905982906</v>
      </c>
      <c r="AD69" s="3">
        <f t="shared" ca="1" si="69"/>
        <v>0</v>
      </c>
      <c r="AE69">
        <f>SUM(O$67:O$81)*$Y69</f>
        <v>0</v>
      </c>
      <c r="AF69" s="3"/>
    </row>
    <row r="70" spans="3:32" x14ac:dyDescent="0.75">
      <c r="C70" t="s">
        <v>177</v>
      </c>
      <c r="D70">
        <f ca="1"/>
        <v>57</v>
      </c>
      <c r="E70">
        <f ca="1"/>
        <v>134</v>
      </c>
      <c r="F70">
        <f ca="1"/>
        <v>63</v>
      </c>
      <c r="G70">
        <f ca="1"/>
        <v>3</v>
      </c>
      <c r="I70">
        <f t="shared" si="66"/>
        <v>1.3000000000000003</v>
      </c>
      <c r="J70" t="s">
        <v>177</v>
      </c>
      <c r="K70">
        <f t="shared" ca="1" si="60"/>
        <v>43.84615384615384</v>
      </c>
      <c r="L70">
        <f t="shared" ca="1" si="61"/>
        <v>51.538461538461526</v>
      </c>
      <c r="M70">
        <f t="shared" ca="1" si="62"/>
        <v>96.923076923076906</v>
      </c>
      <c r="N70">
        <f t="shared" ca="1" si="63"/>
        <v>0.9230769230769228</v>
      </c>
      <c r="O70">
        <f t="shared" si="64"/>
        <v>0</v>
      </c>
      <c r="T70" t="s">
        <v>207</v>
      </c>
      <c r="U70">
        <f ca="1"/>
        <v>3024.0385371756365</v>
      </c>
      <c r="V70">
        <f t="shared" ca="1" si="67"/>
        <v>75.600963429390916</v>
      </c>
      <c r="W70">
        <v>40</v>
      </c>
      <c r="Z70" t="s">
        <v>207</v>
      </c>
      <c r="AA70" s="3">
        <f t="shared" ref="AA70:AD70" ca="1" si="70">AF45</f>
        <v>517.98361445783132</v>
      </c>
      <c r="AB70" s="3">
        <f t="shared" ca="1" si="70"/>
        <v>1013.8422857142857</v>
      </c>
      <c r="AC70" s="3">
        <f t="shared" ca="1" si="70"/>
        <v>37.024401709401715</v>
      </c>
      <c r="AD70" s="3">
        <f t="shared" ca="1" si="70"/>
        <v>0</v>
      </c>
      <c r="AE70">
        <f>SUM(O$67:O$81)*$Y70</f>
        <v>0</v>
      </c>
      <c r="AF70" s="3"/>
    </row>
    <row r="71" spans="3:32" x14ac:dyDescent="0.75">
      <c r="C71" t="s">
        <v>178</v>
      </c>
      <c r="D71">
        <f ca="1"/>
        <v>90</v>
      </c>
      <c r="E71">
        <f ca="1"/>
        <v>10</v>
      </c>
      <c r="F71">
        <v>0</v>
      </c>
      <c r="G71">
        <f ca="1"/>
        <v>195</v>
      </c>
      <c r="I71">
        <f t="shared" si="66"/>
        <v>1.4000000000000004</v>
      </c>
      <c r="J71" t="s">
        <v>178</v>
      </c>
      <c r="K71">
        <f t="shared" ca="1" si="60"/>
        <v>64.285714285714263</v>
      </c>
      <c r="L71">
        <f t="shared" ca="1" si="61"/>
        <v>3.5714285714285707</v>
      </c>
      <c r="M71">
        <f t="shared" si="62"/>
        <v>0</v>
      </c>
      <c r="N71">
        <f t="shared" ca="1" si="63"/>
        <v>55.714285714285701</v>
      </c>
      <c r="O71">
        <f t="shared" si="64"/>
        <v>0</v>
      </c>
      <c r="T71" t="s">
        <v>211</v>
      </c>
      <c r="U71">
        <f>SUM(O67:O81)</f>
        <v>0</v>
      </c>
      <c r="V71">
        <f t="shared" si="67"/>
        <v>0</v>
      </c>
      <c r="W71">
        <v>50</v>
      </c>
      <c r="Z71" t="s">
        <v>211</v>
      </c>
      <c r="AF71" s="3"/>
    </row>
    <row r="72" spans="3:32" x14ac:dyDescent="0.75">
      <c r="C72" t="s">
        <v>179</v>
      </c>
      <c r="D72">
        <f ca="1"/>
        <v>109</v>
      </c>
      <c r="E72">
        <f ca="1"/>
        <v>314</v>
      </c>
      <c r="F72">
        <v>0</v>
      </c>
      <c r="G72">
        <f ca="1"/>
        <v>318</v>
      </c>
      <c r="I72">
        <f t="shared" si="66"/>
        <v>1.5000000000000004</v>
      </c>
      <c r="J72" t="s">
        <v>179</v>
      </c>
      <c r="K72">
        <f t="shared" ca="1" si="60"/>
        <v>72.666666666666643</v>
      </c>
      <c r="L72">
        <f t="shared" ca="1" si="61"/>
        <v>104.66666666666663</v>
      </c>
      <c r="M72">
        <f t="shared" si="62"/>
        <v>0</v>
      </c>
      <c r="N72">
        <f t="shared" ca="1" si="63"/>
        <v>84.799999999999983</v>
      </c>
      <c r="O72">
        <f t="shared" si="64"/>
        <v>0</v>
      </c>
    </row>
    <row r="73" spans="3:32" x14ac:dyDescent="0.75">
      <c r="C73" t="s">
        <v>180</v>
      </c>
      <c r="D73">
        <f ca="1"/>
        <v>198</v>
      </c>
      <c r="E73">
        <f ca="1"/>
        <v>229</v>
      </c>
      <c r="F73">
        <v>0</v>
      </c>
      <c r="G73">
        <f ca="1"/>
        <v>86</v>
      </c>
      <c r="I73">
        <f t="shared" si="66"/>
        <v>1.6000000000000005</v>
      </c>
      <c r="J73" t="s">
        <v>180</v>
      </c>
      <c r="K73">
        <f t="shared" ca="1" si="60"/>
        <v>123.74999999999996</v>
      </c>
      <c r="L73">
        <f t="shared" ca="1" si="61"/>
        <v>71.562499999999972</v>
      </c>
      <c r="M73">
        <f t="shared" si="62"/>
        <v>0</v>
      </c>
      <c r="N73">
        <f t="shared" ca="1" si="63"/>
        <v>21.499999999999989</v>
      </c>
      <c r="O73">
        <f t="shared" si="64"/>
        <v>0</v>
      </c>
      <c r="Z73" s="1" t="s">
        <v>232</v>
      </c>
    </row>
    <row r="74" spans="3:32" x14ac:dyDescent="0.75">
      <c r="C74" t="s">
        <v>181</v>
      </c>
      <c r="D74">
        <f ca="1"/>
        <v>37</v>
      </c>
      <c r="E74">
        <f ca="1"/>
        <v>232</v>
      </c>
      <c r="F74">
        <v>0</v>
      </c>
      <c r="G74">
        <f ca="1"/>
        <v>185</v>
      </c>
      <c r="I74">
        <f t="shared" si="66"/>
        <v>1.7000000000000006</v>
      </c>
      <c r="J74" t="s">
        <v>181</v>
      </c>
      <c r="K74">
        <f t="shared" ca="1" si="60"/>
        <v>21.764705882352935</v>
      </c>
      <c r="L74">
        <f t="shared" ca="1" si="61"/>
        <v>68.23529411764703</v>
      </c>
      <c r="M74">
        <f t="shared" si="62"/>
        <v>0</v>
      </c>
      <c r="N74">
        <f t="shared" ca="1" si="63"/>
        <v>43.529411764705863</v>
      </c>
      <c r="O74">
        <f t="shared" si="64"/>
        <v>0</v>
      </c>
    </row>
    <row r="75" spans="3:32" x14ac:dyDescent="0.75">
      <c r="C75" t="s">
        <v>182</v>
      </c>
      <c r="D75">
        <f ca="1"/>
        <v>350</v>
      </c>
      <c r="E75">
        <f ca="1"/>
        <v>346</v>
      </c>
      <c r="F75">
        <v>0</v>
      </c>
      <c r="G75">
        <f ca="1"/>
        <v>115</v>
      </c>
      <c r="I75">
        <f t="shared" si="66"/>
        <v>1.8000000000000007</v>
      </c>
      <c r="J75" t="s">
        <v>182</v>
      </c>
      <c r="K75">
        <f t="shared" ca="1" si="60"/>
        <v>194.44444444444437</v>
      </c>
      <c r="L75">
        <f t="shared" ca="1" si="61"/>
        <v>96.111111111111072</v>
      </c>
      <c r="M75">
        <f t="shared" si="62"/>
        <v>0</v>
      </c>
      <c r="N75">
        <f t="shared" ca="1" si="63"/>
        <v>25.555555555555546</v>
      </c>
      <c r="O75">
        <f t="shared" si="64"/>
        <v>0</v>
      </c>
      <c r="AA75" t="s">
        <v>202</v>
      </c>
      <c r="AB75" t="s">
        <v>203</v>
      </c>
      <c r="AC75" t="s">
        <v>17</v>
      </c>
      <c r="AD75" t="s">
        <v>209</v>
      </c>
      <c r="AE75" t="s">
        <v>210</v>
      </c>
    </row>
    <row r="76" spans="3:32" x14ac:dyDescent="0.75">
      <c r="C76" t="s">
        <v>183</v>
      </c>
      <c r="D76">
        <f ca="1"/>
        <v>316</v>
      </c>
      <c r="E76">
        <f ca="1"/>
        <v>315</v>
      </c>
      <c r="F76">
        <v>0</v>
      </c>
      <c r="G76">
        <f ca="1"/>
        <v>37</v>
      </c>
      <c r="I76">
        <f t="shared" si="66"/>
        <v>1.9000000000000008</v>
      </c>
      <c r="J76" t="s">
        <v>183</v>
      </c>
      <c r="K76">
        <f t="shared" ca="1" si="60"/>
        <v>166.31578947368413</v>
      </c>
      <c r="L76">
        <f t="shared" ca="1" si="61"/>
        <v>82.894736842105232</v>
      </c>
      <c r="M76">
        <f t="shared" si="62"/>
        <v>0</v>
      </c>
      <c r="N76">
        <f t="shared" ca="1" si="63"/>
        <v>7.789473684210523</v>
      </c>
      <c r="O76">
        <f t="shared" si="64"/>
        <v>0</v>
      </c>
      <c r="Y76">
        <v>1</v>
      </c>
      <c r="Z76" t="s">
        <v>204</v>
      </c>
      <c r="AA76">
        <f ca="1">AA67/SUM(K$67:K$81)/$Y76</f>
        <v>0.49955272653704075</v>
      </c>
      <c r="AB76">
        <f t="shared" ref="AB76:AD76" ca="1" si="71">AB67/SUM(L$67:L$81)/$Y76</f>
        <v>0.72778361630458233</v>
      </c>
      <c r="AC76">
        <f t="shared" ca="1" si="71"/>
        <v>0.22964800219339349</v>
      </c>
      <c r="AD76">
        <f t="shared" ca="1" si="71"/>
        <v>0</v>
      </c>
    </row>
    <row r="77" spans="3:32" x14ac:dyDescent="0.75">
      <c r="C77" t="s">
        <v>184</v>
      </c>
      <c r="D77">
        <f ca="1"/>
        <v>28</v>
      </c>
      <c r="E77">
        <f ca="1"/>
        <v>234</v>
      </c>
      <c r="F77">
        <v>0</v>
      </c>
      <c r="G77">
        <f ca="1"/>
        <v>345</v>
      </c>
      <c r="I77">
        <f t="shared" si="66"/>
        <v>2.0000000000000009</v>
      </c>
      <c r="J77" t="s">
        <v>184</v>
      </c>
      <c r="K77">
        <f t="shared" ca="1" si="60"/>
        <v>13.999999999999995</v>
      </c>
      <c r="L77">
        <f t="shared" ca="1" si="61"/>
        <v>58.499999999999972</v>
      </c>
      <c r="M77">
        <f t="shared" si="62"/>
        <v>0</v>
      </c>
      <c r="N77">
        <f t="shared" ca="1" si="63"/>
        <v>68.999999999999972</v>
      </c>
      <c r="O77">
        <f t="shared" si="64"/>
        <v>0</v>
      </c>
      <c r="Y77">
        <v>2</v>
      </c>
      <c r="Z77" t="s">
        <v>205</v>
      </c>
      <c r="AA77">
        <f t="shared" ref="AA77:AD77" ca="1" si="72">AA68/SUM(K$67:K$81)/$Y77</f>
        <v>0.11556816807946463</v>
      </c>
      <c r="AB77">
        <f t="shared" ca="1" si="72"/>
        <v>0.6460936185561087</v>
      </c>
      <c r="AC77">
        <f t="shared" ca="1" si="72"/>
        <v>5.7412000548348371E-2</v>
      </c>
      <c r="AD77">
        <f t="shared" ca="1" si="72"/>
        <v>0</v>
      </c>
    </row>
    <row r="78" spans="3:32" x14ac:dyDescent="0.75">
      <c r="C78" t="s">
        <v>185</v>
      </c>
      <c r="D78">
        <f ca="1"/>
        <v>208</v>
      </c>
      <c r="E78">
        <f ca="1"/>
        <v>321</v>
      </c>
      <c r="F78">
        <f ca="1"/>
        <v>43</v>
      </c>
      <c r="G78">
        <f ca="1"/>
        <v>297</v>
      </c>
      <c r="I78">
        <f t="shared" si="66"/>
        <v>2.100000000000001</v>
      </c>
      <c r="J78" t="s">
        <v>185</v>
      </c>
      <c r="K78">
        <f t="shared" ca="1" si="60"/>
        <v>99.047619047619008</v>
      </c>
      <c r="L78">
        <f t="shared" ca="1" si="61"/>
        <v>76.428571428571388</v>
      </c>
      <c r="M78">
        <f t="shared" ca="1" si="62"/>
        <v>40.952380952380935</v>
      </c>
      <c r="N78">
        <f t="shared" ca="1" si="63"/>
        <v>56.571428571428541</v>
      </c>
      <c r="O78">
        <f t="shared" si="64"/>
        <v>0</v>
      </c>
      <c r="Y78">
        <v>3</v>
      </c>
      <c r="Z78" t="s">
        <v>206</v>
      </c>
      <c r="AA78">
        <f t="shared" ref="AA78:AD78" ca="1" si="73">AA69/SUM(K$67:K$81)/$Y78</f>
        <v>0.20131229278358356</v>
      </c>
      <c r="AB78">
        <f t="shared" ca="1" si="73"/>
        <v>8.4165452225699988E-2</v>
      </c>
      <c r="AC78">
        <f t="shared" ca="1" si="73"/>
        <v>7.8463067416076102E-2</v>
      </c>
      <c r="AD78">
        <f t="shared" ca="1" si="73"/>
        <v>0</v>
      </c>
    </row>
    <row r="79" spans="3:32" x14ac:dyDescent="0.75">
      <c r="C79" t="s">
        <v>186</v>
      </c>
      <c r="D79">
        <f ca="1"/>
        <v>102</v>
      </c>
      <c r="E79">
        <f ca="1"/>
        <v>287</v>
      </c>
      <c r="F79">
        <v>0</v>
      </c>
      <c r="G79">
        <f ca="1"/>
        <v>104</v>
      </c>
      <c r="I79">
        <f t="shared" si="66"/>
        <v>2.2000000000000011</v>
      </c>
      <c r="J79" t="s">
        <v>186</v>
      </c>
      <c r="K79">
        <f t="shared" ca="1" si="60"/>
        <v>46.363636363636338</v>
      </c>
      <c r="L79">
        <f t="shared" ca="1" si="61"/>
        <v>65.227272727272691</v>
      </c>
      <c r="M79">
        <f t="shared" si="62"/>
        <v>0</v>
      </c>
      <c r="N79">
        <f t="shared" ca="1" si="63"/>
        <v>18.909090909090899</v>
      </c>
      <c r="O79">
        <f t="shared" si="64"/>
        <v>0</v>
      </c>
      <c r="Y79">
        <v>4</v>
      </c>
      <c r="Z79" t="s">
        <v>207</v>
      </c>
      <c r="AA79">
        <f t="shared" ref="AA79:AD79" ca="1" si="74">AA70/SUM(K$67:K$81)/$Y79</f>
        <v>0.11929617350138286</v>
      </c>
      <c r="AB79">
        <f t="shared" ca="1" si="74"/>
        <v>0.31190726413053527</v>
      </c>
      <c r="AC79">
        <f t="shared" ca="1" si="74"/>
        <v>1.220005011652403E-2</v>
      </c>
      <c r="AD79">
        <f t="shared" ca="1" si="74"/>
        <v>0</v>
      </c>
    </row>
    <row r="80" spans="3:32" x14ac:dyDescent="0.75">
      <c r="C80" t="s">
        <v>187</v>
      </c>
      <c r="D80">
        <f ca="1"/>
        <v>194</v>
      </c>
      <c r="E80">
        <f ca="1"/>
        <v>36</v>
      </c>
      <c r="F80">
        <v>0</v>
      </c>
      <c r="G80">
        <f ca="1"/>
        <v>258</v>
      </c>
      <c r="I80">
        <f t="shared" si="66"/>
        <v>2.3000000000000012</v>
      </c>
      <c r="J80" t="s">
        <v>187</v>
      </c>
      <c r="K80">
        <f t="shared" ca="1" si="60"/>
        <v>84.347826086956474</v>
      </c>
      <c r="L80">
        <f t="shared" ca="1" si="61"/>
        <v>7.8260869565217348</v>
      </c>
      <c r="M80">
        <f t="shared" si="62"/>
        <v>0</v>
      </c>
      <c r="N80">
        <f t="shared" ca="1" si="63"/>
        <v>44.869565217391283</v>
      </c>
      <c r="O80">
        <f t="shared" si="64"/>
        <v>0</v>
      </c>
      <c r="Z80" t="s">
        <v>211</v>
      </c>
    </row>
    <row r="81" spans="3:15" x14ac:dyDescent="0.75">
      <c r="C81" t="s">
        <v>208</v>
      </c>
      <c r="I81">
        <f t="shared" si="66"/>
        <v>2.4000000000000012</v>
      </c>
      <c r="J81" t="s">
        <v>208</v>
      </c>
      <c r="K81">
        <f t="shared" si="60"/>
        <v>0</v>
      </c>
      <c r="L81">
        <f t="shared" si="61"/>
        <v>0</v>
      </c>
      <c r="M81">
        <f t="shared" si="62"/>
        <v>0</v>
      </c>
      <c r="N81">
        <f t="shared" si="63"/>
        <v>0</v>
      </c>
      <c r="O81">
        <f t="shared" si="64"/>
        <v>0</v>
      </c>
    </row>
  </sheetData>
  <sortState xmlns:xlrd2="http://schemas.microsoft.com/office/spreadsheetml/2017/richdata2" ref="B47:B53">
    <sortCondition ref="B47:B53"/>
  </sortState>
  <conditionalFormatting sqref="AK22:AN34">
    <cfRule type="cellIs" dxfId="1" priority="3" operator="lessThan">
      <formula>0</formula>
    </cfRule>
  </conditionalFormatting>
  <conditionalFormatting sqref="AK59:AN60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Notes</vt:lpstr>
      <vt:lpstr>Sets</vt:lpstr>
      <vt:lpstr>Control</vt:lpstr>
      <vt:lpstr>Sheet1</vt:lpstr>
      <vt:lpstr>SAM</vt:lpstr>
      <vt:lpstr>Adjust</vt:lpstr>
      <vt:lpstr>Elasticities</vt:lpstr>
      <vt:lpstr>Demand</vt:lpstr>
      <vt:lpstr>Factors</vt:lpstr>
      <vt:lpstr>Households</vt:lpstr>
      <vt:lpstr>Index</vt:lpstr>
      <vt:lpstr>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Thurlow, James (IFPRI)</dc:creator>
  <cp:lastModifiedBy>Evariste MANIRUMVA</cp:lastModifiedBy>
  <cp:lastPrinted>2025-04-07T22:46:08Z</cp:lastPrinted>
  <dcterms:created xsi:type="dcterms:W3CDTF">2015-06-05T18:17:20Z</dcterms:created>
  <dcterms:modified xsi:type="dcterms:W3CDTF">2026-02-09T13:06:45Z</dcterms:modified>
</cp:coreProperties>
</file>