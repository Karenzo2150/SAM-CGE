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EARAGIE\Dropbox (IFPRI)\Nexus Project\7 AgGDP+\SAMs\RWA_X104\Temp\Rwanda SAM (Final Version)\"/>
    </mc:Choice>
  </mc:AlternateContent>
  <xr:revisionPtr revIDLastSave="0" documentId="13_ncr:1_{B045C693-058B-49BD-ADDF-FEB2A6E19382}" xr6:coauthVersionLast="45" xr6:coauthVersionMax="45" xr10:uidLastSave="{00000000-0000-0000-0000-000000000000}"/>
  <bookViews>
    <workbookView xWindow="28680" yWindow="-120" windowWidth="24240" windowHeight="13140" activeTab="9" xr2:uid="{00000000-000D-0000-FFFF-FFFF00000000}"/>
  </bookViews>
  <sheets>
    <sheet name="Notes" sheetId="5" r:id="rId1"/>
    <sheet name="Index" sheetId="1" r:id="rId2"/>
    <sheet name="Sets" sheetId="2" r:id="rId3"/>
    <sheet name="FA" sheetId="3" r:id="rId4"/>
    <sheet name="MF" sheetId="6" r:id="rId5"/>
    <sheet name="HF" sheetId="7" r:id="rId6"/>
    <sheet name="AH" sheetId="8" r:id="rId7"/>
    <sheet name="CH" sheetId="9" r:id="rId8"/>
    <sheet name="MH" sheetId="10" r:id="rId9"/>
    <sheet name="SVY" sheetId="4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549" i="4" l="1"/>
  <c r="AH548" i="4"/>
  <c r="AH547" i="4"/>
  <c r="AH546" i="4"/>
  <c r="AH545" i="4"/>
  <c r="AH544" i="4"/>
  <c r="AH543" i="4"/>
  <c r="AH542" i="4"/>
  <c r="AH541" i="4"/>
  <c r="AH540" i="4"/>
  <c r="AH539" i="4"/>
  <c r="AH538" i="4"/>
  <c r="AH537" i="4"/>
  <c r="AH536" i="4"/>
  <c r="AH535" i="4"/>
  <c r="AH534" i="4"/>
  <c r="AH533" i="4"/>
  <c r="AH532" i="4"/>
  <c r="AB532" i="4"/>
  <c r="AH531" i="4"/>
  <c r="AH530" i="4"/>
  <c r="M130" i="4" l="1"/>
  <c r="S118" i="4" l="1"/>
  <c r="D521" i="4" l="1"/>
  <c r="C24" i="6" s="1"/>
  <c r="D520" i="4"/>
  <c r="D519" i="4"/>
  <c r="C22" i="6" s="1"/>
  <c r="D518" i="4"/>
  <c r="C21" i="6" s="1"/>
  <c r="D517" i="4"/>
  <c r="C20" i="6" s="1"/>
  <c r="D516" i="4"/>
  <c r="D515" i="4"/>
  <c r="D514" i="4"/>
  <c r="C17" i="6" s="1"/>
  <c r="D513" i="4"/>
  <c r="C16" i="6" s="1"/>
  <c r="D512" i="4"/>
  <c r="D511" i="4"/>
  <c r="C14" i="6" s="1"/>
  <c r="D510" i="4"/>
  <c r="C13" i="6" s="1"/>
  <c r="D509" i="4"/>
  <c r="C12" i="6" s="1"/>
  <c r="D508" i="4"/>
  <c r="D507" i="4"/>
  <c r="D506" i="4"/>
  <c r="C9" i="6" s="1"/>
  <c r="D505" i="4"/>
  <c r="H24" i="6"/>
  <c r="G24" i="6"/>
  <c r="F24" i="6"/>
  <c r="E24" i="6"/>
  <c r="D24" i="6"/>
  <c r="H23" i="6"/>
  <c r="G23" i="6"/>
  <c r="F23" i="6"/>
  <c r="E23" i="6"/>
  <c r="D23" i="6"/>
  <c r="C23" i="6"/>
  <c r="H22" i="6"/>
  <c r="G22" i="6"/>
  <c r="F22" i="6"/>
  <c r="E22" i="6"/>
  <c r="D22" i="6"/>
  <c r="H21" i="6"/>
  <c r="G21" i="6"/>
  <c r="F21" i="6"/>
  <c r="E21" i="6"/>
  <c r="D21" i="6"/>
  <c r="H20" i="6"/>
  <c r="G20" i="6"/>
  <c r="F20" i="6"/>
  <c r="E20" i="6"/>
  <c r="D20" i="6"/>
  <c r="H19" i="6"/>
  <c r="G19" i="6"/>
  <c r="F19" i="6"/>
  <c r="E19" i="6"/>
  <c r="D19" i="6"/>
  <c r="C19" i="6"/>
  <c r="H18" i="6"/>
  <c r="G18" i="6"/>
  <c r="F18" i="6"/>
  <c r="E18" i="6"/>
  <c r="D18" i="6"/>
  <c r="C18" i="6"/>
  <c r="H17" i="6"/>
  <c r="G17" i="6"/>
  <c r="F17" i="6"/>
  <c r="E17" i="6"/>
  <c r="D17" i="6"/>
  <c r="H16" i="6"/>
  <c r="G16" i="6"/>
  <c r="F16" i="6"/>
  <c r="E16" i="6"/>
  <c r="D16" i="6"/>
  <c r="H15" i="6"/>
  <c r="G15" i="6"/>
  <c r="F15" i="6"/>
  <c r="E15" i="6"/>
  <c r="D15" i="6"/>
  <c r="C15" i="6"/>
  <c r="H14" i="6"/>
  <c r="G14" i="6"/>
  <c r="F14" i="6"/>
  <c r="E14" i="6"/>
  <c r="D14" i="6"/>
  <c r="H13" i="6"/>
  <c r="G13" i="6"/>
  <c r="F13" i="6"/>
  <c r="E13" i="6"/>
  <c r="D13" i="6"/>
  <c r="H12" i="6"/>
  <c r="G12" i="6"/>
  <c r="F12" i="6"/>
  <c r="E12" i="6"/>
  <c r="D12" i="6"/>
  <c r="H11" i="6"/>
  <c r="G11" i="6"/>
  <c r="F11" i="6"/>
  <c r="E11" i="6"/>
  <c r="D11" i="6"/>
  <c r="C11" i="6"/>
  <c r="H10" i="6"/>
  <c r="G10" i="6"/>
  <c r="F10" i="6"/>
  <c r="E10" i="6"/>
  <c r="D10" i="6"/>
  <c r="C10" i="6"/>
  <c r="H9" i="6"/>
  <c r="G9" i="6"/>
  <c r="F9" i="6"/>
  <c r="E9" i="6"/>
  <c r="D9" i="6"/>
  <c r="H8" i="6"/>
  <c r="G8" i="6"/>
  <c r="F8" i="6"/>
  <c r="E8" i="6"/>
  <c r="D8" i="6"/>
  <c r="C8" i="6"/>
  <c r="I521" i="4"/>
  <c r="H521" i="4"/>
  <c r="G521" i="4"/>
  <c r="F521" i="4"/>
  <c r="E521" i="4"/>
  <c r="I520" i="4"/>
  <c r="H520" i="4"/>
  <c r="G520" i="4"/>
  <c r="F520" i="4"/>
  <c r="E520" i="4"/>
  <c r="I519" i="4"/>
  <c r="H519" i="4"/>
  <c r="G519" i="4"/>
  <c r="F519" i="4"/>
  <c r="E519" i="4"/>
  <c r="I518" i="4"/>
  <c r="H518" i="4"/>
  <c r="G518" i="4"/>
  <c r="F518" i="4"/>
  <c r="E518" i="4"/>
  <c r="I517" i="4"/>
  <c r="H517" i="4"/>
  <c r="G517" i="4"/>
  <c r="F517" i="4"/>
  <c r="E517" i="4"/>
  <c r="I516" i="4"/>
  <c r="H516" i="4"/>
  <c r="G516" i="4"/>
  <c r="F516" i="4"/>
  <c r="E516" i="4"/>
  <c r="I515" i="4"/>
  <c r="H515" i="4"/>
  <c r="G515" i="4"/>
  <c r="F515" i="4"/>
  <c r="E515" i="4"/>
  <c r="I514" i="4"/>
  <c r="H514" i="4"/>
  <c r="G514" i="4"/>
  <c r="F514" i="4"/>
  <c r="E514" i="4"/>
  <c r="I513" i="4"/>
  <c r="H513" i="4"/>
  <c r="G513" i="4"/>
  <c r="F513" i="4"/>
  <c r="E513" i="4"/>
  <c r="I512" i="4"/>
  <c r="H512" i="4"/>
  <c r="G512" i="4"/>
  <c r="F512" i="4"/>
  <c r="E512" i="4"/>
  <c r="I511" i="4"/>
  <c r="H511" i="4"/>
  <c r="G511" i="4"/>
  <c r="F511" i="4"/>
  <c r="E511" i="4"/>
  <c r="I510" i="4"/>
  <c r="H510" i="4"/>
  <c r="G510" i="4"/>
  <c r="F510" i="4"/>
  <c r="E510" i="4"/>
  <c r="I509" i="4"/>
  <c r="H509" i="4"/>
  <c r="G509" i="4"/>
  <c r="F509" i="4"/>
  <c r="E509" i="4"/>
  <c r="I508" i="4"/>
  <c r="H508" i="4"/>
  <c r="G508" i="4"/>
  <c r="F508" i="4"/>
  <c r="E508" i="4"/>
  <c r="I507" i="4"/>
  <c r="H507" i="4"/>
  <c r="G507" i="4"/>
  <c r="F507" i="4"/>
  <c r="E507" i="4"/>
  <c r="I506" i="4"/>
  <c r="H506" i="4"/>
  <c r="G506" i="4"/>
  <c r="F506" i="4"/>
  <c r="E506" i="4"/>
  <c r="I505" i="4"/>
  <c r="H505" i="4"/>
  <c r="G505" i="4"/>
  <c r="F505" i="4"/>
  <c r="E505" i="4"/>
  <c r="V27" i="10"/>
  <c r="V26" i="10"/>
  <c r="V25" i="10"/>
  <c r="V24" i="10"/>
  <c r="V23" i="10"/>
  <c r="V22" i="10"/>
  <c r="V21" i="10"/>
  <c r="V20" i="10"/>
  <c r="V19" i="10"/>
  <c r="V18" i="10"/>
  <c r="V17" i="10"/>
  <c r="V16" i="10"/>
  <c r="V15" i="10"/>
  <c r="V14" i="10"/>
  <c r="V13" i="10"/>
  <c r="V12" i="10"/>
  <c r="V11" i="10"/>
  <c r="V10" i="10"/>
  <c r="V9" i="10"/>
  <c r="V8" i="10"/>
  <c r="AL549" i="4"/>
  <c r="O549" i="4" s="1"/>
  <c r="AL548" i="4"/>
  <c r="O548" i="4" s="1"/>
  <c r="AL547" i="4"/>
  <c r="O547" i="4" s="1"/>
  <c r="AL546" i="4"/>
  <c r="O546" i="4" s="1"/>
  <c r="AL545" i="4"/>
  <c r="AL544" i="4"/>
  <c r="O544" i="4" s="1"/>
  <c r="AL543" i="4"/>
  <c r="O543" i="4" s="1"/>
  <c r="AL542" i="4"/>
  <c r="O542" i="4" s="1"/>
  <c r="AL541" i="4"/>
  <c r="O541" i="4" s="1"/>
  <c r="AL540" i="4"/>
  <c r="O540" i="4" s="1"/>
  <c r="AL539" i="4"/>
  <c r="AL538" i="4"/>
  <c r="O538" i="4" s="1"/>
  <c r="AL537" i="4"/>
  <c r="O537" i="4" s="1"/>
  <c r="AL536" i="4"/>
  <c r="O536" i="4" s="1"/>
  <c r="AL535" i="4"/>
  <c r="O535" i="4" s="1"/>
  <c r="AL534" i="4"/>
  <c r="O534" i="4" s="1"/>
  <c r="AL533" i="4"/>
  <c r="O533" i="4" s="1"/>
  <c r="AL532" i="4"/>
  <c r="O532" i="4" s="1"/>
  <c r="AL531" i="4"/>
  <c r="O531" i="4" s="1"/>
  <c r="AL530" i="4"/>
  <c r="O530" i="4" s="1"/>
  <c r="AQ549" i="4"/>
  <c r="T549" i="4" s="1"/>
  <c r="AQ548" i="4"/>
  <c r="T548" i="4" s="1"/>
  <c r="AQ547" i="4"/>
  <c r="T547" i="4" s="1"/>
  <c r="AQ546" i="4"/>
  <c r="AQ545" i="4"/>
  <c r="T545" i="4" s="1"/>
  <c r="AQ544" i="4"/>
  <c r="T544" i="4" s="1"/>
  <c r="AQ543" i="4"/>
  <c r="AQ542" i="4"/>
  <c r="T542" i="4" s="1"/>
  <c r="AQ541" i="4"/>
  <c r="T541" i="4" s="1"/>
  <c r="AQ540" i="4"/>
  <c r="T540" i="4" s="1"/>
  <c r="AQ539" i="4"/>
  <c r="T539" i="4" s="1"/>
  <c r="AQ538" i="4"/>
  <c r="T538" i="4" s="1"/>
  <c r="AQ537" i="4"/>
  <c r="T537" i="4" s="1"/>
  <c r="AQ536" i="4"/>
  <c r="AQ535" i="4"/>
  <c r="T535" i="4" s="1"/>
  <c r="AQ534" i="4"/>
  <c r="AQ533" i="4"/>
  <c r="T533" i="4" s="1"/>
  <c r="AQ532" i="4"/>
  <c r="T532" i="4" s="1"/>
  <c r="AQ531" i="4"/>
  <c r="T531" i="4" s="1"/>
  <c r="AQ530" i="4"/>
  <c r="AO549" i="4"/>
  <c r="R549" i="4" s="1"/>
  <c r="AO548" i="4"/>
  <c r="R548" i="4" s="1"/>
  <c r="AO547" i="4"/>
  <c r="AO546" i="4"/>
  <c r="R546" i="4" s="1"/>
  <c r="AO545" i="4"/>
  <c r="R545" i="4" s="1"/>
  <c r="AO544" i="4"/>
  <c r="R544" i="4" s="1"/>
  <c r="AO543" i="4"/>
  <c r="R543" i="4" s="1"/>
  <c r="AO542" i="4"/>
  <c r="AO541" i="4"/>
  <c r="R541" i="4" s="1"/>
  <c r="AO540" i="4"/>
  <c r="R540" i="4" s="1"/>
  <c r="AO539" i="4"/>
  <c r="R539" i="4" s="1"/>
  <c r="AO538" i="4"/>
  <c r="R538" i="4" s="1"/>
  <c r="AO537" i="4"/>
  <c r="R537" i="4" s="1"/>
  <c r="AO536" i="4"/>
  <c r="R536" i="4" s="1"/>
  <c r="AO535" i="4"/>
  <c r="R535" i="4" s="1"/>
  <c r="AO534" i="4"/>
  <c r="R534" i="4" s="1"/>
  <c r="AO533" i="4"/>
  <c r="R533" i="4" s="1"/>
  <c r="AO532" i="4"/>
  <c r="R532" i="4" s="1"/>
  <c r="AO531" i="4"/>
  <c r="AO530" i="4"/>
  <c r="R530" i="4" s="1"/>
  <c r="O545" i="4"/>
  <c r="O539" i="4"/>
  <c r="S125" i="4" a="1"/>
  <c r="X125" i="4" s="1"/>
  <c r="AN549" i="4"/>
  <c r="Q549" i="4" s="1"/>
  <c r="AM549" i="4"/>
  <c r="P549" i="4" s="1"/>
  <c r="AN548" i="4"/>
  <c r="Q548" i="4" s="1"/>
  <c r="AM548" i="4"/>
  <c r="P548" i="4" s="1"/>
  <c r="R547" i="4"/>
  <c r="AN547" i="4"/>
  <c r="Q547" i="4" s="1"/>
  <c r="AM547" i="4"/>
  <c r="P547" i="4" s="1"/>
  <c r="T546" i="4"/>
  <c r="AN546" i="4"/>
  <c r="Q546" i="4" s="1"/>
  <c r="AM546" i="4"/>
  <c r="P546" i="4" s="1"/>
  <c r="AN545" i="4"/>
  <c r="Q545" i="4" s="1"/>
  <c r="AM545" i="4"/>
  <c r="P545" i="4" s="1"/>
  <c r="AN544" i="4"/>
  <c r="Q544" i="4" s="1"/>
  <c r="AM544" i="4"/>
  <c r="P544" i="4" s="1"/>
  <c r="T543" i="4"/>
  <c r="AN543" i="4"/>
  <c r="Q543" i="4" s="1"/>
  <c r="AM543" i="4"/>
  <c r="P543" i="4" s="1"/>
  <c r="R542" i="4"/>
  <c r="AN542" i="4"/>
  <c r="Q542" i="4" s="1"/>
  <c r="AM542" i="4"/>
  <c r="P542" i="4" s="1"/>
  <c r="AN541" i="4"/>
  <c r="Q541" i="4" s="1"/>
  <c r="AM541" i="4"/>
  <c r="P541" i="4" s="1"/>
  <c r="AN540" i="4"/>
  <c r="Q540" i="4" s="1"/>
  <c r="AM540" i="4"/>
  <c r="P540" i="4" s="1"/>
  <c r="AN539" i="4"/>
  <c r="Q539" i="4" s="1"/>
  <c r="AM539" i="4"/>
  <c r="P539" i="4" s="1"/>
  <c r="AN538" i="4"/>
  <c r="Q538" i="4" s="1"/>
  <c r="AM538" i="4"/>
  <c r="P538" i="4" s="1"/>
  <c r="AN537" i="4"/>
  <c r="Q537" i="4" s="1"/>
  <c r="AM537" i="4"/>
  <c r="P537" i="4" s="1"/>
  <c r="T536" i="4"/>
  <c r="AN536" i="4"/>
  <c r="Q536" i="4" s="1"/>
  <c r="AM536" i="4"/>
  <c r="P536" i="4" s="1"/>
  <c r="AN535" i="4"/>
  <c r="Q535" i="4" s="1"/>
  <c r="AM535" i="4"/>
  <c r="P535" i="4" s="1"/>
  <c r="T534" i="4"/>
  <c r="AN534" i="4"/>
  <c r="Q534" i="4" s="1"/>
  <c r="AM534" i="4"/>
  <c r="P534" i="4" s="1"/>
  <c r="AN533" i="4"/>
  <c r="Q533" i="4" s="1"/>
  <c r="AM533" i="4"/>
  <c r="P533" i="4" s="1"/>
  <c r="AN532" i="4"/>
  <c r="Q532" i="4" s="1"/>
  <c r="AM532" i="4"/>
  <c r="P532" i="4" s="1"/>
  <c r="R531" i="4"/>
  <c r="AN531" i="4"/>
  <c r="Q531" i="4" s="1"/>
  <c r="AM531" i="4"/>
  <c r="P531" i="4" s="1"/>
  <c r="T530" i="4"/>
  <c r="AN530" i="4"/>
  <c r="Q530" i="4" s="1"/>
  <c r="AM530" i="4"/>
  <c r="P530" i="4" s="1"/>
  <c r="BR471" i="4"/>
  <c r="AI471" i="4" s="1"/>
  <c r="BR470" i="4"/>
  <c r="AI470" i="4" s="1"/>
  <c r="BR469" i="4"/>
  <c r="AI469" i="4" s="1"/>
  <c r="BR468" i="4"/>
  <c r="AI468" i="4" s="1"/>
  <c r="BR467" i="4"/>
  <c r="AI467" i="4" s="1"/>
  <c r="BR466" i="4"/>
  <c r="AI466" i="4" s="1"/>
  <c r="BR465" i="4"/>
  <c r="AI465" i="4" s="1"/>
  <c r="BR464" i="4"/>
  <c r="AI464" i="4" s="1"/>
  <c r="BR463" i="4"/>
  <c r="AI463" i="4" s="1"/>
  <c r="BR462" i="4"/>
  <c r="AI462" i="4" s="1"/>
  <c r="BR461" i="4"/>
  <c r="AI461" i="4" s="1"/>
  <c r="BR460" i="4"/>
  <c r="AI460" i="4" s="1"/>
  <c r="BR459" i="4"/>
  <c r="AI459" i="4" s="1"/>
  <c r="BR458" i="4"/>
  <c r="AI458" i="4" s="1"/>
  <c r="BR457" i="4"/>
  <c r="AI457" i="4" s="1"/>
  <c r="BR456" i="4"/>
  <c r="AI456" i="4" s="1"/>
  <c r="BR455" i="4"/>
  <c r="AI455" i="4" s="1"/>
  <c r="BR454" i="4"/>
  <c r="AI454" i="4" s="1"/>
  <c r="BR453" i="4"/>
  <c r="AI453" i="4" s="1"/>
  <c r="BR452" i="4"/>
  <c r="AI452" i="4" s="1"/>
  <c r="BQ471" i="4"/>
  <c r="AH471" i="4" s="1"/>
  <c r="BQ470" i="4"/>
  <c r="AH470" i="4" s="1"/>
  <c r="BQ469" i="4"/>
  <c r="AH469" i="4" s="1"/>
  <c r="BQ468" i="4"/>
  <c r="AH468" i="4" s="1"/>
  <c r="BQ467" i="4"/>
  <c r="AH467" i="4" s="1"/>
  <c r="BQ466" i="4"/>
  <c r="AH466" i="4" s="1"/>
  <c r="BQ465" i="4"/>
  <c r="AH465" i="4" s="1"/>
  <c r="BQ464" i="4"/>
  <c r="AH464" i="4" s="1"/>
  <c r="BQ463" i="4"/>
  <c r="AH463" i="4" s="1"/>
  <c r="BQ462" i="4"/>
  <c r="AH462" i="4" s="1"/>
  <c r="BQ461" i="4"/>
  <c r="AH461" i="4" s="1"/>
  <c r="BQ460" i="4"/>
  <c r="AH460" i="4" s="1"/>
  <c r="BQ459" i="4"/>
  <c r="AH459" i="4" s="1"/>
  <c r="BQ458" i="4"/>
  <c r="AH458" i="4" s="1"/>
  <c r="BQ457" i="4"/>
  <c r="AH457" i="4" s="1"/>
  <c r="BQ456" i="4"/>
  <c r="AH456" i="4" s="1"/>
  <c r="BQ455" i="4"/>
  <c r="AH455" i="4" s="1"/>
  <c r="BQ454" i="4"/>
  <c r="AH454" i="4" s="1"/>
  <c r="BQ453" i="4"/>
  <c r="AH453" i="4" s="1"/>
  <c r="BQ452" i="4"/>
  <c r="AH452" i="4" s="1"/>
  <c r="BP452" i="4"/>
  <c r="AG452" i="4" s="1"/>
  <c r="BP471" i="4"/>
  <c r="AG471" i="4" s="1"/>
  <c r="BP470" i="4"/>
  <c r="AG470" i="4" s="1"/>
  <c r="BP469" i="4"/>
  <c r="AG469" i="4" s="1"/>
  <c r="BP468" i="4"/>
  <c r="AG468" i="4" s="1"/>
  <c r="BP467" i="4"/>
  <c r="AG467" i="4" s="1"/>
  <c r="BP466" i="4"/>
  <c r="AG466" i="4" s="1"/>
  <c r="BP465" i="4"/>
  <c r="AG465" i="4" s="1"/>
  <c r="BP464" i="4"/>
  <c r="AG464" i="4" s="1"/>
  <c r="BP463" i="4"/>
  <c r="AG463" i="4" s="1"/>
  <c r="BP462" i="4"/>
  <c r="BP461" i="4"/>
  <c r="AG461" i="4" s="1"/>
  <c r="BP460" i="4"/>
  <c r="AG460" i="4" s="1"/>
  <c r="BP459" i="4"/>
  <c r="AG459" i="4" s="1"/>
  <c r="BP458" i="4"/>
  <c r="AG458" i="4" s="1"/>
  <c r="BP457" i="4"/>
  <c r="AG457" i="4" s="1"/>
  <c r="BP456" i="4"/>
  <c r="AG456" i="4" s="1"/>
  <c r="BP455" i="4"/>
  <c r="AG455" i="4" s="1"/>
  <c r="BP454" i="4"/>
  <c r="AG454" i="4" s="1"/>
  <c r="BP453" i="4"/>
  <c r="AG453" i="4" s="1"/>
  <c r="BO471" i="4"/>
  <c r="AF471" i="4" s="1"/>
  <c r="BN471" i="4"/>
  <c r="AE471" i="4" s="1"/>
  <c r="BM471" i="4"/>
  <c r="AD471" i="4" s="1"/>
  <c r="BL471" i="4"/>
  <c r="AC471" i="4" s="1"/>
  <c r="BK471" i="4"/>
  <c r="AB471" i="4" s="1"/>
  <c r="BJ471" i="4"/>
  <c r="AA471" i="4" s="1"/>
  <c r="BI471" i="4"/>
  <c r="Z471" i="4" s="1"/>
  <c r="BH471" i="4"/>
  <c r="Y471" i="4" s="1"/>
  <c r="BG471" i="4"/>
  <c r="X471" i="4" s="1"/>
  <c r="BF471" i="4"/>
  <c r="W471" i="4" s="1"/>
  <c r="BE471" i="4"/>
  <c r="V471" i="4" s="1"/>
  <c r="BD471" i="4"/>
  <c r="U471" i="4" s="1"/>
  <c r="BO470" i="4"/>
  <c r="AF470" i="4" s="1"/>
  <c r="BN470" i="4"/>
  <c r="AE470" i="4" s="1"/>
  <c r="BM470" i="4"/>
  <c r="AD470" i="4" s="1"/>
  <c r="BL470" i="4"/>
  <c r="AC470" i="4" s="1"/>
  <c r="BK470" i="4"/>
  <c r="AB470" i="4" s="1"/>
  <c r="BJ470" i="4"/>
  <c r="AA470" i="4" s="1"/>
  <c r="BI470" i="4"/>
  <c r="Z470" i="4" s="1"/>
  <c r="BH470" i="4"/>
  <c r="Y470" i="4" s="1"/>
  <c r="BG470" i="4"/>
  <c r="X470" i="4" s="1"/>
  <c r="BF470" i="4"/>
  <c r="W470" i="4" s="1"/>
  <c r="BE470" i="4"/>
  <c r="V470" i="4" s="1"/>
  <c r="BD470" i="4"/>
  <c r="U470" i="4" s="1"/>
  <c r="BN469" i="4"/>
  <c r="BM469" i="4"/>
  <c r="AD469" i="4" s="1"/>
  <c r="BL469" i="4"/>
  <c r="AC469" i="4" s="1"/>
  <c r="BK469" i="4"/>
  <c r="AB469" i="4" s="1"/>
  <c r="BJ469" i="4"/>
  <c r="AA469" i="4" s="1"/>
  <c r="BI469" i="4"/>
  <c r="Z469" i="4" s="1"/>
  <c r="BH469" i="4"/>
  <c r="Y469" i="4" s="1"/>
  <c r="BG469" i="4"/>
  <c r="X469" i="4" s="1"/>
  <c r="BF469" i="4"/>
  <c r="W469" i="4" s="1"/>
  <c r="BE469" i="4"/>
  <c r="V469" i="4" s="1"/>
  <c r="BD469" i="4"/>
  <c r="U469" i="4" s="1"/>
  <c r="BN468" i="4"/>
  <c r="BM468" i="4"/>
  <c r="AD468" i="4" s="1"/>
  <c r="BL468" i="4"/>
  <c r="AC468" i="4" s="1"/>
  <c r="BK468" i="4"/>
  <c r="AB468" i="4" s="1"/>
  <c r="BJ468" i="4"/>
  <c r="AA468" i="4" s="1"/>
  <c r="BI468" i="4"/>
  <c r="Z468" i="4" s="1"/>
  <c r="BH468" i="4"/>
  <c r="Y468" i="4" s="1"/>
  <c r="BG468" i="4"/>
  <c r="X468" i="4" s="1"/>
  <c r="BF468" i="4"/>
  <c r="W468" i="4" s="1"/>
  <c r="BE468" i="4"/>
  <c r="V468" i="4" s="1"/>
  <c r="BD468" i="4"/>
  <c r="U468" i="4" s="1"/>
  <c r="BN467" i="4"/>
  <c r="AE467" i="4" s="1"/>
  <c r="BM467" i="4"/>
  <c r="AD467" i="4" s="1"/>
  <c r="BL467" i="4"/>
  <c r="AC467" i="4" s="1"/>
  <c r="BK467" i="4"/>
  <c r="AB467" i="4" s="1"/>
  <c r="BJ467" i="4"/>
  <c r="AA467" i="4" s="1"/>
  <c r="BI467" i="4"/>
  <c r="Z467" i="4" s="1"/>
  <c r="BH467" i="4"/>
  <c r="Y467" i="4" s="1"/>
  <c r="BG467" i="4"/>
  <c r="X467" i="4" s="1"/>
  <c r="BF467" i="4"/>
  <c r="W467" i="4" s="1"/>
  <c r="BE467" i="4"/>
  <c r="V467" i="4" s="1"/>
  <c r="BD467" i="4"/>
  <c r="U467" i="4" s="1"/>
  <c r="BO466" i="4"/>
  <c r="AF466" i="4" s="1"/>
  <c r="BN466" i="4"/>
  <c r="AE466" i="4" s="1"/>
  <c r="BM466" i="4"/>
  <c r="AD466" i="4" s="1"/>
  <c r="BL466" i="4"/>
  <c r="AC466" i="4" s="1"/>
  <c r="BK466" i="4"/>
  <c r="AB466" i="4" s="1"/>
  <c r="BJ466" i="4"/>
  <c r="AA466" i="4" s="1"/>
  <c r="BI466" i="4"/>
  <c r="Z466" i="4" s="1"/>
  <c r="BH466" i="4"/>
  <c r="Y466" i="4" s="1"/>
  <c r="BG466" i="4"/>
  <c r="X466" i="4" s="1"/>
  <c r="BF466" i="4"/>
  <c r="W466" i="4" s="1"/>
  <c r="BE466" i="4"/>
  <c r="V466" i="4" s="1"/>
  <c r="BD466" i="4"/>
  <c r="U466" i="4" s="1"/>
  <c r="BO465" i="4"/>
  <c r="AF465" i="4" s="1"/>
  <c r="BN465" i="4"/>
  <c r="AE465" i="4" s="1"/>
  <c r="BM465" i="4"/>
  <c r="AD465" i="4" s="1"/>
  <c r="BL465" i="4"/>
  <c r="AC465" i="4" s="1"/>
  <c r="BK465" i="4"/>
  <c r="AB465" i="4" s="1"/>
  <c r="BJ465" i="4"/>
  <c r="AA465" i="4" s="1"/>
  <c r="BI465" i="4"/>
  <c r="Z465" i="4" s="1"/>
  <c r="BH465" i="4"/>
  <c r="Y465" i="4" s="1"/>
  <c r="BG465" i="4"/>
  <c r="X465" i="4" s="1"/>
  <c r="BF465" i="4"/>
  <c r="W465" i="4" s="1"/>
  <c r="BE465" i="4"/>
  <c r="V465" i="4" s="1"/>
  <c r="BD465" i="4"/>
  <c r="U465" i="4" s="1"/>
  <c r="BO464" i="4"/>
  <c r="AF464" i="4" s="1"/>
  <c r="BN464" i="4"/>
  <c r="AE464" i="4" s="1"/>
  <c r="BM464" i="4"/>
  <c r="AD464" i="4" s="1"/>
  <c r="BL464" i="4"/>
  <c r="AC464" i="4" s="1"/>
  <c r="BK464" i="4"/>
  <c r="AB464" i="4" s="1"/>
  <c r="BJ464" i="4"/>
  <c r="AA464" i="4" s="1"/>
  <c r="BI464" i="4"/>
  <c r="Z464" i="4" s="1"/>
  <c r="BH464" i="4"/>
  <c r="Y464" i="4" s="1"/>
  <c r="BG464" i="4"/>
  <c r="X464" i="4" s="1"/>
  <c r="BF464" i="4"/>
  <c r="W464" i="4" s="1"/>
  <c r="BE464" i="4"/>
  <c r="V464" i="4" s="1"/>
  <c r="BD464" i="4"/>
  <c r="U464" i="4" s="1"/>
  <c r="BO463" i="4"/>
  <c r="AF463" i="4" s="1"/>
  <c r="BN463" i="4"/>
  <c r="AE463" i="4" s="1"/>
  <c r="BM463" i="4"/>
  <c r="AD463" i="4" s="1"/>
  <c r="BL463" i="4"/>
  <c r="AC463" i="4" s="1"/>
  <c r="BJ463" i="4"/>
  <c r="BI463" i="4"/>
  <c r="Z463" i="4" s="1"/>
  <c r="BH463" i="4"/>
  <c r="Y463" i="4" s="1"/>
  <c r="BG463" i="4"/>
  <c r="X463" i="4" s="1"/>
  <c r="BF463" i="4"/>
  <c r="W463" i="4" s="1"/>
  <c r="BE463" i="4"/>
  <c r="V463" i="4" s="1"/>
  <c r="BD463" i="4"/>
  <c r="U463" i="4" s="1"/>
  <c r="BO462" i="4"/>
  <c r="AF462" i="4" s="1"/>
  <c r="BN462" i="4"/>
  <c r="AE462" i="4" s="1"/>
  <c r="BM462" i="4"/>
  <c r="AD462" i="4" s="1"/>
  <c r="BL462" i="4"/>
  <c r="AC462" i="4" s="1"/>
  <c r="BJ462" i="4"/>
  <c r="BI462" i="4"/>
  <c r="Z462" i="4" s="1"/>
  <c r="BH462" i="4"/>
  <c r="Y462" i="4" s="1"/>
  <c r="BG462" i="4"/>
  <c r="X462" i="4" s="1"/>
  <c r="BF462" i="4"/>
  <c r="W462" i="4" s="1"/>
  <c r="BE462" i="4"/>
  <c r="V462" i="4" s="1"/>
  <c r="BD462" i="4"/>
  <c r="U462" i="4" s="1"/>
  <c r="BO461" i="4"/>
  <c r="AF461" i="4" s="1"/>
  <c r="BN461" i="4"/>
  <c r="AE461" i="4" s="1"/>
  <c r="BM461" i="4"/>
  <c r="AD461" i="4" s="1"/>
  <c r="BL461" i="4"/>
  <c r="AC461" i="4" s="1"/>
  <c r="BK461" i="4"/>
  <c r="AB461" i="4" s="1"/>
  <c r="BJ461" i="4"/>
  <c r="AA461" i="4" s="1"/>
  <c r="BI461" i="4"/>
  <c r="Z461" i="4" s="1"/>
  <c r="BH461" i="4"/>
  <c r="Y461" i="4" s="1"/>
  <c r="BG461" i="4"/>
  <c r="X461" i="4" s="1"/>
  <c r="BF461" i="4"/>
  <c r="W461" i="4" s="1"/>
  <c r="BE461" i="4"/>
  <c r="V461" i="4" s="1"/>
  <c r="BD461" i="4"/>
  <c r="U461" i="4" s="1"/>
  <c r="BO460" i="4"/>
  <c r="AF460" i="4" s="1"/>
  <c r="BN460" i="4"/>
  <c r="AE460" i="4" s="1"/>
  <c r="BM460" i="4"/>
  <c r="AD460" i="4" s="1"/>
  <c r="BL460" i="4"/>
  <c r="AC460" i="4" s="1"/>
  <c r="BK460" i="4"/>
  <c r="AB460" i="4" s="1"/>
  <c r="BJ460" i="4"/>
  <c r="AA460" i="4" s="1"/>
  <c r="BI460" i="4"/>
  <c r="Z460" i="4" s="1"/>
  <c r="BH460" i="4"/>
  <c r="Y460" i="4" s="1"/>
  <c r="BG460" i="4"/>
  <c r="X460" i="4" s="1"/>
  <c r="BF460" i="4"/>
  <c r="W460" i="4" s="1"/>
  <c r="BE460" i="4"/>
  <c r="V460" i="4" s="1"/>
  <c r="BD460" i="4"/>
  <c r="U460" i="4" s="1"/>
  <c r="BO459" i="4"/>
  <c r="AF459" i="4" s="1"/>
  <c r="BN459" i="4"/>
  <c r="AE459" i="4" s="1"/>
  <c r="BM459" i="4"/>
  <c r="AD459" i="4" s="1"/>
  <c r="BL459" i="4"/>
  <c r="AC459" i="4" s="1"/>
  <c r="BK459" i="4"/>
  <c r="AB459" i="4" s="1"/>
  <c r="BJ459" i="4"/>
  <c r="AA459" i="4" s="1"/>
  <c r="BI459" i="4"/>
  <c r="Z459" i="4" s="1"/>
  <c r="BH459" i="4"/>
  <c r="Y459" i="4" s="1"/>
  <c r="BG459" i="4"/>
  <c r="X459" i="4" s="1"/>
  <c r="BF459" i="4"/>
  <c r="W459" i="4" s="1"/>
  <c r="BE459" i="4"/>
  <c r="V459" i="4" s="1"/>
  <c r="BD459" i="4"/>
  <c r="U459" i="4" s="1"/>
  <c r="BO458" i="4"/>
  <c r="AF458" i="4" s="1"/>
  <c r="BN458" i="4"/>
  <c r="AE458" i="4" s="1"/>
  <c r="BM458" i="4"/>
  <c r="AD458" i="4" s="1"/>
  <c r="BL458" i="4"/>
  <c r="AC458" i="4" s="1"/>
  <c r="BK458" i="4"/>
  <c r="AB458" i="4" s="1"/>
  <c r="BJ458" i="4"/>
  <c r="AA458" i="4" s="1"/>
  <c r="BI458" i="4"/>
  <c r="Z458" i="4" s="1"/>
  <c r="BH458" i="4"/>
  <c r="Y458" i="4" s="1"/>
  <c r="BG458" i="4"/>
  <c r="X458" i="4" s="1"/>
  <c r="BF458" i="4"/>
  <c r="W458" i="4" s="1"/>
  <c r="BE458" i="4"/>
  <c r="V458" i="4" s="1"/>
  <c r="BD458" i="4"/>
  <c r="U458" i="4" s="1"/>
  <c r="BO457" i="4"/>
  <c r="AF457" i="4" s="1"/>
  <c r="BN457" i="4"/>
  <c r="AE457" i="4" s="1"/>
  <c r="BM457" i="4"/>
  <c r="AD457" i="4" s="1"/>
  <c r="BL457" i="4"/>
  <c r="AC457" i="4" s="1"/>
  <c r="BK457" i="4"/>
  <c r="AB457" i="4" s="1"/>
  <c r="BJ457" i="4"/>
  <c r="AA457" i="4" s="1"/>
  <c r="BI457" i="4"/>
  <c r="Z457" i="4" s="1"/>
  <c r="BH457" i="4"/>
  <c r="Y457" i="4" s="1"/>
  <c r="BF457" i="4"/>
  <c r="BE457" i="4"/>
  <c r="V457" i="4" s="1"/>
  <c r="BD457" i="4"/>
  <c r="U457" i="4" s="1"/>
  <c r="BO456" i="4"/>
  <c r="AF456" i="4" s="1"/>
  <c r="BN456" i="4"/>
  <c r="AE456" i="4" s="1"/>
  <c r="BM456" i="4"/>
  <c r="AD456" i="4" s="1"/>
  <c r="BL456" i="4"/>
  <c r="AC456" i="4" s="1"/>
  <c r="BK456" i="4"/>
  <c r="AB456" i="4" s="1"/>
  <c r="BJ456" i="4"/>
  <c r="AA456" i="4" s="1"/>
  <c r="BI456" i="4"/>
  <c r="Z456" i="4" s="1"/>
  <c r="BH456" i="4"/>
  <c r="Y456" i="4" s="1"/>
  <c r="BG456" i="4"/>
  <c r="X456" i="4" s="1"/>
  <c r="BF456" i="4"/>
  <c r="W456" i="4" s="1"/>
  <c r="BE456" i="4"/>
  <c r="V456" i="4" s="1"/>
  <c r="BD456" i="4"/>
  <c r="U456" i="4" s="1"/>
  <c r="BO455" i="4"/>
  <c r="AF455" i="4" s="1"/>
  <c r="BN455" i="4"/>
  <c r="AE455" i="4" s="1"/>
  <c r="BM455" i="4"/>
  <c r="AD455" i="4" s="1"/>
  <c r="BL455" i="4"/>
  <c r="AC455" i="4" s="1"/>
  <c r="BK455" i="4"/>
  <c r="AB455" i="4" s="1"/>
  <c r="BJ455" i="4"/>
  <c r="AA455" i="4" s="1"/>
  <c r="BI455" i="4"/>
  <c r="Z455" i="4" s="1"/>
  <c r="BH455" i="4"/>
  <c r="Y455" i="4" s="1"/>
  <c r="BG455" i="4"/>
  <c r="X455" i="4" s="1"/>
  <c r="BF455" i="4"/>
  <c r="W455" i="4" s="1"/>
  <c r="BE455" i="4"/>
  <c r="V455" i="4" s="1"/>
  <c r="BD455" i="4"/>
  <c r="U455" i="4" s="1"/>
  <c r="BO454" i="4"/>
  <c r="AF454" i="4" s="1"/>
  <c r="BN454" i="4"/>
  <c r="AE454" i="4" s="1"/>
  <c r="BM454" i="4"/>
  <c r="AD454" i="4" s="1"/>
  <c r="BL454" i="4"/>
  <c r="AC454" i="4" s="1"/>
  <c r="BK454" i="4"/>
  <c r="AB454" i="4" s="1"/>
  <c r="BJ454" i="4"/>
  <c r="AA454" i="4" s="1"/>
  <c r="BI454" i="4"/>
  <c r="Z454" i="4" s="1"/>
  <c r="BH454" i="4"/>
  <c r="Y454" i="4" s="1"/>
  <c r="BG454" i="4"/>
  <c r="X454" i="4" s="1"/>
  <c r="BF454" i="4"/>
  <c r="W454" i="4" s="1"/>
  <c r="BE454" i="4"/>
  <c r="V454" i="4" s="1"/>
  <c r="BD454" i="4"/>
  <c r="U454" i="4" s="1"/>
  <c r="BO453" i="4"/>
  <c r="AF453" i="4" s="1"/>
  <c r="BN453" i="4"/>
  <c r="AE453" i="4" s="1"/>
  <c r="BM453" i="4"/>
  <c r="AD453" i="4" s="1"/>
  <c r="BL453" i="4"/>
  <c r="AC453" i="4" s="1"/>
  <c r="BK453" i="4"/>
  <c r="AB453" i="4" s="1"/>
  <c r="BJ453" i="4"/>
  <c r="AA453" i="4" s="1"/>
  <c r="BI453" i="4"/>
  <c r="Z453" i="4" s="1"/>
  <c r="BH453" i="4"/>
  <c r="Y453" i="4" s="1"/>
  <c r="BG453" i="4"/>
  <c r="X453" i="4" s="1"/>
  <c r="BF453" i="4"/>
  <c r="W453" i="4" s="1"/>
  <c r="BE453" i="4"/>
  <c r="V453" i="4" s="1"/>
  <c r="BD453" i="4"/>
  <c r="U453" i="4" s="1"/>
  <c r="BO452" i="4"/>
  <c r="AF452" i="4" s="1"/>
  <c r="BN452" i="4"/>
  <c r="AE452" i="4" s="1"/>
  <c r="BM452" i="4"/>
  <c r="AD452" i="4" s="1"/>
  <c r="BL452" i="4"/>
  <c r="AC452" i="4" s="1"/>
  <c r="BK452" i="4"/>
  <c r="AB452" i="4" s="1"/>
  <c r="BJ452" i="4"/>
  <c r="AA452" i="4" s="1"/>
  <c r="BI452" i="4"/>
  <c r="Z452" i="4" s="1"/>
  <c r="BH452" i="4"/>
  <c r="Y452" i="4" s="1"/>
  <c r="BG452" i="4"/>
  <c r="X452" i="4" s="1"/>
  <c r="BF452" i="4"/>
  <c r="W452" i="4" s="1"/>
  <c r="BE452" i="4"/>
  <c r="V452" i="4" s="1"/>
  <c r="BD452" i="4"/>
  <c r="U452" i="4" s="1"/>
  <c r="AQ475" i="4"/>
  <c r="AP475" i="4" s="1"/>
  <c r="BE475" i="4"/>
  <c r="BD475" i="4" s="1"/>
  <c r="AC475" i="4"/>
  <c r="AB475" i="4" s="1"/>
  <c r="O475" i="4"/>
  <c r="N475" i="4" s="1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S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9" i="4"/>
  <c r="N220" i="4"/>
  <c r="M220" i="4"/>
  <c r="N219" i="4"/>
  <c r="M219" i="4"/>
  <c r="N218" i="4"/>
  <c r="M218" i="4"/>
  <c r="N217" i="4"/>
  <c r="J217" i="4" s="1"/>
  <c r="M217" i="4"/>
  <c r="N216" i="4"/>
  <c r="M216" i="4"/>
  <c r="N215" i="4"/>
  <c r="M215" i="4"/>
  <c r="N214" i="4"/>
  <c r="M214" i="4"/>
  <c r="N213" i="4"/>
  <c r="M213" i="4"/>
  <c r="N212" i="4"/>
  <c r="M212" i="4"/>
  <c r="N211" i="4"/>
  <c r="M211" i="4"/>
  <c r="N210" i="4"/>
  <c r="M210" i="4"/>
  <c r="N209" i="4"/>
  <c r="M209" i="4"/>
  <c r="N208" i="4"/>
  <c r="M208" i="4"/>
  <c r="N207" i="4"/>
  <c r="M207" i="4"/>
  <c r="N206" i="4"/>
  <c r="M206" i="4"/>
  <c r="N205" i="4"/>
  <c r="M205" i="4"/>
  <c r="N204" i="4"/>
  <c r="M204" i="4"/>
  <c r="N203" i="4"/>
  <c r="M203" i="4"/>
  <c r="N202" i="4"/>
  <c r="M202" i="4"/>
  <c r="N201" i="4"/>
  <c r="M201" i="4"/>
  <c r="N200" i="4"/>
  <c r="M200" i="4"/>
  <c r="N199" i="4"/>
  <c r="M199" i="4"/>
  <c r="N198" i="4"/>
  <c r="M198" i="4"/>
  <c r="N197" i="4"/>
  <c r="M197" i="4"/>
  <c r="N196" i="4"/>
  <c r="M196" i="4"/>
  <c r="N195" i="4"/>
  <c r="M195" i="4"/>
  <c r="N194" i="4"/>
  <c r="M194" i="4"/>
  <c r="N193" i="4"/>
  <c r="M193" i="4"/>
  <c r="N192" i="4"/>
  <c r="M192" i="4"/>
  <c r="N191" i="4"/>
  <c r="M191" i="4"/>
  <c r="N190" i="4"/>
  <c r="M190" i="4"/>
  <c r="N189" i="4"/>
  <c r="M189" i="4"/>
  <c r="N188" i="4"/>
  <c r="M188" i="4"/>
  <c r="N187" i="4"/>
  <c r="M187" i="4"/>
  <c r="N186" i="4"/>
  <c r="M186" i="4"/>
  <c r="N185" i="4"/>
  <c r="M185" i="4"/>
  <c r="N184" i="4"/>
  <c r="M184" i="4"/>
  <c r="N183" i="4"/>
  <c r="M183" i="4"/>
  <c r="N182" i="4"/>
  <c r="M182" i="4"/>
  <c r="N181" i="4"/>
  <c r="M181" i="4"/>
  <c r="N180" i="4"/>
  <c r="M180" i="4"/>
  <c r="N179" i="4"/>
  <c r="M179" i="4"/>
  <c r="N178" i="4"/>
  <c r="M178" i="4"/>
  <c r="N177" i="4"/>
  <c r="M177" i="4"/>
  <c r="N176" i="4"/>
  <c r="M176" i="4"/>
  <c r="N175" i="4"/>
  <c r="M175" i="4"/>
  <c r="N174" i="4"/>
  <c r="M174" i="4"/>
  <c r="N173" i="4"/>
  <c r="M173" i="4"/>
  <c r="N172" i="4"/>
  <c r="M172" i="4"/>
  <c r="N171" i="4"/>
  <c r="M171" i="4"/>
  <c r="N170" i="4"/>
  <c r="M170" i="4"/>
  <c r="N169" i="4"/>
  <c r="M169" i="4"/>
  <c r="N168" i="4"/>
  <c r="M168" i="4"/>
  <c r="N167" i="4"/>
  <c r="M167" i="4"/>
  <c r="N166" i="4"/>
  <c r="M166" i="4"/>
  <c r="N165" i="4"/>
  <c r="M165" i="4"/>
  <c r="N164" i="4"/>
  <c r="M164" i="4"/>
  <c r="N163" i="4"/>
  <c r="M163" i="4"/>
  <c r="N162" i="4"/>
  <c r="M162" i="4"/>
  <c r="N161" i="4"/>
  <c r="M161" i="4"/>
  <c r="N160" i="4"/>
  <c r="M160" i="4"/>
  <c r="N159" i="4"/>
  <c r="M159" i="4"/>
  <c r="N158" i="4"/>
  <c r="M158" i="4"/>
  <c r="N157" i="4"/>
  <c r="M157" i="4"/>
  <c r="N156" i="4"/>
  <c r="M156" i="4"/>
  <c r="N155" i="4"/>
  <c r="M155" i="4"/>
  <c r="N154" i="4"/>
  <c r="M154" i="4"/>
  <c r="N153" i="4"/>
  <c r="M153" i="4"/>
  <c r="N152" i="4"/>
  <c r="M152" i="4"/>
  <c r="N151" i="4"/>
  <c r="M151" i="4"/>
  <c r="N150" i="4"/>
  <c r="M150" i="4"/>
  <c r="N149" i="4"/>
  <c r="M149" i="4"/>
  <c r="N148" i="4"/>
  <c r="M148" i="4"/>
  <c r="N147" i="4"/>
  <c r="M147" i="4"/>
  <c r="N146" i="4"/>
  <c r="M146" i="4"/>
  <c r="N145" i="4"/>
  <c r="M145" i="4"/>
  <c r="N144" i="4"/>
  <c r="M144" i="4"/>
  <c r="N143" i="4"/>
  <c r="M143" i="4"/>
  <c r="N142" i="4"/>
  <c r="M142" i="4"/>
  <c r="N141" i="4"/>
  <c r="M141" i="4"/>
  <c r="N140" i="4"/>
  <c r="M140" i="4"/>
  <c r="N139" i="4"/>
  <c r="M139" i="4"/>
  <c r="N138" i="4"/>
  <c r="M138" i="4"/>
  <c r="N137" i="4"/>
  <c r="M137" i="4"/>
  <c r="N136" i="4"/>
  <c r="M136" i="4"/>
  <c r="N135" i="4"/>
  <c r="M135" i="4"/>
  <c r="N134" i="4"/>
  <c r="M134" i="4"/>
  <c r="N133" i="4"/>
  <c r="M133" i="4"/>
  <c r="N132" i="4"/>
  <c r="M132" i="4"/>
  <c r="N131" i="4"/>
  <c r="M131" i="4"/>
  <c r="N130" i="4"/>
  <c r="N129" i="4"/>
  <c r="J129" i="4" s="1"/>
  <c r="M129" i="4"/>
  <c r="N128" i="4"/>
  <c r="M128" i="4"/>
  <c r="N127" i="4"/>
  <c r="M127" i="4"/>
  <c r="N126" i="4"/>
  <c r="M126" i="4"/>
  <c r="N125" i="4"/>
  <c r="M125" i="4"/>
  <c r="N124" i="4"/>
  <c r="M124" i="4"/>
  <c r="N123" i="4"/>
  <c r="M123" i="4"/>
  <c r="N122" i="4"/>
  <c r="M122" i="4"/>
  <c r="N121" i="4"/>
  <c r="M121" i="4"/>
  <c r="N120" i="4"/>
  <c r="M120" i="4"/>
  <c r="N119" i="4"/>
  <c r="M119" i="4"/>
  <c r="N118" i="4"/>
  <c r="M118" i="4"/>
  <c r="N117" i="4"/>
  <c r="M117" i="4"/>
  <c r="CG110" i="4"/>
  <c r="CG109" i="4"/>
  <c r="CG108" i="4"/>
  <c r="CG107" i="4"/>
  <c r="CG106" i="4"/>
  <c r="CG105" i="4"/>
  <c r="CG104" i="4"/>
  <c r="CG103" i="4"/>
  <c r="CG102" i="4"/>
  <c r="CG101" i="4"/>
  <c r="CG100" i="4"/>
  <c r="CG99" i="4"/>
  <c r="CG98" i="4"/>
  <c r="CG97" i="4"/>
  <c r="CG96" i="4"/>
  <c r="CG95" i="4"/>
  <c r="CG94" i="4"/>
  <c r="CG93" i="4"/>
  <c r="CG92" i="4"/>
  <c r="CG91" i="4"/>
  <c r="CG90" i="4"/>
  <c r="CG89" i="4"/>
  <c r="CG88" i="4"/>
  <c r="CG87" i="4"/>
  <c r="CG86" i="4"/>
  <c r="CG85" i="4"/>
  <c r="CG84" i="4"/>
  <c r="CG83" i="4"/>
  <c r="CG82" i="4"/>
  <c r="CG81" i="4"/>
  <c r="CG80" i="4"/>
  <c r="CG79" i="4"/>
  <c r="CG78" i="4"/>
  <c r="CG77" i="4"/>
  <c r="CG76" i="4"/>
  <c r="CG75" i="4"/>
  <c r="CG74" i="4"/>
  <c r="CG73" i="4"/>
  <c r="CG72" i="4"/>
  <c r="CG71" i="4"/>
  <c r="CG70" i="4"/>
  <c r="CG69" i="4"/>
  <c r="CG68" i="4"/>
  <c r="CG67" i="4"/>
  <c r="CG66" i="4"/>
  <c r="CG65" i="4"/>
  <c r="CG64" i="4"/>
  <c r="CG63" i="4"/>
  <c r="CG62" i="4"/>
  <c r="CG61" i="4"/>
  <c r="CG60" i="4"/>
  <c r="CG59" i="4"/>
  <c r="CG58" i="4"/>
  <c r="CG57" i="4"/>
  <c r="CG56" i="4"/>
  <c r="CG55" i="4"/>
  <c r="CG54" i="4"/>
  <c r="CG53" i="4"/>
  <c r="CG52" i="4"/>
  <c r="CG51" i="4"/>
  <c r="CG50" i="4"/>
  <c r="CG49" i="4"/>
  <c r="CG48" i="4"/>
  <c r="CG47" i="4"/>
  <c r="CG46" i="4"/>
  <c r="CG45" i="4"/>
  <c r="CG44" i="4"/>
  <c r="CG43" i="4"/>
  <c r="CG42" i="4"/>
  <c r="CG41" i="4"/>
  <c r="CG40" i="4"/>
  <c r="CG39" i="4"/>
  <c r="CG38" i="4"/>
  <c r="CG37" i="4"/>
  <c r="CG36" i="4"/>
  <c r="CG35" i="4"/>
  <c r="CG34" i="4"/>
  <c r="CG33" i="4"/>
  <c r="CG32" i="4"/>
  <c r="CG31" i="4"/>
  <c r="CG30" i="4"/>
  <c r="CG29" i="4"/>
  <c r="CG28" i="4"/>
  <c r="CG27" i="4"/>
  <c r="CG26" i="4"/>
  <c r="CG25" i="4"/>
  <c r="CG24" i="4"/>
  <c r="CG23" i="4"/>
  <c r="CG22" i="4"/>
  <c r="CG21" i="4"/>
  <c r="CG20" i="4"/>
  <c r="CG19" i="4"/>
  <c r="CG18" i="4"/>
  <c r="CG17" i="4"/>
  <c r="CG16" i="4"/>
  <c r="CG15" i="4"/>
  <c r="CG14" i="4"/>
  <c r="CG13" i="4"/>
  <c r="CG12" i="4"/>
  <c r="CG11" i="4"/>
  <c r="CG10" i="4"/>
  <c r="CG9" i="4"/>
  <c r="CG8" i="4"/>
  <c r="CG7" i="4"/>
  <c r="CZ108" i="4"/>
  <c r="DA105" i="4"/>
  <c r="DH100" i="4"/>
  <c r="DC99" i="4"/>
  <c r="CX98" i="4"/>
  <c r="DD96" i="4"/>
  <c r="DE93" i="4"/>
  <c r="DF90" i="4"/>
  <c r="DG87" i="4"/>
  <c r="DB86" i="4"/>
  <c r="DC83" i="4"/>
  <c r="CX82" i="4"/>
  <c r="CY79" i="4"/>
  <c r="DE77" i="4"/>
  <c r="CZ76" i="4"/>
  <c r="DF74" i="4"/>
  <c r="DA73" i="4"/>
  <c r="DG71" i="4"/>
  <c r="DH68" i="4"/>
  <c r="DC67" i="4"/>
  <c r="DD64" i="4"/>
  <c r="CY63" i="4"/>
  <c r="DE61" i="4"/>
  <c r="DF58" i="4"/>
  <c r="DA57" i="4"/>
  <c r="DG55" i="4"/>
  <c r="DB54" i="4"/>
  <c r="DH52" i="4"/>
  <c r="DC51" i="4"/>
  <c r="CX50" i="4"/>
  <c r="DD48" i="4"/>
  <c r="CZ44" i="4"/>
  <c r="DA41" i="4"/>
  <c r="DG39" i="4"/>
  <c r="DB38" i="4"/>
  <c r="DC35" i="4"/>
  <c r="DH31" i="4"/>
  <c r="DG31" i="4"/>
  <c r="DF31" i="4"/>
  <c r="DE31" i="4"/>
  <c r="DD31" i="4"/>
  <c r="DC31" i="4"/>
  <c r="DB31" i="4"/>
  <c r="DA31" i="4"/>
  <c r="CZ31" i="4"/>
  <c r="CY31" i="4"/>
  <c r="CX31" i="4"/>
  <c r="DH30" i="4"/>
  <c r="DG30" i="4"/>
  <c r="DF30" i="4"/>
  <c r="DE30" i="4"/>
  <c r="DD30" i="4"/>
  <c r="DC30" i="4"/>
  <c r="DB30" i="4"/>
  <c r="DA30" i="4"/>
  <c r="CZ30" i="4"/>
  <c r="CY30" i="4"/>
  <c r="CX30" i="4"/>
  <c r="DH29" i="4"/>
  <c r="DG29" i="4"/>
  <c r="DF29" i="4"/>
  <c r="DE29" i="4"/>
  <c r="DD29" i="4"/>
  <c r="DC29" i="4"/>
  <c r="DB29" i="4"/>
  <c r="DA29" i="4"/>
  <c r="CZ29" i="4"/>
  <c r="CY29" i="4"/>
  <c r="CX29" i="4"/>
  <c r="DH25" i="4"/>
  <c r="DG25" i="4"/>
  <c r="DF25" i="4"/>
  <c r="DE25" i="4"/>
  <c r="DD25" i="4"/>
  <c r="DC25" i="4"/>
  <c r="DB25" i="4"/>
  <c r="DA25" i="4"/>
  <c r="CZ25" i="4"/>
  <c r="CY25" i="4"/>
  <c r="CX25" i="4"/>
  <c r="DH24" i="4"/>
  <c r="DG24" i="4"/>
  <c r="DF24" i="4"/>
  <c r="DE24" i="4"/>
  <c r="DD24" i="4"/>
  <c r="DC24" i="4"/>
  <c r="DB24" i="4"/>
  <c r="DA24" i="4"/>
  <c r="CZ24" i="4"/>
  <c r="CY24" i="4"/>
  <c r="CX24" i="4"/>
  <c r="DH22" i="4"/>
  <c r="DG22" i="4"/>
  <c r="DF22" i="4"/>
  <c r="DE22" i="4"/>
  <c r="DD22" i="4"/>
  <c r="DC22" i="4"/>
  <c r="DB22" i="4"/>
  <c r="DA22" i="4"/>
  <c r="CZ22" i="4"/>
  <c r="CY22" i="4"/>
  <c r="CX22" i="4"/>
  <c r="DH21" i="4"/>
  <c r="DG21" i="4"/>
  <c r="DF21" i="4"/>
  <c r="DE21" i="4"/>
  <c r="DD21" i="4"/>
  <c r="DC21" i="4"/>
  <c r="DB21" i="4"/>
  <c r="DA21" i="4"/>
  <c r="CZ21" i="4"/>
  <c r="CY21" i="4"/>
  <c r="CX21" i="4"/>
  <c r="DH20" i="4"/>
  <c r="DG20" i="4"/>
  <c r="DF20" i="4"/>
  <c r="DE20" i="4"/>
  <c r="DD20" i="4"/>
  <c r="DC20" i="4"/>
  <c r="DB20" i="4"/>
  <c r="DA20" i="4"/>
  <c r="CZ20" i="4"/>
  <c r="CY20" i="4"/>
  <c r="CX20" i="4"/>
  <c r="DH18" i="4"/>
  <c r="DG18" i="4"/>
  <c r="DF18" i="4"/>
  <c r="DE18" i="4"/>
  <c r="DD18" i="4"/>
  <c r="DC18" i="4"/>
  <c r="DB18" i="4"/>
  <c r="DA18" i="4"/>
  <c r="CZ18" i="4"/>
  <c r="CY18" i="4"/>
  <c r="CX18" i="4"/>
  <c r="DH17" i="4"/>
  <c r="DG17" i="4"/>
  <c r="DF17" i="4"/>
  <c r="DE17" i="4"/>
  <c r="DD17" i="4"/>
  <c r="DC17" i="4"/>
  <c r="DB17" i="4"/>
  <c r="DA17" i="4"/>
  <c r="CZ17" i="4"/>
  <c r="CY17" i="4"/>
  <c r="CX17" i="4"/>
  <c r="DH15" i="4"/>
  <c r="DG15" i="4"/>
  <c r="DF15" i="4"/>
  <c r="DE15" i="4"/>
  <c r="DD15" i="4"/>
  <c r="DC15" i="4"/>
  <c r="DB15" i="4"/>
  <c r="DA15" i="4"/>
  <c r="CZ15" i="4"/>
  <c r="CY15" i="4"/>
  <c r="CX15" i="4"/>
  <c r="DH14" i="4"/>
  <c r="DG14" i="4"/>
  <c r="DF14" i="4"/>
  <c r="DE14" i="4"/>
  <c r="DD14" i="4"/>
  <c r="DC14" i="4"/>
  <c r="DB14" i="4"/>
  <c r="DA14" i="4"/>
  <c r="CZ14" i="4"/>
  <c r="CY14" i="4"/>
  <c r="CX14" i="4"/>
  <c r="DH13" i="4"/>
  <c r="DG13" i="4"/>
  <c r="DF13" i="4"/>
  <c r="DE13" i="4"/>
  <c r="DD13" i="4"/>
  <c r="DC13" i="4"/>
  <c r="DB13" i="4"/>
  <c r="DA13" i="4"/>
  <c r="CZ13" i="4"/>
  <c r="CY13" i="4"/>
  <c r="CX13" i="4"/>
  <c r="DH11" i="4"/>
  <c r="DG11" i="4"/>
  <c r="DF11" i="4"/>
  <c r="DE11" i="4"/>
  <c r="DD11" i="4"/>
  <c r="DC11" i="4"/>
  <c r="DB11" i="4"/>
  <c r="DA11" i="4"/>
  <c r="CZ11" i="4"/>
  <c r="CY11" i="4"/>
  <c r="CX11" i="4"/>
  <c r="DH10" i="4"/>
  <c r="DG10" i="4"/>
  <c r="DF10" i="4"/>
  <c r="DE10" i="4"/>
  <c r="DD10" i="4"/>
  <c r="DC10" i="4"/>
  <c r="DB10" i="4"/>
  <c r="DA10" i="4"/>
  <c r="CZ10" i="4"/>
  <c r="CY10" i="4"/>
  <c r="CX10" i="4"/>
  <c r="DH9" i="4"/>
  <c r="DG9" i="4"/>
  <c r="DF9" i="4"/>
  <c r="DE9" i="4"/>
  <c r="DD9" i="4"/>
  <c r="DC9" i="4"/>
  <c r="DB9" i="4"/>
  <c r="DA9" i="4"/>
  <c r="CZ9" i="4"/>
  <c r="CY9" i="4"/>
  <c r="CX9" i="4"/>
  <c r="DH8" i="4"/>
  <c r="DG8" i="4"/>
  <c r="DF8" i="4"/>
  <c r="DE8" i="4"/>
  <c r="DD8" i="4"/>
  <c r="DC8" i="4"/>
  <c r="DB8" i="4"/>
  <c r="DA8" i="4"/>
  <c r="CZ8" i="4"/>
  <c r="CY8" i="4"/>
  <c r="CX8" i="4"/>
  <c r="CW31" i="4"/>
  <c r="CW30" i="4"/>
  <c r="CW29" i="4"/>
  <c r="CW25" i="4"/>
  <c r="CW24" i="4"/>
  <c r="CW22" i="4"/>
  <c r="CW21" i="4"/>
  <c r="CW20" i="4"/>
  <c r="CW18" i="4"/>
  <c r="CW17" i="4"/>
  <c r="CW15" i="4"/>
  <c r="CW14" i="4"/>
  <c r="CW13" i="4"/>
  <c r="CW11" i="4"/>
  <c r="CW10" i="4"/>
  <c r="CW9" i="4"/>
  <c r="CW8" i="4"/>
  <c r="DW110" i="4"/>
  <c r="DH110" i="4" s="1"/>
  <c r="DV110" i="4"/>
  <c r="DG110" i="4" s="1"/>
  <c r="CS110" i="4" s="1"/>
  <c r="CD110" i="4" s="1"/>
  <c r="DU110" i="4"/>
  <c r="DF110" i="4" s="1"/>
  <c r="DT110" i="4"/>
  <c r="DE110" i="4" s="1"/>
  <c r="CQ110" i="4" s="1"/>
  <c r="CB110" i="4" s="1"/>
  <c r="DS110" i="4"/>
  <c r="DD110" i="4" s="1"/>
  <c r="DR110" i="4"/>
  <c r="DC110" i="4" s="1"/>
  <c r="DQ110" i="4"/>
  <c r="DB110" i="4" s="1"/>
  <c r="CN110" i="4" s="1"/>
  <c r="BY110" i="4" s="1"/>
  <c r="DP110" i="4"/>
  <c r="DA110" i="4" s="1"/>
  <c r="DO110" i="4"/>
  <c r="CZ110" i="4" s="1"/>
  <c r="CL110" i="4" s="1"/>
  <c r="BW110" i="4" s="1"/>
  <c r="DN110" i="4"/>
  <c r="CY110" i="4" s="1"/>
  <c r="DM110" i="4"/>
  <c r="CX110" i="4" s="1"/>
  <c r="CJ110" i="4" s="1"/>
  <c r="BU110" i="4" s="1"/>
  <c r="DL110" i="4"/>
  <c r="CW110" i="4" s="1"/>
  <c r="DW109" i="4"/>
  <c r="DH109" i="4" s="1"/>
  <c r="DV109" i="4"/>
  <c r="DG109" i="4" s="1"/>
  <c r="DU109" i="4"/>
  <c r="DF109" i="4" s="1"/>
  <c r="DT109" i="4"/>
  <c r="DE109" i="4" s="1"/>
  <c r="DS109" i="4"/>
  <c r="DD109" i="4" s="1"/>
  <c r="DR109" i="4"/>
  <c r="DC109" i="4" s="1"/>
  <c r="DQ109" i="4"/>
  <c r="DB109" i="4" s="1"/>
  <c r="DP109" i="4"/>
  <c r="DA109" i="4" s="1"/>
  <c r="DO109" i="4"/>
  <c r="CZ109" i="4" s="1"/>
  <c r="DN109" i="4"/>
  <c r="CY109" i="4" s="1"/>
  <c r="DM109" i="4"/>
  <c r="CX109" i="4" s="1"/>
  <c r="DL109" i="4"/>
  <c r="CW109" i="4" s="1"/>
  <c r="DW108" i="4"/>
  <c r="DH108" i="4" s="1"/>
  <c r="DV108" i="4"/>
  <c r="DG108" i="4" s="1"/>
  <c r="DU108" i="4"/>
  <c r="DF108" i="4" s="1"/>
  <c r="DT108" i="4"/>
  <c r="DE108" i="4" s="1"/>
  <c r="DS108" i="4"/>
  <c r="DD108" i="4" s="1"/>
  <c r="DR108" i="4"/>
  <c r="DC108" i="4" s="1"/>
  <c r="DQ108" i="4"/>
  <c r="DB108" i="4" s="1"/>
  <c r="DP108" i="4"/>
  <c r="DA108" i="4" s="1"/>
  <c r="DO108" i="4"/>
  <c r="DN108" i="4"/>
  <c r="CY108" i="4" s="1"/>
  <c r="DM108" i="4"/>
  <c r="CX108" i="4" s="1"/>
  <c r="DL108" i="4"/>
  <c r="CW108" i="4" s="1"/>
  <c r="DW107" i="4"/>
  <c r="DH107" i="4" s="1"/>
  <c r="DV107" i="4"/>
  <c r="DG107" i="4" s="1"/>
  <c r="DU107" i="4"/>
  <c r="DF107" i="4" s="1"/>
  <c r="DT107" i="4"/>
  <c r="DE107" i="4" s="1"/>
  <c r="DS107" i="4"/>
  <c r="DD107" i="4" s="1"/>
  <c r="DR107" i="4"/>
  <c r="DC107" i="4" s="1"/>
  <c r="DQ107" i="4"/>
  <c r="DB107" i="4" s="1"/>
  <c r="DP107" i="4"/>
  <c r="DA107" i="4" s="1"/>
  <c r="DO107" i="4"/>
  <c r="CZ107" i="4" s="1"/>
  <c r="DN107" i="4"/>
  <c r="CY107" i="4" s="1"/>
  <c r="DM107" i="4"/>
  <c r="CX107" i="4" s="1"/>
  <c r="DL107" i="4"/>
  <c r="CW107" i="4" s="1"/>
  <c r="DW106" i="4"/>
  <c r="DV106" i="4"/>
  <c r="DU106" i="4"/>
  <c r="DT106" i="4"/>
  <c r="DS106" i="4"/>
  <c r="DR106" i="4"/>
  <c r="DQ106" i="4"/>
  <c r="DP106" i="4"/>
  <c r="DO106" i="4"/>
  <c r="DN106" i="4"/>
  <c r="DM106" i="4"/>
  <c r="DL106" i="4"/>
  <c r="DW105" i="4"/>
  <c r="DH105" i="4" s="1"/>
  <c r="DV105" i="4"/>
  <c r="DG105" i="4" s="1"/>
  <c r="DU105" i="4"/>
  <c r="DF105" i="4" s="1"/>
  <c r="DT105" i="4"/>
  <c r="DE105" i="4" s="1"/>
  <c r="DS105" i="4"/>
  <c r="DD105" i="4" s="1"/>
  <c r="DR105" i="4"/>
  <c r="DC105" i="4" s="1"/>
  <c r="DQ105" i="4"/>
  <c r="DB105" i="4" s="1"/>
  <c r="DP105" i="4"/>
  <c r="DO105" i="4"/>
  <c r="CZ105" i="4" s="1"/>
  <c r="DN105" i="4"/>
  <c r="CY105" i="4" s="1"/>
  <c r="DM105" i="4"/>
  <c r="CX105" i="4" s="1"/>
  <c r="DL105" i="4"/>
  <c r="CW105" i="4" s="1"/>
  <c r="DW104" i="4"/>
  <c r="DV104" i="4"/>
  <c r="DU104" i="4"/>
  <c r="DT104" i="4"/>
  <c r="DS104" i="4"/>
  <c r="DR104" i="4"/>
  <c r="DQ104" i="4"/>
  <c r="DP104" i="4"/>
  <c r="DO104" i="4"/>
  <c r="DN104" i="4"/>
  <c r="DM104" i="4"/>
  <c r="DL104" i="4"/>
  <c r="DW103" i="4"/>
  <c r="DH103" i="4" s="1"/>
  <c r="CT103" i="4" s="1"/>
  <c r="CE103" i="4" s="1"/>
  <c r="DV103" i="4"/>
  <c r="DG103" i="4" s="1"/>
  <c r="DU103" i="4"/>
  <c r="DF103" i="4" s="1"/>
  <c r="CR103" i="4" s="1"/>
  <c r="CC103" i="4" s="1"/>
  <c r="DT103" i="4"/>
  <c r="DE103" i="4" s="1"/>
  <c r="CQ103" i="4" s="1"/>
  <c r="CB103" i="4" s="1"/>
  <c r="DS103" i="4"/>
  <c r="DD103" i="4" s="1"/>
  <c r="CP103" i="4" s="1"/>
  <c r="CA103" i="4" s="1"/>
  <c r="DR103" i="4"/>
  <c r="DC103" i="4" s="1"/>
  <c r="DQ103" i="4"/>
  <c r="DB103" i="4" s="1"/>
  <c r="CN103" i="4" s="1"/>
  <c r="BY103" i="4" s="1"/>
  <c r="DP103" i="4"/>
  <c r="DA103" i="4" s="1"/>
  <c r="DO103" i="4"/>
  <c r="CZ103" i="4" s="1"/>
  <c r="CL103" i="4" s="1"/>
  <c r="BW103" i="4" s="1"/>
  <c r="DN103" i="4"/>
  <c r="CY103" i="4" s="1"/>
  <c r="CK103" i="4" s="1"/>
  <c r="BV103" i="4" s="1"/>
  <c r="DM103" i="4"/>
  <c r="CX103" i="4" s="1"/>
  <c r="CJ103" i="4" s="1"/>
  <c r="BU103" i="4" s="1"/>
  <c r="DL103" i="4"/>
  <c r="CW103" i="4" s="1"/>
  <c r="DW102" i="4"/>
  <c r="DH102" i="4" s="1"/>
  <c r="CT102" i="4" s="1"/>
  <c r="CE102" i="4" s="1"/>
  <c r="DV102" i="4"/>
  <c r="DG102" i="4" s="1"/>
  <c r="CS102" i="4" s="1"/>
  <c r="CD102" i="4" s="1"/>
  <c r="DU102" i="4"/>
  <c r="DF102" i="4" s="1"/>
  <c r="CR102" i="4" s="1"/>
  <c r="CC102" i="4" s="1"/>
  <c r="DT102" i="4"/>
  <c r="DE102" i="4" s="1"/>
  <c r="CQ102" i="4" s="1"/>
  <c r="CB102" i="4" s="1"/>
  <c r="DS102" i="4"/>
  <c r="DD102" i="4" s="1"/>
  <c r="CP102" i="4" s="1"/>
  <c r="CA102" i="4" s="1"/>
  <c r="DR102" i="4"/>
  <c r="DC102" i="4" s="1"/>
  <c r="CO102" i="4" s="1"/>
  <c r="BZ102" i="4" s="1"/>
  <c r="DQ102" i="4"/>
  <c r="DB102" i="4" s="1"/>
  <c r="CN102" i="4" s="1"/>
  <c r="BY102" i="4" s="1"/>
  <c r="DP102" i="4"/>
  <c r="DA102" i="4" s="1"/>
  <c r="CM102" i="4" s="1"/>
  <c r="BX102" i="4" s="1"/>
  <c r="DO102" i="4"/>
  <c r="CZ102" i="4" s="1"/>
  <c r="CL102" i="4" s="1"/>
  <c r="BW102" i="4" s="1"/>
  <c r="DN102" i="4"/>
  <c r="CY102" i="4" s="1"/>
  <c r="CK102" i="4" s="1"/>
  <c r="BV102" i="4" s="1"/>
  <c r="DM102" i="4"/>
  <c r="CX102" i="4" s="1"/>
  <c r="CJ102" i="4" s="1"/>
  <c r="BU102" i="4" s="1"/>
  <c r="DL102" i="4"/>
  <c r="CW102" i="4" s="1"/>
  <c r="CI102" i="4" s="1"/>
  <c r="BT102" i="4" s="1"/>
  <c r="DW101" i="4"/>
  <c r="DH101" i="4" s="1"/>
  <c r="DV101" i="4"/>
  <c r="DG101" i="4" s="1"/>
  <c r="DU101" i="4"/>
  <c r="DF101" i="4" s="1"/>
  <c r="DT101" i="4"/>
  <c r="DE101" i="4" s="1"/>
  <c r="DS101" i="4"/>
  <c r="DD101" i="4" s="1"/>
  <c r="DR101" i="4"/>
  <c r="DC101" i="4" s="1"/>
  <c r="DQ101" i="4"/>
  <c r="DB101" i="4" s="1"/>
  <c r="DP101" i="4"/>
  <c r="DA101" i="4" s="1"/>
  <c r="DO101" i="4"/>
  <c r="CZ101" i="4" s="1"/>
  <c r="DN101" i="4"/>
  <c r="CY101" i="4" s="1"/>
  <c r="DM101" i="4"/>
  <c r="CX101" i="4" s="1"/>
  <c r="DL101" i="4"/>
  <c r="CW101" i="4" s="1"/>
  <c r="DW100" i="4"/>
  <c r="DV100" i="4"/>
  <c r="DG100" i="4" s="1"/>
  <c r="DU100" i="4"/>
  <c r="DF100" i="4" s="1"/>
  <c r="DT100" i="4"/>
  <c r="DE100" i="4" s="1"/>
  <c r="DS100" i="4"/>
  <c r="DD100" i="4" s="1"/>
  <c r="DR100" i="4"/>
  <c r="DC100" i="4" s="1"/>
  <c r="DQ100" i="4"/>
  <c r="DB100" i="4" s="1"/>
  <c r="DP100" i="4"/>
  <c r="DA100" i="4" s="1"/>
  <c r="DO100" i="4"/>
  <c r="CZ100" i="4" s="1"/>
  <c r="DN100" i="4"/>
  <c r="CY100" i="4" s="1"/>
  <c r="DM100" i="4"/>
  <c r="CX100" i="4" s="1"/>
  <c r="DL100" i="4"/>
  <c r="CW100" i="4" s="1"/>
  <c r="DW99" i="4"/>
  <c r="DH99" i="4" s="1"/>
  <c r="DV99" i="4"/>
  <c r="DG99" i="4" s="1"/>
  <c r="DU99" i="4"/>
  <c r="DF99" i="4" s="1"/>
  <c r="DT99" i="4"/>
  <c r="DE99" i="4" s="1"/>
  <c r="DS99" i="4"/>
  <c r="DD99" i="4" s="1"/>
  <c r="DR99" i="4"/>
  <c r="DQ99" i="4"/>
  <c r="DB99" i="4" s="1"/>
  <c r="DP99" i="4"/>
  <c r="DA99" i="4" s="1"/>
  <c r="DO99" i="4"/>
  <c r="CZ99" i="4" s="1"/>
  <c r="DN99" i="4"/>
  <c r="CY99" i="4" s="1"/>
  <c r="DM99" i="4"/>
  <c r="CX99" i="4" s="1"/>
  <c r="DL99" i="4"/>
  <c r="CW99" i="4" s="1"/>
  <c r="DW98" i="4"/>
  <c r="DH98" i="4" s="1"/>
  <c r="DV98" i="4"/>
  <c r="DG98" i="4" s="1"/>
  <c r="DU98" i="4"/>
  <c r="DF98" i="4" s="1"/>
  <c r="DT98" i="4"/>
  <c r="DE98" i="4" s="1"/>
  <c r="DS98" i="4"/>
  <c r="DD98" i="4" s="1"/>
  <c r="DR98" i="4"/>
  <c r="DC98" i="4" s="1"/>
  <c r="DQ98" i="4"/>
  <c r="DB98" i="4" s="1"/>
  <c r="DP98" i="4"/>
  <c r="DA98" i="4" s="1"/>
  <c r="DO98" i="4"/>
  <c r="CZ98" i="4" s="1"/>
  <c r="DN98" i="4"/>
  <c r="CY98" i="4" s="1"/>
  <c r="DM98" i="4"/>
  <c r="DL98" i="4"/>
  <c r="CW98" i="4" s="1"/>
  <c r="DW97" i="4"/>
  <c r="DV97" i="4"/>
  <c r="DU97" i="4"/>
  <c r="DT97" i="4"/>
  <c r="DS97" i="4"/>
  <c r="DR97" i="4"/>
  <c r="DQ97" i="4"/>
  <c r="DP97" i="4"/>
  <c r="DO97" i="4"/>
  <c r="DN97" i="4"/>
  <c r="DM97" i="4"/>
  <c r="DL97" i="4"/>
  <c r="DW96" i="4"/>
  <c r="DH96" i="4" s="1"/>
  <c r="DV96" i="4"/>
  <c r="DG96" i="4" s="1"/>
  <c r="DU96" i="4"/>
  <c r="DF96" i="4" s="1"/>
  <c r="DT96" i="4"/>
  <c r="DE96" i="4" s="1"/>
  <c r="DS96" i="4"/>
  <c r="DR96" i="4"/>
  <c r="DC96" i="4" s="1"/>
  <c r="DQ96" i="4"/>
  <c r="DB96" i="4" s="1"/>
  <c r="DP96" i="4"/>
  <c r="DA96" i="4" s="1"/>
  <c r="DO96" i="4"/>
  <c r="CZ96" i="4" s="1"/>
  <c r="DN96" i="4"/>
  <c r="CY96" i="4" s="1"/>
  <c r="DM96" i="4"/>
  <c r="CX96" i="4" s="1"/>
  <c r="DL96" i="4"/>
  <c r="CW96" i="4" s="1"/>
  <c r="DW95" i="4"/>
  <c r="DV95" i="4"/>
  <c r="DU95" i="4"/>
  <c r="DT95" i="4"/>
  <c r="DS95" i="4"/>
  <c r="DR95" i="4"/>
  <c r="DQ95" i="4"/>
  <c r="DP95" i="4"/>
  <c r="DO95" i="4"/>
  <c r="DN95" i="4"/>
  <c r="DM95" i="4"/>
  <c r="DL95" i="4"/>
  <c r="DW94" i="4"/>
  <c r="DH94" i="4" s="1"/>
  <c r="DV94" i="4"/>
  <c r="DG94" i="4" s="1"/>
  <c r="DU94" i="4"/>
  <c r="DF94" i="4" s="1"/>
  <c r="DT94" i="4"/>
  <c r="DE94" i="4" s="1"/>
  <c r="DS94" i="4"/>
  <c r="DD94" i="4" s="1"/>
  <c r="DR94" i="4"/>
  <c r="DC94" i="4" s="1"/>
  <c r="DQ94" i="4"/>
  <c r="DB94" i="4" s="1"/>
  <c r="DP94" i="4"/>
  <c r="DA94" i="4" s="1"/>
  <c r="DO94" i="4"/>
  <c r="CZ94" i="4" s="1"/>
  <c r="DN94" i="4"/>
  <c r="CY94" i="4" s="1"/>
  <c r="DM94" i="4"/>
  <c r="CX94" i="4" s="1"/>
  <c r="DL94" i="4"/>
  <c r="CW94" i="4" s="1"/>
  <c r="DW93" i="4"/>
  <c r="DH93" i="4" s="1"/>
  <c r="DV93" i="4"/>
  <c r="DG93" i="4" s="1"/>
  <c r="DU93" i="4"/>
  <c r="DF93" i="4" s="1"/>
  <c r="DT93" i="4"/>
  <c r="DS93" i="4"/>
  <c r="DD93" i="4" s="1"/>
  <c r="DR93" i="4"/>
  <c r="DC93" i="4" s="1"/>
  <c r="DQ93" i="4"/>
  <c r="DB93" i="4" s="1"/>
  <c r="DP93" i="4"/>
  <c r="DA93" i="4" s="1"/>
  <c r="DO93" i="4"/>
  <c r="CZ93" i="4" s="1"/>
  <c r="DN93" i="4"/>
  <c r="CY93" i="4" s="1"/>
  <c r="DM93" i="4"/>
  <c r="CX93" i="4" s="1"/>
  <c r="DL93" i="4"/>
  <c r="CW93" i="4" s="1"/>
  <c r="DW92" i="4"/>
  <c r="DV92" i="4"/>
  <c r="DU92" i="4"/>
  <c r="DT92" i="4"/>
  <c r="DS92" i="4"/>
  <c r="DR92" i="4"/>
  <c r="DQ92" i="4"/>
  <c r="DP92" i="4"/>
  <c r="DO92" i="4"/>
  <c r="DN92" i="4"/>
  <c r="DM92" i="4"/>
  <c r="DL92" i="4"/>
  <c r="DW91" i="4"/>
  <c r="DH91" i="4" s="1"/>
  <c r="DV91" i="4"/>
  <c r="DG91" i="4" s="1"/>
  <c r="DU91" i="4"/>
  <c r="DF91" i="4" s="1"/>
  <c r="DT91" i="4"/>
  <c r="DE91" i="4" s="1"/>
  <c r="DS91" i="4"/>
  <c r="DD91" i="4" s="1"/>
  <c r="DR91" i="4"/>
  <c r="DC91" i="4" s="1"/>
  <c r="DQ91" i="4"/>
  <c r="DB91" i="4" s="1"/>
  <c r="DP91" i="4"/>
  <c r="DA91" i="4" s="1"/>
  <c r="DO91" i="4"/>
  <c r="CZ91" i="4" s="1"/>
  <c r="DN91" i="4"/>
  <c r="CY91" i="4" s="1"/>
  <c r="DM91" i="4"/>
  <c r="CX91" i="4" s="1"/>
  <c r="DL91" i="4"/>
  <c r="CW91" i="4" s="1"/>
  <c r="DW90" i="4"/>
  <c r="DH90" i="4" s="1"/>
  <c r="DV90" i="4"/>
  <c r="DG90" i="4" s="1"/>
  <c r="DU90" i="4"/>
  <c r="DT90" i="4"/>
  <c r="DE90" i="4" s="1"/>
  <c r="DS90" i="4"/>
  <c r="DD90" i="4" s="1"/>
  <c r="DR90" i="4"/>
  <c r="DC90" i="4" s="1"/>
  <c r="DQ90" i="4"/>
  <c r="DB90" i="4" s="1"/>
  <c r="DP90" i="4"/>
  <c r="DA90" i="4" s="1"/>
  <c r="DO90" i="4"/>
  <c r="CZ90" i="4" s="1"/>
  <c r="DN90" i="4"/>
  <c r="CY90" i="4" s="1"/>
  <c r="DM90" i="4"/>
  <c r="CX90" i="4" s="1"/>
  <c r="DL90" i="4"/>
  <c r="CW90" i="4" s="1"/>
  <c r="DW89" i="4"/>
  <c r="DV89" i="4"/>
  <c r="DU89" i="4"/>
  <c r="DT89" i="4"/>
  <c r="DS89" i="4"/>
  <c r="DR89" i="4"/>
  <c r="DQ89" i="4"/>
  <c r="DP89" i="4"/>
  <c r="DO89" i="4"/>
  <c r="DN89" i="4"/>
  <c r="DM89" i="4"/>
  <c r="DL89" i="4"/>
  <c r="DW88" i="4"/>
  <c r="DH88" i="4" s="1"/>
  <c r="CT88" i="4" s="1"/>
  <c r="CE88" i="4" s="1"/>
  <c r="DV88" i="4"/>
  <c r="DG88" i="4" s="1"/>
  <c r="CS88" i="4" s="1"/>
  <c r="CD88" i="4" s="1"/>
  <c r="DU88" i="4"/>
  <c r="DF88" i="4" s="1"/>
  <c r="CR88" i="4" s="1"/>
  <c r="CC88" i="4" s="1"/>
  <c r="DT88" i="4"/>
  <c r="DE88" i="4" s="1"/>
  <c r="CQ88" i="4" s="1"/>
  <c r="CB88" i="4" s="1"/>
  <c r="DS88" i="4"/>
  <c r="DD88" i="4" s="1"/>
  <c r="CP88" i="4" s="1"/>
  <c r="CA88" i="4" s="1"/>
  <c r="DR88" i="4"/>
  <c r="DC88" i="4" s="1"/>
  <c r="CO88" i="4" s="1"/>
  <c r="BZ88" i="4" s="1"/>
  <c r="DQ88" i="4"/>
  <c r="DB88" i="4" s="1"/>
  <c r="CN88" i="4" s="1"/>
  <c r="BY88" i="4" s="1"/>
  <c r="DP88" i="4"/>
  <c r="DA88" i="4" s="1"/>
  <c r="CM88" i="4" s="1"/>
  <c r="BX88" i="4" s="1"/>
  <c r="DO88" i="4"/>
  <c r="CZ88" i="4" s="1"/>
  <c r="CL88" i="4" s="1"/>
  <c r="BW88" i="4" s="1"/>
  <c r="DN88" i="4"/>
  <c r="CY88" i="4" s="1"/>
  <c r="CK88" i="4" s="1"/>
  <c r="BV88" i="4" s="1"/>
  <c r="DM88" i="4"/>
  <c r="CX88" i="4" s="1"/>
  <c r="CJ88" i="4" s="1"/>
  <c r="BU88" i="4" s="1"/>
  <c r="DL88" i="4"/>
  <c r="CW88" i="4" s="1"/>
  <c r="CI88" i="4" s="1"/>
  <c r="BT88" i="4" s="1"/>
  <c r="DW87" i="4"/>
  <c r="DH87" i="4" s="1"/>
  <c r="DV87" i="4"/>
  <c r="DU87" i="4"/>
  <c r="DF87" i="4" s="1"/>
  <c r="DT87" i="4"/>
  <c r="DE87" i="4" s="1"/>
  <c r="DS87" i="4"/>
  <c r="DD87" i="4" s="1"/>
  <c r="DR87" i="4"/>
  <c r="DC87" i="4" s="1"/>
  <c r="DQ87" i="4"/>
  <c r="DB87" i="4" s="1"/>
  <c r="DP87" i="4"/>
  <c r="DA87" i="4" s="1"/>
  <c r="DO87" i="4"/>
  <c r="CZ87" i="4" s="1"/>
  <c r="DN87" i="4"/>
  <c r="CY87" i="4" s="1"/>
  <c r="DM87" i="4"/>
  <c r="CX87" i="4" s="1"/>
  <c r="DL87" i="4"/>
  <c r="CW87" i="4" s="1"/>
  <c r="DW86" i="4"/>
  <c r="DH86" i="4" s="1"/>
  <c r="DV86" i="4"/>
  <c r="DG86" i="4" s="1"/>
  <c r="DU86" i="4"/>
  <c r="DF86" i="4" s="1"/>
  <c r="DT86" i="4"/>
  <c r="DE86" i="4" s="1"/>
  <c r="DS86" i="4"/>
  <c r="DD86" i="4" s="1"/>
  <c r="DR86" i="4"/>
  <c r="DC86" i="4" s="1"/>
  <c r="DQ86" i="4"/>
  <c r="DP86" i="4"/>
  <c r="DA86" i="4" s="1"/>
  <c r="DO86" i="4"/>
  <c r="CZ86" i="4" s="1"/>
  <c r="DN86" i="4"/>
  <c r="CY86" i="4" s="1"/>
  <c r="DM86" i="4"/>
  <c r="CX86" i="4" s="1"/>
  <c r="DL86" i="4"/>
  <c r="CW86" i="4" s="1"/>
  <c r="DW85" i="4"/>
  <c r="DH85" i="4" s="1"/>
  <c r="DV85" i="4"/>
  <c r="DG85" i="4" s="1"/>
  <c r="DU85" i="4"/>
  <c r="DF85" i="4" s="1"/>
  <c r="DT85" i="4"/>
  <c r="DE85" i="4" s="1"/>
  <c r="DS85" i="4"/>
  <c r="DD85" i="4" s="1"/>
  <c r="DR85" i="4"/>
  <c r="DC85" i="4" s="1"/>
  <c r="DQ85" i="4"/>
  <c r="DB85" i="4" s="1"/>
  <c r="DP85" i="4"/>
  <c r="DA85" i="4" s="1"/>
  <c r="DO85" i="4"/>
  <c r="CZ85" i="4" s="1"/>
  <c r="DN85" i="4"/>
  <c r="CY85" i="4" s="1"/>
  <c r="DM85" i="4"/>
  <c r="CX85" i="4" s="1"/>
  <c r="DL85" i="4"/>
  <c r="CW85" i="4" s="1"/>
  <c r="DW84" i="4"/>
  <c r="DV84" i="4"/>
  <c r="DU84" i="4"/>
  <c r="DT84" i="4"/>
  <c r="DS84" i="4"/>
  <c r="DR84" i="4"/>
  <c r="DQ84" i="4"/>
  <c r="DP84" i="4"/>
  <c r="DO84" i="4"/>
  <c r="DN84" i="4"/>
  <c r="DM84" i="4"/>
  <c r="DL84" i="4"/>
  <c r="DW83" i="4"/>
  <c r="DH83" i="4" s="1"/>
  <c r="DV83" i="4"/>
  <c r="DG83" i="4" s="1"/>
  <c r="DU83" i="4"/>
  <c r="DF83" i="4" s="1"/>
  <c r="DT83" i="4"/>
  <c r="DE83" i="4" s="1"/>
  <c r="DS83" i="4"/>
  <c r="DD83" i="4" s="1"/>
  <c r="DR83" i="4"/>
  <c r="DQ83" i="4"/>
  <c r="DB83" i="4" s="1"/>
  <c r="DP83" i="4"/>
  <c r="DA83" i="4" s="1"/>
  <c r="DO83" i="4"/>
  <c r="CZ83" i="4" s="1"/>
  <c r="DN83" i="4"/>
  <c r="CY83" i="4" s="1"/>
  <c r="DM83" i="4"/>
  <c r="CX83" i="4" s="1"/>
  <c r="DL83" i="4"/>
  <c r="CW83" i="4" s="1"/>
  <c r="DW82" i="4"/>
  <c r="DH82" i="4" s="1"/>
  <c r="DV82" i="4"/>
  <c r="DG82" i="4" s="1"/>
  <c r="DU82" i="4"/>
  <c r="DF82" i="4" s="1"/>
  <c r="DT82" i="4"/>
  <c r="DE82" i="4" s="1"/>
  <c r="DS82" i="4"/>
  <c r="DD82" i="4" s="1"/>
  <c r="DR82" i="4"/>
  <c r="DC82" i="4" s="1"/>
  <c r="DQ82" i="4"/>
  <c r="DB82" i="4" s="1"/>
  <c r="DP82" i="4"/>
  <c r="DA82" i="4" s="1"/>
  <c r="DO82" i="4"/>
  <c r="CZ82" i="4" s="1"/>
  <c r="DN82" i="4"/>
  <c r="CY82" i="4" s="1"/>
  <c r="DM82" i="4"/>
  <c r="DL82" i="4"/>
  <c r="DW81" i="4"/>
  <c r="DH81" i="4" s="1"/>
  <c r="DV81" i="4"/>
  <c r="DG81" i="4" s="1"/>
  <c r="DU81" i="4"/>
  <c r="DF81" i="4" s="1"/>
  <c r="DT81" i="4"/>
  <c r="DE81" i="4" s="1"/>
  <c r="DS81" i="4"/>
  <c r="DD81" i="4" s="1"/>
  <c r="DR81" i="4"/>
  <c r="DC81" i="4" s="1"/>
  <c r="DQ81" i="4"/>
  <c r="DB81" i="4" s="1"/>
  <c r="DP81" i="4"/>
  <c r="DA81" i="4" s="1"/>
  <c r="DO81" i="4"/>
  <c r="CZ81" i="4" s="1"/>
  <c r="DN81" i="4"/>
  <c r="CY81" i="4" s="1"/>
  <c r="DM81" i="4"/>
  <c r="CX81" i="4" s="1"/>
  <c r="DL81" i="4"/>
  <c r="DW80" i="4"/>
  <c r="DV80" i="4"/>
  <c r="DU80" i="4"/>
  <c r="DT80" i="4"/>
  <c r="DS80" i="4"/>
  <c r="DR80" i="4"/>
  <c r="DQ80" i="4"/>
  <c r="DP80" i="4"/>
  <c r="DO80" i="4"/>
  <c r="DN80" i="4"/>
  <c r="DM80" i="4"/>
  <c r="DL80" i="4"/>
  <c r="DW79" i="4"/>
  <c r="DH79" i="4" s="1"/>
  <c r="DV79" i="4"/>
  <c r="DG79" i="4" s="1"/>
  <c r="DU79" i="4"/>
  <c r="DF79" i="4" s="1"/>
  <c r="DT79" i="4"/>
  <c r="DE79" i="4" s="1"/>
  <c r="DS79" i="4"/>
  <c r="DD79" i="4" s="1"/>
  <c r="DR79" i="4"/>
  <c r="DC79" i="4" s="1"/>
  <c r="DQ79" i="4"/>
  <c r="DB79" i="4" s="1"/>
  <c r="DP79" i="4"/>
  <c r="DA79" i="4" s="1"/>
  <c r="DO79" i="4"/>
  <c r="CZ79" i="4" s="1"/>
  <c r="DN79" i="4"/>
  <c r="DM79" i="4"/>
  <c r="CX79" i="4" s="1"/>
  <c r="DL79" i="4"/>
  <c r="DW78" i="4"/>
  <c r="DV78" i="4"/>
  <c r="DU78" i="4"/>
  <c r="DT78" i="4"/>
  <c r="DS78" i="4"/>
  <c r="DR78" i="4"/>
  <c r="DQ78" i="4"/>
  <c r="DP78" i="4"/>
  <c r="DO78" i="4"/>
  <c r="DN78" i="4"/>
  <c r="DM78" i="4"/>
  <c r="DL78" i="4"/>
  <c r="DW77" i="4"/>
  <c r="DH77" i="4" s="1"/>
  <c r="DV77" i="4"/>
  <c r="DG77" i="4" s="1"/>
  <c r="DU77" i="4"/>
  <c r="DF77" i="4" s="1"/>
  <c r="DT77" i="4"/>
  <c r="DS77" i="4"/>
  <c r="DD77" i="4" s="1"/>
  <c r="DR77" i="4"/>
  <c r="DC77" i="4" s="1"/>
  <c r="DQ77" i="4"/>
  <c r="DB77" i="4" s="1"/>
  <c r="DP77" i="4"/>
  <c r="DA77" i="4" s="1"/>
  <c r="DO77" i="4"/>
  <c r="CZ77" i="4" s="1"/>
  <c r="DN77" i="4"/>
  <c r="CY77" i="4" s="1"/>
  <c r="DM77" i="4"/>
  <c r="CX77" i="4" s="1"/>
  <c r="DL77" i="4"/>
  <c r="DW76" i="4"/>
  <c r="DH76" i="4" s="1"/>
  <c r="DV76" i="4"/>
  <c r="DG76" i="4" s="1"/>
  <c r="DU76" i="4"/>
  <c r="DF76" i="4" s="1"/>
  <c r="DT76" i="4"/>
  <c r="DE76" i="4" s="1"/>
  <c r="DS76" i="4"/>
  <c r="DD76" i="4" s="1"/>
  <c r="DR76" i="4"/>
  <c r="DC76" i="4" s="1"/>
  <c r="DQ76" i="4"/>
  <c r="DB76" i="4" s="1"/>
  <c r="DP76" i="4"/>
  <c r="DA76" i="4" s="1"/>
  <c r="DO76" i="4"/>
  <c r="DN76" i="4"/>
  <c r="CY76" i="4" s="1"/>
  <c r="DM76" i="4"/>
  <c r="CX76" i="4" s="1"/>
  <c r="DL76" i="4"/>
  <c r="DW75" i="4"/>
  <c r="DV75" i="4"/>
  <c r="DU75" i="4"/>
  <c r="DT75" i="4"/>
  <c r="DS75" i="4"/>
  <c r="DR75" i="4"/>
  <c r="DQ75" i="4"/>
  <c r="DP75" i="4"/>
  <c r="DO75" i="4"/>
  <c r="DN75" i="4"/>
  <c r="DM75" i="4"/>
  <c r="DL75" i="4"/>
  <c r="DW74" i="4"/>
  <c r="DH74" i="4" s="1"/>
  <c r="DV74" i="4"/>
  <c r="DG74" i="4" s="1"/>
  <c r="DU74" i="4"/>
  <c r="DT74" i="4"/>
  <c r="DE74" i="4" s="1"/>
  <c r="DS74" i="4"/>
  <c r="DD74" i="4" s="1"/>
  <c r="DR74" i="4"/>
  <c r="DC74" i="4" s="1"/>
  <c r="DQ74" i="4"/>
  <c r="DB74" i="4" s="1"/>
  <c r="DP74" i="4"/>
  <c r="DA74" i="4" s="1"/>
  <c r="DO74" i="4"/>
  <c r="CZ74" i="4" s="1"/>
  <c r="DN74" i="4"/>
  <c r="CY74" i="4" s="1"/>
  <c r="DM74" i="4"/>
  <c r="CX74" i="4" s="1"/>
  <c r="DL74" i="4"/>
  <c r="DW73" i="4"/>
  <c r="DH73" i="4" s="1"/>
  <c r="DV73" i="4"/>
  <c r="DG73" i="4" s="1"/>
  <c r="DU73" i="4"/>
  <c r="DF73" i="4" s="1"/>
  <c r="DT73" i="4"/>
  <c r="DE73" i="4" s="1"/>
  <c r="DS73" i="4"/>
  <c r="DD73" i="4" s="1"/>
  <c r="DR73" i="4"/>
  <c r="DC73" i="4" s="1"/>
  <c r="DQ73" i="4"/>
  <c r="DB73" i="4" s="1"/>
  <c r="DP73" i="4"/>
  <c r="DO73" i="4"/>
  <c r="CZ73" i="4" s="1"/>
  <c r="DN73" i="4"/>
  <c r="CY73" i="4" s="1"/>
  <c r="DM73" i="4"/>
  <c r="CX73" i="4" s="1"/>
  <c r="DL73" i="4"/>
  <c r="DW72" i="4"/>
  <c r="DV72" i="4"/>
  <c r="DU72" i="4"/>
  <c r="DT72" i="4"/>
  <c r="DS72" i="4"/>
  <c r="DR72" i="4"/>
  <c r="DQ72" i="4"/>
  <c r="DP72" i="4"/>
  <c r="DO72" i="4"/>
  <c r="DN72" i="4"/>
  <c r="DM72" i="4"/>
  <c r="DL72" i="4"/>
  <c r="DW71" i="4"/>
  <c r="DH71" i="4" s="1"/>
  <c r="DV71" i="4"/>
  <c r="DU71" i="4"/>
  <c r="DF71" i="4" s="1"/>
  <c r="DT71" i="4"/>
  <c r="DE71" i="4" s="1"/>
  <c r="DS71" i="4"/>
  <c r="DD71" i="4" s="1"/>
  <c r="DR71" i="4"/>
  <c r="DC71" i="4" s="1"/>
  <c r="DQ71" i="4"/>
  <c r="DB71" i="4" s="1"/>
  <c r="DP71" i="4"/>
  <c r="DA71" i="4" s="1"/>
  <c r="DO71" i="4"/>
  <c r="CZ71" i="4" s="1"/>
  <c r="DN71" i="4"/>
  <c r="CY71" i="4" s="1"/>
  <c r="DM71" i="4"/>
  <c r="CX71" i="4" s="1"/>
  <c r="DL71" i="4"/>
  <c r="DW70" i="4"/>
  <c r="DV70" i="4"/>
  <c r="DU70" i="4"/>
  <c r="DT70" i="4"/>
  <c r="DS70" i="4"/>
  <c r="DR70" i="4"/>
  <c r="DQ70" i="4"/>
  <c r="DP70" i="4"/>
  <c r="DO70" i="4"/>
  <c r="DN70" i="4"/>
  <c r="DM70" i="4"/>
  <c r="DL70" i="4"/>
  <c r="DW69" i="4"/>
  <c r="DH69" i="4" s="1"/>
  <c r="DV69" i="4"/>
  <c r="DG69" i="4" s="1"/>
  <c r="DU69" i="4"/>
  <c r="DF69" i="4" s="1"/>
  <c r="DT69" i="4"/>
  <c r="DE69" i="4" s="1"/>
  <c r="DS69" i="4"/>
  <c r="DD69" i="4" s="1"/>
  <c r="DR69" i="4"/>
  <c r="DC69" i="4" s="1"/>
  <c r="DQ69" i="4"/>
  <c r="DB69" i="4" s="1"/>
  <c r="DP69" i="4"/>
  <c r="DA69" i="4" s="1"/>
  <c r="DO69" i="4"/>
  <c r="CZ69" i="4" s="1"/>
  <c r="DN69" i="4"/>
  <c r="CY69" i="4" s="1"/>
  <c r="DM69" i="4"/>
  <c r="CX69" i="4" s="1"/>
  <c r="DL69" i="4"/>
  <c r="DW68" i="4"/>
  <c r="DV68" i="4"/>
  <c r="DG68" i="4" s="1"/>
  <c r="DU68" i="4"/>
  <c r="DF68" i="4" s="1"/>
  <c r="DT68" i="4"/>
  <c r="DE68" i="4" s="1"/>
  <c r="DS68" i="4"/>
  <c r="DD68" i="4" s="1"/>
  <c r="DR68" i="4"/>
  <c r="DC68" i="4" s="1"/>
  <c r="DQ68" i="4"/>
  <c r="DB68" i="4" s="1"/>
  <c r="DP68" i="4"/>
  <c r="DA68" i="4" s="1"/>
  <c r="DO68" i="4"/>
  <c r="CZ68" i="4" s="1"/>
  <c r="DN68" i="4"/>
  <c r="CY68" i="4" s="1"/>
  <c r="DM68" i="4"/>
  <c r="CX68" i="4" s="1"/>
  <c r="DL68" i="4"/>
  <c r="DW67" i="4"/>
  <c r="DH67" i="4" s="1"/>
  <c r="DV67" i="4"/>
  <c r="DG67" i="4" s="1"/>
  <c r="DU67" i="4"/>
  <c r="DF67" i="4" s="1"/>
  <c r="DT67" i="4"/>
  <c r="DE67" i="4" s="1"/>
  <c r="DS67" i="4"/>
  <c r="DD67" i="4" s="1"/>
  <c r="DR67" i="4"/>
  <c r="DQ67" i="4"/>
  <c r="DB67" i="4" s="1"/>
  <c r="DP67" i="4"/>
  <c r="DA67" i="4" s="1"/>
  <c r="DO67" i="4"/>
  <c r="CZ67" i="4" s="1"/>
  <c r="DN67" i="4"/>
  <c r="CY67" i="4" s="1"/>
  <c r="DM67" i="4"/>
  <c r="CX67" i="4" s="1"/>
  <c r="DL67" i="4"/>
  <c r="DW66" i="4"/>
  <c r="DV66" i="4"/>
  <c r="DU66" i="4"/>
  <c r="DT66" i="4"/>
  <c r="DS66" i="4"/>
  <c r="DR66" i="4"/>
  <c r="DQ66" i="4"/>
  <c r="DP66" i="4"/>
  <c r="DO66" i="4"/>
  <c r="DN66" i="4"/>
  <c r="DM66" i="4"/>
  <c r="DL66" i="4"/>
  <c r="DW65" i="4"/>
  <c r="DH65" i="4" s="1"/>
  <c r="DV65" i="4"/>
  <c r="DG65" i="4" s="1"/>
  <c r="DU65" i="4"/>
  <c r="DF65" i="4" s="1"/>
  <c r="DT65" i="4"/>
  <c r="DE65" i="4" s="1"/>
  <c r="DS65" i="4"/>
  <c r="DD65" i="4" s="1"/>
  <c r="DR65" i="4"/>
  <c r="DC65" i="4" s="1"/>
  <c r="DQ65" i="4"/>
  <c r="DB65" i="4" s="1"/>
  <c r="DP65" i="4"/>
  <c r="DA65" i="4" s="1"/>
  <c r="DO65" i="4"/>
  <c r="CZ65" i="4" s="1"/>
  <c r="DN65" i="4"/>
  <c r="CY65" i="4" s="1"/>
  <c r="DM65" i="4"/>
  <c r="CX65" i="4" s="1"/>
  <c r="DL65" i="4"/>
  <c r="DW64" i="4"/>
  <c r="DH64" i="4" s="1"/>
  <c r="DV64" i="4"/>
  <c r="DG64" i="4" s="1"/>
  <c r="DU64" i="4"/>
  <c r="DF64" i="4" s="1"/>
  <c r="DT64" i="4"/>
  <c r="DE64" i="4" s="1"/>
  <c r="DS64" i="4"/>
  <c r="DR64" i="4"/>
  <c r="DC64" i="4" s="1"/>
  <c r="DQ64" i="4"/>
  <c r="DB64" i="4" s="1"/>
  <c r="DP64" i="4"/>
  <c r="DA64" i="4" s="1"/>
  <c r="DO64" i="4"/>
  <c r="CZ64" i="4" s="1"/>
  <c r="DN64" i="4"/>
  <c r="CY64" i="4" s="1"/>
  <c r="DM64" i="4"/>
  <c r="CX64" i="4" s="1"/>
  <c r="DL64" i="4"/>
  <c r="DW63" i="4"/>
  <c r="DH63" i="4" s="1"/>
  <c r="DV63" i="4"/>
  <c r="DG63" i="4" s="1"/>
  <c r="DU63" i="4"/>
  <c r="DF63" i="4" s="1"/>
  <c r="DT63" i="4"/>
  <c r="DE63" i="4" s="1"/>
  <c r="DS63" i="4"/>
  <c r="DD63" i="4" s="1"/>
  <c r="DR63" i="4"/>
  <c r="DC63" i="4" s="1"/>
  <c r="DQ63" i="4"/>
  <c r="DB63" i="4" s="1"/>
  <c r="DP63" i="4"/>
  <c r="DA63" i="4" s="1"/>
  <c r="DO63" i="4"/>
  <c r="CZ63" i="4" s="1"/>
  <c r="DN63" i="4"/>
  <c r="DM63" i="4"/>
  <c r="CX63" i="4" s="1"/>
  <c r="DL63" i="4"/>
  <c r="DW62" i="4"/>
  <c r="DV62" i="4"/>
  <c r="DU62" i="4"/>
  <c r="DF62" i="4" s="1"/>
  <c r="DT62" i="4"/>
  <c r="DS62" i="4"/>
  <c r="DD62" i="4" s="1"/>
  <c r="DR62" i="4"/>
  <c r="DQ62" i="4"/>
  <c r="DP62" i="4"/>
  <c r="DA62" i="4" s="1"/>
  <c r="DO62" i="4"/>
  <c r="DN62" i="4"/>
  <c r="DM62" i="4"/>
  <c r="DL62" i="4"/>
  <c r="DW61" i="4"/>
  <c r="DH61" i="4" s="1"/>
  <c r="DV61" i="4"/>
  <c r="DG61" i="4" s="1"/>
  <c r="DU61" i="4"/>
  <c r="DF61" i="4" s="1"/>
  <c r="DT61" i="4"/>
  <c r="DS61" i="4"/>
  <c r="DD61" i="4" s="1"/>
  <c r="DR61" i="4"/>
  <c r="DC61" i="4" s="1"/>
  <c r="DQ61" i="4"/>
  <c r="DB61" i="4" s="1"/>
  <c r="DP61" i="4"/>
  <c r="DA61" i="4" s="1"/>
  <c r="DO61" i="4"/>
  <c r="CZ61" i="4" s="1"/>
  <c r="DN61" i="4"/>
  <c r="CY61" i="4" s="1"/>
  <c r="DM61" i="4"/>
  <c r="CX61" i="4" s="1"/>
  <c r="DL61" i="4"/>
  <c r="DW60" i="4"/>
  <c r="DV60" i="4"/>
  <c r="DU60" i="4"/>
  <c r="DT60" i="4"/>
  <c r="DS60" i="4"/>
  <c r="DR60" i="4"/>
  <c r="DQ60" i="4"/>
  <c r="DP60" i="4"/>
  <c r="DO60" i="4"/>
  <c r="DN60" i="4"/>
  <c r="DM60" i="4"/>
  <c r="DL60" i="4"/>
  <c r="DW59" i="4"/>
  <c r="DH59" i="4" s="1"/>
  <c r="CT59" i="4" s="1"/>
  <c r="CE59" i="4" s="1"/>
  <c r="DV59" i="4"/>
  <c r="DG59" i="4" s="1"/>
  <c r="CS59" i="4" s="1"/>
  <c r="CD59" i="4" s="1"/>
  <c r="DU59" i="4"/>
  <c r="DF59" i="4" s="1"/>
  <c r="CR59" i="4" s="1"/>
  <c r="CC59" i="4" s="1"/>
  <c r="DT59" i="4"/>
  <c r="DE59" i="4" s="1"/>
  <c r="CQ59" i="4" s="1"/>
  <c r="CB59" i="4" s="1"/>
  <c r="DS59" i="4"/>
  <c r="DD59" i="4" s="1"/>
  <c r="CP59" i="4" s="1"/>
  <c r="CA59" i="4" s="1"/>
  <c r="DR59" i="4"/>
  <c r="DC59" i="4" s="1"/>
  <c r="CO59" i="4" s="1"/>
  <c r="BZ59" i="4" s="1"/>
  <c r="DQ59" i="4"/>
  <c r="DB59" i="4" s="1"/>
  <c r="CN59" i="4" s="1"/>
  <c r="BY59" i="4" s="1"/>
  <c r="DP59" i="4"/>
  <c r="DA59" i="4" s="1"/>
  <c r="CM59" i="4" s="1"/>
  <c r="BX59" i="4" s="1"/>
  <c r="DO59" i="4"/>
  <c r="CZ59" i="4" s="1"/>
  <c r="CL59" i="4" s="1"/>
  <c r="BW59" i="4" s="1"/>
  <c r="DN59" i="4"/>
  <c r="CY59" i="4" s="1"/>
  <c r="CK59" i="4" s="1"/>
  <c r="BV59" i="4" s="1"/>
  <c r="DM59" i="4"/>
  <c r="CX59" i="4" s="1"/>
  <c r="CJ59" i="4" s="1"/>
  <c r="BU59" i="4" s="1"/>
  <c r="DL59" i="4"/>
  <c r="DW58" i="4"/>
  <c r="DH58" i="4" s="1"/>
  <c r="DV58" i="4"/>
  <c r="DG58" i="4" s="1"/>
  <c r="DU58" i="4"/>
  <c r="DT58" i="4"/>
  <c r="DE58" i="4" s="1"/>
  <c r="DS58" i="4"/>
  <c r="DD58" i="4" s="1"/>
  <c r="DR58" i="4"/>
  <c r="DC58" i="4" s="1"/>
  <c r="DQ58" i="4"/>
  <c r="DB58" i="4" s="1"/>
  <c r="DP58" i="4"/>
  <c r="DA58" i="4" s="1"/>
  <c r="DO58" i="4"/>
  <c r="CZ58" i="4" s="1"/>
  <c r="DN58" i="4"/>
  <c r="CY58" i="4" s="1"/>
  <c r="DM58" i="4"/>
  <c r="CX58" i="4" s="1"/>
  <c r="DL58" i="4"/>
  <c r="DW57" i="4"/>
  <c r="DH57" i="4" s="1"/>
  <c r="DV57" i="4"/>
  <c r="DG57" i="4" s="1"/>
  <c r="DU57" i="4"/>
  <c r="DF57" i="4" s="1"/>
  <c r="DT57" i="4"/>
  <c r="DE57" i="4" s="1"/>
  <c r="DS57" i="4"/>
  <c r="DD57" i="4" s="1"/>
  <c r="DR57" i="4"/>
  <c r="DC57" i="4" s="1"/>
  <c r="DQ57" i="4"/>
  <c r="DB57" i="4" s="1"/>
  <c r="DP57" i="4"/>
  <c r="DO57" i="4"/>
  <c r="CZ57" i="4" s="1"/>
  <c r="DN57" i="4"/>
  <c r="CY57" i="4" s="1"/>
  <c r="DM57" i="4"/>
  <c r="CX57" i="4" s="1"/>
  <c r="DL57" i="4"/>
  <c r="DW56" i="4"/>
  <c r="DV56" i="4"/>
  <c r="DU56" i="4"/>
  <c r="DT56" i="4"/>
  <c r="DS56" i="4"/>
  <c r="DR56" i="4"/>
  <c r="DQ56" i="4"/>
  <c r="DP56" i="4"/>
  <c r="DO56" i="4"/>
  <c r="DN56" i="4"/>
  <c r="DM56" i="4"/>
  <c r="DL56" i="4"/>
  <c r="DW55" i="4"/>
  <c r="DH55" i="4" s="1"/>
  <c r="DV55" i="4"/>
  <c r="DU55" i="4"/>
  <c r="DF55" i="4" s="1"/>
  <c r="DT55" i="4"/>
  <c r="DE55" i="4" s="1"/>
  <c r="DS55" i="4"/>
  <c r="DD55" i="4" s="1"/>
  <c r="DR55" i="4"/>
  <c r="DC55" i="4" s="1"/>
  <c r="DQ55" i="4"/>
  <c r="DB55" i="4" s="1"/>
  <c r="DP55" i="4"/>
  <c r="DA55" i="4" s="1"/>
  <c r="DO55" i="4"/>
  <c r="CZ55" i="4" s="1"/>
  <c r="DN55" i="4"/>
  <c r="CY55" i="4" s="1"/>
  <c r="DM55" i="4"/>
  <c r="CX55" i="4" s="1"/>
  <c r="DL55" i="4"/>
  <c r="DW54" i="4"/>
  <c r="DH54" i="4" s="1"/>
  <c r="DV54" i="4"/>
  <c r="DG54" i="4" s="1"/>
  <c r="DU54" i="4"/>
  <c r="DF54" i="4" s="1"/>
  <c r="DT54" i="4"/>
  <c r="DE54" i="4" s="1"/>
  <c r="DS54" i="4"/>
  <c r="DD54" i="4" s="1"/>
  <c r="DR54" i="4"/>
  <c r="DC54" i="4" s="1"/>
  <c r="DQ54" i="4"/>
  <c r="DP54" i="4"/>
  <c r="DA54" i="4" s="1"/>
  <c r="DO54" i="4"/>
  <c r="CZ54" i="4" s="1"/>
  <c r="DN54" i="4"/>
  <c r="CY54" i="4" s="1"/>
  <c r="DM54" i="4"/>
  <c r="CX54" i="4" s="1"/>
  <c r="DL54" i="4"/>
  <c r="DW53" i="4"/>
  <c r="DH53" i="4" s="1"/>
  <c r="DV53" i="4"/>
  <c r="DG53" i="4" s="1"/>
  <c r="DU53" i="4"/>
  <c r="DF53" i="4" s="1"/>
  <c r="DT53" i="4"/>
  <c r="DE53" i="4" s="1"/>
  <c r="DS53" i="4"/>
  <c r="DD53" i="4" s="1"/>
  <c r="DR53" i="4"/>
  <c r="DC53" i="4" s="1"/>
  <c r="DQ53" i="4"/>
  <c r="DB53" i="4" s="1"/>
  <c r="DP53" i="4"/>
  <c r="DA53" i="4" s="1"/>
  <c r="DO53" i="4"/>
  <c r="CZ53" i="4" s="1"/>
  <c r="DN53" i="4"/>
  <c r="CY53" i="4" s="1"/>
  <c r="DM53" i="4"/>
  <c r="CX53" i="4" s="1"/>
  <c r="DL53" i="4"/>
  <c r="DW52" i="4"/>
  <c r="DV52" i="4"/>
  <c r="DG52" i="4" s="1"/>
  <c r="DU52" i="4"/>
  <c r="DF52" i="4" s="1"/>
  <c r="DT52" i="4"/>
  <c r="DE52" i="4" s="1"/>
  <c r="DS52" i="4"/>
  <c r="DD52" i="4" s="1"/>
  <c r="DR52" i="4"/>
  <c r="DC52" i="4" s="1"/>
  <c r="DQ52" i="4"/>
  <c r="DB52" i="4" s="1"/>
  <c r="DP52" i="4"/>
  <c r="DA52" i="4" s="1"/>
  <c r="DO52" i="4"/>
  <c r="CZ52" i="4" s="1"/>
  <c r="DN52" i="4"/>
  <c r="CY52" i="4" s="1"/>
  <c r="DM52" i="4"/>
  <c r="CX52" i="4" s="1"/>
  <c r="DL52" i="4"/>
  <c r="DW51" i="4"/>
  <c r="DH51" i="4" s="1"/>
  <c r="DV51" i="4"/>
  <c r="DG51" i="4" s="1"/>
  <c r="DU51" i="4"/>
  <c r="DF51" i="4" s="1"/>
  <c r="DT51" i="4"/>
  <c r="DE51" i="4" s="1"/>
  <c r="DS51" i="4"/>
  <c r="DD51" i="4" s="1"/>
  <c r="DR51" i="4"/>
  <c r="DQ51" i="4"/>
  <c r="DB51" i="4" s="1"/>
  <c r="DP51" i="4"/>
  <c r="DA51" i="4" s="1"/>
  <c r="DO51" i="4"/>
  <c r="CZ51" i="4" s="1"/>
  <c r="DN51" i="4"/>
  <c r="CY51" i="4" s="1"/>
  <c r="DM51" i="4"/>
  <c r="CX51" i="4" s="1"/>
  <c r="DL51" i="4"/>
  <c r="DW50" i="4"/>
  <c r="DH50" i="4" s="1"/>
  <c r="DV50" i="4"/>
  <c r="DG50" i="4" s="1"/>
  <c r="DU50" i="4"/>
  <c r="DF50" i="4" s="1"/>
  <c r="DT50" i="4"/>
  <c r="DE50" i="4" s="1"/>
  <c r="DS50" i="4"/>
  <c r="DD50" i="4" s="1"/>
  <c r="DR50" i="4"/>
  <c r="DC50" i="4" s="1"/>
  <c r="DQ50" i="4"/>
  <c r="DB50" i="4" s="1"/>
  <c r="DP50" i="4"/>
  <c r="DA50" i="4" s="1"/>
  <c r="DO50" i="4"/>
  <c r="CZ50" i="4" s="1"/>
  <c r="DN50" i="4"/>
  <c r="CY50" i="4" s="1"/>
  <c r="DM50" i="4"/>
  <c r="DL50" i="4"/>
  <c r="DW49" i="4"/>
  <c r="DH49" i="4" s="1"/>
  <c r="DV49" i="4"/>
  <c r="DG49" i="4" s="1"/>
  <c r="DU49" i="4"/>
  <c r="DF49" i="4" s="1"/>
  <c r="DT49" i="4"/>
  <c r="DE49" i="4" s="1"/>
  <c r="DS49" i="4"/>
  <c r="DD49" i="4" s="1"/>
  <c r="DR49" i="4"/>
  <c r="DC49" i="4" s="1"/>
  <c r="DQ49" i="4"/>
  <c r="DB49" i="4" s="1"/>
  <c r="DP49" i="4"/>
  <c r="DA49" i="4" s="1"/>
  <c r="DO49" i="4"/>
  <c r="CZ49" i="4" s="1"/>
  <c r="DN49" i="4"/>
  <c r="CY49" i="4" s="1"/>
  <c r="DM49" i="4"/>
  <c r="CX49" i="4" s="1"/>
  <c r="DL49" i="4"/>
  <c r="DW48" i="4"/>
  <c r="DH48" i="4" s="1"/>
  <c r="DV48" i="4"/>
  <c r="DG48" i="4" s="1"/>
  <c r="DU48" i="4"/>
  <c r="DF48" i="4" s="1"/>
  <c r="DT48" i="4"/>
  <c r="DE48" i="4" s="1"/>
  <c r="DS48" i="4"/>
  <c r="DR48" i="4"/>
  <c r="DC48" i="4" s="1"/>
  <c r="DQ48" i="4"/>
  <c r="DB48" i="4" s="1"/>
  <c r="DP48" i="4"/>
  <c r="DA48" i="4" s="1"/>
  <c r="DO48" i="4"/>
  <c r="CZ48" i="4" s="1"/>
  <c r="DN48" i="4"/>
  <c r="CY48" i="4" s="1"/>
  <c r="DM48" i="4"/>
  <c r="CX48" i="4" s="1"/>
  <c r="DL48" i="4"/>
  <c r="DW47" i="4"/>
  <c r="DV47" i="4"/>
  <c r="DU47" i="4"/>
  <c r="DT47" i="4"/>
  <c r="DS47" i="4"/>
  <c r="DR47" i="4"/>
  <c r="DQ47" i="4"/>
  <c r="DP47" i="4"/>
  <c r="DO47" i="4"/>
  <c r="DN47" i="4"/>
  <c r="DM47" i="4"/>
  <c r="DL47" i="4"/>
  <c r="DW46" i="4"/>
  <c r="DH46" i="4" s="1"/>
  <c r="DV46" i="4"/>
  <c r="DG46" i="4" s="1"/>
  <c r="DU46" i="4"/>
  <c r="DF46" i="4" s="1"/>
  <c r="DT46" i="4"/>
  <c r="DE46" i="4" s="1"/>
  <c r="DS46" i="4"/>
  <c r="DD46" i="4" s="1"/>
  <c r="DR46" i="4"/>
  <c r="DC46" i="4" s="1"/>
  <c r="DQ46" i="4"/>
  <c r="DB46" i="4" s="1"/>
  <c r="DP46" i="4"/>
  <c r="DA46" i="4" s="1"/>
  <c r="DO46" i="4"/>
  <c r="CZ46" i="4" s="1"/>
  <c r="DN46" i="4"/>
  <c r="CY46" i="4" s="1"/>
  <c r="DM46" i="4"/>
  <c r="CX46" i="4" s="1"/>
  <c r="DL46" i="4"/>
  <c r="DW45" i="4"/>
  <c r="DV45" i="4"/>
  <c r="DU45" i="4"/>
  <c r="DT45" i="4"/>
  <c r="DS45" i="4"/>
  <c r="DR45" i="4"/>
  <c r="DQ45" i="4"/>
  <c r="DP45" i="4"/>
  <c r="DO45" i="4"/>
  <c r="DN45" i="4"/>
  <c r="DM45" i="4"/>
  <c r="DL45" i="4"/>
  <c r="DW44" i="4"/>
  <c r="DH44" i="4" s="1"/>
  <c r="DV44" i="4"/>
  <c r="DG44" i="4" s="1"/>
  <c r="DU44" i="4"/>
  <c r="DF44" i="4" s="1"/>
  <c r="DT44" i="4"/>
  <c r="DS44" i="4"/>
  <c r="DD44" i="4" s="1"/>
  <c r="DR44" i="4"/>
  <c r="DC44" i="4" s="1"/>
  <c r="DQ44" i="4"/>
  <c r="DB44" i="4" s="1"/>
  <c r="DP44" i="4"/>
  <c r="DA44" i="4" s="1"/>
  <c r="DO44" i="4"/>
  <c r="DN44" i="4"/>
  <c r="CY44" i="4" s="1"/>
  <c r="DM44" i="4"/>
  <c r="CX44" i="4" s="1"/>
  <c r="DL44" i="4"/>
  <c r="DW43" i="4"/>
  <c r="DH43" i="4" s="1"/>
  <c r="CT43" i="4" s="1"/>
  <c r="CE43" i="4" s="1"/>
  <c r="DV43" i="4"/>
  <c r="DG43" i="4" s="1"/>
  <c r="CS43" i="4" s="1"/>
  <c r="CD43" i="4" s="1"/>
  <c r="DU43" i="4"/>
  <c r="DF43" i="4" s="1"/>
  <c r="CR43" i="4" s="1"/>
  <c r="CC43" i="4" s="1"/>
  <c r="DT43" i="4"/>
  <c r="DE43" i="4" s="1"/>
  <c r="CQ43" i="4" s="1"/>
  <c r="CB43" i="4" s="1"/>
  <c r="DS43" i="4"/>
  <c r="DD43" i="4" s="1"/>
  <c r="CP43" i="4" s="1"/>
  <c r="CA43" i="4" s="1"/>
  <c r="DR43" i="4"/>
  <c r="DC43" i="4" s="1"/>
  <c r="CO43" i="4" s="1"/>
  <c r="BZ43" i="4" s="1"/>
  <c r="DQ43" i="4"/>
  <c r="DB43" i="4" s="1"/>
  <c r="CN43" i="4" s="1"/>
  <c r="BY43" i="4" s="1"/>
  <c r="DP43" i="4"/>
  <c r="DA43" i="4" s="1"/>
  <c r="CM43" i="4" s="1"/>
  <c r="BX43" i="4" s="1"/>
  <c r="DO43" i="4"/>
  <c r="CZ43" i="4" s="1"/>
  <c r="CL43" i="4" s="1"/>
  <c r="BW43" i="4" s="1"/>
  <c r="DN43" i="4"/>
  <c r="CY43" i="4" s="1"/>
  <c r="CK43" i="4" s="1"/>
  <c r="BV43" i="4" s="1"/>
  <c r="DM43" i="4"/>
  <c r="CX43" i="4" s="1"/>
  <c r="CJ43" i="4" s="1"/>
  <c r="BU43" i="4" s="1"/>
  <c r="DL43" i="4"/>
  <c r="DW42" i="4"/>
  <c r="DH42" i="4" s="1"/>
  <c r="DV42" i="4"/>
  <c r="DG42" i="4" s="1"/>
  <c r="DU42" i="4"/>
  <c r="DF42" i="4" s="1"/>
  <c r="DT42" i="4"/>
  <c r="DE42" i="4" s="1"/>
  <c r="DS42" i="4"/>
  <c r="DD42" i="4" s="1"/>
  <c r="DR42" i="4"/>
  <c r="DC42" i="4" s="1"/>
  <c r="DQ42" i="4"/>
  <c r="DB42" i="4" s="1"/>
  <c r="DP42" i="4"/>
  <c r="DA42" i="4" s="1"/>
  <c r="DO42" i="4"/>
  <c r="CZ42" i="4" s="1"/>
  <c r="DN42" i="4"/>
  <c r="CY42" i="4" s="1"/>
  <c r="DM42" i="4"/>
  <c r="CX42" i="4" s="1"/>
  <c r="DL42" i="4"/>
  <c r="DW41" i="4"/>
  <c r="DH41" i="4" s="1"/>
  <c r="DV41" i="4"/>
  <c r="DG41" i="4" s="1"/>
  <c r="DU41" i="4"/>
  <c r="DF41" i="4" s="1"/>
  <c r="DT41" i="4"/>
  <c r="DE41" i="4" s="1"/>
  <c r="DS41" i="4"/>
  <c r="DD41" i="4" s="1"/>
  <c r="DR41" i="4"/>
  <c r="DC41" i="4" s="1"/>
  <c r="DQ41" i="4"/>
  <c r="DB41" i="4" s="1"/>
  <c r="DP41" i="4"/>
  <c r="DO41" i="4"/>
  <c r="CZ41" i="4" s="1"/>
  <c r="DN41" i="4"/>
  <c r="CY41" i="4" s="1"/>
  <c r="DM41" i="4"/>
  <c r="CX41" i="4" s="1"/>
  <c r="DL41" i="4"/>
  <c r="DW40" i="4"/>
  <c r="DV40" i="4"/>
  <c r="DU40" i="4"/>
  <c r="DT40" i="4"/>
  <c r="DS40" i="4"/>
  <c r="DR40" i="4"/>
  <c r="DQ40" i="4"/>
  <c r="DP40" i="4"/>
  <c r="DO40" i="4"/>
  <c r="DN40" i="4"/>
  <c r="DM40" i="4"/>
  <c r="DL40" i="4"/>
  <c r="DW39" i="4"/>
  <c r="DH39" i="4" s="1"/>
  <c r="DV39" i="4"/>
  <c r="DU39" i="4"/>
  <c r="DF39" i="4" s="1"/>
  <c r="DT39" i="4"/>
  <c r="DE39" i="4" s="1"/>
  <c r="DS39" i="4"/>
  <c r="DD39" i="4" s="1"/>
  <c r="DR39" i="4"/>
  <c r="DC39" i="4" s="1"/>
  <c r="DQ39" i="4"/>
  <c r="DB39" i="4" s="1"/>
  <c r="DP39" i="4"/>
  <c r="DA39" i="4" s="1"/>
  <c r="DO39" i="4"/>
  <c r="CZ39" i="4" s="1"/>
  <c r="DN39" i="4"/>
  <c r="CY39" i="4" s="1"/>
  <c r="DM39" i="4"/>
  <c r="CX39" i="4" s="1"/>
  <c r="DL39" i="4"/>
  <c r="DW38" i="4"/>
  <c r="DH38" i="4" s="1"/>
  <c r="DV38" i="4"/>
  <c r="DG38" i="4" s="1"/>
  <c r="DU38" i="4"/>
  <c r="DF38" i="4" s="1"/>
  <c r="DT38" i="4"/>
  <c r="DE38" i="4" s="1"/>
  <c r="DS38" i="4"/>
  <c r="DD38" i="4" s="1"/>
  <c r="DR38" i="4"/>
  <c r="DC38" i="4" s="1"/>
  <c r="DQ38" i="4"/>
  <c r="DP38" i="4"/>
  <c r="DA38" i="4" s="1"/>
  <c r="DO38" i="4"/>
  <c r="CZ38" i="4" s="1"/>
  <c r="DN38" i="4"/>
  <c r="CY38" i="4" s="1"/>
  <c r="DM38" i="4"/>
  <c r="CX38" i="4" s="1"/>
  <c r="DL38" i="4"/>
  <c r="DW37" i="4"/>
  <c r="DH37" i="4" s="1"/>
  <c r="CT37" i="4" s="1"/>
  <c r="CE37" i="4" s="1"/>
  <c r="DV37" i="4"/>
  <c r="DG37" i="4" s="1"/>
  <c r="CS37" i="4" s="1"/>
  <c r="CD37" i="4" s="1"/>
  <c r="DU37" i="4"/>
  <c r="DF37" i="4" s="1"/>
  <c r="CR37" i="4" s="1"/>
  <c r="CC37" i="4" s="1"/>
  <c r="DT37" i="4"/>
  <c r="DE37" i="4" s="1"/>
  <c r="CQ37" i="4" s="1"/>
  <c r="CB37" i="4" s="1"/>
  <c r="DS37" i="4"/>
  <c r="DD37" i="4" s="1"/>
  <c r="CP37" i="4" s="1"/>
  <c r="CA37" i="4" s="1"/>
  <c r="DR37" i="4"/>
  <c r="DC37" i="4" s="1"/>
  <c r="CO37" i="4" s="1"/>
  <c r="BZ37" i="4" s="1"/>
  <c r="DQ37" i="4"/>
  <c r="DB37" i="4" s="1"/>
  <c r="CN37" i="4" s="1"/>
  <c r="BY37" i="4" s="1"/>
  <c r="DP37" i="4"/>
  <c r="DA37" i="4" s="1"/>
  <c r="CM37" i="4" s="1"/>
  <c r="BX37" i="4" s="1"/>
  <c r="DO37" i="4"/>
  <c r="CZ37" i="4" s="1"/>
  <c r="CL37" i="4" s="1"/>
  <c r="BW37" i="4" s="1"/>
  <c r="DN37" i="4"/>
  <c r="CY37" i="4" s="1"/>
  <c r="CK37" i="4" s="1"/>
  <c r="BV37" i="4" s="1"/>
  <c r="DM37" i="4"/>
  <c r="CX37" i="4" s="1"/>
  <c r="CJ37" i="4" s="1"/>
  <c r="BU37" i="4" s="1"/>
  <c r="DL37" i="4"/>
  <c r="DW36" i="4"/>
  <c r="DH36" i="4" s="1"/>
  <c r="DV36" i="4"/>
  <c r="DG36" i="4" s="1"/>
  <c r="DU36" i="4"/>
  <c r="DF36" i="4" s="1"/>
  <c r="DT36" i="4"/>
  <c r="DE36" i="4" s="1"/>
  <c r="DS36" i="4"/>
  <c r="DD36" i="4" s="1"/>
  <c r="DR36" i="4"/>
  <c r="DC36" i="4" s="1"/>
  <c r="DQ36" i="4"/>
  <c r="DB36" i="4" s="1"/>
  <c r="DP36" i="4"/>
  <c r="DA36" i="4" s="1"/>
  <c r="CM36" i="4" s="1"/>
  <c r="BX36" i="4" s="1"/>
  <c r="DO36" i="4"/>
  <c r="CZ36" i="4" s="1"/>
  <c r="DN36" i="4"/>
  <c r="CY36" i="4" s="1"/>
  <c r="DM36" i="4"/>
  <c r="CX36" i="4" s="1"/>
  <c r="CJ36" i="4" s="1"/>
  <c r="BU36" i="4" s="1"/>
  <c r="DL36" i="4"/>
  <c r="DW35" i="4"/>
  <c r="DH35" i="4" s="1"/>
  <c r="DV35" i="4"/>
  <c r="DG35" i="4" s="1"/>
  <c r="DU35" i="4"/>
  <c r="DF35" i="4" s="1"/>
  <c r="DT35" i="4"/>
  <c r="DE35" i="4" s="1"/>
  <c r="DS35" i="4"/>
  <c r="DD35" i="4" s="1"/>
  <c r="DR35" i="4"/>
  <c r="DQ35" i="4"/>
  <c r="DB35" i="4" s="1"/>
  <c r="DP35" i="4"/>
  <c r="DA35" i="4" s="1"/>
  <c r="DO35" i="4"/>
  <c r="CZ35" i="4" s="1"/>
  <c r="DN35" i="4"/>
  <c r="CY35" i="4" s="1"/>
  <c r="DM35" i="4"/>
  <c r="CX35" i="4" s="1"/>
  <c r="DL35" i="4"/>
  <c r="DW34" i="4"/>
  <c r="DH34" i="4" s="1"/>
  <c r="CT34" i="4" s="1"/>
  <c r="CE34" i="4" s="1"/>
  <c r="DV34" i="4"/>
  <c r="DG34" i="4" s="1"/>
  <c r="CS34" i="4" s="1"/>
  <c r="CD34" i="4" s="1"/>
  <c r="DU34" i="4"/>
  <c r="DF34" i="4" s="1"/>
  <c r="CR34" i="4" s="1"/>
  <c r="CC34" i="4" s="1"/>
  <c r="DT34" i="4"/>
  <c r="DE34" i="4" s="1"/>
  <c r="CQ34" i="4" s="1"/>
  <c r="CB34" i="4" s="1"/>
  <c r="DS34" i="4"/>
  <c r="DD34" i="4" s="1"/>
  <c r="CP34" i="4" s="1"/>
  <c r="CA34" i="4" s="1"/>
  <c r="DR34" i="4"/>
  <c r="DC34" i="4" s="1"/>
  <c r="CO34" i="4" s="1"/>
  <c r="BZ34" i="4" s="1"/>
  <c r="DQ34" i="4"/>
  <c r="DB34" i="4" s="1"/>
  <c r="CN34" i="4" s="1"/>
  <c r="BY34" i="4" s="1"/>
  <c r="DP34" i="4"/>
  <c r="DA34" i="4" s="1"/>
  <c r="CM34" i="4" s="1"/>
  <c r="BX34" i="4" s="1"/>
  <c r="DO34" i="4"/>
  <c r="CZ34" i="4" s="1"/>
  <c r="CL34" i="4" s="1"/>
  <c r="BW34" i="4" s="1"/>
  <c r="DN34" i="4"/>
  <c r="CY34" i="4" s="1"/>
  <c r="CK34" i="4" s="1"/>
  <c r="BV34" i="4" s="1"/>
  <c r="DM34" i="4"/>
  <c r="CX34" i="4" s="1"/>
  <c r="CJ34" i="4" s="1"/>
  <c r="BU34" i="4" s="1"/>
  <c r="DL34" i="4"/>
  <c r="DW33" i="4"/>
  <c r="DV33" i="4"/>
  <c r="DU33" i="4"/>
  <c r="DT33" i="4"/>
  <c r="DS33" i="4"/>
  <c r="DR33" i="4"/>
  <c r="DQ33" i="4"/>
  <c r="DP33" i="4"/>
  <c r="DO33" i="4"/>
  <c r="DN33" i="4"/>
  <c r="DM33" i="4"/>
  <c r="DL33" i="4"/>
  <c r="DW32" i="4"/>
  <c r="DH32" i="4" s="1"/>
  <c r="CT32" i="4" s="1"/>
  <c r="CE32" i="4" s="1"/>
  <c r="DV32" i="4"/>
  <c r="DG32" i="4" s="1"/>
  <c r="DU32" i="4"/>
  <c r="DF32" i="4" s="1"/>
  <c r="CR32" i="4" s="1"/>
  <c r="CC32" i="4" s="1"/>
  <c r="DT32" i="4"/>
  <c r="DE32" i="4" s="1"/>
  <c r="DS32" i="4"/>
  <c r="DD32" i="4" s="1"/>
  <c r="DR32" i="4"/>
  <c r="DC32" i="4" s="1"/>
  <c r="CO32" i="4" s="1"/>
  <c r="BZ32" i="4" s="1"/>
  <c r="DQ32" i="4"/>
  <c r="DB32" i="4" s="1"/>
  <c r="DP32" i="4"/>
  <c r="DA32" i="4" s="1"/>
  <c r="DO32" i="4"/>
  <c r="CZ32" i="4" s="1"/>
  <c r="DN32" i="4"/>
  <c r="CY32" i="4" s="1"/>
  <c r="DM32" i="4"/>
  <c r="CX32" i="4" s="1"/>
  <c r="CJ32" i="4" s="1"/>
  <c r="BU32" i="4" s="1"/>
  <c r="DL32" i="4"/>
  <c r="DW31" i="4"/>
  <c r="DV31" i="4"/>
  <c r="DU31" i="4"/>
  <c r="DT31" i="4"/>
  <c r="DS31" i="4"/>
  <c r="DR31" i="4"/>
  <c r="DQ31" i="4"/>
  <c r="DP31" i="4"/>
  <c r="DO31" i="4"/>
  <c r="DN31" i="4"/>
  <c r="DM31" i="4"/>
  <c r="DL31" i="4"/>
  <c r="DW30" i="4"/>
  <c r="DV30" i="4"/>
  <c r="DU30" i="4"/>
  <c r="DT30" i="4"/>
  <c r="DS30" i="4"/>
  <c r="DR30" i="4"/>
  <c r="DQ30" i="4"/>
  <c r="DP30" i="4"/>
  <c r="DO30" i="4"/>
  <c r="DN30" i="4"/>
  <c r="DM30" i="4"/>
  <c r="DL30" i="4"/>
  <c r="DW29" i="4"/>
  <c r="DV29" i="4"/>
  <c r="DU29" i="4"/>
  <c r="DT29" i="4"/>
  <c r="DS29" i="4"/>
  <c r="DR29" i="4"/>
  <c r="DQ29" i="4"/>
  <c r="DP29" i="4"/>
  <c r="DO29" i="4"/>
  <c r="DN29" i="4"/>
  <c r="DM29" i="4"/>
  <c r="DL29" i="4"/>
  <c r="DW28" i="4"/>
  <c r="DV28" i="4"/>
  <c r="DU28" i="4"/>
  <c r="DT28" i="4"/>
  <c r="DS28" i="4"/>
  <c r="DR28" i="4"/>
  <c r="DQ28" i="4"/>
  <c r="DP28" i="4"/>
  <c r="DO28" i="4"/>
  <c r="DN28" i="4"/>
  <c r="DM28" i="4"/>
  <c r="DL28" i="4"/>
  <c r="DW27" i="4"/>
  <c r="DH27" i="4" s="1"/>
  <c r="DV27" i="4"/>
  <c r="DG27" i="4" s="1"/>
  <c r="DU27" i="4"/>
  <c r="DF27" i="4" s="1"/>
  <c r="DT27" i="4"/>
  <c r="DE27" i="4" s="1"/>
  <c r="DS27" i="4"/>
  <c r="DD27" i="4" s="1"/>
  <c r="DR27" i="4"/>
  <c r="DC27" i="4" s="1"/>
  <c r="DQ27" i="4"/>
  <c r="DB27" i="4" s="1"/>
  <c r="DP27" i="4"/>
  <c r="DA27" i="4" s="1"/>
  <c r="DO27" i="4"/>
  <c r="CZ27" i="4" s="1"/>
  <c r="DN27" i="4"/>
  <c r="CY27" i="4" s="1"/>
  <c r="DM27" i="4"/>
  <c r="CX27" i="4" s="1"/>
  <c r="DL27" i="4"/>
  <c r="DW26" i="4"/>
  <c r="DV26" i="4"/>
  <c r="DU26" i="4"/>
  <c r="DT26" i="4"/>
  <c r="DS26" i="4"/>
  <c r="DR26" i="4"/>
  <c r="DQ26" i="4"/>
  <c r="DP26" i="4"/>
  <c r="DO26" i="4"/>
  <c r="DN26" i="4"/>
  <c r="DM26" i="4"/>
  <c r="DL26" i="4"/>
  <c r="DW25" i="4"/>
  <c r="DV25" i="4"/>
  <c r="DU25" i="4"/>
  <c r="DT25" i="4"/>
  <c r="DS25" i="4"/>
  <c r="DR25" i="4"/>
  <c r="DQ25" i="4"/>
  <c r="DP25" i="4"/>
  <c r="DO25" i="4"/>
  <c r="DN25" i="4"/>
  <c r="DM25" i="4"/>
  <c r="DL25" i="4"/>
  <c r="DW24" i="4"/>
  <c r="DV24" i="4"/>
  <c r="DU24" i="4"/>
  <c r="DT24" i="4"/>
  <c r="DS24" i="4"/>
  <c r="DR24" i="4"/>
  <c r="DQ24" i="4"/>
  <c r="DP24" i="4"/>
  <c r="DO24" i="4"/>
  <c r="DN24" i="4"/>
  <c r="DM24" i="4"/>
  <c r="DL24" i="4"/>
  <c r="DW23" i="4"/>
  <c r="DV23" i="4"/>
  <c r="DU23" i="4"/>
  <c r="DT23" i="4"/>
  <c r="DS23" i="4"/>
  <c r="DR23" i="4"/>
  <c r="DQ23" i="4"/>
  <c r="DP23" i="4"/>
  <c r="DO23" i="4"/>
  <c r="DN23" i="4"/>
  <c r="DM23" i="4"/>
  <c r="DL23" i="4"/>
  <c r="DW22" i="4"/>
  <c r="DV22" i="4"/>
  <c r="DU22" i="4"/>
  <c r="DT22" i="4"/>
  <c r="DS22" i="4"/>
  <c r="DR22" i="4"/>
  <c r="DQ22" i="4"/>
  <c r="DP22" i="4"/>
  <c r="DO22" i="4"/>
  <c r="DN22" i="4"/>
  <c r="DM22" i="4"/>
  <c r="DL22" i="4"/>
  <c r="DW21" i="4"/>
  <c r="DV21" i="4"/>
  <c r="DU21" i="4"/>
  <c r="DT21" i="4"/>
  <c r="DS21" i="4"/>
  <c r="DR21" i="4"/>
  <c r="DQ21" i="4"/>
  <c r="DP21" i="4"/>
  <c r="DO21" i="4"/>
  <c r="DN21" i="4"/>
  <c r="DM21" i="4"/>
  <c r="DL21" i="4"/>
  <c r="DW20" i="4"/>
  <c r="DV20" i="4"/>
  <c r="DU20" i="4"/>
  <c r="DT20" i="4"/>
  <c r="DS20" i="4"/>
  <c r="DR20" i="4"/>
  <c r="DQ20" i="4"/>
  <c r="DP20" i="4"/>
  <c r="DO20" i="4"/>
  <c r="DN20" i="4"/>
  <c r="DM20" i="4"/>
  <c r="DL20" i="4"/>
  <c r="DW19" i="4"/>
  <c r="DV19" i="4"/>
  <c r="DU19" i="4"/>
  <c r="DT19" i="4"/>
  <c r="DS19" i="4"/>
  <c r="DR19" i="4"/>
  <c r="DQ19" i="4"/>
  <c r="DP19" i="4"/>
  <c r="DO19" i="4"/>
  <c r="DN19" i="4"/>
  <c r="DM19" i="4"/>
  <c r="DL19" i="4"/>
  <c r="DW18" i="4"/>
  <c r="DV18" i="4"/>
  <c r="DU18" i="4"/>
  <c r="DT18" i="4"/>
  <c r="DS18" i="4"/>
  <c r="DR18" i="4"/>
  <c r="DQ18" i="4"/>
  <c r="DP18" i="4"/>
  <c r="DO18" i="4"/>
  <c r="DN18" i="4"/>
  <c r="DM18" i="4"/>
  <c r="DL18" i="4"/>
  <c r="DW17" i="4"/>
  <c r="DV17" i="4"/>
  <c r="DU17" i="4"/>
  <c r="DT17" i="4"/>
  <c r="DS17" i="4"/>
  <c r="DR17" i="4"/>
  <c r="DQ17" i="4"/>
  <c r="DP17" i="4"/>
  <c r="DO17" i="4"/>
  <c r="DN17" i="4"/>
  <c r="DM17" i="4"/>
  <c r="DL17" i="4"/>
  <c r="DW16" i="4"/>
  <c r="DV16" i="4"/>
  <c r="DU16" i="4"/>
  <c r="DT16" i="4"/>
  <c r="DS16" i="4"/>
  <c r="DR16" i="4"/>
  <c r="DQ16" i="4"/>
  <c r="DP16" i="4"/>
  <c r="DO16" i="4"/>
  <c r="DN16" i="4"/>
  <c r="DM16" i="4"/>
  <c r="DL16" i="4"/>
  <c r="DW15" i="4"/>
  <c r="DV15" i="4"/>
  <c r="DU15" i="4"/>
  <c r="DT15" i="4"/>
  <c r="DS15" i="4"/>
  <c r="DR15" i="4"/>
  <c r="DQ15" i="4"/>
  <c r="DP15" i="4"/>
  <c r="DO15" i="4"/>
  <c r="DN15" i="4"/>
  <c r="DM15" i="4"/>
  <c r="DL15" i="4"/>
  <c r="DW14" i="4"/>
  <c r="DV14" i="4"/>
  <c r="DU14" i="4"/>
  <c r="DT14" i="4"/>
  <c r="DS14" i="4"/>
  <c r="DR14" i="4"/>
  <c r="DQ14" i="4"/>
  <c r="DP14" i="4"/>
  <c r="DO14" i="4"/>
  <c r="DN14" i="4"/>
  <c r="DM14" i="4"/>
  <c r="DL14" i="4"/>
  <c r="DW13" i="4"/>
  <c r="DV13" i="4"/>
  <c r="DU13" i="4"/>
  <c r="DT13" i="4"/>
  <c r="DS13" i="4"/>
  <c r="DR13" i="4"/>
  <c r="DQ13" i="4"/>
  <c r="DP13" i="4"/>
  <c r="DO13" i="4"/>
  <c r="DN13" i="4"/>
  <c r="DM13" i="4"/>
  <c r="DL13" i="4"/>
  <c r="DW12" i="4"/>
  <c r="DV12" i="4"/>
  <c r="DU12" i="4"/>
  <c r="DT12" i="4"/>
  <c r="DS12" i="4"/>
  <c r="DR12" i="4"/>
  <c r="DQ12" i="4"/>
  <c r="DP12" i="4"/>
  <c r="DO12" i="4"/>
  <c r="DN12" i="4"/>
  <c r="DM12" i="4"/>
  <c r="DL12" i="4"/>
  <c r="DW11" i="4"/>
  <c r="DV11" i="4"/>
  <c r="DU11" i="4"/>
  <c r="DT11" i="4"/>
  <c r="DS11" i="4"/>
  <c r="DR11" i="4"/>
  <c r="DQ11" i="4"/>
  <c r="DP11" i="4"/>
  <c r="DO11" i="4"/>
  <c r="DN11" i="4"/>
  <c r="DM11" i="4"/>
  <c r="DL11" i="4"/>
  <c r="DW10" i="4"/>
  <c r="DV10" i="4"/>
  <c r="DU10" i="4"/>
  <c r="DT10" i="4"/>
  <c r="DS10" i="4"/>
  <c r="DR10" i="4"/>
  <c r="DQ10" i="4"/>
  <c r="DP10" i="4"/>
  <c r="DO10" i="4"/>
  <c r="DN10" i="4"/>
  <c r="DM10" i="4"/>
  <c r="DL10" i="4"/>
  <c r="DW9" i="4"/>
  <c r="DV9" i="4"/>
  <c r="DU9" i="4"/>
  <c r="DT9" i="4"/>
  <c r="DS9" i="4"/>
  <c r="DR9" i="4"/>
  <c r="DQ9" i="4"/>
  <c r="DP9" i="4"/>
  <c r="DO9" i="4"/>
  <c r="DN9" i="4"/>
  <c r="DM9" i="4"/>
  <c r="DL9" i="4"/>
  <c r="DW8" i="4"/>
  <c r="DV8" i="4"/>
  <c r="DU8" i="4"/>
  <c r="DT8" i="4"/>
  <c r="DS8" i="4"/>
  <c r="DR8" i="4"/>
  <c r="DQ8" i="4"/>
  <c r="DP8" i="4"/>
  <c r="DO8" i="4"/>
  <c r="DN8" i="4"/>
  <c r="DM8" i="4"/>
  <c r="DL8" i="4"/>
  <c r="DW7" i="4"/>
  <c r="DV7" i="4"/>
  <c r="DU7" i="4"/>
  <c r="DT7" i="4"/>
  <c r="DS7" i="4"/>
  <c r="DR7" i="4"/>
  <c r="DQ7" i="4"/>
  <c r="DP7" i="4"/>
  <c r="DO7" i="4"/>
  <c r="DN7" i="4"/>
  <c r="DM7" i="4"/>
  <c r="DL7" i="4"/>
  <c r="U131" i="4" l="1"/>
  <c r="AL125" i="4"/>
  <c r="AI125" i="4"/>
  <c r="AH125" i="4"/>
  <c r="AG125" i="4"/>
  <c r="AB125" i="4"/>
  <c r="W125" i="4"/>
  <c r="V125" i="4"/>
  <c r="U125" i="4"/>
  <c r="J136" i="4"/>
  <c r="J140" i="4"/>
  <c r="J144" i="4"/>
  <c r="J152" i="4"/>
  <c r="AE374" i="4" s="1"/>
  <c r="J160" i="4"/>
  <c r="J164" i="4"/>
  <c r="AS386" i="4" s="1"/>
  <c r="J176" i="4"/>
  <c r="AE398" i="4" s="1"/>
  <c r="J180" i="4"/>
  <c r="J184" i="4"/>
  <c r="AS406" i="4" s="1"/>
  <c r="J188" i="4"/>
  <c r="J192" i="4"/>
  <c r="AG414" i="4" s="1"/>
  <c r="J196" i="4"/>
  <c r="AE418" i="4" s="1"/>
  <c r="J200" i="4"/>
  <c r="J204" i="4"/>
  <c r="AE426" i="4" s="1"/>
  <c r="J208" i="4"/>
  <c r="AG430" i="4" s="1"/>
  <c r="J212" i="4"/>
  <c r="J216" i="4"/>
  <c r="J220" i="4"/>
  <c r="AE124" i="4"/>
  <c r="J185" i="4"/>
  <c r="AA407" i="4" s="1"/>
  <c r="Z120" i="4"/>
  <c r="AH120" i="4"/>
  <c r="Z131" i="4"/>
  <c r="T120" i="4"/>
  <c r="T127" i="4" s="1"/>
  <c r="AB120" i="4"/>
  <c r="AJ120" i="4"/>
  <c r="AJ127" i="4" s="1"/>
  <c r="AE125" i="4"/>
  <c r="T125" i="4"/>
  <c r="AC125" i="4"/>
  <c r="S125" i="4"/>
  <c r="AK125" i="4"/>
  <c r="AA125" i="4"/>
  <c r="AJ125" i="4"/>
  <c r="Y125" i="4"/>
  <c r="AP539" i="4"/>
  <c r="S539" i="4" s="1"/>
  <c r="J120" i="4"/>
  <c r="I120" i="4" s="1"/>
  <c r="D120" i="4" s="1"/>
  <c r="J128" i="4"/>
  <c r="I128" i="4" s="1"/>
  <c r="D128" i="4" s="1"/>
  <c r="J168" i="4"/>
  <c r="I168" i="4" s="1"/>
  <c r="D168" i="4" s="1"/>
  <c r="X120" i="4"/>
  <c r="X126" i="4" s="1"/>
  <c r="S151" i="4" s="1"/>
  <c r="AF120" i="4"/>
  <c r="Y131" i="4"/>
  <c r="V131" i="4"/>
  <c r="W131" i="4"/>
  <c r="X131" i="4"/>
  <c r="DB95" i="4"/>
  <c r="DF104" i="4"/>
  <c r="CR104" i="4" s="1"/>
  <c r="CC104" i="4" s="1"/>
  <c r="DE95" i="4"/>
  <c r="CQ95" i="4" s="1"/>
  <c r="CB95" i="4" s="1"/>
  <c r="AP548" i="4"/>
  <c r="S548" i="4" s="1"/>
  <c r="AP549" i="4"/>
  <c r="S549" i="4" s="1"/>
  <c r="AP536" i="4"/>
  <c r="S536" i="4" s="1"/>
  <c r="AP538" i="4"/>
  <c r="S538" i="4" s="1"/>
  <c r="AG462" i="4"/>
  <c r="P454" i="4" s="1"/>
  <c r="O10" i="7" s="1"/>
  <c r="AP531" i="4"/>
  <c r="S531" i="4" s="1"/>
  <c r="AP533" i="4"/>
  <c r="S533" i="4" s="1"/>
  <c r="AP537" i="4"/>
  <c r="S537" i="4" s="1"/>
  <c r="AP544" i="4"/>
  <c r="S544" i="4" s="1"/>
  <c r="E469" i="4"/>
  <c r="D25" i="7" s="1"/>
  <c r="AP530" i="4"/>
  <c r="S530" i="4" s="1"/>
  <c r="AP532" i="4"/>
  <c r="S532" i="4" s="1"/>
  <c r="AP534" i="4"/>
  <c r="S534" i="4" s="1"/>
  <c r="L456" i="4"/>
  <c r="K12" i="7" s="1"/>
  <c r="AP542" i="4"/>
  <c r="S542" i="4" s="1"/>
  <c r="AP543" i="4"/>
  <c r="S543" i="4" s="1"/>
  <c r="H470" i="4"/>
  <c r="G26" i="7" s="1"/>
  <c r="I468" i="4"/>
  <c r="H24" i="7" s="1"/>
  <c r="AA462" i="4"/>
  <c r="W457" i="4"/>
  <c r="F465" i="4" s="1"/>
  <c r="E21" i="7" s="1"/>
  <c r="BG457" i="4"/>
  <c r="X457" i="4" s="1"/>
  <c r="G458" i="4" s="1"/>
  <c r="F14" i="7" s="1"/>
  <c r="AA463" i="4"/>
  <c r="BK463" i="4"/>
  <c r="AB463" i="4" s="1"/>
  <c r="AE469" i="4"/>
  <c r="BO469" i="4"/>
  <c r="AF469" i="4" s="1"/>
  <c r="AE468" i="4"/>
  <c r="AL124" i="4"/>
  <c r="J119" i="4"/>
  <c r="I119" i="4" s="1"/>
  <c r="D119" i="4" s="1"/>
  <c r="J123" i="4"/>
  <c r="I123" i="4" s="1"/>
  <c r="D123" i="4" s="1"/>
  <c r="AD345" i="4" s="1"/>
  <c r="J127" i="4"/>
  <c r="J135" i="4"/>
  <c r="AL357" i="4" s="1"/>
  <c r="J143" i="4"/>
  <c r="I143" i="4" s="1"/>
  <c r="D143" i="4" s="1"/>
  <c r="J147" i="4"/>
  <c r="I147" i="4" s="1"/>
  <c r="D147" i="4" s="1"/>
  <c r="AL369" i="4" s="1"/>
  <c r="J151" i="4"/>
  <c r="I151" i="4" s="1"/>
  <c r="D151" i="4" s="1"/>
  <c r="J159" i="4"/>
  <c r="I159" i="4" s="1"/>
  <c r="D159" i="4" s="1"/>
  <c r="J163" i="4"/>
  <c r="AM385" i="4" s="1"/>
  <c r="J167" i="4"/>
  <c r="I167" i="4" s="1"/>
  <c r="D167" i="4" s="1"/>
  <c r="AL389" i="4" s="1"/>
  <c r="J171" i="4"/>
  <c r="J175" i="4"/>
  <c r="AQ397" i="4" s="1"/>
  <c r="J179" i="4"/>
  <c r="AP401" i="4" s="1"/>
  <c r="J183" i="4"/>
  <c r="AN405" i="4" s="1"/>
  <c r="J187" i="4"/>
  <c r="AR409" i="4" s="1"/>
  <c r="J191" i="4"/>
  <c r="AK413" i="4" s="1"/>
  <c r="J195" i="4"/>
  <c r="AI417" i="4" s="1"/>
  <c r="J199" i="4"/>
  <c r="AI421" i="4" s="1"/>
  <c r="J203" i="4"/>
  <c r="J207" i="4"/>
  <c r="AI429" i="4" s="1"/>
  <c r="J215" i="4"/>
  <c r="AK437" i="4" s="1"/>
  <c r="U132" i="4"/>
  <c r="Y132" i="4"/>
  <c r="V132" i="4"/>
  <c r="X136" i="4"/>
  <c r="AA124" i="4"/>
  <c r="AI124" i="4"/>
  <c r="W132" i="4"/>
  <c r="Z132" i="4"/>
  <c r="J202" i="4"/>
  <c r="AT424" i="4" s="1"/>
  <c r="J210" i="4"/>
  <c r="AF432" i="4" s="1"/>
  <c r="J218" i="4"/>
  <c r="AO440" i="4" s="1"/>
  <c r="T132" i="4"/>
  <c r="U134" i="4"/>
  <c r="S132" i="4"/>
  <c r="Z134" i="4"/>
  <c r="Z124" i="4"/>
  <c r="AH124" i="4"/>
  <c r="Z136" i="4"/>
  <c r="AB124" i="4"/>
  <c r="AJ124" i="4"/>
  <c r="J117" i="4"/>
  <c r="I117" i="4" s="1"/>
  <c r="J121" i="4"/>
  <c r="AJ343" i="4" s="1"/>
  <c r="J125" i="4"/>
  <c r="I125" i="4" s="1"/>
  <c r="D125" i="4" s="1"/>
  <c r="J133" i="4"/>
  <c r="I133" i="4" s="1"/>
  <c r="D133" i="4" s="1"/>
  <c r="J137" i="4"/>
  <c r="AM359" i="4" s="1"/>
  <c r="J141" i="4"/>
  <c r="I141" i="4" s="1"/>
  <c r="D141" i="4" s="1"/>
  <c r="J145" i="4"/>
  <c r="I145" i="4" s="1"/>
  <c r="D145" i="4" s="1"/>
  <c r="J149" i="4"/>
  <c r="AN371" i="4" s="1"/>
  <c r="J153" i="4"/>
  <c r="J157" i="4"/>
  <c r="I157" i="4" s="1"/>
  <c r="D157" i="4" s="1"/>
  <c r="J161" i="4"/>
  <c r="I161" i="4" s="1"/>
  <c r="D161" i="4" s="1"/>
  <c r="J165" i="4"/>
  <c r="I165" i="4" s="1"/>
  <c r="D165" i="4" s="1"/>
  <c r="J169" i="4"/>
  <c r="AH391" i="4" s="1"/>
  <c r="J173" i="4"/>
  <c r="AL395" i="4" s="1"/>
  <c r="J177" i="4"/>
  <c r="AP399" i="4" s="1"/>
  <c r="J181" i="4"/>
  <c r="AI403" i="4" s="1"/>
  <c r="J189" i="4"/>
  <c r="AR411" i="4" s="1"/>
  <c r="J193" i="4"/>
  <c r="AC415" i="4" s="1"/>
  <c r="J197" i="4"/>
  <c r="AR419" i="4" s="1"/>
  <c r="J201" i="4"/>
  <c r="AC423" i="4" s="1"/>
  <c r="J205" i="4"/>
  <c r="AR427" i="4" s="1"/>
  <c r="J209" i="4"/>
  <c r="AB431" i="4" s="1"/>
  <c r="J213" i="4"/>
  <c r="AL435" i="4" s="1"/>
  <c r="U124" i="4"/>
  <c r="AC124" i="4"/>
  <c r="AK124" i="4"/>
  <c r="V124" i="4"/>
  <c r="AD124" i="4"/>
  <c r="J122" i="4"/>
  <c r="I122" i="4" s="1"/>
  <c r="D122" i="4" s="1"/>
  <c r="J130" i="4"/>
  <c r="J138" i="4"/>
  <c r="AG360" i="4" s="1"/>
  <c r="J146" i="4"/>
  <c r="I146" i="4" s="1"/>
  <c r="D146" i="4" s="1"/>
  <c r="J154" i="4"/>
  <c r="AO376" i="4" s="1"/>
  <c r="J162" i="4"/>
  <c r="I162" i="4" s="1"/>
  <c r="D162" i="4" s="1"/>
  <c r="J170" i="4"/>
  <c r="AI392" i="4" s="1"/>
  <c r="J178" i="4"/>
  <c r="AC400" i="4" s="1"/>
  <c r="J186" i="4"/>
  <c r="AM408" i="4" s="1"/>
  <c r="J194" i="4"/>
  <c r="AM416" i="4" s="1"/>
  <c r="T122" i="4"/>
  <c r="AB122" i="4"/>
  <c r="X132" i="4"/>
  <c r="W136" i="4"/>
  <c r="U136" i="4"/>
  <c r="W124" i="4"/>
  <c r="Z127" i="4"/>
  <c r="X124" i="4"/>
  <c r="AF124" i="4"/>
  <c r="V134" i="4"/>
  <c r="Y124" i="4"/>
  <c r="AG124" i="4"/>
  <c r="I184" i="4"/>
  <c r="D184" i="4" s="1"/>
  <c r="C75" i="8" s="1"/>
  <c r="AM406" i="4"/>
  <c r="AE406" i="4"/>
  <c r="AT406" i="4"/>
  <c r="AL406" i="4"/>
  <c r="AD406" i="4"/>
  <c r="AK406" i="4"/>
  <c r="AC406" i="4"/>
  <c r="AR406" i="4"/>
  <c r="AJ406" i="4"/>
  <c r="AB406" i="4"/>
  <c r="AQ406" i="4"/>
  <c r="AI406" i="4"/>
  <c r="AA406" i="4"/>
  <c r="AP406" i="4"/>
  <c r="AH406" i="4"/>
  <c r="AO406" i="4"/>
  <c r="AG406" i="4"/>
  <c r="AN406" i="4"/>
  <c r="AF406" i="4"/>
  <c r="I200" i="4"/>
  <c r="D200" i="4" s="1"/>
  <c r="C91" i="8" s="1"/>
  <c r="AO422" i="4"/>
  <c r="AG422" i="4"/>
  <c r="AN422" i="4"/>
  <c r="AF422" i="4"/>
  <c r="AM422" i="4"/>
  <c r="AE422" i="4"/>
  <c r="AT422" i="4"/>
  <c r="AL422" i="4"/>
  <c r="AD422" i="4"/>
  <c r="AR422" i="4"/>
  <c r="AJ422" i="4"/>
  <c r="AB422" i="4"/>
  <c r="AQ422" i="4"/>
  <c r="AI422" i="4"/>
  <c r="AA422" i="4"/>
  <c r="AS422" i="4"/>
  <c r="AP422" i="4"/>
  <c r="AK422" i="4"/>
  <c r="AH422" i="4"/>
  <c r="AC422" i="4"/>
  <c r="AP438" i="4"/>
  <c r="AH438" i="4"/>
  <c r="AO438" i="4"/>
  <c r="AG438" i="4"/>
  <c r="AN438" i="4"/>
  <c r="AF438" i="4"/>
  <c r="AM438" i="4"/>
  <c r="AE438" i="4"/>
  <c r="AT438" i="4"/>
  <c r="AL438" i="4"/>
  <c r="AD438" i="4"/>
  <c r="AS438" i="4"/>
  <c r="AK438" i="4"/>
  <c r="AC438" i="4"/>
  <c r="AR438" i="4"/>
  <c r="AJ438" i="4"/>
  <c r="AB438" i="4"/>
  <c r="AQ438" i="4"/>
  <c r="AI438" i="4"/>
  <c r="AA438" i="4"/>
  <c r="AA343" i="4"/>
  <c r="I137" i="4"/>
  <c r="D137" i="4" s="1"/>
  <c r="C28" i="8" s="1"/>
  <c r="AI411" i="4"/>
  <c r="AT411" i="4"/>
  <c r="AA399" i="4"/>
  <c r="AE399" i="4"/>
  <c r="AJ399" i="4"/>
  <c r="AG415" i="4"/>
  <c r="U120" i="4"/>
  <c r="U127" i="4" s="1"/>
  <c r="AC120" i="4"/>
  <c r="AC122" i="4" s="1"/>
  <c r="AK120" i="4"/>
  <c r="S131" i="4"/>
  <c r="S134" i="4"/>
  <c r="S136" i="4"/>
  <c r="T126" i="4"/>
  <c r="T150" i="4" s="1"/>
  <c r="AP358" i="4"/>
  <c r="AH358" i="4"/>
  <c r="AO358" i="4"/>
  <c r="AG358" i="4"/>
  <c r="AN358" i="4"/>
  <c r="AF358" i="4"/>
  <c r="AM358" i="4"/>
  <c r="AE358" i="4"/>
  <c r="AT358" i="4"/>
  <c r="AL358" i="4"/>
  <c r="AD358" i="4"/>
  <c r="AS358" i="4"/>
  <c r="AK358" i="4"/>
  <c r="AC358" i="4"/>
  <c r="AR358" i="4"/>
  <c r="AJ358" i="4"/>
  <c r="AB358" i="4"/>
  <c r="AQ358" i="4"/>
  <c r="AI358" i="4"/>
  <c r="AA358" i="4"/>
  <c r="AQ362" i="4"/>
  <c r="AI362" i="4"/>
  <c r="AA362" i="4"/>
  <c r="AP362" i="4"/>
  <c r="AH362" i="4"/>
  <c r="AO362" i="4"/>
  <c r="AG362" i="4"/>
  <c r="AN362" i="4"/>
  <c r="AF362" i="4"/>
  <c r="AM362" i="4"/>
  <c r="AE362" i="4"/>
  <c r="AT362" i="4"/>
  <c r="AL362" i="4"/>
  <c r="AD362" i="4"/>
  <c r="AS362" i="4"/>
  <c r="AK362" i="4"/>
  <c r="AC362" i="4"/>
  <c r="AR362" i="4"/>
  <c r="AJ362" i="4"/>
  <c r="AB362" i="4"/>
  <c r="AD374" i="4"/>
  <c r="AS374" i="4"/>
  <c r="AA374" i="4"/>
  <c r="AL386" i="4"/>
  <c r="AD386" i="4"/>
  <c r="AP386" i="4"/>
  <c r="AH386" i="4"/>
  <c r="AB386" i="4"/>
  <c r="AR386" i="4"/>
  <c r="AM402" i="4"/>
  <c r="AE402" i="4"/>
  <c r="AT402" i="4"/>
  <c r="AL402" i="4"/>
  <c r="AD402" i="4"/>
  <c r="AS402" i="4"/>
  <c r="AK402" i="4"/>
  <c r="AC402" i="4"/>
  <c r="AR402" i="4"/>
  <c r="AJ402" i="4"/>
  <c r="AB402" i="4"/>
  <c r="AQ402" i="4"/>
  <c r="AI402" i="4"/>
  <c r="AA402" i="4"/>
  <c r="AP402" i="4"/>
  <c r="AH402" i="4"/>
  <c r="AO402" i="4"/>
  <c r="AG402" i="4"/>
  <c r="AN402" i="4"/>
  <c r="AF402" i="4"/>
  <c r="AO410" i="4"/>
  <c r="AG410" i="4"/>
  <c r="AN410" i="4"/>
  <c r="AF410" i="4"/>
  <c r="AM410" i="4"/>
  <c r="AE410" i="4"/>
  <c r="AT410" i="4"/>
  <c r="AL410" i="4"/>
  <c r="AD410" i="4"/>
  <c r="AR410" i="4"/>
  <c r="AJ410" i="4"/>
  <c r="AB410" i="4"/>
  <c r="AQ410" i="4"/>
  <c r="AI410" i="4"/>
  <c r="AA410" i="4"/>
  <c r="AK410" i="4"/>
  <c r="AH410" i="4"/>
  <c r="AC410" i="4"/>
  <c r="AS410" i="4"/>
  <c r="AP410" i="4"/>
  <c r="AO414" i="4"/>
  <c r="AM414" i="4"/>
  <c r="AE414" i="4"/>
  <c r="AD414" i="4"/>
  <c r="AQ414" i="4"/>
  <c r="AI414" i="4"/>
  <c r="AP414" i="4"/>
  <c r="AG418" i="4"/>
  <c r="AR418" i="4"/>
  <c r="AC418" i="4"/>
  <c r="AF426" i="4"/>
  <c r="AM426" i="4"/>
  <c r="AB426" i="4"/>
  <c r="AQ426" i="4"/>
  <c r="AP426" i="4"/>
  <c r="AP434" i="4"/>
  <c r="AH434" i="4"/>
  <c r="AO434" i="4"/>
  <c r="AG434" i="4"/>
  <c r="AN434" i="4"/>
  <c r="AF434" i="4"/>
  <c r="AM434" i="4"/>
  <c r="AE434" i="4"/>
  <c r="AT434" i="4"/>
  <c r="AL434" i="4"/>
  <c r="AD434" i="4"/>
  <c r="AS434" i="4"/>
  <c r="AK434" i="4"/>
  <c r="AC434" i="4"/>
  <c r="AR434" i="4"/>
  <c r="AJ434" i="4"/>
  <c r="AB434" i="4"/>
  <c r="AQ434" i="4"/>
  <c r="AI434" i="4"/>
  <c r="AA434" i="4"/>
  <c r="V120" i="4"/>
  <c r="V122" i="4" s="1"/>
  <c r="AD120" i="4"/>
  <c r="AL120" i="4"/>
  <c r="AF122" i="4"/>
  <c r="T131" i="4"/>
  <c r="T134" i="4"/>
  <c r="T136" i="4"/>
  <c r="W120" i="4"/>
  <c r="AE120" i="4"/>
  <c r="AE127" i="4" s="1"/>
  <c r="S124" i="4"/>
  <c r="AA371" i="4"/>
  <c r="AP371" i="4"/>
  <c r="AG371" i="4"/>
  <c r="AE371" i="4"/>
  <c r="AT371" i="4"/>
  <c r="AS371" i="4"/>
  <c r="AJ371" i="4"/>
  <c r="AB371" i="4"/>
  <c r="AE395" i="4"/>
  <c r="AJ395" i="4"/>
  <c r="AQ403" i="4"/>
  <c r="AH403" i="4"/>
  <c r="AO403" i="4"/>
  <c r="AF403" i="4"/>
  <c r="AL403" i="4"/>
  <c r="AD403" i="4"/>
  <c r="AC403" i="4"/>
  <c r="AT435" i="4"/>
  <c r="AB435" i="4"/>
  <c r="AN435" i="4"/>
  <c r="T124" i="4"/>
  <c r="V136" i="4"/>
  <c r="AF127" i="4"/>
  <c r="Y120" i="4"/>
  <c r="Y126" i="4" s="1"/>
  <c r="T151" i="4" s="1"/>
  <c r="AG120" i="4"/>
  <c r="W134" i="4"/>
  <c r="AO360" i="4"/>
  <c r="AD360" i="4"/>
  <c r="AN416" i="4"/>
  <c r="AJ416" i="4"/>
  <c r="AM424" i="4"/>
  <c r="AG407" i="4"/>
  <c r="AS407" i="4"/>
  <c r="AT439" i="4"/>
  <c r="AL439" i="4"/>
  <c r="AD439" i="4"/>
  <c r="AS439" i="4"/>
  <c r="AK439" i="4"/>
  <c r="AC439" i="4"/>
  <c r="AR439" i="4"/>
  <c r="AJ439" i="4"/>
  <c r="AB439" i="4"/>
  <c r="AQ439" i="4"/>
  <c r="AI439" i="4"/>
  <c r="AA439" i="4"/>
  <c r="AP439" i="4"/>
  <c r="AH439" i="4"/>
  <c r="AO439" i="4"/>
  <c r="AG439" i="4"/>
  <c r="AN439" i="4"/>
  <c r="AF439" i="4"/>
  <c r="AM439" i="4"/>
  <c r="AE439" i="4"/>
  <c r="Z122" i="4"/>
  <c r="X134" i="4"/>
  <c r="J118" i="4"/>
  <c r="I118" i="4" s="1"/>
  <c r="D118" i="4" s="1"/>
  <c r="C9" i="8" s="1"/>
  <c r="J126" i="4"/>
  <c r="I126" i="4" s="1"/>
  <c r="D126" i="4" s="1"/>
  <c r="J134" i="4"/>
  <c r="I134" i="4" s="1"/>
  <c r="D134" i="4" s="1"/>
  <c r="C25" i="8" s="1"/>
  <c r="J142" i="4"/>
  <c r="AP254" i="4" s="1"/>
  <c r="J150" i="4"/>
  <c r="I150" i="4" s="1"/>
  <c r="D150" i="4" s="1"/>
  <c r="C41" i="8" s="1"/>
  <c r="J158" i="4"/>
  <c r="I158" i="4" s="1"/>
  <c r="D158" i="4" s="1"/>
  <c r="J166" i="4"/>
  <c r="I166" i="4" s="1"/>
  <c r="D166" i="4" s="1"/>
  <c r="C57" i="8" s="1"/>
  <c r="J174" i="4"/>
  <c r="AJ286" i="4" s="1"/>
  <c r="J182" i="4"/>
  <c r="AE294" i="4" s="1"/>
  <c r="J190" i="4"/>
  <c r="AM302" i="4" s="1"/>
  <c r="J198" i="4"/>
  <c r="AR310" i="4" s="1"/>
  <c r="J206" i="4"/>
  <c r="AO318" i="4" s="1"/>
  <c r="J214" i="4"/>
  <c r="AM326" i="4" s="1"/>
  <c r="S120" i="4"/>
  <c r="AA120" i="4"/>
  <c r="AI120" i="4"/>
  <c r="Y134" i="4"/>
  <c r="Y136" i="4"/>
  <c r="AJ357" i="4"/>
  <c r="AF385" i="4"/>
  <c r="AP393" i="4"/>
  <c r="AH393" i="4"/>
  <c r="AO393" i="4"/>
  <c r="AG393" i="4"/>
  <c r="AM393" i="4"/>
  <c r="AE393" i="4"/>
  <c r="AT393" i="4"/>
  <c r="AL393" i="4"/>
  <c r="AD393" i="4"/>
  <c r="AS393" i="4"/>
  <c r="AK393" i="4"/>
  <c r="AC393" i="4"/>
  <c r="AR393" i="4"/>
  <c r="AJ393" i="4"/>
  <c r="AB393" i="4"/>
  <c r="AQ393" i="4"/>
  <c r="AN393" i="4"/>
  <c r="AI393" i="4"/>
  <c r="AF393" i="4"/>
  <c r="AA393" i="4"/>
  <c r="AG397" i="4"/>
  <c r="AS397" i="4"/>
  <c r="AB417" i="4"/>
  <c r="AQ421" i="4"/>
  <c r="AS425" i="4"/>
  <c r="AK425" i="4"/>
  <c r="AC425" i="4"/>
  <c r="AR425" i="4"/>
  <c r="AJ425" i="4"/>
  <c r="AB425" i="4"/>
  <c r="AQ425" i="4"/>
  <c r="AI425" i="4"/>
  <c r="AA425" i="4"/>
  <c r="AP425" i="4"/>
  <c r="AH425" i="4"/>
  <c r="AN425" i="4"/>
  <c r="AF425" i="4"/>
  <c r="AM425" i="4"/>
  <c r="AE425" i="4"/>
  <c r="AT425" i="4"/>
  <c r="AO425" i="4"/>
  <c r="AL425" i="4"/>
  <c r="AG425" i="4"/>
  <c r="AD425" i="4"/>
  <c r="AB429" i="4"/>
  <c r="AM429" i="4"/>
  <c r="DA78" i="4"/>
  <c r="CM78" i="4" s="1"/>
  <c r="BX78" i="4" s="1"/>
  <c r="AR535" i="4"/>
  <c r="U535" i="4" s="1"/>
  <c r="AR537" i="4"/>
  <c r="U537" i="4" s="1"/>
  <c r="AR538" i="4"/>
  <c r="U538" i="4" s="1"/>
  <c r="AR534" i="4"/>
  <c r="U534" i="4" s="1"/>
  <c r="AR536" i="4"/>
  <c r="U536" i="4" s="1"/>
  <c r="AR539" i="4"/>
  <c r="U539" i="4" s="1"/>
  <c r="AR540" i="4"/>
  <c r="U540" i="4" s="1"/>
  <c r="AR541" i="4"/>
  <c r="U541" i="4" s="1"/>
  <c r="AR542" i="4"/>
  <c r="U542" i="4" s="1"/>
  <c r="AR543" i="4"/>
  <c r="U543" i="4" s="1"/>
  <c r="AR544" i="4"/>
  <c r="U544" i="4" s="1"/>
  <c r="AR545" i="4"/>
  <c r="U545" i="4" s="1"/>
  <c r="AR530" i="4"/>
  <c r="U530" i="4" s="1"/>
  <c r="AR546" i="4"/>
  <c r="U546" i="4" s="1"/>
  <c r="AR531" i="4"/>
  <c r="U531" i="4" s="1"/>
  <c r="AR547" i="4"/>
  <c r="U547" i="4" s="1"/>
  <c r="AR532" i="4"/>
  <c r="U532" i="4" s="1"/>
  <c r="AR548" i="4"/>
  <c r="U548" i="4" s="1"/>
  <c r="AR533" i="4"/>
  <c r="U533" i="4" s="1"/>
  <c r="AR549" i="4"/>
  <c r="U549" i="4" s="1"/>
  <c r="Q555" i="4"/>
  <c r="T551" i="4"/>
  <c r="R557" i="4"/>
  <c r="T553" i="4"/>
  <c r="O551" i="4"/>
  <c r="T555" i="4"/>
  <c r="R553" i="4"/>
  <c r="Q554" i="4"/>
  <c r="R554" i="4"/>
  <c r="T556" i="4"/>
  <c r="R556" i="4"/>
  <c r="Q557" i="4"/>
  <c r="T557" i="4"/>
  <c r="Q553" i="4"/>
  <c r="O556" i="4"/>
  <c r="O552" i="4"/>
  <c r="P554" i="4"/>
  <c r="P556" i="4"/>
  <c r="R552" i="4"/>
  <c r="O557" i="4"/>
  <c r="P557" i="4"/>
  <c r="R558" i="4"/>
  <c r="R551" i="4"/>
  <c r="T550" i="4"/>
  <c r="T552" i="4"/>
  <c r="O558" i="4"/>
  <c r="O553" i="4"/>
  <c r="P550" i="4"/>
  <c r="P551" i="4"/>
  <c r="P558" i="4"/>
  <c r="Q556" i="4"/>
  <c r="Q558" i="4"/>
  <c r="Q552" i="4"/>
  <c r="T554" i="4"/>
  <c r="P555" i="4"/>
  <c r="O559" i="4"/>
  <c r="R555" i="4"/>
  <c r="Q551" i="4"/>
  <c r="P553" i="4"/>
  <c r="O555" i="4"/>
  <c r="O550" i="4"/>
  <c r="P559" i="4"/>
  <c r="Q550" i="4"/>
  <c r="Q559" i="4"/>
  <c r="P552" i="4"/>
  <c r="O554" i="4"/>
  <c r="R550" i="4"/>
  <c r="R559" i="4"/>
  <c r="T559" i="4"/>
  <c r="T558" i="4"/>
  <c r="AF125" i="4"/>
  <c r="AD125" i="4"/>
  <c r="Z125" i="4"/>
  <c r="DA106" i="4"/>
  <c r="CM106" i="4" s="1"/>
  <c r="BX106" i="4" s="1"/>
  <c r="AR332" i="4"/>
  <c r="AB332" i="4"/>
  <c r="AM332" i="4"/>
  <c r="AJ332" i="4"/>
  <c r="AG332" i="4"/>
  <c r="AE332" i="4"/>
  <c r="AO332" i="4"/>
  <c r="AL332" i="4"/>
  <c r="AH332" i="4"/>
  <c r="AC332" i="4"/>
  <c r="AS332" i="4"/>
  <c r="AD332" i="4"/>
  <c r="AQ332" i="4"/>
  <c r="AK332" i="4"/>
  <c r="AF332" i="4"/>
  <c r="AT332" i="4"/>
  <c r="AI332" i="4"/>
  <c r="AP332" i="4"/>
  <c r="AN332" i="4"/>
  <c r="AA332" i="4"/>
  <c r="I220" i="4"/>
  <c r="D220" i="4" s="1"/>
  <c r="C111" i="8" s="1"/>
  <c r="AI316" i="4"/>
  <c r="AF316" i="4"/>
  <c r="AC316" i="4"/>
  <c r="AS316" i="4"/>
  <c r="AR261" i="4"/>
  <c r="AB261" i="4"/>
  <c r="AG261" i="4"/>
  <c r="AC261" i="4"/>
  <c r="AA261" i="4"/>
  <c r="AE261" i="4"/>
  <c r="AI261" i="4"/>
  <c r="AF261" i="4"/>
  <c r="AE285" i="4"/>
  <c r="AN293" i="4"/>
  <c r="AT293" i="4"/>
  <c r="AD293" i="4"/>
  <c r="AS293" i="4"/>
  <c r="AC293" i="4"/>
  <c r="AJ293" i="4"/>
  <c r="AR293" i="4"/>
  <c r="I181" i="4"/>
  <c r="D181" i="4" s="1"/>
  <c r="C72" i="8" s="1"/>
  <c r="AN325" i="4"/>
  <c r="AL325" i="4"/>
  <c r="AK325" i="4"/>
  <c r="AF315" i="4"/>
  <c r="AQ315" i="4"/>
  <c r="AA315" i="4"/>
  <c r="AN315" i="4"/>
  <c r="AK315" i="4"/>
  <c r="AI315" i="4"/>
  <c r="AE315" i="4"/>
  <c r="AC315" i="4"/>
  <c r="AR315" i="4"/>
  <c r="AO315" i="4"/>
  <c r="AJ315" i="4"/>
  <c r="AH315" i="4"/>
  <c r="AD315" i="4"/>
  <c r="AP315" i="4"/>
  <c r="AT315" i="4"/>
  <c r="AS315" i="4"/>
  <c r="AL315" i="4"/>
  <c r="AB315" i="4"/>
  <c r="AM315" i="4"/>
  <c r="AG315" i="4"/>
  <c r="I203" i="4"/>
  <c r="D203" i="4" s="1"/>
  <c r="C94" i="8" s="1"/>
  <c r="AR308" i="4"/>
  <c r="AJ308" i="4"/>
  <c r="AQ308" i="4"/>
  <c r="AS308" i="4"/>
  <c r="AL308" i="4"/>
  <c r="AD308" i="4"/>
  <c r="AA310" i="4"/>
  <c r="AF283" i="4"/>
  <c r="AT283" i="4"/>
  <c r="AD283" i="4"/>
  <c r="AN283" i="4"/>
  <c r="AQ283" i="4"/>
  <c r="AO283" i="4"/>
  <c r="AK283" i="4"/>
  <c r="AH283" i="4"/>
  <c r="AE283" i="4"/>
  <c r="AA283" i="4"/>
  <c r="AP283" i="4"/>
  <c r="AM283" i="4"/>
  <c r="AJ283" i="4"/>
  <c r="AG283" i="4"/>
  <c r="AS283" i="4"/>
  <c r="AR283" i="4"/>
  <c r="AL283" i="4"/>
  <c r="AI283" i="4"/>
  <c r="AC283" i="4"/>
  <c r="AB283" i="4"/>
  <c r="I171" i="4"/>
  <c r="D171" i="4" s="1"/>
  <c r="C62" i="8" s="1"/>
  <c r="I127" i="4"/>
  <c r="D127" i="4" s="1"/>
  <c r="AJ349" i="4" s="1"/>
  <c r="AC247" i="4"/>
  <c r="AI287" i="4"/>
  <c r="AE295" i="4"/>
  <c r="AN311" i="4"/>
  <c r="AN319" i="4"/>
  <c r="AC319" i="4"/>
  <c r="AQ248" i="4"/>
  <c r="AA248" i="4"/>
  <c r="AO248" i="4"/>
  <c r="AM248" i="4"/>
  <c r="AJ248" i="4"/>
  <c r="AI248" i="4"/>
  <c r="AG248" i="4"/>
  <c r="AE248" i="4"/>
  <c r="AR248" i="4"/>
  <c r="AB248" i="4"/>
  <c r="AT248" i="4"/>
  <c r="AS248" i="4"/>
  <c r="AP248" i="4"/>
  <c r="AN248" i="4"/>
  <c r="AL248" i="4"/>
  <c r="AK248" i="4"/>
  <c r="AH248" i="4"/>
  <c r="AF248" i="4"/>
  <c r="AD248" i="4"/>
  <c r="AC248" i="4"/>
  <c r="I136" i="4"/>
  <c r="D136" i="4" s="1"/>
  <c r="C27" i="8" s="1"/>
  <c r="I144" i="4"/>
  <c r="D144" i="4" s="1"/>
  <c r="AP264" i="4"/>
  <c r="AB264" i="4"/>
  <c r="AD264" i="4"/>
  <c r="AM264" i="4"/>
  <c r="I152" i="4"/>
  <c r="D152" i="4" s="1"/>
  <c r="C43" i="8" s="1"/>
  <c r="I160" i="4"/>
  <c r="D160" i="4" s="1"/>
  <c r="AR304" i="4"/>
  <c r="AG304" i="4"/>
  <c r="AE304" i="4"/>
  <c r="AI304" i="4"/>
  <c r="AF304" i="4"/>
  <c r="AS304" i="4"/>
  <c r="AC304" i="4"/>
  <c r="I192" i="4"/>
  <c r="D192" i="4" s="1"/>
  <c r="C83" i="8" s="1"/>
  <c r="AA250" i="4"/>
  <c r="AK250" i="4"/>
  <c r="AE306" i="4"/>
  <c r="AC314" i="4"/>
  <c r="AQ252" i="4"/>
  <c r="AA252" i="4"/>
  <c r="AO252" i="4"/>
  <c r="AM252" i="4"/>
  <c r="AJ252" i="4"/>
  <c r="AI252" i="4"/>
  <c r="AG252" i="4"/>
  <c r="AE252" i="4"/>
  <c r="AR252" i="4"/>
  <c r="AB252" i="4"/>
  <c r="AK252" i="4"/>
  <c r="AH252" i="4"/>
  <c r="AF252" i="4"/>
  <c r="AD252" i="4"/>
  <c r="AC252" i="4"/>
  <c r="AT252" i="4"/>
  <c r="AS252" i="4"/>
  <c r="AP252" i="4"/>
  <c r="AN252" i="4"/>
  <c r="AL252" i="4"/>
  <c r="I140" i="4"/>
  <c r="D140" i="4" s="1"/>
  <c r="C31" i="8" s="1"/>
  <c r="AH276" i="4"/>
  <c r="AC276" i="4"/>
  <c r="AR276" i="4"/>
  <c r="AO276" i="4"/>
  <c r="AE276" i="4"/>
  <c r="AD276" i="4"/>
  <c r="AA276" i="4"/>
  <c r="AJ276" i="4"/>
  <c r="AR292" i="4"/>
  <c r="AB292" i="4"/>
  <c r="AP292" i="4"/>
  <c r="AM292" i="4"/>
  <c r="AJ292" i="4"/>
  <c r="AH292" i="4"/>
  <c r="AE292" i="4"/>
  <c r="AN292" i="4"/>
  <c r="AK292" i="4"/>
  <c r="AF292" i="4"/>
  <c r="AA292" i="4"/>
  <c r="AS292" i="4"/>
  <c r="AT292" i="4"/>
  <c r="AL292" i="4"/>
  <c r="AI292" i="4"/>
  <c r="AD292" i="4"/>
  <c r="AO292" i="4"/>
  <c r="AG292" i="4"/>
  <c r="AC292" i="4"/>
  <c r="AQ292" i="4"/>
  <c r="I180" i="4"/>
  <c r="D180" i="4" s="1"/>
  <c r="C71" i="8" s="1"/>
  <c r="AR300" i="4"/>
  <c r="AB300" i="4"/>
  <c r="AM300" i="4"/>
  <c r="AJ300" i="4"/>
  <c r="AG300" i="4"/>
  <c r="AE300" i="4"/>
  <c r="AC300" i="4"/>
  <c r="AS300" i="4"/>
  <c r="AO300" i="4"/>
  <c r="AL300" i="4"/>
  <c r="AH300" i="4"/>
  <c r="AK300" i="4"/>
  <c r="AF300" i="4"/>
  <c r="AQ300" i="4"/>
  <c r="AT300" i="4"/>
  <c r="AN300" i="4"/>
  <c r="AD300" i="4"/>
  <c r="AP300" i="4"/>
  <c r="AI300" i="4"/>
  <c r="AA300" i="4"/>
  <c r="I188" i="4"/>
  <c r="D188" i="4" s="1"/>
  <c r="C79" i="8" s="1"/>
  <c r="AR324" i="4"/>
  <c r="AB324" i="4"/>
  <c r="AM324" i="4"/>
  <c r="AJ324" i="4"/>
  <c r="AG324" i="4"/>
  <c r="AE324" i="4"/>
  <c r="AL324" i="4"/>
  <c r="AI324" i="4"/>
  <c r="AD324" i="4"/>
  <c r="AT324" i="4"/>
  <c r="AP324" i="4"/>
  <c r="AO324" i="4"/>
  <c r="AK324" i="4"/>
  <c r="AC324" i="4"/>
  <c r="AS324" i="4"/>
  <c r="AQ324" i="4"/>
  <c r="AH324" i="4"/>
  <c r="AA324" i="4"/>
  <c r="AN324" i="4"/>
  <c r="AF324" i="4"/>
  <c r="I212" i="4"/>
  <c r="D212" i="4" s="1"/>
  <c r="C103" i="8" s="1"/>
  <c r="AI289" i="4"/>
  <c r="AF289" i="4"/>
  <c r="AE289" i="4"/>
  <c r="AK289" i="4"/>
  <c r="AH289" i="4"/>
  <c r="AD289" i="4"/>
  <c r="AA305" i="4"/>
  <c r="AE321" i="4"/>
  <c r="J131" i="4"/>
  <c r="J211" i="4"/>
  <c r="I129" i="4"/>
  <c r="D129" i="4" s="1"/>
  <c r="J132" i="4"/>
  <c r="J148" i="4"/>
  <c r="I148" i="4" s="1"/>
  <c r="D148" i="4" s="1"/>
  <c r="AR296" i="4"/>
  <c r="AB296" i="4"/>
  <c r="AP296" i="4"/>
  <c r="AM296" i="4"/>
  <c r="AJ296" i="4"/>
  <c r="AH296" i="4"/>
  <c r="AE296" i="4"/>
  <c r="AK296" i="4"/>
  <c r="AG296" i="4"/>
  <c r="AC296" i="4"/>
  <c r="AT296" i="4"/>
  <c r="AO296" i="4"/>
  <c r="AN296" i="4"/>
  <c r="AL296" i="4"/>
  <c r="AF296" i="4"/>
  <c r="AA296" i="4"/>
  <c r="AQ296" i="4"/>
  <c r="AI296" i="4"/>
  <c r="AD296" i="4"/>
  <c r="AS296" i="4"/>
  <c r="AR312" i="4"/>
  <c r="AB312" i="4"/>
  <c r="AM312" i="4"/>
  <c r="AJ312" i="4"/>
  <c r="AG312" i="4"/>
  <c r="AE312" i="4"/>
  <c r="AS312" i="4"/>
  <c r="AP312" i="4"/>
  <c r="AL312" i="4"/>
  <c r="AH312" i="4"/>
  <c r="AD312" i="4"/>
  <c r="AT312" i="4"/>
  <c r="AN312" i="4"/>
  <c r="AI312" i="4"/>
  <c r="AA312" i="4"/>
  <c r="AQ312" i="4"/>
  <c r="AK312" i="4"/>
  <c r="AC312" i="4"/>
  <c r="AO312" i="4"/>
  <c r="AF312" i="4"/>
  <c r="AR328" i="4"/>
  <c r="AB328" i="4"/>
  <c r="AM328" i="4"/>
  <c r="AJ328" i="4"/>
  <c r="AG328" i="4"/>
  <c r="AE328" i="4"/>
  <c r="AA328" i="4"/>
  <c r="AQ328" i="4"/>
  <c r="AN328" i="4"/>
  <c r="AK328" i="4"/>
  <c r="AF328" i="4"/>
  <c r="AI328" i="4"/>
  <c r="AD328" i="4"/>
  <c r="AP328" i="4"/>
  <c r="AS328" i="4"/>
  <c r="AL328" i="4"/>
  <c r="AT328" i="4"/>
  <c r="AO328" i="4"/>
  <c r="AH328" i="4"/>
  <c r="AC328" i="4"/>
  <c r="AE233" i="4"/>
  <c r="AI297" i="4"/>
  <c r="AA297" i="4"/>
  <c r="AH297" i="4"/>
  <c r="AO297" i="4"/>
  <c r="AJ297" i="4"/>
  <c r="AN329" i="4"/>
  <c r="AI329" i="4"/>
  <c r="AF329" i="4"/>
  <c r="AS329" i="4"/>
  <c r="AC329" i="4"/>
  <c r="AQ329" i="4"/>
  <c r="AA329" i="4"/>
  <c r="AE329" i="4"/>
  <c r="AB329" i="4"/>
  <c r="AP329" i="4"/>
  <c r="AM329" i="4"/>
  <c r="AJ329" i="4"/>
  <c r="AO329" i="4"/>
  <c r="AH329" i="4"/>
  <c r="AD329" i="4"/>
  <c r="AG329" i="4"/>
  <c r="AT329" i="4"/>
  <c r="AK329" i="4"/>
  <c r="AR329" i="4"/>
  <c r="AL329" i="4"/>
  <c r="J139" i="4"/>
  <c r="J155" i="4"/>
  <c r="J219" i="4"/>
  <c r="J124" i="4"/>
  <c r="J156" i="4"/>
  <c r="J172" i="4"/>
  <c r="I217" i="4"/>
  <c r="D217" i="4" s="1"/>
  <c r="C108" i="8" s="1"/>
  <c r="AG301" i="4"/>
  <c r="AM301" i="4"/>
  <c r="I216" i="4"/>
  <c r="D216" i="4" s="1"/>
  <c r="C107" i="8" s="1"/>
  <c r="M469" i="4"/>
  <c r="L25" i="7" s="1"/>
  <c r="M453" i="4"/>
  <c r="L9" i="7" s="1"/>
  <c r="M467" i="4"/>
  <c r="L23" i="7" s="1"/>
  <c r="M461" i="4"/>
  <c r="L17" i="7" s="1"/>
  <c r="M456" i="4"/>
  <c r="L12" i="7" s="1"/>
  <c r="M460" i="4"/>
  <c r="L16" i="7" s="1"/>
  <c r="M455" i="4"/>
  <c r="L11" i="7" s="1"/>
  <c r="I469" i="4"/>
  <c r="H25" i="7" s="1"/>
  <c r="L466" i="4"/>
  <c r="K22" i="7" s="1"/>
  <c r="L470" i="4"/>
  <c r="K26" i="7" s="1"/>
  <c r="R468" i="4"/>
  <c r="Q24" i="7" s="1"/>
  <c r="R463" i="4"/>
  <c r="Q19" i="7" s="1"/>
  <c r="R466" i="4"/>
  <c r="Q22" i="7" s="1"/>
  <c r="R452" i="4"/>
  <c r="Q8" i="7" s="1"/>
  <c r="R461" i="4"/>
  <c r="Q17" i="7" s="1"/>
  <c r="R469" i="4"/>
  <c r="Q25" i="7" s="1"/>
  <c r="R464" i="4"/>
  <c r="Q20" i="7" s="1"/>
  <c r="R471" i="4"/>
  <c r="Q27" i="7" s="1"/>
  <c r="R458" i="4"/>
  <c r="Q14" i="7" s="1"/>
  <c r="R456" i="4"/>
  <c r="Q12" i="7" s="1"/>
  <c r="R465" i="4"/>
  <c r="Q21" i="7" s="1"/>
  <c r="R460" i="4"/>
  <c r="Q16" i="7" s="1"/>
  <c r="R455" i="4"/>
  <c r="Q11" i="7" s="1"/>
  <c r="Q461" i="4"/>
  <c r="P17" i="7" s="1"/>
  <c r="Q466" i="4"/>
  <c r="P22" i="7" s="1"/>
  <c r="Q469" i="4"/>
  <c r="P25" i="7" s="1"/>
  <c r="Q453" i="4"/>
  <c r="P9" i="7" s="1"/>
  <c r="Q456" i="4"/>
  <c r="P12" i="7" s="1"/>
  <c r="Q458" i="4"/>
  <c r="P14" i="7" s="1"/>
  <c r="Q467" i="4"/>
  <c r="P23" i="7" s="1"/>
  <c r="Q459" i="4"/>
  <c r="P15" i="7" s="1"/>
  <c r="Q465" i="4"/>
  <c r="P21" i="7" s="1"/>
  <c r="Q460" i="4"/>
  <c r="P16" i="7" s="1"/>
  <c r="Q455" i="4"/>
  <c r="P11" i="7" s="1"/>
  <c r="Q462" i="4"/>
  <c r="P18" i="7" s="1"/>
  <c r="Q464" i="4"/>
  <c r="P20" i="7" s="1"/>
  <c r="Q454" i="4"/>
  <c r="P10" i="7" s="1"/>
  <c r="Q468" i="4"/>
  <c r="P24" i="7" s="1"/>
  <c r="Q463" i="4"/>
  <c r="P19" i="7" s="1"/>
  <c r="Q457" i="4"/>
  <c r="P13" i="7" s="1"/>
  <c r="Q452" i="4"/>
  <c r="P8" i="7" s="1"/>
  <c r="Q471" i="4"/>
  <c r="P27" i="7" s="1"/>
  <c r="Q470" i="4"/>
  <c r="P26" i="7" s="1"/>
  <c r="D464" i="4"/>
  <c r="C20" i="7" s="1"/>
  <c r="D469" i="4"/>
  <c r="C25" i="7" s="1"/>
  <c r="D453" i="4"/>
  <c r="C9" i="7" s="1"/>
  <c r="D456" i="4"/>
  <c r="C12" i="7" s="1"/>
  <c r="D459" i="4"/>
  <c r="C15" i="7" s="1"/>
  <c r="D461" i="4"/>
  <c r="C17" i="7" s="1"/>
  <c r="D471" i="4"/>
  <c r="C27" i="7" s="1"/>
  <c r="D457" i="4"/>
  <c r="C13" i="7" s="1"/>
  <c r="D463" i="4"/>
  <c r="C19" i="7" s="1"/>
  <c r="D455" i="4"/>
  <c r="C11" i="7" s="1"/>
  <c r="D470" i="4"/>
  <c r="C26" i="7" s="1"/>
  <c r="D465" i="4"/>
  <c r="C21" i="7" s="1"/>
  <c r="D466" i="4"/>
  <c r="C22" i="7" s="1"/>
  <c r="D468" i="4"/>
  <c r="C24" i="7" s="1"/>
  <c r="D458" i="4"/>
  <c r="C14" i="7" s="1"/>
  <c r="D460" i="4"/>
  <c r="C16" i="7" s="1"/>
  <c r="D467" i="4"/>
  <c r="C23" i="7" s="1"/>
  <c r="D462" i="4"/>
  <c r="C18" i="7" s="1"/>
  <c r="I463" i="4"/>
  <c r="H19" i="7" s="1"/>
  <c r="I470" i="4"/>
  <c r="H26" i="7" s="1"/>
  <c r="I462" i="4"/>
  <c r="H18" i="7" s="1"/>
  <c r="I456" i="4"/>
  <c r="H12" i="7" s="1"/>
  <c r="M463" i="4"/>
  <c r="L19" i="7" s="1"/>
  <c r="M458" i="4"/>
  <c r="L14" i="7" s="1"/>
  <c r="M471" i="4"/>
  <c r="L27" i="7" s="1"/>
  <c r="I455" i="4"/>
  <c r="H11" i="7" s="1"/>
  <c r="I460" i="4"/>
  <c r="H16" i="7" s="1"/>
  <c r="D452" i="4"/>
  <c r="C8" i="7" s="1"/>
  <c r="I471" i="4"/>
  <c r="H27" i="7" s="1"/>
  <c r="H471" i="4"/>
  <c r="G27" i="7" s="1"/>
  <c r="I452" i="4"/>
  <c r="H8" i="7" s="1"/>
  <c r="L458" i="4"/>
  <c r="K14" i="7" s="1"/>
  <c r="L465" i="4"/>
  <c r="K21" i="7" s="1"/>
  <c r="L471" i="4"/>
  <c r="K27" i="7" s="1"/>
  <c r="L457" i="4"/>
  <c r="K13" i="7" s="1"/>
  <c r="L463" i="4"/>
  <c r="K19" i="7" s="1"/>
  <c r="L468" i="4"/>
  <c r="K24" i="7" s="1"/>
  <c r="L460" i="4"/>
  <c r="K16" i="7" s="1"/>
  <c r="L455" i="4"/>
  <c r="K11" i="7" s="1"/>
  <c r="L462" i="4"/>
  <c r="K18" i="7" s="1"/>
  <c r="L452" i="4"/>
  <c r="K8" i="7" s="1"/>
  <c r="L459" i="4"/>
  <c r="K15" i="7" s="1"/>
  <c r="L454" i="4"/>
  <c r="K10" i="7" s="1"/>
  <c r="E471" i="4"/>
  <c r="D27" i="7" s="1"/>
  <c r="E461" i="4"/>
  <c r="D17" i="7" s="1"/>
  <c r="E455" i="4"/>
  <c r="D11" i="7" s="1"/>
  <c r="E452" i="4"/>
  <c r="D8" i="7" s="1"/>
  <c r="E463" i="4"/>
  <c r="D19" i="7" s="1"/>
  <c r="E468" i="4"/>
  <c r="D24" i="7" s="1"/>
  <c r="E453" i="4"/>
  <c r="D9" i="7" s="1"/>
  <c r="H467" i="4"/>
  <c r="G23" i="7" s="1"/>
  <c r="D454" i="4"/>
  <c r="C10" i="7" s="1"/>
  <c r="E459" i="4"/>
  <c r="D15" i="7" s="1"/>
  <c r="E464" i="4"/>
  <c r="D20" i="7" s="1"/>
  <c r="I454" i="4"/>
  <c r="H10" i="7" s="1"/>
  <c r="H469" i="4"/>
  <c r="G25" i="7" s="1"/>
  <c r="H458" i="4"/>
  <c r="G14" i="7" s="1"/>
  <c r="H461" i="4"/>
  <c r="G17" i="7" s="1"/>
  <c r="H454" i="4"/>
  <c r="G10" i="7" s="1"/>
  <c r="H459" i="4"/>
  <c r="G15" i="7" s="1"/>
  <c r="M466" i="4"/>
  <c r="L22" i="7" s="1"/>
  <c r="H453" i="4"/>
  <c r="G9" i="7" s="1"/>
  <c r="E465" i="4"/>
  <c r="D21" i="7" s="1"/>
  <c r="E470" i="4"/>
  <c r="D26" i="7" s="1"/>
  <c r="E454" i="4"/>
  <c r="D10" i="7" s="1"/>
  <c r="E457" i="4"/>
  <c r="D13" i="7" s="1"/>
  <c r="E460" i="4"/>
  <c r="D16" i="7" s="1"/>
  <c r="E462" i="4"/>
  <c r="D18" i="7" s="1"/>
  <c r="I457" i="4"/>
  <c r="H13" i="7" s="1"/>
  <c r="H468" i="4"/>
  <c r="G24" i="7" s="1"/>
  <c r="H452" i="4"/>
  <c r="G8" i="7" s="1"/>
  <c r="H457" i="4"/>
  <c r="G13" i="7" s="1"/>
  <c r="H460" i="4"/>
  <c r="G16" i="7" s="1"/>
  <c r="H463" i="4"/>
  <c r="G19" i="7" s="1"/>
  <c r="H465" i="4"/>
  <c r="G21" i="7" s="1"/>
  <c r="E456" i="4"/>
  <c r="D12" i="7" s="1"/>
  <c r="H462" i="4"/>
  <c r="G18" i="7" s="1"/>
  <c r="I465" i="4"/>
  <c r="H21" i="7" s="1"/>
  <c r="H456" i="4"/>
  <c r="G12" i="7" s="1"/>
  <c r="I459" i="4"/>
  <c r="H15" i="7" s="1"/>
  <c r="E467" i="4"/>
  <c r="D23" i="7" s="1"/>
  <c r="M457" i="4"/>
  <c r="L13" i="7" s="1"/>
  <c r="M462" i="4"/>
  <c r="L18" i="7" s="1"/>
  <c r="M465" i="4"/>
  <c r="L21" i="7" s="1"/>
  <c r="M468" i="4"/>
  <c r="L24" i="7" s="1"/>
  <c r="M452" i="4"/>
  <c r="L8" i="7" s="1"/>
  <c r="M470" i="4"/>
  <c r="L26" i="7" s="1"/>
  <c r="M454" i="4"/>
  <c r="L10" i="7" s="1"/>
  <c r="J453" i="4"/>
  <c r="I9" i="7" s="1"/>
  <c r="E458" i="4"/>
  <c r="D14" i="7" s="1"/>
  <c r="M459" i="4"/>
  <c r="L15" i="7" s="1"/>
  <c r="H464" i="4"/>
  <c r="G20" i="7" s="1"/>
  <c r="I467" i="4"/>
  <c r="H23" i="7" s="1"/>
  <c r="H455" i="4"/>
  <c r="G11" i="7" s="1"/>
  <c r="M464" i="4"/>
  <c r="L20" i="7" s="1"/>
  <c r="E466" i="4"/>
  <c r="D22" i="7" s="1"/>
  <c r="R462" i="4"/>
  <c r="Q18" i="7" s="1"/>
  <c r="R467" i="4"/>
  <c r="Q23" i="7" s="1"/>
  <c r="R470" i="4"/>
  <c r="Q26" i="7" s="1"/>
  <c r="R454" i="4"/>
  <c r="Q10" i="7" s="1"/>
  <c r="R457" i="4"/>
  <c r="Q13" i="7" s="1"/>
  <c r="R459" i="4"/>
  <c r="Q15" i="7" s="1"/>
  <c r="R453" i="4"/>
  <c r="Q9" i="7" s="1"/>
  <c r="H466" i="4"/>
  <c r="G22" i="7" s="1"/>
  <c r="L453" i="4"/>
  <c r="K9" i="7" s="1"/>
  <c r="I466" i="4"/>
  <c r="H22" i="7" s="1"/>
  <c r="L469" i="4"/>
  <c r="K25" i="7" s="1"/>
  <c r="I464" i="4"/>
  <c r="H20" i="7" s="1"/>
  <c r="L467" i="4"/>
  <c r="K23" i="7" s="1"/>
  <c r="I461" i="4"/>
  <c r="H17" i="7" s="1"/>
  <c r="L464" i="4"/>
  <c r="K20" i="7" s="1"/>
  <c r="I458" i="4"/>
  <c r="H14" i="7" s="1"/>
  <c r="L461" i="4"/>
  <c r="K17" i="7" s="1"/>
  <c r="I453" i="4"/>
  <c r="H9" i="7" s="1"/>
  <c r="CR109" i="4"/>
  <c r="CC109" i="4" s="1"/>
  <c r="CS109" i="4"/>
  <c r="CD109" i="4" s="1"/>
  <c r="CT109" i="4"/>
  <c r="CE109" i="4" s="1"/>
  <c r="CI109" i="4"/>
  <c r="BT109" i="4" s="1"/>
  <c r="DB26" i="4"/>
  <c r="CN26" i="4" s="1"/>
  <c r="BY26" i="4" s="1"/>
  <c r="DF75" i="4"/>
  <c r="CR75" i="4" s="1"/>
  <c r="CC75" i="4" s="1"/>
  <c r="DB78" i="4"/>
  <c r="CN78" i="4" s="1"/>
  <c r="BY78" i="4" s="1"/>
  <c r="CX89" i="4"/>
  <c r="CJ89" i="4" s="1"/>
  <c r="BU89" i="4" s="1"/>
  <c r="DF95" i="4"/>
  <c r="DB106" i="4"/>
  <c r="CN106" i="4" s="1"/>
  <c r="BY106" i="4" s="1"/>
  <c r="CJ109" i="4"/>
  <c r="BU109" i="4" s="1"/>
  <c r="CK109" i="4"/>
  <c r="BV109" i="4" s="1"/>
  <c r="CL109" i="4"/>
  <c r="BW109" i="4" s="1"/>
  <c r="CM109" i="4"/>
  <c r="BX109" i="4" s="1"/>
  <c r="CN109" i="4"/>
  <c r="BY109" i="4" s="1"/>
  <c r="CO109" i="4"/>
  <c r="BZ109" i="4" s="1"/>
  <c r="CP109" i="4"/>
  <c r="CA109" i="4" s="1"/>
  <c r="DE75" i="4"/>
  <c r="CQ75" i="4" s="1"/>
  <c r="CB75" i="4" s="1"/>
  <c r="CW89" i="4"/>
  <c r="CI89" i="4" s="1"/>
  <c r="BT89" i="4" s="1"/>
  <c r="CW97" i="4"/>
  <c r="CI97" i="4" s="1"/>
  <c r="BT97" i="4" s="1"/>
  <c r="CZ26" i="4"/>
  <c r="CL26" i="4" s="1"/>
  <c r="BW26" i="4" s="1"/>
  <c r="DH60" i="4"/>
  <c r="CT60" i="4" s="1"/>
  <c r="CE60" i="4" s="1"/>
  <c r="CZ78" i="4"/>
  <c r="CL78" i="4" s="1"/>
  <c r="BW78" i="4" s="1"/>
  <c r="DD95" i="4"/>
  <c r="CP95" i="4" s="1"/>
  <c r="CA95" i="4" s="1"/>
  <c r="DH104" i="4"/>
  <c r="CT104" i="4" s="1"/>
  <c r="CE104" i="4" s="1"/>
  <c r="CZ106" i="4"/>
  <c r="CL106" i="4" s="1"/>
  <c r="BW106" i="4" s="1"/>
  <c r="DD7" i="4"/>
  <c r="CP7" i="4" s="1"/>
  <c r="CA7" i="4" s="1"/>
  <c r="CZ104" i="4"/>
  <c r="CL104" i="4" s="1"/>
  <c r="BW104" i="4" s="1"/>
  <c r="DD60" i="4"/>
  <c r="CP60" i="4" s="1"/>
  <c r="CA60" i="4" s="1"/>
  <c r="CZ95" i="4"/>
  <c r="CL96" i="4" s="1"/>
  <c r="BW96" i="4" s="1"/>
  <c r="DD104" i="4"/>
  <c r="CP104" i="4" s="1"/>
  <c r="CA104" i="4" s="1"/>
  <c r="DH16" i="4"/>
  <c r="CT16" i="4" s="1"/>
  <c r="CE16" i="4" s="1"/>
  <c r="DD23" i="4"/>
  <c r="CP23" i="4" s="1"/>
  <c r="CA23" i="4" s="1"/>
  <c r="DH40" i="4"/>
  <c r="CT40" i="4" s="1"/>
  <c r="CE40" i="4" s="1"/>
  <c r="DH56" i="4"/>
  <c r="CT56" i="4" s="1"/>
  <c r="CE56" i="4" s="1"/>
  <c r="CZ70" i="4"/>
  <c r="CL70" i="4" s="1"/>
  <c r="BW70" i="4" s="1"/>
  <c r="DH72" i="4"/>
  <c r="CT72" i="4" s="1"/>
  <c r="CE72" i="4" s="1"/>
  <c r="DD75" i="4"/>
  <c r="CP75" i="4" s="1"/>
  <c r="CA75" i="4" s="1"/>
  <c r="DH84" i="4"/>
  <c r="DH92" i="4"/>
  <c r="CT92" i="4" s="1"/>
  <c r="CE92" i="4" s="1"/>
  <c r="DA26" i="4"/>
  <c r="CM26" i="4" s="1"/>
  <c r="BX26" i="4" s="1"/>
  <c r="DE47" i="4"/>
  <c r="AJ9" i="4"/>
  <c r="AL9" i="4" s="1"/>
  <c r="AJ13" i="4"/>
  <c r="AL13" i="4" s="1"/>
  <c r="AJ17" i="4"/>
  <c r="AJ21" i="4"/>
  <c r="AL21" i="4" s="1"/>
  <c r="AJ25" i="4"/>
  <c r="AL25" i="4" s="1"/>
  <c r="AJ29" i="4"/>
  <c r="AL29" i="4" s="1"/>
  <c r="AL28" i="4" s="1"/>
  <c r="AL58" i="4" s="1"/>
  <c r="AJ33" i="4"/>
  <c r="AL33" i="4" s="1"/>
  <c r="AJ37" i="4"/>
  <c r="AL37" i="4" s="1"/>
  <c r="AJ41" i="4"/>
  <c r="AJ45" i="4"/>
  <c r="AL45" i="4" s="1"/>
  <c r="AJ49" i="4"/>
  <c r="AJ53" i="4"/>
  <c r="AJ57" i="4"/>
  <c r="AJ61" i="4"/>
  <c r="AL61" i="4" s="1"/>
  <c r="AJ65" i="4"/>
  <c r="AJ69" i="4"/>
  <c r="AL69" i="4" s="1"/>
  <c r="DA70" i="4"/>
  <c r="CM70" i="4" s="1"/>
  <c r="BX70" i="4" s="1"/>
  <c r="AJ73" i="4"/>
  <c r="AJ77" i="4"/>
  <c r="AL77" i="4" s="1"/>
  <c r="AJ81" i="4"/>
  <c r="AJ8" i="4"/>
  <c r="AL8" i="4" s="1"/>
  <c r="AJ12" i="4"/>
  <c r="AL12" i="4" s="1"/>
  <c r="AJ16" i="4"/>
  <c r="AL16" i="4" s="1"/>
  <c r="AL17" i="4" s="1"/>
  <c r="AJ20" i="4"/>
  <c r="AL20" i="4" s="1"/>
  <c r="AJ24" i="4"/>
  <c r="AL24" i="4" s="1"/>
  <c r="AJ28" i="4"/>
  <c r="AJ32" i="4"/>
  <c r="AL32" i="4" s="1"/>
  <c r="AJ36" i="4"/>
  <c r="AL36" i="4" s="1"/>
  <c r="AJ40" i="4"/>
  <c r="AL40" i="4" s="1"/>
  <c r="AL41" i="4" s="1"/>
  <c r="AL42" i="4" s="1"/>
  <c r="AJ44" i="4"/>
  <c r="AJ48" i="4"/>
  <c r="AJ52" i="4"/>
  <c r="AJ56" i="4"/>
  <c r="AL56" i="4" s="1"/>
  <c r="AL57" i="4" s="1"/>
  <c r="AJ60" i="4"/>
  <c r="AL60" i="4" s="1"/>
  <c r="AJ64" i="4"/>
  <c r="AJ68" i="4"/>
  <c r="AJ72" i="4"/>
  <c r="AJ76" i="4"/>
  <c r="AL76" i="4" s="1"/>
  <c r="AJ80" i="4"/>
  <c r="AL80" i="4" s="1"/>
  <c r="AL81" i="4" s="1"/>
  <c r="AJ84" i="4"/>
  <c r="AL84" i="4" s="1"/>
  <c r="AJ92" i="4"/>
  <c r="AL92" i="4" s="1"/>
  <c r="AJ104" i="4"/>
  <c r="AL104" i="4" s="1"/>
  <c r="CX12" i="4"/>
  <c r="CJ12" i="4" s="1"/>
  <c r="BU12" i="4" s="1"/>
  <c r="CX16" i="4"/>
  <c r="CJ16" i="4" s="1"/>
  <c r="BU16" i="4" s="1"/>
  <c r="DF26" i="4"/>
  <c r="CR26" i="4" s="1"/>
  <c r="CC26" i="4" s="1"/>
  <c r="CX28" i="4"/>
  <c r="CJ28" i="4" s="1"/>
  <c r="BU28" i="4" s="1"/>
  <c r="DB33" i="4"/>
  <c r="CN33" i="4" s="1"/>
  <c r="BY33" i="4" s="1"/>
  <c r="CX40" i="4"/>
  <c r="CJ40" i="4" s="1"/>
  <c r="BU40" i="4" s="1"/>
  <c r="DB45" i="4"/>
  <c r="CN45" i="4" s="1"/>
  <c r="BY45" i="4" s="1"/>
  <c r="CX56" i="4"/>
  <c r="CJ56" i="4" s="1"/>
  <c r="BU56" i="4" s="1"/>
  <c r="CX60" i="4"/>
  <c r="CJ60" i="4" s="1"/>
  <c r="BU60" i="4" s="1"/>
  <c r="DF70" i="4"/>
  <c r="CR70" i="4" s="1"/>
  <c r="CC70" i="4" s="1"/>
  <c r="CX72" i="4"/>
  <c r="CJ72" i="4" s="1"/>
  <c r="BU72" i="4" s="1"/>
  <c r="DF78" i="4"/>
  <c r="CR78" i="4" s="1"/>
  <c r="CC78" i="4" s="1"/>
  <c r="CX80" i="4"/>
  <c r="CJ83" i="4" s="1"/>
  <c r="BU83" i="4" s="1"/>
  <c r="CX84" i="4"/>
  <c r="CJ84" i="4" s="1"/>
  <c r="BU84" i="4" s="1"/>
  <c r="DB89" i="4"/>
  <c r="CN89" i="4" s="1"/>
  <c r="BY89" i="4" s="1"/>
  <c r="CX92" i="4"/>
  <c r="CJ92" i="4" s="1"/>
  <c r="BU92" i="4" s="1"/>
  <c r="DB97" i="4"/>
  <c r="CN97" i="4" s="1"/>
  <c r="BY97" i="4" s="1"/>
  <c r="CX104" i="4"/>
  <c r="CJ104" i="4" s="1"/>
  <c r="BU104" i="4" s="1"/>
  <c r="DF106" i="4"/>
  <c r="CR106" i="4" s="1"/>
  <c r="CC106" i="4" s="1"/>
  <c r="AJ7" i="4"/>
  <c r="AL7" i="4" s="1"/>
  <c r="AJ11" i="4"/>
  <c r="AL11" i="4" s="1"/>
  <c r="AJ15" i="4"/>
  <c r="AL15" i="4" s="1"/>
  <c r="AJ19" i="4"/>
  <c r="AL19" i="4" s="1"/>
  <c r="AJ23" i="4"/>
  <c r="AL23" i="4" s="1"/>
  <c r="AJ27" i="4"/>
  <c r="AL27" i="4" s="1"/>
  <c r="AJ31" i="4"/>
  <c r="AL31" i="4" s="1"/>
  <c r="AJ35" i="4"/>
  <c r="AL35" i="4" s="1"/>
  <c r="AL38" i="4" s="1"/>
  <c r="AJ39" i="4"/>
  <c r="AL39" i="4" s="1"/>
  <c r="AJ43" i="4"/>
  <c r="AL43" i="4" s="1"/>
  <c r="AJ47" i="4"/>
  <c r="AJ51" i="4"/>
  <c r="AJ55" i="4"/>
  <c r="AJ59" i="4"/>
  <c r="AL59" i="4" s="1"/>
  <c r="AJ63" i="4"/>
  <c r="AJ67" i="4"/>
  <c r="AJ71" i="4"/>
  <c r="AJ75" i="4"/>
  <c r="AL75" i="4" s="1"/>
  <c r="AJ79" i="4"/>
  <c r="AJ95" i="4"/>
  <c r="AL95" i="4" s="1"/>
  <c r="AI10" i="4"/>
  <c r="AK10" i="4" s="1"/>
  <c r="AJ14" i="4"/>
  <c r="AL14" i="4" s="1"/>
  <c r="AI18" i="4"/>
  <c r="AK18" i="4" s="1"/>
  <c r="AJ22" i="4"/>
  <c r="AL22" i="4" s="1"/>
  <c r="AI26" i="4"/>
  <c r="AK26" i="4" s="1"/>
  <c r="AJ30" i="4"/>
  <c r="AL30" i="4" s="1"/>
  <c r="AI34" i="4"/>
  <c r="AK34" i="4" s="1"/>
  <c r="AJ38" i="4"/>
  <c r="AI42" i="4"/>
  <c r="AJ46" i="4"/>
  <c r="AL46" i="4" s="1"/>
  <c r="AI50" i="4"/>
  <c r="AJ54" i="4"/>
  <c r="AI58" i="4"/>
  <c r="AJ62" i="4"/>
  <c r="AI66" i="4"/>
  <c r="AK66" i="4" s="1"/>
  <c r="AK67" i="4" s="1"/>
  <c r="AJ70" i="4"/>
  <c r="AI74" i="4"/>
  <c r="AJ78" i="4"/>
  <c r="AL78" i="4" s="1"/>
  <c r="AL79" i="4" s="1"/>
  <c r="AI82" i="4"/>
  <c r="AK82" i="4" s="1"/>
  <c r="AI106" i="4"/>
  <c r="AK106" i="4" s="1"/>
  <c r="AI11" i="4"/>
  <c r="AK11" i="4" s="1"/>
  <c r="AJ18" i="4"/>
  <c r="AL18" i="4" s="1"/>
  <c r="AI19" i="4"/>
  <c r="AK19" i="4" s="1"/>
  <c r="AJ26" i="4"/>
  <c r="AL26" i="4" s="1"/>
  <c r="AI35" i="4"/>
  <c r="AK35" i="4" s="1"/>
  <c r="AK38" i="4" s="1"/>
  <c r="AI51" i="4"/>
  <c r="AJ66" i="4"/>
  <c r="AL66" i="4" s="1"/>
  <c r="AL67" i="4" s="1"/>
  <c r="AL68" i="4" s="1"/>
  <c r="AI67" i="4"/>
  <c r="AI75" i="4"/>
  <c r="AK75" i="4" s="1"/>
  <c r="AI83" i="4"/>
  <c r="AK83" i="4" s="1"/>
  <c r="AI99" i="4"/>
  <c r="AK99" i="4" s="1"/>
  <c r="AJ106" i="4"/>
  <c r="AL106" i="4" s="1"/>
  <c r="AJ10" i="4"/>
  <c r="AL10" i="4" s="1"/>
  <c r="AJ34" i="4"/>
  <c r="AL34" i="4" s="1"/>
  <c r="AJ42" i="4"/>
  <c r="AJ50" i="4"/>
  <c r="AJ58" i="4"/>
  <c r="AJ74" i="4"/>
  <c r="AJ82" i="4"/>
  <c r="AL82" i="4" s="1"/>
  <c r="AJ90" i="4"/>
  <c r="AJ98" i="4"/>
  <c r="AJ83" i="4"/>
  <c r="AL83" i="4" s="1"/>
  <c r="AJ91" i="4"/>
  <c r="AJ99" i="4"/>
  <c r="AL99" i="4" s="1"/>
  <c r="AJ107" i="4"/>
  <c r="AL107" i="4" s="1"/>
  <c r="AI43" i="4"/>
  <c r="AK43" i="4" s="1"/>
  <c r="DB70" i="4"/>
  <c r="CN70" i="4" s="1"/>
  <c r="BY70" i="4" s="1"/>
  <c r="AI12" i="4"/>
  <c r="AK12" i="4" s="1"/>
  <c r="AI20" i="4"/>
  <c r="AK20" i="4" s="1"/>
  <c r="AI28" i="4"/>
  <c r="AI36" i="4"/>
  <c r="AK36" i="4" s="1"/>
  <c r="AI44" i="4"/>
  <c r="AI52" i="4"/>
  <c r="AI60" i="4"/>
  <c r="AK60" i="4" s="1"/>
  <c r="AI68" i="4"/>
  <c r="AI76" i="4"/>
  <c r="AK76" i="4" s="1"/>
  <c r="AI84" i="4"/>
  <c r="AI92" i="4"/>
  <c r="AI100" i="4"/>
  <c r="AK100" i="4" s="1"/>
  <c r="AI108" i="4"/>
  <c r="AK108" i="4" s="1"/>
  <c r="DG23" i="4"/>
  <c r="CS23" i="4" s="1"/>
  <c r="CD23" i="4" s="1"/>
  <c r="DC26" i="4"/>
  <c r="CO26" i="4" s="1"/>
  <c r="BZ26" i="4" s="1"/>
  <c r="CY33" i="4"/>
  <c r="CK33" i="4" s="1"/>
  <c r="BV33" i="4" s="1"/>
  <c r="DC70" i="4"/>
  <c r="CO70" i="4" s="1"/>
  <c r="BZ70" i="4" s="1"/>
  <c r="DG75" i="4"/>
  <c r="CS75" i="4" s="1"/>
  <c r="CD75" i="4" s="1"/>
  <c r="DC78" i="4"/>
  <c r="CO78" i="4" s="1"/>
  <c r="BZ78" i="4" s="1"/>
  <c r="CY89" i="4"/>
  <c r="CK89" i="4" s="1"/>
  <c r="BV89" i="4" s="1"/>
  <c r="DG95" i="4"/>
  <c r="CS96" i="4" s="1"/>
  <c r="CD96" i="4" s="1"/>
  <c r="DC106" i="4"/>
  <c r="CO106" i="4" s="1"/>
  <c r="BZ106" i="4" s="1"/>
  <c r="AJ100" i="4"/>
  <c r="AL100" i="4" s="1"/>
  <c r="AJ108" i="4"/>
  <c r="AL108" i="4" s="1"/>
  <c r="CZ28" i="4"/>
  <c r="CL28" i="4" s="1"/>
  <c r="BW28" i="4" s="1"/>
  <c r="CZ33" i="4"/>
  <c r="CL33" i="4" s="1"/>
  <c r="BW33" i="4" s="1"/>
  <c r="CZ45" i="4"/>
  <c r="CL45" i="4" s="1"/>
  <c r="BW45" i="4" s="1"/>
  <c r="DH47" i="4"/>
  <c r="CT54" i="4" s="1"/>
  <c r="CE54" i="4" s="1"/>
  <c r="DD66" i="4"/>
  <c r="CP66" i="4" s="1"/>
  <c r="CA66" i="4" s="1"/>
  <c r="DD70" i="4"/>
  <c r="CP70" i="4" s="1"/>
  <c r="CA70" i="4" s="1"/>
  <c r="DH75" i="4"/>
  <c r="CT75" i="4" s="1"/>
  <c r="CE75" i="4" s="1"/>
  <c r="DD78" i="4"/>
  <c r="CP78" i="4" s="1"/>
  <c r="CA78" i="4" s="1"/>
  <c r="CZ89" i="4"/>
  <c r="CL89" i="4" s="1"/>
  <c r="BW89" i="4" s="1"/>
  <c r="DH95" i="4"/>
  <c r="CT96" i="4" s="1"/>
  <c r="CE96" i="4" s="1"/>
  <c r="CZ97" i="4"/>
  <c r="CL97" i="4" s="1"/>
  <c r="BW97" i="4" s="1"/>
  <c r="DD106" i="4"/>
  <c r="CP106" i="4" s="1"/>
  <c r="CA106" i="4" s="1"/>
  <c r="AI13" i="4"/>
  <c r="AK13" i="4" s="1"/>
  <c r="AI21" i="4"/>
  <c r="AK21" i="4" s="1"/>
  <c r="AI29" i="4"/>
  <c r="AK29" i="4" s="1"/>
  <c r="AI37" i="4"/>
  <c r="AK37" i="4" s="1"/>
  <c r="AM37" i="4" s="1"/>
  <c r="AI45" i="4"/>
  <c r="AK45" i="4" s="1"/>
  <c r="AI53" i="4"/>
  <c r="AI61" i="4"/>
  <c r="AK61" i="4" s="1"/>
  <c r="AI69" i="4"/>
  <c r="AK69" i="4" s="1"/>
  <c r="AI77" i="4"/>
  <c r="AK77" i="4" s="1"/>
  <c r="AI85" i="4"/>
  <c r="AI93" i="4"/>
  <c r="AK93" i="4" s="1"/>
  <c r="AI101" i="4"/>
  <c r="AK101" i="4" s="1"/>
  <c r="AI109" i="4"/>
  <c r="AK109" i="4" s="1"/>
  <c r="AJ85" i="4"/>
  <c r="AJ93" i="4"/>
  <c r="AL93" i="4" s="1"/>
  <c r="AJ101" i="4"/>
  <c r="AL101" i="4" s="1"/>
  <c r="AJ109" i="4"/>
  <c r="AL109" i="4" s="1"/>
  <c r="DF66" i="4"/>
  <c r="CR66" i="4" s="1"/>
  <c r="CC66" i="4" s="1"/>
  <c r="AI14" i="4"/>
  <c r="AK14" i="4" s="1"/>
  <c r="AI22" i="4"/>
  <c r="AK22" i="4" s="1"/>
  <c r="AI30" i="4"/>
  <c r="AK30" i="4" s="1"/>
  <c r="AI38" i="4"/>
  <c r="AI46" i="4"/>
  <c r="AK46" i="4" s="1"/>
  <c r="AI54" i="4"/>
  <c r="AI62" i="4"/>
  <c r="AI70" i="4"/>
  <c r="AI78" i="4"/>
  <c r="AK78" i="4" s="1"/>
  <c r="AI86" i="4"/>
  <c r="AK86" i="4" s="1"/>
  <c r="AI94" i="4"/>
  <c r="AI102" i="4"/>
  <c r="AK102" i="4" s="1"/>
  <c r="AI110" i="4"/>
  <c r="AL110" i="4" s="1"/>
  <c r="AM110" i="4" s="1"/>
  <c r="AJ86" i="4"/>
  <c r="AL86" i="4" s="1"/>
  <c r="AJ94" i="4"/>
  <c r="AJ102" i="4"/>
  <c r="AL102" i="4" s="1"/>
  <c r="AJ110" i="4"/>
  <c r="DA66" i="4"/>
  <c r="CM66" i="4" s="1"/>
  <c r="BX66" i="4" s="1"/>
  <c r="DH106" i="4"/>
  <c r="CT106" i="4" s="1"/>
  <c r="CE106" i="4" s="1"/>
  <c r="AI15" i="4"/>
  <c r="AK15" i="4" s="1"/>
  <c r="AI23" i="4"/>
  <c r="AK23" i="4" s="1"/>
  <c r="AI31" i="4"/>
  <c r="AK31" i="4" s="1"/>
  <c r="AI39" i="4"/>
  <c r="AK39" i="4" s="1"/>
  <c r="AI47" i="4"/>
  <c r="AI55" i="4"/>
  <c r="AI63" i="4"/>
  <c r="AI71" i="4"/>
  <c r="AI79" i="4"/>
  <c r="AI87" i="4"/>
  <c r="AI95" i="4"/>
  <c r="AK95" i="4" s="1"/>
  <c r="AI103" i="4"/>
  <c r="AK103" i="4" s="1"/>
  <c r="DA60" i="4"/>
  <c r="CM60" i="4" s="1"/>
  <c r="BX60" i="4" s="1"/>
  <c r="AJ87" i="4"/>
  <c r="AJ103" i="4"/>
  <c r="AL103" i="4" s="1"/>
  <c r="AI8" i="4"/>
  <c r="AK8" i="4" s="1"/>
  <c r="AI16" i="4"/>
  <c r="AK16" i="4" s="1"/>
  <c r="AK17" i="4" s="1"/>
  <c r="AI24" i="4"/>
  <c r="AK24" i="4" s="1"/>
  <c r="AI32" i="4"/>
  <c r="AK32" i="4" s="1"/>
  <c r="AI40" i="4"/>
  <c r="AK40" i="4" s="1"/>
  <c r="AK41" i="4" s="1"/>
  <c r="AK42" i="4" s="1"/>
  <c r="AI48" i="4"/>
  <c r="AI56" i="4"/>
  <c r="AK56" i="4" s="1"/>
  <c r="AK57" i="4" s="1"/>
  <c r="AI64" i="4"/>
  <c r="AI72" i="4"/>
  <c r="AI80" i="4"/>
  <c r="AK80" i="4" s="1"/>
  <c r="AI88" i="4"/>
  <c r="AK88" i="4" s="1"/>
  <c r="AI96" i="4"/>
  <c r="AK96" i="4" s="1"/>
  <c r="AI104" i="4"/>
  <c r="AK104" i="4" s="1"/>
  <c r="AI91" i="4"/>
  <c r="AJ88" i="4"/>
  <c r="AL88" i="4" s="1"/>
  <c r="AJ96" i="4"/>
  <c r="AL96" i="4" s="1"/>
  <c r="DH97" i="4"/>
  <c r="CT97" i="4" s="1"/>
  <c r="CE97" i="4" s="1"/>
  <c r="AI7" i="4"/>
  <c r="AK7" i="4" s="1"/>
  <c r="AI9" i="4"/>
  <c r="AK9" i="4" s="1"/>
  <c r="AI17" i="4"/>
  <c r="AI25" i="4"/>
  <c r="AK25" i="4" s="1"/>
  <c r="AI33" i="4"/>
  <c r="AK33" i="4" s="1"/>
  <c r="AI41" i="4"/>
  <c r="AI49" i="4"/>
  <c r="AI57" i="4"/>
  <c r="AI65" i="4"/>
  <c r="AI73" i="4"/>
  <c r="AI81" i="4"/>
  <c r="AI89" i="4"/>
  <c r="AI97" i="4"/>
  <c r="AK97" i="4" s="1"/>
  <c r="AI105" i="4"/>
  <c r="AK105" i="4" s="1"/>
  <c r="AI59" i="4"/>
  <c r="AK59" i="4" s="1"/>
  <c r="AI107" i="4"/>
  <c r="AK107" i="4" s="1"/>
  <c r="AJ89" i="4"/>
  <c r="AJ97" i="4"/>
  <c r="AL97" i="4" s="1"/>
  <c r="AL98" i="4" s="1"/>
  <c r="AJ105" i="4"/>
  <c r="AL105" i="4" s="1"/>
  <c r="AI27" i="4"/>
  <c r="AK27" i="4" s="1"/>
  <c r="AI90" i="4"/>
  <c r="AI98" i="4"/>
  <c r="CK32" i="4"/>
  <c r="BV32" i="4" s="1"/>
  <c r="CN32" i="4"/>
  <c r="BY32" i="4" s="1"/>
  <c r="CP32" i="4"/>
  <c r="CA32" i="4" s="1"/>
  <c r="CQ32" i="4"/>
  <c r="CB32" i="4" s="1"/>
  <c r="CM103" i="4"/>
  <c r="BX103" i="4" s="1"/>
  <c r="CI110" i="4"/>
  <c r="BT110" i="4" s="1"/>
  <c r="CS32" i="4"/>
  <c r="CD32" i="4" s="1"/>
  <c r="CO103" i="4"/>
  <c r="BZ103" i="4" s="1"/>
  <c r="CK110" i="4"/>
  <c r="BV110" i="4" s="1"/>
  <c r="CM110" i="4"/>
  <c r="BX110" i="4" s="1"/>
  <c r="CO110" i="4"/>
  <c r="BZ110" i="4" s="1"/>
  <c r="CP110" i="4"/>
  <c r="CA110" i="4" s="1"/>
  <c r="CR110" i="4"/>
  <c r="CC110" i="4" s="1"/>
  <c r="CL32" i="4"/>
  <c r="BW32" i="4" s="1"/>
  <c r="CT110" i="4"/>
  <c r="CE110" i="4" s="1"/>
  <c r="CM32" i="4"/>
  <c r="BX32" i="4" s="1"/>
  <c r="CI103" i="4"/>
  <c r="BT103" i="4" s="1"/>
  <c r="DH7" i="4"/>
  <c r="CT7" i="4" s="1"/>
  <c r="CE7" i="4" s="1"/>
  <c r="DA89" i="4"/>
  <c r="CM89" i="4" s="1"/>
  <c r="BX89" i="4" s="1"/>
  <c r="CW92" i="4"/>
  <c r="CI92" i="4" s="1"/>
  <c r="BT92" i="4" s="1"/>
  <c r="DA97" i="4"/>
  <c r="CM97" i="4" s="1"/>
  <c r="BX97" i="4" s="1"/>
  <c r="CW104" i="4"/>
  <c r="CI104" i="4" s="1"/>
  <c r="BT104" i="4" s="1"/>
  <c r="DE106" i="4"/>
  <c r="CQ106" i="4" s="1"/>
  <c r="CB106" i="4" s="1"/>
  <c r="CY12" i="4"/>
  <c r="CK12" i="4" s="1"/>
  <c r="BV12" i="4" s="1"/>
  <c r="CY16" i="4"/>
  <c r="CK16" i="4" s="1"/>
  <c r="BV16" i="4" s="1"/>
  <c r="DG26" i="4"/>
  <c r="CS26" i="4" s="1"/>
  <c r="CD26" i="4" s="1"/>
  <c r="CY28" i="4"/>
  <c r="CK28" i="4" s="1"/>
  <c r="BV28" i="4" s="1"/>
  <c r="DC33" i="4"/>
  <c r="CO33" i="4" s="1"/>
  <c r="BZ33" i="4" s="1"/>
  <c r="CK36" i="4"/>
  <c r="BV36" i="4" s="1"/>
  <c r="CY40" i="4"/>
  <c r="CK40" i="4" s="1"/>
  <c r="BV40" i="4" s="1"/>
  <c r="DC45" i="4"/>
  <c r="CO45" i="4" s="1"/>
  <c r="BZ45" i="4" s="1"/>
  <c r="CY56" i="4"/>
  <c r="CK56" i="4" s="1"/>
  <c r="BV56" i="4" s="1"/>
  <c r="CY60" i="4"/>
  <c r="CK60" i="4" s="1"/>
  <c r="BV60" i="4" s="1"/>
  <c r="DG62" i="4"/>
  <c r="DG66" i="4"/>
  <c r="CS66" i="4" s="1"/>
  <c r="CD66" i="4" s="1"/>
  <c r="DG70" i="4"/>
  <c r="CS70" i="4" s="1"/>
  <c r="CD70" i="4" s="1"/>
  <c r="CY72" i="4"/>
  <c r="CK72" i="4" s="1"/>
  <c r="BV72" i="4" s="1"/>
  <c r="DG78" i="4"/>
  <c r="CS78" i="4" s="1"/>
  <c r="CD78" i="4" s="1"/>
  <c r="CY80" i="4"/>
  <c r="CK80" i="4" s="1"/>
  <c r="BV80" i="4" s="1"/>
  <c r="CY84" i="4"/>
  <c r="CK84" i="4" s="1"/>
  <c r="BV84" i="4" s="1"/>
  <c r="DC89" i="4"/>
  <c r="CO89" i="4" s="1"/>
  <c r="BZ89" i="4" s="1"/>
  <c r="CY92" i="4"/>
  <c r="CK92" i="4" s="1"/>
  <c r="BV92" i="4" s="1"/>
  <c r="DC97" i="4"/>
  <c r="CO97" i="4" s="1"/>
  <c r="BZ97" i="4" s="1"/>
  <c r="CY104" i="4"/>
  <c r="CK104" i="4" s="1"/>
  <c r="BV104" i="4" s="1"/>
  <c r="DG106" i="4"/>
  <c r="CS106" i="4" s="1"/>
  <c r="CD106" i="4" s="1"/>
  <c r="CL36" i="4"/>
  <c r="BW36" i="4" s="1"/>
  <c r="CZ92" i="4"/>
  <c r="CL93" i="4" s="1"/>
  <c r="BW93" i="4" s="1"/>
  <c r="CN36" i="4"/>
  <c r="BY36" i="4" s="1"/>
  <c r="DB84" i="4"/>
  <c r="CN84" i="4" s="1"/>
  <c r="BY84" i="4" s="1"/>
  <c r="DF89" i="4"/>
  <c r="CR89" i="4" s="1"/>
  <c r="CC89" i="4" s="1"/>
  <c r="DB92" i="4"/>
  <c r="CN92" i="4" s="1"/>
  <c r="BY92" i="4" s="1"/>
  <c r="CX95" i="4"/>
  <c r="CJ96" i="4" s="1"/>
  <c r="BU96" i="4" s="1"/>
  <c r="DF97" i="4"/>
  <c r="CR97" i="4" s="1"/>
  <c r="CC97" i="4" s="1"/>
  <c r="DB104" i="4"/>
  <c r="CN104" i="4" s="1"/>
  <c r="BY104" i="4" s="1"/>
  <c r="CO36" i="4"/>
  <c r="BZ36" i="4" s="1"/>
  <c r="CP36" i="4"/>
  <c r="CA36" i="4" s="1"/>
  <c r="DA7" i="4"/>
  <c r="CM7" i="4" s="1"/>
  <c r="BX7" i="4" s="1"/>
  <c r="DE12" i="4"/>
  <c r="CQ12" i="4" s="1"/>
  <c r="CB12" i="4" s="1"/>
  <c r="DE16" i="4"/>
  <c r="CQ16" i="4" s="1"/>
  <c r="CB16" i="4" s="1"/>
  <c r="DA19" i="4"/>
  <c r="CM19" i="4" s="1"/>
  <c r="BX19" i="4" s="1"/>
  <c r="DA23" i="4"/>
  <c r="CM23" i="4" s="1"/>
  <c r="BX23" i="4" s="1"/>
  <c r="DE28" i="4"/>
  <c r="CQ28" i="4" s="1"/>
  <c r="CB28" i="4" s="1"/>
  <c r="CQ36" i="4"/>
  <c r="CB36" i="4" s="1"/>
  <c r="DE40" i="4"/>
  <c r="CQ40" i="4" s="1"/>
  <c r="CB40" i="4" s="1"/>
  <c r="DA47" i="4"/>
  <c r="CM52" i="4" s="1"/>
  <c r="BX52" i="4" s="1"/>
  <c r="DE56" i="4"/>
  <c r="CQ56" i="4" s="1"/>
  <c r="CB56" i="4" s="1"/>
  <c r="DE60" i="4"/>
  <c r="CQ60" i="4" s="1"/>
  <c r="CB60" i="4" s="1"/>
  <c r="DE72" i="4"/>
  <c r="CQ72" i="4" s="1"/>
  <c r="CB72" i="4" s="1"/>
  <c r="DA75" i="4"/>
  <c r="CM75" i="4" s="1"/>
  <c r="BX75" i="4" s="1"/>
  <c r="DE80" i="4"/>
  <c r="CQ80" i="4" s="1"/>
  <c r="CB80" i="4" s="1"/>
  <c r="DE84" i="4"/>
  <c r="CQ84" i="4" s="1"/>
  <c r="CB84" i="4" s="1"/>
  <c r="DE92" i="4"/>
  <c r="CQ92" i="4" s="1"/>
  <c r="CB92" i="4" s="1"/>
  <c r="DA95" i="4"/>
  <c r="DE104" i="4"/>
  <c r="CQ104" i="4" s="1"/>
  <c r="CB104" i="4" s="1"/>
  <c r="CW106" i="4"/>
  <c r="CI106" i="4" s="1"/>
  <c r="BT106" i="4" s="1"/>
  <c r="CR36" i="4"/>
  <c r="CC36" i="4" s="1"/>
  <c r="DF80" i="4"/>
  <c r="CR80" i="4" s="1"/>
  <c r="CC80" i="4" s="1"/>
  <c r="DF84" i="4"/>
  <c r="CR84" i="4" s="1"/>
  <c r="CC84" i="4" s="1"/>
  <c r="DF92" i="4"/>
  <c r="CR92" i="4" s="1"/>
  <c r="CC92" i="4" s="1"/>
  <c r="CX106" i="4"/>
  <c r="CJ106" i="4" s="1"/>
  <c r="BU106" i="4" s="1"/>
  <c r="CS36" i="4"/>
  <c r="CD36" i="4" s="1"/>
  <c r="DE7" i="4"/>
  <c r="CQ7" i="4" s="1"/>
  <c r="CB7" i="4" s="1"/>
  <c r="DE19" i="4"/>
  <c r="CQ19" i="4" s="1"/>
  <c r="CB19" i="4" s="1"/>
  <c r="DE23" i="4"/>
  <c r="CQ23" i="4" s="1"/>
  <c r="CB23" i="4" s="1"/>
  <c r="DF23" i="4"/>
  <c r="CR23" i="4" s="1"/>
  <c r="CC23" i="4" s="1"/>
  <c r="CX33" i="4"/>
  <c r="CJ33" i="4" s="1"/>
  <c r="BU33" i="4" s="1"/>
  <c r="CX97" i="4"/>
  <c r="CJ97" i="4" s="1"/>
  <c r="BU97" i="4" s="1"/>
  <c r="DH19" i="4"/>
  <c r="CT19" i="4" s="1"/>
  <c r="CE19" i="4" s="1"/>
  <c r="DH23" i="4"/>
  <c r="CT23" i="4" s="1"/>
  <c r="CE23" i="4" s="1"/>
  <c r="DD26" i="4"/>
  <c r="CP26" i="4" s="1"/>
  <c r="CA26" i="4" s="1"/>
  <c r="CZ12" i="4"/>
  <c r="CL12" i="4" s="1"/>
  <c r="BW12" i="4" s="1"/>
  <c r="CZ16" i="4"/>
  <c r="CL16" i="4" s="1"/>
  <c r="BW16" i="4" s="1"/>
  <c r="DH26" i="4"/>
  <c r="CT26" i="4" s="1"/>
  <c r="CE26" i="4" s="1"/>
  <c r="DD33" i="4"/>
  <c r="CP33" i="4" s="1"/>
  <c r="CA33" i="4" s="1"/>
  <c r="CZ40" i="4"/>
  <c r="CL40" i="4" s="1"/>
  <c r="BW40" i="4" s="1"/>
  <c r="DD45" i="4"/>
  <c r="CP45" i="4" s="1"/>
  <c r="CA45" i="4" s="1"/>
  <c r="CZ56" i="4"/>
  <c r="CL56" i="4" s="1"/>
  <c r="BW56" i="4" s="1"/>
  <c r="CZ60" i="4"/>
  <c r="CL60" i="4" s="1"/>
  <c r="BW60" i="4" s="1"/>
  <c r="DH62" i="4"/>
  <c r="DH66" i="4"/>
  <c r="CT66" i="4" s="1"/>
  <c r="CE66" i="4" s="1"/>
  <c r="DH70" i="4"/>
  <c r="CT70" i="4" s="1"/>
  <c r="CE70" i="4" s="1"/>
  <c r="CZ72" i="4"/>
  <c r="CL72" i="4" s="1"/>
  <c r="BW72" i="4" s="1"/>
  <c r="DH78" i="4"/>
  <c r="CT78" i="4" s="1"/>
  <c r="CE78" i="4" s="1"/>
  <c r="CZ80" i="4"/>
  <c r="CL80" i="4" s="1"/>
  <c r="BW80" i="4" s="1"/>
  <c r="CW7" i="4"/>
  <c r="CI7" i="4" s="1"/>
  <c r="BT7" i="4" s="1"/>
  <c r="DA12" i="4"/>
  <c r="CM12" i="4" s="1"/>
  <c r="BX12" i="4" s="1"/>
  <c r="DA16" i="4"/>
  <c r="CM16" i="4" s="1"/>
  <c r="BX16" i="4" s="1"/>
  <c r="CW19" i="4"/>
  <c r="CI19" i="4" s="1"/>
  <c r="BT19" i="4" s="1"/>
  <c r="CW23" i="4"/>
  <c r="CI23" i="4" s="1"/>
  <c r="BT23" i="4" s="1"/>
  <c r="CW27" i="4"/>
  <c r="DA28" i="4"/>
  <c r="CM28" i="4" s="1"/>
  <c r="BX28" i="4" s="1"/>
  <c r="DE33" i="4"/>
  <c r="CQ33" i="4" s="1"/>
  <c r="CB33" i="4" s="1"/>
  <c r="CW35" i="4"/>
  <c r="CW39" i="4"/>
  <c r="DA40" i="4"/>
  <c r="CM40" i="4" s="1"/>
  <c r="BX40" i="4" s="1"/>
  <c r="CW43" i="4"/>
  <c r="CI43" i="4" s="1"/>
  <c r="BT43" i="4" s="1"/>
  <c r="AV43" i="4" s="1"/>
  <c r="CW47" i="4"/>
  <c r="CI48" i="4" s="1"/>
  <c r="BT48" i="4" s="1"/>
  <c r="CW51" i="4"/>
  <c r="CW55" i="4"/>
  <c r="DA56" i="4"/>
  <c r="CM56" i="4" s="1"/>
  <c r="BX56" i="4" s="1"/>
  <c r="CW59" i="4"/>
  <c r="CI59" i="4" s="1"/>
  <c r="BT59" i="4" s="1"/>
  <c r="CW63" i="4"/>
  <c r="CW67" i="4"/>
  <c r="CW71" i="4"/>
  <c r="DA72" i="4"/>
  <c r="CM72" i="4" s="1"/>
  <c r="BX72" i="4" s="1"/>
  <c r="CW75" i="4"/>
  <c r="CI75" i="4" s="1"/>
  <c r="BT75" i="4" s="1"/>
  <c r="CW79" i="4"/>
  <c r="DA80" i="4"/>
  <c r="CM80" i="4" s="1"/>
  <c r="BX80" i="4" s="1"/>
  <c r="CX7" i="4"/>
  <c r="CJ7" i="4" s="1"/>
  <c r="BU7" i="4" s="1"/>
  <c r="DB12" i="4"/>
  <c r="CN12" i="4" s="1"/>
  <c r="BY12" i="4" s="1"/>
  <c r="DB16" i="4"/>
  <c r="CN16" i="4" s="1"/>
  <c r="BY16" i="4" s="1"/>
  <c r="CX19" i="4"/>
  <c r="CJ19" i="4" s="1"/>
  <c r="BU19" i="4" s="1"/>
  <c r="CX23" i="4"/>
  <c r="CJ23" i="4" s="1"/>
  <c r="BU23" i="4" s="1"/>
  <c r="DB28" i="4"/>
  <c r="CN28" i="4" s="1"/>
  <c r="BY28" i="4" s="1"/>
  <c r="DF33" i="4"/>
  <c r="CR33" i="4" s="1"/>
  <c r="CC33" i="4" s="1"/>
  <c r="DB40" i="4"/>
  <c r="CN40" i="4" s="1"/>
  <c r="BY40" i="4" s="1"/>
  <c r="DF45" i="4"/>
  <c r="CR45" i="4" s="1"/>
  <c r="CC45" i="4" s="1"/>
  <c r="CX47" i="4"/>
  <c r="CJ47" i="4" s="1"/>
  <c r="BU47" i="4" s="1"/>
  <c r="DB56" i="4"/>
  <c r="CN56" i="4" s="1"/>
  <c r="BY56" i="4" s="1"/>
  <c r="DB60" i="4"/>
  <c r="CN60" i="4" s="1"/>
  <c r="BY60" i="4" s="1"/>
  <c r="DB72" i="4"/>
  <c r="CN72" i="4" s="1"/>
  <c r="BY72" i="4" s="1"/>
  <c r="CX75" i="4"/>
  <c r="CJ75" i="4" s="1"/>
  <c r="BU75" i="4" s="1"/>
  <c r="DB80" i="4"/>
  <c r="CN80" i="4" s="1"/>
  <c r="BY80" i="4" s="1"/>
  <c r="DC16" i="4"/>
  <c r="CO16" i="4" s="1"/>
  <c r="BZ16" i="4" s="1"/>
  <c r="CY19" i="4"/>
  <c r="CK19" i="4" s="1"/>
  <c r="BV19" i="4" s="1"/>
  <c r="CY23" i="4"/>
  <c r="CK23" i="4" s="1"/>
  <c r="BV23" i="4" s="1"/>
  <c r="DC28" i="4"/>
  <c r="CO28" i="4" s="1"/>
  <c r="BZ28" i="4" s="1"/>
  <c r="DG33" i="4"/>
  <c r="CS33" i="4" s="1"/>
  <c r="CD33" i="4" s="1"/>
  <c r="DC40" i="4"/>
  <c r="CO40" i="4" s="1"/>
  <c r="BZ40" i="4" s="1"/>
  <c r="DG45" i="4"/>
  <c r="CS45" i="4" s="1"/>
  <c r="CD45" i="4" s="1"/>
  <c r="CY47" i="4"/>
  <c r="CK52" i="4" s="1"/>
  <c r="BV52" i="4" s="1"/>
  <c r="DC56" i="4"/>
  <c r="CO56" i="4" s="1"/>
  <c r="BZ56" i="4" s="1"/>
  <c r="DC60" i="4"/>
  <c r="CO60" i="4" s="1"/>
  <c r="BZ60" i="4" s="1"/>
  <c r="DC72" i="4"/>
  <c r="CO72" i="4" s="1"/>
  <c r="BZ72" i="4" s="1"/>
  <c r="CY75" i="4"/>
  <c r="CK75" i="4" s="1"/>
  <c r="BV75" i="4" s="1"/>
  <c r="DC80" i="4"/>
  <c r="CO80" i="4" s="1"/>
  <c r="BZ80" i="4" s="1"/>
  <c r="CY95" i="4"/>
  <c r="CK96" i="4" s="1"/>
  <c r="BV96" i="4" s="1"/>
  <c r="DC12" i="4"/>
  <c r="CO12" i="4" s="1"/>
  <c r="BZ12" i="4" s="1"/>
  <c r="CZ7" i="4"/>
  <c r="CL7" i="4" s="1"/>
  <c r="BW7" i="4" s="1"/>
  <c r="DD12" i="4"/>
  <c r="CP12" i="4" s="1"/>
  <c r="CA12" i="4" s="1"/>
  <c r="DD16" i="4"/>
  <c r="CP16" i="4" s="1"/>
  <c r="CA16" i="4" s="1"/>
  <c r="CZ19" i="4"/>
  <c r="CL19" i="4" s="1"/>
  <c r="BW19" i="4" s="1"/>
  <c r="CZ23" i="4"/>
  <c r="CL23" i="4" s="1"/>
  <c r="BW23" i="4" s="1"/>
  <c r="DD28" i="4"/>
  <c r="CP28" i="4" s="1"/>
  <c r="CA28" i="4" s="1"/>
  <c r="DH33" i="4"/>
  <c r="CT33" i="4" s="1"/>
  <c r="CE33" i="4" s="1"/>
  <c r="DD40" i="4"/>
  <c r="CP40" i="4" s="1"/>
  <c r="CA40" i="4" s="1"/>
  <c r="DH45" i="4"/>
  <c r="CT45" i="4" s="1"/>
  <c r="CE45" i="4" s="1"/>
  <c r="CZ47" i="4"/>
  <c r="CL48" i="4" s="1"/>
  <c r="BW48" i="4" s="1"/>
  <c r="DD56" i="4"/>
  <c r="CP56" i="4" s="1"/>
  <c r="CA56" i="4" s="1"/>
  <c r="DD72" i="4"/>
  <c r="CP72" i="4" s="1"/>
  <c r="CA72" i="4" s="1"/>
  <c r="CZ75" i="4"/>
  <c r="CL75" i="4" s="1"/>
  <c r="BW75" i="4" s="1"/>
  <c r="DD80" i="4"/>
  <c r="CP80" i="4" s="1"/>
  <c r="CA80" i="4" s="1"/>
  <c r="CW26" i="4"/>
  <c r="CI26" i="4" s="1"/>
  <c r="BT26" i="4" s="1"/>
  <c r="CW34" i="4"/>
  <c r="CI34" i="4" s="1"/>
  <c r="BT34" i="4" s="1"/>
  <c r="BC34" i="4" s="1"/>
  <c r="CW38" i="4"/>
  <c r="CW42" i="4"/>
  <c r="DE44" i="4"/>
  <c r="DE45" i="4"/>
  <c r="CQ46" i="4" s="1"/>
  <c r="CB46" i="4" s="1"/>
  <c r="CW46" i="4"/>
  <c r="CW50" i="4"/>
  <c r="CW54" i="4"/>
  <c r="CW58" i="4"/>
  <c r="CW62" i="4"/>
  <c r="CW66" i="4"/>
  <c r="CI64" i="4" s="1"/>
  <c r="BT64" i="4" s="1"/>
  <c r="CW70" i="4"/>
  <c r="CI70" i="4" s="1"/>
  <c r="BT70" i="4" s="1"/>
  <c r="CW74" i="4"/>
  <c r="CW78" i="4"/>
  <c r="CI78" i="4" s="1"/>
  <c r="BT78" i="4" s="1"/>
  <c r="CW82" i="4"/>
  <c r="CY7" i="4"/>
  <c r="CK7" i="4" s="1"/>
  <c r="BV7" i="4" s="1"/>
  <c r="DF12" i="4"/>
  <c r="CR12" i="4" s="1"/>
  <c r="CC12" i="4" s="1"/>
  <c r="DF16" i="4"/>
  <c r="CR16" i="4" s="1"/>
  <c r="CC16" i="4" s="1"/>
  <c r="DB19" i="4"/>
  <c r="CN19" i="4" s="1"/>
  <c r="BY19" i="4" s="1"/>
  <c r="DB23" i="4"/>
  <c r="CN23" i="4" s="1"/>
  <c r="BY23" i="4" s="1"/>
  <c r="CX26" i="4"/>
  <c r="CJ26" i="4" s="1"/>
  <c r="BU26" i="4" s="1"/>
  <c r="DF28" i="4"/>
  <c r="CR28" i="4" s="1"/>
  <c r="CC28" i="4" s="1"/>
  <c r="CN35" i="4"/>
  <c r="BY35" i="4" s="1"/>
  <c r="DF40" i="4"/>
  <c r="CR40" i="4" s="1"/>
  <c r="CC40" i="4" s="1"/>
  <c r="CJ42" i="4"/>
  <c r="BU42" i="4" s="1"/>
  <c r="DB47" i="4"/>
  <c r="CN48" i="4" s="1"/>
  <c r="BY48" i="4" s="1"/>
  <c r="DF56" i="4"/>
  <c r="CR56" i="4" s="1"/>
  <c r="CC56" i="4" s="1"/>
  <c r="DF60" i="4"/>
  <c r="CR60" i="4" s="1"/>
  <c r="CC60" i="4" s="1"/>
  <c r="CX62" i="4"/>
  <c r="CX66" i="4"/>
  <c r="CJ64" i="4" s="1"/>
  <c r="BU64" i="4" s="1"/>
  <c r="CX70" i="4"/>
  <c r="CJ70" i="4" s="1"/>
  <c r="BU70" i="4" s="1"/>
  <c r="DF72" i="4"/>
  <c r="CR72" i="4" s="1"/>
  <c r="CC72" i="4" s="1"/>
  <c r="DB75" i="4"/>
  <c r="CN75" i="4" s="1"/>
  <c r="BY75" i="4" s="1"/>
  <c r="CX78" i="4"/>
  <c r="CJ78" i="4" s="1"/>
  <c r="BU78" i="4" s="1"/>
  <c r="DB7" i="4"/>
  <c r="CN7" i="4" s="1"/>
  <c r="BY7" i="4" s="1"/>
  <c r="DC7" i="4"/>
  <c r="CO7" i="4" s="1"/>
  <c r="BZ7" i="4" s="1"/>
  <c r="DG12" i="4"/>
  <c r="CS12" i="4" s="1"/>
  <c r="CD12" i="4" s="1"/>
  <c r="DG16" i="4"/>
  <c r="CS16" i="4" s="1"/>
  <c r="CD16" i="4" s="1"/>
  <c r="DC19" i="4"/>
  <c r="CO19" i="4" s="1"/>
  <c r="BZ19" i="4" s="1"/>
  <c r="DC23" i="4"/>
  <c r="CO23" i="4" s="1"/>
  <c r="BZ23" i="4" s="1"/>
  <c r="CY26" i="4"/>
  <c r="CK26" i="4" s="1"/>
  <c r="BV26" i="4" s="1"/>
  <c r="DG28" i="4"/>
  <c r="CS28" i="4" s="1"/>
  <c r="CD28" i="4" s="1"/>
  <c r="DG40" i="4"/>
  <c r="CS40" i="4" s="1"/>
  <c r="CD40" i="4" s="1"/>
  <c r="DC47" i="4"/>
  <c r="CO48" i="4" s="1"/>
  <c r="BZ48" i="4" s="1"/>
  <c r="DG56" i="4"/>
  <c r="CS56" i="4" s="1"/>
  <c r="CD56" i="4" s="1"/>
  <c r="DG60" i="4"/>
  <c r="CS60" i="4" s="1"/>
  <c r="CD60" i="4" s="1"/>
  <c r="CY62" i="4"/>
  <c r="CY66" i="4"/>
  <c r="CK66" i="4" s="1"/>
  <c r="BV66" i="4" s="1"/>
  <c r="CY70" i="4"/>
  <c r="CK70" i="4" s="1"/>
  <c r="BV70" i="4" s="1"/>
  <c r="DG72" i="4"/>
  <c r="CS72" i="4" s="1"/>
  <c r="CD72" i="4" s="1"/>
  <c r="DC75" i="4"/>
  <c r="CO75" i="4" s="1"/>
  <c r="BZ75" i="4" s="1"/>
  <c r="CY78" i="4"/>
  <c r="CK78" i="4" s="1"/>
  <c r="BV78" i="4" s="1"/>
  <c r="DG80" i="4"/>
  <c r="CS80" i="4" s="1"/>
  <c r="CD80" i="4" s="1"/>
  <c r="DH12" i="4"/>
  <c r="CT12" i="4" s="1"/>
  <c r="CE12" i="4" s="1"/>
  <c r="DD19" i="4"/>
  <c r="CP19" i="4" s="1"/>
  <c r="CA19" i="4" s="1"/>
  <c r="DH28" i="4"/>
  <c r="CT28" i="4" s="1"/>
  <c r="CE28" i="4" s="1"/>
  <c r="DD47" i="4"/>
  <c r="CP50" i="4" s="1"/>
  <c r="CA50" i="4" s="1"/>
  <c r="CZ62" i="4"/>
  <c r="CZ66" i="4"/>
  <c r="CL66" i="4" s="1"/>
  <c r="BW66" i="4" s="1"/>
  <c r="DH80" i="4"/>
  <c r="CT80" i="4" s="1"/>
  <c r="CE80" i="4" s="1"/>
  <c r="CW33" i="4"/>
  <c r="CI33" i="4" s="1"/>
  <c r="BT33" i="4" s="1"/>
  <c r="CW37" i="4"/>
  <c r="CI37" i="4" s="1"/>
  <c r="BT37" i="4" s="1"/>
  <c r="AV37" i="4" s="1"/>
  <c r="CW41" i="4"/>
  <c r="CW45" i="4"/>
  <c r="CI45" i="4" s="1"/>
  <c r="BT45" i="4" s="1"/>
  <c r="CW49" i="4"/>
  <c r="CW53" i="4"/>
  <c r="CW57" i="4"/>
  <c r="CW61" i="4"/>
  <c r="CW65" i="4"/>
  <c r="CW69" i="4"/>
  <c r="CW73" i="4"/>
  <c r="CW77" i="4"/>
  <c r="CW81" i="4"/>
  <c r="DF7" i="4"/>
  <c r="CR7" i="4" s="1"/>
  <c r="CC7" i="4" s="1"/>
  <c r="DF19" i="4"/>
  <c r="CR19" i="4" s="1"/>
  <c r="CC19" i="4" s="1"/>
  <c r="CJ41" i="4"/>
  <c r="BU41" i="4" s="1"/>
  <c r="CX45" i="4"/>
  <c r="CJ45" i="4" s="1"/>
  <c r="BU45" i="4" s="1"/>
  <c r="DF47" i="4"/>
  <c r="CR53" i="4" s="1"/>
  <c r="CC53" i="4" s="1"/>
  <c r="DB62" i="4"/>
  <c r="DB66" i="4"/>
  <c r="CN66" i="4" s="1"/>
  <c r="BY66" i="4" s="1"/>
  <c r="DG19" i="4"/>
  <c r="CS19" i="4" s="1"/>
  <c r="CD19" i="4" s="1"/>
  <c r="CY45" i="4"/>
  <c r="CK45" i="4" s="1"/>
  <c r="BV45" i="4" s="1"/>
  <c r="DG47" i="4"/>
  <c r="CS49" i="4" s="1"/>
  <c r="CD49" i="4" s="1"/>
  <c r="DC62" i="4"/>
  <c r="DC66" i="4"/>
  <c r="CO66" i="4" s="1"/>
  <c r="BZ66" i="4" s="1"/>
  <c r="DG7" i="4"/>
  <c r="CS7" i="4" s="1"/>
  <c r="CD7" i="4" s="1"/>
  <c r="CW12" i="4"/>
  <c r="CI12" i="4" s="1"/>
  <c r="BT12" i="4" s="1"/>
  <c r="CW16" i="4"/>
  <c r="CI16" i="4" s="1"/>
  <c r="BT16" i="4" s="1"/>
  <c r="DE26" i="4"/>
  <c r="CQ26" i="4" s="1"/>
  <c r="CB26" i="4" s="1"/>
  <c r="CW28" i="4"/>
  <c r="CI28" i="4" s="1"/>
  <c r="BT28" i="4" s="1"/>
  <c r="CW32" i="4"/>
  <c r="CI32" i="4" s="1"/>
  <c r="BT32" i="4" s="1"/>
  <c r="DA33" i="4"/>
  <c r="CM33" i="4" s="1"/>
  <c r="BX33" i="4" s="1"/>
  <c r="CW36" i="4"/>
  <c r="CI36" i="4" s="1"/>
  <c r="BT36" i="4" s="1"/>
  <c r="CW40" i="4"/>
  <c r="CI40" i="4" s="1"/>
  <c r="BT40" i="4" s="1"/>
  <c r="CW44" i="4"/>
  <c r="DA45" i="4"/>
  <c r="CM45" i="4" s="1"/>
  <c r="BX45" i="4" s="1"/>
  <c r="CW48" i="4"/>
  <c r="CW52" i="4"/>
  <c r="CW56" i="4"/>
  <c r="CI56" i="4" s="1"/>
  <c r="BT56" i="4" s="1"/>
  <c r="CW60" i="4"/>
  <c r="CI60" i="4" s="1"/>
  <c r="BT60" i="4" s="1"/>
  <c r="DE62" i="4"/>
  <c r="CW64" i="4"/>
  <c r="DE66" i="4"/>
  <c r="CQ66" i="4" s="1"/>
  <c r="CB66" i="4" s="1"/>
  <c r="CW68" i="4"/>
  <c r="DE70" i="4"/>
  <c r="CQ70" i="4" s="1"/>
  <c r="CB70" i="4" s="1"/>
  <c r="CW72" i="4"/>
  <c r="CI72" i="4" s="1"/>
  <c r="BT72" i="4" s="1"/>
  <c r="CW76" i="4"/>
  <c r="DE78" i="4"/>
  <c r="CQ78" i="4" s="1"/>
  <c r="CB78" i="4" s="1"/>
  <c r="CW80" i="4"/>
  <c r="CI80" i="4" s="1"/>
  <c r="BT80" i="4" s="1"/>
  <c r="CZ84" i="4"/>
  <c r="CL84" i="4" s="1"/>
  <c r="BW84" i="4" s="1"/>
  <c r="CT86" i="4"/>
  <c r="CE86" i="4" s="1"/>
  <c r="DD89" i="4"/>
  <c r="CP89" i="4" s="1"/>
  <c r="CA89" i="4" s="1"/>
  <c r="DD97" i="4"/>
  <c r="CP97" i="4" s="1"/>
  <c r="CA97" i="4" s="1"/>
  <c r="DA84" i="4"/>
  <c r="CM84" i="4" s="1"/>
  <c r="BX84" i="4" s="1"/>
  <c r="DE89" i="4"/>
  <c r="CQ89" i="4" s="1"/>
  <c r="CB89" i="4" s="1"/>
  <c r="DA92" i="4"/>
  <c r="CM92" i="4" s="1"/>
  <c r="BX92" i="4" s="1"/>
  <c r="CW95" i="4"/>
  <c r="CI96" i="4" s="1"/>
  <c r="BT96" i="4" s="1"/>
  <c r="DE97" i="4"/>
  <c r="CQ97" i="4" s="1"/>
  <c r="CB97" i="4" s="1"/>
  <c r="DA104" i="4"/>
  <c r="CM104" i="4" s="1"/>
  <c r="BX104" i="4" s="1"/>
  <c r="CJ87" i="4"/>
  <c r="BU87" i="4" s="1"/>
  <c r="CN96" i="4"/>
  <c r="BY96" i="4" s="1"/>
  <c r="CR105" i="4"/>
  <c r="CC105" i="4" s="1"/>
  <c r="DC84" i="4"/>
  <c r="CO84" i="4" s="1"/>
  <c r="BZ84" i="4" s="1"/>
  <c r="DG89" i="4"/>
  <c r="CS89" i="4" s="1"/>
  <c r="CD89" i="4" s="1"/>
  <c r="DC92" i="4"/>
  <c r="CO92" i="4" s="1"/>
  <c r="BZ92" i="4" s="1"/>
  <c r="DG97" i="4"/>
  <c r="CS97" i="4" s="1"/>
  <c r="CD97" i="4" s="1"/>
  <c r="DC104" i="4"/>
  <c r="CO104" i="4" s="1"/>
  <c r="BZ104" i="4" s="1"/>
  <c r="DD84" i="4"/>
  <c r="CP84" i="4" s="1"/>
  <c r="CA84" i="4" s="1"/>
  <c r="CT85" i="4"/>
  <c r="CE85" i="4" s="1"/>
  <c r="DH89" i="4"/>
  <c r="CT89" i="4" s="1"/>
  <c r="CE89" i="4" s="1"/>
  <c r="DD92" i="4"/>
  <c r="CP92" i="4" s="1"/>
  <c r="CA92" i="4" s="1"/>
  <c r="CJ86" i="4"/>
  <c r="BU86" i="4" s="1"/>
  <c r="DG84" i="4"/>
  <c r="CS84" i="4" s="1"/>
  <c r="CD84" i="4" s="1"/>
  <c r="DG92" i="4"/>
  <c r="CS92" i="4" s="1"/>
  <c r="CD92" i="4" s="1"/>
  <c r="DC95" i="4"/>
  <c r="CO96" i="4" s="1"/>
  <c r="BZ96" i="4" s="1"/>
  <c r="DG104" i="4"/>
  <c r="CS104" i="4" s="1"/>
  <c r="CD104" i="4" s="1"/>
  <c r="CY106" i="4"/>
  <c r="CK106" i="4" s="1"/>
  <c r="BV106" i="4" s="1"/>
  <c r="CJ85" i="4"/>
  <c r="BU85" i="4" s="1"/>
  <c r="CY97" i="4"/>
  <c r="CK97" i="4" s="1"/>
  <c r="BV97" i="4" s="1"/>
  <c r="CT87" i="4"/>
  <c r="CE87" i="4" s="1"/>
  <c r="CW84" i="4"/>
  <c r="CI84" i="4" s="1"/>
  <c r="BT84" i="4" s="1"/>
  <c r="CJ108" i="4"/>
  <c r="BU108" i="4" s="1"/>
  <c r="CT42" i="4"/>
  <c r="CE42" i="4" s="1"/>
  <c r="CP65" i="4"/>
  <c r="CA65" i="4" s="1"/>
  <c r="CT74" i="4"/>
  <c r="CE74" i="4" s="1"/>
  <c r="CJ29" i="4"/>
  <c r="BU29" i="4" s="1"/>
  <c r="CQ41" i="4"/>
  <c r="CB41" i="4" s="1"/>
  <c r="CQ49" i="4"/>
  <c r="CB49" i="4" s="1"/>
  <c r="CQ53" i="4"/>
  <c r="CB53" i="4" s="1"/>
  <c r="CM64" i="4"/>
  <c r="BX64" i="4" s="1"/>
  <c r="CM68" i="4"/>
  <c r="BX68" i="4" s="1"/>
  <c r="CM96" i="4"/>
  <c r="BX96" i="4" s="1"/>
  <c r="CM108" i="4"/>
  <c r="BX108" i="4" s="1"/>
  <c r="CI8" i="4"/>
  <c r="BT8" i="4" s="1"/>
  <c r="CM57" i="4"/>
  <c r="BX57" i="4" s="1"/>
  <c r="CN108" i="4"/>
  <c r="BY108" i="4" s="1"/>
  <c r="CI9" i="4"/>
  <c r="BT9" i="4" s="1"/>
  <c r="CI10" i="4"/>
  <c r="BT10" i="4" s="1"/>
  <c r="CT41" i="4"/>
  <c r="CE41" i="4" s="1"/>
  <c r="CP68" i="4"/>
  <c r="CA68" i="4" s="1"/>
  <c r="CL71" i="4"/>
  <c r="BW71" i="4" s="1"/>
  <c r="CT77" i="4"/>
  <c r="CE77" i="4" s="1"/>
  <c r="CT105" i="4"/>
  <c r="CE105" i="4" s="1"/>
  <c r="CL107" i="4"/>
  <c r="BW107" i="4" s="1"/>
  <c r="CI11" i="4"/>
  <c r="BT11" i="4" s="1"/>
  <c r="CQ14" i="4"/>
  <c r="CB14" i="4" s="1"/>
  <c r="CK17" i="4"/>
  <c r="BV17" i="4" s="1"/>
  <c r="CM27" i="4"/>
  <c r="BX27" i="4" s="1"/>
  <c r="CQ48" i="4"/>
  <c r="CB48" i="4" s="1"/>
  <c r="CM51" i="4"/>
  <c r="BX51" i="4" s="1"/>
  <c r="CQ52" i="4"/>
  <c r="CB52" i="4" s="1"/>
  <c r="CM67" i="4"/>
  <c r="BX67" i="4" s="1"/>
  <c r="CQ76" i="4"/>
  <c r="CB76" i="4" s="1"/>
  <c r="CM107" i="4"/>
  <c r="BX107" i="4" s="1"/>
  <c r="CN38" i="4"/>
  <c r="BY38" i="4" s="1"/>
  <c r="CN86" i="4"/>
  <c r="BY86" i="4" s="1"/>
  <c r="CN39" i="4"/>
  <c r="BY39" i="4" s="1"/>
  <c r="CR96" i="4"/>
  <c r="CC96" i="4" s="1"/>
  <c r="CN107" i="4"/>
  <c r="BY107" i="4" s="1"/>
  <c r="CP64" i="4"/>
  <c r="CA64" i="4" s="1"/>
  <c r="CO27" i="4"/>
  <c r="BZ27" i="4" s="1"/>
  <c r="CK38" i="4"/>
  <c r="BV38" i="4" s="1"/>
  <c r="CK42" i="4"/>
  <c r="BV42" i="4" s="1"/>
  <c r="CO91" i="4"/>
  <c r="BZ91" i="4" s="1"/>
  <c r="CP67" i="4"/>
  <c r="CA67" i="4" s="1"/>
  <c r="CT76" i="4"/>
  <c r="CE76" i="4" s="1"/>
  <c r="CL8" i="4"/>
  <c r="BW8" i="4" s="1"/>
  <c r="CQ51" i="4"/>
  <c r="CB51" i="4" s="1"/>
  <c r="CQ55" i="4"/>
  <c r="CB55" i="4" s="1"/>
  <c r="CM8" i="4"/>
  <c r="BX8" i="4" s="1"/>
  <c r="CM11" i="4"/>
  <c r="BX11" i="4" s="1"/>
  <c r="CK41" i="4"/>
  <c r="BV41" i="4" s="1"/>
  <c r="CP25" i="4"/>
  <c r="CA25" i="4" s="1"/>
  <c r="CM49" i="4"/>
  <c r="BX49" i="4" s="1"/>
  <c r="CQ50" i="4"/>
  <c r="CB50" i="4" s="1"/>
  <c r="CQ54" i="4"/>
  <c r="CB54" i="4" s="1"/>
  <c r="CM65" i="4"/>
  <c r="BX65" i="4" s="1"/>
  <c r="CQ77" i="4"/>
  <c r="CB77" i="4" s="1"/>
  <c r="CT31" i="4"/>
  <c r="CE31" i="4" s="1"/>
  <c r="CS103" i="4"/>
  <c r="CD103" i="4" s="1"/>
  <c r="CL79" i="4"/>
  <c r="BW79" i="4" s="1"/>
  <c r="CT36" i="4"/>
  <c r="CE36" i="4" s="1"/>
  <c r="CT84" i="4"/>
  <c r="CE84" i="4" s="1"/>
  <c r="CL108" i="4"/>
  <c r="BW108" i="4" s="1"/>
  <c r="CM63" i="4"/>
  <c r="BX63" i="4" s="1"/>
  <c r="CM95" i="4"/>
  <c r="BX95" i="4" s="1"/>
  <c r="CQ109" i="4"/>
  <c r="CB109" i="4" s="1"/>
  <c r="CN79" i="4"/>
  <c r="BY79" i="4" s="1"/>
  <c r="CN95" i="4"/>
  <c r="BY95" i="4" s="1"/>
  <c r="CP63" i="4"/>
  <c r="CA63" i="4" s="1"/>
  <c r="CP79" i="4"/>
  <c r="CA79" i="4" s="1"/>
  <c r="CQ47" i="4"/>
  <c r="CB47" i="4" s="1"/>
  <c r="CK15" i="4"/>
  <c r="BV15" i="4" s="1"/>
  <c r="CR95" i="4"/>
  <c r="CC95" i="4" s="1"/>
  <c r="AZ59" i="4"/>
  <c r="AX59" i="4"/>
  <c r="AV59" i="4"/>
  <c r="AU59" i="4"/>
  <c r="AT59" i="4"/>
  <c r="BB59" i="4"/>
  <c r="BA59" i="4"/>
  <c r="AY59" i="4"/>
  <c r="AW59" i="4"/>
  <c r="AS59" i="4"/>
  <c r="BC59" i="4"/>
  <c r="AR59" i="4"/>
  <c r="BA88" i="4"/>
  <c r="AY88" i="4"/>
  <c r="AW88" i="4"/>
  <c r="AV88" i="4"/>
  <c r="AU88" i="4"/>
  <c r="AS88" i="4"/>
  <c r="BC88" i="4"/>
  <c r="BB88" i="4"/>
  <c r="AZ88" i="4"/>
  <c r="AX88" i="4"/>
  <c r="AT88" i="4"/>
  <c r="AR88" i="4"/>
  <c r="AU102" i="4"/>
  <c r="AR102" i="4"/>
  <c r="BC102" i="4"/>
  <c r="BB102" i="4"/>
  <c r="BA102" i="4"/>
  <c r="AY102" i="4"/>
  <c r="AV102" i="4"/>
  <c r="AZ102" i="4"/>
  <c r="AX102" i="4"/>
  <c r="AW102" i="4"/>
  <c r="AT102" i="4"/>
  <c r="AS102" i="4"/>
  <c r="AH126" i="4" l="1"/>
  <c r="S153" i="4" s="1"/>
  <c r="W138" i="4"/>
  <c r="AL126" i="4"/>
  <c r="W153" i="4" s="1"/>
  <c r="AS294" i="4"/>
  <c r="AL294" i="4"/>
  <c r="AE310" i="4"/>
  <c r="AI276" i="4"/>
  <c r="AK276" i="4"/>
  <c r="AH316" i="4"/>
  <c r="AE316" i="4"/>
  <c r="AS426" i="4"/>
  <c r="AJ426" i="4"/>
  <c r="AN426" i="4"/>
  <c r="AE386" i="4"/>
  <c r="AA386" i="4"/>
  <c r="AT386" i="4"/>
  <c r="AT276" i="4"/>
  <c r="AN276" i="4"/>
  <c r="I204" i="4"/>
  <c r="D204" i="4" s="1"/>
  <c r="C95" i="8" s="1"/>
  <c r="AO316" i="4"/>
  <c r="AG316" i="4"/>
  <c r="AC426" i="4"/>
  <c r="AR426" i="4"/>
  <c r="AG426" i="4"/>
  <c r="AJ386" i="4"/>
  <c r="AI386" i="4"/>
  <c r="I164" i="4"/>
  <c r="D164" i="4" s="1"/>
  <c r="C55" i="8" s="1"/>
  <c r="AB276" i="4"/>
  <c r="AP276" i="4"/>
  <c r="AE287" i="4"/>
  <c r="AD316" i="4"/>
  <c r="AN316" i="4"/>
  <c r="AJ316" i="4"/>
  <c r="AH426" i="4"/>
  <c r="AD426" i="4"/>
  <c r="U426" i="4" s="1"/>
  <c r="T95" i="9" s="1"/>
  <c r="AO426" i="4"/>
  <c r="AF386" i="4"/>
  <c r="AQ386" i="4"/>
  <c r="AK426" i="4"/>
  <c r="AL426" i="4"/>
  <c r="AN386" i="4"/>
  <c r="AC386" i="4"/>
  <c r="AK316" i="4"/>
  <c r="AQ316" i="4"/>
  <c r="AM276" i="4"/>
  <c r="AG276" i="4"/>
  <c r="AS276" i="4"/>
  <c r="AR247" i="4"/>
  <c r="AP316" i="4"/>
  <c r="AT316" i="4"/>
  <c r="AB316" i="4"/>
  <c r="G316" i="4" s="1"/>
  <c r="J95" i="8" s="1"/>
  <c r="AH122" i="4"/>
  <c r="AA426" i="4"/>
  <c r="AT426" i="4"/>
  <c r="AG386" i="4"/>
  <c r="AK386" i="4"/>
  <c r="AM316" i="4"/>
  <c r="AQ276" i="4"/>
  <c r="AL276" i="4"/>
  <c r="AF276" i="4"/>
  <c r="AH319" i="4"/>
  <c r="AO247" i="4"/>
  <c r="AS310" i="4"/>
  <c r="AL316" i="4"/>
  <c r="AA316" i="4"/>
  <c r="AR316" i="4"/>
  <c r="AG357" i="4"/>
  <c r="AI426" i="4"/>
  <c r="AM386" i="4"/>
  <c r="AO386" i="4"/>
  <c r="AZ34" i="4"/>
  <c r="CK94" i="4"/>
  <c r="BV94" i="4" s="1"/>
  <c r="CT11" i="4"/>
  <c r="CE11" i="4" s="1"/>
  <c r="CR91" i="4"/>
  <c r="CC91" i="4" s="1"/>
  <c r="CT57" i="4"/>
  <c r="CE57" i="4" s="1"/>
  <c r="CT58" i="4"/>
  <c r="CE58" i="4" s="1"/>
  <c r="CL31" i="4"/>
  <c r="BW31" i="4" s="1"/>
  <c r="CQ15" i="4"/>
  <c r="CB15" i="4" s="1"/>
  <c r="CP8" i="4"/>
  <c r="CA8" i="4" s="1"/>
  <c r="CM71" i="4"/>
  <c r="BX71" i="4" s="1"/>
  <c r="CT108" i="4"/>
  <c r="CE108" i="4" s="1"/>
  <c r="CL30" i="4"/>
  <c r="BW30" i="4" s="1"/>
  <c r="CO71" i="4"/>
  <c r="BZ71" i="4" s="1"/>
  <c r="CP11" i="4"/>
  <c r="CA11" i="4" s="1"/>
  <c r="CT9" i="4"/>
  <c r="CE9" i="4" s="1"/>
  <c r="CQ105" i="4"/>
  <c r="CB105" i="4" s="1"/>
  <c r="CL29" i="4"/>
  <c r="BW29" i="4" s="1"/>
  <c r="CM69" i="4"/>
  <c r="BX69" i="4" s="1"/>
  <c r="CK93" i="4"/>
  <c r="BV93" i="4" s="1"/>
  <c r="CT101" i="4"/>
  <c r="CE101" i="4" s="1"/>
  <c r="CP10" i="4"/>
  <c r="CA10" i="4" s="1"/>
  <c r="CT8" i="4"/>
  <c r="CE8" i="4" s="1"/>
  <c r="CT99" i="4"/>
  <c r="CE99" i="4" s="1"/>
  <c r="CI91" i="4"/>
  <c r="BT91" i="4" s="1"/>
  <c r="CT98" i="4"/>
  <c r="CE98" i="4" s="1"/>
  <c r="CS27" i="4"/>
  <c r="CD27" i="4" s="1"/>
  <c r="CQ96" i="4"/>
  <c r="CB96" i="4" s="1"/>
  <c r="CT100" i="4"/>
  <c r="CE100" i="4" s="1"/>
  <c r="CP9" i="4"/>
  <c r="CA9" i="4" s="1"/>
  <c r="CT10" i="4"/>
  <c r="CE10" i="4" s="1"/>
  <c r="CI90" i="4"/>
  <c r="BT90" i="4" s="1"/>
  <c r="CN90" i="4"/>
  <c r="BY90" i="4" s="1"/>
  <c r="CN91" i="4"/>
  <c r="BY91" i="4" s="1"/>
  <c r="CN46" i="4"/>
  <c r="BY46" i="4" s="1"/>
  <c r="CO74" i="4"/>
  <c r="BZ74" i="4" s="1"/>
  <c r="CJ54" i="4"/>
  <c r="BU54" i="4" s="1"/>
  <c r="CO25" i="4"/>
  <c r="BZ25" i="4" s="1"/>
  <c r="CQ13" i="4"/>
  <c r="CB13" i="4" s="1"/>
  <c r="AT301" i="4"/>
  <c r="AO301" i="4"/>
  <c r="AF301" i="4"/>
  <c r="AM407" i="4"/>
  <c r="AK376" i="4"/>
  <c r="AM418" i="4"/>
  <c r="AR374" i="4"/>
  <c r="AH411" i="4"/>
  <c r="AH301" i="4"/>
  <c r="AR301" i="4"/>
  <c r="AI301" i="4"/>
  <c r="AR297" i="4"/>
  <c r="AM297" i="4"/>
  <c r="AL297" i="4"/>
  <c r="AO304" i="4"/>
  <c r="AN304" i="4"/>
  <c r="AR264" i="4"/>
  <c r="AK264" i="4"/>
  <c r="AE311" i="4"/>
  <c r="I214" i="4"/>
  <c r="D214" i="4" s="1"/>
  <c r="C105" i="8" s="1"/>
  <c r="AP308" i="4"/>
  <c r="AK308" i="4"/>
  <c r="AM308" i="4"/>
  <c r="AM293" i="4"/>
  <c r="AA293" i="4"/>
  <c r="AN261" i="4"/>
  <c r="AL261" i="4"/>
  <c r="AC407" i="4"/>
  <c r="AF407" i="4"/>
  <c r="AQ407" i="4"/>
  <c r="AK403" i="4"/>
  <c r="AN403" i="4"/>
  <c r="AD371" i="4"/>
  <c r="AO371" i="4"/>
  <c r="AP418" i="4"/>
  <c r="AB418" i="4"/>
  <c r="AF418" i="4"/>
  <c r="AS414" i="4"/>
  <c r="AL414" i="4"/>
  <c r="AH374" i="4"/>
  <c r="AC374" i="4"/>
  <c r="AL411" i="4"/>
  <c r="AP411" i="4"/>
  <c r="AK411" i="4"/>
  <c r="AS266" i="4"/>
  <c r="AR407" i="4"/>
  <c r="AI407" i="4"/>
  <c r="AQ418" i="4"/>
  <c r="AO374" i="4"/>
  <c r="AM374" i="4"/>
  <c r="AG411" i="4"/>
  <c r="AC411" i="4"/>
  <c r="AB301" i="4"/>
  <c r="AD301" i="4"/>
  <c r="AN301" i="4"/>
  <c r="AS297" i="4"/>
  <c r="AP297" i="4"/>
  <c r="AN297" i="4"/>
  <c r="AL304" i="4"/>
  <c r="AP304" i="4"/>
  <c r="AT264" i="4"/>
  <c r="AN264" i="4"/>
  <c r="AT311" i="4"/>
  <c r="AT308" i="4"/>
  <c r="AO308" i="4"/>
  <c r="AB308" i="4"/>
  <c r="AE293" i="4"/>
  <c r="AQ293" i="4"/>
  <c r="I149" i="4"/>
  <c r="D149" i="4" s="1"/>
  <c r="C40" i="8" s="1"/>
  <c r="AS261" i="4"/>
  <c r="AO261" i="4"/>
  <c r="AE421" i="4"/>
  <c r="AK407" i="4"/>
  <c r="AN407" i="4"/>
  <c r="AS403" i="4"/>
  <c r="AG403" i="4"/>
  <c r="AL371" i="4"/>
  <c r="AH371" i="4"/>
  <c r="AS418" i="4"/>
  <c r="AJ418" i="4"/>
  <c r="AN418" i="4"/>
  <c r="AA414" i="4"/>
  <c r="AT414" i="4"/>
  <c r="AP374" i="4"/>
  <c r="AK374" i="4"/>
  <c r="AO411" i="4"/>
  <c r="AA411" i="4"/>
  <c r="AS411" i="4"/>
  <c r="AE301" i="4"/>
  <c r="I185" i="4"/>
  <c r="D185" i="4" s="1"/>
  <c r="C76" i="8" s="1"/>
  <c r="AB297" i="4"/>
  <c r="AI264" i="4"/>
  <c r="AO407" i="4"/>
  <c r="AH418" i="4"/>
  <c r="AO418" i="4"/>
  <c r="I153" i="4"/>
  <c r="D153" i="4" s="1"/>
  <c r="AA265" i="4" s="1"/>
  <c r="AJ301" i="4"/>
  <c r="AQ301" i="4"/>
  <c r="AG297" i="4"/>
  <c r="AD297" i="4"/>
  <c r="AD266" i="4"/>
  <c r="AH304" i="4"/>
  <c r="AT304" i="4"/>
  <c r="AJ304" i="4"/>
  <c r="AE264" i="4"/>
  <c r="AL264" i="4"/>
  <c r="AS264" i="4"/>
  <c r="AI308" i="4"/>
  <c r="AF308" i="4"/>
  <c r="AB293" i="4"/>
  <c r="AG293" i="4"/>
  <c r="AF293" i="4"/>
  <c r="AK261" i="4"/>
  <c r="AH261" i="4"/>
  <c r="AD261" i="4"/>
  <c r="AL407" i="4"/>
  <c r="AH407" i="4"/>
  <c r="AT376" i="4"/>
  <c r="AB403" i="4"/>
  <c r="W403" i="4" s="1"/>
  <c r="V72" i="9" s="1"/>
  <c r="AT403" i="4"/>
  <c r="AP403" i="4"/>
  <c r="AR371" i="4"/>
  <c r="AM371" i="4"/>
  <c r="AI371" i="4"/>
  <c r="AK418" i="4"/>
  <c r="AL418" i="4"/>
  <c r="AC414" i="4"/>
  <c r="AB414" i="4"/>
  <c r="AF414" i="4"/>
  <c r="AF374" i="4"/>
  <c r="AQ374" i="4"/>
  <c r="AL374" i="4"/>
  <c r="AM411" i="4"/>
  <c r="AB411" i="4"/>
  <c r="AA301" i="4"/>
  <c r="AQ297" i="4"/>
  <c r="AA264" i="4"/>
  <c r="AC264" i="4"/>
  <c r="AA311" i="4"/>
  <c r="AA308" i="4"/>
  <c r="AC308" i="4"/>
  <c r="AD407" i="4"/>
  <c r="AD418" i="4"/>
  <c r="AI374" i="4"/>
  <c r="AE411" i="4"/>
  <c r="AP301" i="4"/>
  <c r="AC301" i="4"/>
  <c r="AK297" i="4"/>
  <c r="AT297" i="4"/>
  <c r="AO266" i="4"/>
  <c r="AK304" i="4"/>
  <c r="AA304" i="4"/>
  <c r="AM304" i="4"/>
  <c r="AG264" i="4"/>
  <c r="AO264" i="4"/>
  <c r="AF264" i="4"/>
  <c r="AH308" i="4"/>
  <c r="AE308" i="4"/>
  <c r="AH293" i="4"/>
  <c r="AK293" i="4"/>
  <c r="AI293" i="4"/>
  <c r="AP261" i="4"/>
  <c r="AJ261" i="4"/>
  <c r="AT261" i="4"/>
  <c r="AB407" i="4"/>
  <c r="AT407" i="4"/>
  <c r="AP407" i="4"/>
  <c r="AF376" i="4"/>
  <c r="AJ403" i="4"/>
  <c r="AE403" i="4"/>
  <c r="AA403" i="4"/>
  <c r="AC371" i="4"/>
  <c r="AF371" i="4"/>
  <c r="AQ371" i="4"/>
  <c r="AA418" i="4"/>
  <c r="AT418" i="4"/>
  <c r="AH414" i="4"/>
  <c r="AJ414" i="4"/>
  <c r="AN414" i="4"/>
  <c r="AN374" i="4"/>
  <c r="AB374" i="4"/>
  <c r="AT374" i="4"/>
  <c r="I189" i="4"/>
  <c r="D189" i="4" s="1"/>
  <c r="C80" i="8" s="1"/>
  <c r="AF411" i="4"/>
  <c r="AJ411" i="4"/>
  <c r="AQ411" i="4"/>
  <c r="AL301" i="4"/>
  <c r="AK301" i="4"/>
  <c r="AS301" i="4"/>
  <c r="AE297" i="4"/>
  <c r="AC297" i="4"/>
  <c r="AF297" i="4"/>
  <c r="AC266" i="4"/>
  <c r="AQ304" i="4"/>
  <c r="AD304" i="4"/>
  <c r="AB304" i="4"/>
  <c r="AJ264" i="4"/>
  <c r="AQ264" i="4"/>
  <c r="AH264" i="4"/>
  <c r="P264" i="4" s="1"/>
  <c r="S43" i="8" s="1"/>
  <c r="I196" i="4"/>
  <c r="D196" i="4" s="1"/>
  <c r="C87" i="8" s="1"/>
  <c r="AN308" i="4"/>
  <c r="AG308" i="4"/>
  <c r="AO293" i="4"/>
  <c r="AP293" i="4"/>
  <c r="AL293" i="4"/>
  <c r="AQ261" i="4"/>
  <c r="AM261" i="4"/>
  <c r="AJ407" i="4"/>
  <c r="AE407" i="4"/>
  <c r="AC376" i="4"/>
  <c r="AR403" i="4"/>
  <c r="AM403" i="4"/>
  <c r="AK371" i="4"/>
  <c r="AI418" i="4"/>
  <c r="AK414" i="4"/>
  <c r="AR414" i="4"/>
  <c r="AG374" i="4"/>
  <c r="AJ374" i="4"/>
  <c r="AD411" i="4"/>
  <c r="AN411" i="4"/>
  <c r="AJ290" i="4"/>
  <c r="AT320" i="4"/>
  <c r="CP96" i="4"/>
  <c r="CA96" i="4" s="1"/>
  <c r="AV96" i="4" s="1"/>
  <c r="AK126" i="4"/>
  <c r="V153" i="4" s="1"/>
  <c r="AB126" i="4"/>
  <c r="W151" i="4" s="1"/>
  <c r="U138" i="4"/>
  <c r="N465" i="4"/>
  <c r="M21" i="7" s="1"/>
  <c r="AD290" i="4"/>
  <c r="AE288" i="4"/>
  <c r="AI437" i="4"/>
  <c r="AJ320" i="4"/>
  <c r="AQ326" i="4"/>
  <c r="AF291" i="4"/>
  <c r="AF401" i="4"/>
  <c r="AG326" i="4"/>
  <c r="AA400" i="4"/>
  <c r="AE326" i="4"/>
  <c r="AS400" i="4"/>
  <c r="AQ290" i="4"/>
  <c r="AL430" i="4"/>
  <c r="AK290" i="4"/>
  <c r="AT290" i="4"/>
  <c r="AF327" i="4"/>
  <c r="AI291" i="4"/>
  <c r="AF437" i="4"/>
  <c r="AM401" i="4"/>
  <c r="AS430" i="4"/>
  <c r="AQ437" i="4"/>
  <c r="AI401" i="4"/>
  <c r="AD437" i="4"/>
  <c r="AQ401" i="4"/>
  <c r="AB127" i="4"/>
  <c r="AH327" i="4"/>
  <c r="AL437" i="4"/>
  <c r="AN282" i="4"/>
  <c r="AD320" i="4"/>
  <c r="AH288" i="4"/>
  <c r="AP327" i="4"/>
  <c r="AP291" i="4"/>
  <c r="AJ327" i="4"/>
  <c r="AK291" i="4"/>
  <c r="AR401" i="4"/>
  <c r="AN392" i="4"/>
  <c r="AH398" i="4"/>
  <c r="AO327" i="4"/>
  <c r="AH291" i="4"/>
  <c r="AM437" i="4"/>
  <c r="AC401" i="4"/>
  <c r="AP419" i="4"/>
  <c r="AC398" i="4"/>
  <c r="AD233" i="4"/>
  <c r="AT305" i="4"/>
  <c r="I208" i="4"/>
  <c r="D208" i="4" s="1"/>
  <c r="C99" i="8" s="1"/>
  <c r="AP320" i="4"/>
  <c r="AG320" i="4"/>
  <c r="AD288" i="4"/>
  <c r="AS288" i="4"/>
  <c r="AR319" i="4"/>
  <c r="AK319" i="4"/>
  <c r="AP287" i="4"/>
  <c r="AR287" i="4"/>
  <c r="AP247" i="4"/>
  <c r="AL247" i="4"/>
  <c r="AQ247" i="4"/>
  <c r="AE429" i="4"/>
  <c r="AQ429" i="4"/>
  <c r="AK397" i="4"/>
  <c r="AN397" i="4"/>
  <c r="AN357" i="4"/>
  <c r="AB357" i="4"/>
  <c r="AT357" i="4"/>
  <c r="AP430" i="4"/>
  <c r="AD430" i="4"/>
  <c r="AO430" i="4"/>
  <c r="AO398" i="4"/>
  <c r="AR398" i="4"/>
  <c r="AM398" i="4"/>
  <c r="AD415" i="4"/>
  <c r="AE343" i="4"/>
  <c r="I176" i="4"/>
  <c r="D176" i="4" s="1"/>
  <c r="C67" i="8" s="1"/>
  <c r="AJ288" i="4"/>
  <c r="AO319" i="4"/>
  <c r="AD319" i="4"/>
  <c r="AA319" i="4"/>
  <c r="I175" i="4"/>
  <c r="D175" i="4" s="1"/>
  <c r="C66" i="8" s="1"/>
  <c r="AJ287" i="4"/>
  <c r="AN287" i="4"/>
  <c r="AF247" i="4"/>
  <c r="AS247" i="4"/>
  <c r="AF429" i="4"/>
  <c r="AJ429" i="4"/>
  <c r="AD397" i="4"/>
  <c r="AO397" i="4"/>
  <c r="AO357" i="4"/>
  <c r="AR357" i="4"/>
  <c r="AA430" i="4"/>
  <c r="AT430" i="4"/>
  <c r="AP398" i="4"/>
  <c r="AK398" i="4"/>
  <c r="AA415" i="4"/>
  <c r="AF233" i="4"/>
  <c r="AC320" i="4"/>
  <c r="AM320" i="4"/>
  <c r="AL288" i="4"/>
  <c r="AT247" i="4"/>
  <c r="I207" i="4"/>
  <c r="D207" i="4" s="1"/>
  <c r="C98" i="8" s="1"/>
  <c r="AQ320" i="4"/>
  <c r="AH320" i="4"/>
  <c r="AB320" i="4"/>
  <c r="AT288" i="4"/>
  <c r="AO288" i="4"/>
  <c r="AM288" i="4"/>
  <c r="AE319" i="4"/>
  <c r="AG319" i="4"/>
  <c r="AQ319" i="4"/>
  <c r="AA287" i="4"/>
  <c r="AM287" i="4"/>
  <c r="AQ287" i="4"/>
  <c r="AB247" i="4"/>
  <c r="AI247" i="4"/>
  <c r="AE247" i="4"/>
  <c r="AT429" i="4"/>
  <c r="AN429" i="4"/>
  <c r="AR429" i="4"/>
  <c r="AL397" i="4"/>
  <c r="AH397" i="4"/>
  <c r="AH357" i="4"/>
  <c r="AC357" i="4"/>
  <c r="AI430" i="4"/>
  <c r="AE430" i="4"/>
  <c r="AA398" i="4"/>
  <c r="AS398" i="4"/>
  <c r="AI415" i="4"/>
  <c r="AL320" i="4"/>
  <c r="AK320" i="4"/>
  <c r="AR320" i="4"/>
  <c r="AA288" i="4"/>
  <c r="AC288" i="4"/>
  <c r="AP288" i="4"/>
  <c r="AB319" i="4"/>
  <c r="AL319" i="4"/>
  <c r="AF319" i="4"/>
  <c r="AB287" i="4"/>
  <c r="AC287" i="4"/>
  <c r="AD287" i="4"/>
  <c r="AD247" i="4"/>
  <c r="AK247" i="4"/>
  <c r="AD429" i="4"/>
  <c r="AH429" i="4"/>
  <c r="AC429" i="4"/>
  <c r="AB397" i="4"/>
  <c r="AT397" i="4"/>
  <c r="AP397" i="4"/>
  <c r="AP357" i="4"/>
  <c r="AK357" i="4"/>
  <c r="X122" i="4"/>
  <c r="AQ430" i="4"/>
  <c r="AM430" i="4"/>
  <c r="AI398" i="4"/>
  <c r="AD398" i="4"/>
  <c r="AS415" i="4"/>
  <c r="AF320" i="4"/>
  <c r="AO320" i="4"/>
  <c r="AF288" i="4"/>
  <c r="AG288" i="4"/>
  <c r="AB288" i="4"/>
  <c r="AM319" i="4"/>
  <c r="AP319" i="4"/>
  <c r="AH287" i="4"/>
  <c r="AG287" i="4"/>
  <c r="AT287" i="4"/>
  <c r="AG247" i="4"/>
  <c r="AM247" i="4"/>
  <c r="AG429" i="4"/>
  <c r="AP429" i="4"/>
  <c r="AK429" i="4"/>
  <c r="AJ397" i="4"/>
  <c r="AE397" i="4"/>
  <c r="AA397" i="4"/>
  <c r="AE357" i="4"/>
  <c r="AA357" i="4"/>
  <c r="AS357" i="4"/>
  <c r="AC430" i="4"/>
  <c r="AB430" i="4"/>
  <c r="AF430" i="4"/>
  <c r="AF398" i="4"/>
  <c r="AQ398" i="4"/>
  <c r="AL398" i="4"/>
  <c r="AH127" i="4"/>
  <c r="X127" i="4"/>
  <c r="AH233" i="4"/>
  <c r="AJ305" i="4"/>
  <c r="AA320" i="4"/>
  <c r="AS320" i="4"/>
  <c r="AK288" i="4"/>
  <c r="AI288" i="4"/>
  <c r="AR288" i="4"/>
  <c r="AT319" i="4"/>
  <c r="AS319" i="4"/>
  <c r="AL287" i="4"/>
  <c r="AK287" i="4"/>
  <c r="AF287" i="4"/>
  <c r="AH247" i="4"/>
  <c r="AN247" i="4"/>
  <c r="AL429" i="4"/>
  <c r="AA429" i="4"/>
  <c r="AS429" i="4"/>
  <c r="AR397" i="4"/>
  <c r="AM397" i="4"/>
  <c r="AI397" i="4"/>
  <c r="AM357" i="4"/>
  <c r="AI357" i="4"/>
  <c r="AD357" i="4"/>
  <c r="AH430" i="4"/>
  <c r="AJ430" i="4"/>
  <c r="AN430" i="4"/>
  <c r="AN398" i="4"/>
  <c r="AB398" i="4"/>
  <c r="AT398" i="4"/>
  <c r="AN320" i="4"/>
  <c r="AB233" i="4"/>
  <c r="AD305" i="4"/>
  <c r="AI320" i="4"/>
  <c r="AE320" i="4"/>
  <c r="AQ288" i="4"/>
  <c r="AN288" i="4"/>
  <c r="AJ319" i="4"/>
  <c r="AI319" i="4"/>
  <c r="AS287" i="4"/>
  <c r="AO287" i="4"/>
  <c r="I135" i="4"/>
  <c r="D135" i="4" s="1"/>
  <c r="C26" i="8" s="1"/>
  <c r="AJ247" i="4"/>
  <c r="AA247" i="4"/>
  <c r="AO429" i="4"/>
  <c r="AC397" i="4"/>
  <c r="AF397" i="4"/>
  <c r="AF357" i="4"/>
  <c r="AQ357" i="4"/>
  <c r="AK430" i="4"/>
  <c r="AR430" i="4"/>
  <c r="AG398" i="4"/>
  <c r="AJ398" i="4"/>
  <c r="AH326" i="4"/>
  <c r="AO326" i="4"/>
  <c r="AC326" i="4"/>
  <c r="AL326" i="4"/>
  <c r="AB326" i="4"/>
  <c r="AH314" i="4"/>
  <c r="AI282" i="4"/>
  <c r="AN326" i="4"/>
  <c r="AD326" i="4"/>
  <c r="AR326" i="4"/>
  <c r="AO405" i="4"/>
  <c r="AQ424" i="4"/>
  <c r="AL419" i="4"/>
  <c r="AJ126" i="4"/>
  <c r="U153" i="4" s="1"/>
  <c r="I183" i="4"/>
  <c r="D183" i="4" s="1"/>
  <c r="C74" i="8" s="1"/>
  <c r="AB282" i="4"/>
  <c r="AI326" i="4"/>
  <c r="AK326" i="4"/>
  <c r="AJ326" i="4"/>
  <c r="AK419" i="4"/>
  <c r="AS295" i="4"/>
  <c r="AF326" i="4"/>
  <c r="AP326" i="4"/>
  <c r="I197" i="4"/>
  <c r="D197" i="4" s="1"/>
  <c r="C88" i="8" s="1"/>
  <c r="AJ122" i="4"/>
  <c r="AT326" i="4"/>
  <c r="AS326" i="4"/>
  <c r="AP309" i="4"/>
  <c r="AF295" i="4"/>
  <c r="AA326" i="4"/>
  <c r="AC309" i="4"/>
  <c r="AD405" i="4"/>
  <c r="AC392" i="4"/>
  <c r="CR79" i="4"/>
  <c r="CC79" i="4" s="1"/>
  <c r="CM79" i="4"/>
  <c r="BX79" i="4" s="1"/>
  <c r="CJ30" i="4"/>
  <c r="BU30" i="4" s="1"/>
  <c r="CR17" i="4"/>
  <c r="CC17" i="4" s="1"/>
  <c r="CJ90" i="4"/>
  <c r="BU90" i="4" s="1"/>
  <c r="CS25" i="4"/>
  <c r="CD25" i="4" s="1"/>
  <c r="CP71" i="4"/>
  <c r="CA71" i="4" s="1"/>
  <c r="CL10" i="4"/>
  <c r="BW10" i="4" s="1"/>
  <c r="CT94" i="4"/>
  <c r="CE94" i="4" s="1"/>
  <c r="CR64" i="4"/>
  <c r="CC64" i="4" s="1"/>
  <c r="CS24" i="4"/>
  <c r="CD24" i="4" s="1"/>
  <c r="CL92" i="4"/>
  <c r="BW92" i="4" s="1"/>
  <c r="CP47" i="4"/>
  <c r="CA47" i="4" s="1"/>
  <c r="CL9" i="4"/>
  <c r="BW9" i="4" s="1"/>
  <c r="CP69" i="4"/>
  <c r="CA69" i="4" s="1"/>
  <c r="CL11" i="4"/>
  <c r="BW11" i="4" s="1"/>
  <c r="CL94" i="4"/>
  <c r="BW94" i="4" s="1"/>
  <c r="CO46" i="4"/>
  <c r="BZ46" i="4" s="1"/>
  <c r="CO107" i="4"/>
  <c r="BZ107" i="4" s="1"/>
  <c r="CR18" i="4"/>
  <c r="CC18" i="4" s="1"/>
  <c r="CM31" i="4"/>
  <c r="BX31" i="4" s="1"/>
  <c r="CJ31" i="4"/>
  <c r="BU31" i="4" s="1"/>
  <c r="CT93" i="4"/>
  <c r="CE93" i="4" s="1"/>
  <c r="CO44" i="4"/>
  <c r="BZ44" i="4" s="1"/>
  <c r="CJ91" i="4"/>
  <c r="BU91" i="4" s="1"/>
  <c r="J470" i="4"/>
  <c r="I26" i="7" s="1"/>
  <c r="P465" i="4"/>
  <c r="O21" i="7" s="1"/>
  <c r="F464" i="4"/>
  <c r="E20" i="7" s="1"/>
  <c r="G462" i="4"/>
  <c r="F18" i="7" s="1"/>
  <c r="P456" i="4"/>
  <c r="O12" i="7" s="1"/>
  <c r="P460" i="4"/>
  <c r="O16" i="7" s="1"/>
  <c r="P467" i="4"/>
  <c r="O23" i="7" s="1"/>
  <c r="P463" i="4"/>
  <c r="O19" i="7" s="1"/>
  <c r="P458" i="4"/>
  <c r="O14" i="7" s="1"/>
  <c r="P462" i="4"/>
  <c r="O18" i="7" s="1"/>
  <c r="P457" i="4"/>
  <c r="O13" i="7" s="1"/>
  <c r="P453" i="4"/>
  <c r="O9" i="7" s="1"/>
  <c r="P455" i="4"/>
  <c r="O11" i="7" s="1"/>
  <c r="P459" i="4"/>
  <c r="O15" i="7" s="1"/>
  <c r="G469" i="4"/>
  <c r="F25" i="7" s="1"/>
  <c r="P466" i="4"/>
  <c r="O22" i="7" s="1"/>
  <c r="P471" i="4"/>
  <c r="O27" i="7" s="1"/>
  <c r="P469" i="4"/>
  <c r="O25" i="7" s="1"/>
  <c r="P464" i="4"/>
  <c r="O20" i="7" s="1"/>
  <c r="P470" i="4"/>
  <c r="O26" i="7" s="1"/>
  <c r="P452" i="4"/>
  <c r="O8" i="7" s="1"/>
  <c r="P461" i="4"/>
  <c r="O17" i="7" s="1"/>
  <c r="P468" i="4"/>
  <c r="O24" i="7" s="1"/>
  <c r="F460" i="4"/>
  <c r="E16" i="7" s="1"/>
  <c r="F456" i="4"/>
  <c r="E12" i="7" s="1"/>
  <c r="F458" i="4"/>
  <c r="E14" i="7" s="1"/>
  <c r="F454" i="4"/>
  <c r="E10" i="7" s="1"/>
  <c r="AL250" i="4"/>
  <c r="AJ310" i="4"/>
  <c r="AB421" i="4"/>
  <c r="AH360" i="4"/>
  <c r="AR399" i="4"/>
  <c r="AG321" i="4"/>
  <c r="AP289" i="4"/>
  <c r="AJ289" i="4"/>
  <c r="AL289" i="4"/>
  <c r="AN306" i="4"/>
  <c r="I138" i="4"/>
  <c r="D138" i="4" s="1"/>
  <c r="C29" i="8" s="1"/>
  <c r="AN250" i="4"/>
  <c r="AB250" i="4"/>
  <c r="AS311" i="4"/>
  <c r="AD311" i="4"/>
  <c r="AQ311" i="4"/>
  <c r="AN310" i="4"/>
  <c r="AI310" i="4"/>
  <c r="AB325" i="4"/>
  <c r="AA325" i="4"/>
  <c r="AJ285" i="4"/>
  <c r="AF421" i="4"/>
  <c r="AJ421" i="4"/>
  <c r="AK385" i="4"/>
  <c r="U122" i="4"/>
  <c r="AB360" i="4"/>
  <c r="AT360" i="4"/>
  <c r="AP360" i="4"/>
  <c r="AO435" i="4"/>
  <c r="AR435" i="4"/>
  <c r="AC399" i="4"/>
  <c r="AF399" i="4"/>
  <c r="AQ399" i="4"/>
  <c r="AQ250" i="4"/>
  <c r="AB311" i="4"/>
  <c r="AG435" i="4"/>
  <c r="I177" i="4"/>
  <c r="D177" i="4" s="1"/>
  <c r="C68" i="8" s="1"/>
  <c r="AS321" i="4"/>
  <c r="AS289" i="4"/>
  <c r="AM289" i="4"/>
  <c r="AN289" i="4"/>
  <c r="AH306" i="4"/>
  <c r="AT250" i="4"/>
  <c r="AP250" i="4"/>
  <c r="AR250" i="4"/>
  <c r="AL311" i="4"/>
  <c r="AH311" i="4"/>
  <c r="AF311" i="4"/>
  <c r="AT310" i="4"/>
  <c r="AL310" i="4"/>
  <c r="AJ325" i="4"/>
  <c r="AQ325" i="4"/>
  <c r="AT421" i="4"/>
  <c r="AN421" i="4"/>
  <c r="AR421" i="4"/>
  <c r="AO385" i="4"/>
  <c r="AJ360" i="4"/>
  <c r="AE360" i="4"/>
  <c r="AA360" i="4"/>
  <c r="AH435" i="4"/>
  <c r="AC435" i="4"/>
  <c r="AK399" i="4"/>
  <c r="AN399" i="4"/>
  <c r="U137" i="4"/>
  <c r="AI399" i="4"/>
  <c r="AH421" i="4"/>
  <c r="AR360" i="4"/>
  <c r="AM360" i="4"/>
  <c r="AI360" i="4"/>
  <c r="AP435" i="4"/>
  <c r="AK435" i="4"/>
  <c r="AS399" i="4"/>
  <c r="AG399" i="4"/>
  <c r="AF310" i="4"/>
  <c r="AC250" i="4"/>
  <c r="AM310" i="4"/>
  <c r="AM325" i="4"/>
  <c r="AD421" i="4"/>
  <c r="I199" i="4"/>
  <c r="D199" i="4" s="1"/>
  <c r="C90" i="8" s="1"/>
  <c r="AT289" i="4"/>
  <c r="AB289" i="4"/>
  <c r="AE307" i="4"/>
  <c r="AD250" i="4"/>
  <c r="AJ250" i="4"/>
  <c r="AG250" i="4"/>
  <c r="AP275" i="4"/>
  <c r="AC311" i="4"/>
  <c r="AP311" i="4"/>
  <c r="I198" i="4"/>
  <c r="D198" i="4" s="1"/>
  <c r="C89" i="8" s="1"/>
  <c r="AK310" i="4"/>
  <c r="AO310" i="4"/>
  <c r="AG325" i="4"/>
  <c r="AT325" i="4"/>
  <c r="AS325" i="4"/>
  <c r="AG421" i="4"/>
  <c r="AP421" i="4"/>
  <c r="AK421" i="4"/>
  <c r="AC360" i="4"/>
  <c r="AF360" i="4"/>
  <c r="AQ360" i="4"/>
  <c r="AE435" i="4"/>
  <c r="AA435" i="4"/>
  <c r="AS435" i="4"/>
  <c r="AD399" i="4"/>
  <c r="AO399" i="4"/>
  <c r="AR325" i="4"/>
  <c r="AM421" i="4"/>
  <c r="AL360" i="4"/>
  <c r="AM399" i="4"/>
  <c r="AO289" i="4"/>
  <c r="AS250" i="4"/>
  <c r="AG311" i="4"/>
  <c r="AD310" i="4"/>
  <c r="I213" i="4"/>
  <c r="D213" i="4" s="1"/>
  <c r="C104" i="8" s="1"/>
  <c r="AC325" i="4"/>
  <c r="AC421" i="4"/>
  <c r="AC289" i="4"/>
  <c r="AA289" i="4"/>
  <c r="AL307" i="4"/>
  <c r="AF250" i="4"/>
  <c r="AM250" i="4"/>
  <c r="AI250" i="4"/>
  <c r="AO275" i="4"/>
  <c r="AJ311" i="4"/>
  <c r="AI311" i="4"/>
  <c r="AG310" i="4"/>
  <c r="AP310" i="4"/>
  <c r="AB310" i="4"/>
  <c r="AP325" i="4"/>
  <c r="AD325" i="4"/>
  <c r="AF325" i="4"/>
  <c r="AL421" i="4"/>
  <c r="AA421" i="4"/>
  <c r="AS421" i="4"/>
  <c r="AK360" i="4"/>
  <c r="AN360" i="4"/>
  <c r="AM435" i="4"/>
  <c r="AI435" i="4"/>
  <c r="AD435" i="4"/>
  <c r="AL399" i="4"/>
  <c r="AH399" i="4"/>
  <c r="AR311" i="4"/>
  <c r="AC310" i="4"/>
  <c r="AO325" i="4"/>
  <c r="AJ435" i="4"/>
  <c r="AR289" i="4"/>
  <c r="AE250" i="4"/>
  <c r="AM311" i="4"/>
  <c r="AG289" i="4"/>
  <c r="AQ289" i="4"/>
  <c r="AQ307" i="4"/>
  <c r="AH250" i="4"/>
  <c r="AO250" i="4"/>
  <c r="AO311" i="4"/>
  <c r="AK311" i="4"/>
  <c r="AH310" i="4"/>
  <c r="AQ310" i="4"/>
  <c r="AE325" i="4"/>
  <c r="AH325" i="4"/>
  <c r="AI325" i="4"/>
  <c r="AO421" i="4"/>
  <c r="AM417" i="4"/>
  <c r="AH416" i="4"/>
  <c r="AS360" i="4"/>
  <c r="AF435" i="4"/>
  <c r="AQ435" i="4"/>
  <c r="AB399" i="4"/>
  <c r="AT399" i="4"/>
  <c r="AT321" i="4"/>
  <c r="AC321" i="4"/>
  <c r="AR307" i="4"/>
  <c r="AG307" i="4"/>
  <c r="AA307" i="4"/>
  <c r="AG306" i="4"/>
  <c r="AD306" i="4"/>
  <c r="AR306" i="4"/>
  <c r="AK275" i="4"/>
  <c r="AM275" i="4"/>
  <c r="AL275" i="4"/>
  <c r="AB302" i="4"/>
  <c r="AB285" i="4"/>
  <c r="AG285" i="4"/>
  <c r="AE417" i="4"/>
  <c r="AQ417" i="4"/>
  <c r="AA385" i="4"/>
  <c r="AC385" i="4"/>
  <c r="AG385" i="4"/>
  <c r="AC416" i="4"/>
  <c r="AB416" i="4"/>
  <c r="AF416" i="4"/>
  <c r="AB395" i="4"/>
  <c r="AT395" i="4"/>
  <c r="AK321" i="4"/>
  <c r="AF307" i="4"/>
  <c r="AB275" i="4"/>
  <c r="I173" i="4"/>
  <c r="D173" i="4" s="1"/>
  <c r="C64" i="8" s="1"/>
  <c r="AJ417" i="4"/>
  <c r="AR416" i="4"/>
  <c r="AM395" i="4"/>
  <c r="AL431" i="4"/>
  <c r="AK306" i="4"/>
  <c r="AH285" i="4"/>
  <c r="AO285" i="4"/>
  <c r="AI385" i="4"/>
  <c r="AD321" i="4"/>
  <c r="AM321" i="4"/>
  <c r="AI321" i="4"/>
  <c r="AM307" i="4"/>
  <c r="AS307" i="4"/>
  <c r="AP330" i="4"/>
  <c r="AL306" i="4"/>
  <c r="AP306" i="4"/>
  <c r="AN275" i="4"/>
  <c r="AR275" i="4"/>
  <c r="AJ294" i="4"/>
  <c r="AK285" i="4"/>
  <c r="AM285" i="4"/>
  <c r="AQ285" i="4"/>
  <c r="AD417" i="4"/>
  <c r="AN417" i="4"/>
  <c r="AR417" i="4"/>
  <c r="AN385" i="4"/>
  <c r="AD385" i="4"/>
  <c r="AP385" i="4"/>
  <c r="AP416" i="4"/>
  <c r="AD416" i="4"/>
  <c r="AO416" i="4"/>
  <c r="AA395" i="4"/>
  <c r="AC395" i="4"/>
  <c r="AG395" i="4"/>
  <c r="AN431" i="4"/>
  <c r="AF321" i="4"/>
  <c r="AD307" i="4"/>
  <c r="AJ321" i="4"/>
  <c r="AR321" i="4"/>
  <c r="AN321" i="4"/>
  <c r="AB307" i="4"/>
  <c r="AC307" i="4"/>
  <c r="AS306" i="4"/>
  <c r="AT306" i="4"/>
  <c r="I163" i="4"/>
  <c r="D163" i="4" s="1"/>
  <c r="C54" i="8" s="1"/>
  <c r="AS275" i="4"/>
  <c r="AD275" i="4"/>
  <c r="AP285" i="4"/>
  <c r="AR285" i="4"/>
  <c r="AF285" i="4"/>
  <c r="AG417" i="4"/>
  <c r="AH417" i="4"/>
  <c r="AC417" i="4"/>
  <c r="AQ385" i="4"/>
  <c r="AL385" i="4"/>
  <c r="AS416" i="4"/>
  <c r="AL416" i="4"/>
  <c r="AB408" i="4"/>
  <c r="AF395" i="4"/>
  <c r="AK395" i="4"/>
  <c r="AO395" i="4"/>
  <c r="AR431" i="4"/>
  <c r="AO307" i="4"/>
  <c r="AH385" i="4"/>
  <c r="AS285" i="4"/>
  <c r="AA285" i="4"/>
  <c r="AL285" i="4"/>
  <c r="AL417" i="4"/>
  <c r="AP417" i="4"/>
  <c r="AK417" i="4"/>
  <c r="AB385" i="4"/>
  <c r="AT385" i="4"/>
  <c r="AH440" i="4"/>
  <c r="AA416" i="4"/>
  <c r="AT416" i="4"/>
  <c r="AI395" i="4"/>
  <c r="AS395" i="4"/>
  <c r="AH395" i="4"/>
  <c r="AL321" i="4"/>
  <c r="AF306" i="4"/>
  <c r="AQ275" i="4"/>
  <c r="AF417" i="4"/>
  <c r="AK416" i="4"/>
  <c r="AR395" i="4"/>
  <c r="AC275" i="4"/>
  <c r="AA275" i="4"/>
  <c r="AT275" i="4"/>
  <c r="AH321" i="4"/>
  <c r="AA321" i="4"/>
  <c r="I195" i="4"/>
  <c r="D195" i="4" s="1"/>
  <c r="C86" i="8" s="1"/>
  <c r="AP307" i="4"/>
  <c r="AK307" i="4"/>
  <c r="I194" i="4"/>
  <c r="D194" i="4" s="1"/>
  <c r="C85" i="8" s="1"/>
  <c r="AQ306" i="4"/>
  <c r="AO306" i="4"/>
  <c r="AE275" i="4"/>
  <c r="AF275" i="4"/>
  <c r="AG275" i="4"/>
  <c r="AH303" i="4"/>
  <c r="AF302" i="4"/>
  <c r="AC285" i="4"/>
  <c r="AT285" i="4"/>
  <c r="AN285" i="4"/>
  <c r="AO417" i="4"/>
  <c r="AA417" i="4"/>
  <c r="AS417" i="4"/>
  <c r="AJ385" i="4"/>
  <c r="AE385" i="4"/>
  <c r="AI416" i="4"/>
  <c r="AE416" i="4"/>
  <c r="AN395" i="4"/>
  <c r="AD395" i="4"/>
  <c r="AP395" i="4"/>
  <c r="AJ306" i="4"/>
  <c r="AS385" i="4"/>
  <c r="AG416" i="4"/>
  <c r="AP321" i="4"/>
  <c r="AB321" i="4"/>
  <c r="AH307" i="4"/>
  <c r="AI307" i="4"/>
  <c r="AI306" i="4"/>
  <c r="AM306" i="4"/>
  <c r="AO321" i="4"/>
  <c r="AQ321" i="4"/>
  <c r="AJ307" i="4"/>
  <c r="AT307" i="4"/>
  <c r="AN307" i="4"/>
  <c r="AA306" i="4"/>
  <c r="AC306" i="4"/>
  <c r="AB306" i="4"/>
  <c r="AH275" i="4"/>
  <c r="AI275" i="4"/>
  <c r="AJ275" i="4"/>
  <c r="AH302" i="4"/>
  <c r="AI285" i="4"/>
  <c r="AD285" i="4"/>
  <c r="AT417" i="4"/>
  <c r="AS413" i="4"/>
  <c r="AR385" i="4"/>
  <c r="AQ416" i="4"/>
  <c r="AQ395" i="4"/>
  <c r="CJ24" i="4"/>
  <c r="BU24" i="4" s="1"/>
  <c r="CJ17" i="4"/>
  <c r="BU17" i="4" s="1"/>
  <c r="CT48" i="4"/>
  <c r="CE48" i="4" s="1"/>
  <c r="CT53" i="4"/>
  <c r="CE53" i="4" s="1"/>
  <c r="CT50" i="4"/>
  <c r="CE50" i="4" s="1"/>
  <c r="CT49" i="4"/>
  <c r="CE49" i="4" s="1"/>
  <c r="AU37" i="4"/>
  <c r="CJ14" i="4"/>
  <c r="BU14" i="4" s="1"/>
  <c r="CO39" i="4"/>
  <c r="BZ39" i="4" s="1"/>
  <c r="CL46" i="4"/>
  <c r="BW46" i="4" s="1"/>
  <c r="CI95" i="4"/>
  <c r="BT95" i="4" s="1"/>
  <c r="Y138" i="4"/>
  <c r="Z126" i="4"/>
  <c r="U151" i="4" s="1"/>
  <c r="S138" i="4"/>
  <c r="Z138" i="4"/>
  <c r="X138" i="4"/>
  <c r="T138" i="4"/>
  <c r="AD126" i="4"/>
  <c r="T152" i="4" s="1"/>
  <c r="S126" i="4"/>
  <c r="S150" i="4" s="1"/>
  <c r="AF126" i="4"/>
  <c r="V152" i="4" s="1"/>
  <c r="V138" i="4"/>
  <c r="F457" i="4"/>
  <c r="E13" i="7" s="1"/>
  <c r="F461" i="4"/>
  <c r="E17" i="7" s="1"/>
  <c r="F470" i="4"/>
  <c r="E26" i="7" s="1"/>
  <c r="S558" i="4"/>
  <c r="F468" i="4"/>
  <c r="E24" i="7" s="1"/>
  <c r="F455" i="4"/>
  <c r="E11" i="7" s="1"/>
  <c r="F459" i="4"/>
  <c r="E15" i="7" s="1"/>
  <c r="F471" i="4"/>
  <c r="E27" i="7" s="1"/>
  <c r="F453" i="4"/>
  <c r="E9" i="7" s="1"/>
  <c r="F466" i="4"/>
  <c r="E22" i="7" s="1"/>
  <c r="F462" i="4"/>
  <c r="E18" i="7" s="1"/>
  <c r="F452" i="4"/>
  <c r="E8" i="7" s="1"/>
  <c r="F467" i="4"/>
  <c r="E23" i="7" s="1"/>
  <c r="F469" i="4"/>
  <c r="E25" i="7" s="1"/>
  <c r="F463" i="4"/>
  <c r="E19" i="7" s="1"/>
  <c r="N461" i="4"/>
  <c r="M17" i="7" s="1"/>
  <c r="AA330" i="4"/>
  <c r="AT303" i="4"/>
  <c r="AF408" i="4"/>
  <c r="AA391" i="4"/>
  <c r="AJ330" i="4"/>
  <c r="AN303" i="4"/>
  <c r="AH254" i="4"/>
  <c r="AD391" i="4"/>
  <c r="AT249" i="4"/>
  <c r="I186" i="4"/>
  <c r="D186" i="4" s="1"/>
  <c r="C77" i="8" s="1"/>
  <c r="AO281" i="4"/>
  <c r="AS249" i="4"/>
  <c r="AO298" i="4"/>
  <c r="AD127" i="4"/>
  <c r="AP391" i="4"/>
  <c r="AP317" i="4"/>
  <c r="AP281" i="4"/>
  <c r="AB298" i="4"/>
  <c r="AF317" i="4"/>
  <c r="AK318" i="4"/>
  <c r="AG427" i="4"/>
  <c r="AO317" i="4"/>
  <c r="AL413" i="4"/>
  <c r="AQ440" i="4"/>
  <c r="AH427" i="4"/>
  <c r="AO359" i="4"/>
  <c r="AA413" i="4"/>
  <c r="AL440" i="4"/>
  <c r="AC408" i="4"/>
  <c r="AC427" i="4"/>
  <c r="AC359" i="4"/>
  <c r="AR317" i="4"/>
  <c r="AE317" i="4"/>
  <c r="AI317" i="4"/>
  <c r="AA281" i="4"/>
  <c r="AS281" i="4"/>
  <c r="AR281" i="4"/>
  <c r="AB249" i="4"/>
  <c r="AE249" i="4"/>
  <c r="AS330" i="4"/>
  <c r="AF330" i="4"/>
  <c r="AD298" i="4"/>
  <c r="AA298" i="4"/>
  <c r="AR298" i="4"/>
  <c r="AP303" i="4"/>
  <c r="AR303" i="4"/>
  <c r="AA303" i="4"/>
  <c r="AA318" i="4"/>
  <c r="AN254" i="4"/>
  <c r="AO413" i="4"/>
  <c r="AI413" i="4"/>
  <c r="AB440" i="4"/>
  <c r="AT440" i="4"/>
  <c r="AP440" i="4"/>
  <c r="AH408" i="4"/>
  <c r="AJ408" i="4"/>
  <c r="AN408" i="4"/>
  <c r="AL427" i="4"/>
  <c r="AP427" i="4"/>
  <c r="AK427" i="4"/>
  <c r="AF391" i="4"/>
  <c r="AL391" i="4"/>
  <c r="AH359" i="4"/>
  <c r="AK359" i="4"/>
  <c r="AD249" i="4"/>
  <c r="AN330" i="4"/>
  <c r="AH330" i="4"/>
  <c r="AK298" i="4"/>
  <c r="AD303" i="4"/>
  <c r="AB303" i="4"/>
  <c r="AQ303" i="4"/>
  <c r="AL318" i="4"/>
  <c r="AF254" i="4"/>
  <c r="AE413" i="4"/>
  <c r="AQ413" i="4"/>
  <c r="AJ440" i="4"/>
  <c r="AE440" i="4"/>
  <c r="AK408" i="4"/>
  <c r="AR408" i="4"/>
  <c r="AG408" i="4"/>
  <c r="AO427" i="4"/>
  <c r="AA427" i="4"/>
  <c r="AS427" i="4"/>
  <c r="AB391" i="4"/>
  <c r="AT391" i="4"/>
  <c r="AP359" i="4"/>
  <c r="AS359" i="4"/>
  <c r="AK317" i="4"/>
  <c r="AF281" i="4"/>
  <c r="AH317" i="4"/>
  <c r="AL317" i="4"/>
  <c r="AJ281" i="4"/>
  <c r="AG281" i="4"/>
  <c r="AL281" i="4"/>
  <c r="AJ249" i="4"/>
  <c r="AG249" i="4"/>
  <c r="AI249" i="4"/>
  <c r="AC330" i="4"/>
  <c r="AM330" i="4"/>
  <c r="AQ298" i="4"/>
  <c r="AI298" i="4"/>
  <c r="AH298" i="4"/>
  <c r="AL303" i="4"/>
  <c r="AE303" i="4"/>
  <c r="AF303" i="4"/>
  <c r="AM318" i="4"/>
  <c r="AL254" i="4"/>
  <c r="AM413" i="4"/>
  <c r="AB413" i="4"/>
  <c r="AR440" i="4"/>
  <c r="AM440" i="4"/>
  <c r="AP408" i="4"/>
  <c r="AD408" i="4"/>
  <c r="AO408" i="4"/>
  <c r="AT427" i="4"/>
  <c r="AI427" i="4"/>
  <c r="I205" i="4"/>
  <c r="D205" i="4" s="1"/>
  <c r="C96" i="8" s="1"/>
  <c r="AJ391" i="4"/>
  <c r="AE391" i="4"/>
  <c r="AI359" i="4"/>
  <c r="AD359" i="4"/>
  <c r="AN317" i="4"/>
  <c r="AC281" i="4"/>
  <c r="AM317" i="4"/>
  <c r="AA317" i="4"/>
  <c r="AM281" i="4"/>
  <c r="AB281" i="4"/>
  <c r="AN281" i="4"/>
  <c r="AL249" i="4"/>
  <c r="AN249" i="4"/>
  <c r="AK249" i="4"/>
  <c r="I218" i="4"/>
  <c r="D218" i="4" s="1"/>
  <c r="C109" i="8" s="1"/>
  <c r="AG330" i="4"/>
  <c r="AO330" i="4"/>
  <c r="AT298" i="4"/>
  <c r="AN298" i="4"/>
  <c r="AJ298" i="4"/>
  <c r="AS303" i="4"/>
  <c r="AJ303" i="4"/>
  <c r="AR318" i="4"/>
  <c r="AB254" i="4"/>
  <c r="AF413" i="4"/>
  <c r="AJ413" i="4"/>
  <c r="AC440" i="4"/>
  <c r="AF440" i="4"/>
  <c r="AS408" i="4"/>
  <c r="AL408" i="4"/>
  <c r="AE427" i="4"/>
  <c r="AQ427" i="4"/>
  <c r="AR391" i="4"/>
  <c r="AM391" i="4"/>
  <c r="AA359" i="4"/>
  <c r="AQ359" i="4"/>
  <c r="AL359" i="4"/>
  <c r="AD281" i="4"/>
  <c r="AF249" i="4"/>
  <c r="AF298" i="4"/>
  <c r="AT317" i="4"/>
  <c r="AQ317" i="4"/>
  <c r="I169" i="4"/>
  <c r="D169" i="4" s="1"/>
  <c r="C60" i="8" s="1"/>
  <c r="AQ281" i="4"/>
  <c r="AE281" i="4"/>
  <c r="AO249" i="4"/>
  <c r="AA249" i="4"/>
  <c r="AM249" i="4"/>
  <c r="I191" i="4"/>
  <c r="D191" i="4" s="1"/>
  <c r="C82" i="8" s="1"/>
  <c r="AD330" i="4"/>
  <c r="AL330" i="4"/>
  <c r="AB330" i="4"/>
  <c r="AC298" i="4"/>
  <c r="AS298" i="4"/>
  <c r="AC303" i="4"/>
  <c r="AM303" i="4"/>
  <c r="I206" i="4"/>
  <c r="D206" i="4" s="1"/>
  <c r="C97" i="8" s="1"/>
  <c r="AT254" i="4"/>
  <c r="AT413" i="4"/>
  <c r="AN413" i="4"/>
  <c r="AR413" i="4"/>
  <c r="AK440" i="4"/>
  <c r="AN440" i="4"/>
  <c r="AA408" i="4"/>
  <c r="AT408" i="4"/>
  <c r="AM427" i="4"/>
  <c r="AB427" i="4"/>
  <c r="AI391" i="4"/>
  <c r="AC391" i="4"/>
  <c r="AG391" i="4"/>
  <c r="AF359" i="4"/>
  <c r="AB359" i="4"/>
  <c r="AT359" i="4"/>
  <c r="AJ317" i="4"/>
  <c r="AH249" i="4"/>
  <c r="AE298" i="4"/>
  <c r="AB317" i="4"/>
  <c r="AC317" i="4"/>
  <c r="AT281" i="4"/>
  <c r="AH281" i="4"/>
  <c r="AP249" i="4"/>
  <c r="AQ249" i="4"/>
  <c r="AK330" i="4"/>
  <c r="AQ330" i="4"/>
  <c r="AR330" i="4"/>
  <c r="AG298" i="4"/>
  <c r="AM298" i="4"/>
  <c r="AG303" i="4"/>
  <c r="AI303" i="4"/>
  <c r="AN318" i="4"/>
  <c r="AC254" i="4"/>
  <c r="AD413" i="4"/>
  <c r="AH413" i="4"/>
  <c r="AC413" i="4"/>
  <c r="AA440" i="4"/>
  <c r="AS440" i="4"/>
  <c r="AG440" i="4"/>
  <c r="AI408" i="4"/>
  <c r="AE408" i="4"/>
  <c r="AF427" i="4"/>
  <c r="AJ427" i="4"/>
  <c r="AN391" i="4"/>
  <c r="AK391" i="4"/>
  <c r="AO391" i="4"/>
  <c r="AN359" i="4"/>
  <c r="AJ359" i="4"/>
  <c r="AE359" i="4"/>
  <c r="AD317" i="4"/>
  <c r="AG317" i="4"/>
  <c r="AS317" i="4"/>
  <c r="AI281" i="4"/>
  <c r="AK281" i="4"/>
  <c r="AR249" i="4"/>
  <c r="AC249" i="4"/>
  <c r="AI330" i="4"/>
  <c r="AT330" i="4"/>
  <c r="AE330" i="4"/>
  <c r="AL298" i="4"/>
  <c r="AP298" i="4"/>
  <c r="AO303" i="4"/>
  <c r="AK303" i="4"/>
  <c r="AQ318" i="4"/>
  <c r="AJ254" i="4"/>
  <c r="AG413" i="4"/>
  <c r="AP413" i="4"/>
  <c r="AI440" i="4"/>
  <c r="AD440" i="4"/>
  <c r="AQ408" i="4"/>
  <c r="AD427" i="4"/>
  <c r="AN427" i="4"/>
  <c r="AQ391" i="4"/>
  <c r="AS391" i="4"/>
  <c r="AG359" i="4"/>
  <c r="AR359" i="4"/>
  <c r="AF290" i="4"/>
  <c r="AA290" i="4"/>
  <c r="AG432" i="4"/>
  <c r="AP400" i="4"/>
  <c r="AK400" i="4"/>
  <c r="AS423" i="4"/>
  <c r="AL290" i="4"/>
  <c r="AM290" i="4"/>
  <c r="AC299" i="4"/>
  <c r="AL409" i="4"/>
  <c r="AI400" i="4"/>
  <c r="AD400" i="4"/>
  <c r="I178" i="4"/>
  <c r="D178" i="4" s="1"/>
  <c r="C69" i="8" s="1"/>
  <c r="AS290" i="4"/>
  <c r="AB290" i="4"/>
  <c r="AI299" i="4"/>
  <c r="AP409" i="4"/>
  <c r="AF400" i="4"/>
  <c r="AQ400" i="4"/>
  <c r="AL400" i="4"/>
  <c r="AC290" i="4"/>
  <c r="AI290" i="4"/>
  <c r="AR290" i="4"/>
  <c r="AK409" i="4"/>
  <c r="AN400" i="4"/>
  <c r="AB400" i="4"/>
  <c r="AT400" i="4"/>
  <c r="AR313" i="4"/>
  <c r="AK322" i="4"/>
  <c r="AG290" i="4"/>
  <c r="AN290" i="4"/>
  <c r="AE290" i="4"/>
  <c r="AG400" i="4"/>
  <c r="AJ400" i="4"/>
  <c r="AE400" i="4"/>
  <c r="AA313" i="4"/>
  <c r="AC322" i="4"/>
  <c r="AO290" i="4"/>
  <c r="AP290" i="4"/>
  <c r="AH290" i="4"/>
  <c r="AK432" i="4"/>
  <c r="AO400" i="4"/>
  <c r="AR400" i="4"/>
  <c r="AM400" i="4"/>
  <c r="AD423" i="4"/>
  <c r="AR432" i="4"/>
  <c r="AH400" i="4"/>
  <c r="AA423" i="4"/>
  <c r="AT294" i="4"/>
  <c r="AG318" i="4"/>
  <c r="AT318" i="4"/>
  <c r="AB318" i="4"/>
  <c r="AO294" i="4"/>
  <c r="AI294" i="4"/>
  <c r="AH294" i="4"/>
  <c r="AR254" i="4"/>
  <c r="AG254" i="4"/>
  <c r="I142" i="4"/>
  <c r="D142" i="4" s="1"/>
  <c r="C33" i="8" s="1"/>
  <c r="Q402" i="4"/>
  <c r="P71" i="9" s="1"/>
  <c r="AT343" i="4"/>
  <c r="I130" i="4"/>
  <c r="D130" i="4" s="1"/>
  <c r="AT352" i="4" s="1"/>
  <c r="AC318" i="4"/>
  <c r="AD318" i="4"/>
  <c r="AE318" i="4"/>
  <c r="AA294" i="4"/>
  <c r="AQ294" i="4"/>
  <c r="AE254" i="4"/>
  <c r="AM254" i="4"/>
  <c r="AP343" i="4"/>
  <c r="AI318" i="4"/>
  <c r="AH318" i="4"/>
  <c r="AJ318" i="4"/>
  <c r="AF294" i="4"/>
  <c r="AM294" i="4"/>
  <c r="AO254" i="4"/>
  <c r="AS254" i="4"/>
  <c r="V127" i="4"/>
  <c r="AK294" i="4"/>
  <c r="AP294" i="4"/>
  <c r="AF318" i="4"/>
  <c r="AP318" i="4"/>
  <c r="I182" i="4"/>
  <c r="D182" i="4" s="1"/>
  <c r="C73" i="8" s="1"/>
  <c r="AN294" i="4"/>
  <c r="AB294" i="4"/>
  <c r="AI254" i="4"/>
  <c r="AA254" i="4"/>
  <c r="AK254" i="4"/>
  <c r="AR294" i="4"/>
  <c r="AC294" i="4"/>
  <c r="AS318" i="4"/>
  <c r="AG294" i="4"/>
  <c r="AD294" i="4"/>
  <c r="AQ254" i="4"/>
  <c r="AD254" i="4"/>
  <c r="D117" i="4"/>
  <c r="C8" i="8" s="1"/>
  <c r="CM21" i="4"/>
  <c r="BX21" i="4" s="1"/>
  <c r="CN100" i="4"/>
  <c r="BY100" i="4" s="1"/>
  <c r="CN27" i="4"/>
  <c r="BY27" i="4" s="1"/>
  <c r="CK105" i="4"/>
  <c r="BV105" i="4" s="1"/>
  <c r="CL44" i="4"/>
  <c r="BW44" i="4" s="1"/>
  <c r="CN98" i="4"/>
  <c r="BY98" i="4" s="1"/>
  <c r="CN101" i="4"/>
  <c r="BY101" i="4" s="1"/>
  <c r="CN99" i="4"/>
  <c r="BY99" i="4" s="1"/>
  <c r="CJ15" i="4"/>
  <c r="BU15" i="4" s="1"/>
  <c r="AZ43" i="4"/>
  <c r="CM20" i="4"/>
  <c r="BX20" i="4" s="1"/>
  <c r="CL27" i="4"/>
  <c r="BW27" i="4" s="1"/>
  <c r="CM22" i="4"/>
  <c r="BX22" i="4" s="1"/>
  <c r="CO38" i="4"/>
  <c r="BZ38" i="4" s="1"/>
  <c r="CT73" i="4"/>
  <c r="CE73" i="4" s="1"/>
  <c r="CO35" i="4"/>
  <c r="BZ35" i="4" s="1"/>
  <c r="CJ13" i="4"/>
  <c r="BU13" i="4" s="1"/>
  <c r="CT95" i="4"/>
  <c r="CE95" i="4" s="1"/>
  <c r="CQ63" i="4"/>
  <c r="CB63" i="4" s="1"/>
  <c r="CI15" i="4"/>
  <c r="BT15" i="4" s="1"/>
  <c r="CI99" i="4"/>
  <c r="BT99" i="4" s="1"/>
  <c r="CJ94" i="4"/>
  <c r="BU94" i="4" s="1"/>
  <c r="CL15" i="4"/>
  <c r="BW15" i="4" s="1"/>
  <c r="CL69" i="4"/>
  <c r="BW69" i="4" s="1"/>
  <c r="CI71" i="4"/>
  <c r="BT71" i="4" s="1"/>
  <c r="CL57" i="4"/>
  <c r="BW57" i="4" s="1"/>
  <c r="CI101" i="4"/>
  <c r="BT101" i="4" s="1"/>
  <c r="CI98" i="4"/>
  <c r="BT98" i="4" s="1"/>
  <c r="CL38" i="4"/>
  <c r="BW38" i="4" s="1"/>
  <c r="CL39" i="4"/>
  <c r="BW39" i="4" s="1"/>
  <c r="CS30" i="4"/>
  <c r="CD30" i="4" s="1"/>
  <c r="CI100" i="4"/>
  <c r="BT100" i="4" s="1"/>
  <c r="CK30" i="4"/>
  <c r="BV30" i="4" s="1"/>
  <c r="CL35" i="4"/>
  <c r="BW35" i="4" s="1"/>
  <c r="CJ93" i="4"/>
  <c r="BU93" i="4" s="1"/>
  <c r="CN31" i="4"/>
  <c r="BY31" i="4" s="1"/>
  <c r="CR14" i="4"/>
  <c r="CC14" i="4" s="1"/>
  <c r="S557" i="4"/>
  <c r="S127" i="4"/>
  <c r="AP541" i="4"/>
  <c r="S541" i="4" s="1"/>
  <c r="BK462" i="4"/>
  <c r="AB462" i="4" s="1"/>
  <c r="K464" i="4" s="1"/>
  <c r="J20" i="7" s="1"/>
  <c r="G461" i="4"/>
  <c r="F17" i="7" s="1"/>
  <c r="G463" i="4"/>
  <c r="F19" i="7" s="1"/>
  <c r="G456" i="4"/>
  <c r="F12" i="7" s="1"/>
  <c r="G466" i="4"/>
  <c r="F22" i="7" s="1"/>
  <c r="S550" i="4"/>
  <c r="G464" i="4"/>
  <c r="F20" i="7" s="1"/>
  <c r="G471" i="4"/>
  <c r="F27" i="7" s="1"/>
  <c r="J463" i="4"/>
  <c r="I19" i="7" s="1"/>
  <c r="G468" i="4"/>
  <c r="F24" i="7" s="1"/>
  <c r="G459" i="4"/>
  <c r="F15" i="7" s="1"/>
  <c r="G467" i="4"/>
  <c r="F23" i="7" s="1"/>
  <c r="G454" i="4"/>
  <c r="F10" i="7" s="1"/>
  <c r="G453" i="4"/>
  <c r="F9" i="7" s="1"/>
  <c r="G470" i="4"/>
  <c r="F26" i="7" s="1"/>
  <c r="G452" i="4"/>
  <c r="F8" i="7" s="1"/>
  <c r="N463" i="4"/>
  <c r="M19" i="7" s="1"/>
  <c r="J455" i="4"/>
  <c r="I11" i="7" s="1"/>
  <c r="J454" i="4"/>
  <c r="I10" i="7" s="1"/>
  <c r="N467" i="4"/>
  <c r="M23" i="7" s="1"/>
  <c r="N458" i="4"/>
  <c r="M14" i="7" s="1"/>
  <c r="J471" i="4"/>
  <c r="I27" i="7" s="1"/>
  <c r="N456" i="4"/>
  <c r="M12" i="7" s="1"/>
  <c r="N455" i="4"/>
  <c r="M11" i="7" s="1"/>
  <c r="J466" i="4"/>
  <c r="I22" i="7" s="1"/>
  <c r="N457" i="4"/>
  <c r="M13" i="7" s="1"/>
  <c r="G457" i="4"/>
  <c r="F13" i="7" s="1"/>
  <c r="J458" i="4"/>
  <c r="I14" i="7" s="1"/>
  <c r="J460" i="4"/>
  <c r="I16" i="7" s="1"/>
  <c r="N470" i="4"/>
  <c r="M26" i="7" s="1"/>
  <c r="N471" i="4"/>
  <c r="M27" i="7" s="1"/>
  <c r="J461" i="4"/>
  <c r="I17" i="7" s="1"/>
  <c r="N462" i="4"/>
  <c r="M18" i="7" s="1"/>
  <c r="G460" i="4"/>
  <c r="F16" i="7" s="1"/>
  <c r="J467" i="4"/>
  <c r="I23" i="7" s="1"/>
  <c r="N452" i="4"/>
  <c r="M8" i="7" s="1"/>
  <c r="N453" i="4"/>
  <c r="M9" i="7" s="1"/>
  <c r="J452" i="4"/>
  <c r="I8" i="7" s="1"/>
  <c r="J456" i="4"/>
  <c r="I12" i="7" s="1"/>
  <c r="N459" i="4"/>
  <c r="M15" i="7" s="1"/>
  <c r="AP547" i="4"/>
  <c r="S547" i="4" s="1"/>
  <c r="S556" i="4" s="1"/>
  <c r="J469" i="4"/>
  <c r="I25" i="7" s="1"/>
  <c r="J465" i="4"/>
  <c r="I21" i="7" s="1"/>
  <c r="N460" i="4"/>
  <c r="M16" i="7" s="1"/>
  <c r="N469" i="4"/>
  <c r="M25" i="7" s="1"/>
  <c r="N464" i="4"/>
  <c r="M20" i="7" s="1"/>
  <c r="G465" i="4"/>
  <c r="F21" i="7" s="1"/>
  <c r="BO468" i="4"/>
  <c r="G455" i="4"/>
  <c r="F11" i="7" s="1"/>
  <c r="J462" i="4"/>
  <c r="I18" i="7" s="1"/>
  <c r="J464" i="4"/>
  <c r="I20" i="7" s="1"/>
  <c r="N454" i="4"/>
  <c r="M10" i="7" s="1"/>
  <c r="N466" i="4"/>
  <c r="M22" i="7" s="1"/>
  <c r="J457" i="4"/>
  <c r="I13" i="7" s="1"/>
  <c r="J459" i="4"/>
  <c r="I15" i="7" s="1"/>
  <c r="J468" i="4"/>
  <c r="I24" i="7" s="1"/>
  <c r="N468" i="4"/>
  <c r="M24" i="7" s="1"/>
  <c r="AP535" i="4"/>
  <c r="S535" i="4" s="1"/>
  <c r="S551" i="4" s="1"/>
  <c r="AQ233" i="4"/>
  <c r="AF305" i="4"/>
  <c r="AE314" i="4"/>
  <c r="AN266" i="4"/>
  <c r="AT233" i="4"/>
  <c r="AS233" i="4"/>
  <c r="AB305" i="4"/>
  <c r="AP305" i="4"/>
  <c r="AN305" i="4"/>
  <c r="AA314" i="4"/>
  <c r="AS314" i="4"/>
  <c r="AR266" i="4"/>
  <c r="AM266" i="4"/>
  <c r="AB327" i="4"/>
  <c r="AG327" i="4"/>
  <c r="AQ327" i="4"/>
  <c r="AP295" i="4"/>
  <c r="AB295" i="4"/>
  <c r="AT295" i="4"/>
  <c r="AO291" i="4"/>
  <c r="AE291" i="4"/>
  <c r="AT291" i="4"/>
  <c r="AL309" i="4"/>
  <c r="AQ309" i="4"/>
  <c r="AE437" i="4"/>
  <c r="AA437" i="4"/>
  <c r="AS437" i="4"/>
  <c r="AS405" i="4"/>
  <c r="AG405" i="4"/>
  <c r="AJ401" i="4"/>
  <c r="AE401" i="4"/>
  <c r="AA401" i="4"/>
  <c r="AI424" i="4"/>
  <c r="AE424" i="4"/>
  <c r="AD376" i="4"/>
  <c r="AR376" i="4"/>
  <c r="V137" i="4"/>
  <c r="AG419" i="4"/>
  <c r="AH419" i="4"/>
  <c r="AC419" i="4"/>
  <c r="AT415" i="4"/>
  <c r="AP415" i="4"/>
  <c r="AK415" i="4"/>
  <c r="AL343" i="4"/>
  <c r="AH343" i="4"/>
  <c r="AK343" i="4"/>
  <c r="AI295" i="4"/>
  <c r="AH309" i="4"/>
  <c r="AS309" i="4"/>
  <c r="AH405" i="4"/>
  <c r="AF424" i="4"/>
  <c r="AS419" i="4"/>
  <c r="I121" i="4"/>
  <c r="D121" i="4" s="1"/>
  <c r="C12" i="8" s="1"/>
  <c r="AF265" i="4"/>
  <c r="AJ233" i="4"/>
  <c r="AG233" i="4"/>
  <c r="AI233" i="4"/>
  <c r="AK305" i="4"/>
  <c r="AQ305" i="4"/>
  <c r="I202" i="4"/>
  <c r="D202" i="4" s="1"/>
  <c r="C93" i="8" s="1"/>
  <c r="AI314" i="4"/>
  <c r="AO314" i="4"/>
  <c r="I154" i="4"/>
  <c r="D154" i="4" s="1"/>
  <c r="C45" i="8" s="1"/>
  <c r="AT266" i="4"/>
  <c r="AF266" i="4"/>
  <c r="AT327" i="4"/>
  <c r="AS327" i="4"/>
  <c r="AG295" i="4"/>
  <c r="AL295" i="4"/>
  <c r="AI286" i="4"/>
  <c r="AS291" i="4"/>
  <c r="AL291" i="4"/>
  <c r="AO309" i="4"/>
  <c r="AR309" i="4"/>
  <c r="AF309" i="4"/>
  <c r="AN437" i="4"/>
  <c r="AB437" i="4"/>
  <c r="AT437" i="4"/>
  <c r="AB405" i="4"/>
  <c r="AT405" i="4"/>
  <c r="AP405" i="4"/>
  <c r="AK401" i="4"/>
  <c r="AN401" i="4"/>
  <c r="AH424" i="4"/>
  <c r="AJ424" i="4"/>
  <c r="AN424" i="4"/>
  <c r="AH376" i="4"/>
  <c r="AS376" i="4"/>
  <c r="AT419" i="4"/>
  <c r="AI419" i="4"/>
  <c r="AE415" i="4"/>
  <c r="AQ415" i="4"/>
  <c r="AM343" i="4"/>
  <c r="AI343" i="4"/>
  <c r="AM314" i="4"/>
  <c r="AD265" i="4"/>
  <c r="AL233" i="4"/>
  <c r="AN233" i="4"/>
  <c r="AK233" i="4"/>
  <c r="AR305" i="4"/>
  <c r="AC305" i="4"/>
  <c r="AD314" i="4"/>
  <c r="AQ314" i="4"/>
  <c r="AB314" i="4"/>
  <c r="AE266" i="4"/>
  <c r="AA266" i="4"/>
  <c r="AH266" i="4"/>
  <c r="AE327" i="4"/>
  <c r="AI327" i="4"/>
  <c r="AK295" i="4"/>
  <c r="AN295" i="4"/>
  <c r="AK286" i="4"/>
  <c r="AC291" i="4"/>
  <c r="AN291" i="4"/>
  <c r="AD309" i="4"/>
  <c r="AB309" i="4"/>
  <c r="AI309" i="4"/>
  <c r="AG437" i="4"/>
  <c r="AJ437" i="4"/>
  <c r="AJ405" i="4"/>
  <c r="AE405" i="4"/>
  <c r="AA405" i="4"/>
  <c r="AS401" i="4"/>
  <c r="AG401" i="4"/>
  <c r="Y137" i="4"/>
  <c r="AK424" i="4"/>
  <c r="AR424" i="4"/>
  <c r="AG424" i="4"/>
  <c r="AN376" i="4"/>
  <c r="AI376" i="4"/>
  <c r="AE376" i="4"/>
  <c r="AE419" i="4"/>
  <c r="AQ419" i="4"/>
  <c r="AM415" i="4"/>
  <c r="AB415" i="4"/>
  <c r="AD375" i="4"/>
  <c r="AN343" i="4"/>
  <c r="AQ343" i="4"/>
  <c r="AC424" i="4"/>
  <c r="AA419" i="4"/>
  <c r="AT265" i="4"/>
  <c r="AO233" i="4"/>
  <c r="AA233" i="4"/>
  <c r="AM233" i="4"/>
  <c r="AG305" i="4"/>
  <c r="AE305" i="4"/>
  <c r="AS305" i="4"/>
  <c r="AP314" i="4"/>
  <c r="AG314" i="4"/>
  <c r="AR314" i="4"/>
  <c r="AI266" i="4"/>
  <c r="AB266" i="4"/>
  <c r="AK266" i="4"/>
  <c r="I215" i="4"/>
  <c r="D215" i="4" s="1"/>
  <c r="C106" i="8" s="1"/>
  <c r="AL327" i="4"/>
  <c r="AK327" i="4"/>
  <c r="AJ295" i="4"/>
  <c r="AA295" i="4"/>
  <c r="I179" i="4"/>
  <c r="D179" i="4" s="1"/>
  <c r="C70" i="8" s="1"/>
  <c r="AJ291" i="4"/>
  <c r="AA291" i="4"/>
  <c r="N315" i="4"/>
  <c r="Q94" i="8" s="1"/>
  <c r="AK309" i="4"/>
  <c r="AG309" i="4"/>
  <c r="AN309" i="4"/>
  <c r="P332" i="4"/>
  <c r="S111" i="8" s="1"/>
  <c r="AO437" i="4"/>
  <c r="AR437" i="4"/>
  <c r="AR405" i="4"/>
  <c r="AM405" i="4"/>
  <c r="AI405" i="4"/>
  <c r="AD401" i="4"/>
  <c r="AO401" i="4"/>
  <c r="AP424" i="4"/>
  <c r="AD424" i="4"/>
  <c r="AO424" i="4"/>
  <c r="AP376" i="4"/>
  <c r="AL376" i="4"/>
  <c r="AM376" i="4"/>
  <c r="AM419" i="4"/>
  <c r="AB419" i="4"/>
  <c r="AF415" i="4"/>
  <c r="AJ415" i="4"/>
  <c r="AB343" i="4"/>
  <c r="AO343" i="4"/>
  <c r="AR343" i="4"/>
  <c r="AH305" i="4"/>
  <c r="AT314" i="4"/>
  <c r="AL266" i="4"/>
  <c r="AD327" i="4"/>
  <c r="AR327" i="4"/>
  <c r="AN327" i="4"/>
  <c r="AC295" i="4"/>
  <c r="AO295" i="4"/>
  <c r="AQ295" i="4"/>
  <c r="AB291" i="4"/>
  <c r="AM291" i="4"/>
  <c r="AQ291" i="4"/>
  <c r="AT309" i="4"/>
  <c r="AJ309" i="4"/>
  <c r="AH437" i="4"/>
  <c r="AC437" i="4"/>
  <c r="AC405" i="4"/>
  <c r="AF405" i="4"/>
  <c r="AQ405" i="4"/>
  <c r="AL401" i="4"/>
  <c r="AH401" i="4"/>
  <c r="AK122" i="4"/>
  <c r="AS424" i="4"/>
  <c r="AL424" i="4"/>
  <c r="AA376" i="4"/>
  <c r="AB376" i="4"/>
  <c r="AG376" i="4"/>
  <c r="AF419" i="4"/>
  <c r="AJ419" i="4"/>
  <c r="J434" i="4"/>
  <c r="I103" i="9" s="1"/>
  <c r="L426" i="4"/>
  <c r="K95" i="9" s="1"/>
  <c r="D410" i="4"/>
  <c r="C79" i="9" s="1"/>
  <c r="S402" i="4"/>
  <c r="R71" i="9" s="1"/>
  <c r="G362" i="4"/>
  <c r="F31" i="9" s="1"/>
  <c r="H358" i="4"/>
  <c r="G27" i="9" s="1"/>
  <c r="AL415" i="4"/>
  <c r="AN415" i="4"/>
  <c r="AR415" i="4"/>
  <c r="AC343" i="4"/>
  <c r="AF343" i="4"/>
  <c r="AS343" i="4"/>
  <c r="Z137" i="4"/>
  <c r="AF314" i="4"/>
  <c r="AM295" i="4"/>
  <c r="AM309" i="4"/>
  <c r="AL405" i="4"/>
  <c r="AB424" i="4"/>
  <c r="AO419" i="4"/>
  <c r="AP233" i="4"/>
  <c r="AO305" i="4"/>
  <c r="AK314" i="4"/>
  <c r="AG266" i="4"/>
  <c r="I193" i="4"/>
  <c r="D193" i="4" s="1"/>
  <c r="C84" i="8" s="1"/>
  <c r="AR233" i="4"/>
  <c r="AC233" i="4"/>
  <c r="AM305" i="4"/>
  <c r="AL305" i="4"/>
  <c r="AI305" i="4"/>
  <c r="AL314" i="4"/>
  <c r="AN314" i="4"/>
  <c r="AJ314" i="4"/>
  <c r="AQ266" i="4"/>
  <c r="AJ266" i="4"/>
  <c r="AP266" i="4"/>
  <c r="AM327" i="4"/>
  <c r="AC327" i="4"/>
  <c r="AA327" i="4"/>
  <c r="AH295" i="4"/>
  <c r="AR295" i="4"/>
  <c r="AD295" i="4"/>
  <c r="AG291" i="4"/>
  <c r="AR291" i="4"/>
  <c r="AD291" i="4"/>
  <c r="AE309" i="4"/>
  <c r="AA309" i="4"/>
  <c r="AD122" i="4"/>
  <c r="AP437" i="4"/>
  <c r="AK405" i="4"/>
  <c r="AB401" i="4"/>
  <c r="AT401" i="4"/>
  <c r="AA424" i="4"/>
  <c r="AQ376" i="4"/>
  <c r="AJ376" i="4"/>
  <c r="AD419" i="4"/>
  <c r="AN419" i="4"/>
  <c r="AO415" i="4"/>
  <c r="AH415" i="4"/>
  <c r="AI375" i="4"/>
  <c r="AD343" i="4"/>
  <c r="AG343" i="4"/>
  <c r="AM313" i="4"/>
  <c r="AT313" i="4"/>
  <c r="AA322" i="4"/>
  <c r="AQ322" i="4"/>
  <c r="AJ322" i="4"/>
  <c r="AK282" i="4"/>
  <c r="AQ282" i="4"/>
  <c r="AC286" i="4"/>
  <c r="AF286" i="4"/>
  <c r="I174" i="4"/>
  <c r="D174" i="4" s="1"/>
  <c r="C65" i="8" s="1"/>
  <c r="S315" i="4"/>
  <c r="V94" i="8" s="1"/>
  <c r="S332" i="4"/>
  <c r="V111" i="8" s="1"/>
  <c r="AP299" i="4"/>
  <c r="AB299" i="4"/>
  <c r="AF299" i="4"/>
  <c r="O425" i="4"/>
  <c r="N94" i="9" s="1"/>
  <c r="AG409" i="4"/>
  <c r="AH409" i="4"/>
  <c r="AC409" i="4"/>
  <c r="H393" i="4"/>
  <c r="G62" i="9" s="1"/>
  <c r="AH432" i="4"/>
  <c r="AJ432" i="4"/>
  <c r="AN432" i="4"/>
  <c r="AF392" i="4"/>
  <c r="AQ392" i="4"/>
  <c r="AT423" i="4"/>
  <c r="AP423" i="4"/>
  <c r="AK423" i="4"/>
  <c r="AG313" i="4"/>
  <c r="AQ313" i="4"/>
  <c r="E296" i="4"/>
  <c r="H75" i="8" s="1"/>
  <c r="M300" i="4"/>
  <c r="P79" i="8" s="1"/>
  <c r="AT322" i="4"/>
  <c r="AF322" i="4"/>
  <c r="AM282" i="4"/>
  <c r="AS282" i="4"/>
  <c r="AR282" i="4"/>
  <c r="AM286" i="4"/>
  <c r="AN286" i="4"/>
  <c r="AH299" i="4"/>
  <c r="AL299" i="4"/>
  <c r="AO409" i="4"/>
  <c r="AA409" i="4"/>
  <c r="AS409" i="4"/>
  <c r="AP432" i="4"/>
  <c r="AD432" i="4"/>
  <c r="AO432" i="4"/>
  <c r="AG392" i="4"/>
  <c r="AK392" i="4"/>
  <c r="S137" i="4"/>
  <c r="AG423" i="4"/>
  <c r="AI423" i="4"/>
  <c r="I201" i="4"/>
  <c r="D201" i="4" s="1"/>
  <c r="C92" i="8" s="1"/>
  <c r="T358" i="4"/>
  <c r="S27" i="9" s="1"/>
  <c r="R358" i="4"/>
  <c r="Q27" i="9" s="1"/>
  <c r="J358" i="4"/>
  <c r="I27" i="9" s="1"/>
  <c r="AL313" i="4"/>
  <c r="AC313" i="4"/>
  <c r="AG322" i="4"/>
  <c r="AM322" i="4"/>
  <c r="AP282" i="4"/>
  <c r="AA282" i="4"/>
  <c r="AH282" i="4"/>
  <c r="AQ286" i="4"/>
  <c r="AP286" i="4"/>
  <c r="AM299" i="4"/>
  <c r="AN299" i="4"/>
  <c r="AT409" i="4"/>
  <c r="AI409" i="4"/>
  <c r="AS432" i="4"/>
  <c r="AL432" i="4"/>
  <c r="AB392" i="4"/>
  <c r="AO392" i="4"/>
  <c r="AS392" i="4"/>
  <c r="AE423" i="4"/>
  <c r="AQ423" i="4"/>
  <c r="S358" i="4"/>
  <c r="R27" i="9" s="1"/>
  <c r="U362" i="4"/>
  <c r="T31" i="9" s="1"/>
  <c r="E434" i="4"/>
  <c r="D103" i="9" s="1"/>
  <c r="AJ313" i="4"/>
  <c r="AD313" i="4"/>
  <c r="AS313" i="4"/>
  <c r="I210" i="4"/>
  <c r="D210" i="4" s="1"/>
  <c r="C101" i="8" s="1"/>
  <c r="AL322" i="4"/>
  <c r="AO322" i="4"/>
  <c r="AF282" i="4"/>
  <c r="AE282" i="4"/>
  <c r="AJ282" i="4"/>
  <c r="L283" i="4"/>
  <c r="O62" i="8" s="1"/>
  <c r="AE286" i="4"/>
  <c r="AS286" i="4"/>
  <c r="AB286" i="4"/>
  <c r="I187" i="4"/>
  <c r="D187" i="4" s="1"/>
  <c r="C78" i="8" s="1"/>
  <c r="AG299" i="4"/>
  <c r="AA299" i="4"/>
  <c r="AE409" i="4"/>
  <c r="AQ409" i="4"/>
  <c r="AA432" i="4"/>
  <c r="AT432" i="4"/>
  <c r="AE392" i="4"/>
  <c r="AH392" i="4"/>
  <c r="AD392" i="4"/>
  <c r="AM423" i="4"/>
  <c r="AB423" i="4"/>
  <c r="I358" i="4"/>
  <c r="H27" i="9" s="1"/>
  <c r="AP313" i="4"/>
  <c r="AH313" i="4"/>
  <c r="AF313" i="4"/>
  <c r="AD322" i="4"/>
  <c r="AS322" i="4"/>
  <c r="AB322" i="4"/>
  <c r="AT282" i="4"/>
  <c r="AG282" i="4"/>
  <c r="S248" i="4"/>
  <c r="V27" i="8" s="1"/>
  <c r="AG286" i="4"/>
  <c r="AA286" i="4"/>
  <c r="AR286" i="4"/>
  <c r="AE299" i="4"/>
  <c r="AK299" i="4"/>
  <c r="AQ299" i="4"/>
  <c r="AM409" i="4"/>
  <c r="AB409" i="4"/>
  <c r="AI432" i="4"/>
  <c r="AE432" i="4"/>
  <c r="AJ392" i="4"/>
  <c r="AP392" i="4"/>
  <c r="AL392" i="4"/>
  <c r="AF423" i="4"/>
  <c r="AJ423" i="4"/>
  <c r="AE313" i="4"/>
  <c r="AK313" i="4"/>
  <c r="AI313" i="4"/>
  <c r="AH322" i="4"/>
  <c r="AI322" i="4"/>
  <c r="AR322" i="4"/>
  <c r="AC282" i="4"/>
  <c r="AL282" i="4"/>
  <c r="AL286" i="4"/>
  <c r="AT286" i="4"/>
  <c r="AH286" i="4"/>
  <c r="AJ299" i="4"/>
  <c r="AO299" i="4"/>
  <c r="AD299" i="4"/>
  <c r="AF409" i="4"/>
  <c r="AJ409" i="4"/>
  <c r="AQ432" i="4"/>
  <c r="AM432" i="4"/>
  <c r="AM392" i="4"/>
  <c r="AA392" i="4"/>
  <c r="AT392" i="4"/>
  <c r="AL423" i="4"/>
  <c r="AN423" i="4"/>
  <c r="AR423" i="4"/>
  <c r="AB313" i="4"/>
  <c r="AO313" i="4"/>
  <c r="AN313" i="4"/>
  <c r="AP322" i="4"/>
  <c r="AN322" i="4"/>
  <c r="AE322" i="4"/>
  <c r="I170" i="4"/>
  <c r="D170" i="4" s="1"/>
  <c r="C61" i="8" s="1"/>
  <c r="AD282" i="4"/>
  <c r="AO282" i="4"/>
  <c r="AO286" i="4"/>
  <c r="AD286" i="4"/>
  <c r="AR299" i="4"/>
  <c r="AS299" i="4"/>
  <c r="AT299" i="4"/>
  <c r="AD409" i="4"/>
  <c r="AN409" i="4"/>
  <c r="AC432" i="4"/>
  <c r="AB432" i="4"/>
  <c r="AR392" i="4"/>
  <c r="AO423" i="4"/>
  <c r="AH423" i="4"/>
  <c r="K283" i="4"/>
  <c r="N62" i="8" s="1"/>
  <c r="V248" i="4"/>
  <c r="Y27" i="8" s="1"/>
  <c r="D393" i="4"/>
  <c r="C62" i="9" s="1"/>
  <c r="D283" i="4"/>
  <c r="G62" i="8" s="1"/>
  <c r="AD302" i="4"/>
  <c r="AO302" i="4"/>
  <c r="I425" i="4"/>
  <c r="H94" i="9" s="1"/>
  <c r="AF431" i="4"/>
  <c r="AJ431" i="4"/>
  <c r="E332" i="4"/>
  <c r="H111" i="8" s="1"/>
  <c r="E393" i="4"/>
  <c r="D62" i="9" s="1"/>
  <c r="P393" i="4"/>
  <c r="O62" i="9" s="1"/>
  <c r="I393" i="4"/>
  <c r="H62" i="9" s="1"/>
  <c r="AD259" i="4"/>
  <c r="AQ302" i="4"/>
  <c r="AN302" i="4"/>
  <c r="AR302" i="4"/>
  <c r="AG262" i="4"/>
  <c r="AO431" i="4"/>
  <c r="AH431" i="4"/>
  <c r="AC431" i="4"/>
  <c r="U332" i="4"/>
  <c r="X111" i="8" s="1"/>
  <c r="F332" i="4"/>
  <c r="I111" i="8" s="1"/>
  <c r="V296" i="4"/>
  <c r="Y75" i="8" s="1"/>
  <c r="V324" i="4"/>
  <c r="Y103" i="8" s="1"/>
  <c r="O292" i="4"/>
  <c r="R71" i="8" s="1"/>
  <c r="AT302" i="4"/>
  <c r="AS302" i="4"/>
  <c r="AE302" i="4"/>
  <c r="AT431" i="4"/>
  <c r="AP431" i="4"/>
  <c r="AK431" i="4"/>
  <c r="I332" i="4"/>
  <c r="L111" i="8" s="1"/>
  <c r="O248" i="4"/>
  <c r="R27" i="8" s="1"/>
  <c r="AL302" i="4"/>
  <c r="AC302" i="4"/>
  <c r="AJ302" i="4"/>
  <c r="AQ389" i="4"/>
  <c r="AD431" i="4"/>
  <c r="AA431" i="4"/>
  <c r="AS431" i="4"/>
  <c r="N332" i="4"/>
  <c r="Q111" i="8" s="1"/>
  <c r="G315" i="4"/>
  <c r="J94" i="8" s="1"/>
  <c r="N283" i="4"/>
  <c r="Q62" i="8" s="1"/>
  <c r="G248" i="4"/>
  <c r="J27" i="8" s="1"/>
  <c r="W393" i="4"/>
  <c r="V62" i="9" s="1"/>
  <c r="AA302" i="4"/>
  <c r="AG302" i="4"/>
  <c r="I190" i="4"/>
  <c r="D190" i="4" s="1"/>
  <c r="C81" i="8" s="1"/>
  <c r="AG431" i="4"/>
  <c r="AI431" i="4"/>
  <c r="I209" i="4"/>
  <c r="D209" i="4" s="1"/>
  <c r="C100" i="8" s="1"/>
  <c r="M315" i="4"/>
  <c r="P94" i="8" s="1"/>
  <c r="F283" i="4"/>
  <c r="I62" i="8" s="1"/>
  <c r="N248" i="4"/>
  <c r="Q27" i="8" s="1"/>
  <c r="F315" i="4"/>
  <c r="I94" i="8" s="1"/>
  <c r="Q393" i="4"/>
  <c r="P62" i="9" s="1"/>
  <c r="L393" i="4"/>
  <c r="K62" i="9" s="1"/>
  <c r="Q283" i="4"/>
  <c r="T62" i="8" s="1"/>
  <c r="AK302" i="4"/>
  <c r="AI302" i="4"/>
  <c r="H315" i="4"/>
  <c r="K94" i="8" s="1"/>
  <c r="O332" i="4"/>
  <c r="R111" i="8" s="1"/>
  <c r="AE431" i="4"/>
  <c r="AQ431" i="4"/>
  <c r="T248" i="4"/>
  <c r="W27" i="8" s="1"/>
  <c r="T393" i="4"/>
  <c r="S62" i="9" s="1"/>
  <c r="D248" i="4"/>
  <c r="G27" i="8" s="1"/>
  <c r="AP302" i="4"/>
  <c r="AM431" i="4"/>
  <c r="J332" i="4"/>
  <c r="M111" i="8" s="1"/>
  <c r="D315" i="4"/>
  <c r="G94" i="8" s="1"/>
  <c r="J248" i="4"/>
  <c r="M27" i="8" s="1"/>
  <c r="G283" i="4"/>
  <c r="J62" i="8" s="1"/>
  <c r="E283" i="4"/>
  <c r="H62" i="8" s="1"/>
  <c r="G425" i="4"/>
  <c r="F94" i="9" s="1"/>
  <c r="AT347" i="4"/>
  <c r="AB347" i="4"/>
  <c r="AM347" i="4"/>
  <c r="AL347" i="4"/>
  <c r="AP347" i="4"/>
  <c r="AI347" i="4"/>
  <c r="AD347" i="4"/>
  <c r="AH347" i="4"/>
  <c r="AE347" i="4"/>
  <c r="AS347" i="4"/>
  <c r="AO347" i="4"/>
  <c r="AA347" i="4"/>
  <c r="AK347" i="4"/>
  <c r="AG347" i="4"/>
  <c r="AC347" i="4"/>
  <c r="AN347" i="4"/>
  <c r="AR347" i="4"/>
  <c r="AF347" i="4"/>
  <c r="AJ347" i="4"/>
  <c r="AQ347" i="4"/>
  <c r="AS367" i="4"/>
  <c r="AA367" i="4"/>
  <c r="AK367" i="4"/>
  <c r="AP367" i="4"/>
  <c r="AC367" i="4"/>
  <c r="AH367" i="4"/>
  <c r="AM367" i="4"/>
  <c r="AR367" i="4"/>
  <c r="AO367" i="4"/>
  <c r="AE367" i="4"/>
  <c r="AJ367" i="4"/>
  <c r="AG367" i="4"/>
  <c r="AT367" i="4"/>
  <c r="AB367" i="4"/>
  <c r="AN367" i="4"/>
  <c r="AL367" i="4"/>
  <c r="AQ367" i="4"/>
  <c r="AF367" i="4"/>
  <c r="AD367" i="4"/>
  <c r="AI367" i="4"/>
  <c r="Q300" i="4"/>
  <c r="T79" i="8" s="1"/>
  <c r="C10" i="8"/>
  <c r="AJ341" i="4"/>
  <c r="AG341" i="4"/>
  <c r="AQ341" i="4"/>
  <c r="AF341" i="4"/>
  <c r="AI341" i="4"/>
  <c r="AM341" i="4"/>
  <c r="AT341" i="4"/>
  <c r="AA341" i="4"/>
  <c r="AE341" i="4"/>
  <c r="AL341" i="4"/>
  <c r="AO341" i="4"/>
  <c r="AD341" i="4"/>
  <c r="AS341" i="4"/>
  <c r="AN341" i="4"/>
  <c r="AK341" i="4"/>
  <c r="AB341" i="4"/>
  <c r="AP341" i="4"/>
  <c r="AR341" i="4"/>
  <c r="AC341" i="4"/>
  <c r="AH341" i="4"/>
  <c r="AR231" i="4"/>
  <c r="AQ369" i="4"/>
  <c r="AI349" i="4"/>
  <c r="Q312" i="4"/>
  <c r="T91" i="8" s="1"/>
  <c r="C11" i="8"/>
  <c r="AO342" i="4"/>
  <c r="AD342" i="4"/>
  <c r="AP342" i="4"/>
  <c r="AN342" i="4"/>
  <c r="AC342" i="4"/>
  <c r="AG342" i="4"/>
  <c r="AM342" i="4"/>
  <c r="AB342" i="4"/>
  <c r="AE342" i="4"/>
  <c r="AK342" i="4"/>
  <c r="AT342" i="4"/>
  <c r="AJ342" i="4"/>
  <c r="AL342" i="4"/>
  <c r="AQ342" i="4"/>
  <c r="AH342" i="4"/>
  <c r="AS342" i="4"/>
  <c r="AI342" i="4"/>
  <c r="AF342" i="4"/>
  <c r="AR342" i="4"/>
  <c r="AA342" i="4"/>
  <c r="G332" i="4"/>
  <c r="J111" i="8" s="1"/>
  <c r="V283" i="4"/>
  <c r="Y62" i="8" s="1"/>
  <c r="P248" i="4"/>
  <c r="S27" i="8" s="1"/>
  <c r="L332" i="4"/>
  <c r="O111" i="8" s="1"/>
  <c r="W332" i="4"/>
  <c r="Z111" i="8" s="1"/>
  <c r="E315" i="4"/>
  <c r="H94" i="8" s="1"/>
  <c r="W283" i="4"/>
  <c r="Z62" i="8" s="1"/>
  <c r="L248" i="4"/>
  <c r="O27" i="8" s="1"/>
  <c r="M248" i="4"/>
  <c r="P27" i="8" s="1"/>
  <c r="P283" i="4"/>
  <c r="S62" i="8" s="1"/>
  <c r="C13" i="8"/>
  <c r="AT344" i="4"/>
  <c r="AR344" i="4"/>
  <c r="AL344" i="4"/>
  <c r="AQ344" i="4"/>
  <c r="AD344" i="4"/>
  <c r="AI344" i="4"/>
  <c r="AS344" i="4"/>
  <c r="AA344" i="4"/>
  <c r="AO344" i="4"/>
  <c r="AC344" i="4"/>
  <c r="AP344" i="4"/>
  <c r="AN344" i="4"/>
  <c r="AB344" i="4"/>
  <c r="AH344" i="4"/>
  <c r="AM344" i="4"/>
  <c r="AJ344" i="4"/>
  <c r="AG344" i="4"/>
  <c r="AE344" i="4"/>
  <c r="AK344" i="4"/>
  <c r="AF344" i="4"/>
  <c r="AT394" i="4"/>
  <c r="AL394" i="4"/>
  <c r="AD394" i="4"/>
  <c r="AS394" i="4"/>
  <c r="AK394" i="4"/>
  <c r="AC394" i="4"/>
  <c r="AQ394" i="4"/>
  <c r="AI394" i="4"/>
  <c r="AA394" i="4"/>
  <c r="AP394" i="4"/>
  <c r="AH394" i="4"/>
  <c r="AO394" i="4"/>
  <c r="AG394" i="4"/>
  <c r="AN394" i="4"/>
  <c r="AF394" i="4"/>
  <c r="AJ394" i="4"/>
  <c r="AE394" i="4"/>
  <c r="AB394" i="4"/>
  <c r="AR394" i="4"/>
  <c r="AM394" i="4"/>
  <c r="C42" i="8"/>
  <c r="AO373" i="4"/>
  <c r="AD373" i="4"/>
  <c r="AG373" i="4"/>
  <c r="AS373" i="4"/>
  <c r="AQ373" i="4"/>
  <c r="AF373" i="4"/>
  <c r="AC373" i="4"/>
  <c r="AI373" i="4"/>
  <c r="AM373" i="4"/>
  <c r="AR373" i="4"/>
  <c r="AA373" i="4"/>
  <c r="AE373" i="4"/>
  <c r="AJ373" i="4"/>
  <c r="AP373" i="4"/>
  <c r="AT373" i="4"/>
  <c r="AB373" i="4"/>
  <c r="AH373" i="4"/>
  <c r="AL373" i="4"/>
  <c r="C58" i="8"/>
  <c r="AE389" i="4"/>
  <c r="AJ389" i="4"/>
  <c r="AT389" i="4"/>
  <c r="AB389" i="4"/>
  <c r="AP389" i="4"/>
  <c r="AD389" i="4"/>
  <c r="AI389" i="4"/>
  <c r="AH389" i="4"/>
  <c r="AS389" i="4"/>
  <c r="AF389" i="4"/>
  <c r="AO389" i="4"/>
  <c r="AK389" i="4"/>
  <c r="AA389" i="4"/>
  <c r="AG389" i="4"/>
  <c r="AC389" i="4"/>
  <c r="AM389" i="4"/>
  <c r="AR389" i="4"/>
  <c r="C34" i="8"/>
  <c r="AS365" i="4"/>
  <c r="AA365" i="4"/>
  <c r="AK365" i="4"/>
  <c r="AP365" i="4"/>
  <c r="AM365" i="4"/>
  <c r="AR365" i="4"/>
  <c r="AO365" i="4"/>
  <c r="AE365" i="4"/>
  <c r="AJ365" i="4"/>
  <c r="AG365" i="4"/>
  <c r="AT365" i="4"/>
  <c r="AB365" i="4"/>
  <c r="AN365" i="4"/>
  <c r="AL365" i="4"/>
  <c r="AQ365" i="4"/>
  <c r="AF365" i="4"/>
  <c r="AD365" i="4"/>
  <c r="AI365" i="4"/>
  <c r="C37" i="8"/>
  <c r="AQ368" i="4"/>
  <c r="AF368" i="4"/>
  <c r="AC368" i="4"/>
  <c r="AI368" i="4"/>
  <c r="AM368" i="4"/>
  <c r="AR368" i="4"/>
  <c r="AA368" i="4"/>
  <c r="AE368" i="4"/>
  <c r="AJ368" i="4"/>
  <c r="AP368" i="4"/>
  <c r="AT368" i="4"/>
  <c r="AB368" i="4"/>
  <c r="AH368" i="4"/>
  <c r="AL368" i="4"/>
  <c r="AO368" i="4"/>
  <c r="AD368" i="4"/>
  <c r="AG368" i="4"/>
  <c r="AS368" i="4"/>
  <c r="AN368" i="4"/>
  <c r="AK368" i="4"/>
  <c r="AH365" i="4"/>
  <c r="AO378" i="4"/>
  <c r="AG378" i="4"/>
  <c r="AM378" i="4"/>
  <c r="AE378" i="4"/>
  <c r="AS378" i="4"/>
  <c r="AK378" i="4"/>
  <c r="AC378" i="4"/>
  <c r="AR378" i="4"/>
  <c r="AJ378" i="4"/>
  <c r="AB378" i="4"/>
  <c r="AT378" i="4"/>
  <c r="AD378" i="4"/>
  <c r="AQ378" i="4"/>
  <c r="AA378" i="4"/>
  <c r="AP378" i="4"/>
  <c r="AN378" i="4"/>
  <c r="AL378" i="4"/>
  <c r="AI378" i="4"/>
  <c r="AH378" i="4"/>
  <c r="AF378" i="4"/>
  <c r="T315" i="4"/>
  <c r="W94" i="8" s="1"/>
  <c r="R248" i="4"/>
  <c r="U27" i="8" s="1"/>
  <c r="D332" i="4"/>
  <c r="G111" i="8" s="1"/>
  <c r="V332" i="4"/>
  <c r="Y111" i="8" s="1"/>
  <c r="Q315" i="4"/>
  <c r="T94" i="8" s="1"/>
  <c r="H283" i="4"/>
  <c r="K62" i="8" s="1"/>
  <c r="Q248" i="4"/>
  <c r="T27" i="8" s="1"/>
  <c r="I248" i="4"/>
  <c r="L27" i="8" s="1"/>
  <c r="R425" i="4"/>
  <c r="Q94" i="9" s="1"/>
  <c r="I132" i="4"/>
  <c r="D132" i="4" s="1"/>
  <c r="C23" i="8" s="1"/>
  <c r="T324" i="4"/>
  <c r="W103" i="8" s="1"/>
  <c r="C53" i="8"/>
  <c r="AT384" i="4"/>
  <c r="AO384" i="4"/>
  <c r="AH384" i="4"/>
  <c r="AS384" i="4"/>
  <c r="AG384" i="4"/>
  <c r="AE384" i="4"/>
  <c r="AK384" i="4"/>
  <c r="AN384" i="4"/>
  <c r="AD384" i="4"/>
  <c r="AC384" i="4"/>
  <c r="AF384" i="4"/>
  <c r="AB384" i="4"/>
  <c r="AQ384" i="4"/>
  <c r="AR384" i="4"/>
  <c r="AI384" i="4"/>
  <c r="AM384" i="4"/>
  <c r="AA384" i="4"/>
  <c r="AL384" i="4"/>
  <c r="AP384" i="4"/>
  <c r="AJ384" i="4"/>
  <c r="AL258" i="4"/>
  <c r="C21" i="8"/>
  <c r="AP352" i="4"/>
  <c r="AD352" i="4"/>
  <c r="AI352" i="4"/>
  <c r="AH352" i="4"/>
  <c r="AS352" i="4"/>
  <c r="AE352" i="4"/>
  <c r="AO352" i="4"/>
  <c r="AK352" i="4"/>
  <c r="AA352" i="4"/>
  <c r="AG352" i="4"/>
  <c r="AC352" i="4"/>
  <c r="AM352" i="4"/>
  <c r="AN352" i="4"/>
  <c r="AR352" i="4"/>
  <c r="AF352" i="4"/>
  <c r="AJ352" i="4"/>
  <c r="AB352" i="4"/>
  <c r="AL352" i="4"/>
  <c r="AQ352" i="4"/>
  <c r="AC365" i="4"/>
  <c r="O312" i="4"/>
  <c r="R91" i="8" s="1"/>
  <c r="C20" i="8"/>
  <c r="AT351" i="4"/>
  <c r="AB351" i="4"/>
  <c r="AA351" i="4"/>
  <c r="AL351" i="4"/>
  <c r="AP351" i="4"/>
  <c r="AQ351" i="4"/>
  <c r="AD351" i="4"/>
  <c r="AH351" i="4"/>
  <c r="AM351" i="4"/>
  <c r="AS351" i="4"/>
  <c r="AO351" i="4"/>
  <c r="AI351" i="4"/>
  <c r="AK351" i="4"/>
  <c r="AG351" i="4"/>
  <c r="AC351" i="4"/>
  <c r="AN351" i="4"/>
  <c r="AR351" i="4"/>
  <c r="AF351" i="4"/>
  <c r="AJ351" i="4"/>
  <c r="AE351" i="4"/>
  <c r="C14" i="8"/>
  <c r="AL345" i="4"/>
  <c r="AG345" i="4"/>
  <c r="AM345" i="4"/>
  <c r="AS345" i="4"/>
  <c r="AN345" i="4"/>
  <c r="AE345" i="4"/>
  <c r="AK345" i="4"/>
  <c r="AF345" i="4"/>
  <c r="AR345" i="4"/>
  <c r="AC345" i="4"/>
  <c r="AJ345" i="4"/>
  <c r="AB345" i="4"/>
  <c r="AP345" i="4"/>
  <c r="AA345" i="4"/>
  <c r="AH345" i="4"/>
  <c r="AQ345" i="4"/>
  <c r="AT345" i="4"/>
  <c r="AO345" i="4"/>
  <c r="AI345" i="4"/>
  <c r="R332" i="4"/>
  <c r="U111" i="8" s="1"/>
  <c r="Q332" i="4"/>
  <c r="T111" i="8" s="1"/>
  <c r="K332" i="4"/>
  <c r="N111" i="8" s="1"/>
  <c r="O315" i="4"/>
  <c r="R94" i="8" s="1"/>
  <c r="I283" i="4"/>
  <c r="L62" i="8" s="1"/>
  <c r="R283" i="4"/>
  <c r="U62" i="8" s="1"/>
  <c r="E248" i="4"/>
  <c r="H27" i="8" s="1"/>
  <c r="F248" i="4"/>
  <c r="I27" i="8" s="1"/>
  <c r="U248" i="4"/>
  <c r="X27" i="8" s="1"/>
  <c r="P425" i="4"/>
  <c r="O94" i="9" s="1"/>
  <c r="AP387" i="4"/>
  <c r="AD387" i="4"/>
  <c r="AN387" i="4"/>
  <c r="AH387" i="4"/>
  <c r="AS387" i="4"/>
  <c r="AI387" i="4"/>
  <c r="AO387" i="4"/>
  <c r="AK387" i="4"/>
  <c r="AF387" i="4"/>
  <c r="AG387" i="4"/>
  <c r="AC387" i="4"/>
  <c r="AA387" i="4"/>
  <c r="AM387" i="4"/>
  <c r="AR387" i="4"/>
  <c r="AE387" i="4"/>
  <c r="AJ387" i="4"/>
  <c r="AT387" i="4"/>
  <c r="AB387" i="4"/>
  <c r="AL387" i="4"/>
  <c r="AQ387" i="4"/>
  <c r="AT441" i="4"/>
  <c r="AL441" i="4"/>
  <c r="AD441" i="4"/>
  <c r="AS441" i="4"/>
  <c r="AK441" i="4"/>
  <c r="AC441" i="4"/>
  <c r="AR441" i="4"/>
  <c r="AJ441" i="4"/>
  <c r="AB441" i="4"/>
  <c r="AQ441" i="4"/>
  <c r="AI441" i="4"/>
  <c r="AA441" i="4"/>
  <c r="AP441" i="4"/>
  <c r="AH441" i="4"/>
  <c r="AO441" i="4"/>
  <c r="AG441" i="4"/>
  <c r="AN441" i="4"/>
  <c r="AF441" i="4"/>
  <c r="AM441" i="4"/>
  <c r="AE441" i="4"/>
  <c r="I211" i="4"/>
  <c r="D211" i="4" s="1"/>
  <c r="C102" i="8" s="1"/>
  <c r="AT433" i="4"/>
  <c r="AL433" i="4"/>
  <c r="AD433" i="4"/>
  <c r="AS433" i="4"/>
  <c r="AK433" i="4"/>
  <c r="AC433" i="4"/>
  <c r="AR433" i="4"/>
  <c r="AJ433" i="4"/>
  <c r="AB433" i="4"/>
  <c r="AQ433" i="4"/>
  <c r="AI433" i="4"/>
  <c r="AA433" i="4"/>
  <c r="AP433" i="4"/>
  <c r="AH433" i="4"/>
  <c r="AO433" i="4"/>
  <c r="AG433" i="4"/>
  <c r="AN433" i="4"/>
  <c r="AF433" i="4"/>
  <c r="AM433" i="4"/>
  <c r="AE433" i="4"/>
  <c r="F324" i="4"/>
  <c r="I103" i="8" s="1"/>
  <c r="J292" i="4"/>
  <c r="M71" i="8" s="1"/>
  <c r="C19" i="8"/>
  <c r="AT350" i="4"/>
  <c r="AB350" i="4"/>
  <c r="AL350" i="4"/>
  <c r="AQ350" i="4"/>
  <c r="AP350" i="4"/>
  <c r="AD350" i="4"/>
  <c r="AM350" i="4"/>
  <c r="AH350" i="4"/>
  <c r="AS350" i="4"/>
  <c r="AI350" i="4"/>
  <c r="AO350" i="4"/>
  <c r="AK350" i="4"/>
  <c r="AE350" i="4"/>
  <c r="AG350" i="4"/>
  <c r="AC350" i="4"/>
  <c r="AA350" i="4"/>
  <c r="AN350" i="4"/>
  <c r="AR350" i="4"/>
  <c r="AF350" i="4"/>
  <c r="AJ350" i="4"/>
  <c r="C38" i="8"/>
  <c r="AE369" i="4"/>
  <c r="AJ369" i="4"/>
  <c r="AG369" i="4"/>
  <c r="AT369" i="4"/>
  <c r="AB369" i="4"/>
  <c r="AN369" i="4"/>
  <c r="AD369" i="4"/>
  <c r="AI369" i="4"/>
  <c r="AS369" i="4"/>
  <c r="AA369" i="4"/>
  <c r="AK369" i="4"/>
  <c r="AP369" i="4"/>
  <c r="AC369" i="4"/>
  <c r="AH369" i="4"/>
  <c r="AM369" i="4"/>
  <c r="AR369" i="4"/>
  <c r="AO369" i="4"/>
  <c r="AK373" i="4"/>
  <c r="I131" i="4"/>
  <c r="D131" i="4" s="1"/>
  <c r="C22" i="8" s="1"/>
  <c r="C24" i="8"/>
  <c r="AK355" i="4"/>
  <c r="AP355" i="4"/>
  <c r="AC355" i="4"/>
  <c r="AH355" i="4"/>
  <c r="AR355" i="4"/>
  <c r="AO355" i="4"/>
  <c r="AJ355" i="4"/>
  <c r="AG355" i="4"/>
  <c r="AT355" i="4"/>
  <c r="AB355" i="4"/>
  <c r="AN355" i="4"/>
  <c r="AL355" i="4"/>
  <c r="AQ355" i="4"/>
  <c r="AF355" i="4"/>
  <c r="AD355" i="4"/>
  <c r="AI355" i="4"/>
  <c r="AM355" i="4"/>
  <c r="AS355" i="4"/>
  <c r="AA355" i="4"/>
  <c r="AE355" i="4"/>
  <c r="AN373" i="4"/>
  <c r="AS377" i="4"/>
  <c r="AK377" i="4"/>
  <c r="AC377" i="4"/>
  <c r="AQ377" i="4"/>
  <c r="AI377" i="4"/>
  <c r="AA377" i="4"/>
  <c r="AO377" i="4"/>
  <c r="AG377" i="4"/>
  <c r="AN377" i="4"/>
  <c r="AF377" i="4"/>
  <c r="AH377" i="4"/>
  <c r="AE377" i="4"/>
  <c r="AT377" i="4"/>
  <c r="AD377" i="4"/>
  <c r="AR377" i="4"/>
  <c r="AB377" i="4"/>
  <c r="AP377" i="4"/>
  <c r="AM377" i="4"/>
  <c r="AL377" i="4"/>
  <c r="AJ377" i="4"/>
  <c r="T332" i="4"/>
  <c r="W111" i="8" s="1"/>
  <c r="P315" i="4"/>
  <c r="S94" i="8" s="1"/>
  <c r="H332" i="4"/>
  <c r="K111" i="8" s="1"/>
  <c r="H248" i="4"/>
  <c r="K27" i="8" s="1"/>
  <c r="K304" i="4"/>
  <c r="N83" i="8" s="1"/>
  <c r="AM363" i="4"/>
  <c r="AR363" i="4"/>
  <c r="AO363" i="4"/>
  <c r="AE363" i="4"/>
  <c r="AJ363" i="4"/>
  <c r="AG363" i="4"/>
  <c r="AT363" i="4"/>
  <c r="AB363" i="4"/>
  <c r="AN363" i="4"/>
  <c r="AL363" i="4"/>
  <c r="AQ363" i="4"/>
  <c r="AF363" i="4"/>
  <c r="AD363" i="4"/>
  <c r="AI363" i="4"/>
  <c r="AS363" i="4"/>
  <c r="AA363" i="4"/>
  <c r="AK363" i="4"/>
  <c r="AP363" i="4"/>
  <c r="AC363" i="4"/>
  <c r="AH363" i="4"/>
  <c r="T292" i="4"/>
  <c r="W71" i="8" s="1"/>
  <c r="N252" i="4"/>
  <c r="Q31" i="8" s="1"/>
  <c r="C59" i="8"/>
  <c r="AQ390" i="4"/>
  <c r="AF390" i="4"/>
  <c r="AI390" i="4"/>
  <c r="AR390" i="4"/>
  <c r="AT390" i="4"/>
  <c r="AA390" i="4"/>
  <c r="AM390" i="4"/>
  <c r="AL390" i="4"/>
  <c r="AP390" i="4"/>
  <c r="AJ390" i="4"/>
  <c r="AD390" i="4"/>
  <c r="AH390" i="4"/>
  <c r="AE390" i="4"/>
  <c r="AS390" i="4"/>
  <c r="AO390" i="4"/>
  <c r="AB390" i="4"/>
  <c r="AK390" i="4"/>
  <c r="AG390" i="4"/>
  <c r="AC390" i="4"/>
  <c r="AN390" i="4"/>
  <c r="C35" i="8"/>
  <c r="AA366" i="4"/>
  <c r="AE366" i="4"/>
  <c r="AJ366" i="4"/>
  <c r="AP366" i="4"/>
  <c r="AT366" i="4"/>
  <c r="AB366" i="4"/>
  <c r="AH366" i="4"/>
  <c r="AL366" i="4"/>
  <c r="AO366" i="4"/>
  <c r="AD366" i="4"/>
  <c r="AG366" i="4"/>
  <c r="AS366" i="4"/>
  <c r="AN366" i="4"/>
  <c r="AK366" i="4"/>
  <c r="AQ366" i="4"/>
  <c r="AF366" i="4"/>
  <c r="AC366" i="4"/>
  <c r="AI366" i="4"/>
  <c r="AM366" i="4"/>
  <c r="AR366" i="4"/>
  <c r="AT232" i="4"/>
  <c r="AC349" i="4"/>
  <c r="AN349" i="4"/>
  <c r="AR349" i="4"/>
  <c r="AF349" i="4"/>
  <c r="AT349" i="4"/>
  <c r="AB349" i="4"/>
  <c r="AM349" i="4"/>
  <c r="AL349" i="4"/>
  <c r="AP349" i="4"/>
  <c r="AE349" i="4"/>
  <c r="AD349" i="4"/>
  <c r="AH349" i="4"/>
  <c r="AA349" i="4"/>
  <c r="AS349" i="4"/>
  <c r="AO349" i="4"/>
  <c r="AQ349" i="4"/>
  <c r="AK349" i="4"/>
  <c r="AG349" i="4"/>
  <c r="AN389" i="4"/>
  <c r="AF369" i="4"/>
  <c r="AO412" i="4"/>
  <c r="AG412" i="4"/>
  <c r="AN412" i="4"/>
  <c r="AF412" i="4"/>
  <c r="AM412" i="4"/>
  <c r="AE412" i="4"/>
  <c r="AT412" i="4"/>
  <c r="AL412" i="4"/>
  <c r="AD412" i="4"/>
  <c r="AR412" i="4"/>
  <c r="AJ412" i="4"/>
  <c r="AB412" i="4"/>
  <c r="AQ412" i="4"/>
  <c r="AI412" i="4"/>
  <c r="AA412" i="4"/>
  <c r="AC412" i="4"/>
  <c r="AS412" i="4"/>
  <c r="AP412" i="4"/>
  <c r="AK412" i="4"/>
  <c r="AH412" i="4"/>
  <c r="AP348" i="4"/>
  <c r="AH348" i="4"/>
  <c r="AO348" i="4"/>
  <c r="AG348" i="4"/>
  <c r="AN348" i="4"/>
  <c r="AF348" i="4"/>
  <c r="AT348" i="4"/>
  <c r="AL348" i="4"/>
  <c r="AD348" i="4"/>
  <c r="AS348" i="4"/>
  <c r="AK348" i="4"/>
  <c r="AC348" i="4"/>
  <c r="AR348" i="4"/>
  <c r="AJ348" i="4"/>
  <c r="AB348" i="4"/>
  <c r="AA348" i="4"/>
  <c r="AM348" i="4"/>
  <c r="AQ348" i="4"/>
  <c r="AI348" i="4"/>
  <c r="AE348" i="4"/>
  <c r="W133" i="4"/>
  <c r="W135" i="4" s="1"/>
  <c r="W126" i="4"/>
  <c r="W150" i="4" s="1"/>
  <c r="AQ339" i="4"/>
  <c r="Y122" i="4"/>
  <c r="AM404" i="4"/>
  <c r="AE404" i="4"/>
  <c r="AT404" i="4"/>
  <c r="AL404" i="4"/>
  <c r="AD404" i="4"/>
  <c r="AS404" i="4"/>
  <c r="AK404" i="4"/>
  <c r="AC404" i="4"/>
  <c r="AR404" i="4"/>
  <c r="AJ404" i="4"/>
  <c r="AB404" i="4"/>
  <c r="AQ404" i="4"/>
  <c r="AI404" i="4"/>
  <c r="AA404" i="4"/>
  <c r="AP404" i="4"/>
  <c r="AH404" i="4"/>
  <c r="AO404" i="4"/>
  <c r="AG404" i="4"/>
  <c r="AN404" i="4"/>
  <c r="AF404" i="4"/>
  <c r="AP340" i="4"/>
  <c r="AH340" i="4"/>
  <c r="AO340" i="4"/>
  <c r="AF340" i="4"/>
  <c r="AM340" i="4"/>
  <c r="AE340" i="4"/>
  <c r="AL340" i="4"/>
  <c r="AK340" i="4"/>
  <c r="AJ340" i="4"/>
  <c r="AT340" i="4"/>
  <c r="AD340" i="4"/>
  <c r="AS340" i="4"/>
  <c r="AR340" i="4"/>
  <c r="AC340" i="4"/>
  <c r="AB340" i="4"/>
  <c r="AQ340" i="4"/>
  <c r="AI340" i="4"/>
  <c r="AA340" i="4"/>
  <c r="AG340" i="4"/>
  <c r="AN340" i="4"/>
  <c r="V133" i="4"/>
  <c r="V126" i="4"/>
  <c r="V150" i="4" s="1"/>
  <c r="W122" i="4"/>
  <c r="T133" i="4"/>
  <c r="AO229" i="4"/>
  <c r="AI126" i="4"/>
  <c r="T153" i="4" s="1"/>
  <c r="AI122" i="4"/>
  <c r="AM396" i="4"/>
  <c r="AE396" i="4"/>
  <c r="AT396" i="4"/>
  <c r="AL396" i="4"/>
  <c r="AD396" i="4"/>
  <c r="AS396" i="4"/>
  <c r="AK396" i="4"/>
  <c r="AC396" i="4"/>
  <c r="AR396" i="4"/>
  <c r="AJ396" i="4"/>
  <c r="AQ396" i="4"/>
  <c r="AI396" i="4"/>
  <c r="AA396" i="4"/>
  <c r="AP396" i="4"/>
  <c r="AH396" i="4"/>
  <c r="AO396" i="4"/>
  <c r="AG396" i="4"/>
  <c r="AN396" i="4"/>
  <c r="AF396" i="4"/>
  <c r="AB396" i="4"/>
  <c r="Y127" i="4"/>
  <c r="T137" i="4"/>
  <c r="X137" i="4"/>
  <c r="AA126" i="4"/>
  <c r="V151" i="4" s="1"/>
  <c r="AA122" i="4"/>
  <c r="AT388" i="4"/>
  <c r="AL388" i="4"/>
  <c r="AD388" i="4"/>
  <c r="AS388" i="4"/>
  <c r="AK388" i="4"/>
  <c r="AC388" i="4"/>
  <c r="AQ388" i="4"/>
  <c r="AI388" i="4"/>
  <c r="AA388" i="4"/>
  <c r="AP388" i="4"/>
  <c r="AH388" i="4"/>
  <c r="AO388" i="4"/>
  <c r="AG388" i="4"/>
  <c r="AN388" i="4"/>
  <c r="AF388" i="4"/>
  <c r="AB388" i="4"/>
  <c r="AR388" i="4"/>
  <c r="AM388" i="4"/>
  <c r="AJ388" i="4"/>
  <c r="AE388" i="4"/>
  <c r="Y133" i="4"/>
  <c r="AC126" i="4"/>
  <c r="S152" i="4" s="1"/>
  <c r="AK127" i="4"/>
  <c r="Z133" i="4"/>
  <c r="Y530" i="4" a="1"/>
  <c r="X133" i="4"/>
  <c r="X135" i="4" s="1"/>
  <c r="S133" i="4"/>
  <c r="S139" i="4" s="1"/>
  <c r="S154" i="4" s="1"/>
  <c r="AG126" i="4"/>
  <c r="W152" i="4" s="1"/>
  <c r="AG122" i="4"/>
  <c r="W127" i="4"/>
  <c r="U133" i="4"/>
  <c r="U126" i="4"/>
  <c r="U150" i="4" s="1"/>
  <c r="AJ229" i="4"/>
  <c r="AC127" i="4"/>
  <c r="AI127" i="4"/>
  <c r="AP436" i="4"/>
  <c r="AH436" i="4"/>
  <c r="AO436" i="4"/>
  <c r="AG436" i="4"/>
  <c r="AN436" i="4"/>
  <c r="AF436" i="4"/>
  <c r="AM436" i="4"/>
  <c r="AE436" i="4"/>
  <c r="AT436" i="4"/>
  <c r="AL436" i="4"/>
  <c r="AD436" i="4"/>
  <c r="AS436" i="4"/>
  <c r="AK436" i="4"/>
  <c r="AC436" i="4"/>
  <c r="AR436" i="4"/>
  <c r="AJ436" i="4"/>
  <c r="AB436" i="4"/>
  <c r="AQ436" i="4"/>
  <c r="AI436" i="4"/>
  <c r="AA436" i="4"/>
  <c r="AM372" i="4"/>
  <c r="AE372" i="4"/>
  <c r="AT372" i="4"/>
  <c r="AL372" i="4"/>
  <c r="AD372" i="4"/>
  <c r="AS372" i="4"/>
  <c r="AK372" i="4"/>
  <c r="AC372" i="4"/>
  <c r="AR372" i="4"/>
  <c r="AJ372" i="4"/>
  <c r="AB372" i="4"/>
  <c r="AQ372" i="4"/>
  <c r="AI372" i="4"/>
  <c r="AA372" i="4"/>
  <c r="AP372" i="4"/>
  <c r="AH372" i="4"/>
  <c r="AO372" i="4"/>
  <c r="AG372" i="4"/>
  <c r="AN372" i="4"/>
  <c r="AF372" i="4"/>
  <c r="AL122" i="4"/>
  <c r="W137" i="4"/>
  <c r="AL339" i="4"/>
  <c r="AA127" i="4"/>
  <c r="AO428" i="4"/>
  <c r="AG428" i="4"/>
  <c r="AN428" i="4"/>
  <c r="AF428" i="4"/>
  <c r="AM428" i="4"/>
  <c r="AE428" i="4"/>
  <c r="AT428" i="4"/>
  <c r="AL428" i="4"/>
  <c r="AD428" i="4"/>
  <c r="AR428" i="4"/>
  <c r="AJ428" i="4"/>
  <c r="AB428" i="4"/>
  <c r="AQ428" i="4"/>
  <c r="AI428" i="4"/>
  <c r="AA428" i="4"/>
  <c r="AC428" i="4"/>
  <c r="AS428" i="4"/>
  <c r="AP428" i="4"/>
  <c r="AK428" i="4"/>
  <c r="AH428" i="4"/>
  <c r="AQ364" i="4"/>
  <c r="AI364" i="4"/>
  <c r="AA364" i="4"/>
  <c r="AP364" i="4"/>
  <c r="AH364" i="4"/>
  <c r="AO364" i="4"/>
  <c r="AG364" i="4"/>
  <c r="AN364" i="4"/>
  <c r="AF364" i="4"/>
  <c r="AM364" i="4"/>
  <c r="AE364" i="4"/>
  <c r="AT364" i="4"/>
  <c r="AL364" i="4"/>
  <c r="AD364" i="4"/>
  <c r="AS364" i="4"/>
  <c r="AK364" i="4"/>
  <c r="AC364" i="4"/>
  <c r="AR364" i="4"/>
  <c r="AJ364" i="4"/>
  <c r="AB364" i="4"/>
  <c r="S122" i="4"/>
  <c r="AG127" i="4"/>
  <c r="AL127" i="4"/>
  <c r="AO420" i="4"/>
  <c r="AG420" i="4"/>
  <c r="AN420" i="4"/>
  <c r="AF420" i="4"/>
  <c r="AM420" i="4"/>
  <c r="AE420" i="4"/>
  <c r="AT420" i="4"/>
  <c r="AL420" i="4"/>
  <c r="AD420" i="4"/>
  <c r="AR420" i="4"/>
  <c r="AJ420" i="4"/>
  <c r="AB420" i="4"/>
  <c r="AQ420" i="4"/>
  <c r="AI420" i="4"/>
  <c r="AA420" i="4"/>
  <c r="AC420" i="4"/>
  <c r="AS420" i="4"/>
  <c r="AP420" i="4"/>
  <c r="AK420" i="4"/>
  <c r="AH420" i="4"/>
  <c r="AP356" i="4"/>
  <c r="AH356" i="4"/>
  <c r="AO356" i="4"/>
  <c r="AG356" i="4"/>
  <c r="AN356" i="4"/>
  <c r="AF356" i="4"/>
  <c r="AM356" i="4"/>
  <c r="AE356" i="4"/>
  <c r="AT356" i="4"/>
  <c r="AL356" i="4"/>
  <c r="AD356" i="4"/>
  <c r="AS356" i="4"/>
  <c r="AK356" i="4"/>
  <c r="AC356" i="4"/>
  <c r="AR356" i="4"/>
  <c r="AJ356" i="4"/>
  <c r="AB356" i="4"/>
  <c r="AQ356" i="4"/>
  <c r="AI356" i="4"/>
  <c r="AA356" i="4"/>
  <c r="AE126" i="4"/>
  <c r="U152" i="4" s="1"/>
  <c r="AE122" i="4"/>
  <c r="AN229" i="4"/>
  <c r="CJ50" i="4"/>
  <c r="BU50" i="4" s="1"/>
  <c r="CP27" i="4"/>
  <c r="CA27" i="4" s="1"/>
  <c r="CM17" i="4"/>
  <c r="BX17" i="4" s="1"/>
  <c r="CL13" i="4"/>
  <c r="BW13" i="4" s="1"/>
  <c r="CN58" i="4"/>
  <c r="BY58" i="4" s="1"/>
  <c r="CP76" i="4"/>
  <c r="CA76" i="4" s="1"/>
  <c r="AW37" i="4"/>
  <c r="AX37" i="4"/>
  <c r="CL95" i="4"/>
  <c r="BW95" i="4" s="1"/>
  <c r="CT55" i="4"/>
  <c r="CE55" i="4" s="1"/>
  <c r="CT52" i="4"/>
  <c r="CE52" i="4" s="1"/>
  <c r="CM24" i="4"/>
  <c r="BX24" i="4" s="1"/>
  <c r="CT51" i="4"/>
  <c r="CE51" i="4" s="1"/>
  <c r="CP108" i="4"/>
  <c r="CA108" i="4" s="1"/>
  <c r="CP77" i="4"/>
  <c r="CA77" i="4" s="1"/>
  <c r="AV103" i="4"/>
  <c r="CP107" i="4"/>
  <c r="CA107" i="4" s="1"/>
  <c r="CJ18" i="4"/>
  <c r="BU18" i="4" s="1"/>
  <c r="CR76" i="4"/>
  <c r="CC76" i="4" s="1"/>
  <c r="CT61" i="4"/>
  <c r="CE61" i="4" s="1"/>
  <c r="CJ105" i="4"/>
  <c r="BU105" i="4" s="1"/>
  <c r="CT47" i="4"/>
  <c r="CE47" i="4" s="1"/>
  <c r="CL64" i="4"/>
  <c r="BW64" i="4" s="1"/>
  <c r="CK39" i="4"/>
  <c r="BV39" i="4" s="1"/>
  <c r="AS37" i="4"/>
  <c r="CL67" i="4"/>
  <c r="BW67" i="4" s="1"/>
  <c r="AZ37" i="4"/>
  <c r="BB37" i="4"/>
  <c r="CM10" i="4"/>
  <c r="BX10" i="4" s="1"/>
  <c r="C52" i="8"/>
  <c r="AL383" i="4"/>
  <c r="AK383" i="4"/>
  <c r="AJ383" i="4"/>
  <c r="AI383" i="4"/>
  <c r="AH383" i="4"/>
  <c r="AG383" i="4"/>
  <c r="AB383" i="4"/>
  <c r="AF383" i="4"/>
  <c r="AC383" i="4"/>
  <c r="AE383" i="4"/>
  <c r="AD383" i="4"/>
  <c r="AT383" i="4"/>
  <c r="AS383" i="4"/>
  <c r="AR383" i="4"/>
  <c r="AQ383" i="4"/>
  <c r="AA383" i="4"/>
  <c r="AP383" i="4"/>
  <c r="AO383" i="4"/>
  <c r="AN383" i="4"/>
  <c r="AM383" i="4"/>
  <c r="C51" i="8"/>
  <c r="AR382" i="4"/>
  <c r="AB382" i="4"/>
  <c r="AQ382" i="4"/>
  <c r="AA382" i="4"/>
  <c r="AP382" i="4"/>
  <c r="AO382" i="4"/>
  <c r="AN382" i="4"/>
  <c r="AM382" i="4"/>
  <c r="AL382" i="4"/>
  <c r="AK382" i="4"/>
  <c r="AJ382" i="4"/>
  <c r="AI382" i="4"/>
  <c r="AH382" i="4"/>
  <c r="AC382" i="4"/>
  <c r="AG382" i="4"/>
  <c r="AF382" i="4"/>
  <c r="AS382" i="4"/>
  <c r="AE382" i="4"/>
  <c r="AT382" i="4"/>
  <c r="AD382" i="4"/>
  <c r="C50" i="8"/>
  <c r="AF381" i="4"/>
  <c r="AE381" i="4"/>
  <c r="AT381" i="4"/>
  <c r="AD381" i="4"/>
  <c r="AS381" i="4"/>
  <c r="AC381" i="4"/>
  <c r="AR381" i="4"/>
  <c r="AB381" i="4"/>
  <c r="AQ381" i="4"/>
  <c r="AA381" i="4"/>
  <c r="AH381" i="4"/>
  <c r="AP381" i="4"/>
  <c r="AO381" i="4"/>
  <c r="AN381" i="4"/>
  <c r="AM381" i="4"/>
  <c r="AL381" i="4"/>
  <c r="AK381" i="4"/>
  <c r="AJ381" i="4"/>
  <c r="AI381" i="4"/>
  <c r="AG381" i="4"/>
  <c r="C49" i="8"/>
  <c r="AJ380" i="4"/>
  <c r="AH380" i="4"/>
  <c r="AB380" i="4"/>
  <c r="AG380" i="4"/>
  <c r="AF380" i="4"/>
  <c r="AD380" i="4"/>
  <c r="AE380" i="4"/>
  <c r="AC380" i="4"/>
  <c r="AT380" i="4"/>
  <c r="AS380" i="4"/>
  <c r="AR380" i="4"/>
  <c r="AQ380" i="4"/>
  <c r="AA380" i="4"/>
  <c r="AI380" i="4"/>
  <c r="AP380" i="4"/>
  <c r="AO380" i="4"/>
  <c r="AN380" i="4"/>
  <c r="AM380" i="4"/>
  <c r="AK380" i="4"/>
  <c r="AL380" i="4"/>
  <c r="AN379" i="4"/>
  <c r="AO379" i="4"/>
  <c r="AM379" i="4"/>
  <c r="AL379" i="4"/>
  <c r="AK379" i="4"/>
  <c r="AJ379" i="4"/>
  <c r="AI379" i="4"/>
  <c r="AH379" i="4"/>
  <c r="AG379" i="4"/>
  <c r="AF379" i="4"/>
  <c r="AE379" i="4"/>
  <c r="AC379" i="4"/>
  <c r="AT379" i="4"/>
  <c r="AD379" i="4"/>
  <c r="AS379" i="4"/>
  <c r="AR379" i="4"/>
  <c r="AB379" i="4"/>
  <c r="AQ379" i="4"/>
  <c r="AA379" i="4"/>
  <c r="AP379" i="4"/>
  <c r="C39" i="8"/>
  <c r="AF370" i="4"/>
  <c r="AE370" i="4"/>
  <c r="AD370" i="4"/>
  <c r="AT370" i="4"/>
  <c r="AS370" i="4"/>
  <c r="AC370" i="4"/>
  <c r="AR370" i="4"/>
  <c r="AB370" i="4"/>
  <c r="AQ370" i="4"/>
  <c r="AA370" i="4"/>
  <c r="AP370" i="4"/>
  <c r="AO370" i="4"/>
  <c r="AG370" i="4"/>
  <c r="AN370" i="4"/>
  <c r="AM370" i="4"/>
  <c r="AL370" i="4"/>
  <c r="AK370" i="4"/>
  <c r="AH370" i="4"/>
  <c r="AJ370" i="4"/>
  <c r="AI370" i="4"/>
  <c r="U552" i="4"/>
  <c r="U550" i="4"/>
  <c r="U556" i="4"/>
  <c r="U559" i="4"/>
  <c r="U553" i="4"/>
  <c r="U558" i="4"/>
  <c r="U555" i="4"/>
  <c r="U551" i="4"/>
  <c r="U557" i="4"/>
  <c r="U554" i="4"/>
  <c r="P300" i="4"/>
  <c r="S79" i="8" s="1"/>
  <c r="M324" i="4"/>
  <c r="P103" i="8" s="1"/>
  <c r="F276" i="4"/>
  <c r="I55" i="8" s="1"/>
  <c r="P312" i="4"/>
  <c r="S91" i="8" s="1"/>
  <c r="AT34" i="4"/>
  <c r="CJ107" i="4"/>
  <c r="BU107" i="4" s="1"/>
  <c r="CI53" i="4"/>
  <c r="BT53" i="4" s="1"/>
  <c r="J276" i="4"/>
  <c r="M55" i="8" s="1"/>
  <c r="S300" i="4"/>
  <c r="V79" i="8" s="1"/>
  <c r="U300" i="4"/>
  <c r="X79" i="8" s="1"/>
  <c r="I324" i="4"/>
  <c r="L103" i="8" s="1"/>
  <c r="V410" i="4"/>
  <c r="U79" i="9" s="1"/>
  <c r="AS34" i="4"/>
  <c r="CN74" i="4"/>
  <c r="BY74" i="4" s="1"/>
  <c r="P276" i="4"/>
  <c r="S55" i="8" s="1"/>
  <c r="I300" i="4"/>
  <c r="L79" i="8" s="1"/>
  <c r="T296" i="4"/>
  <c r="W75" i="8" s="1"/>
  <c r="K324" i="4"/>
  <c r="N103" i="8" s="1"/>
  <c r="R276" i="4"/>
  <c r="U55" i="8" s="1"/>
  <c r="Q386" i="4"/>
  <c r="P55" i="9" s="1"/>
  <c r="F410" i="4"/>
  <c r="E79" i="9" s="1"/>
  <c r="AV34" i="4"/>
  <c r="CM29" i="4"/>
  <c r="BX29" i="4" s="1"/>
  <c r="S276" i="4"/>
  <c r="V55" i="8" s="1"/>
  <c r="N300" i="4"/>
  <c r="Q79" i="8" s="1"/>
  <c r="H300" i="4"/>
  <c r="K79" i="8" s="1"/>
  <c r="M402" i="4"/>
  <c r="L71" i="9" s="1"/>
  <c r="L362" i="4"/>
  <c r="K31" i="9" s="1"/>
  <c r="H276" i="4"/>
  <c r="K55" i="8" s="1"/>
  <c r="O300" i="4"/>
  <c r="R79" i="8" s="1"/>
  <c r="O252" i="4"/>
  <c r="R31" i="8" s="1"/>
  <c r="P434" i="4"/>
  <c r="O103" i="9" s="1"/>
  <c r="P386" i="4"/>
  <c r="O55" i="9" s="1"/>
  <c r="AK48" i="4"/>
  <c r="I276" i="4"/>
  <c r="L55" i="8" s="1"/>
  <c r="G300" i="4"/>
  <c r="J79" i="8" s="1"/>
  <c r="E300" i="4"/>
  <c r="H79" i="8" s="1"/>
  <c r="D402" i="4"/>
  <c r="C71" i="9" s="1"/>
  <c r="W300" i="4"/>
  <c r="Z79" i="8" s="1"/>
  <c r="T252" i="4"/>
  <c r="W31" i="8" s="1"/>
  <c r="AW34" i="4"/>
  <c r="O276" i="4"/>
  <c r="R55" i="8" s="1"/>
  <c r="G252" i="4"/>
  <c r="J31" i="8" s="1"/>
  <c r="V292" i="4"/>
  <c r="Y71" i="8" s="1"/>
  <c r="L276" i="4"/>
  <c r="O55" i="8" s="1"/>
  <c r="S434" i="4"/>
  <c r="R103" i="9" s="1"/>
  <c r="H386" i="4"/>
  <c r="G55" i="9" s="1"/>
  <c r="AY37" i="4"/>
  <c r="W276" i="4"/>
  <c r="Z55" i="8" s="1"/>
  <c r="L252" i="4"/>
  <c r="O31" i="8" s="1"/>
  <c r="U276" i="4"/>
  <c r="X55" i="8" s="1"/>
  <c r="K252" i="4"/>
  <c r="N31" i="8" s="1"/>
  <c r="W252" i="4"/>
  <c r="Z31" i="8" s="1"/>
  <c r="J402" i="4"/>
  <c r="I71" i="9" s="1"/>
  <c r="N374" i="4"/>
  <c r="M43" i="9" s="1"/>
  <c r="W328" i="4"/>
  <c r="Z107" i="8" s="1"/>
  <c r="T312" i="4"/>
  <c r="W91" i="8" s="1"/>
  <c r="W296" i="4"/>
  <c r="Z75" i="8" s="1"/>
  <c r="E410" i="4"/>
  <c r="D79" i="9" s="1"/>
  <c r="AU34" i="4"/>
  <c r="BA37" i="4"/>
  <c r="AX34" i="4"/>
  <c r="BC37" i="4"/>
  <c r="AY34" i="4"/>
  <c r="CQ30" i="4"/>
  <c r="CB30" i="4" s="1"/>
  <c r="M252" i="4"/>
  <c r="P31" i="8" s="1"/>
  <c r="P252" i="4"/>
  <c r="S31" i="8" s="1"/>
  <c r="CO15" i="4"/>
  <c r="BZ15" i="4" s="1"/>
  <c r="AR37" i="4"/>
  <c r="BA34" i="4"/>
  <c r="CO79" i="4"/>
  <c r="BZ79" i="4" s="1"/>
  <c r="CQ42" i="4"/>
  <c r="CB42" i="4" s="1"/>
  <c r="CO67" i="4"/>
  <c r="BZ67" i="4" s="1"/>
  <c r="CN29" i="4"/>
  <c r="BY29" i="4" s="1"/>
  <c r="U324" i="4"/>
  <c r="X103" i="8" s="1"/>
  <c r="S252" i="4"/>
  <c r="V31" i="8" s="1"/>
  <c r="D292" i="4"/>
  <c r="G71" i="8" s="1"/>
  <c r="AJ231" i="4"/>
  <c r="AJ270" i="4"/>
  <c r="CO13" i="4"/>
  <c r="BZ13" i="4" s="1"/>
  <c r="CO63" i="4"/>
  <c r="BZ63" i="4" s="1"/>
  <c r="CR15" i="4"/>
  <c r="CC15" i="4" s="1"/>
  <c r="V300" i="4"/>
  <c r="Y79" i="8" s="1"/>
  <c r="V252" i="4"/>
  <c r="Y31" i="8" s="1"/>
  <c r="L292" i="4"/>
  <c r="O71" i="8" s="1"/>
  <c r="BB34" i="4"/>
  <c r="AT37" i="4"/>
  <c r="U37" i="4" s="1"/>
  <c r="AR34" i="4"/>
  <c r="CK46" i="4"/>
  <c r="BV46" i="4" s="1"/>
  <c r="CO14" i="4"/>
  <c r="BZ14" i="4" s="1"/>
  <c r="CM30" i="4"/>
  <c r="BX30" i="4" s="1"/>
  <c r="CI93" i="4"/>
  <c r="BT93" i="4" s="1"/>
  <c r="U252" i="4"/>
  <c r="X31" i="8" s="1"/>
  <c r="R252" i="4"/>
  <c r="U31" i="8" s="1"/>
  <c r="P292" i="4"/>
  <c r="S71" i="8" s="1"/>
  <c r="Q324" i="4"/>
  <c r="T103" i="8" s="1"/>
  <c r="F300" i="4"/>
  <c r="I79" i="8" s="1"/>
  <c r="J324" i="4"/>
  <c r="M103" i="8" s="1"/>
  <c r="I292" i="4"/>
  <c r="L71" i="8" s="1"/>
  <c r="V276" i="4"/>
  <c r="Y55" i="8" s="1"/>
  <c r="CR13" i="4"/>
  <c r="CC13" i="4" s="1"/>
  <c r="G292" i="4"/>
  <c r="J71" i="8" s="1"/>
  <c r="CS35" i="4"/>
  <c r="CD35" i="4" s="1"/>
  <c r="K315" i="4"/>
  <c r="N94" i="8" s="1"/>
  <c r="R316" i="4"/>
  <c r="U95" i="8" s="1"/>
  <c r="CO11" i="4"/>
  <c r="BZ11" i="4" s="1"/>
  <c r="CO55" i="4"/>
  <c r="BZ55" i="4" s="1"/>
  <c r="I328" i="4"/>
  <c r="L107" i="8" s="1"/>
  <c r="AH279" i="4"/>
  <c r="R328" i="4"/>
  <c r="U107" i="8" s="1"/>
  <c r="G328" i="4"/>
  <c r="J107" i="8" s="1"/>
  <c r="AA270" i="4"/>
  <c r="V328" i="4"/>
  <c r="Y107" i="8" s="1"/>
  <c r="U312" i="4"/>
  <c r="X91" i="8" s="1"/>
  <c r="R312" i="4"/>
  <c r="U91" i="8" s="1"/>
  <c r="K374" i="4"/>
  <c r="J43" i="9" s="1"/>
  <c r="R393" i="4"/>
  <c r="Q62" i="9" s="1"/>
  <c r="U283" i="4"/>
  <c r="X62" i="8" s="1"/>
  <c r="J296" i="4"/>
  <c r="M75" i="8" s="1"/>
  <c r="D434" i="4"/>
  <c r="C103" i="9" s="1"/>
  <c r="S324" i="4"/>
  <c r="V103" i="8" s="1"/>
  <c r="T410" i="4"/>
  <c r="S79" i="9" s="1"/>
  <c r="K300" i="4"/>
  <c r="N79" i="8" s="1"/>
  <c r="O402" i="4"/>
  <c r="N71" i="9" s="1"/>
  <c r="Q292" i="4"/>
  <c r="T71" i="8" s="1"/>
  <c r="R386" i="4"/>
  <c r="Q55" i="9" s="1"/>
  <c r="G276" i="4"/>
  <c r="J55" i="8" s="1"/>
  <c r="W362" i="4"/>
  <c r="V31" i="9" s="1"/>
  <c r="J252" i="4"/>
  <c r="M31" i="8" s="1"/>
  <c r="AK258" i="4"/>
  <c r="CO8" i="4"/>
  <c r="BZ8" i="4" s="1"/>
  <c r="L296" i="4"/>
  <c r="O75" i="8" s="1"/>
  <c r="AM274" i="4"/>
  <c r="L328" i="4"/>
  <c r="O107" i="8" s="1"/>
  <c r="V312" i="4"/>
  <c r="Y91" i="8" s="1"/>
  <c r="AM230" i="4"/>
  <c r="CK79" i="4"/>
  <c r="BV79" i="4" s="1"/>
  <c r="CO9" i="4"/>
  <c r="BZ9" i="4" s="1"/>
  <c r="D296" i="4"/>
  <c r="G75" i="8" s="1"/>
  <c r="AD232" i="4"/>
  <c r="D358" i="4"/>
  <c r="C27" i="9" s="1"/>
  <c r="K248" i="4"/>
  <c r="N27" i="8" s="1"/>
  <c r="CJ73" i="4"/>
  <c r="BU73" i="4" s="1"/>
  <c r="O418" i="4"/>
  <c r="N87" i="9" s="1"/>
  <c r="N418" i="4"/>
  <c r="M87" i="9" s="1"/>
  <c r="H425" i="4"/>
  <c r="G94" i="9" s="1"/>
  <c r="V425" i="4"/>
  <c r="U94" i="9" s="1"/>
  <c r="M425" i="4"/>
  <c r="L94" i="9" s="1"/>
  <c r="E425" i="4"/>
  <c r="D94" i="9" s="1"/>
  <c r="U425" i="4"/>
  <c r="T94" i="9" s="1"/>
  <c r="W425" i="4"/>
  <c r="V94" i="9" s="1"/>
  <c r="S425" i="4"/>
  <c r="R94" i="9" s="1"/>
  <c r="L425" i="4"/>
  <c r="K94" i="9" s="1"/>
  <c r="Q425" i="4"/>
  <c r="P94" i="9" s="1"/>
  <c r="N425" i="4"/>
  <c r="M94" i="9" s="1"/>
  <c r="P403" i="4"/>
  <c r="O72" i="9" s="1"/>
  <c r="P293" i="4"/>
  <c r="S72" i="8" s="1"/>
  <c r="L371" i="4"/>
  <c r="K40" i="9" s="1"/>
  <c r="Q371" i="4"/>
  <c r="P40" i="9" s="1"/>
  <c r="K371" i="4"/>
  <c r="J40" i="9" s="1"/>
  <c r="U261" i="4"/>
  <c r="X40" i="8" s="1"/>
  <c r="M426" i="4"/>
  <c r="L95" i="9" s="1"/>
  <c r="T426" i="4"/>
  <c r="S95" i="9" s="1"/>
  <c r="N426" i="4"/>
  <c r="M95" i="9" s="1"/>
  <c r="K426" i="4"/>
  <c r="J95" i="9" s="1"/>
  <c r="E426" i="4"/>
  <c r="D95" i="9" s="1"/>
  <c r="W426" i="4"/>
  <c r="V95" i="9" s="1"/>
  <c r="P426" i="4"/>
  <c r="O95" i="9" s="1"/>
  <c r="R426" i="4"/>
  <c r="Q95" i="9" s="1"/>
  <c r="I426" i="4"/>
  <c r="H95" i="9" s="1"/>
  <c r="CI47" i="4"/>
  <c r="BT47" i="4" s="1"/>
  <c r="CI49" i="4"/>
  <c r="BT49" i="4" s="1"/>
  <c r="N324" i="4"/>
  <c r="Q103" i="8" s="1"/>
  <c r="T425" i="4"/>
  <c r="S94" i="9" s="1"/>
  <c r="N434" i="4"/>
  <c r="M103" i="9" s="1"/>
  <c r="G386" i="4"/>
  <c r="F55" i="9" s="1"/>
  <c r="C17" i="8"/>
  <c r="CO47" i="4"/>
  <c r="BZ47" i="4" s="1"/>
  <c r="CI52" i="4"/>
  <c r="BT52" i="4" s="1"/>
  <c r="CN8" i="4"/>
  <c r="BY8" i="4" s="1"/>
  <c r="CJ25" i="4"/>
  <c r="BU25" i="4" s="1"/>
  <c r="CI55" i="4"/>
  <c r="BT55" i="4" s="1"/>
  <c r="CJ74" i="4"/>
  <c r="BU74" i="4" s="1"/>
  <c r="T276" i="4"/>
  <c r="W55" i="8" s="1"/>
  <c r="D252" i="4"/>
  <c r="G31" i="8" s="1"/>
  <c r="J315" i="4"/>
  <c r="M94" i="8" s="1"/>
  <c r="M283" i="4"/>
  <c r="P62" i="8" s="1"/>
  <c r="W308" i="4"/>
  <c r="Z87" i="8" s="1"/>
  <c r="P324" i="4"/>
  <c r="S103" i="8" s="1"/>
  <c r="D324" i="4"/>
  <c r="G103" i="8" s="1"/>
  <c r="O324" i="4"/>
  <c r="R103" i="8" s="1"/>
  <c r="D425" i="4"/>
  <c r="C94" i="9" s="1"/>
  <c r="Q434" i="4"/>
  <c r="P103" i="9" s="1"/>
  <c r="U403" i="4"/>
  <c r="T72" i="9" s="1"/>
  <c r="M374" i="4"/>
  <c r="L43" i="9" s="1"/>
  <c r="V315" i="4"/>
  <c r="Y94" i="8" s="1"/>
  <c r="E276" i="4"/>
  <c r="H55" i="8" s="1"/>
  <c r="E252" i="4"/>
  <c r="H31" i="8" s="1"/>
  <c r="L315" i="4"/>
  <c r="O94" i="8" s="1"/>
  <c r="O283" i="4"/>
  <c r="R62" i="8" s="1"/>
  <c r="G324" i="4"/>
  <c r="J103" i="8" s="1"/>
  <c r="I293" i="4"/>
  <c r="L72" i="8" s="1"/>
  <c r="O434" i="4"/>
  <c r="N103" i="9" s="1"/>
  <c r="K386" i="4"/>
  <c r="J55" i="9" s="1"/>
  <c r="H402" i="4"/>
  <c r="G71" i="9" s="1"/>
  <c r="V371" i="4"/>
  <c r="U40" i="9" s="1"/>
  <c r="J426" i="4"/>
  <c r="I95" i="9" s="1"/>
  <c r="CI51" i="4"/>
  <c r="BT51" i="4" s="1"/>
  <c r="W324" i="4"/>
  <c r="Z103" i="8" s="1"/>
  <c r="S418" i="4"/>
  <c r="R87" i="9" s="1"/>
  <c r="N402" i="4"/>
  <c r="M71" i="9" s="1"/>
  <c r="R410" i="4"/>
  <c r="Q79" i="9" s="1"/>
  <c r="W418" i="4"/>
  <c r="V87" i="9" s="1"/>
  <c r="I362" i="4"/>
  <c r="H31" i="9" s="1"/>
  <c r="L414" i="4"/>
  <c r="K83" i="9" s="1"/>
  <c r="V414" i="4"/>
  <c r="U83" i="9" s="1"/>
  <c r="J304" i="4"/>
  <c r="M83" i="8" s="1"/>
  <c r="D398" i="4"/>
  <c r="C67" i="9" s="1"/>
  <c r="S374" i="4"/>
  <c r="R43" i="9" s="1"/>
  <c r="L374" i="4"/>
  <c r="K43" i="9" s="1"/>
  <c r="CS39" i="4"/>
  <c r="CD39" i="4" s="1"/>
  <c r="CN30" i="4"/>
  <c r="BY30" i="4" s="1"/>
  <c r="CR77" i="4"/>
  <c r="CC77" i="4" s="1"/>
  <c r="L308" i="4"/>
  <c r="O87" i="8" s="1"/>
  <c r="M276" i="4"/>
  <c r="P55" i="8" s="1"/>
  <c r="L300" i="4"/>
  <c r="O79" i="8" s="1"/>
  <c r="I252" i="4"/>
  <c r="L31" i="8" s="1"/>
  <c r="U315" i="4"/>
  <c r="X94" i="8" s="1"/>
  <c r="S283" i="4"/>
  <c r="V62" i="8" s="1"/>
  <c r="T283" i="4"/>
  <c r="W62" i="8" s="1"/>
  <c r="J300" i="4"/>
  <c r="M79" i="8" s="1"/>
  <c r="F426" i="4"/>
  <c r="E95" i="9" s="1"/>
  <c r="Q426" i="4"/>
  <c r="P95" i="9" s="1"/>
  <c r="G358" i="4"/>
  <c r="F27" i="9" s="1"/>
  <c r="S393" i="4"/>
  <c r="R62" i="9" s="1"/>
  <c r="V393" i="4"/>
  <c r="U62" i="9" s="1"/>
  <c r="U393" i="4"/>
  <c r="T62" i="9" s="1"/>
  <c r="K393" i="4"/>
  <c r="J62" i="9" s="1"/>
  <c r="F393" i="4"/>
  <c r="E62" i="9" s="1"/>
  <c r="N393" i="4"/>
  <c r="M62" i="9" s="1"/>
  <c r="G393" i="4"/>
  <c r="F62" i="9" s="1"/>
  <c r="M393" i="4"/>
  <c r="L62" i="9" s="1"/>
  <c r="BB109" i="4"/>
  <c r="M434" i="4"/>
  <c r="L103" i="9" s="1"/>
  <c r="H410" i="4"/>
  <c r="G79" i="9" s="1"/>
  <c r="O410" i="4"/>
  <c r="N79" i="9" s="1"/>
  <c r="N410" i="4"/>
  <c r="M79" i="9" s="1"/>
  <c r="W410" i="4"/>
  <c r="V79" i="9" s="1"/>
  <c r="F402" i="4"/>
  <c r="E71" i="9" s="1"/>
  <c r="R402" i="4"/>
  <c r="Q71" i="9" s="1"/>
  <c r="H292" i="4"/>
  <c r="K71" i="8" s="1"/>
  <c r="R292" i="4"/>
  <c r="U71" i="8" s="1"/>
  <c r="M292" i="4"/>
  <c r="P71" i="8" s="1"/>
  <c r="F292" i="4"/>
  <c r="I71" i="8" s="1"/>
  <c r="W292" i="4"/>
  <c r="Z71" i="8" s="1"/>
  <c r="N292" i="4"/>
  <c r="Q71" i="8" s="1"/>
  <c r="E386" i="4"/>
  <c r="D55" i="9" s="1"/>
  <c r="W386" i="4"/>
  <c r="V55" i="9" s="1"/>
  <c r="M386" i="4"/>
  <c r="L55" i="9" s="1"/>
  <c r="S386" i="4"/>
  <c r="R55" i="9" s="1"/>
  <c r="F386" i="4"/>
  <c r="E55" i="9" s="1"/>
  <c r="L386" i="4"/>
  <c r="K55" i="9" s="1"/>
  <c r="V386" i="4"/>
  <c r="U55" i="9" s="1"/>
  <c r="I386" i="4"/>
  <c r="H55" i="9" s="1"/>
  <c r="P362" i="4"/>
  <c r="O31" i="9" s="1"/>
  <c r="R362" i="4"/>
  <c r="Q31" i="9" s="1"/>
  <c r="O362" i="4"/>
  <c r="N31" i="9" s="1"/>
  <c r="CO51" i="4"/>
  <c r="BZ51" i="4" s="1"/>
  <c r="CO54" i="4"/>
  <c r="BZ54" i="4" s="1"/>
  <c r="CO108" i="4"/>
  <c r="BZ108" i="4" s="1"/>
  <c r="CR65" i="4"/>
  <c r="CC65" i="4" s="1"/>
  <c r="N276" i="4"/>
  <c r="Q55" i="8" s="1"/>
  <c r="T300" i="4"/>
  <c r="W79" i="8" s="1"/>
  <c r="Q252" i="4"/>
  <c r="T31" i="8" s="1"/>
  <c r="R315" i="4"/>
  <c r="U94" i="8" s="1"/>
  <c r="W304" i="4"/>
  <c r="Z83" i="8" s="1"/>
  <c r="D300" i="4"/>
  <c r="G79" i="8" s="1"/>
  <c r="L324" i="4"/>
  <c r="O103" i="8" s="1"/>
  <c r="S292" i="4"/>
  <c r="V71" i="8" s="1"/>
  <c r="S261" i="4"/>
  <c r="V40" i="8" s="1"/>
  <c r="U292" i="4"/>
  <c r="X71" i="8" s="1"/>
  <c r="I315" i="4"/>
  <c r="L94" i="8" s="1"/>
  <c r="P402" i="4"/>
  <c r="O71" i="9" s="1"/>
  <c r="G426" i="4"/>
  <c r="F95" i="9" s="1"/>
  <c r="P374" i="4"/>
  <c r="O43" i="9" s="1"/>
  <c r="CP105" i="4"/>
  <c r="CA105" i="4" s="1"/>
  <c r="CR21" i="4"/>
  <c r="CC21" i="4" s="1"/>
  <c r="AM61" i="4"/>
  <c r="R300" i="4"/>
  <c r="U79" i="8" s="1"/>
  <c r="F252" i="4"/>
  <c r="I31" i="8" s="1"/>
  <c r="R324" i="4"/>
  <c r="U103" i="8" s="1"/>
  <c r="J283" i="4"/>
  <c r="M62" i="8" s="1"/>
  <c r="J308" i="4"/>
  <c r="M87" i="8" s="1"/>
  <c r="E324" i="4"/>
  <c r="H103" i="8" s="1"/>
  <c r="K292" i="4"/>
  <c r="N71" i="8" s="1"/>
  <c r="J403" i="4"/>
  <c r="I72" i="9" s="1"/>
  <c r="O393" i="4"/>
  <c r="N62" i="9" s="1"/>
  <c r="U410" i="4"/>
  <c r="T79" i="9" s="1"/>
  <c r="Q414" i="4"/>
  <c r="P83" i="9" s="1"/>
  <c r="K362" i="4"/>
  <c r="J31" i="9" s="1"/>
  <c r="J393" i="4"/>
  <c r="I62" i="9" s="1"/>
  <c r="C18" i="8"/>
  <c r="AF239" i="4"/>
  <c r="AP239" i="4"/>
  <c r="H324" i="4"/>
  <c r="K103" i="8" s="1"/>
  <c r="D386" i="4"/>
  <c r="C55" i="9" s="1"/>
  <c r="O386" i="4"/>
  <c r="N55" i="9" s="1"/>
  <c r="N386" i="4"/>
  <c r="M55" i="9" s="1"/>
  <c r="L402" i="4"/>
  <c r="K71" i="9" s="1"/>
  <c r="W402" i="4"/>
  <c r="V71" i="9" s="1"/>
  <c r="N362" i="4"/>
  <c r="M31" i="9" s="1"/>
  <c r="E402" i="4"/>
  <c r="D71" i="9" s="1"/>
  <c r="D362" i="4"/>
  <c r="C31" i="9" s="1"/>
  <c r="E292" i="4"/>
  <c r="H71" i="8" s="1"/>
  <c r="K425" i="4"/>
  <c r="J94" i="9" s="1"/>
  <c r="E414" i="4"/>
  <c r="D83" i="9" s="1"/>
  <c r="J425" i="4"/>
  <c r="I94" i="9" s="1"/>
  <c r="V358" i="4"/>
  <c r="U27" i="9" s="1"/>
  <c r="N358" i="4"/>
  <c r="M27" i="9" s="1"/>
  <c r="W358" i="4"/>
  <c r="V27" i="9" s="1"/>
  <c r="F358" i="4"/>
  <c r="E27" i="9" s="1"/>
  <c r="Q358" i="4"/>
  <c r="P27" i="9" s="1"/>
  <c r="L358" i="4"/>
  <c r="K27" i="9" s="1"/>
  <c r="K358" i="4"/>
  <c r="J27" i="9" s="1"/>
  <c r="U358" i="4"/>
  <c r="T27" i="9" s="1"/>
  <c r="M358" i="4"/>
  <c r="L27" i="9" s="1"/>
  <c r="P358" i="4"/>
  <c r="O27" i="9" s="1"/>
  <c r="O358" i="4"/>
  <c r="N27" i="9" s="1"/>
  <c r="E358" i="4"/>
  <c r="D27" i="9" s="1"/>
  <c r="L297" i="4"/>
  <c r="O76" i="8" s="1"/>
  <c r="V438" i="4"/>
  <c r="U107" i="9" s="1"/>
  <c r="Q422" i="4"/>
  <c r="P91" i="9" s="1"/>
  <c r="I406" i="4"/>
  <c r="H75" i="9" s="1"/>
  <c r="AF274" i="4"/>
  <c r="AP258" i="4"/>
  <c r="AC262" i="4"/>
  <c r="AK262" i="4"/>
  <c r="AQ273" i="4"/>
  <c r="U439" i="4"/>
  <c r="T108" i="9" s="1"/>
  <c r="F329" i="4"/>
  <c r="I108" i="8" s="1"/>
  <c r="F438" i="4"/>
  <c r="E107" i="9" s="1"/>
  <c r="K328" i="4"/>
  <c r="N107" i="8" s="1"/>
  <c r="F422" i="4"/>
  <c r="E91" i="9" s="1"/>
  <c r="L312" i="4"/>
  <c r="O91" i="8" s="1"/>
  <c r="R406" i="4"/>
  <c r="Q75" i="9" s="1"/>
  <c r="K296" i="4"/>
  <c r="N75" i="8" s="1"/>
  <c r="AB240" i="4"/>
  <c r="AQ230" i="4"/>
  <c r="M407" i="4"/>
  <c r="L76" i="9" s="1"/>
  <c r="AR256" i="4"/>
  <c r="R434" i="4"/>
  <c r="Q103" i="9" s="1"/>
  <c r="L410" i="4"/>
  <c r="K79" i="9" s="1"/>
  <c r="I402" i="4"/>
  <c r="H71" i="9" s="1"/>
  <c r="U402" i="4"/>
  <c r="T71" i="9" s="1"/>
  <c r="F362" i="4"/>
  <c r="E31" i="9" s="1"/>
  <c r="AK256" i="4"/>
  <c r="AX43" i="4"/>
  <c r="F312" i="4"/>
  <c r="I91" i="8" s="1"/>
  <c r="J406" i="4"/>
  <c r="I75" i="9" s="1"/>
  <c r="S406" i="4"/>
  <c r="R75" i="9" s="1"/>
  <c r="O438" i="4"/>
  <c r="N107" i="9" s="1"/>
  <c r="N406" i="4"/>
  <c r="M75" i="9" s="1"/>
  <c r="AE279" i="4"/>
  <c r="AS262" i="4"/>
  <c r="CK22" i="4"/>
  <c r="BV22" i="4" s="1"/>
  <c r="P422" i="4"/>
  <c r="O91" i="9" s="1"/>
  <c r="D411" i="4"/>
  <c r="C80" i="9" s="1"/>
  <c r="K439" i="4"/>
  <c r="J108" i="9" s="1"/>
  <c r="H329" i="4"/>
  <c r="K108" i="8" s="1"/>
  <c r="J297" i="4"/>
  <c r="M76" i="8" s="1"/>
  <c r="D438" i="4"/>
  <c r="C107" i="9" s="1"/>
  <c r="O328" i="4"/>
  <c r="R107" i="8" s="1"/>
  <c r="T422" i="4"/>
  <c r="S91" i="9" s="1"/>
  <c r="S312" i="4"/>
  <c r="V91" i="8" s="1"/>
  <c r="F296" i="4"/>
  <c r="I75" i="8" s="1"/>
  <c r="AA272" i="4"/>
  <c r="AH262" i="4"/>
  <c r="CN22" i="4"/>
  <c r="BY22" i="4" s="1"/>
  <c r="K407" i="4"/>
  <c r="J76" i="9" s="1"/>
  <c r="AT272" i="4"/>
  <c r="CN21" i="4"/>
  <c r="BY21" i="4" s="1"/>
  <c r="CP13" i="4"/>
  <c r="CA13" i="4" s="1"/>
  <c r="G312" i="4"/>
  <c r="J91" i="8" s="1"/>
  <c r="G410" i="4"/>
  <c r="F79" i="9" s="1"/>
  <c r="V402" i="4"/>
  <c r="U71" i="9" s="1"/>
  <c r="L406" i="4"/>
  <c r="K75" i="9" s="1"/>
  <c r="Q406" i="4"/>
  <c r="P75" i="9" s="1"/>
  <c r="AD242" i="4"/>
  <c r="AB272" i="4"/>
  <c r="AB259" i="4"/>
  <c r="AR239" i="4"/>
  <c r="AB270" i="4"/>
  <c r="AN262" i="4"/>
  <c r="CP14" i="4"/>
  <c r="CA14" i="4" s="1"/>
  <c r="CP15" i="4"/>
  <c r="CA15" i="4" s="1"/>
  <c r="W422" i="4"/>
  <c r="V91" i="9" s="1"/>
  <c r="W406" i="4"/>
  <c r="V75" i="9" s="1"/>
  <c r="D422" i="4"/>
  <c r="C91" i="9" s="1"/>
  <c r="AF242" i="4"/>
  <c r="AR272" i="4"/>
  <c r="AQ259" i="4"/>
  <c r="AT239" i="4"/>
  <c r="AE270" i="4"/>
  <c r="CK20" i="4"/>
  <c r="BV20" i="4" s="1"/>
  <c r="CI44" i="4"/>
  <c r="BT44" i="4" s="1"/>
  <c r="CR69" i="4"/>
  <c r="CC69" i="4" s="1"/>
  <c r="Q296" i="4"/>
  <c r="T75" i="8" s="1"/>
  <c r="K406" i="4"/>
  <c r="J75" i="9" s="1"/>
  <c r="G406" i="4"/>
  <c r="F75" i="9" s="1"/>
  <c r="H422" i="4"/>
  <c r="G91" i="9" s="1"/>
  <c r="T434" i="4"/>
  <c r="S103" i="9" s="1"/>
  <c r="J410" i="4"/>
  <c r="I79" i="9" s="1"/>
  <c r="AH242" i="4"/>
  <c r="AK272" i="4"/>
  <c r="AP259" i="4"/>
  <c r="AB239" i="4"/>
  <c r="AQ270" i="4"/>
  <c r="CO94" i="4"/>
  <c r="BZ94" i="4" s="1"/>
  <c r="M406" i="4"/>
  <c r="L75" i="9" s="1"/>
  <c r="AM273" i="4"/>
  <c r="AO242" i="4"/>
  <c r="AC272" i="4"/>
  <c r="AR259" i="4"/>
  <c r="AL239" i="4"/>
  <c r="AT270" i="4"/>
  <c r="AM31" i="4"/>
  <c r="AQ242" i="4"/>
  <c r="AD238" i="4"/>
  <c r="CR51" i="4"/>
  <c r="CC51" i="4" s="1"/>
  <c r="CN49" i="4"/>
  <c r="BY49" i="4" s="1"/>
  <c r="M312" i="4"/>
  <c r="P91" i="8" s="1"/>
  <c r="Q328" i="4"/>
  <c r="T107" i="8" s="1"/>
  <c r="H296" i="4"/>
  <c r="K75" i="8" s="1"/>
  <c r="J438" i="4"/>
  <c r="I107" i="9" s="1"/>
  <c r="W438" i="4"/>
  <c r="V107" i="9" s="1"/>
  <c r="V434" i="4"/>
  <c r="U103" i="9" s="1"/>
  <c r="J362" i="4"/>
  <c r="I31" i="9" s="1"/>
  <c r="H362" i="4"/>
  <c r="G31" i="9" s="1"/>
  <c r="V362" i="4"/>
  <c r="U31" i="9" s="1"/>
  <c r="M439" i="4"/>
  <c r="L108" i="9" s="1"/>
  <c r="AG273" i="4"/>
  <c r="AB258" i="4"/>
  <c r="AG242" i="4"/>
  <c r="AD256" i="4"/>
  <c r="AG259" i="4"/>
  <c r="AK270" i="4"/>
  <c r="AA262" i="4"/>
  <c r="AK238" i="4"/>
  <c r="CN20" i="4"/>
  <c r="BY20" i="4" s="1"/>
  <c r="CJ20" i="4"/>
  <c r="BU20" i="4" s="1"/>
  <c r="CK21" i="4"/>
  <c r="BV21" i="4" s="1"/>
  <c r="P329" i="4"/>
  <c r="S108" i="8" s="1"/>
  <c r="T328" i="4"/>
  <c r="W107" i="8" s="1"/>
  <c r="K402" i="4"/>
  <c r="J71" i="9" s="1"/>
  <c r="V422" i="4"/>
  <c r="U91" i="9" s="1"/>
  <c r="E438" i="4"/>
  <c r="D107" i="9" s="1"/>
  <c r="Q410" i="4"/>
  <c r="P79" i="9" s="1"/>
  <c r="N422" i="4"/>
  <c r="M91" i="9" s="1"/>
  <c r="AL273" i="4"/>
  <c r="AR258" i="4"/>
  <c r="AI242" i="4"/>
  <c r="AQ256" i="4"/>
  <c r="AF240" i="4"/>
  <c r="AP270" i="4"/>
  <c r="AD262" i="4"/>
  <c r="AN238" i="4"/>
  <c r="V329" i="4"/>
  <c r="Y108" i="8" s="1"/>
  <c r="H438" i="4"/>
  <c r="G107" i="9" s="1"/>
  <c r="AD273" i="4"/>
  <c r="G434" i="4"/>
  <c r="F103" i="9" s="1"/>
  <c r="I410" i="4"/>
  <c r="H79" i="9" s="1"/>
  <c r="P410" i="4"/>
  <c r="O79" i="9" s="1"/>
  <c r="T402" i="4"/>
  <c r="S71" i="9" s="1"/>
  <c r="T386" i="4"/>
  <c r="S55" i="9" s="1"/>
  <c r="Q362" i="4"/>
  <c r="P31" i="9" s="1"/>
  <c r="AS238" i="4"/>
  <c r="AM22" i="4"/>
  <c r="AM19" i="4"/>
  <c r="AL51" i="4"/>
  <c r="G329" i="4"/>
  <c r="J108" i="8" s="1"/>
  <c r="E406" i="4"/>
  <c r="D75" i="9" s="1"/>
  <c r="H434" i="4"/>
  <c r="G103" i="9" s="1"/>
  <c r="N438" i="4"/>
  <c r="M107" i="9" s="1"/>
  <c r="AA258" i="4"/>
  <c r="AR262" i="4"/>
  <c r="AO238" i="4"/>
  <c r="CR71" i="4"/>
  <c r="CC71" i="4" s="1"/>
  <c r="K329" i="4"/>
  <c r="N108" i="8" s="1"/>
  <c r="G301" i="4"/>
  <c r="J80" i="8" s="1"/>
  <c r="J329" i="4"/>
  <c r="M108" i="8" s="1"/>
  <c r="U406" i="4"/>
  <c r="T75" i="9" s="1"/>
  <c r="AB262" i="4"/>
  <c r="AA238" i="4"/>
  <c r="AM21" i="4"/>
  <c r="S329" i="4"/>
  <c r="V108" i="8" s="1"/>
  <c r="AE262" i="4"/>
  <c r="AR238" i="4"/>
  <c r="AF262" i="4"/>
  <c r="AE238" i="4"/>
  <c r="L439" i="4"/>
  <c r="K108" i="9" s="1"/>
  <c r="M422" i="4"/>
  <c r="L91" i="9" s="1"/>
  <c r="AI274" i="4"/>
  <c r="AL280" i="4"/>
  <c r="AN245" i="4"/>
  <c r="AO280" i="4"/>
  <c r="AQ245" i="4"/>
  <c r="CO31" i="4"/>
  <c r="BZ31" i="4" s="1"/>
  <c r="CO29" i="4"/>
  <c r="BZ29" i="4" s="1"/>
  <c r="I329" i="4"/>
  <c r="L108" i="8" s="1"/>
  <c r="D312" i="4"/>
  <c r="G91" i="8" s="1"/>
  <c r="P296" i="4"/>
  <c r="S75" i="8" s="1"/>
  <c r="I438" i="4"/>
  <c r="H107" i="9" s="1"/>
  <c r="S410" i="4"/>
  <c r="R79" i="9" s="1"/>
  <c r="V406" i="4"/>
  <c r="U75" i="9" s="1"/>
  <c r="U422" i="4"/>
  <c r="T91" i="9" s="1"/>
  <c r="T406" i="4"/>
  <c r="S75" i="9" s="1"/>
  <c r="G402" i="4"/>
  <c r="F71" i="9" s="1"/>
  <c r="I439" i="4"/>
  <c r="H108" i="9" s="1"/>
  <c r="L438" i="4"/>
  <c r="K107" i="9" s="1"/>
  <c r="AC273" i="4"/>
  <c r="AQ274" i="4"/>
  <c r="AD258" i="4"/>
  <c r="AK242" i="4"/>
  <c r="AS280" i="4"/>
  <c r="AN272" i="4"/>
  <c r="AF256" i="4"/>
  <c r="AS259" i="4"/>
  <c r="AQ239" i="4"/>
  <c r="AD270" i="4"/>
  <c r="AF238" i="4"/>
  <c r="AG238" i="4"/>
  <c r="AK230" i="4"/>
  <c r="AC245" i="4"/>
  <c r="CJ63" i="4"/>
  <c r="BU63" i="4" s="1"/>
  <c r="CT24" i="4"/>
  <c r="CE24" i="4" s="1"/>
  <c r="D329" i="4"/>
  <c r="G108" i="8" s="1"/>
  <c r="L329" i="4"/>
  <c r="O108" i="8" s="1"/>
  <c r="F328" i="4"/>
  <c r="I107" i="8" s="1"/>
  <c r="H312" i="4"/>
  <c r="K91" i="8" s="1"/>
  <c r="S296" i="4"/>
  <c r="V75" i="8" s="1"/>
  <c r="E312" i="4"/>
  <c r="H91" i="8" s="1"/>
  <c r="S439" i="4"/>
  <c r="R108" i="9" s="1"/>
  <c r="N439" i="4"/>
  <c r="M108" i="9" s="1"/>
  <c r="F406" i="4"/>
  <c r="E75" i="9" s="1"/>
  <c r="E422" i="4"/>
  <c r="D91" i="9" s="1"/>
  <c r="D406" i="4"/>
  <c r="C75" i="9" s="1"/>
  <c r="R438" i="4"/>
  <c r="Q107" i="9" s="1"/>
  <c r="R422" i="4"/>
  <c r="Q91" i="9" s="1"/>
  <c r="H406" i="4"/>
  <c r="G75" i="9" s="1"/>
  <c r="T362" i="4"/>
  <c r="S31" i="9" s="1"/>
  <c r="M410" i="4"/>
  <c r="L79" i="9" s="1"/>
  <c r="S362" i="4"/>
  <c r="R31" i="9" s="1"/>
  <c r="L422" i="4"/>
  <c r="K91" i="9" s="1"/>
  <c r="AP273" i="4"/>
  <c r="AT274" i="4"/>
  <c r="AC258" i="4"/>
  <c r="AJ242" i="4"/>
  <c r="AJ280" i="4"/>
  <c r="AP272" i="4"/>
  <c r="AC259" i="4"/>
  <c r="AS239" i="4"/>
  <c r="AG270" i="4"/>
  <c r="AH238" i="4"/>
  <c r="AI238" i="4"/>
  <c r="AN230" i="4"/>
  <c r="AS245" i="4"/>
  <c r="O329" i="4"/>
  <c r="R108" i="8" s="1"/>
  <c r="N411" i="4"/>
  <c r="M80" i="9" s="1"/>
  <c r="AA274" i="4"/>
  <c r="AS258" i="4"/>
  <c r="AP280" i="4"/>
  <c r="AF259" i="4"/>
  <c r="Q329" i="4"/>
  <c r="T108" i="8" s="1"/>
  <c r="M328" i="4"/>
  <c r="P107" i="8" s="1"/>
  <c r="R301" i="4"/>
  <c r="U80" i="8" s="1"/>
  <c r="G438" i="4"/>
  <c r="F107" i="9" s="1"/>
  <c r="G422" i="4"/>
  <c r="F91" i="9" s="1"/>
  <c r="E439" i="4"/>
  <c r="D108" i="9" s="1"/>
  <c r="K410" i="4"/>
  <c r="J79" i="9" s="1"/>
  <c r="L407" i="4"/>
  <c r="K76" i="9" s="1"/>
  <c r="AS274" i="4"/>
  <c r="AH258" i="4"/>
  <c r="AS272" i="4"/>
  <c r="AC240" i="4"/>
  <c r="AO259" i="4"/>
  <c r="AH270" i="4"/>
  <c r="AL238" i="4"/>
  <c r="AA230" i="4"/>
  <c r="CN13" i="4"/>
  <c r="BY13" i="4" s="1"/>
  <c r="CM9" i="4"/>
  <c r="BX9" i="4" s="1"/>
  <c r="CT25" i="4"/>
  <c r="CE25" i="4" s="1"/>
  <c r="R329" i="4"/>
  <c r="U108" i="8" s="1"/>
  <c r="S328" i="4"/>
  <c r="V107" i="8" s="1"/>
  <c r="J312" i="4"/>
  <c r="M91" i="8" s="1"/>
  <c r="I296" i="4"/>
  <c r="L75" i="8" s="1"/>
  <c r="U296" i="4"/>
  <c r="X75" i="8" s="1"/>
  <c r="T329" i="4"/>
  <c r="W108" i="8" s="1"/>
  <c r="T439" i="4"/>
  <c r="S108" i="9" s="1"/>
  <c r="U438" i="4"/>
  <c r="T107" i="9" s="1"/>
  <c r="I434" i="4"/>
  <c r="H103" i="9" s="1"/>
  <c r="K438" i="4"/>
  <c r="J107" i="9" s="1"/>
  <c r="Q438" i="4"/>
  <c r="P107" i="9" s="1"/>
  <c r="H439" i="4"/>
  <c r="G108" i="9" s="1"/>
  <c r="AH274" i="4"/>
  <c r="AT258" i="4"/>
  <c r="AN258" i="4"/>
  <c r="AA280" i="4"/>
  <c r="AS240" i="4"/>
  <c r="AP232" i="4"/>
  <c r="AT259" i="4"/>
  <c r="AP279" i="4"/>
  <c r="AN270" i="4"/>
  <c r="AP238" i="4"/>
  <c r="AI230" i="4"/>
  <c r="D439" i="4"/>
  <c r="C108" i="9" s="1"/>
  <c r="J439" i="4"/>
  <c r="I108" i="9" s="1"/>
  <c r="W439" i="4"/>
  <c r="V108" i="9" s="1"/>
  <c r="AK274" i="4"/>
  <c r="AE280" i="4"/>
  <c r="CJ44" i="4"/>
  <c r="BU44" i="4" s="1"/>
  <c r="CL58" i="4"/>
  <c r="BW58" i="4" s="1"/>
  <c r="P328" i="4"/>
  <c r="S107" i="8" s="1"/>
  <c r="M329" i="4"/>
  <c r="P108" i="8" s="1"/>
  <c r="U328" i="4"/>
  <c r="X107" i="8" s="1"/>
  <c r="I312" i="4"/>
  <c r="L91" i="8" s="1"/>
  <c r="N296" i="4"/>
  <c r="Q75" i="8" s="1"/>
  <c r="F439" i="4"/>
  <c r="E108" i="9" s="1"/>
  <c r="M438" i="4"/>
  <c r="L107" i="9" s="1"/>
  <c r="K422" i="4"/>
  <c r="J91" i="9" s="1"/>
  <c r="K434" i="4"/>
  <c r="J103" i="9" s="1"/>
  <c r="S438" i="4"/>
  <c r="R107" i="9" s="1"/>
  <c r="S422" i="4"/>
  <c r="R91" i="9" s="1"/>
  <c r="F434" i="4"/>
  <c r="E103" i="9" s="1"/>
  <c r="P406" i="4"/>
  <c r="O75" i="9" s="1"/>
  <c r="O422" i="4"/>
  <c r="N91" i="9" s="1"/>
  <c r="U386" i="4"/>
  <c r="T55" i="9" s="1"/>
  <c r="AN274" i="4"/>
  <c r="AF258" i="4"/>
  <c r="AI280" i="4"/>
  <c r="AD272" i="4"/>
  <c r="AM240" i="4"/>
  <c r="AJ232" i="4"/>
  <c r="AE259" i="4"/>
  <c r="AJ259" i="4"/>
  <c r="AT238" i="4"/>
  <c r="AM57" i="4"/>
  <c r="N329" i="4"/>
  <c r="Q108" i="8" s="1"/>
  <c r="H328" i="4"/>
  <c r="K107" i="8" s="1"/>
  <c r="K312" i="4"/>
  <c r="N91" i="8" s="1"/>
  <c r="O296" i="4"/>
  <c r="R75" i="8" s="1"/>
  <c r="T297" i="4"/>
  <c r="W76" i="8" s="1"/>
  <c r="R439" i="4"/>
  <c r="Q108" i="9" s="1"/>
  <c r="Q407" i="4"/>
  <c r="P76" i="9" s="1"/>
  <c r="P438" i="4"/>
  <c r="O107" i="9" s="1"/>
  <c r="AP274" i="4"/>
  <c r="AG258" i="4"/>
  <c r="AD280" i="4"/>
  <c r="AM272" i="4"/>
  <c r="AA240" i="4"/>
  <c r="AO232" i="4"/>
  <c r="AI259" i="4"/>
  <c r="AT262" i="4"/>
  <c r="AC238" i="4"/>
  <c r="E328" i="4"/>
  <c r="H107" i="8" s="1"/>
  <c r="E329" i="4"/>
  <c r="H108" i="8" s="1"/>
  <c r="J328" i="4"/>
  <c r="M107" i="8" s="1"/>
  <c r="N312" i="4"/>
  <c r="Q91" i="8" s="1"/>
  <c r="G296" i="4"/>
  <c r="J75" i="8" s="1"/>
  <c r="G439" i="4"/>
  <c r="F108" i="9" s="1"/>
  <c r="J422" i="4"/>
  <c r="I91" i="9" s="1"/>
  <c r="O439" i="4"/>
  <c r="N108" i="9" s="1"/>
  <c r="V439" i="4"/>
  <c r="U108" i="9" s="1"/>
  <c r="O406" i="4"/>
  <c r="N75" i="9" s="1"/>
  <c r="AJ258" i="4"/>
  <c r="AG280" i="4"/>
  <c r="AQ272" i="4"/>
  <c r="AK259" i="4"/>
  <c r="AJ238" i="4"/>
  <c r="U329" i="4"/>
  <c r="X108" i="8" s="1"/>
  <c r="Q439" i="4"/>
  <c r="P108" i="9" s="1"/>
  <c r="I422" i="4"/>
  <c r="H91" i="9" s="1"/>
  <c r="H411" i="4"/>
  <c r="G80" i="9" s="1"/>
  <c r="P439" i="4"/>
  <c r="O108" i="9" s="1"/>
  <c r="AB274" i="4"/>
  <c r="AM258" i="4"/>
  <c r="AK280" i="4"/>
  <c r="AN259" i="4"/>
  <c r="AE274" i="4"/>
  <c r="AM280" i="4"/>
  <c r="AJ245" i="4"/>
  <c r="CT81" i="4"/>
  <c r="CE81" i="4" s="1"/>
  <c r="CO30" i="4"/>
  <c r="BZ30" i="4" s="1"/>
  <c r="AM9" i="4"/>
  <c r="W329" i="4"/>
  <c r="Z108" i="8" s="1"/>
  <c r="S297" i="4"/>
  <c r="V76" i="8" s="1"/>
  <c r="N328" i="4"/>
  <c r="Q107" i="8" s="1"/>
  <c r="W312" i="4"/>
  <c r="Z91" i="8" s="1"/>
  <c r="P411" i="4"/>
  <c r="O80" i="9" s="1"/>
  <c r="T438" i="4"/>
  <c r="S107" i="9" s="1"/>
  <c r="W434" i="4"/>
  <c r="V103" i="9" s="1"/>
  <c r="U434" i="4"/>
  <c r="T103" i="9" s="1"/>
  <c r="M362" i="4"/>
  <c r="L31" i="9" s="1"/>
  <c r="AJ274" i="4"/>
  <c r="AE258" i="4"/>
  <c r="AT280" i="4"/>
  <c r="AE272" i="4"/>
  <c r="AG256" i="4"/>
  <c r="AH259" i="4"/>
  <c r="AO231" i="4"/>
  <c r="AI270" i="4"/>
  <c r="AQ238" i="4"/>
  <c r="AL245" i="4"/>
  <c r="CO90" i="4"/>
  <c r="BZ90" i="4" s="1"/>
  <c r="CJ65" i="4"/>
  <c r="BU65" i="4" s="1"/>
  <c r="CK18" i="4"/>
  <c r="BV18" i="4" s="1"/>
  <c r="CN44" i="4"/>
  <c r="BY44" i="4" s="1"/>
  <c r="CT107" i="4"/>
  <c r="CE107" i="4" s="1"/>
  <c r="M296" i="4"/>
  <c r="P75" i="8" s="1"/>
  <c r="D328" i="4"/>
  <c r="G107" i="8" s="1"/>
  <c r="L434" i="4"/>
  <c r="K103" i="9" s="1"/>
  <c r="E362" i="4"/>
  <c r="D31" i="9" s="1"/>
  <c r="AF273" i="4"/>
  <c r="AL274" i="4"/>
  <c r="AI258" i="4"/>
  <c r="AC280" i="4"/>
  <c r="AI272" i="4"/>
  <c r="AJ256" i="4"/>
  <c r="AM259" i="4"/>
  <c r="AC231" i="4"/>
  <c r="AM270" i="4"/>
  <c r="AB238" i="4"/>
  <c r="AO245" i="4"/>
  <c r="C16" i="8"/>
  <c r="AS237" i="4"/>
  <c r="AC237" i="4"/>
  <c r="AQ237" i="4"/>
  <c r="AA237" i="4"/>
  <c r="AN237" i="4"/>
  <c r="AT237" i="4"/>
  <c r="AR237" i="4"/>
  <c r="AP237" i="4"/>
  <c r="AO237" i="4"/>
  <c r="AL237" i="4"/>
  <c r="AJ237" i="4"/>
  <c r="AM237" i="4"/>
  <c r="AH237" i="4"/>
  <c r="AK237" i="4"/>
  <c r="AG237" i="4"/>
  <c r="AI237" i="4"/>
  <c r="AD237" i="4"/>
  <c r="AF237" i="4"/>
  <c r="AB237" i="4"/>
  <c r="AE237" i="4"/>
  <c r="CM58" i="4"/>
  <c r="BX58" i="4" s="1"/>
  <c r="AM24" i="4"/>
  <c r="AK44" i="4"/>
  <c r="AL89" i="4"/>
  <c r="C32" i="8"/>
  <c r="AI253" i="4"/>
  <c r="AF253" i="4"/>
  <c r="AE253" i="4"/>
  <c r="AC253" i="4"/>
  <c r="AQ253" i="4"/>
  <c r="AA253" i="4"/>
  <c r="AN253" i="4"/>
  <c r="AS253" i="4"/>
  <c r="AP253" i="4"/>
  <c r="AO253" i="4"/>
  <c r="AL253" i="4"/>
  <c r="AJ253" i="4"/>
  <c r="AT253" i="4"/>
  <c r="AH253" i="4"/>
  <c r="AR253" i="4"/>
  <c r="AG253" i="4"/>
  <c r="AM253" i="4"/>
  <c r="AD253" i="4"/>
  <c r="AK253" i="4"/>
  <c r="AB253" i="4"/>
  <c r="C36" i="8"/>
  <c r="AS257" i="4"/>
  <c r="AP257" i="4"/>
  <c r="AN257" i="4"/>
  <c r="AT257" i="4"/>
  <c r="AJ257" i="4"/>
  <c r="AD257" i="4"/>
  <c r="AH257" i="4"/>
  <c r="AR257" i="4"/>
  <c r="AE257" i="4"/>
  <c r="AB257" i="4"/>
  <c r="AC257" i="4"/>
  <c r="AO257" i="4"/>
  <c r="AL257" i="4"/>
  <c r="AG257" i="4"/>
  <c r="AQ257" i="4"/>
  <c r="AM257" i="4"/>
  <c r="AK257" i="4"/>
  <c r="AI257" i="4"/>
  <c r="AF257" i="4"/>
  <c r="AA257" i="4"/>
  <c r="AR284" i="4"/>
  <c r="AB284" i="4"/>
  <c r="AP284" i="4"/>
  <c r="AJ284" i="4"/>
  <c r="AQ284" i="4"/>
  <c r="AN284" i="4"/>
  <c r="AK284" i="4"/>
  <c r="AG284" i="4"/>
  <c r="AE284" i="4"/>
  <c r="AA284" i="4"/>
  <c r="AI284" i="4"/>
  <c r="AF284" i="4"/>
  <c r="AC284" i="4"/>
  <c r="AS284" i="4"/>
  <c r="AL284" i="4"/>
  <c r="AT284" i="4"/>
  <c r="AO284" i="4"/>
  <c r="AM284" i="4"/>
  <c r="AH284" i="4"/>
  <c r="AD284" i="4"/>
  <c r="I172" i="4"/>
  <c r="D172" i="4" s="1"/>
  <c r="C63" i="8" s="1"/>
  <c r="H407" i="4"/>
  <c r="G76" i="9" s="1"/>
  <c r="C56" i="8"/>
  <c r="AL277" i="4"/>
  <c r="AI277" i="4"/>
  <c r="AE277" i="4"/>
  <c r="AR277" i="4"/>
  <c r="AP277" i="4"/>
  <c r="AN277" i="4"/>
  <c r="AJ277" i="4"/>
  <c r="AF277" i="4"/>
  <c r="AG277" i="4"/>
  <c r="AD277" i="4"/>
  <c r="AC277" i="4"/>
  <c r="AT277" i="4"/>
  <c r="AA277" i="4"/>
  <c r="AB277" i="4"/>
  <c r="AQ277" i="4"/>
  <c r="AM277" i="4"/>
  <c r="AK277" i="4"/>
  <c r="AH277" i="4"/>
  <c r="AS277" i="4"/>
  <c r="AO277" i="4"/>
  <c r="AL267" i="4"/>
  <c r="AJ267" i="4"/>
  <c r="AG267" i="4"/>
  <c r="AT267" i="4"/>
  <c r="AD267" i="4"/>
  <c r="AR267" i="4"/>
  <c r="AB267" i="4"/>
  <c r="AO267" i="4"/>
  <c r="AS267" i="4"/>
  <c r="AP267" i="4"/>
  <c r="AM267" i="4"/>
  <c r="AH267" i="4"/>
  <c r="AF267" i="4"/>
  <c r="AC267" i="4"/>
  <c r="AQ267" i="4"/>
  <c r="AN267" i="4"/>
  <c r="AK267" i="4"/>
  <c r="AI267" i="4"/>
  <c r="AE267" i="4"/>
  <c r="AA267" i="4"/>
  <c r="I155" i="4"/>
  <c r="D155" i="4" s="1"/>
  <c r="C46" i="8" s="1"/>
  <c r="C48" i="8"/>
  <c r="AB269" i="4"/>
  <c r="AC269" i="4"/>
  <c r="AO269" i="4"/>
  <c r="AL269" i="4"/>
  <c r="AJ269" i="4"/>
  <c r="AG269" i="4"/>
  <c r="AE269" i="4"/>
  <c r="AA269" i="4"/>
  <c r="AS269" i="4"/>
  <c r="AQ269" i="4"/>
  <c r="AN269" i="4"/>
  <c r="AK269" i="4"/>
  <c r="AF269" i="4"/>
  <c r="AP269" i="4"/>
  <c r="AT269" i="4"/>
  <c r="AM269" i="4"/>
  <c r="AD269" i="4"/>
  <c r="AI269" i="4"/>
  <c r="AR269" i="4"/>
  <c r="AH269" i="4"/>
  <c r="I139" i="4"/>
  <c r="D139" i="4" s="1"/>
  <c r="C30" i="8" s="1"/>
  <c r="AH268" i="4"/>
  <c r="AF268" i="4"/>
  <c r="AS268" i="4"/>
  <c r="AC268" i="4"/>
  <c r="AP268" i="4"/>
  <c r="AN268" i="4"/>
  <c r="AK268" i="4"/>
  <c r="AR268" i="4"/>
  <c r="AM268" i="4"/>
  <c r="AL268" i="4"/>
  <c r="AI268" i="4"/>
  <c r="AE268" i="4"/>
  <c r="AA268" i="4"/>
  <c r="AO268" i="4"/>
  <c r="AJ268" i="4"/>
  <c r="AG268" i="4"/>
  <c r="AD268" i="4"/>
  <c r="AB268" i="4"/>
  <c r="AT268" i="4"/>
  <c r="AQ268" i="4"/>
  <c r="AO273" i="4"/>
  <c r="AE241" i="4"/>
  <c r="AD274" i="4"/>
  <c r="AN242" i="4"/>
  <c r="AB234" i="4"/>
  <c r="AO235" i="4"/>
  <c r="AB280" i="4"/>
  <c r="AB256" i="4"/>
  <c r="AL240" i="4"/>
  <c r="AE232" i="4"/>
  <c r="AQ279" i="4"/>
  <c r="AC271" i="4"/>
  <c r="AD263" i="4"/>
  <c r="AR255" i="4"/>
  <c r="AG239" i="4"/>
  <c r="AK231" i="4"/>
  <c r="AT278" i="4"/>
  <c r="AC270" i="4"/>
  <c r="AI262" i="4"/>
  <c r="AP262" i="4"/>
  <c r="AH246" i="4"/>
  <c r="AG246" i="4"/>
  <c r="AD230" i="4"/>
  <c r="AR230" i="4"/>
  <c r="AP245" i="4"/>
  <c r="W407" i="4"/>
  <c r="V76" i="9" s="1"/>
  <c r="I156" i="4"/>
  <c r="D156" i="4" s="1"/>
  <c r="C47" i="8" s="1"/>
  <c r="AS273" i="4"/>
  <c r="AB273" i="4"/>
  <c r="AH241" i="4"/>
  <c r="AF241" i="4"/>
  <c r="AG274" i="4"/>
  <c r="AO258" i="4"/>
  <c r="AP242" i="4"/>
  <c r="AT234" i="4"/>
  <c r="AR234" i="4"/>
  <c r="AP235" i="4"/>
  <c r="AN280" i="4"/>
  <c r="AR280" i="4"/>
  <c r="AJ272" i="4"/>
  <c r="AE256" i="4"/>
  <c r="AN240" i="4"/>
  <c r="AG232" i="4"/>
  <c r="AA259" i="4"/>
  <c r="AG279" i="4"/>
  <c r="AA279" i="4"/>
  <c r="AE271" i="4"/>
  <c r="AN263" i="4"/>
  <c r="AT263" i="4"/>
  <c r="AB255" i="4"/>
  <c r="AH239" i="4"/>
  <c r="AM231" i="4"/>
  <c r="AH278" i="4"/>
  <c r="AS270" i="4"/>
  <c r="AL262" i="4"/>
  <c r="AK246" i="4"/>
  <c r="AI246" i="4"/>
  <c r="AM238" i="4"/>
  <c r="AF230" i="4"/>
  <c r="AE230" i="4"/>
  <c r="AR245" i="4"/>
  <c r="AE273" i="4"/>
  <c r="AR273" i="4"/>
  <c r="AJ241" i="4"/>
  <c r="AI241" i="4"/>
  <c r="AC274" i="4"/>
  <c r="AQ258" i="4"/>
  <c r="AS242" i="4"/>
  <c r="AC234" i="4"/>
  <c r="AE234" i="4"/>
  <c r="AR235" i="4"/>
  <c r="AQ280" i="4"/>
  <c r="AO272" i="4"/>
  <c r="AI256" i="4"/>
  <c r="AP240" i="4"/>
  <c r="AI232" i="4"/>
  <c r="AK279" i="4"/>
  <c r="AS279" i="4"/>
  <c r="AI271" i="4"/>
  <c r="AQ263" i="4"/>
  <c r="AG263" i="4"/>
  <c r="AE255" i="4"/>
  <c r="AJ239" i="4"/>
  <c r="AN231" i="4"/>
  <c r="AN278" i="4"/>
  <c r="AF270" i="4"/>
  <c r="AO262" i="4"/>
  <c r="AL246" i="4"/>
  <c r="AH230" i="4"/>
  <c r="AG230" i="4"/>
  <c r="AT245" i="4"/>
  <c r="AL241" i="4"/>
  <c r="AK241" i="4"/>
  <c r="AD234" i="4"/>
  <c r="AG234" i="4"/>
  <c r="AT235" i="4"/>
  <c r="AO279" i="4"/>
  <c r="AN279" i="4"/>
  <c r="AM271" i="4"/>
  <c r="AA263" i="4"/>
  <c r="AJ263" i="4"/>
  <c r="AF255" i="4"/>
  <c r="AA231" i="4"/>
  <c r="AQ278" i="4"/>
  <c r="AN246" i="4"/>
  <c r="AF331" i="4"/>
  <c r="AQ331" i="4"/>
  <c r="AA331" i="4"/>
  <c r="AN331" i="4"/>
  <c r="AK331" i="4"/>
  <c r="AI331" i="4"/>
  <c r="AL331" i="4"/>
  <c r="AH331" i="4"/>
  <c r="AD331" i="4"/>
  <c r="AT331" i="4"/>
  <c r="AP331" i="4"/>
  <c r="AS331" i="4"/>
  <c r="AM331" i="4"/>
  <c r="AE331" i="4"/>
  <c r="AB331" i="4"/>
  <c r="AR331" i="4"/>
  <c r="AO331" i="4"/>
  <c r="AJ331" i="4"/>
  <c r="AC331" i="4"/>
  <c r="AG331" i="4"/>
  <c r="I124" i="4"/>
  <c r="D124" i="4" s="1"/>
  <c r="C15" i="8" s="1"/>
  <c r="AI273" i="4"/>
  <c r="AT273" i="4"/>
  <c r="AO241" i="4"/>
  <c r="AM241" i="4"/>
  <c r="AM242" i="4"/>
  <c r="AF234" i="4"/>
  <c r="AI234" i="4"/>
  <c r="AF235" i="4"/>
  <c r="AN256" i="4"/>
  <c r="W248" i="4"/>
  <c r="Z27" i="8" s="1"/>
  <c r="AT240" i="4"/>
  <c r="AC232" i="4"/>
  <c r="AM232" i="4"/>
  <c r="AT279" i="4"/>
  <c r="AF279" i="4"/>
  <c r="AP271" i="4"/>
  <c r="AE263" i="4"/>
  <c r="AL263" i="4"/>
  <c r="AK255" i="4"/>
  <c r="AO239" i="4"/>
  <c r="AP231" i="4"/>
  <c r="AQ231" i="4"/>
  <c r="AD278" i="4"/>
  <c r="AP246" i="4"/>
  <c r="AL230" i="4"/>
  <c r="W315" i="4"/>
  <c r="Z94" i="8" s="1"/>
  <c r="AA245" i="4"/>
  <c r="AP241" i="4"/>
  <c r="I219" i="4"/>
  <c r="D219" i="4" s="1"/>
  <c r="C110" i="8" s="1"/>
  <c r="AH234" i="4"/>
  <c r="AI235" i="4"/>
  <c r="AO271" i="4"/>
  <c r="AH263" i="4"/>
  <c r="AN255" i="4"/>
  <c r="AG278" i="4"/>
  <c r="AS246" i="4"/>
  <c r="AR241" i="4"/>
  <c r="H252" i="4"/>
  <c r="K31" i="8" s="1"/>
  <c r="AA242" i="4"/>
  <c r="AK234" i="4"/>
  <c r="AK235" i="4"/>
  <c r="AT256" i="4"/>
  <c r="AR240" i="4"/>
  <c r="AF232" i="4"/>
  <c r="AA232" i="4"/>
  <c r="AR279" i="4"/>
  <c r="AB271" i="4"/>
  <c r="AM263" i="4"/>
  <c r="AQ255" i="4"/>
  <c r="AI239" i="4"/>
  <c r="AT231" i="4"/>
  <c r="AS231" i="4"/>
  <c r="AF278" i="4"/>
  <c r="AT246" i="4"/>
  <c r="AP230" i="4"/>
  <c r="E316" i="4"/>
  <c r="H95" i="8" s="1"/>
  <c r="AT241" i="4"/>
  <c r="AL234" i="4"/>
  <c r="AM235" i="4"/>
  <c r="AE240" i="4"/>
  <c r="AH232" i="4"/>
  <c r="AQ232" i="4"/>
  <c r="AB279" i="4"/>
  <c r="AR271" i="4"/>
  <c r="AC263" i="4"/>
  <c r="AO255" i="4"/>
  <c r="AK239" i="4"/>
  <c r="AB231" i="4"/>
  <c r="AE231" i="4"/>
  <c r="AI278" i="4"/>
  <c r="AC246" i="4"/>
  <c r="AS230" i="4"/>
  <c r="AH273" i="4"/>
  <c r="AB241" i="4"/>
  <c r="AB242" i="4"/>
  <c r="AN234" i="4"/>
  <c r="AN235" i="4"/>
  <c r="AP256" i="4"/>
  <c r="AG240" i="4"/>
  <c r="AK232" i="4"/>
  <c r="AC279" i="4"/>
  <c r="AD271" i="4"/>
  <c r="AF263" i="4"/>
  <c r="AD255" i="4"/>
  <c r="AM239" i="4"/>
  <c r="AD231" i="4"/>
  <c r="AL278" i="4"/>
  <c r="AO270" i="4"/>
  <c r="AJ262" i="4"/>
  <c r="AJ246" i="4"/>
  <c r="AT230" i="4"/>
  <c r="AE245" i="4"/>
  <c r="M332" i="4"/>
  <c r="P111" i="8" s="1"/>
  <c r="R296" i="4"/>
  <c r="U75" i="8" s="1"/>
  <c r="AK273" i="4"/>
  <c r="AD241" i="4"/>
  <c r="AO274" i="4"/>
  <c r="AT242" i="4"/>
  <c r="AR242" i="4"/>
  <c r="AP234" i="4"/>
  <c r="AA235" i="4"/>
  <c r="AF280" i="4"/>
  <c r="AG272" i="4"/>
  <c r="AF272" i="4"/>
  <c r="AM256" i="4"/>
  <c r="AC256" i="4"/>
  <c r="AI240" i="4"/>
  <c r="AL232" i="4"/>
  <c r="AL259" i="4"/>
  <c r="AI279" i="4"/>
  <c r="AH271" i="4"/>
  <c r="AT271" i="4"/>
  <c r="AI263" i="4"/>
  <c r="AA255" i="4"/>
  <c r="AT255" i="4"/>
  <c r="AN239" i="4"/>
  <c r="AG231" i="4"/>
  <c r="AO278" i="4"/>
  <c r="AR270" i="4"/>
  <c r="AM262" i="4"/>
  <c r="AM246" i="4"/>
  <c r="AC230" i="4"/>
  <c r="F425" i="4"/>
  <c r="E94" i="9" s="1"/>
  <c r="AB245" i="4"/>
  <c r="AF245" i="4"/>
  <c r="AN273" i="4"/>
  <c r="AG241" i="4"/>
  <c r="AR274" i="4"/>
  <c r="AC242" i="4"/>
  <c r="AE242" i="4"/>
  <c r="AS234" i="4"/>
  <c r="AB235" i="4"/>
  <c r="AQ235" i="4"/>
  <c r="AH280" i="4"/>
  <c r="AL272" i="4"/>
  <c r="AH272" i="4"/>
  <c r="AO256" i="4"/>
  <c r="AS256" i="4"/>
  <c r="AJ240" i="4"/>
  <c r="AN232" i="4"/>
  <c r="AL279" i="4"/>
  <c r="AK271" i="4"/>
  <c r="AG271" i="4"/>
  <c r="AK263" i="4"/>
  <c r="AC255" i="4"/>
  <c r="AG255" i="4"/>
  <c r="AA239" i="4"/>
  <c r="AH231" i="4"/>
  <c r="AS278" i="4"/>
  <c r="AL270" i="4"/>
  <c r="AQ262" i="4"/>
  <c r="AO246" i="4"/>
  <c r="AJ230" i="4"/>
  <c r="AD245" i="4"/>
  <c r="AI245" i="4"/>
  <c r="AH260" i="4"/>
  <c r="AF260" i="4"/>
  <c r="AS260" i="4"/>
  <c r="AC260" i="4"/>
  <c r="AP260" i="4"/>
  <c r="AK260" i="4"/>
  <c r="AJ260" i="4"/>
  <c r="AG260" i="4"/>
  <c r="AD260" i="4"/>
  <c r="AR260" i="4"/>
  <c r="AO260" i="4"/>
  <c r="AL260" i="4"/>
  <c r="AT260" i="4"/>
  <c r="AQ260" i="4"/>
  <c r="AN260" i="4"/>
  <c r="AM260" i="4"/>
  <c r="AI260" i="4"/>
  <c r="AE260" i="4"/>
  <c r="AB260" i="4"/>
  <c r="AA260" i="4"/>
  <c r="AN241" i="4"/>
  <c r="AJ234" i="4"/>
  <c r="AD235" i="4"/>
  <c r="AC235" i="4"/>
  <c r="AN271" i="4"/>
  <c r="AJ271" i="4"/>
  <c r="AP263" i="4"/>
  <c r="AH255" i="4"/>
  <c r="AJ255" i="4"/>
  <c r="AA278" i="4"/>
  <c r="AC278" i="4"/>
  <c r="AA246" i="4"/>
  <c r="AG245" i="4"/>
  <c r="AK245" i="4"/>
  <c r="AM244" i="4"/>
  <c r="AJ244" i="4"/>
  <c r="AH244" i="4"/>
  <c r="AF244" i="4"/>
  <c r="AL244" i="4"/>
  <c r="AA273" i="4"/>
  <c r="AA241" i="4"/>
  <c r="AM234" i="4"/>
  <c r="AG235" i="4"/>
  <c r="AS235" i="4"/>
  <c r="AA256" i="4"/>
  <c r="AH256" i="4"/>
  <c r="AD240" i="4"/>
  <c r="AO240" i="4"/>
  <c r="AS232" i="4"/>
  <c r="AD279" i="4"/>
  <c r="AS271" i="4"/>
  <c r="AL271" i="4"/>
  <c r="AS263" i="4"/>
  <c r="AI255" i="4"/>
  <c r="AL255" i="4"/>
  <c r="AC239" i="4"/>
  <c r="AL231" i="4"/>
  <c r="AE278" i="4"/>
  <c r="AB278" i="4"/>
  <c r="AQ246" i="4"/>
  <c r="AO230" i="4"/>
  <c r="AH245" i="4"/>
  <c r="AM245" i="4"/>
  <c r="AQ241" i="4"/>
  <c r="AO234" i="4"/>
  <c r="AH235" i="4"/>
  <c r="AE235" i="4"/>
  <c r="AA271" i="4"/>
  <c r="AO263" i="4"/>
  <c r="AM255" i="4"/>
  <c r="AK278" i="4"/>
  <c r="AR278" i="4"/>
  <c r="AB246" i="4"/>
  <c r="AF323" i="4"/>
  <c r="AQ323" i="4"/>
  <c r="AA323" i="4"/>
  <c r="AN323" i="4"/>
  <c r="AK323" i="4"/>
  <c r="AI323" i="4"/>
  <c r="AH323" i="4"/>
  <c r="AE323" i="4"/>
  <c r="AB323" i="4"/>
  <c r="AT323" i="4"/>
  <c r="AR323" i="4"/>
  <c r="AM323" i="4"/>
  <c r="AP323" i="4"/>
  <c r="AL323" i="4"/>
  <c r="AD323" i="4"/>
  <c r="AG323" i="4"/>
  <c r="AJ323" i="4"/>
  <c r="AS323" i="4"/>
  <c r="AO323" i="4"/>
  <c r="AC323" i="4"/>
  <c r="AJ273" i="4"/>
  <c r="AC241" i="4"/>
  <c r="AA234" i="4"/>
  <c r="AJ235" i="4"/>
  <c r="AH240" i="4"/>
  <c r="AQ240" i="4"/>
  <c r="AB232" i="4"/>
  <c r="AJ279" i="4"/>
  <c r="AF271" i="4"/>
  <c r="AB263" i="4"/>
  <c r="AP255" i="4"/>
  <c r="AE239" i="4"/>
  <c r="AF231" i="4"/>
  <c r="AM278" i="4"/>
  <c r="AJ278" i="4"/>
  <c r="AD246" i="4"/>
  <c r="AR246" i="4"/>
  <c r="AS243" i="4"/>
  <c r="AN243" i="4"/>
  <c r="AF243" i="4"/>
  <c r="AO243" i="4"/>
  <c r="AG243" i="4"/>
  <c r="AS241" i="4"/>
  <c r="AL242" i="4"/>
  <c r="AQ234" i="4"/>
  <c r="AL235" i="4"/>
  <c r="AL256" i="4"/>
  <c r="AK240" i="4"/>
  <c r="AR232" i="4"/>
  <c r="AM279" i="4"/>
  <c r="AQ271" i="4"/>
  <c r="AR263" i="4"/>
  <c r="AS255" i="4"/>
  <c r="AD239" i="4"/>
  <c r="AI231" i="4"/>
  <c r="AP278" i="4"/>
  <c r="AF246" i="4"/>
  <c r="AE246" i="4"/>
  <c r="AB230" i="4"/>
  <c r="AL85" i="4"/>
  <c r="AL54" i="4"/>
  <c r="AL87" i="4"/>
  <c r="CI79" i="4"/>
  <c r="BT79" i="4" s="1"/>
  <c r="CJ9" i="4"/>
  <c r="BU9" i="4" s="1"/>
  <c r="CP24" i="4"/>
  <c r="CA24" i="4" s="1"/>
  <c r="CJ81" i="4"/>
  <c r="BU81" i="4" s="1"/>
  <c r="CJ80" i="4"/>
  <c r="BU80" i="4" s="1"/>
  <c r="BA80" i="4" s="1"/>
  <c r="CR93" i="4"/>
  <c r="CC93" i="4" s="1"/>
  <c r="AL47" i="4"/>
  <c r="CJ82" i="4"/>
  <c r="BU82" i="4" s="1"/>
  <c r="AM43" i="4"/>
  <c r="CO87" i="4"/>
  <c r="BZ87" i="4" s="1"/>
  <c r="AM33" i="4"/>
  <c r="CS68" i="4"/>
  <c r="CD68" i="4" s="1"/>
  <c r="CR94" i="4"/>
  <c r="CC94" i="4" s="1"/>
  <c r="CM90" i="4"/>
  <c r="BX90" i="4" s="1"/>
  <c r="CO86" i="4"/>
  <c r="BZ86" i="4" s="1"/>
  <c r="CS64" i="4"/>
  <c r="CD64" i="4" s="1"/>
  <c r="CS63" i="4"/>
  <c r="CD63" i="4" s="1"/>
  <c r="BA104" i="4"/>
  <c r="CT15" i="4"/>
  <c r="CE15" i="4" s="1"/>
  <c r="CR47" i="4"/>
  <c r="CC47" i="4" s="1"/>
  <c r="CT17" i="4"/>
  <c r="CE17" i="4" s="1"/>
  <c r="CO10" i="4"/>
  <c r="BZ10" i="4" s="1"/>
  <c r="CM48" i="4"/>
  <c r="BX48" i="4" s="1"/>
  <c r="CR54" i="4"/>
  <c r="CC54" i="4" s="1"/>
  <c r="CR67" i="4"/>
  <c r="CC67" i="4" s="1"/>
  <c r="AM29" i="4"/>
  <c r="AL74" i="4"/>
  <c r="CT68" i="4"/>
  <c r="CE68" i="4" s="1"/>
  <c r="CI31" i="4"/>
  <c r="BT31" i="4" s="1"/>
  <c r="CS107" i="4"/>
  <c r="CD107" i="4" s="1"/>
  <c r="CJ8" i="4"/>
  <c r="BU8" i="4" s="1"/>
  <c r="CN9" i="4"/>
  <c r="BY9" i="4" s="1"/>
  <c r="AS104" i="4"/>
  <c r="CP42" i="4"/>
  <c r="CA42" i="4" s="1"/>
  <c r="CT65" i="4"/>
  <c r="CE65" i="4" s="1"/>
  <c r="CL41" i="4"/>
  <c r="BW41" i="4" s="1"/>
  <c r="CJ57" i="4"/>
  <c r="BU57" i="4" s="1"/>
  <c r="CM50" i="4"/>
  <c r="BX50" i="4" s="1"/>
  <c r="CN87" i="4"/>
  <c r="BY87" i="4" s="1"/>
  <c r="CL14" i="4"/>
  <c r="BW14" i="4" s="1"/>
  <c r="CT63" i="4"/>
  <c r="CE63" i="4" s="1"/>
  <c r="CM61" i="4"/>
  <c r="BX61" i="4" s="1"/>
  <c r="CR83" i="4"/>
  <c r="CC83" i="4" s="1"/>
  <c r="CS18" i="4"/>
  <c r="CD18" i="4" s="1"/>
  <c r="CN83" i="4"/>
  <c r="BY83" i="4" s="1"/>
  <c r="CL105" i="4"/>
  <c r="BW105" i="4" s="1"/>
  <c r="AM99" i="4"/>
  <c r="CJ10" i="4"/>
  <c r="BU10" i="4" s="1"/>
  <c r="CN82" i="4"/>
  <c r="BY82" i="4" s="1"/>
  <c r="CN17" i="4"/>
  <c r="BY17" i="4" s="1"/>
  <c r="CM15" i="4"/>
  <c r="BX15" i="4" s="1"/>
  <c r="CM47" i="4"/>
  <c r="BX47" i="4" s="1"/>
  <c r="CM53" i="4"/>
  <c r="BX53" i="4" s="1"/>
  <c r="CO58" i="4"/>
  <c r="BZ58" i="4" s="1"/>
  <c r="CJ77" i="4"/>
  <c r="BU77" i="4" s="1"/>
  <c r="CT14" i="4"/>
  <c r="CE14" i="4" s="1"/>
  <c r="CM41" i="4"/>
  <c r="BX41" i="4" s="1"/>
  <c r="CT13" i="4"/>
  <c r="CE13" i="4" s="1"/>
  <c r="CS79" i="4"/>
  <c r="CD79" i="4" s="1"/>
  <c r="CT18" i="4"/>
  <c r="CE18" i="4" s="1"/>
  <c r="CR52" i="4"/>
  <c r="CC52" i="4" s="1"/>
  <c r="CM55" i="4"/>
  <c r="BX55" i="4" s="1"/>
  <c r="CR68" i="4"/>
  <c r="CC68" i="4" s="1"/>
  <c r="CS17" i="4"/>
  <c r="CD17" i="4" s="1"/>
  <c r="CM54" i="4"/>
  <c r="BX54" i="4" s="1"/>
  <c r="CK95" i="4"/>
  <c r="BV95" i="4" s="1"/>
  <c r="CJ11" i="4"/>
  <c r="BU11" i="4" s="1"/>
  <c r="CR55" i="4"/>
  <c r="CC55" i="4" s="1"/>
  <c r="CS108" i="4"/>
  <c r="CD108" i="4" s="1"/>
  <c r="CN85" i="4"/>
  <c r="BY85" i="4" s="1"/>
  <c r="CR63" i="4"/>
  <c r="CC63" i="4" s="1"/>
  <c r="CN11" i="4"/>
  <c r="BY11" i="4" s="1"/>
  <c r="CJ76" i="4"/>
  <c r="BU76" i="4" s="1"/>
  <c r="CI105" i="4"/>
  <c r="BT105" i="4" s="1"/>
  <c r="CJ58" i="4"/>
  <c r="BU58" i="4" s="1"/>
  <c r="AM82" i="4"/>
  <c r="CQ18" i="4"/>
  <c r="CB18" i="4" s="1"/>
  <c r="CS52" i="4"/>
  <c r="CD52" i="4" s="1"/>
  <c r="CI14" i="4"/>
  <c r="BT14" i="4" s="1"/>
  <c r="AK28" i="4"/>
  <c r="AK58" i="4" s="1"/>
  <c r="AM58" i="4" s="1"/>
  <c r="CK24" i="4"/>
  <c r="BV24" i="4" s="1"/>
  <c r="CS48" i="4"/>
  <c r="CD48" i="4" s="1"/>
  <c r="CP18" i="4"/>
  <c r="CA18" i="4" s="1"/>
  <c r="CK29" i="4"/>
  <c r="BV29" i="4" s="1"/>
  <c r="AM95" i="4"/>
  <c r="AM36" i="4"/>
  <c r="CI108" i="4"/>
  <c r="BT108" i="4" s="1"/>
  <c r="AM88" i="4"/>
  <c r="AM34" i="4"/>
  <c r="CQ98" i="4"/>
  <c r="CB98" i="4" s="1"/>
  <c r="CR39" i="4"/>
  <c r="CC39" i="4" s="1"/>
  <c r="CL82" i="4"/>
  <c r="BW82" i="4" s="1"/>
  <c r="AM10" i="4"/>
  <c r="CO100" i="4"/>
  <c r="BZ100" i="4" s="1"/>
  <c r="CO98" i="4"/>
  <c r="BZ98" i="4" s="1"/>
  <c r="CN25" i="4"/>
  <c r="BY25" i="4" s="1"/>
  <c r="CS55" i="4"/>
  <c r="CD55" i="4" s="1"/>
  <c r="CR35" i="4"/>
  <c r="CC35" i="4" s="1"/>
  <c r="CQ17" i="4"/>
  <c r="CB17" i="4" s="1"/>
  <c r="CS47" i="4"/>
  <c r="CD47" i="4" s="1"/>
  <c r="CI107" i="4"/>
  <c r="BT107" i="4" s="1"/>
  <c r="CP17" i="4"/>
  <c r="CA17" i="4" s="1"/>
  <c r="CL81" i="4"/>
  <c r="BW81" i="4" s="1"/>
  <c r="AM27" i="4"/>
  <c r="AM77" i="4"/>
  <c r="CK25" i="4"/>
  <c r="BV25" i="4" s="1"/>
  <c r="CP61" i="4"/>
  <c r="CA61" i="4" s="1"/>
  <c r="CO99" i="4"/>
  <c r="BZ99" i="4" s="1"/>
  <c r="CR38" i="4"/>
  <c r="CC38" i="4" s="1"/>
  <c r="CR74" i="4"/>
  <c r="CC74" i="4" s="1"/>
  <c r="CK31" i="4"/>
  <c r="BV31" i="4" s="1"/>
  <c r="AM15" i="4"/>
  <c r="CL83" i="4"/>
  <c r="BW83" i="4" s="1"/>
  <c r="CJ61" i="4"/>
  <c r="BU61" i="4" s="1"/>
  <c r="AM107" i="4"/>
  <c r="AM38" i="4"/>
  <c r="CS51" i="4"/>
  <c r="CD51" i="4" s="1"/>
  <c r="CN24" i="4"/>
  <c r="BY24" i="4" s="1"/>
  <c r="AM14" i="4"/>
  <c r="AM25" i="4"/>
  <c r="AM39" i="4"/>
  <c r="AM23" i="4"/>
  <c r="AM45" i="4"/>
  <c r="AM76" i="4"/>
  <c r="AM46" i="4"/>
  <c r="CP55" i="4"/>
  <c r="CA55" i="4" s="1"/>
  <c r="CP52" i="4"/>
  <c r="CA52" i="4" s="1"/>
  <c r="CP53" i="4"/>
  <c r="CA53" i="4" s="1"/>
  <c r="CP48" i="4"/>
  <c r="CA48" i="4" s="1"/>
  <c r="CP51" i="4"/>
  <c r="CA51" i="4" s="1"/>
  <c r="CK35" i="4"/>
  <c r="BV35" i="4" s="1"/>
  <c r="AM60" i="4"/>
  <c r="AL55" i="4"/>
  <c r="CP49" i="4"/>
  <c r="CA49" i="4" s="1"/>
  <c r="CN81" i="4"/>
  <c r="BY81" i="4" s="1"/>
  <c r="CN71" i="4"/>
  <c r="BY71" i="4" s="1"/>
  <c r="AM104" i="4"/>
  <c r="AM13" i="4"/>
  <c r="CN18" i="4"/>
  <c r="BY18" i="4" s="1"/>
  <c r="CT64" i="4"/>
  <c r="CE64" i="4" s="1"/>
  <c r="AM93" i="4"/>
  <c r="AL73" i="4"/>
  <c r="AM20" i="4"/>
  <c r="CR22" i="4"/>
  <c r="CC22" i="4" s="1"/>
  <c r="CT67" i="4"/>
  <c r="CE67" i="4" s="1"/>
  <c r="AZ26" i="4"/>
  <c r="AM12" i="4"/>
  <c r="CS29" i="4"/>
  <c r="CD29" i="4" s="1"/>
  <c r="CK85" i="4"/>
  <c r="BV85" i="4" s="1"/>
  <c r="CT22" i="4"/>
  <c r="CE22" i="4" s="1"/>
  <c r="CI27" i="4"/>
  <c r="BT27" i="4" s="1"/>
  <c r="CK14" i="4"/>
  <c r="BV14" i="4" s="1"/>
  <c r="CS95" i="4"/>
  <c r="CD95" i="4" s="1"/>
  <c r="CJ22" i="4"/>
  <c r="BU22" i="4" s="1"/>
  <c r="CJ21" i="4"/>
  <c r="BU21" i="4" s="1"/>
  <c r="CK8" i="4"/>
  <c r="BV8" i="4" s="1"/>
  <c r="CT69" i="4"/>
  <c r="CE69" i="4" s="1"/>
  <c r="CR107" i="4"/>
  <c r="CC107" i="4" s="1"/>
  <c r="CR108" i="4"/>
  <c r="CC108" i="4" s="1"/>
  <c r="AM86" i="4"/>
  <c r="AM26" i="4"/>
  <c r="AL50" i="4"/>
  <c r="CT20" i="4"/>
  <c r="CE20" i="4" s="1"/>
  <c r="BB26" i="4"/>
  <c r="CQ94" i="4"/>
  <c r="CB94" i="4" s="1"/>
  <c r="CS100" i="4"/>
  <c r="CD100" i="4" s="1"/>
  <c r="AK51" i="4"/>
  <c r="AS43" i="4"/>
  <c r="BA43" i="4"/>
  <c r="CK9" i="4"/>
  <c r="BV9" i="4" s="1"/>
  <c r="AM42" i="4"/>
  <c r="AW43" i="4"/>
  <c r="AY43" i="4"/>
  <c r="CS31" i="4"/>
  <c r="CD31" i="4" s="1"/>
  <c r="BB43" i="4"/>
  <c r="CS99" i="4"/>
  <c r="CD99" i="4" s="1"/>
  <c r="CQ93" i="4"/>
  <c r="CB93" i="4" s="1"/>
  <c r="CK13" i="4"/>
  <c r="BV13" i="4" s="1"/>
  <c r="CO62" i="4"/>
  <c r="BZ62" i="4" s="1"/>
  <c r="CI50" i="4"/>
  <c r="BT50" i="4" s="1"/>
  <c r="AM32" i="4"/>
  <c r="AM69" i="4"/>
  <c r="AM100" i="4"/>
  <c r="AL72" i="4"/>
  <c r="AM18" i="4"/>
  <c r="BC43" i="4"/>
  <c r="CT29" i="4"/>
  <c r="CE29" i="4" s="1"/>
  <c r="AR43" i="4"/>
  <c r="AT43" i="4"/>
  <c r="CK86" i="4"/>
  <c r="BV86" i="4" s="1"/>
  <c r="CS101" i="4"/>
  <c r="CD101" i="4" s="1"/>
  <c r="AM106" i="4"/>
  <c r="AL70" i="4"/>
  <c r="AL71" i="4" s="1"/>
  <c r="AL49" i="4"/>
  <c r="AU43" i="4"/>
  <c r="CR27" i="4"/>
  <c r="CC27" i="4" s="1"/>
  <c r="CT30" i="4"/>
  <c r="CE30" i="4" s="1"/>
  <c r="AM59" i="4"/>
  <c r="CK10" i="4"/>
  <c r="BV10" i="4" s="1"/>
  <c r="CK11" i="4"/>
  <c r="BV11" i="4" s="1"/>
  <c r="CK87" i="4"/>
  <c r="BV87" i="4" s="1"/>
  <c r="CT21" i="4"/>
  <c r="CE21" i="4" s="1"/>
  <c r="CT71" i="4"/>
  <c r="CE71" i="4" s="1"/>
  <c r="AM35" i="4"/>
  <c r="AL62" i="4"/>
  <c r="AL63" i="4" s="1"/>
  <c r="AL64" i="4" s="1"/>
  <c r="AL65" i="4" s="1"/>
  <c r="AM75" i="4"/>
  <c r="AM83" i="4"/>
  <c r="CL68" i="4"/>
  <c r="BW68" i="4" s="1"/>
  <c r="AM30" i="4"/>
  <c r="CL62" i="4"/>
  <c r="BW62" i="4" s="1"/>
  <c r="AT12" i="4"/>
  <c r="AK89" i="4"/>
  <c r="AL53" i="4"/>
  <c r="AL44" i="4"/>
  <c r="AM56" i="4"/>
  <c r="AK87" i="4"/>
  <c r="AM102" i="4"/>
  <c r="AL48" i="4"/>
  <c r="AM16" i="4"/>
  <c r="AM109" i="4"/>
  <c r="AM11" i="4"/>
  <c r="AM66" i="4"/>
  <c r="AM80" i="4"/>
  <c r="AK81" i="4"/>
  <c r="AM81" i="4" s="1"/>
  <c r="CL55" i="4"/>
  <c r="BW55" i="4" s="1"/>
  <c r="CI63" i="4"/>
  <c r="BT63" i="4" s="1"/>
  <c r="CL98" i="4"/>
  <c r="BW98" i="4" s="1"/>
  <c r="CS14" i="4"/>
  <c r="CD14" i="4" s="1"/>
  <c r="CN51" i="4"/>
  <c r="BY51" i="4" s="1"/>
  <c r="CN73" i="4"/>
  <c r="BY73" i="4" s="1"/>
  <c r="CS77" i="4"/>
  <c r="CD77" i="4" s="1"/>
  <c r="AW110" i="4"/>
  <c r="CL90" i="4"/>
  <c r="BW90" i="4" s="1"/>
  <c r="CJ99" i="4"/>
  <c r="BU99" i="4" s="1"/>
  <c r="AK72" i="4"/>
  <c r="AK73" i="4"/>
  <c r="CL101" i="4"/>
  <c r="BW101" i="4" s="1"/>
  <c r="AY23" i="4"/>
  <c r="AK90" i="4"/>
  <c r="AK91" i="4"/>
  <c r="AM78" i="4"/>
  <c r="AK79" i="4"/>
  <c r="AM79" i="4" s="1"/>
  <c r="AM101" i="4"/>
  <c r="AX12" i="4"/>
  <c r="AX89" i="4"/>
  <c r="AK49" i="4"/>
  <c r="AK47" i="4"/>
  <c r="AM47" i="4" s="1"/>
  <c r="AK55" i="4"/>
  <c r="AK53" i="4"/>
  <c r="AK70" i="4"/>
  <c r="AK71" i="4" s="1"/>
  <c r="CO20" i="4"/>
  <c r="BZ20" i="4" s="1"/>
  <c r="BB12" i="4"/>
  <c r="AK62" i="4"/>
  <c r="CR100" i="4"/>
  <c r="CC100" i="4" s="1"/>
  <c r="CL99" i="4"/>
  <c r="BW99" i="4" s="1"/>
  <c r="CQ85" i="4"/>
  <c r="CB85" i="4" s="1"/>
  <c r="CQ87" i="4"/>
  <c r="CB87" i="4" s="1"/>
  <c r="CQ35" i="4"/>
  <c r="CB35" i="4" s="1"/>
  <c r="AW70" i="4"/>
  <c r="BA56" i="4"/>
  <c r="AM40" i="4"/>
  <c r="AL94" i="4"/>
  <c r="CP22" i="4"/>
  <c r="CA22" i="4" s="1"/>
  <c r="CL47" i="4"/>
  <c r="BW47" i="4" s="1"/>
  <c r="CN50" i="4"/>
  <c r="BY50" i="4" s="1"/>
  <c r="CR101" i="4"/>
  <c r="CC101" i="4" s="1"/>
  <c r="BB23" i="4"/>
  <c r="AW26" i="4"/>
  <c r="AK50" i="4"/>
  <c r="CP62" i="4"/>
  <c r="CA62" i="4" s="1"/>
  <c r="AM108" i="4"/>
  <c r="CP21" i="4"/>
  <c r="CA21" i="4" s="1"/>
  <c r="CJ98" i="4"/>
  <c r="BU98" i="4" s="1"/>
  <c r="CQ86" i="4"/>
  <c r="CB86" i="4" s="1"/>
  <c r="CQ38" i="4"/>
  <c r="CB38" i="4" s="1"/>
  <c r="CK77" i="4"/>
  <c r="BV77" i="4" s="1"/>
  <c r="CL91" i="4"/>
  <c r="BW91" i="4" s="1"/>
  <c r="CL51" i="4"/>
  <c r="BW51" i="4" s="1"/>
  <c r="BA26" i="4"/>
  <c r="AV12" i="4"/>
  <c r="BB16" i="4"/>
  <c r="AK74" i="4"/>
  <c r="CM81" i="4"/>
  <c r="BX81" i="4" s="1"/>
  <c r="CI67" i="4"/>
  <c r="BT67" i="4" s="1"/>
  <c r="CJ100" i="4"/>
  <c r="BU100" i="4" s="1"/>
  <c r="CP74" i="4"/>
  <c r="CA74" i="4" s="1"/>
  <c r="AL52" i="4"/>
  <c r="AM41" i="4"/>
  <c r="AK54" i="4"/>
  <c r="AK92" i="4"/>
  <c r="AM92" i="4" s="1"/>
  <c r="AK94" i="4"/>
  <c r="CM77" i="4"/>
  <c r="BX77" i="4" s="1"/>
  <c r="CO22" i="4"/>
  <c r="BZ22" i="4" s="1"/>
  <c r="CR20" i="4"/>
  <c r="CC20" i="4" s="1"/>
  <c r="CR98" i="4"/>
  <c r="CC98" i="4" s="1"/>
  <c r="CO101" i="4"/>
  <c r="BZ101" i="4" s="1"/>
  <c r="AM105" i="4"/>
  <c r="AK85" i="4"/>
  <c r="AK84" i="4"/>
  <c r="AM84" i="4" s="1"/>
  <c r="AM67" i="4"/>
  <c r="AK68" i="4"/>
  <c r="AM68" i="4" s="1"/>
  <c r="BB36" i="4"/>
  <c r="CQ79" i="4"/>
  <c r="CB79" i="4" s="1"/>
  <c r="CS15" i="4"/>
  <c r="CD15" i="4" s="1"/>
  <c r="CS13" i="4"/>
  <c r="CD13" i="4" s="1"/>
  <c r="CK90" i="4"/>
  <c r="BV90" i="4" s="1"/>
  <c r="CN14" i="4"/>
  <c r="BY14" i="4" s="1"/>
  <c r="CL100" i="4"/>
  <c r="BW100" i="4" s="1"/>
  <c r="CK91" i="4"/>
  <c r="BV91" i="4" s="1"/>
  <c r="AM17" i="4"/>
  <c r="AM97" i="4"/>
  <c r="AK98" i="4"/>
  <c r="AM98" i="4" s="1"/>
  <c r="CM62" i="4"/>
  <c r="BX62" i="4" s="1"/>
  <c r="AL90" i="4"/>
  <c r="AL91" i="4"/>
  <c r="CN15" i="4"/>
  <c r="BY15" i="4" s="1"/>
  <c r="CR25" i="4"/>
  <c r="CC25" i="4" s="1"/>
  <c r="CI68" i="4"/>
  <c r="BT68" i="4" s="1"/>
  <c r="CJ101" i="4"/>
  <c r="BU101" i="4" s="1"/>
  <c r="CN55" i="4"/>
  <c r="BY55" i="4" s="1"/>
  <c r="CI65" i="4"/>
  <c r="BT65" i="4" s="1"/>
  <c r="CR99" i="4"/>
  <c r="CC99" i="4" s="1"/>
  <c r="CO21" i="4"/>
  <c r="BZ21" i="4" s="1"/>
  <c r="AT110" i="4"/>
  <c r="AM103" i="4"/>
  <c r="CR62" i="4"/>
  <c r="CC62" i="4" s="1"/>
  <c r="CN47" i="4"/>
  <c r="BY47" i="4" s="1"/>
  <c r="CS76" i="4"/>
  <c r="CD76" i="4" s="1"/>
  <c r="BA32" i="4"/>
  <c r="AM8" i="4"/>
  <c r="AM96" i="4"/>
  <c r="AM7" i="4"/>
  <c r="AK52" i="4"/>
  <c r="CL24" i="4"/>
  <c r="BW24" i="4" s="1"/>
  <c r="AW12" i="4"/>
  <c r="BC26" i="4"/>
  <c r="CL20" i="4"/>
  <c r="BW20" i="4" s="1"/>
  <c r="CR44" i="4"/>
  <c r="CC44" i="4" s="1"/>
  <c r="CS69" i="4"/>
  <c r="CD69" i="4" s="1"/>
  <c r="CJ51" i="4"/>
  <c r="BU51" i="4" s="1"/>
  <c r="CI35" i="4"/>
  <c r="BT35" i="4" s="1"/>
  <c r="CT90" i="4"/>
  <c r="CE90" i="4" s="1"/>
  <c r="CN93" i="4"/>
  <c r="BY93" i="4" s="1"/>
  <c r="AR12" i="4"/>
  <c r="AS26" i="4"/>
  <c r="CS67" i="4"/>
  <c r="CD67" i="4" s="1"/>
  <c r="CS65" i="4"/>
  <c r="CD65" i="4" s="1"/>
  <c r="AU26" i="4"/>
  <c r="CJ49" i="4"/>
  <c r="BU49" i="4" s="1"/>
  <c r="CR90" i="4"/>
  <c r="CC90" i="4" s="1"/>
  <c r="AR26" i="4"/>
  <c r="AY12" i="4"/>
  <c r="AS110" i="4"/>
  <c r="CQ58" i="4"/>
  <c r="CB58" i="4" s="1"/>
  <c r="AZ12" i="4"/>
  <c r="AY26" i="4"/>
  <c r="AR110" i="4"/>
  <c r="AY92" i="4"/>
  <c r="CQ61" i="4"/>
  <c r="CB61" i="4" s="1"/>
  <c r="CL22" i="4"/>
  <c r="BW22" i="4" s="1"/>
  <c r="CQ69" i="4"/>
  <c r="CB69" i="4" s="1"/>
  <c r="CI39" i="4"/>
  <c r="BT39" i="4" s="1"/>
  <c r="AS23" i="4"/>
  <c r="AU110" i="4"/>
  <c r="CQ8" i="4"/>
  <c r="CB8" i="4" s="1"/>
  <c r="CT27" i="4"/>
  <c r="CE27" i="4" s="1"/>
  <c r="CJ53" i="4"/>
  <c r="BU53" i="4" s="1"/>
  <c r="CJ55" i="4"/>
  <c r="BU55" i="4" s="1"/>
  <c r="BA12" i="4"/>
  <c r="BC12" i="4"/>
  <c r="AV110" i="4"/>
  <c r="CQ45" i="4"/>
  <c r="CB45" i="4" s="1"/>
  <c r="BC45" i="4" s="1"/>
  <c r="CM18" i="4"/>
  <c r="BX18" i="4" s="1"/>
  <c r="CQ21" i="4"/>
  <c r="CB21" i="4" s="1"/>
  <c r="AS12" i="4"/>
  <c r="CN94" i="4"/>
  <c r="BY94" i="4" s="1"/>
  <c r="CQ57" i="4"/>
  <c r="CB57" i="4" s="1"/>
  <c r="CJ52" i="4"/>
  <c r="BU52" i="4" s="1"/>
  <c r="CI94" i="4"/>
  <c r="BT94" i="4" s="1"/>
  <c r="AX32" i="4"/>
  <c r="AT26" i="4"/>
  <c r="CQ20" i="4"/>
  <c r="CB20" i="4" s="1"/>
  <c r="CM91" i="4"/>
  <c r="BX91" i="4" s="1"/>
  <c r="CQ9" i="4"/>
  <c r="CB9" i="4" s="1"/>
  <c r="CL25" i="4"/>
  <c r="BW25" i="4" s="1"/>
  <c r="CI38" i="4"/>
  <c r="BT38" i="4" s="1"/>
  <c r="CL18" i="4"/>
  <c r="BW18" i="4" s="1"/>
  <c r="CQ11" i="4"/>
  <c r="CB11" i="4" s="1"/>
  <c r="CJ48" i="4"/>
  <c r="BU48" i="4" s="1"/>
  <c r="AT19" i="4"/>
  <c r="AX110" i="4"/>
  <c r="AZ32" i="4"/>
  <c r="CL17" i="4"/>
  <c r="BW17" i="4" s="1"/>
  <c r="CQ10" i="4"/>
  <c r="CB10" i="4" s="1"/>
  <c r="CM14" i="4"/>
  <c r="BX14" i="4" s="1"/>
  <c r="CR46" i="4"/>
  <c r="CC46" i="4" s="1"/>
  <c r="AZ16" i="4"/>
  <c r="AU89" i="4"/>
  <c r="AX70" i="4"/>
  <c r="AY110" i="4"/>
  <c r="BA89" i="4"/>
  <c r="AV26" i="4"/>
  <c r="AZ110" i="4"/>
  <c r="BB89" i="4"/>
  <c r="AX26" i="4"/>
  <c r="CQ22" i="4"/>
  <c r="CB22" i="4" s="1"/>
  <c r="AS72" i="4"/>
  <c r="BA110" i="4"/>
  <c r="CS71" i="4"/>
  <c r="CD71" i="4" s="1"/>
  <c r="AU12" i="4"/>
  <c r="CL21" i="4"/>
  <c r="BW21" i="4" s="1"/>
  <c r="CM13" i="4"/>
  <c r="BX13" i="4" s="1"/>
  <c r="BB110" i="4"/>
  <c r="CM101" i="4"/>
  <c r="BX101" i="4" s="1"/>
  <c r="CK73" i="4"/>
  <c r="BV73" i="4" s="1"/>
  <c r="CK74" i="4"/>
  <c r="BV74" i="4" s="1"/>
  <c r="CN57" i="4"/>
  <c r="BY57" i="4" s="1"/>
  <c r="CP54" i="4"/>
  <c r="CA54" i="4" s="1"/>
  <c r="CI69" i="4"/>
  <c r="BT69" i="4" s="1"/>
  <c r="CK62" i="4"/>
  <c r="BV62" i="4" s="1"/>
  <c r="BC110" i="4"/>
  <c r="CP87" i="4"/>
  <c r="CA87" i="4" s="1"/>
  <c r="CJ95" i="4"/>
  <c r="BU95" i="4" s="1"/>
  <c r="CP38" i="4"/>
  <c r="CA38" i="4" s="1"/>
  <c r="CI22" i="4"/>
  <c r="BT22" i="4" s="1"/>
  <c r="CI21" i="4"/>
  <c r="BT21" i="4" s="1"/>
  <c r="CM99" i="4"/>
  <c r="BX99" i="4" s="1"/>
  <c r="CI20" i="4"/>
  <c r="BT20" i="4" s="1"/>
  <c r="CM100" i="4"/>
  <c r="BX100" i="4" s="1"/>
  <c r="CO42" i="4"/>
  <c r="BZ42" i="4" s="1"/>
  <c r="CP35" i="4"/>
  <c r="CA35" i="4" s="1"/>
  <c r="CP30" i="4"/>
  <c r="CA30" i="4" s="1"/>
  <c r="CQ74" i="4"/>
  <c r="CB74" i="4" s="1"/>
  <c r="CP39" i="4"/>
  <c r="CA39" i="4" s="1"/>
  <c r="CM98" i="4"/>
  <c r="BX98" i="4" s="1"/>
  <c r="CQ24" i="4"/>
  <c r="CB24" i="4" s="1"/>
  <c r="CQ73" i="4"/>
  <c r="CB73" i="4" s="1"/>
  <c r="CQ25" i="4"/>
  <c r="CB25" i="4" s="1"/>
  <c r="CP31" i="4"/>
  <c r="CA31" i="4" s="1"/>
  <c r="CN54" i="4"/>
  <c r="BY54" i="4" s="1"/>
  <c r="CP29" i="4"/>
  <c r="CA29" i="4" s="1"/>
  <c r="AZ89" i="4"/>
  <c r="AZ104" i="4"/>
  <c r="AY56" i="4"/>
  <c r="AR84" i="4"/>
  <c r="AU72" i="4"/>
  <c r="BB33" i="4"/>
  <c r="AU104" i="4"/>
  <c r="AS70" i="4"/>
  <c r="AS60" i="4"/>
  <c r="AU23" i="4"/>
  <c r="AY103" i="4"/>
  <c r="CR42" i="4"/>
  <c r="CC42" i="4" s="1"/>
  <c r="AT89" i="4"/>
  <c r="AV70" i="4"/>
  <c r="AR32" i="4"/>
  <c r="AR23" i="4"/>
  <c r="CQ65" i="4"/>
  <c r="CB65" i="4" s="1"/>
  <c r="BC70" i="4"/>
  <c r="CN62" i="4"/>
  <c r="BY62" i="4" s="1"/>
  <c r="CK83" i="4"/>
  <c r="BV83" i="4" s="1"/>
  <c r="BC32" i="4"/>
  <c r="AS32" i="4"/>
  <c r="BA70" i="4"/>
  <c r="BB70" i="4"/>
  <c r="AV23" i="4"/>
  <c r="CS91" i="4"/>
  <c r="CD91" i="4" s="1"/>
  <c r="CT83" i="4"/>
  <c r="CE83" i="4" s="1"/>
  <c r="CS62" i="4"/>
  <c r="CD62" i="4" s="1"/>
  <c r="CQ62" i="4"/>
  <c r="CB62" i="4" s="1"/>
  <c r="CL50" i="4"/>
  <c r="BW50" i="4" s="1"/>
  <c r="AY70" i="4"/>
  <c r="AW32" i="4"/>
  <c r="AT23" i="4"/>
  <c r="CN65" i="4"/>
  <c r="BY65" i="4" s="1"/>
  <c r="AR89" i="4"/>
  <c r="AU70" i="4"/>
  <c r="BC109" i="4"/>
  <c r="AW89" i="4"/>
  <c r="CI24" i="4"/>
  <c r="BT24" i="4" s="1"/>
  <c r="CS87" i="4"/>
  <c r="CD87" i="4" s="1"/>
  <c r="CR58" i="4"/>
  <c r="CC58" i="4" s="1"/>
  <c r="AW56" i="4"/>
  <c r="CL42" i="4"/>
  <c r="BW42" i="4" s="1"/>
  <c r="CK81" i="4"/>
  <c r="BV81" i="4" s="1"/>
  <c r="CI30" i="4"/>
  <c r="BT30" i="4" s="1"/>
  <c r="CL52" i="4"/>
  <c r="BW52" i="4" s="1"/>
  <c r="AR109" i="4"/>
  <c r="AS89" i="4"/>
  <c r="AT32" i="4"/>
  <c r="AV89" i="4"/>
  <c r="AU32" i="4"/>
  <c r="CJ62" i="4"/>
  <c r="BU62" i="4" s="1"/>
  <c r="BA23" i="4"/>
  <c r="AR70" i="4"/>
  <c r="AV32" i="4"/>
  <c r="BB104" i="4"/>
  <c r="CK47" i="4"/>
  <c r="BV47" i="4" s="1"/>
  <c r="CN63" i="4"/>
  <c r="BY63" i="4" s="1"/>
  <c r="CJ79" i="4"/>
  <c r="BU79" i="4" s="1"/>
  <c r="CR24" i="4"/>
  <c r="CC24" i="4" s="1"/>
  <c r="CI83" i="4"/>
  <c r="BT83" i="4" s="1"/>
  <c r="CI25" i="4"/>
  <c r="BT25" i="4" s="1"/>
  <c r="CN53" i="4"/>
  <c r="BY53" i="4" s="1"/>
  <c r="CL61" i="4"/>
  <c r="BW61" i="4" s="1"/>
  <c r="CO95" i="4"/>
  <c r="BZ95" i="4" s="1"/>
  <c r="AY89" i="4"/>
  <c r="BC89" i="4"/>
  <c r="AY32" i="4"/>
  <c r="BC104" i="4"/>
  <c r="CM76" i="4"/>
  <c r="BX76" i="4" s="1"/>
  <c r="CP58" i="4"/>
  <c r="CA58" i="4" s="1"/>
  <c r="AS19" i="4"/>
  <c r="CM82" i="4"/>
  <c r="BX82" i="4" s="1"/>
  <c r="CQ39" i="4"/>
  <c r="CB39" i="4" s="1"/>
  <c r="CT62" i="4"/>
  <c r="CE62" i="4" s="1"/>
  <c r="BB32" i="4"/>
  <c r="CL87" i="4"/>
  <c r="BW87" i="4" s="1"/>
  <c r="CT82" i="4"/>
  <c r="CE82" i="4" s="1"/>
  <c r="AX106" i="4"/>
  <c r="CL53" i="4"/>
  <c r="BW53" i="4" s="1"/>
  <c r="CI62" i="4"/>
  <c r="BT62" i="4" s="1"/>
  <c r="AW106" i="4"/>
  <c r="AX33" i="4"/>
  <c r="AT104" i="4"/>
  <c r="AV106" i="4"/>
  <c r="AW92" i="4"/>
  <c r="AZ92" i="4"/>
  <c r="AY106" i="4"/>
  <c r="AT109" i="4"/>
  <c r="AS92" i="4"/>
  <c r="CP20" i="4"/>
  <c r="CA20" i="4" s="1"/>
  <c r="AU109" i="4"/>
  <c r="AV109" i="4"/>
  <c r="BC92" i="4"/>
  <c r="BA106" i="4"/>
  <c r="AU97" i="4"/>
  <c r="BB106" i="4"/>
  <c r="AR106" i="4"/>
  <c r="AS106" i="4"/>
  <c r="AT106" i="4"/>
  <c r="AV92" i="4"/>
  <c r="AU106" i="4"/>
  <c r="AX36" i="4"/>
  <c r="AZ106" i="4"/>
  <c r="AV104" i="4"/>
  <c r="CP91" i="4"/>
  <c r="CA91" i="4" s="1"/>
  <c r="AY72" i="4"/>
  <c r="CK82" i="4"/>
  <c r="BV82" i="4" s="1"/>
  <c r="BA75" i="4"/>
  <c r="AW104" i="4"/>
  <c r="BC106" i="4"/>
  <c r="AY104" i="4"/>
  <c r="CP90" i="4"/>
  <c r="CA90" i="4" s="1"/>
  <c r="CL86" i="4"/>
  <c r="BW86" i="4" s="1"/>
  <c r="CQ107" i="4"/>
  <c r="CB107" i="4" s="1"/>
  <c r="BA40" i="4"/>
  <c r="CQ82" i="4"/>
  <c r="CB82" i="4" s="1"/>
  <c r="CS11" i="4"/>
  <c r="CD11" i="4" s="1"/>
  <c r="CJ66" i="4"/>
  <c r="BU66" i="4" s="1"/>
  <c r="CJ39" i="4"/>
  <c r="BU39" i="4" s="1"/>
  <c r="BC60" i="4"/>
  <c r="BA33" i="4"/>
  <c r="AU33" i="4"/>
  <c r="BB75" i="4"/>
  <c r="CP100" i="4"/>
  <c r="CA100" i="4" s="1"/>
  <c r="AZ7" i="4"/>
  <c r="AR33" i="4"/>
  <c r="AW97" i="4"/>
  <c r="AW33" i="4"/>
  <c r="AY97" i="4"/>
  <c r="CM94" i="4"/>
  <c r="BX94" i="4" s="1"/>
  <c r="CM83" i="4"/>
  <c r="BX83" i="4" s="1"/>
  <c r="AV16" i="4"/>
  <c r="BC78" i="4"/>
  <c r="BC28" i="4"/>
  <c r="CQ81" i="4"/>
  <c r="CB81" i="4" s="1"/>
  <c r="CP46" i="4"/>
  <c r="CA46" i="4" s="1"/>
  <c r="CQ83" i="4"/>
  <c r="CB83" i="4" s="1"/>
  <c r="AR72" i="4"/>
  <c r="BC23" i="4"/>
  <c r="AY33" i="4"/>
  <c r="AZ33" i="4"/>
  <c r="AX104" i="4"/>
  <c r="CQ108" i="4"/>
  <c r="CB108" i="4" s="1"/>
  <c r="CN61" i="4"/>
  <c r="BY61" i="4" s="1"/>
  <c r="BC33" i="4"/>
  <c r="CS44" i="4"/>
  <c r="CD44" i="4" s="1"/>
  <c r="CT38" i="4"/>
  <c r="CE38" i="4" s="1"/>
  <c r="CL85" i="4"/>
  <c r="BW85" i="4" s="1"/>
  <c r="CT39" i="4"/>
  <c r="CE39" i="4" s="1"/>
  <c r="AT33" i="4"/>
  <c r="AR104" i="4"/>
  <c r="CJ38" i="4"/>
  <c r="BU38" i="4" s="1"/>
  <c r="CP44" i="4"/>
  <c r="CA44" i="4" s="1"/>
  <c r="CN105" i="4"/>
  <c r="BY105" i="4" s="1"/>
  <c r="BC84" i="4"/>
  <c r="CI66" i="4"/>
  <c r="BT66" i="4" s="1"/>
  <c r="AV33" i="4"/>
  <c r="CT35" i="4"/>
  <c r="CE35" i="4" s="1"/>
  <c r="AS33" i="4"/>
  <c r="AR97" i="4"/>
  <c r="BA92" i="4"/>
  <c r="AU28" i="4"/>
  <c r="AT70" i="4"/>
  <c r="AZ19" i="4"/>
  <c r="AT16" i="4"/>
  <c r="AZ23" i="4"/>
  <c r="AU84" i="4"/>
  <c r="AV72" i="4"/>
  <c r="AT40" i="4"/>
  <c r="AU103" i="4"/>
  <c r="AR75" i="4"/>
  <c r="CT79" i="4"/>
  <c r="CE79" i="4" s="1"/>
  <c r="CO82" i="4"/>
  <c r="BZ82" i="4" s="1"/>
  <c r="CR50" i="4"/>
  <c r="CC50" i="4" s="1"/>
  <c r="CM93" i="4"/>
  <c r="BX93" i="4" s="1"/>
  <c r="CS83" i="4"/>
  <c r="CD83" i="4" s="1"/>
  <c r="CP83" i="4"/>
  <c r="CA83" i="4" s="1"/>
  <c r="CL65" i="4"/>
  <c r="BW65" i="4" s="1"/>
  <c r="CJ35" i="4"/>
  <c r="BU35" i="4" s="1"/>
  <c r="AX28" i="4"/>
  <c r="BB19" i="4"/>
  <c r="AU16" i="4"/>
  <c r="BB7" i="4"/>
  <c r="AW84" i="4"/>
  <c r="AV78" i="4"/>
  <c r="AW72" i="4"/>
  <c r="AX40" i="4"/>
  <c r="AW103" i="4"/>
  <c r="AT75" i="4"/>
  <c r="CR87" i="4"/>
  <c r="CC87" i="4" s="1"/>
  <c r="CL54" i="4"/>
  <c r="BW54" i="4" s="1"/>
  <c r="CS73" i="4"/>
  <c r="CD73" i="4" s="1"/>
  <c r="CR81" i="4"/>
  <c r="CC81" i="4" s="1"/>
  <c r="CS20" i="4"/>
  <c r="CD20" i="4" s="1"/>
  <c r="CM85" i="4"/>
  <c r="BX85" i="4" s="1"/>
  <c r="CR86" i="4"/>
  <c r="CC86" i="4" s="1"/>
  <c r="AS109" i="4"/>
  <c r="AV60" i="4"/>
  <c r="AT28" i="4"/>
  <c r="AZ70" i="4"/>
  <c r="AV19" i="4"/>
  <c r="BA16" i="4"/>
  <c r="AY7" i="4"/>
  <c r="AZ36" i="4"/>
  <c r="AZ78" i="4"/>
  <c r="BA72" i="4"/>
  <c r="BB40" i="4"/>
  <c r="BA103" i="4"/>
  <c r="AV75" i="4"/>
  <c r="AZ84" i="4"/>
  <c r="CS21" i="4"/>
  <c r="CD21" i="4" s="1"/>
  <c r="CM25" i="4"/>
  <c r="BX25" i="4" s="1"/>
  <c r="CP101" i="4"/>
  <c r="CA101" i="4" s="1"/>
  <c r="CJ69" i="4"/>
  <c r="BU69" i="4" s="1"/>
  <c r="AU60" i="4"/>
  <c r="AW28" i="4"/>
  <c r="BC16" i="4"/>
  <c r="AS7" i="4"/>
  <c r="AV36" i="4"/>
  <c r="BA78" i="4"/>
  <c r="AR56" i="4"/>
  <c r="BC40" i="4"/>
  <c r="AT103" i="4"/>
  <c r="AX75" i="4"/>
  <c r="CS22" i="4"/>
  <c r="CD22" i="4" s="1"/>
  <c r="CR10" i="4"/>
  <c r="CC10" i="4" s="1"/>
  <c r="CR82" i="4"/>
  <c r="CC82" i="4" s="1"/>
  <c r="CR11" i="4"/>
  <c r="CC11" i="4" s="1"/>
  <c r="CI81" i="4"/>
  <c r="BT81" i="4" s="1"/>
  <c r="AR28" i="4"/>
  <c r="AR16" i="4"/>
  <c r="AU7" i="4"/>
  <c r="CM86" i="4"/>
  <c r="BX86" i="4" s="1"/>
  <c r="CR85" i="4"/>
  <c r="CC85" i="4" s="1"/>
  <c r="AX60" i="4"/>
  <c r="BB78" i="4"/>
  <c r="AT56" i="4"/>
  <c r="AR40" i="4"/>
  <c r="AZ103" i="4"/>
  <c r="AZ75" i="4"/>
  <c r="AS16" i="4"/>
  <c r="AW7" i="4"/>
  <c r="AS36" i="4"/>
  <c r="AX56" i="4"/>
  <c r="CK61" i="4"/>
  <c r="BV61" i="4" s="1"/>
  <c r="CO83" i="4"/>
  <c r="BZ83" i="4" s="1"/>
  <c r="CN77" i="4"/>
  <c r="BY77" i="4" s="1"/>
  <c r="CN41" i="4"/>
  <c r="BY41" i="4" s="1"/>
  <c r="CS8" i="4"/>
  <c r="CD8" i="4" s="1"/>
  <c r="CQ64" i="4"/>
  <c r="CB64" i="4" s="1"/>
  <c r="BB60" i="4"/>
  <c r="AS78" i="4"/>
  <c r="CI76" i="4"/>
  <c r="BT76" i="4" s="1"/>
  <c r="BC97" i="4"/>
  <c r="AX7" i="4"/>
  <c r="CK101" i="4"/>
  <c r="BV101" i="4" s="1"/>
  <c r="CO17" i="4"/>
  <c r="BZ17" i="4" s="1"/>
  <c r="CK58" i="4"/>
  <c r="BV58" i="4" s="1"/>
  <c r="CP98" i="4"/>
  <c r="CA98" i="4" s="1"/>
  <c r="CL49" i="4"/>
  <c r="BW49" i="4" s="1"/>
  <c r="CK69" i="4"/>
  <c r="BV69" i="4" s="1"/>
  <c r="CI77" i="4"/>
  <c r="BT77" i="4" s="1"/>
  <c r="BC19" i="4"/>
  <c r="BA84" i="4"/>
  <c r="AZ40" i="4"/>
  <c r="AX103" i="4"/>
  <c r="AY28" i="4"/>
  <c r="AS40" i="4"/>
  <c r="AT60" i="4"/>
  <c r="AZ28" i="4"/>
  <c r="AW16" i="4"/>
  <c r="AW23" i="4"/>
  <c r="BA36" i="4"/>
  <c r="AT78" i="4"/>
  <c r="AZ56" i="4"/>
  <c r="AU40" i="4"/>
  <c r="AS97" i="4"/>
  <c r="AW60" i="4"/>
  <c r="BA28" i="4"/>
  <c r="AY19" i="4"/>
  <c r="AX23" i="4"/>
  <c r="AR7" i="4"/>
  <c r="AR78" i="4"/>
  <c r="AT72" i="4"/>
  <c r="BB56" i="4"/>
  <c r="AV40" i="4"/>
  <c r="CL63" i="4"/>
  <c r="BW63" i="4" s="1"/>
  <c r="CM73" i="4"/>
  <c r="BX73" i="4" s="1"/>
  <c r="CK57" i="4"/>
  <c r="BV57" i="4" s="1"/>
  <c r="CR9" i="4"/>
  <c r="CC9" i="4" s="1"/>
  <c r="CI46" i="4"/>
  <c r="BT46" i="4" s="1"/>
  <c r="CR30" i="4"/>
  <c r="CC30" i="4" s="1"/>
  <c r="CP85" i="4"/>
  <c r="CA85" i="4" s="1"/>
  <c r="CR8" i="4"/>
  <c r="CC8" i="4" s="1"/>
  <c r="CM87" i="4"/>
  <c r="BX87" i="4" s="1"/>
  <c r="CP82" i="4"/>
  <c r="CA82" i="4" s="1"/>
  <c r="CM74" i="4"/>
  <c r="BX74" i="4" s="1"/>
  <c r="BB28" i="4"/>
  <c r="CR29" i="4"/>
  <c r="CC29" i="4" s="1"/>
  <c r="AT97" i="4"/>
  <c r="AR60" i="4"/>
  <c r="BA7" i="4"/>
  <c r="AT84" i="4"/>
  <c r="BC56" i="4"/>
  <c r="CS10" i="4"/>
  <c r="CD10" i="4" s="1"/>
  <c r="CK65" i="4"/>
  <c r="BV65" i="4" s="1"/>
  <c r="AV28" i="4"/>
  <c r="AW19" i="4"/>
  <c r="AS103" i="4"/>
  <c r="AX16" i="4"/>
  <c r="AU75" i="4"/>
  <c r="AY60" i="4"/>
  <c r="BA19" i="4"/>
  <c r="AV84" i="4"/>
  <c r="AZ72" i="4"/>
  <c r="CS9" i="4"/>
  <c r="CD9" i="4" s="1"/>
  <c r="CI18" i="4"/>
  <c r="BT18" i="4" s="1"/>
  <c r="CK98" i="4"/>
  <c r="BV98" i="4" s="1"/>
  <c r="CL77" i="4"/>
  <c r="BW77" i="4" s="1"/>
  <c r="CN52" i="4"/>
  <c r="BY52" i="4" s="1"/>
  <c r="BC7" i="4"/>
  <c r="AX78" i="4"/>
  <c r="AX19" i="4"/>
  <c r="AU78" i="4"/>
  <c r="AX72" i="4"/>
  <c r="AW40" i="4"/>
  <c r="AV97" i="4"/>
  <c r="AU92" i="4"/>
  <c r="AS28" i="4"/>
  <c r="AT7" i="4"/>
  <c r="AW78" i="4"/>
  <c r="AS56" i="4"/>
  <c r="AY40" i="4"/>
  <c r="AS75" i="4"/>
  <c r="BA97" i="4"/>
  <c r="AX97" i="4"/>
  <c r="AX92" i="4"/>
  <c r="AZ60" i="4"/>
  <c r="AU19" i="4"/>
  <c r="AV7" i="4"/>
  <c r="AX84" i="4"/>
  <c r="AY78" i="4"/>
  <c r="BB72" i="4"/>
  <c r="AU56" i="4"/>
  <c r="AW75" i="4"/>
  <c r="CQ31" i="4"/>
  <c r="CB31" i="4" s="1"/>
  <c r="CI13" i="4"/>
  <c r="BT13" i="4" s="1"/>
  <c r="CM105" i="4"/>
  <c r="BX105" i="4" s="1"/>
  <c r="CL76" i="4"/>
  <c r="BW76" i="4" s="1"/>
  <c r="CP99" i="4"/>
  <c r="CA99" i="4" s="1"/>
  <c r="CO50" i="4"/>
  <c r="BZ50" i="4" s="1"/>
  <c r="AS84" i="4"/>
  <c r="BC75" i="4"/>
  <c r="BB97" i="4"/>
  <c r="BA60" i="4"/>
  <c r="AY84" i="4"/>
  <c r="BC72" i="4"/>
  <c r="AV56" i="4"/>
  <c r="BB103" i="4"/>
  <c r="AY75" i="4"/>
  <c r="CI17" i="4"/>
  <c r="BT17" i="4" s="1"/>
  <c r="CQ29" i="4"/>
  <c r="CB29" i="4" s="1"/>
  <c r="CL73" i="4"/>
  <c r="BW73" i="4" s="1"/>
  <c r="CL74" i="4"/>
  <c r="BW74" i="4" s="1"/>
  <c r="AZ97" i="4"/>
  <c r="BB92" i="4"/>
  <c r="AR19" i="4"/>
  <c r="AY16" i="4"/>
  <c r="AT92" i="4"/>
  <c r="BC103" i="4"/>
  <c r="CK63" i="4"/>
  <c r="BV63" i="4" s="1"/>
  <c r="CN42" i="4"/>
  <c r="BY42" i="4" s="1"/>
  <c r="CO18" i="4"/>
  <c r="BZ18" i="4" s="1"/>
  <c r="CR31" i="4"/>
  <c r="CC31" i="4" s="1"/>
  <c r="AY96" i="4"/>
  <c r="CK48" i="4"/>
  <c r="BV48" i="4" s="1"/>
  <c r="CO77" i="4"/>
  <c r="BZ77" i="4" s="1"/>
  <c r="AW109" i="4"/>
  <c r="BC36" i="4"/>
  <c r="AA88" i="4"/>
  <c r="AD88" i="4"/>
  <c r="AC88" i="4"/>
  <c r="AB88" i="4"/>
  <c r="CQ91" i="4"/>
  <c r="CB91" i="4" s="1"/>
  <c r="CQ27" i="4"/>
  <c r="CB27" i="4" s="1"/>
  <c r="CJ68" i="4"/>
  <c r="BU68" i="4" s="1"/>
  <c r="CR48" i="4"/>
  <c r="CC48" i="4" s="1"/>
  <c r="CQ44" i="4"/>
  <c r="CB44" i="4" s="1"/>
  <c r="CN76" i="4"/>
  <c r="BY76" i="4" s="1"/>
  <c r="CR49" i="4"/>
  <c r="CC49" i="4" s="1"/>
  <c r="CK44" i="4"/>
  <c r="BV44" i="4" s="1"/>
  <c r="CK76" i="4"/>
  <c r="BV76" i="4" s="1"/>
  <c r="AX109" i="4"/>
  <c r="AR36" i="4"/>
  <c r="X59" i="4"/>
  <c r="Z59" i="4"/>
  <c r="Y59" i="4"/>
  <c r="W59" i="4"/>
  <c r="CP94" i="4"/>
  <c r="CA94" i="4" s="1"/>
  <c r="CI61" i="4"/>
  <c r="BT61" i="4" s="1"/>
  <c r="CM42" i="4"/>
  <c r="BX42" i="4" s="1"/>
  <c r="CI82" i="4"/>
  <c r="BT82" i="4" s="1"/>
  <c r="CK71" i="4"/>
  <c r="BV71" i="4" s="1"/>
  <c r="CS41" i="4"/>
  <c r="CD41" i="4" s="1"/>
  <c r="CI29" i="4"/>
  <c r="BT29" i="4" s="1"/>
  <c r="CS74" i="4"/>
  <c r="CD74" i="4" s="1"/>
  <c r="CJ46" i="4"/>
  <c r="BU46" i="4" s="1"/>
  <c r="CO68" i="4"/>
  <c r="BZ68" i="4" s="1"/>
  <c r="CR73" i="4"/>
  <c r="CC73" i="4" s="1"/>
  <c r="CK108" i="4"/>
  <c r="BV108" i="4" s="1"/>
  <c r="CO73" i="4"/>
  <c r="BZ73" i="4" s="1"/>
  <c r="AT36" i="4"/>
  <c r="AC59" i="4"/>
  <c r="AB59" i="4"/>
  <c r="AA59" i="4"/>
  <c r="AD59" i="4"/>
  <c r="CQ101" i="4"/>
  <c r="CB101" i="4" s="1"/>
  <c r="CN69" i="4"/>
  <c r="BY69" i="4" s="1"/>
  <c r="CT91" i="4"/>
  <c r="CE91" i="4" s="1"/>
  <c r="CK107" i="4"/>
  <c r="BV107" i="4" s="1"/>
  <c r="CK53" i="4"/>
  <c r="BV53" i="4" s="1"/>
  <c r="CI42" i="4"/>
  <c r="BT42" i="4" s="1"/>
  <c r="CK67" i="4"/>
  <c r="BV67" i="4" s="1"/>
  <c r="CP57" i="4"/>
  <c r="CA57" i="4" s="1"/>
  <c r="CO105" i="4"/>
  <c r="BZ105" i="4" s="1"/>
  <c r="CO69" i="4"/>
  <c r="BZ69" i="4" s="1"/>
  <c r="CQ100" i="4"/>
  <c r="CB100" i="4" s="1"/>
  <c r="CS105" i="4"/>
  <c r="CD105" i="4" s="1"/>
  <c r="CI41" i="4"/>
  <c r="BT41" i="4" s="1"/>
  <c r="CK54" i="4"/>
  <c r="BV54" i="4" s="1"/>
  <c r="CM39" i="4"/>
  <c r="BX39" i="4" s="1"/>
  <c r="CO64" i="4"/>
  <c r="BZ64" i="4" s="1"/>
  <c r="CJ71" i="4"/>
  <c r="BU71" i="4" s="1"/>
  <c r="CK68" i="4"/>
  <c r="BV68" i="4" s="1"/>
  <c r="X102" i="4"/>
  <c r="W102" i="4"/>
  <c r="Z102" i="4"/>
  <c r="Y102" i="4"/>
  <c r="W88" i="4"/>
  <c r="Z88" i="4"/>
  <c r="Y88" i="4"/>
  <c r="X88" i="4"/>
  <c r="CK49" i="4"/>
  <c r="BV49" i="4" s="1"/>
  <c r="CI57" i="4"/>
  <c r="BT57" i="4" s="1"/>
  <c r="CT44" i="4"/>
  <c r="CE44" i="4" s="1"/>
  <c r="CK50" i="4"/>
  <c r="BV50" i="4" s="1"/>
  <c r="CI58" i="4"/>
  <c r="BT58" i="4" s="1"/>
  <c r="CS61" i="4"/>
  <c r="CD61" i="4" s="1"/>
  <c r="CR41" i="4"/>
  <c r="CC41" i="4" s="1"/>
  <c r="CK100" i="4"/>
  <c r="BV100" i="4" s="1"/>
  <c r="CO65" i="4"/>
  <c r="BZ65" i="4" s="1"/>
  <c r="BA109" i="4"/>
  <c r="AY36" i="4"/>
  <c r="AR103" i="4"/>
  <c r="CP86" i="4"/>
  <c r="CA86" i="4" s="1"/>
  <c r="CK99" i="4"/>
  <c r="BV99" i="4" s="1"/>
  <c r="CI73" i="4"/>
  <c r="BT73" i="4" s="1"/>
  <c r="CM38" i="4"/>
  <c r="BX38" i="4" s="1"/>
  <c r="CN68" i="4"/>
  <c r="BY68" i="4" s="1"/>
  <c r="CT46" i="4"/>
  <c r="CE46" i="4" s="1"/>
  <c r="CS98" i="4"/>
  <c r="CD98" i="4" s="1"/>
  <c r="CK64" i="4"/>
  <c r="BV64" i="4" s="1"/>
  <c r="CI86" i="4"/>
  <c r="BT86" i="4" s="1"/>
  <c r="CQ71" i="4"/>
  <c r="CB71" i="4" s="1"/>
  <c r="CI74" i="4"/>
  <c r="BT74" i="4" s="1"/>
  <c r="CS57" i="4"/>
  <c r="CD57" i="4" s="1"/>
  <c r="CK27" i="4"/>
  <c r="BV27" i="4" s="1"/>
  <c r="CJ67" i="4"/>
  <c r="BU67" i="4" s="1"/>
  <c r="CO49" i="4"/>
  <c r="BZ49" i="4" s="1"/>
  <c r="CO61" i="4"/>
  <c r="BZ61" i="4" s="1"/>
  <c r="AZ109" i="4"/>
  <c r="AY109" i="4"/>
  <c r="AU36" i="4"/>
  <c r="T59" i="4"/>
  <c r="S59" i="4"/>
  <c r="U59" i="4"/>
  <c r="V59" i="4"/>
  <c r="CI87" i="4"/>
  <c r="BT87" i="4" s="1"/>
  <c r="CP93" i="4"/>
  <c r="CA93" i="4" s="1"/>
  <c r="CI54" i="4"/>
  <c r="BT54" i="4" s="1"/>
  <c r="CM35" i="4"/>
  <c r="BX35" i="4" s="1"/>
  <c r="CO41" i="4"/>
  <c r="BZ41" i="4" s="1"/>
  <c r="CP41" i="4"/>
  <c r="CA41" i="4" s="1"/>
  <c r="CS94" i="4"/>
  <c r="CD94" i="4" s="1"/>
  <c r="CS58" i="4"/>
  <c r="CD58" i="4" s="1"/>
  <c r="V102" i="4"/>
  <c r="S102" i="4"/>
  <c r="U102" i="4"/>
  <c r="T102" i="4"/>
  <c r="AW36" i="4"/>
  <c r="CN10" i="4"/>
  <c r="BY10" i="4" s="1"/>
  <c r="CQ90" i="4"/>
  <c r="CB90" i="4" s="1"/>
  <c r="CS93" i="4"/>
  <c r="CD93" i="4" s="1"/>
  <c r="CO24" i="4"/>
  <c r="BZ24" i="4" s="1"/>
  <c r="CN67" i="4"/>
  <c r="BY67" i="4" s="1"/>
  <c r="CS38" i="4"/>
  <c r="CD38" i="4" s="1"/>
  <c r="CK55" i="4"/>
  <c r="BV55" i="4" s="1"/>
  <c r="CN64" i="4"/>
  <c r="BY64" i="4" s="1"/>
  <c r="CP81" i="4"/>
  <c r="CA81" i="4" s="1"/>
  <c r="CO93" i="4"/>
  <c r="BZ93" i="4" s="1"/>
  <c r="CO57" i="4"/>
  <c r="BZ57" i="4" s="1"/>
  <c r="CI85" i="4"/>
  <c r="BT85" i="4" s="1"/>
  <c r="CS81" i="4"/>
  <c r="CD81" i="4" s="1"/>
  <c r="CS53" i="4"/>
  <c r="CD53" i="4" s="1"/>
  <c r="CR61" i="4"/>
  <c r="CC61" i="4" s="1"/>
  <c r="CS90" i="4"/>
  <c r="CD90" i="4" s="1"/>
  <c r="CS54" i="4"/>
  <c r="CD54" i="4" s="1"/>
  <c r="CQ67" i="4"/>
  <c r="CB67" i="4" s="1"/>
  <c r="CQ68" i="4"/>
  <c r="CB68" i="4" s="1"/>
  <c r="CO52" i="4"/>
  <c r="BZ52" i="4" s="1"/>
  <c r="CJ27" i="4"/>
  <c r="BU27" i="4" s="1"/>
  <c r="CM44" i="4"/>
  <c r="BX44" i="4" s="1"/>
  <c r="CS86" i="4"/>
  <c r="CD86" i="4" s="1"/>
  <c r="CO53" i="4"/>
  <c r="BZ53" i="4" s="1"/>
  <c r="CQ99" i="4"/>
  <c r="CB99" i="4" s="1"/>
  <c r="CK51" i="4"/>
  <c r="BV51" i="4" s="1"/>
  <c r="CR57" i="4"/>
  <c r="CC57" i="4" s="1"/>
  <c r="CP73" i="4"/>
  <c r="CA73" i="4" s="1"/>
  <c r="CO85" i="4"/>
  <c r="BZ85" i="4" s="1"/>
  <c r="CS50" i="4"/>
  <c r="CD50" i="4" s="1"/>
  <c r="V88" i="4"/>
  <c r="U88" i="4"/>
  <c r="T88" i="4"/>
  <c r="S88" i="4"/>
  <c r="CS85" i="4"/>
  <c r="CD85" i="4" s="1"/>
  <c r="CM46" i="4"/>
  <c r="BX46" i="4" s="1"/>
  <c r="CO76" i="4"/>
  <c r="BZ76" i="4" s="1"/>
  <c r="CS82" i="4"/>
  <c r="CD82" i="4" s="1"/>
  <c r="CS46" i="4"/>
  <c r="CD46" i="4" s="1"/>
  <c r="AB102" i="4"/>
  <c r="AD102" i="4"/>
  <c r="AC102" i="4"/>
  <c r="AA102" i="4"/>
  <c r="CO81" i="4"/>
  <c r="BZ81" i="4" s="1"/>
  <c r="CS42" i="4"/>
  <c r="CD42" i="4" s="1"/>
  <c r="BB84" i="4"/>
  <c r="AR92" i="4"/>
  <c r="K465" i="4" l="1"/>
  <c r="J21" i="7" s="1"/>
  <c r="T418" i="4"/>
  <c r="S87" i="9" s="1"/>
  <c r="Q304" i="4"/>
  <c r="T83" i="8" s="1"/>
  <c r="J316" i="4"/>
  <c r="M95" i="8" s="1"/>
  <c r="D261" i="4"/>
  <c r="G40" i="8" s="1"/>
  <c r="S264" i="4"/>
  <c r="V43" i="8" s="1"/>
  <c r="H308" i="4"/>
  <c r="K87" i="8" s="1"/>
  <c r="W316" i="4"/>
  <c r="Z95" i="8" s="1"/>
  <c r="N316" i="4"/>
  <c r="Q95" i="8" s="1"/>
  <c r="O374" i="4"/>
  <c r="N43" i="9" s="1"/>
  <c r="G371" i="4"/>
  <c r="F40" i="9" s="1"/>
  <c r="Q293" i="4"/>
  <c r="T72" i="8" s="1"/>
  <c r="H426" i="4"/>
  <c r="G95" i="9" s="1"/>
  <c r="D276" i="4"/>
  <c r="G55" i="8" s="1"/>
  <c r="J386" i="4"/>
  <c r="I55" i="9" s="1"/>
  <c r="V316" i="4"/>
  <c r="Y95" i="8" s="1"/>
  <c r="AP243" i="4"/>
  <c r="AA243" i="4"/>
  <c r="K316" i="4"/>
  <c r="N95" i="8" s="1"/>
  <c r="T316" i="4"/>
  <c r="W95" i="8" s="1"/>
  <c r="O316" i="4"/>
  <c r="R95" i="8" s="1"/>
  <c r="M316" i="4"/>
  <c r="P95" i="8" s="1"/>
  <c r="P316" i="4"/>
  <c r="S95" i="8" s="1"/>
  <c r="AO375" i="4"/>
  <c r="AS375" i="4"/>
  <c r="AH375" i="4"/>
  <c r="AH265" i="4"/>
  <c r="AE265" i="4"/>
  <c r="AO265" i="4"/>
  <c r="AB243" i="4"/>
  <c r="AQ243" i="4"/>
  <c r="S316" i="4"/>
  <c r="V95" i="8" s="1"/>
  <c r="Q316" i="4"/>
  <c r="T95" i="8" s="1"/>
  <c r="L316" i="4"/>
  <c r="O95" i="8" s="1"/>
  <c r="V304" i="4"/>
  <c r="Y83" i="8" s="1"/>
  <c r="V261" i="4"/>
  <c r="Y40" i="8" s="1"/>
  <c r="U264" i="4"/>
  <c r="X43" i="8" s="1"/>
  <c r="AJ375" i="4"/>
  <c r="AM265" i="4"/>
  <c r="AK265" i="4"/>
  <c r="AB375" i="4"/>
  <c r="AA375" i="4"/>
  <c r="L398" i="4"/>
  <c r="K67" i="9" s="1"/>
  <c r="K357" i="4"/>
  <c r="J26" i="9" s="1"/>
  <c r="R293" i="4"/>
  <c r="U72" i="8" s="1"/>
  <c r="O304" i="4"/>
  <c r="R83" i="8" s="1"/>
  <c r="D301" i="4"/>
  <c r="G80" i="8" s="1"/>
  <c r="V374" i="4"/>
  <c r="U43" i="9" s="1"/>
  <c r="M371" i="4"/>
  <c r="L40" i="9" s="1"/>
  <c r="P297" i="4"/>
  <c r="S76" i="8" s="1"/>
  <c r="U308" i="4"/>
  <c r="X87" i="8" s="1"/>
  <c r="G407" i="4"/>
  <c r="F76" i="9" s="1"/>
  <c r="J418" i="4"/>
  <c r="I87" i="9" s="1"/>
  <c r="J411" i="4"/>
  <c r="I80" i="9" s="1"/>
  <c r="P261" i="4"/>
  <c r="S40" i="8" s="1"/>
  <c r="H414" i="4"/>
  <c r="G83" i="9" s="1"/>
  <c r="V403" i="4"/>
  <c r="U72" i="9" s="1"/>
  <c r="AR243" i="4"/>
  <c r="AD243" i="4"/>
  <c r="AT243" i="4"/>
  <c r="AC243" i="4"/>
  <c r="D304" i="4"/>
  <c r="G83" i="8" s="1"/>
  <c r="Q276" i="4"/>
  <c r="T55" i="8" s="1"/>
  <c r="T374" i="4"/>
  <c r="S43" i="9" s="1"/>
  <c r="AG265" i="4"/>
  <c r="AN375" i="4"/>
  <c r="AQ375" i="4"/>
  <c r="AQ265" i="4"/>
  <c r="D426" i="4"/>
  <c r="C95" i="9" s="1"/>
  <c r="AJ265" i="4"/>
  <c r="AT375" i="4"/>
  <c r="AL375" i="4"/>
  <c r="AL265" i="4"/>
  <c r="AH243" i="4"/>
  <c r="AI243" i="4"/>
  <c r="AE243" i="4"/>
  <c r="D316" i="4"/>
  <c r="G95" i="8" s="1"/>
  <c r="K276" i="4"/>
  <c r="N55" i="8" s="1"/>
  <c r="R308" i="4"/>
  <c r="U87" i="8" s="1"/>
  <c r="E308" i="4"/>
  <c r="H87" i="8" s="1"/>
  <c r="V308" i="4"/>
  <c r="Y87" i="8" s="1"/>
  <c r="V426" i="4"/>
  <c r="U95" i="9" s="1"/>
  <c r="S426" i="4"/>
  <c r="R95" i="9" s="1"/>
  <c r="AS265" i="4"/>
  <c r="AI265" i="4"/>
  <c r="T414" i="4"/>
  <c r="S83" i="9" s="1"/>
  <c r="S293" i="4"/>
  <c r="V72" i="8" s="1"/>
  <c r="J264" i="4"/>
  <c r="M43" i="8" s="1"/>
  <c r="D374" i="4"/>
  <c r="C43" i="9" s="1"/>
  <c r="O261" i="4"/>
  <c r="R40" i="8" s="1"/>
  <c r="K297" i="4"/>
  <c r="N76" i="8" s="1"/>
  <c r="AN265" i="4"/>
  <c r="F403" i="4"/>
  <c r="E72" i="9" s="1"/>
  <c r="D418" i="4"/>
  <c r="C87" i="9" s="1"/>
  <c r="D407" i="4"/>
  <c r="C76" i="9" s="1"/>
  <c r="AJ243" i="4"/>
  <c r="F308" i="4"/>
  <c r="I87" i="8" s="1"/>
  <c r="H316" i="4"/>
  <c r="K95" i="8" s="1"/>
  <c r="F316" i="4"/>
  <c r="I95" i="8" s="1"/>
  <c r="I316" i="4"/>
  <c r="L95" i="8" s="1"/>
  <c r="AC375" i="4"/>
  <c r="AG375" i="4"/>
  <c r="AP375" i="4"/>
  <c r="AR265" i="4"/>
  <c r="AM375" i="4"/>
  <c r="AK375" i="4"/>
  <c r="AK243" i="4"/>
  <c r="AL243" i="4"/>
  <c r="AM243" i="4"/>
  <c r="U316" i="4"/>
  <c r="X95" i="8" s="1"/>
  <c r="O426" i="4"/>
  <c r="N95" i="9" s="1"/>
  <c r="AE375" i="4"/>
  <c r="AP265" i="4"/>
  <c r="AF375" i="4"/>
  <c r="AR375" i="4"/>
  <c r="AZ96" i="4"/>
  <c r="AS96" i="4"/>
  <c r="BB96" i="4"/>
  <c r="AW96" i="4"/>
  <c r="BA96" i="4"/>
  <c r="AR96" i="4"/>
  <c r="AX96" i="4"/>
  <c r="AT96" i="4"/>
  <c r="V96" i="4" s="1"/>
  <c r="BC96" i="4"/>
  <c r="AU96" i="4"/>
  <c r="T34" i="4"/>
  <c r="L301" i="4"/>
  <c r="O80" i="8" s="1"/>
  <c r="Q411" i="4"/>
  <c r="P80" i="9" s="1"/>
  <c r="U411" i="4"/>
  <c r="T80" i="9" s="1"/>
  <c r="T301" i="4"/>
  <c r="W80" i="8" s="1"/>
  <c r="H301" i="4"/>
  <c r="K80" i="8" s="1"/>
  <c r="I301" i="4"/>
  <c r="L80" i="8" s="1"/>
  <c r="F297" i="4"/>
  <c r="I76" i="8" s="1"/>
  <c r="H297" i="4"/>
  <c r="K76" i="8" s="1"/>
  <c r="N407" i="4"/>
  <c r="M76" i="9" s="1"/>
  <c r="N297" i="4"/>
  <c r="Q76" i="8" s="1"/>
  <c r="T407" i="4"/>
  <c r="S76" i="9" s="1"/>
  <c r="F418" i="4"/>
  <c r="E87" i="9" s="1"/>
  <c r="D308" i="4"/>
  <c r="G87" i="8" s="1"/>
  <c r="W374" i="4"/>
  <c r="V43" i="9" s="1"/>
  <c r="J414" i="4"/>
  <c r="I83" i="9" s="1"/>
  <c r="H371" i="4"/>
  <c r="G40" i="9" s="1"/>
  <c r="E374" i="4"/>
  <c r="D43" i="9" s="1"/>
  <c r="L304" i="4"/>
  <c r="O83" i="8" s="1"/>
  <c r="I261" i="4"/>
  <c r="L40" i="8" s="1"/>
  <c r="R371" i="4"/>
  <c r="Q40" i="9" s="1"/>
  <c r="O293" i="4"/>
  <c r="R72" i="8" s="1"/>
  <c r="K418" i="4"/>
  <c r="J87" i="9" s="1"/>
  <c r="I304" i="4"/>
  <c r="L83" i="8" s="1"/>
  <c r="N264" i="4"/>
  <c r="Q43" i="8" s="1"/>
  <c r="F264" i="4"/>
  <c r="I43" i="8" s="1"/>
  <c r="N293" i="4"/>
  <c r="Q72" i="8" s="1"/>
  <c r="T293" i="4"/>
  <c r="W72" i="8" s="1"/>
  <c r="G264" i="4"/>
  <c r="J43" i="8" s="1"/>
  <c r="W264" i="4"/>
  <c r="Z43" i="8" s="1"/>
  <c r="T304" i="4"/>
  <c r="W83" i="8" s="1"/>
  <c r="K264" i="4"/>
  <c r="N43" i="8" s="1"/>
  <c r="H293" i="4"/>
  <c r="K72" i="8" s="1"/>
  <c r="G403" i="4"/>
  <c r="F72" i="9" s="1"/>
  <c r="N308" i="4"/>
  <c r="Q87" i="8" s="1"/>
  <c r="H374" i="4"/>
  <c r="G43" i="9" s="1"/>
  <c r="T371" i="4"/>
  <c r="S40" i="9" s="1"/>
  <c r="W293" i="4"/>
  <c r="Z72" i="8" s="1"/>
  <c r="R411" i="4"/>
  <c r="Q80" i="9" s="1"/>
  <c r="W411" i="4"/>
  <c r="V80" i="9" s="1"/>
  <c r="J407" i="4"/>
  <c r="I76" i="9" s="1"/>
  <c r="W297" i="4"/>
  <c r="Z76" i="8" s="1"/>
  <c r="S407" i="4"/>
  <c r="R76" i="9" s="1"/>
  <c r="U297" i="4"/>
  <c r="X76" i="8" s="1"/>
  <c r="M411" i="4"/>
  <c r="L80" i="9" s="1"/>
  <c r="R297" i="4"/>
  <c r="U76" i="8" s="1"/>
  <c r="Q297" i="4"/>
  <c r="T76" i="8" s="1"/>
  <c r="O411" i="4"/>
  <c r="N80" i="9" s="1"/>
  <c r="J301" i="4"/>
  <c r="M80" i="8" s="1"/>
  <c r="V301" i="4"/>
  <c r="Y80" i="8" s="1"/>
  <c r="K411" i="4"/>
  <c r="J80" i="9" s="1"/>
  <c r="W371" i="4"/>
  <c r="V40" i="9" s="1"/>
  <c r="G261" i="4"/>
  <c r="J40" i="8" s="1"/>
  <c r="N414" i="4"/>
  <c r="M83" i="9" s="1"/>
  <c r="Q308" i="4"/>
  <c r="T87" i="8" s="1"/>
  <c r="M293" i="4"/>
  <c r="P72" i="8" s="1"/>
  <c r="U374" i="4"/>
  <c r="T43" i="9" s="1"/>
  <c r="H304" i="4"/>
  <c r="K83" i="8" s="1"/>
  <c r="G414" i="4"/>
  <c r="F83" i="9" s="1"/>
  <c r="L418" i="4"/>
  <c r="K87" i="9" s="1"/>
  <c r="S308" i="4"/>
  <c r="V87" i="8" s="1"/>
  <c r="J261" i="4"/>
  <c r="M40" i="8" s="1"/>
  <c r="N371" i="4"/>
  <c r="M40" i="9" s="1"/>
  <c r="T403" i="4"/>
  <c r="S72" i="9" s="1"/>
  <c r="E418" i="4"/>
  <c r="D87" i="9" s="1"/>
  <c r="I418" i="4"/>
  <c r="H87" i="9" s="1"/>
  <c r="U304" i="4"/>
  <c r="X83" i="8" s="1"/>
  <c r="M304" i="4"/>
  <c r="P83" i="8" s="1"/>
  <c r="T264" i="4"/>
  <c r="W43" i="8" s="1"/>
  <c r="R264" i="4"/>
  <c r="U43" i="8" s="1"/>
  <c r="K308" i="4"/>
  <c r="N87" i="8" s="1"/>
  <c r="W261" i="4"/>
  <c r="Z40" i="8" s="1"/>
  <c r="E304" i="4"/>
  <c r="H83" i="8" s="1"/>
  <c r="H261" i="4"/>
  <c r="K40" i="8" s="1"/>
  <c r="H403" i="4"/>
  <c r="G72" i="9" s="1"/>
  <c r="P418" i="4"/>
  <c r="O87" i="9" s="1"/>
  <c r="N403" i="4"/>
  <c r="M72" i="9" s="1"/>
  <c r="P414" i="4"/>
  <c r="O83" i="9" s="1"/>
  <c r="G411" i="4"/>
  <c r="F80" i="9" s="1"/>
  <c r="I411" i="4"/>
  <c r="H80" i="9" s="1"/>
  <c r="R407" i="4"/>
  <c r="Q76" i="9" s="1"/>
  <c r="K301" i="4"/>
  <c r="N80" i="8" s="1"/>
  <c r="O297" i="4"/>
  <c r="R76" i="8" s="1"/>
  <c r="V418" i="4"/>
  <c r="U87" i="9" s="1"/>
  <c r="G293" i="4"/>
  <c r="J72" i="8" s="1"/>
  <c r="Q403" i="4"/>
  <c r="P72" i="9" s="1"/>
  <c r="E293" i="4"/>
  <c r="H72" i="8" s="1"/>
  <c r="K403" i="4"/>
  <c r="J72" i="9" s="1"/>
  <c r="N304" i="4"/>
  <c r="Q83" i="8" s="1"/>
  <c r="S414" i="4"/>
  <c r="R83" i="9" s="1"/>
  <c r="E403" i="4"/>
  <c r="D72" i="9" s="1"/>
  <c r="G308" i="4"/>
  <c r="J87" i="8" s="1"/>
  <c r="D371" i="4"/>
  <c r="C40" i="9" s="1"/>
  <c r="J371" i="4"/>
  <c r="I40" i="9" s="1"/>
  <c r="R261" i="4"/>
  <c r="U40" i="8" s="1"/>
  <c r="P304" i="4"/>
  <c r="S83" i="8" s="1"/>
  <c r="M264" i="4"/>
  <c r="P43" i="8" s="1"/>
  <c r="L261" i="4"/>
  <c r="O40" i="8" s="1"/>
  <c r="Q261" i="4"/>
  <c r="T40" i="8" s="1"/>
  <c r="G374" i="4"/>
  <c r="F43" i="9" s="1"/>
  <c r="V411" i="4"/>
  <c r="U80" i="9" s="1"/>
  <c r="E297" i="4"/>
  <c r="H76" i="8" s="1"/>
  <c r="O407" i="4"/>
  <c r="N76" i="9" s="1"/>
  <c r="U301" i="4"/>
  <c r="X80" i="8" s="1"/>
  <c r="F407" i="4"/>
  <c r="E76" i="9" s="1"/>
  <c r="Q301" i="4"/>
  <c r="T80" i="8" s="1"/>
  <c r="F301" i="4"/>
  <c r="I80" i="8" s="1"/>
  <c r="F411" i="4"/>
  <c r="E80" i="9" s="1"/>
  <c r="I297" i="4"/>
  <c r="L76" i="8" s="1"/>
  <c r="E407" i="4"/>
  <c r="D76" i="9" s="1"/>
  <c r="P301" i="4"/>
  <c r="S80" i="8" s="1"/>
  <c r="V297" i="4"/>
  <c r="Y76" i="8" s="1"/>
  <c r="M403" i="4"/>
  <c r="L72" i="9" s="1"/>
  <c r="E261" i="4"/>
  <c r="H40" i="8" s="1"/>
  <c r="I374" i="4"/>
  <c r="H43" i="9" s="1"/>
  <c r="D414" i="4"/>
  <c r="C83" i="9" s="1"/>
  <c r="M414" i="4"/>
  <c r="L83" i="9" s="1"/>
  <c r="S371" i="4"/>
  <c r="R40" i="9" s="1"/>
  <c r="I371" i="4"/>
  <c r="H40" i="9" s="1"/>
  <c r="O403" i="4"/>
  <c r="N72" i="9" s="1"/>
  <c r="M418" i="4"/>
  <c r="L87" i="9" s="1"/>
  <c r="S304" i="4"/>
  <c r="V83" i="8" s="1"/>
  <c r="H264" i="4"/>
  <c r="K43" i="8" s="1"/>
  <c r="Q264" i="4"/>
  <c r="T43" i="8" s="1"/>
  <c r="I264" i="4"/>
  <c r="L43" i="8" s="1"/>
  <c r="L293" i="4"/>
  <c r="O72" i="8" s="1"/>
  <c r="V293" i="4"/>
  <c r="Y72" i="8" s="1"/>
  <c r="V264" i="4"/>
  <c r="Y43" i="8" s="1"/>
  <c r="F414" i="4"/>
  <c r="E83" i="9" s="1"/>
  <c r="E371" i="4"/>
  <c r="D40" i="9" s="1"/>
  <c r="F371" i="4"/>
  <c r="E40" i="9" s="1"/>
  <c r="W414" i="4"/>
  <c r="V83" i="9" s="1"/>
  <c r="L403" i="4"/>
  <c r="K72" i="9" s="1"/>
  <c r="U407" i="4"/>
  <c r="T76" i="9" s="1"/>
  <c r="M301" i="4"/>
  <c r="P80" i="8" s="1"/>
  <c r="S301" i="4"/>
  <c r="V80" i="8" s="1"/>
  <c r="N301" i="4"/>
  <c r="Q80" i="8" s="1"/>
  <c r="M297" i="4"/>
  <c r="P76" i="8" s="1"/>
  <c r="S411" i="4"/>
  <c r="R80" i="9" s="1"/>
  <c r="E411" i="4"/>
  <c r="D80" i="9" s="1"/>
  <c r="K261" i="4"/>
  <c r="N40" i="8" s="1"/>
  <c r="G418" i="4"/>
  <c r="F87" i="9" s="1"/>
  <c r="R374" i="4"/>
  <c r="Q43" i="9" s="1"/>
  <c r="U414" i="4"/>
  <c r="T83" i="9" s="1"/>
  <c r="O414" i="4"/>
  <c r="N83" i="9" s="1"/>
  <c r="U418" i="4"/>
  <c r="T87" i="9" s="1"/>
  <c r="T261" i="4"/>
  <c r="W40" i="8" s="1"/>
  <c r="M261" i="4"/>
  <c r="P40" i="8" s="1"/>
  <c r="P371" i="4"/>
  <c r="O40" i="9" s="1"/>
  <c r="O371" i="4"/>
  <c r="N40" i="9" s="1"/>
  <c r="I403" i="4"/>
  <c r="H72" i="9" s="1"/>
  <c r="R418" i="4"/>
  <c r="Q87" i="9" s="1"/>
  <c r="I308" i="4"/>
  <c r="L87" i="8" s="1"/>
  <c r="O308" i="4"/>
  <c r="R87" i="8" s="1"/>
  <c r="L264" i="4"/>
  <c r="O43" i="8" s="1"/>
  <c r="D264" i="4"/>
  <c r="G43" i="8" s="1"/>
  <c r="E264" i="4"/>
  <c r="H43" i="8" s="1"/>
  <c r="F261" i="4"/>
  <c r="I40" i="8" s="1"/>
  <c r="F293" i="4"/>
  <c r="I72" i="8" s="1"/>
  <c r="F304" i="4"/>
  <c r="I83" i="8" s="1"/>
  <c r="Q374" i="4"/>
  <c r="P43" i="9" s="1"/>
  <c r="R414" i="4"/>
  <c r="Q83" i="9" s="1"/>
  <c r="N261" i="4"/>
  <c r="Q40" i="8" s="1"/>
  <c r="K414" i="4"/>
  <c r="J83" i="9" s="1"/>
  <c r="H418" i="4"/>
  <c r="G87" i="9" s="1"/>
  <c r="T308" i="4"/>
  <c r="W87" i="8" s="1"/>
  <c r="D403" i="4"/>
  <c r="C72" i="9" s="1"/>
  <c r="C44" i="8"/>
  <c r="AC265" i="4"/>
  <c r="M308" i="4"/>
  <c r="P87" i="8" s="1"/>
  <c r="O301" i="4"/>
  <c r="R80" i="8" s="1"/>
  <c r="V407" i="4"/>
  <c r="U76" i="9" s="1"/>
  <c r="G297" i="4"/>
  <c r="J76" i="8" s="1"/>
  <c r="I407" i="4"/>
  <c r="H76" i="9" s="1"/>
  <c r="D297" i="4"/>
  <c r="G76" i="8" s="1"/>
  <c r="L411" i="4"/>
  <c r="K80" i="9" s="1"/>
  <c r="T411" i="4"/>
  <c r="S80" i="9" s="1"/>
  <c r="P407" i="4"/>
  <c r="O76" i="9" s="1"/>
  <c r="W301" i="4"/>
  <c r="Z80" i="8" s="1"/>
  <c r="E301" i="4"/>
  <c r="H80" i="8" s="1"/>
  <c r="P308" i="4"/>
  <c r="S87" i="8" s="1"/>
  <c r="F374" i="4"/>
  <c r="E43" i="9" s="1"/>
  <c r="D293" i="4"/>
  <c r="G72" i="8" s="1"/>
  <c r="Q418" i="4"/>
  <c r="P87" i="9" s="1"/>
  <c r="J374" i="4"/>
  <c r="I43" i="9" s="1"/>
  <c r="I414" i="4"/>
  <c r="H83" i="9" s="1"/>
  <c r="U371" i="4"/>
  <c r="T40" i="9" s="1"/>
  <c r="J293" i="4"/>
  <c r="M72" i="8" s="1"/>
  <c r="R403" i="4"/>
  <c r="Q72" i="9" s="1"/>
  <c r="O264" i="4"/>
  <c r="R43" i="8" s="1"/>
  <c r="R304" i="4"/>
  <c r="U83" i="8" s="1"/>
  <c r="G304" i="4"/>
  <c r="J83" i="8" s="1"/>
  <c r="U293" i="4"/>
  <c r="X72" i="8" s="1"/>
  <c r="K293" i="4"/>
  <c r="N72" i="8" s="1"/>
  <c r="S403" i="4"/>
  <c r="R72" i="9" s="1"/>
  <c r="AB265" i="4"/>
  <c r="AK229" i="4"/>
  <c r="AF339" i="4"/>
  <c r="AP339" i="4"/>
  <c r="AR339" i="4"/>
  <c r="AD229" i="4"/>
  <c r="AN339" i="4"/>
  <c r="AB339" i="4"/>
  <c r="K399" i="4"/>
  <c r="J68" i="9" s="1"/>
  <c r="K430" i="4"/>
  <c r="J99" i="9" s="1"/>
  <c r="R429" i="4"/>
  <c r="Q98" i="9" s="1"/>
  <c r="V288" i="4"/>
  <c r="Y67" i="8" s="1"/>
  <c r="S397" i="4"/>
  <c r="R66" i="9" s="1"/>
  <c r="L357" i="4"/>
  <c r="K26" i="9" s="1"/>
  <c r="H247" i="4"/>
  <c r="K26" i="8" s="1"/>
  <c r="AT339" i="4"/>
  <c r="AK339" i="4"/>
  <c r="AH339" i="4"/>
  <c r="AI229" i="4"/>
  <c r="AG229" i="4"/>
  <c r="AA339" i="4"/>
  <c r="AM229" i="4"/>
  <c r="AG339" i="4"/>
  <c r="AC339" i="4"/>
  <c r="AS229" i="4"/>
  <c r="AT229" i="4"/>
  <c r="AC229" i="4"/>
  <c r="AI339" i="4"/>
  <c r="AE339" i="4"/>
  <c r="AR229" i="4"/>
  <c r="AD339" i="4"/>
  <c r="AA229" i="4"/>
  <c r="AB229" i="4"/>
  <c r="AO339" i="4"/>
  <c r="AM339" i="4"/>
  <c r="AH229" i="4"/>
  <c r="AE229" i="4"/>
  <c r="AS339" i="4"/>
  <c r="AJ339" i="4"/>
  <c r="AZ80" i="4"/>
  <c r="Y43" i="4"/>
  <c r="J357" i="4"/>
  <c r="I26" i="9" s="1"/>
  <c r="I397" i="4"/>
  <c r="H66" i="9" s="1"/>
  <c r="G399" i="4"/>
  <c r="F68" i="9" s="1"/>
  <c r="V400" i="4"/>
  <c r="U69" i="9" s="1"/>
  <c r="L319" i="4"/>
  <c r="O98" i="8" s="1"/>
  <c r="W287" i="4"/>
  <c r="Z66" i="8" s="1"/>
  <c r="U357" i="4"/>
  <c r="T26" i="9" s="1"/>
  <c r="V399" i="4"/>
  <c r="U68" i="9" s="1"/>
  <c r="U429" i="4"/>
  <c r="T98" i="9" s="1"/>
  <c r="V319" i="4"/>
  <c r="Y98" i="8" s="1"/>
  <c r="O357" i="4"/>
  <c r="N26" i="9" s="1"/>
  <c r="P357" i="4"/>
  <c r="O26" i="9" s="1"/>
  <c r="H287" i="4"/>
  <c r="K66" i="8" s="1"/>
  <c r="I357" i="4"/>
  <c r="H26" i="9" s="1"/>
  <c r="N397" i="4"/>
  <c r="M66" i="9" s="1"/>
  <c r="V357" i="4"/>
  <c r="U26" i="9" s="1"/>
  <c r="O397" i="4"/>
  <c r="N66" i="9" s="1"/>
  <c r="I399" i="4"/>
  <c r="H68" i="9" s="1"/>
  <c r="M429" i="4"/>
  <c r="L98" i="9" s="1"/>
  <c r="T357" i="4"/>
  <c r="S26" i="9" s="1"/>
  <c r="H357" i="4"/>
  <c r="G26" i="9" s="1"/>
  <c r="D357" i="4"/>
  <c r="C26" i="9" s="1"/>
  <c r="N357" i="4"/>
  <c r="M26" i="9" s="1"/>
  <c r="S415" i="4"/>
  <c r="R84" i="9" s="1"/>
  <c r="D288" i="4"/>
  <c r="G67" i="8" s="1"/>
  <c r="W357" i="4"/>
  <c r="V26" i="9" s="1"/>
  <c r="F357" i="4"/>
  <c r="E26" i="9" s="1"/>
  <c r="G357" i="4"/>
  <c r="F26" i="9" s="1"/>
  <c r="S357" i="4"/>
  <c r="R26" i="9" s="1"/>
  <c r="W288" i="4"/>
  <c r="Z67" i="8" s="1"/>
  <c r="M357" i="4"/>
  <c r="L26" i="9" s="1"/>
  <c r="O290" i="4"/>
  <c r="R69" i="8" s="1"/>
  <c r="S359" i="4"/>
  <c r="R28" i="9" s="1"/>
  <c r="W298" i="4"/>
  <c r="Z77" i="8" s="1"/>
  <c r="J303" i="4"/>
  <c r="M82" i="8" s="1"/>
  <c r="N395" i="4"/>
  <c r="M64" i="9" s="1"/>
  <c r="K311" i="4"/>
  <c r="N90" i="8" s="1"/>
  <c r="R289" i="4"/>
  <c r="U68" i="8" s="1"/>
  <c r="N435" i="4"/>
  <c r="M104" i="9" s="1"/>
  <c r="Q325" i="4"/>
  <c r="T104" i="8" s="1"/>
  <c r="W250" i="4"/>
  <c r="Z29" i="8" s="1"/>
  <c r="W310" i="4"/>
  <c r="Z89" i="8" s="1"/>
  <c r="T421" i="4"/>
  <c r="S90" i="9" s="1"/>
  <c r="U326" i="4"/>
  <c r="X105" i="8" s="1"/>
  <c r="M398" i="4"/>
  <c r="L67" i="9" s="1"/>
  <c r="T247" i="4"/>
  <c r="W26" i="8" s="1"/>
  <c r="N320" i="4"/>
  <c r="Q99" i="8" s="1"/>
  <c r="W397" i="4"/>
  <c r="V66" i="9" s="1"/>
  <c r="D287" i="4"/>
  <c r="G66" i="8" s="1"/>
  <c r="Q288" i="4"/>
  <c r="T67" i="8" s="1"/>
  <c r="J319" i="4"/>
  <c r="M98" i="8" s="1"/>
  <c r="I430" i="4"/>
  <c r="H99" i="9" s="1"/>
  <c r="K429" i="4"/>
  <c r="J98" i="9" s="1"/>
  <c r="Q357" i="4"/>
  <c r="P26" i="9" s="1"/>
  <c r="R357" i="4"/>
  <c r="Q26" i="9" s="1"/>
  <c r="E357" i="4"/>
  <c r="D26" i="9" s="1"/>
  <c r="E281" i="4"/>
  <c r="H60" i="8" s="1"/>
  <c r="M440" i="4"/>
  <c r="L109" i="9" s="1"/>
  <c r="V416" i="4"/>
  <c r="U85" i="9" s="1"/>
  <c r="J430" i="4"/>
  <c r="I99" i="9" s="1"/>
  <c r="Q287" i="4"/>
  <c r="T66" i="8" s="1"/>
  <c r="L397" i="4"/>
  <c r="K66" i="9" s="1"/>
  <c r="H429" i="4"/>
  <c r="G98" i="9" s="1"/>
  <c r="V326" i="4"/>
  <c r="Y105" i="8" s="1"/>
  <c r="U320" i="4"/>
  <c r="X99" i="8" s="1"/>
  <c r="Q398" i="4"/>
  <c r="P67" i="9" s="1"/>
  <c r="I398" i="4"/>
  <c r="H67" i="9" s="1"/>
  <c r="E430" i="4"/>
  <c r="D99" i="9" s="1"/>
  <c r="W429" i="4"/>
  <c r="V98" i="9" s="1"/>
  <c r="U430" i="4"/>
  <c r="T99" i="9" s="1"/>
  <c r="S287" i="4"/>
  <c r="V66" i="8" s="1"/>
  <c r="D319" i="4"/>
  <c r="G98" i="8" s="1"/>
  <c r="I319" i="4"/>
  <c r="L98" i="8" s="1"/>
  <c r="Q319" i="4"/>
  <c r="T98" i="8" s="1"/>
  <c r="J287" i="4"/>
  <c r="M66" i="8" s="1"/>
  <c r="K320" i="4"/>
  <c r="N99" i="8" s="1"/>
  <c r="V397" i="4"/>
  <c r="U66" i="9" s="1"/>
  <c r="E326" i="4"/>
  <c r="H105" i="8" s="1"/>
  <c r="E319" i="4"/>
  <c r="H98" i="8" s="1"/>
  <c r="H430" i="4"/>
  <c r="G99" i="9" s="1"/>
  <c r="M247" i="4"/>
  <c r="P26" i="8" s="1"/>
  <c r="F397" i="4"/>
  <c r="E66" i="9" s="1"/>
  <c r="N319" i="4"/>
  <c r="Q98" i="8" s="1"/>
  <c r="V429" i="4"/>
  <c r="U98" i="9" s="1"/>
  <c r="O398" i="4"/>
  <c r="N67" i="9" s="1"/>
  <c r="E398" i="4"/>
  <c r="D67" i="9" s="1"/>
  <c r="H398" i="4"/>
  <c r="G67" i="9" s="1"/>
  <c r="W430" i="4"/>
  <c r="V99" i="9" s="1"/>
  <c r="R290" i="4"/>
  <c r="U69" i="8" s="1"/>
  <c r="O430" i="4"/>
  <c r="N99" i="9" s="1"/>
  <c r="S247" i="4"/>
  <c r="V26" i="8" s="1"/>
  <c r="W247" i="4"/>
  <c r="Z26" i="8" s="1"/>
  <c r="K288" i="4"/>
  <c r="N67" i="8" s="1"/>
  <c r="N287" i="4"/>
  <c r="Q66" i="8" s="1"/>
  <c r="H397" i="4"/>
  <c r="G66" i="9" s="1"/>
  <c r="O319" i="4"/>
  <c r="R98" i="8" s="1"/>
  <c r="W319" i="4"/>
  <c r="Z98" i="8" s="1"/>
  <c r="L430" i="4"/>
  <c r="K99" i="9" s="1"/>
  <c r="H391" i="4"/>
  <c r="G60" i="9" s="1"/>
  <c r="D397" i="4"/>
  <c r="C66" i="9" s="1"/>
  <c r="F319" i="4"/>
  <c r="I98" i="8" s="1"/>
  <c r="S429" i="4"/>
  <c r="R98" i="9" s="1"/>
  <c r="L247" i="4"/>
  <c r="O26" i="8" s="1"/>
  <c r="V430" i="4"/>
  <c r="U99" i="9" s="1"/>
  <c r="G288" i="4"/>
  <c r="J67" i="8" s="1"/>
  <c r="U398" i="4"/>
  <c r="T67" i="9" s="1"/>
  <c r="N398" i="4"/>
  <c r="M67" i="9" s="1"/>
  <c r="N430" i="4"/>
  <c r="M99" i="9" s="1"/>
  <c r="I290" i="4"/>
  <c r="L69" i="8" s="1"/>
  <c r="U319" i="4"/>
  <c r="X98" i="8" s="1"/>
  <c r="R288" i="4"/>
  <c r="U67" i="8" s="1"/>
  <c r="J320" i="4"/>
  <c r="M99" i="8" s="1"/>
  <c r="T429" i="4"/>
  <c r="S98" i="9" s="1"/>
  <c r="F247" i="4"/>
  <c r="I26" i="8" s="1"/>
  <c r="V320" i="4"/>
  <c r="Y99" i="8" s="1"/>
  <c r="O429" i="4"/>
  <c r="N98" i="9" s="1"/>
  <c r="E247" i="4"/>
  <c r="H26" i="8" s="1"/>
  <c r="D247" i="4"/>
  <c r="G26" i="8" s="1"/>
  <c r="T397" i="4"/>
  <c r="S66" i="9" s="1"/>
  <c r="E288" i="4"/>
  <c r="H67" i="8" s="1"/>
  <c r="E287" i="4"/>
  <c r="H66" i="8" s="1"/>
  <c r="N429" i="4"/>
  <c r="M98" i="9" s="1"/>
  <c r="G430" i="4"/>
  <c r="F99" i="9" s="1"/>
  <c r="R430" i="4"/>
  <c r="Q99" i="9" s="1"/>
  <c r="L287" i="4"/>
  <c r="O66" i="8" s="1"/>
  <c r="J397" i="4"/>
  <c r="I66" i="9" s="1"/>
  <c r="R319" i="4"/>
  <c r="U98" i="8" s="1"/>
  <c r="J429" i="4"/>
  <c r="I98" i="9" s="1"/>
  <c r="V247" i="4"/>
  <c r="Y26" i="8" s="1"/>
  <c r="F288" i="4"/>
  <c r="I67" i="8" s="1"/>
  <c r="F398" i="4"/>
  <c r="E67" i="9" s="1"/>
  <c r="P430" i="4"/>
  <c r="O99" i="9" s="1"/>
  <c r="N288" i="4"/>
  <c r="Q67" i="8" s="1"/>
  <c r="O288" i="4"/>
  <c r="R67" i="8" s="1"/>
  <c r="R398" i="4"/>
  <c r="Q67" i="9" s="1"/>
  <c r="R320" i="4"/>
  <c r="U99" i="8" s="1"/>
  <c r="F429" i="4"/>
  <c r="E98" i="9" s="1"/>
  <c r="U288" i="4"/>
  <c r="X67" i="8" s="1"/>
  <c r="I429" i="4"/>
  <c r="H98" i="9" s="1"/>
  <c r="O320" i="4"/>
  <c r="R99" i="8" s="1"/>
  <c r="P429" i="4"/>
  <c r="O98" i="9" s="1"/>
  <c r="G247" i="4"/>
  <c r="J26" i="8" s="1"/>
  <c r="M397" i="4"/>
  <c r="L66" i="9" s="1"/>
  <c r="T288" i="4"/>
  <c r="W67" i="8" s="1"/>
  <c r="Q429" i="4"/>
  <c r="P98" i="9" s="1"/>
  <c r="R247" i="4"/>
  <c r="U26" i="8" s="1"/>
  <c r="Q397" i="4"/>
  <c r="P66" i="9" s="1"/>
  <c r="F430" i="4"/>
  <c r="E99" i="9" s="1"/>
  <c r="L376" i="4"/>
  <c r="K45" i="9" s="1"/>
  <c r="M291" i="4"/>
  <c r="P70" i="8" s="1"/>
  <c r="T266" i="4"/>
  <c r="W45" i="8" s="1"/>
  <c r="K397" i="4"/>
  <c r="J66" i="9" s="1"/>
  <c r="R287" i="4"/>
  <c r="U66" i="8" s="1"/>
  <c r="G397" i="4"/>
  <c r="F66" i="9" s="1"/>
  <c r="H319" i="4"/>
  <c r="K98" i="8" s="1"/>
  <c r="D429" i="4"/>
  <c r="C98" i="9" s="1"/>
  <c r="Q247" i="4"/>
  <c r="T26" i="8" s="1"/>
  <c r="T398" i="4"/>
  <c r="S67" i="9" s="1"/>
  <c r="L320" i="4"/>
  <c r="O99" i="8" s="1"/>
  <c r="H288" i="4"/>
  <c r="K67" i="8" s="1"/>
  <c r="V398" i="4"/>
  <c r="U67" i="9" s="1"/>
  <c r="Q430" i="4"/>
  <c r="P99" i="9" s="1"/>
  <c r="P320" i="4"/>
  <c r="S99" i="8" s="1"/>
  <c r="F320" i="4"/>
  <c r="I99" i="8" s="1"/>
  <c r="K398" i="4"/>
  <c r="J67" i="9" s="1"/>
  <c r="D320" i="4"/>
  <c r="G99" i="8" s="1"/>
  <c r="G429" i="4"/>
  <c r="F98" i="9" s="1"/>
  <c r="O287" i="4"/>
  <c r="R66" i="8" s="1"/>
  <c r="P319" i="4"/>
  <c r="S98" i="8" s="1"/>
  <c r="E320" i="4"/>
  <c r="H99" i="8" s="1"/>
  <c r="I247" i="4"/>
  <c r="L26" i="8" s="1"/>
  <c r="V287" i="4"/>
  <c r="Y66" i="8" s="1"/>
  <c r="M288" i="4"/>
  <c r="P67" i="8" s="1"/>
  <c r="T287" i="4"/>
  <c r="W66" i="8" s="1"/>
  <c r="G319" i="4"/>
  <c r="J98" i="8" s="1"/>
  <c r="U397" i="4"/>
  <c r="T66" i="9" s="1"/>
  <c r="G320" i="4"/>
  <c r="J99" i="8" s="1"/>
  <c r="I288" i="4"/>
  <c r="L67" i="8" s="1"/>
  <c r="K287" i="4"/>
  <c r="N66" i="8" s="1"/>
  <c r="M430" i="4"/>
  <c r="L99" i="9" s="1"/>
  <c r="D427" i="4"/>
  <c r="C96" i="9" s="1"/>
  <c r="H360" i="4"/>
  <c r="G29" i="9" s="1"/>
  <c r="F287" i="4"/>
  <c r="I66" i="8" s="1"/>
  <c r="R397" i="4"/>
  <c r="Q66" i="9" s="1"/>
  <c r="S319" i="4"/>
  <c r="V98" i="8" s="1"/>
  <c r="J288" i="4"/>
  <c r="M67" i="8" s="1"/>
  <c r="J398" i="4"/>
  <c r="I67" i="9" s="1"/>
  <c r="S430" i="4"/>
  <c r="R99" i="9" s="1"/>
  <c r="T320" i="4"/>
  <c r="W99" i="8" s="1"/>
  <c r="T430" i="4"/>
  <c r="S99" i="9" s="1"/>
  <c r="L288" i="4"/>
  <c r="O67" i="8" s="1"/>
  <c r="S288" i="4"/>
  <c r="V67" i="8" s="1"/>
  <c r="I287" i="4"/>
  <c r="L66" i="8" s="1"/>
  <c r="M287" i="4"/>
  <c r="P66" i="8" s="1"/>
  <c r="U287" i="4"/>
  <c r="X66" i="8" s="1"/>
  <c r="U247" i="4"/>
  <c r="X26" i="8" s="1"/>
  <c r="F250" i="4"/>
  <c r="I29" i="8" s="1"/>
  <c r="K319" i="4"/>
  <c r="N98" i="8" s="1"/>
  <c r="P397" i="4"/>
  <c r="O66" i="9" s="1"/>
  <c r="M320" i="4"/>
  <c r="P99" i="8" s="1"/>
  <c r="V360" i="4"/>
  <c r="U29" i="9" s="1"/>
  <c r="G313" i="4"/>
  <c r="J92" i="8" s="1"/>
  <c r="M319" i="4"/>
  <c r="P98" i="8" s="1"/>
  <c r="N247" i="4"/>
  <c r="Q26" i="8" s="1"/>
  <c r="W398" i="4"/>
  <c r="V67" i="9" s="1"/>
  <c r="P287" i="4"/>
  <c r="S66" i="8" s="1"/>
  <c r="E397" i="4"/>
  <c r="D66" i="9" s="1"/>
  <c r="L429" i="4"/>
  <c r="K98" i="9" s="1"/>
  <c r="W320" i="4"/>
  <c r="Z99" i="8" s="1"/>
  <c r="E429" i="4"/>
  <c r="D98" i="9" s="1"/>
  <c r="P398" i="4"/>
  <c r="O67" i="9" s="1"/>
  <c r="G398" i="4"/>
  <c r="F67" i="9" s="1"/>
  <c r="D430" i="4"/>
  <c r="C99" i="9" s="1"/>
  <c r="T319" i="4"/>
  <c r="W98" i="8" s="1"/>
  <c r="Q320" i="4"/>
  <c r="T99" i="8" s="1"/>
  <c r="S398" i="4"/>
  <c r="R67" i="9" s="1"/>
  <c r="S320" i="4"/>
  <c r="V99" i="8" s="1"/>
  <c r="K247" i="4"/>
  <c r="N26" i="8" s="1"/>
  <c r="G287" i="4"/>
  <c r="J66" i="8" s="1"/>
  <c r="P247" i="4"/>
  <c r="S26" i="8" s="1"/>
  <c r="I320" i="4"/>
  <c r="L99" i="8" s="1"/>
  <c r="P288" i="4"/>
  <c r="S67" i="8" s="1"/>
  <c r="O247" i="4"/>
  <c r="R26" i="8" s="1"/>
  <c r="H320" i="4"/>
  <c r="K99" i="8" s="1"/>
  <c r="J247" i="4"/>
  <c r="M26" i="8" s="1"/>
  <c r="H290" i="4"/>
  <c r="K69" i="8" s="1"/>
  <c r="P326" i="4"/>
  <c r="S105" i="8" s="1"/>
  <c r="H421" i="4"/>
  <c r="G90" i="9" s="1"/>
  <c r="O289" i="4"/>
  <c r="R68" i="8" s="1"/>
  <c r="U290" i="4"/>
  <c r="X69" i="8" s="1"/>
  <c r="I311" i="4"/>
  <c r="L90" i="8" s="1"/>
  <c r="L326" i="4"/>
  <c r="O105" i="8" s="1"/>
  <c r="E421" i="4"/>
  <c r="D90" i="9" s="1"/>
  <c r="E343" i="4"/>
  <c r="D12" i="9" s="1"/>
  <c r="D289" i="4"/>
  <c r="G68" i="8" s="1"/>
  <c r="R326" i="4"/>
  <c r="U105" i="8" s="1"/>
  <c r="H326" i="4"/>
  <c r="K105" i="8" s="1"/>
  <c r="D290" i="4"/>
  <c r="G69" i="8" s="1"/>
  <c r="V421" i="4"/>
  <c r="U90" i="9" s="1"/>
  <c r="J281" i="4"/>
  <c r="M60" i="8" s="1"/>
  <c r="Q326" i="4"/>
  <c r="T105" i="8" s="1"/>
  <c r="G290" i="4"/>
  <c r="J69" i="8" s="1"/>
  <c r="G326" i="4"/>
  <c r="J105" i="8" s="1"/>
  <c r="T395" i="4"/>
  <c r="S64" i="9" s="1"/>
  <c r="V290" i="4"/>
  <c r="Y69" i="8" s="1"/>
  <c r="W326" i="4"/>
  <c r="Z105" i="8" s="1"/>
  <c r="N310" i="4"/>
  <c r="Q89" i="8" s="1"/>
  <c r="O326" i="4"/>
  <c r="R105" i="8" s="1"/>
  <c r="S290" i="4"/>
  <c r="V69" i="8" s="1"/>
  <c r="W289" i="4"/>
  <c r="Z68" i="8" s="1"/>
  <c r="P435" i="4"/>
  <c r="O104" i="9" s="1"/>
  <c r="I326" i="4"/>
  <c r="L105" i="8" s="1"/>
  <c r="R250" i="4"/>
  <c r="U29" i="8" s="1"/>
  <c r="J233" i="4"/>
  <c r="M12" i="8" s="1"/>
  <c r="D400" i="4"/>
  <c r="C69" i="9" s="1"/>
  <c r="E408" i="4"/>
  <c r="D77" i="9" s="1"/>
  <c r="J254" i="4"/>
  <c r="M33" i="8" s="1"/>
  <c r="U427" i="4"/>
  <c r="T96" i="9" s="1"/>
  <c r="W413" i="4"/>
  <c r="V82" i="9" s="1"/>
  <c r="V359" i="4"/>
  <c r="U28" i="9" s="1"/>
  <c r="H440" i="4"/>
  <c r="G109" i="9" s="1"/>
  <c r="E298" i="4"/>
  <c r="H77" i="8" s="1"/>
  <c r="D281" i="4"/>
  <c r="G60" i="8" s="1"/>
  <c r="M303" i="4"/>
  <c r="P82" i="8" s="1"/>
  <c r="G317" i="4"/>
  <c r="J96" i="8" s="1"/>
  <c r="K330" i="4"/>
  <c r="N109" i="8" s="1"/>
  <c r="G385" i="4"/>
  <c r="F54" i="9" s="1"/>
  <c r="J294" i="4"/>
  <c r="M73" i="8" s="1"/>
  <c r="F321" i="4"/>
  <c r="I100" i="8" s="1"/>
  <c r="E395" i="4"/>
  <c r="D64" i="9" s="1"/>
  <c r="J417" i="4"/>
  <c r="I86" i="9" s="1"/>
  <c r="J399" i="4"/>
  <c r="I68" i="9" s="1"/>
  <c r="E325" i="4"/>
  <c r="H104" i="8" s="1"/>
  <c r="V310" i="4"/>
  <c r="Y89" i="8" s="1"/>
  <c r="O360" i="4"/>
  <c r="N29" i="9" s="1"/>
  <c r="N307" i="4"/>
  <c r="Q86" i="8" s="1"/>
  <c r="P250" i="4"/>
  <c r="S29" i="8" s="1"/>
  <c r="N421" i="4"/>
  <c r="M90" i="9" s="1"/>
  <c r="R311" i="4"/>
  <c r="U90" i="8" s="1"/>
  <c r="G435" i="4"/>
  <c r="F104" i="9" s="1"/>
  <c r="Q289" i="4"/>
  <c r="T68" i="8" s="1"/>
  <c r="N326" i="4"/>
  <c r="Q105" i="8" s="1"/>
  <c r="I360" i="4"/>
  <c r="H29" i="9" s="1"/>
  <c r="T326" i="4"/>
  <c r="W105" i="8" s="1"/>
  <c r="M326" i="4"/>
  <c r="P105" i="8" s="1"/>
  <c r="P415" i="4"/>
  <c r="O84" i="9" s="1"/>
  <c r="M310" i="4"/>
  <c r="P89" i="8" s="1"/>
  <c r="L294" i="4"/>
  <c r="O73" i="8" s="1"/>
  <c r="U318" i="4"/>
  <c r="X97" i="8" s="1"/>
  <c r="I249" i="4"/>
  <c r="L28" i="8" s="1"/>
  <c r="W281" i="4"/>
  <c r="Z60" i="8" s="1"/>
  <c r="G391" i="4"/>
  <c r="F60" i="9" s="1"/>
  <c r="J306" i="4"/>
  <c r="M85" i="8" s="1"/>
  <c r="K275" i="4"/>
  <c r="N54" i="8" s="1"/>
  <c r="L416" i="4"/>
  <c r="K85" i="9" s="1"/>
  <c r="T285" i="4"/>
  <c r="W64" i="8" s="1"/>
  <c r="T408" i="4"/>
  <c r="S77" i="9" s="1"/>
  <c r="U307" i="4"/>
  <c r="X86" i="8" s="1"/>
  <c r="K325" i="4"/>
  <c r="N104" i="8" s="1"/>
  <c r="L289" i="4"/>
  <c r="O68" i="8" s="1"/>
  <c r="E435" i="4"/>
  <c r="D104" i="9" s="1"/>
  <c r="D421" i="4"/>
  <c r="C90" i="9" s="1"/>
  <c r="V321" i="4"/>
  <c r="Y100" i="8" s="1"/>
  <c r="L360" i="4"/>
  <c r="K29" i="9" s="1"/>
  <c r="K326" i="4"/>
  <c r="N105" i="8" s="1"/>
  <c r="F326" i="4"/>
  <c r="I105" i="8" s="1"/>
  <c r="D401" i="4"/>
  <c r="C70" i="9" s="1"/>
  <c r="V291" i="4"/>
  <c r="Y70" i="8" s="1"/>
  <c r="H376" i="4"/>
  <c r="G45" i="9" s="1"/>
  <c r="Q437" i="4"/>
  <c r="P106" i="9" s="1"/>
  <c r="M294" i="4"/>
  <c r="P73" i="8" s="1"/>
  <c r="E313" i="4"/>
  <c r="H92" i="8" s="1"/>
  <c r="W290" i="4"/>
  <c r="Z69" i="8" s="1"/>
  <c r="J326" i="4"/>
  <c r="M105" i="8" s="1"/>
  <c r="S326" i="4"/>
  <c r="V105" i="8" s="1"/>
  <c r="D326" i="4"/>
  <c r="G105" i="8" s="1"/>
  <c r="N423" i="4"/>
  <c r="M92" i="9" s="1"/>
  <c r="N376" i="4"/>
  <c r="M45" i="9" s="1"/>
  <c r="T305" i="4"/>
  <c r="W84" i="8" s="1"/>
  <c r="AM44" i="4"/>
  <c r="AP540" i="4"/>
  <c r="S540" i="4" s="1"/>
  <c r="S552" i="4" s="1"/>
  <c r="K453" i="4"/>
  <c r="J9" i="7" s="1"/>
  <c r="K470" i="4"/>
  <c r="J26" i="7" s="1"/>
  <c r="K462" i="4"/>
  <c r="J18" i="7" s="1"/>
  <c r="K459" i="4"/>
  <c r="J15" i="7" s="1"/>
  <c r="K457" i="4"/>
  <c r="J13" i="7" s="1"/>
  <c r="K458" i="4"/>
  <c r="J14" i="7" s="1"/>
  <c r="J437" i="4"/>
  <c r="I106" i="9" s="1"/>
  <c r="M309" i="4"/>
  <c r="P88" i="8" s="1"/>
  <c r="Q399" i="4"/>
  <c r="P68" i="9" s="1"/>
  <c r="M399" i="4"/>
  <c r="L68" i="9" s="1"/>
  <c r="D399" i="4"/>
  <c r="C68" i="9" s="1"/>
  <c r="U421" i="4"/>
  <c r="T90" i="9" s="1"/>
  <c r="I330" i="4"/>
  <c r="L109" i="8" s="1"/>
  <c r="M325" i="4"/>
  <c r="P104" i="8" s="1"/>
  <c r="D298" i="4"/>
  <c r="G77" i="8" s="1"/>
  <c r="L408" i="4"/>
  <c r="K77" i="9" s="1"/>
  <c r="R298" i="4"/>
  <c r="U77" i="8" s="1"/>
  <c r="T330" i="4"/>
  <c r="W109" i="8" s="1"/>
  <c r="O311" i="4"/>
  <c r="R90" i="8" s="1"/>
  <c r="O431" i="4"/>
  <c r="N100" i="9" s="1"/>
  <c r="K360" i="4"/>
  <c r="J29" i="9" s="1"/>
  <c r="W421" i="4"/>
  <c r="V90" i="9" s="1"/>
  <c r="AE244" i="4"/>
  <c r="AD244" i="4"/>
  <c r="AI244" i="4"/>
  <c r="T325" i="4"/>
  <c r="W104" i="8" s="1"/>
  <c r="U359" i="4"/>
  <c r="T28" i="9" s="1"/>
  <c r="P321" i="4"/>
  <c r="S100" i="8" s="1"/>
  <c r="Q317" i="4"/>
  <c r="T96" i="8" s="1"/>
  <c r="D359" i="4"/>
  <c r="C28" i="9" s="1"/>
  <c r="H281" i="4"/>
  <c r="K60" i="8" s="1"/>
  <c r="O325" i="4"/>
  <c r="R104" i="8" s="1"/>
  <c r="P421" i="4"/>
  <c r="O90" i="9" s="1"/>
  <c r="O305" i="4"/>
  <c r="R84" i="8" s="1"/>
  <c r="O307" i="4"/>
  <c r="R86" i="8" s="1"/>
  <c r="L440" i="4"/>
  <c r="K109" i="9" s="1"/>
  <c r="Q310" i="4"/>
  <c r="T89" i="8" s="1"/>
  <c r="T376" i="4"/>
  <c r="S45" i="9" s="1"/>
  <c r="J360" i="4"/>
  <c r="I29" i="9" s="1"/>
  <c r="K376" i="4"/>
  <c r="J45" i="9" s="1"/>
  <c r="O395" i="4"/>
  <c r="N64" i="9" s="1"/>
  <c r="U435" i="4"/>
  <c r="T104" i="9" s="1"/>
  <c r="D307" i="4"/>
  <c r="G86" i="8" s="1"/>
  <c r="Q305" i="4"/>
  <c r="T84" i="8" s="1"/>
  <c r="M330" i="4"/>
  <c r="P109" i="8" s="1"/>
  <c r="R408" i="4"/>
  <c r="Q77" i="9" s="1"/>
  <c r="N289" i="4"/>
  <c r="Q68" i="8" s="1"/>
  <c r="T275" i="4"/>
  <c r="W54" i="8" s="1"/>
  <c r="K250" i="4"/>
  <c r="N29" i="8" s="1"/>
  <c r="U289" i="4"/>
  <c r="X68" i="8" s="1"/>
  <c r="I310" i="4"/>
  <c r="L89" i="8" s="1"/>
  <c r="E310" i="4"/>
  <c r="H89" i="8" s="1"/>
  <c r="U311" i="4"/>
  <c r="X90" i="8" s="1"/>
  <c r="N250" i="4"/>
  <c r="Q29" i="8" s="1"/>
  <c r="N325" i="4"/>
  <c r="Q104" i="8" s="1"/>
  <c r="Q421" i="4"/>
  <c r="P90" i="9" s="1"/>
  <c r="F423" i="4"/>
  <c r="E92" i="9" s="1"/>
  <c r="R310" i="4"/>
  <c r="U89" i="8" s="1"/>
  <c r="R435" i="4"/>
  <c r="Q104" i="9" s="1"/>
  <c r="O400" i="4"/>
  <c r="N69" i="9" s="1"/>
  <c r="W313" i="4"/>
  <c r="Z92" i="8" s="1"/>
  <c r="J317" i="4"/>
  <c r="M96" i="8" s="1"/>
  <c r="R427" i="4"/>
  <c r="Q96" i="9" s="1"/>
  <c r="J413" i="4"/>
  <c r="I82" i="9" s="1"/>
  <c r="R391" i="4"/>
  <c r="Q60" i="9" s="1"/>
  <c r="L330" i="4"/>
  <c r="O109" i="8" s="1"/>
  <c r="U440" i="4"/>
  <c r="T109" i="9" s="1"/>
  <c r="E359" i="4"/>
  <c r="D28" i="9" s="1"/>
  <c r="I408" i="4"/>
  <c r="H77" i="9" s="1"/>
  <c r="L303" i="4"/>
  <c r="O82" i="8" s="1"/>
  <c r="O281" i="4"/>
  <c r="R60" i="8" s="1"/>
  <c r="U254" i="4"/>
  <c r="X33" i="8" s="1"/>
  <c r="R249" i="4"/>
  <c r="U28" i="8" s="1"/>
  <c r="M298" i="4"/>
  <c r="P77" i="8" s="1"/>
  <c r="P275" i="4"/>
  <c r="S54" i="8" s="1"/>
  <c r="Q416" i="4"/>
  <c r="P85" i="9" s="1"/>
  <c r="J385" i="4"/>
  <c r="I54" i="9" s="1"/>
  <c r="K307" i="4"/>
  <c r="N86" i="8" s="1"/>
  <c r="R395" i="4"/>
  <c r="Q64" i="9" s="1"/>
  <c r="S417" i="4"/>
  <c r="R86" i="9" s="1"/>
  <c r="G321" i="4"/>
  <c r="J100" i="8" s="1"/>
  <c r="V285" i="4"/>
  <c r="Y64" i="8" s="1"/>
  <c r="I306" i="4"/>
  <c r="L85" i="8" s="1"/>
  <c r="R359" i="4"/>
  <c r="Q28" i="9" s="1"/>
  <c r="D325" i="4"/>
  <c r="G104" i="8" s="1"/>
  <c r="O310" i="4"/>
  <c r="R89" i="8" s="1"/>
  <c r="S325" i="4"/>
  <c r="V104" i="8" s="1"/>
  <c r="V424" i="4"/>
  <c r="U93" i="9" s="1"/>
  <c r="I435" i="4"/>
  <c r="H104" i="9" s="1"/>
  <c r="AN244" i="4"/>
  <c r="AK244" i="4"/>
  <c r="AO244" i="4"/>
  <c r="T427" i="4"/>
  <c r="S96" i="9" s="1"/>
  <c r="H399" i="4"/>
  <c r="G68" i="9" s="1"/>
  <c r="G289" i="4"/>
  <c r="J68" i="8" s="1"/>
  <c r="H317" i="4"/>
  <c r="K96" i="8" s="1"/>
  <c r="E399" i="4"/>
  <c r="D68" i="9" s="1"/>
  <c r="S249" i="4"/>
  <c r="V28" i="8" s="1"/>
  <c r="Q321" i="4"/>
  <c r="T100" i="8" s="1"/>
  <c r="O343" i="4"/>
  <c r="N12" i="9" s="1"/>
  <c r="S391" i="4"/>
  <c r="R60" i="9" s="1"/>
  <c r="I313" i="4"/>
  <c r="L92" i="8" s="1"/>
  <c r="S289" i="4"/>
  <c r="V68" i="8" s="1"/>
  <c r="M249" i="4"/>
  <c r="P28" i="8" s="1"/>
  <c r="I321" i="4"/>
  <c r="L100" i="8" s="1"/>
  <c r="J421" i="4"/>
  <c r="I90" i="9" s="1"/>
  <c r="K421" i="4"/>
  <c r="J90" i="9" s="1"/>
  <c r="G310" i="4"/>
  <c r="J89" i="8" s="1"/>
  <c r="R400" i="4"/>
  <c r="Q69" i="9" s="1"/>
  <c r="P417" i="4"/>
  <c r="O86" i="9" s="1"/>
  <c r="T250" i="4"/>
  <c r="W29" i="8" s="1"/>
  <c r="D360" i="4"/>
  <c r="C29" i="9" s="1"/>
  <c r="V385" i="4"/>
  <c r="U54" i="9" s="1"/>
  <c r="M416" i="4"/>
  <c r="L85" i="9" s="1"/>
  <c r="T435" i="4"/>
  <c r="S104" i="9" s="1"/>
  <c r="Q435" i="4"/>
  <c r="P104" i="9" s="1"/>
  <c r="G306" i="4"/>
  <c r="J85" i="8" s="1"/>
  <c r="F289" i="4"/>
  <c r="I68" i="8" s="1"/>
  <c r="J289" i="4"/>
  <c r="M68" i="8" s="1"/>
  <c r="T289" i="4"/>
  <c r="W68" i="8" s="1"/>
  <c r="F311" i="4"/>
  <c r="I90" i="8" s="1"/>
  <c r="S421" i="4"/>
  <c r="R90" i="9" s="1"/>
  <c r="L311" i="4"/>
  <c r="O90" i="8" s="1"/>
  <c r="V311" i="4"/>
  <c r="Y90" i="8" s="1"/>
  <c r="M250" i="4"/>
  <c r="P29" i="8" s="1"/>
  <c r="V250" i="4"/>
  <c r="Y29" i="8" s="1"/>
  <c r="S310" i="4"/>
  <c r="V89" i="8" s="1"/>
  <c r="I250" i="4"/>
  <c r="L29" i="8" s="1"/>
  <c r="N360" i="4"/>
  <c r="M29" i="9" s="1"/>
  <c r="M311" i="4"/>
  <c r="P90" i="8" s="1"/>
  <c r="S285" i="4"/>
  <c r="V64" i="8" s="1"/>
  <c r="D282" i="4"/>
  <c r="G61" i="8" s="1"/>
  <c r="J395" i="4"/>
  <c r="I64" i="9" s="1"/>
  <c r="E405" i="4"/>
  <c r="D74" i="9" s="1"/>
  <c r="V289" i="4"/>
  <c r="Y68" i="8" s="1"/>
  <c r="W360" i="4"/>
  <c r="V29" i="9" s="1"/>
  <c r="U360" i="4"/>
  <c r="T29" i="9" s="1"/>
  <c r="D417" i="4"/>
  <c r="C86" i="9" s="1"/>
  <c r="S395" i="4"/>
  <c r="R64" i="9" s="1"/>
  <c r="W435" i="4"/>
  <c r="V104" i="9" s="1"/>
  <c r="R399" i="4"/>
  <c r="Q68" i="9" s="1"/>
  <c r="W409" i="4"/>
  <c r="V78" i="9" s="1"/>
  <c r="AP244" i="4"/>
  <c r="AB244" i="4"/>
  <c r="AA244" i="4"/>
  <c r="W427" i="4"/>
  <c r="V96" i="9" s="1"/>
  <c r="E305" i="4"/>
  <c r="H84" i="8" s="1"/>
  <c r="O423" i="4"/>
  <c r="N92" i="9" s="1"/>
  <c r="U399" i="4"/>
  <c r="T68" i="9" s="1"/>
  <c r="O317" i="4"/>
  <c r="R96" i="8" s="1"/>
  <c r="E233" i="4"/>
  <c r="H12" i="8" s="1"/>
  <c r="J305" i="4"/>
  <c r="M84" i="8" s="1"/>
  <c r="W399" i="4"/>
  <c r="V68" i="9" s="1"/>
  <c r="M421" i="4"/>
  <c r="L90" i="9" s="1"/>
  <c r="F421" i="4"/>
  <c r="E90" i="9" s="1"/>
  <c r="T385" i="4"/>
  <c r="S54" i="9" s="1"/>
  <c r="T400" i="4"/>
  <c r="S69" i="9" s="1"/>
  <c r="V417" i="4"/>
  <c r="U86" i="9" s="1"/>
  <c r="S250" i="4"/>
  <c r="V29" i="8" s="1"/>
  <c r="T360" i="4"/>
  <c r="S29" i="9" s="1"/>
  <c r="W325" i="4"/>
  <c r="Z104" i="8" s="1"/>
  <c r="V325" i="4"/>
  <c r="Y104" i="8" s="1"/>
  <c r="U325" i="4"/>
  <c r="X104" i="8" s="1"/>
  <c r="L435" i="4"/>
  <c r="K104" i="9" s="1"/>
  <c r="D311" i="4"/>
  <c r="G90" i="8" s="1"/>
  <c r="P310" i="4"/>
  <c r="S89" i="8" s="1"/>
  <c r="M289" i="4"/>
  <c r="P68" i="8" s="1"/>
  <c r="H408" i="4"/>
  <c r="G77" i="9" s="1"/>
  <c r="I416" i="4"/>
  <c r="H85" i="9" s="1"/>
  <c r="J311" i="4"/>
  <c r="M90" i="8" s="1"/>
  <c r="D310" i="4"/>
  <c r="G89" i="8" s="1"/>
  <c r="E311" i="4"/>
  <c r="H90" i="8" s="1"/>
  <c r="E250" i="4"/>
  <c r="H29" i="8" s="1"/>
  <c r="N311" i="4"/>
  <c r="Q90" i="8" s="1"/>
  <c r="H311" i="4"/>
  <c r="K90" i="8" s="1"/>
  <c r="Q423" i="4"/>
  <c r="P92" i="9" s="1"/>
  <c r="U250" i="4"/>
  <c r="X29" i="8" s="1"/>
  <c r="M432" i="4"/>
  <c r="L101" i="9" s="1"/>
  <c r="S399" i="4"/>
  <c r="R68" i="9" s="1"/>
  <c r="I359" i="4"/>
  <c r="H28" i="9" s="1"/>
  <c r="P360" i="4"/>
  <c r="O29" i="9" s="1"/>
  <c r="V330" i="4"/>
  <c r="Y109" i="8" s="1"/>
  <c r="L421" i="4"/>
  <c r="K90" i="9" s="1"/>
  <c r="S311" i="4"/>
  <c r="V90" i="8" s="1"/>
  <c r="D250" i="4"/>
  <c r="G29" i="8" s="1"/>
  <c r="R419" i="4"/>
  <c r="Q88" i="9" s="1"/>
  <c r="AS244" i="4"/>
  <c r="AR244" i="4"/>
  <c r="AQ244" i="4"/>
  <c r="Q250" i="4"/>
  <c r="T29" i="8" s="1"/>
  <c r="V427" i="4"/>
  <c r="U96" i="9" s="1"/>
  <c r="M281" i="4"/>
  <c r="P60" i="8" s="1"/>
  <c r="O399" i="4"/>
  <c r="N68" i="9" s="1"/>
  <c r="K249" i="4"/>
  <c r="N28" i="8" s="1"/>
  <c r="K317" i="4"/>
  <c r="N96" i="8" s="1"/>
  <c r="E289" i="4"/>
  <c r="H68" i="8" s="1"/>
  <c r="O421" i="4"/>
  <c r="N90" i="9" s="1"/>
  <c r="G421" i="4"/>
  <c r="F90" i="9" s="1"/>
  <c r="I385" i="4"/>
  <c r="H54" i="9" s="1"/>
  <c r="R360" i="4"/>
  <c r="Q29" i="9" s="1"/>
  <c r="M400" i="4"/>
  <c r="L69" i="9" s="1"/>
  <c r="M360" i="4"/>
  <c r="L29" i="9" s="1"/>
  <c r="E360" i="4"/>
  <c r="D29" i="9" s="1"/>
  <c r="K435" i="4"/>
  <c r="J104" i="9" s="1"/>
  <c r="D435" i="4"/>
  <c r="C104" i="9" s="1"/>
  <c r="V435" i="4"/>
  <c r="U104" i="9" s="1"/>
  <c r="J325" i="4"/>
  <c r="M104" i="8" s="1"/>
  <c r="O435" i="4"/>
  <c r="N104" i="9" s="1"/>
  <c r="I421" i="4"/>
  <c r="H90" i="9" s="1"/>
  <c r="G298" i="4"/>
  <c r="J77" i="8" s="1"/>
  <c r="O330" i="4"/>
  <c r="R109" i="8" s="1"/>
  <c r="Q440" i="4"/>
  <c r="P109" i="9" s="1"/>
  <c r="H250" i="4"/>
  <c r="K29" i="8" s="1"/>
  <c r="U306" i="4"/>
  <c r="X85" i="8" s="1"/>
  <c r="H289" i="4"/>
  <c r="K68" i="8" s="1"/>
  <c r="S360" i="4"/>
  <c r="R29" i="9" s="1"/>
  <c r="O408" i="4"/>
  <c r="N77" i="9" s="1"/>
  <c r="P311" i="4"/>
  <c r="S90" i="8" s="1"/>
  <c r="F325" i="4"/>
  <c r="I104" i="8" s="1"/>
  <c r="G311" i="4"/>
  <c r="J90" i="8" s="1"/>
  <c r="Q311" i="4"/>
  <c r="T90" i="8" s="1"/>
  <c r="D392" i="4"/>
  <c r="C61" i="9" s="1"/>
  <c r="W311" i="4"/>
  <c r="Z90" i="8" s="1"/>
  <c r="G325" i="4"/>
  <c r="J104" i="8" s="1"/>
  <c r="J250" i="4"/>
  <c r="M29" i="8" s="1"/>
  <c r="AT244" i="4"/>
  <c r="T399" i="4"/>
  <c r="S68" i="9" s="1"/>
  <c r="H249" i="4"/>
  <c r="K28" i="8" s="1"/>
  <c r="P289" i="4"/>
  <c r="S68" i="8" s="1"/>
  <c r="P399" i="4"/>
  <c r="O68" i="9" s="1"/>
  <c r="J435" i="4"/>
  <c r="I104" i="9" s="1"/>
  <c r="W405" i="4"/>
  <c r="V74" i="9" s="1"/>
  <c r="R421" i="4"/>
  <c r="Q90" i="9" s="1"/>
  <c r="S435" i="4"/>
  <c r="R104" i="9" s="1"/>
  <c r="L399" i="4"/>
  <c r="K68" i="9" s="1"/>
  <c r="H416" i="4"/>
  <c r="G85" i="9" s="1"/>
  <c r="G360" i="4"/>
  <c r="F29" i="9" s="1"/>
  <c r="Q360" i="4"/>
  <c r="P29" i="9" s="1"/>
  <c r="H435" i="4"/>
  <c r="G104" i="9" s="1"/>
  <c r="P325" i="4"/>
  <c r="S104" i="8" s="1"/>
  <c r="F399" i="4"/>
  <c r="E68" i="9" s="1"/>
  <c r="F298" i="4"/>
  <c r="I77" i="8" s="1"/>
  <c r="L325" i="4"/>
  <c r="O104" i="8" s="1"/>
  <c r="O250" i="4"/>
  <c r="R29" i="8" s="1"/>
  <c r="F310" i="4"/>
  <c r="I89" i="8" s="1"/>
  <c r="G250" i="4"/>
  <c r="J29" i="8" s="1"/>
  <c r="U310" i="4"/>
  <c r="X89" i="8" s="1"/>
  <c r="I325" i="4"/>
  <c r="L104" i="8" s="1"/>
  <c r="L310" i="4"/>
  <c r="O89" i="8" s="1"/>
  <c r="M435" i="4"/>
  <c r="L104" i="9" s="1"/>
  <c r="T311" i="4"/>
  <c r="W90" i="8" s="1"/>
  <c r="F376" i="4"/>
  <c r="E45" i="9" s="1"/>
  <c r="AC244" i="4"/>
  <c r="AG244" i="4"/>
  <c r="N399" i="4"/>
  <c r="M68" i="9" s="1"/>
  <c r="I289" i="4"/>
  <c r="L68" i="8" s="1"/>
  <c r="S405" i="4"/>
  <c r="R74" i="9" s="1"/>
  <c r="F440" i="4"/>
  <c r="E109" i="9" s="1"/>
  <c r="T310" i="4"/>
  <c r="W89" i="8" s="1"/>
  <c r="F360" i="4"/>
  <c r="E29" i="9" s="1"/>
  <c r="F435" i="4"/>
  <c r="E104" i="9" s="1"/>
  <c r="L285" i="4"/>
  <c r="O64" i="8" s="1"/>
  <c r="R325" i="4"/>
  <c r="U104" i="8" s="1"/>
  <c r="K289" i="4"/>
  <c r="N68" i="8" s="1"/>
  <c r="T298" i="4"/>
  <c r="W77" i="8" s="1"/>
  <c r="J310" i="4"/>
  <c r="M89" i="8" s="1"/>
  <c r="H325" i="4"/>
  <c r="K104" i="8" s="1"/>
  <c r="L250" i="4"/>
  <c r="O29" i="8" s="1"/>
  <c r="K310" i="4"/>
  <c r="N89" i="8" s="1"/>
  <c r="H310" i="4"/>
  <c r="K89" i="8" s="1"/>
  <c r="Q427" i="4"/>
  <c r="P96" i="9" s="1"/>
  <c r="K427" i="4"/>
  <c r="J96" i="9" s="1"/>
  <c r="K423" i="4"/>
  <c r="J92" i="9" s="1"/>
  <c r="P249" i="4"/>
  <c r="S28" i="8" s="1"/>
  <c r="V249" i="4"/>
  <c r="Y28" i="8" s="1"/>
  <c r="J391" i="4"/>
  <c r="I60" i="9" s="1"/>
  <c r="Q391" i="4"/>
  <c r="P60" i="9" s="1"/>
  <c r="N321" i="4"/>
  <c r="Q100" i="8" s="1"/>
  <c r="K281" i="4"/>
  <c r="N60" i="8" s="1"/>
  <c r="R423" i="4"/>
  <c r="Q92" i="9" s="1"/>
  <c r="S317" i="4"/>
  <c r="V96" i="8" s="1"/>
  <c r="D423" i="4"/>
  <c r="C92" i="9" s="1"/>
  <c r="U423" i="4"/>
  <c r="T92" i="9" s="1"/>
  <c r="M391" i="4"/>
  <c r="L60" i="9" s="1"/>
  <c r="L391" i="4"/>
  <c r="K60" i="9" s="1"/>
  <c r="L423" i="4"/>
  <c r="K92" i="9" s="1"/>
  <c r="U281" i="4"/>
  <c r="X60" i="8" s="1"/>
  <c r="Q249" i="4"/>
  <c r="T28" i="8" s="1"/>
  <c r="R321" i="4"/>
  <c r="U100" i="8" s="1"/>
  <c r="D317" i="4"/>
  <c r="G96" i="8" s="1"/>
  <c r="M321" i="4"/>
  <c r="P100" i="8" s="1"/>
  <c r="F249" i="4"/>
  <c r="I28" i="8" s="1"/>
  <c r="S313" i="4"/>
  <c r="V92" i="8" s="1"/>
  <c r="L431" i="4"/>
  <c r="K100" i="9" s="1"/>
  <c r="R281" i="4"/>
  <c r="U60" i="8" s="1"/>
  <c r="V317" i="4"/>
  <c r="Y96" i="8" s="1"/>
  <c r="I281" i="4"/>
  <c r="L60" i="8" s="1"/>
  <c r="V391" i="4"/>
  <c r="U60" i="9" s="1"/>
  <c r="R405" i="4"/>
  <c r="Q74" i="9" s="1"/>
  <c r="P303" i="4"/>
  <c r="S82" i="8" s="1"/>
  <c r="V413" i="4"/>
  <c r="U82" i="9" s="1"/>
  <c r="K385" i="4"/>
  <c r="J54" i="9" s="1"/>
  <c r="P385" i="4"/>
  <c r="O54" i="9" s="1"/>
  <c r="N417" i="4"/>
  <c r="M86" i="9" s="1"/>
  <c r="K306" i="4"/>
  <c r="N85" i="8" s="1"/>
  <c r="R417" i="4"/>
  <c r="Q86" i="9" s="1"/>
  <c r="P306" i="4"/>
  <c r="S85" i="8" s="1"/>
  <c r="G285" i="4"/>
  <c r="J64" i="8" s="1"/>
  <c r="M290" i="4"/>
  <c r="P69" i="8" s="1"/>
  <c r="J400" i="4"/>
  <c r="I69" i="9" s="1"/>
  <c r="P416" i="4"/>
  <c r="O85" i="9" s="1"/>
  <c r="T440" i="4"/>
  <c r="S109" i="9" s="1"/>
  <c r="Q307" i="4"/>
  <c r="T86" i="8" s="1"/>
  <c r="S376" i="4"/>
  <c r="R45" i="9" s="1"/>
  <c r="J275" i="4"/>
  <c r="M54" i="8" s="1"/>
  <c r="Q401" i="4"/>
  <c r="P70" i="9" s="1"/>
  <c r="E376" i="4"/>
  <c r="D45" i="9" s="1"/>
  <c r="U376" i="4"/>
  <c r="T45" i="9" s="1"/>
  <c r="P290" i="4"/>
  <c r="S69" i="8" s="1"/>
  <c r="S330" i="4"/>
  <c r="V109" i="8" s="1"/>
  <c r="Q395" i="4"/>
  <c r="P64" i="9" s="1"/>
  <c r="D395" i="4"/>
  <c r="C64" i="9" s="1"/>
  <c r="I395" i="4"/>
  <c r="H64" i="9" s="1"/>
  <c r="T405" i="4"/>
  <c r="S74" i="9" s="1"/>
  <c r="E321" i="4"/>
  <c r="H100" i="8" s="1"/>
  <c r="T290" i="4"/>
  <c r="W69" i="8" s="1"/>
  <c r="U417" i="4"/>
  <c r="T86" i="9" s="1"/>
  <c r="J408" i="4"/>
  <c r="I77" i="9" s="1"/>
  <c r="E440" i="4"/>
  <c r="D109" i="9" s="1"/>
  <c r="W307" i="4"/>
  <c r="Z86" i="8" s="1"/>
  <c r="W249" i="4"/>
  <c r="Z28" i="8" s="1"/>
  <c r="N400" i="4"/>
  <c r="M69" i="9" s="1"/>
  <c r="F416" i="4"/>
  <c r="E85" i="9" s="1"/>
  <c r="Q400" i="4"/>
  <c r="P69" i="9" s="1"/>
  <c r="N416" i="4"/>
  <c r="M85" i="9" s="1"/>
  <c r="F303" i="4"/>
  <c r="I82" i="8" s="1"/>
  <c r="G275" i="4"/>
  <c r="J54" i="8" s="1"/>
  <c r="O285" i="4"/>
  <c r="R64" i="8" s="1"/>
  <c r="N275" i="4"/>
  <c r="Q54" i="8" s="1"/>
  <c r="K285" i="4"/>
  <c r="N64" i="8" s="1"/>
  <c r="E285" i="4"/>
  <c r="H64" i="8" s="1"/>
  <c r="H417" i="4"/>
  <c r="G86" i="9" s="1"/>
  <c r="F385" i="4"/>
  <c r="E54" i="9" s="1"/>
  <c r="K395" i="4"/>
  <c r="J64" i="9" s="1"/>
  <c r="J405" i="4"/>
  <c r="I74" i="9" s="1"/>
  <c r="P427" i="4"/>
  <c r="O96" i="9" s="1"/>
  <c r="P423" i="4"/>
  <c r="O92" i="9" s="1"/>
  <c r="G423" i="4"/>
  <c r="F92" i="9" s="1"/>
  <c r="F317" i="4"/>
  <c r="I96" i="8" s="1"/>
  <c r="P391" i="4"/>
  <c r="O60" i="9" s="1"/>
  <c r="L281" i="4"/>
  <c r="O60" i="8" s="1"/>
  <c r="J249" i="4"/>
  <c r="M28" i="8" s="1"/>
  <c r="Q313" i="4"/>
  <c r="T92" i="8" s="1"/>
  <c r="D313" i="4"/>
  <c r="G92" i="8" s="1"/>
  <c r="F391" i="4"/>
  <c r="E60" i="9" s="1"/>
  <c r="G415" i="4"/>
  <c r="F84" i="9" s="1"/>
  <c r="T359" i="4"/>
  <c r="S28" i="9" s="1"/>
  <c r="U321" i="4"/>
  <c r="X100" i="8" s="1"/>
  <c r="H313" i="4"/>
  <c r="K92" i="8" s="1"/>
  <c r="G359" i="4"/>
  <c r="F28" i="9" s="1"/>
  <c r="F281" i="4"/>
  <c r="I60" i="8" s="1"/>
  <c r="G427" i="4"/>
  <c r="F96" i="9" s="1"/>
  <c r="K359" i="4"/>
  <c r="J28" i="9" s="1"/>
  <c r="D391" i="4"/>
  <c r="C60" i="9" s="1"/>
  <c r="N427" i="4"/>
  <c r="M96" i="9" s="1"/>
  <c r="L321" i="4"/>
  <c r="O100" i="8" s="1"/>
  <c r="O385" i="4"/>
  <c r="N54" i="9" s="1"/>
  <c r="N405" i="4"/>
  <c r="M74" i="9" s="1"/>
  <c r="S303" i="4"/>
  <c r="V82" i="8" s="1"/>
  <c r="U413" i="4"/>
  <c r="T82" i="9" s="1"/>
  <c r="R385" i="4"/>
  <c r="Q54" i="9" s="1"/>
  <c r="W417" i="4"/>
  <c r="V86" i="9" s="1"/>
  <c r="S307" i="4"/>
  <c r="V86" i="8" s="1"/>
  <c r="N298" i="4"/>
  <c r="Q77" i="8" s="1"/>
  <c r="J285" i="4"/>
  <c r="M64" i="8" s="1"/>
  <c r="I298" i="4"/>
  <c r="L77" i="8" s="1"/>
  <c r="N290" i="4"/>
  <c r="Q69" i="8" s="1"/>
  <c r="G400" i="4"/>
  <c r="F69" i="9" s="1"/>
  <c r="O416" i="4"/>
  <c r="N85" i="9" s="1"/>
  <c r="N440" i="4"/>
  <c r="M109" i="9" s="1"/>
  <c r="E417" i="4"/>
  <c r="D86" i="9" s="1"/>
  <c r="Q294" i="4"/>
  <c r="T73" i="8" s="1"/>
  <c r="D376" i="4"/>
  <c r="C45" i="9" s="1"/>
  <c r="G330" i="4"/>
  <c r="J109" i="8" s="1"/>
  <c r="R285" i="4"/>
  <c r="U64" i="8" s="1"/>
  <c r="P307" i="4"/>
  <c r="S86" i="8" s="1"/>
  <c r="N401" i="4"/>
  <c r="M70" i="9" s="1"/>
  <c r="U395" i="4"/>
  <c r="T64" i="9" s="1"/>
  <c r="G395" i="4"/>
  <c r="F64" i="9" s="1"/>
  <c r="T321" i="4"/>
  <c r="W100" i="8" s="1"/>
  <c r="I400" i="4"/>
  <c r="H69" i="9" s="1"/>
  <c r="W440" i="4"/>
  <c r="V109" i="9" s="1"/>
  <c r="V298" i="4"/>
  <c r="Y77" i="8" s="1"/>
  <c r="E317" i="4"/>
  <c r="H96" i="8" s="1"/>
  <c r="V440" i="4"/>
  <c r="U109" i="9" s="1"/>
  <c r="D408" i="4"/>
  <c r="C77" i="9" s="1"/>
  <c r="S298" i="4"/>
  <c r="V77" i="8" s="1"/>
  <c r="K290" i="4"/>
  <c r="N69" i="8" s="1"/>
  <c r="M306" i="4"/>
  <c r="P85" i="8" s="1"/>
  <c r="Q408" i="4"/>
  <c r="P77" i="9" s="1"/>
  <c r="W408" i="4"/>
  <c r="V77" i="9" s="1"/>
  <c r="T306" i="4"/>
  <c r="W85" i="8" s="1"/>
  <c r="Q275" i="4"/>
  <c r="T54" i="8" s="1"/>
  <c r="I307" i="4"/>
  <c r="L86" i="8" s="1"/>
  <c r="U385" i="4"/>
  <c r="T54" i="9" s="1"/>
  <c r="E416" i="4"/>
  <c r="D85" i="9" s="1"/>
  <c r="M395" i="4"/>
  <c r="L64" i="9" s="1"/>
  <c r="D275" i="4"/>
  <c r="G54" i="8" s="1"/>
  <c r="K321" i="4"/>
  <c r="N100" i="8" s="1"/>
  <c r="H275" i="4"/>
  <c r="K54" i="8" s="1"/>
  <c r="D306" i="4"/>
  <c r="G85" i="8" s="1"/>
  <c r="W395" i="4"/>
  <c r="V64" i="9" s="1"/>
  <c r="E413" i="4"/>
  <c r="D82" i="9" s="1"/>
  <c r="S423" i="4"/>
  <c r="R92" i="9" s="1"/>
  <c r="V423" i="4"/>
  <c r="U92" i="9" s="1"/>
  <c r="H427" i="4"/>
  <c r="G96" i="9" s="1"/>
  <c r="J427" i="4"/>
  <c r="I96" i="9" s="1"/>
  <c r="W359" i="4"/>
  <c r="V28" i="9" s="1"/>
  <c r="U249" i="4"/>
  <c r="X28" i="8" s="1"/>
  <c r="T391" i="4"/>
  <c r="S60" i="9" s="1"/>
  <c r="T431" i="4"/>
  <c r="S100" i="9" s="1"/>
  <c r="L249" i="4"/>
  <c r="O28" i="8" s="1"/>
  <c r="M317" i="4"/>
  <c r="P96" i="8" s="1"/>
  <c r="U391" i="4"/>
  <c r="T60" i="9" s="1"/>
  <c r="E249" i="4"/>
  <c r="H28" i="8" s="1"/>
  <c r="J359" i="4"/>
  <c r="I28" i="9" s="1"/>
  <c r="K391" i="4"/>
  <c r="J60" i="9" s="1"/>
  <c r="I423" i="4"/>
  <c r="H92" i="9" s="1"/>
  <c r="G431" i="4"/>
  <c r="F100" i="9" s="1"/>
  <c r="T313" i="4"/>
  <c r="W92" i="8" s="1"/>
  <c r="I317" i="4"/>
  <c r="L96" i="8" s="1"/>
  <c r="Q405" i="4"/>
  <c r="P74" i="9" s="1"/>
  <c r="N385" i="4"/>
  <c r="M54" i="9" s="1"/>
  <c r="M359" i="4"/>
  <c r="L28" i="9" s="1"/>
  <c r="Q385" i="4"/>
  <c r="P54" i="9" s="1"/>
  <c r="S416" i="4"/>
  <c r="R85" i="9" s="1"/>
  <c r="F417" i="4"/>
  <c r="E86" i="9" s="1"/>
  <c r="F290" i="4"/>
  <c r="I69" i="8" s="1"/>
  <c r="P400" i="4"/>
  <c r="O69" i="9" s="1"/>
  <c r="R306" i="4"/>
  <c r="U85" i="8" s="1"/>
  <c r="J416" i="4"/>
  <c r="I85" i="9" s="1"/>
  <c r="J440" i="4"/>
  <c r="I109" i="9" s="1"/>
  <c r="M417" i="4"/>
  <c r="L86" i="9" s="1"/>
  <c r="V294" i="4"/>
  <c r="Y73" i="8" s="1"/>
  <c r="O376" i="4"/>
  <c r="N45" i="9" s="1"/>
  <c r="P440" i="4"/>
  <c r="O109" i="9" s="1"/>
  <c r="H285" i="4"/>
  <c r="K64" i="8" s="1"/>
  <c r="M285" i="4"/>
  <c r="P64" i="8" s="1"/>
  <c r="I417" i="4"/>
  <c r="H86" i="9" s="1"/>
  <c r="V395" i="4"/>
  <c r="U64" i="9" s="1"/>
  <c r="L306" i="4"/>
  <c r="O85" i="8" s="1"/>
  <c r="W306" i="4"/>
  <c r="Z85" i="8" s="1"/>
  <c r="W330" i="4"/>
  <c r="Z109" i="8" s="1"/>
  <c r="Q298" i="4"/>
  <c r="T77" i="8" s="1"/>
  <c r="R307" i="4"/>
  <c r="U86" i="8" s="1"/>
  <c r="N408" i="4"/>
  <c r="M77" i="9" s="1"/>
  <c r="M307" i="4"/>
  <c r="P86" i="8" s="1"/>
  <c r="H400" i="4"/>
  <c r="G69" i="9" s="1"/>
  <c r="V307" i="4"/>
  <c r="Y86" i="8" s="1"/>
  <c r="P408" i="4"/>
  <c r="O77" i="9" s="1"/>
  <c r="J307" i="4"/>
  <c r="M86" i="8" s="1"/>
  <c r="J290" i="4"/>
  <c r="M69" i="8" s="1"/>
  <c r="E275" i="4"/>
  <c r="H54" i="8" s="1"/>
  <c r="L275" i="4"/>
  <c r="O54" i="8" s="1"/>
  <c r="I294" i="4"/>
  <c r="L73" i="8" s="1"/>
  <c r="S431" i="4"/>
  <c r="R100" i="9" s="1"/>
  <c r="E427" i="4"/>
  <c r="D96" i="9" s="1"/>
  <c r="F427" i="4"/>
  <c r="E96" i="9" s="1"/>
  <c r="H359" i="4"/>
  <c r="G28" i="9" s="1"/>
  <c r="O249" i="4"/>
  <c r="R28" i="8" s="1"/>
  <c r="Q359" i="4"/>
  <c r="P28" i="9" s="1"/>
  <c r="S281" i="4"/>
  <c r="V60" i="8" s="1"/>
  <c r="Q281" i="4"/>
  <c r="T60" i="8" s="1"/>
  <c r="V313" i="4"/>
  <c r="Y92" i="8" s="1"/>
  <c r="G281" i="4"/>
  <c r="J60" i="8" s="1"/>
  <c r="J321" i="4"/>
  <c r="M100" i="8" s="1"/>
  <c r="O313" i="4"/>
  <c r="R92" i="8" s="1"/>
  <c r="W317" i="4"/>
  <c r="Z96" i="8" s="1"/>
  <c r="T423" i="4"/>
  <c r="S92" i="9" s="1"/>
  <c r="U317" i="4"/>
  <c r="X96" i="8" s="1"/>
  <c r="F359" i="4"/>
  <c r="E28" i="9" s="1"/>
  <c r="L359" i="4"/>
  <c r="K28" i="9" s="1"/>
  <c r="T281" i="4"/>
  <c r="W60" i="8" s="1"/>
  <c r="D249" i="4"/>
  <c r="G28" i="8" s="1"/>
  <c r="T249" i="4"/>
  <c r="W28" i="8" s="1"/>
  <c r="D405" i="4"/>
  <c r="C74" i="9" s="1"/>
  <c r="T413" i="4"/>
  <c r="S82" i="9" s="1"/>
  <c r="F275" i="4"/>
  <c r="I54" i="8" s="1"/>
  <c r="W385" i="4"/>
  <c r="V54" i="9" s="1"/>
  <c r="L400" i="4"/>
  <c r="K69" i="9" s="1"/>
  <c r="P309" i="4"/>
  <c r="S88" i="8" s="1"/>
  <c r="N306" i="4"/>
  <c r="Q85" i="8" s="1"/>
  <c r="U400" i="4"/>
  <c r="T69" i="9" s="1"/>
  <c r="F306" i="4"/>
  <c r="I85" i="8" s="1"/>
  <c r="W416" i="4"/>
  <c r="V85" i="9" s="1"/>
  <c r="I440" i="4"/>
  <c r="H109" i="9" s="1"/>
  <c r="K417" i="4"/>
  <c r="J86" i="9" s="1"/>
  <c r="P376" i="4"/>
  <c r="O45" i="9" s="1"/>
  <c r="R416" i="4"/>
  <c r="Q85" i="9" s="1"/>
  <c r="R440" i="4"/>
  <c r="Q109" i="9" s="1"/>
  <c r="L395" i="4"/>
  <c r="K64" i="9" s="1"/>
  <c r="U416" i="4"/>
  <c r="T85" i="9" s="1"/>
  <c r="Q233" i="4"/>
  <c r="T12" i="8" s="1"/>
  <c r="L298" i="4"/>
  <c r="O77" i="8" s="1"/>
  <c r="G440" i="4"/>
  <c r="F109" i="9" s="1"/>
  <c r="R330" i="4"/>
  <c r="U109" i="8" s="1"/>
  <c r="W321" i="4"/>
  <c r="Z100" i="8" s="1"/>
  <c r="V306" i="4"/>
  <c r="Y85" i="8" s="1"/>
  <c r="Q330" i="4"/>
  <c r="T109" i="8" s="1"/>
  <c r="U408" i="4"/>
  <c r="T77" i="9" s="1"/>
  <c r="S408" i="4"/>
  <c r="R77" i="9" s="1"/>
  <c r="H307" i="4"/>
  <c r="K86" i="8" s="1"/>
  <c r="D330" i="4"/>
  <c r="G109" i="8" s="1"/>
  <c r="T417" i="4"/>
  <c r="S86" i="9" s="1"/>
  <c r="Q285" i="4"/>
  <c r="T64" i="8" s="1"/>
  <c r="F285" i="4"/>
  <c r="I64" i="8" s="1"/>
  <c r="S385" i="4"/>
  <c r="R54" i="9" s="1"/>
  <c r="W285" i="4"/>
  <c r="Z64" i="8" s="1"/>
  <c r="I285" i="4"/>
  <c r="L64" i="8" s="1"/>
  <c r="H395" i="4"/>
  <c r="G64" i="9" s="1"/>
  <c r="P395" i="4"/>
  <c r="O64" i="9" s="1"/>
  <c r="S427" i="4"/>
  <c r="R96" i="9" s="1"/>
  <c r="M427" i="4"/>
  <c r="L96" i="9" s="1"/>
  <c r="L427" i="4"/>
  <c r="K96" i="9" s="1"/>
  <c r="O391" i="4"/>
  <c r="N60" i="9" s="1"/>
  <c r="R317" i="4"/>
  <c r="U96" i="8" s="1"/>
  <c r="P281" i="4"/>
  <c r="S60" i="8" s="1"/>
  <c r="W423" i="4"/>
  <c r="V92" i="9" s="1"/>
  <c r="O427" i="4"/>
  <c r="N96" i="9" s="1"/>
  <c r="F313" i="4"/>
  <c r="I92" i="8" s="1"/>
  <c r="E391" i="4"/>
  <c r="D60" i="9" s="1"/>
  <c r="S321" i="4"/>
  <c r="V100" i="8" s="1"/>
  <c r="D321" i="4"/>
  <c r="G100" i="8" s="1"/>
  <c r="W391" i="4"/>
  <c r="V60" i="9" s="1"/>
  <c r="V281" i="4"/>
  <c r="Y60" i="8" s="1"/>
  <c r="N317" i="4"/>
  <c r="Q96" i="8" s="1"/>
  <c r="T317" i="4"/>
  <c r="W96" i="8" s="1"/>
  <c r="N359" i="4"/>
  <c r="M28" i="9" s="1"/>
  <c r="P359" i="4"/>
  <c r="O28" i="9" s="1"/>
  <c r="L317" i="4"/>
  <c r="O96" i="8" s="1"/>
  <c r="K440" i="4"/>
  <c r="J109" i="9" s="1"/>
  <c r="G405" i="4"/>
  <c r="F74" i="9" s="1"/>
  <c r="L405" i="4"/>
  <c r="K74" i="9" s="1"/>
  <c r="D413" i="4"/>
  <c r="C82" i="9" s="1"/>
  <c r="O275" i="4"/>
  <c r="R54" i="8" s="1"/>
  <c r="E385" i="4"/>
  <c r="D54" i="9" s="1"/>
  <c r="F400" i="4"/>
  <c r="E69" i="9" s="1"/>
  <c r="F307" i="4"/>
  <c r="I86" i="8" s="1"/>
  <c r="K400" i="4"/>
  <c r="J69" i="9" s="1"/>
  <c r="E306" i="4"/>
  <c r="H85" i="8" s="1"/>
  <c r="D416" i="4"/>
  <c r="C85" i="9" s="1"/>
  <c r="L307" i="4"/>
  <c r="O86" i="8" s="1"/>
  <c r="Q417" i="4"/>
  <c r="P86" i="9" s="1"/>
  <c r="R376" i="4"/>
  <c r="Q45" i="9" s="1"/>
  <c r="T307" i="4"/>
  <c r="W86" i="8" s="1"/>
  <c r="F330" i="4"/>
  <c r="I109" i="8" s="1"/>
  <c r="H254" i="4"/>
  <c r="K33" i="8" s="1"/>
  <c r="S440" i="4"/>
  <c r="R109" i="9" s="1"/>
  <c r="G409" i="4"/>
  <c r="F78" i="9" s="1"/>
  <c r="F395" i="4"/>
  <c r="E64" i="9" s="1"/>
  <c r="R275" i="4"/>
  <c r="U54" i="8" s="1"/>
  <c r="U330" i="4"/>
  <c r="X109" i="8" s="1"/>
  <c r="O306" i="4"/>
  <c r="R85" i="8" s="1"/>
  <c r="M408" i="4"/>
  <c r="L77" i="9" s="1"/>
  <c r="S306" i="4"/>
  <c r="V85" i="8" s="1"/>
  <c r="K298" i="4"/>
  <c r="N77" i="8" s="1"/>
  <c r="F408" i="4"/>
  <c r="E77" i="9" s="1"/>
  <c r="J298" i="4"/>
  <c r="M77" i="8" s="1"/>
  <c r="V408" i="4"/>
  <c r="U77" i="9" s="1"/>
  <c r="H298" i="4"/>
  <c r="K77" i="8" s="1"/>
  <c r="G408" i="4"/>
  <c r="F77" i="9" s="1"/>
  <c r="G416" i="4"/>
  <c r="F85" i="9" s="1"/>
  <c r="N282" i="4"/>
  <c r="Q61" i="8" s="1"/>
  <c r="D285" i="4"/>
  <c r="G64" i="8" s="1"/>
  <c r="O417" i="4"/>
  <c r="N86" i="9" s="1"/>
  <c r="Q306" i="4"/>
  <c r="T85" i="8" s="1"/>
  <c r="U285" i="4"/>
  <c r="X64" i="8" s="1"/>
  <c r="O321" i="4"/>
  <c r="R100" i="8" s="1"/>
  <c r="H385" i="4"/>
  <c r="G54" i="9" s="1"/>
  <c r="D385" i="4"/>
  <c r="C54" i="9" s="1"/>
  <c r="G417" i="4"/>
  <c r="F86" i="9" s="1"/>
  <c r="U298" i="4"/>
  <c r="X77" i="8" s="1"/>
  <c r="I427" i="4"/>
  <c r="H96" i="9" s="1"/>
  <c r="M423" i="4"/>
  <c r="L92" i="9" s="1"/>
  <c r="J313" i="4"/>
  <c r="M92" i="8" s="1"/>
  <c r="U313" i="4"/>
  <c r="X92" i="8" s="1"/>
  <c r="P317" i="4"/>
  <c r="S96" i="8" s="1"/>
  <c r="G249" i="4"/>
  <c r="J28" i="8" s="1"/>
  <c r="N391" i="4"/>
  <c r="M60" i="9" s="1"/>
  <c r="O359" i="4"/>
  <c r="N28" i="9" s="1"/>
  <c r="I391" i="4"/>
  <c r="H60" i="9" s="1"/>
  <c r="H321" i="4"/>
  <c r="K100" i="8" s="1"/>
  <c r="L313" i="4"/>
  <c r="O92" i="8" s="1"/>
  <c r="N249" i="4"/>
  <c r="Q28" i="8" s="1"/>
  <c r="J330" i="4"/>
  <c r="M109" i="8" s="1"/>
  <c r="M405" i="4"/>
  <c r="L74" i="9" s="1"/>
  <c r="W275" i="4"/>
  <c r="Z54" i="8" s="1"/>
  <c r="L385" i="4"/>
  <c r="K54" i="9" s="1"/>
  <c r="V376" i="4"/>
  <c r="U45" i="9" s="1"/>
  <c r="N285" i="4"/>
  <c r="Q64" i="8" s="1"/>
  <c r="N424" i="4"/>
  <c r="M93" i="9" s="1"/>
  <c r="I275" i="4"/>
  <c r="L54" i="8" s="1"/>
  <c r="W400" i="4"/>
  <c r="V69" i="9" s="1"/>
  <c r="H306" i="4"/>
  <c r="K85" i="8" s="1"/>
  <c r="E307" i="4"/>
  <c r="H86" i="8" s="1"/>
  <c r="L417" i="4"/>
  <c r="K86" i="9" s="1"/>
  <c r="J376" i="4"/>
  <c r="I45" i="9" s="1"/>
  <c r="G376" i="4"/>
  <c r="F45" i="9" s="1"/>
  <c r="G307" i="4"/>
  <c r="J86" i="8" s="1"/>
  <c r="P285" i="4"/>
  <c r="S64" i="8" s="1"/>
  <c r="M385" i="4"/>
  <c r="L54" i="9" s="1"/>
  <c r="K416" i="4"/>
  <c r="J85" i="9" s="1"/>
  <c r="P330" i="4"/>
  <c r="S109" i="8" s="1"/>
  <c r="N330" i="4"/>
  <c r="Q109" i="8" s="1"/>
  <c r="E330" i="4"/>
  <c r="H109" i="8" s="1"/>
  <c r="T416" i="4"/>
  <c r="S85" i="9" s="1"/>
  <c r="S275" i="4"/>
  <c r="V54" i="8" s="1"/>
  <c r="V275" i="4"/>
  <c r="Y54" i="8" s="1"/>
  <c r="U275" i="4"/>
  <c r="X54" i="8" s="1"/>
  <c r="M275" i="4"/>
  <c r="P54" i="8" s="1"/>
  <c r="AA37" i="4"/>
  <c r="AM89" i="4"/>
  <c r="AB34" i="4"/>
  <c r="T139" i="4"/>
  <c r="T154" i="4" s="1"/>
  <c r="S158" i="4" s="1"/>
  <c r="K461" i="4"/>
  <c r="J17" i="7" s="1"/>
  <c r="K455" i="4"/>
  <c r="J11" i="7" s="1"/>
  <c r="K469" i="4"/>
  <c r="J25" i="7" s="1"/>
  <c r="K456" i="4"/>
  <c r="J12" i="7" s="1"/>
  <c r="K460" i="4"/>
  <c r="J16" i="7" s="1"/>
  <c r="K467" i="4"/>
  <c r="J23" i="7" s="1"/>
  <c r="K471" i="4"/>
  <c r="J27" i="7" s="1"/>
  <c r="K466" i="4"/>
  <c r="J22" i="7" s="1"/>
  <c r="K452" i="4"/>
  <c r="J8" i="7" s="1"/>
  <c r="F318" i="4"/>
  <c r="I97" i="8" s="1"/>
  <c r="Q413" i="4"/>
  <c r="P82" i="9" s="1"/>
  <c r="L290" i="4"/>
  <c r="O69" i="8" s="1"/>
  <c r="K408" i="4"/>
  <c r="J77" i="9" s="1"/>
  <c r="P298" i="4"/>
  <c r="S77" i="8" s="1"/>
  <c r="S254" i="4"/>
  <c r="V33" i="8" s="1"/>
  <c r="H330" i="4"/>
  <c r="K109" i="8" s="1"/>
  <c r="R413" i="4"/>
  <c r="Q82" i="9" s="1"/>
  <c r="N281" i="4"/>
  <c r="Q60" i="8" s="1"/>
  <c r="D440" i="4"/>
  <c r="C109" i="9" s="1"/>
  <c r="Q303" i="4"/>
  <c r="T82" i="8" s="1"/>
  <c r="K294" i="4"/>
  <c r="N73" i="8" s="1"/>
  <c r="J302" i="4"/>
  <c r="M81" i="8" s="1"/>
  <c r="L291" i="4"/>
  <c r="O70" i="8" s="1"/>
  <c r="E432" i="4"/>
  <c r="D101" i="9" s="1"/>
  <c r="AC353" i="4"/>
  <c r="S413" i="4"/>
  <c r="R82" i="9" s="1"/>
  <c r="N413" i="4"/>
  <c r="M82" i="9" s="1"/>
  <c r="I254" i="4"/>
  <c r="L33" i="8" s="1"/>
  <c r="E290" i="4"/>
  <c r="H69" i="8" s="1"/>
  <c r="K303" i="4"/>
  <c r="N82" i="8" s="1"/>
  <c r="M254" i="4"/>
  <c r="P33" i="8" s="1"/>
  <c r="P413" i="4"/>
  <c r="O82" i="9" s="1"/>
  <c r="W254" i="4"/>
  <c r="Z33" i="8" s="1"/>
  <c r="O303" i="4"/>
  <c r="R82" i="8" s="1"/>
  <c r="O440" i="4"/>
  <c r="N109" i="9" s="1"/>
  <c r="Q290" i="4"/>
  <c r="T69" i="8" s="1"/>
  <c r="O413" i="4"/>
  <c r="N82" i="9" s="1"/>
  <c r="N303" i="4"/>
  <c r="Q82" i="8" s="1"/>
  <c r="E303" i="4"/>
  <c r="H82" i="8" s="1"/>
  <c r="T303" i="4"/>
  <c r="W82" i="8" s="1"/>
  <c r="G413" i="4"/>
  <c r="F82" i="9" s="1"/>
  <c r="R303" i="4"/>
  <c r="U82" i="8" s="1"/>
  <c r="F254" i="4"/>
  <c r="I33" i="8" s="1"/>
  <c r="H413" i="4"/>
  <c r="G82" i="9" s="1"/>
  <c r="E400" i="4"/>
  <c r="D69" i="9" s="1"/>
  <c r="U303" i="4"/>
  <c r="X82" i="8" s="1"/>
  <c r="I413" i="4"/>
  <c r="H82" i="9" s="1"/>
  <c r="I303" i="4"/>
  <c r="L82" i="8" s="1"/>
  <c r="O298" i="4"/>
  <c r="R77" i="8" s="1"/>
  <c r="G303" i="4"/>
  <c r="J82" i="8" s="1"/>
  <c r="K413" i="4"/>
  <c r="J82" i="9" s="1"/>
  <c r="W303" i="4"/>
  <c r="Z82" i="8" s="1"/>
  <c r="L413" i="4"/>
  <c r="K82" i="9" s="1"/>
  <c r="Q254" i="4"/>
  <c r="T33" i="8" s="1"/>
  <c r="F413" i="4"/>
  <c r="E82" i="9" s="1"/>
  <c r="M413" i="4"/>
  <c r="L82" i="9" s="1"/>
  <c r="D303" i="4"/>
  <c r="G82" i="8" s="1"/>
  <c r="H303" i="4"/>
  <c r="K82" i="8" s="1"/>
  <c r="AI353" i="4"/>
  <c r="V303" i="4"/>
  <c r="Y82" i="8" s="1"/>
  <c r="Q364" i="4"/>
  <c r="P33" i="9" s="1"/>
  <c r="AJ353" i="4"/>
  <c r="S419" i="4"/>
  <c r="R88" i="9" s="1"/>
  <c r="R309" i="4"/>
  <c r="U88" i="8" s="1"/>
  <c r="Q327" i="4"/>
  <c r="T106" i="8" s="1"/>
  <c r="Q295" i="4"/>
  <c r="T74" i="8" s="1"/>
  <c r="E314" i="4"/>
  <c r="H93" i="8" s="1"/>
  <c r="I376" i="4"/>
  <c r="H45" i="9" s="1"/>
  <c r="O405" i="4"/>
  <c r="N74" i="9" s="1"/>
  <c r="T291" i="4"/>
  <c r="W70" i="8" s="1"/>
  <c r="F431" i="4"/>
  <c r="E100" i="9" s="1"/>
  <c r="K318" i="4"/>
  <c r="N97" i="8" s="1"/>
  <c r="S400" i="4"/>
  <c r="R69" i="9" s="1"/>
  <c r="G327" i="4"/>
  <c r="J106" i="8" s="1"/>
  <c r="AQ353" i="4"/>
  <c r="H282" i="4"/>
  <c r="K61" i="8" s="1"/>
  <c r="E423" i="4"/>
  <c r="D92" i="9" s="1"/>
  <c r="AF353" i="4"/>
  <c r="H423" i="4"/>
  <c r="G92" i="9" s="1"/>
  <c r="P313" i="4"/>
  <c r="S92" i="8" s="1"/>
  <c r="U432" i="4"/>
  <c r="T101" i="9" s="1"/>
  <c r="F392" i="4"/>
  <c r="E61" i="9" s="1"/>
  <c r="P299" i="4"/>
  <c r="S78" i="8" s="1"/>
  <c r="T294" i="4"/>
  <c r="W73" i="8" s="1"/>
  <c r="AN353" i="4"/>
  <c r="AB353" i="4"/>
  <c r="T254" i="4"/>
  <c r="W33" i="8" s="1"/>
  <c r="H412" i="4"/>
  <c r="G81" i="9" s="1"/>
  <c r="P405" i="4"/>
  <c r="O74" i="9" s="1"/>
  <c r="P294" i="4"/>
  <c r="S73" i="8" s="1"/>
  <c r="AJ354" i="4"/>
  <c r="N294" i="4"/>
  <c r="Q73" i="8" s="1"/>
  <c r="H318" i="4"/>
  <c r="K97" i="8" s="1"/>
  <c r="D318" i="4"/>
  <c r="G97" i="8" s="1"/>
  <c r="O294" i="4"/>
  <c r="R73" i="8" s="1"/>
  <c r="U405" i="4"/>
  <c r="T74" i="9" s="1"/>
  <c r="J318" i="4"/>
  <c r="M97" i="8" s="1"/>
  <c r="P322" i="4"/>
  <c r="S101" i="8" s="1"/>
  <c r="L432" i="4"/>
  <c r="K101" i="9" s="1"/>
  <c r="G286" i="4"/>
  <c r="J65" i="8" s="1"/>
  <c r="H299" i="4"/>
  <c r="K78" i="8" s="1"/>
  <c r="Q436" i="4"/>
  <c r="P105" i="9" s="1"/>
  <c r="K313" i="4"/>
  <c r="N92" i="8" s="1"/>
  <c r="N313" i="4"/>
  <c r="Q92" i="8" s="1"/>
  <c r="P432" i="4"/>
  <c r="O101" i="9" s="1"/>
  <c r="F432" i="4"/>
  <c r="E101" i="9" s="1"/>
  <c r="AC354" i="4"/>
  <c r="E254" i="4"/>
  <c r="H33" i="8" s="1"/>
  <c r="R294" i="4"/>
  <c r="U73" i="8" s="1"/>
  <c r="E294" i="4"/>
  <c r="H73" i="8" s="1"/>
  <c r="R254" i="4"/>
  <c r="U33" i="8" s="1"/>
  <c r="V254" i="4"/>
  <c r="Y33" i="8" s="1"/>
  <c r="K405" i="4"/>
  <c r="J74" i="9" s="1"/>
  <c r="R318" i="4"/>
  <c r="U97" i="8" s="1"/>
  <c r="H294" i="4"/>
  <c r="K73" i="8" s="1"/>
  <c r="J409" i="4"/>
  <c r="I78" i="9" s="1"/>
  <c r="P254" i="4"/>
  <c r="S33" i="8" s="1"/>
  <c r="M428" i="4"/>
  <c r="L97" i="9" s="1"/>
  <c r="J423" i="4"/>
  <c r="I92" i="9" s="1"/>
  <c r="M313" i="4"/>
  <c r="P92" i="8" s="1"/>
  <c r="W376" i="4"/>
  <c r="V45" i="9" s="1"/>
  <c r="Q376" i="4"/>
  <c r="P45" i="9" s="1"/>
  <c r="AK354" i="4"/>
  <c r="L318" i="4"/>
  <c r="O97" i="8" s="1"/>
  <c r="T318" i="4"/>
  <c r="W97" i="8" s="1"/>
  <c r="G318" i="4"/>
  <c r="J97" i="8" s="1"/>
  <c r="V405" i="4"/>
  <c r="U74" i="9" s="1"/>
  <c r="F294" i="4"/>
  <c r="I73" i="8" s="1"/>
  <c r="O318" i="4"/>
  <c r="R97" i="8" s="1"/>
  <c r="W294" i="4"/>
  <c r="Z73" i="8" s="1"/>
  <c r="O254" i="4"/>
  <c r="R33" i="8" s="1"/>
  <c r="K305" i="4"/>
  <c r="N84" i="8" s="1"/>
  <c r="V314" i="4"/>
  <c r="Y93" i="8" s="1"/>
  <c r="N415" i="4"/>
  <c r="M84" i="9" s="1"/>
  <c r="V437" i="4"/>
  <c r="U106" i="9" s="1"/>
  <c r="G295" i="4"/>
  <c r="J74" i="8" s="1"/>
  <c r="I265" i="4"/>
  <c r="L44" i="8" s="1"/>
  <c r="O419" i="4"/>
  <c r="N88" i="9" s="1"/>
  <c r="U291" i="4"/>
  <c r="X70" i="8" s="1"/>
  <c r="E266" i="4"/>
  <c r="H45" i="8" s="1"/>
  <c r="I233" i="4"/>
  <c r="L12" i="8" s="1"/>
  <c r="V401" i="4"/>
  <c r="U70" i="9" s="1"/>
  <c r="O309" i="4"/>
  <c r="R88" i="8" s="1"/>
  <c r="D327" i="4"/>
  <c r="G106" i="8" s="1"/>
  <c r="Q343" i="4"/>
  <c r="P12" i="9" s="1"/>
  <c r="E424" i="4"/>
  <c r="D93" i="9" s="1"/>
  <c r="R313" i="4"/>
  <c r="U92" i="8" s="1"/>
  <c r="F282" i="4"/>
  <c r="I61" i="8" s="1"/>
  <c r="M295" i="4"/>
  <c r="P74" i="8" s="1"/>
  <c r="L254" i="4"/>
  <c r="O33" i="8" s="1"/>
  <c r="AG354" i="4"/>
  <c r="S295" i="4"/>
  <c r="V74" i="8" s="1"/>
  <c r="M318" i="4"/>
  <c r="P97" i="8" s="1"/>
  <c r="H405" i="4"/>
  <c r="G74" i="9" s="1"/>
  <c r="E318" i="4"/>
  <c r="H97" i="8" s="1"/>
  <c r="F401" i="4"/>
  <c r="E70" i="9" s="1"/>
  <c r="I291" i="4"/>
  <c r="L70" i="8" s="1"/>
  <c r="N302" i="4"/>
  <c r="Q81" i="8" s="1"/>
  <c r="V318" i="4"/>
  <c r="Y97" i="8" s="1"/>
  <c r="S318" i="4"/>
  <c r="V97" i="8" s="1"/>
  <c r="S294" i="4"/>
  <c r="V73" i="8" s="1"/>
  <c r="N254" i="4"/>
  <c r="Q33" i="8" s="1"/>
  <c r="F405" i="4"/>
  <c r="E74" i="9" s="1"/>
  <c r="U294" i="4"/>
  <c r="X73" i="8" s="1"/>
  <c r="Q318" i="4"/>
  <c r="T97" i="8" s="1"/>
  <c r="N318" i="4"/>
  <c r="Q97" i="8" s="1"/>
  <c r="P318" i="4"/>
  <c r="S97" i="8" s="1"/>
  <c r="I318" i="4"/>
  <c r="L97" i="8" s="1"/>
  <c r="AM354" i="4"/>
  <c r="D254" i="4"/>
  <c r="G33" i="8" s="1"/>
  <c r="G254" i="4"/>
  <c r="J33" i="8" s="1"/>
  <c r="D409" i="4"/>
  <c r="C78" i="9" s="1"/>
  <c r="E419" i="4"/>
  <c r="D88" i="9" s="1"/>
  <c r="I392" i="4"/>
  <c r="H61" i="9" s="1"/>
  <c r="I405" i="4"/>
  <c r="H74" i="9" s="1"/>
  <c r="P282" i="4"/>
  <c r="S61" i="8" s="1"/>
  <c r="AP229" i="4"/>
  <c r="AF229" i="4"/>
  <c r="AL229" i="4"/>
  <c r="AQ229" i="4"/>
  <c r="D294" i="4"/>
  <c r="G73" i="8" s="1"/>
  <c r="G294" i="4"/>
  <c r="J73" i="8" s="1"/>
  <c r="AA354" i="4"/>
  <c r="W318" i="4"/>
  <c r="Z97" i="8" s="1"/>
  <c r="K254" i="4"/>
  <c r="N33" i="8" s="1"/>
  <c r="W309" i="4"/>
  <c r="Z88" i="8" s="1"/>
  <c r="U34" i="4"/>
  <c r="K468" i="4"/>
  <c r="J24" i="7" s="1"/>
  <c r="K463" i="4"/>
  <c r="J19" i="7" s="1"/>
  <c r="K454" i="4"/>
  <c r="J10" i="7" s="1"/>
  <c r="BO467" i="4"/>
  <c r="AF467" i="4" s="1"/>
  <c r="AF468" i="4"/>
  <c r="AP546" i="4" s="1"/>
  <c r="S546" i="4" s="1"/>
  <c r="S555" i="4" s="1"/>
  <c r="L375" i="4"/>
  <c r="K44" i="9" s="1"/>
  <c r="W415" i="4"/>
  <c r="V84" i="9" s="1"/>
  <c r="W431" i="4"/>
  <c r="V100" i="9" s="1"/>
  <c r="U437" i="4"/>
  <c r="T106" i="9" s="1"/>
  <c r="S437" i="4"/>
  <c r="R106" i="9" s="1"/>
  <c r="G432" i="4"/>
  <c r="F101" i="9" s="1"/>
  <c r="D314" i="4"/>
  <c r="G93" i="8" s="1"/>
  <c r="N291" i="4"/>
  <c r="Q70" i="8" s="1"/>
  <c r="E409" i="4"/>
  <c r="D78" i="9" s="1"/>
  <c r="L392" i="4"/>
  <c r="K61" i="9" s="1"/>
  <c r="P424" i="4"/>
  <c r="O93" i="9" s="1"/>
  <c r="N322" i="4"/>
  <c r="Q101" i="8" s="1"/>
  <c r="O322" i="4"/>
  <c r="R101" i="8" s="1"/>
  <c r="U282" i="4"/>
  <c r="X61" i="8" s="1"/>
  <c r="U409" i="4"/>
  <c r="T78" i="9" s="1"/>
  <c r="I309" i="4"/>
  <c r="L88" i="8" s="1"/>
  <c r="F419" i="4"/>
  <c r="E88" i="9" s="1"/>
  <c r="S401" i="4"/>
  <c r="R70" i="9" s="1"/>
  <c r="O432" i="4"/>
  <c r="N101" i="9" s="1"/>
  <c r="W233" i="4"/>
  <c r="Z12" i="8" s="1"/>
  <c r="S305" i="4"/>
  <c r="V84" i="8" s="1"/>
  <c r="H322" i="4"/>
  <c r="K101" i="8" s="1"/>
  <c r="J424" i="4"/>
  <c r="I93" i="9" s="1"/>
  <c r="D322" i="4"/>
  <c r="G101" i="8" s="1"/>
  <c r="J392" i="4"/>
  <c r="I61" i="9" s="1"/>
  <c r="R305" i="4"/>
  <c r="U84" i="8" s="1"/>
  <c r="L305" i="4"/>
  <c r="O84" i="8" s="1"/>
  <c r="F314" i="4"/>
  <c r="I93" i="8" s="1"/>
  <c r="J291" i="4"/>
  <c r="M70" i="8" s="1"/>
  <c r="P295" i="4"/>
  <c r="S74" i="8" s="1"/>
  <c r="T286" i="4"/>
  <c r="W65" i="8" s="1"/>
  <c r="T309" i="4"/>
  <c r="W88" i="8" s="1"/>
  <c r="I295" i="4"/>
  <c r="L74" i="8" s="1"/>
  <c r="K327" i="4"/>
  <c r="N106" i="8" s="1"/>
  <c r="S327" i="4"/>
  <c r="V106" i="8" s="1"/>
  <c r="Q309" i="4"/>
  <c r="T88" i="8" s="1"/>
  <c r="L295" i="4"/>
  <c r="O74" i="8" s="1"/>
  <c r="J401" i="4"/>
  <c r="I70" i="9" s="1"/>
  <c r="J327" i="4"/>
  <c r="M106" i="8" s="1"/>
  <c r="O295" i="4"/>
  <c r="R74" i="8" s="1"/>
  <c r="K419" i="4"/>
  <c r="J88" i="9" s="1"/>
  <c r="W419" i="4"/>
  <c r="V88" i="9" s="1"/>
  <c r="L419" i="4"/>
  <c r="K88" i="9" s="1"/>
  <c r="M424" i="4"/>
  <c r="L93" i="9" s="1"/>
  <c r="M376" i="4"/>
  <c r="L45" i="9" s="1"/>
  <c r="P291" i="4"/>
  <c r="S70" i="8" s="1"/>
  <c r="F424" i="4"/>
  <c r="E93" i="9" s="1"/>
  <c r="U327" i="4"/>
  <c r="X106" i="8" s="1"/>
  <c r="P343" i="4"/>
  <c r="O12" i="9" s="1"/>
  <c r="Q431" i="4"/>
  <c r="P100" i="9" s="1"/>
  <c r="L415" i="4"/>
  <c r="K84" i="9" s="1"/>
  <c r="U233" i="4"/>
  <c r="X12" i="8" s="1"/>
  <c r="S343" i="4"/>
  <c r="R12" i="9" s="1"/>
  <c r="W343" i="4"/>
  <c r="V12" i="9" s="1"/>
  <c r="R415" i="4"/>
  <c r="Q84" i="9" s="1"/>
  <c r="H415" i="4"/>
  <c r="G84" i="9" s="1"/>
  <c r="F437" i="4"/>
  <c r="E106" i="9" s="1"/>
  <c r="T437" i="4"/>
  <c r="S106" i="9" s="1"/>
  <c r="G305" i="4"/>
  <c r="J84" i="8" s="1"/>
  <c r="U419" i="4"/>
  <c r="T88" i="9" s="1"/>
  <c r="J314" i="4"/>
  <c r="M93" i="8" s="1"/>
  <c r="K424" i="4"/>
  <c r="J93" i="9" s="1"/>
  <c r="N432" i="4"/>
  <c r="M101" i="9" s="1"/>
  <c r="G322" i="4"/>
  <c r="J101" i="8" s="1"/>
  <c r="K392" i="4"/>
  <c r="J61" i="9" s="1"/>
  <c r="E392" i="4"/>
  <c r="D61" i="9" s="1"/>
  <c r="P409" i="4"/>
  <c r="O78" i="9" s="1"/>
  <c r="V322" i="4"/>
  <c r="Y101" i="8" s="1"/>
  <c r="D291" i="4"/>
  <c r="G70" i="8" s="1"/>
  <c r="D432" i="4"/>
  <c r="C101" i="9" s="1"/>
  <c r="V409" i="4"/>
  <c r="U78" i="9" s="1"/>
  <c r="N419" i="4"/>
  <c r="M88" i="9" s="1"/>
  <c r="J419" i="4"/>
  <c r="I88" i="9" s="1"/>
  <c r="F291" i="4"/>
  <c r="I70" i="8" s="1"/>
  <c r="L401" i="4"/>
  <c r="K70" i="9" s="1"/>
  <c r="V415" i="4"/>
  <c r="U84" i="9" s="1"/>
  <c r="E322" i="4"/>
  <c r="H101" i="8" s="1"/>
  <c r="P314" i="4"/>
  <c r="S93" i="8" s="1"/>
  <c r="R233" i="4"/>
  <c r="U12" i="8" s="1"/>
  <c r="W282" i="4"/>
  <c r="Z61" i="8" s="1"/>
  <c r="P392" i="4"/>
  <c r="O61" i="9" s="1"/>
  <c r="M392" i="4"/>
  <c r="L61" i="9" s="1"/>
  <c r="J282" i="4"/>
  <c r="M61" i="8" s="1"/>
  <c r="W322" i="4"/>
  <c r="Z101" i="8" s="1"/>
  <c r="F305" i="4"/>
  <c r="I84" i="8" s="1"/>
  <c r="U309" i="4"/>
  <c r="X88" i="8" s="1"/>
  <c r="P286" i="4"/>
  <c r="S65" i="8" s="1"/>
  <c r="AI354" i="4"/>
  <c r="AS354" i="4"/>
  <c r="F327" i="4"/>
  <c r="I106" i="8" s="1"/>
  <c r="H327" i="4"/>
  <c r="K106" i="8" s="1"/>
  <c r="J309" i="4"/>
  <c r="M88" i="8" s="1"/>
  <c r="E309" i="4"/>
  <c r="H88" i="8" s="1"/>
  <c r="F295" i="4"/>
  <c r="I74" i="8" s="1"/>
  <c r="T327" i="4"/>
  <c r="W106" i="8" s="1"/>
  <c r="K437" i="4"/>
  <c r="J106" i="9" s="1"/>
  <c r="H291" i="4"/>
  <c r="K70" i="8" s="1"/>
  <c r="I299" i="4"/>
  <c r="L78" i="8" s="1"/>
  <c r="O266" i="4"/>
  <c r="R45" i="8" s="1"/>
  <c r="M343" i="4"/>
  <c r="L12" i="9" s="1"/>
  <c r="S233" i="4"/>
  <c r="V12" i="8" s="1"/>
  <c r="D233" i="4"/>
  <c r="G12" i="8" s="1"/>
  <c r="I343" i="4"/>
  <c r="H12" i="9" s="1"/>
  <c r="U343" i="4"/>
  <c r="T12" i="9" s="1"/>
  <c r="V233" i="4"/>
  <c r="Y12" i="8" s="1"/>
  <c r="R431" i="4"/>
  <c r="Q100" i="9" s="1"/>
  <c r="E291" i="4"/>
  <c r="H70" i="8" s="1"/>
  <c r="W437" i="4"/>
  <c r="V106" i="9" s="1"/>
  <c r="W291" i="4"/>
  <c r="Z70" i="8" s="1"/>
  <c r="K431" i="4"/>
  <c r="J100" i="9" s="1"/>
  <c r="R392" i="4"/>
  <c r="Q61" i="9" s="1"/>
  <c r="F309" i="4"/>
  <c r="I88" i="8" s="1"/>
  <c r="S266" i="4"/>
  <c r="V45" i="8" s="1"/>
  <c r="U392" i="4"/>
  <c r="T61" i="9" s="1"/>
  <c r="N314" i="4"/>
  <c r="Q93" i="8" s="1"/>
  <c r="M322" i="4"/>
  <c r="P101" i="8" s="1"/>
  <c r="I432" i="4"/>
  <c r="H101" i="9" s="1"/>
  <c r="O401" i="4"/>
  <c r="N70" i="9" s="1"/>
  <c r="K409" i="4"/>
  <c r="J78" i="9" s="1"/>
  <c r="K291" i="4"/>
  <c r="N70" i="8" s="1"/>
  <c r="S291" i="4"/>
  <c r="V70" i="8" s="1"/>
  <c r="F409" i="4"/>
  <c r="E78" i="9" s="1"/>
  <c r="I419" i="4"/>
  <c r="H88" i="9" s="1"/>
  <c r="P419" i="4"/>
  <c r="O88" i="9" s="1"/>
  <c r="O291" i="4"/>
  <c r="R70" i="8" s="1"/>
  <c r="M401" i="4"/>
  <c r="L70" i="9" s="1"/>
  <c r="M314" i="4"/>
  <c r="P93" i="8" s="1"/>
  <c r="H432" i="4"/>
  <c r="G101" i="9" s="1"/>
  <c r="D305" i="4"/>
  <c r="G84" i="8" s="1"/>
  <c r="R282" i="4"/>
  <c r="U61" i="8" s="1"/>
  <c r="V282" i="4"/>
  <c r="Y61" i="8" s="1"/>
  <c r="S282" i="4"/>
  <c r="V61" i="8" s="1"/>
  <c r="W314" i="4"/>
  <c r="Z93" i="8" s="1"/>
  <c r="H314" i="4"/>
  <c r="K93" i="8" s="1"/>
  <c r="K282" i="4"/>
  <c r="N61" i="8" s="1"/>
  <c r="H266" i="4"/>
  <c r="K45" i="8" s="1"/>
  <c r="AR353" i="4"/>
  <c r="J299" i="4"/>
  <c r="M78" i="8" s="1"/>
  <c r="AE354" i="4"/>
  <c r="AD354" i="4"/>
  <c r="N327" i="4"/>
  <c r="Q106" i="8" s="1"/>
  <c r="Q266" i="4"/>
  <c r="T45" i="8" s="1"/>
  <c r="P327" i="4"/>
  <c r="S106" i="8" s="1"/>
  <c r="U295" i="4"/>
  <c r="X74" i="8" s="1"/>
  <c r="R295" i="4"/>
  <c r="U74" i="8" s="1"/>
  <c r="I401" i="4"/>
  <c r="H70" i="9" s="1"/>
  <c r="I327" i="4"/>
  <c r="L106" i="8" s="1"/>
  <c r="G437" i="4"/>
  <c r="F106" i="9" s="1"/>
  <c r="F266" i="4"/>
  <c r="I45" i="8" s="1"/>
  <c r="V419" i="4"/>
  <c r="U88" i="9" s="1"/>
  <c r="E327" i="4"/>
  <c r="H106" i="8" s="1"/>
  <c r="N343" i="4"/>
  <c r="M12" i="9" s="1"/>
  <c r="H305" i="4"/>
  <c r="K84" i="8" s="1"/>
  <c r="T343" i="4"/>
  <c r="S12" i="9" s="1"/>
  <c r="D415" i="4"/>
  <c r="C84" i="9" s="1"/>
  <c r="U415" i="4"/>
  <c r="T84" i="9" s="1"/>
  <c r="G343" i="4"/>
  <c r="F12" i="9" s="1"/>
  <c r="I415" i="4"/>
  <c r="H84" i="9" s="1"/>
  <c r="T415" i="4"/>
  <c r="S84" i="9" s="1"/>
  <c r="H343" i="4"/>
  <c r="G12" i="9" s="1"/>
  <c r="F343" i="4"/>
  <c r="E12" i="9" s="1"/>
  <c r="R401" i="4"/>
  <c r="Q70" i="9" s="1"/>
  <c r="D309" i="4"/>
  <c r="I437" i="4"/>
  <c r="H106" i="9" s="1"/>
  <c r="M419" i="4"/>
  <c r="L88" i="9" s="1"/>
  <c r="N431" i="4"/>
  <c r="M100" i="9" s="1"/>
  <c r="R424" i="4"/>
  <c r="Q93" i="9" s="1"/>
  <c r="O392" i="4"/>
  <c r="N61" i="9" s="1"/>
  <c r="D424" i="4"/>
  <c r="C93" i="9" s="1"/>
  <c r="K322" i="4"/>
  <c r="N101" i="8" s="1"/>
  <c r="V432" i="4"/>
  <c r="U101" i="9" s="1"/>
  <c r="G401" i="4"/>
  <c r="F70" i="9" s="1"/>
  <c r="W401" i="4"/>
  <c r="V70" i="9" s="1"/>
  <c r="P266" i="4"/>
  <c r="S45" i="8" s="1"/>
  <c r="V392" i="4"/>
  <c r="U61" i="9" s="1"/>
  <c r="N233" i="4"/>
  <c r="Q12" i="8" s="1"/>
  <c r="M409" i="4"/>
  <c r="L78" i="9" s="1"/>
  <c r="H419" i="4"/>
  <c r="G88" i="9" s="1"/>
  <c r="R291" i="4"/>
  <c r="U70" i="8" s="1"/>
  <c r="J431" i="4"/>
  <c r="I100" i="9" s="1"/>
  <c r="L233" i="4"/>
  <c r="O12" i="8" s="1"/>
  <c r="L299" i="4"/>
  <c r="O78" i="8" s="1"/>
  <c r="Q424" i="4"/>
  <c r="P93" i="9" s="1"/>
  <c r="J415" i="4"/>
  <c r="I84" i="9" s="1"/>
  <c r="S392" i="4"/>
  <c r="R61" i="9" s="1"/>
  <c r="I424" i="4"/>
  <c r="H93" i="9" s="1"/>
  <c r="S314" i="4"/>
  <c r="V93" i="8" s="1"/>
  <c r="T396" i="4"/>
  <c r="S65" i="9" s="1"/>
  <c r="T299" i="4"/>
  <c r="W78" i="8" s="1"/>
  <c r="M327" i="4"/>
  <c r="P106" i="8" s="1"/>
  <c r="AQ354" i="4"/>
  <c r="AF354" i="4"/>
  <c r="N295" i="4"/>
  <c r="Q74" i="8" s="1"/>
  <c r="W266" i="4"/>
  <c r="Z45" i="8" s="1"/>
  <c r="D266" i="4"/>
  <c r="G45" i="8" s="1"/>
  <c r="P437" i="4"/>
  <c r="O106" i="9" s="1"/>
  <c r="R266" i="4"/>
  <c r="U45" i="8" s="1"/>
  <c r="L437" i="4"/>
  <c r="K106" i="9" s="1"/>
  <c r="U314" i="4"/>
  <c r="X93" i="8" s="1"/>
  <c r="N309" i="4"/>
  <c r="Q88" i="8" s="1"/>
  <c r="J266" i="4"/>
  <c r="M45" i="8" s="1"/>
  <c r="O327" i="4"/>
  <c r="R106" i="8" s="1"/>
  <c r="I305" i="4"/>
  <c r="L84" i="8" s="1"/>
  <c r="D419" i="4"/>
  <c r="C88" i="9" s="1"/>
  <c r="G424" i="4"/>
  <c r="F93" i="9" s="1"/>
  <c r="U266" i="4"/>
  <c r="X45" i="8" s="1"/>
  <c r="D343" i="4"/>
  <c r="C12" i="9" s="1"/>
  <c r="V431" i="4"/>
  <c r="U100" i="9" s="1"/>
  <c r="O415" i="4"/>
  <c r="N84" i="9" s="1"/>
  <c r="E375" i="4"/>
  <c r="D44" i="9" s="1"/>
  <c r="E431" i="4"/>
  <c r="D100" i="9" s="1"/>
  <c r="F233" i="4"/>
  <c r="I12" i="8" s="1"/>
  <c r="I431" i="4"/>
  <c r="H100" i="9" s="1"/>
  <c r="K233" i="4"/>
  <c r="N12" i="8" s="1"/>
  <c r="K415" i="4"/>
  <c r="J84" i="9" s="1"/>
  <c r="P431" i="4"/>
  <c r="O100" i="9" s="1"/>
  <c r="U305" i="4"/>
  <c r="X84" i="8" s="1"/>
  <c r="E401" i="4"/>
  <c r="D70" i="9" s="1"/>
  <c r="R437" i="4"/>
  <c r="Q106" i="9" s="1"/>
  <c r="G291" i="4"/>
  <c r="J70" i="8" s="1"/>
  <c r="R314" i="4"/>
  <c r="U93" i="8" s="1"/>
  <c r="N392" i="4"/>
  <c r="M61" i="9" s="1"/>
  <c r="O424" i="4"/>
  <c r="N93" i="9" s="1"/>
  <c r="U322" i="4"/>
  <c r="X101" i="8" s="1"/>
  <c r="T432" i="4"/>
  <c r="S101" i="9" s="1"/>
  <c r="H401" i="4"/>
  <c r="G70" i="9" s="1"/>
  <c r="G314" i="4"/>
  <c r="J93" i="8" s="1"/>
  <c r="O409" i="4"/>
  <c r="N78" i="9" s="1"/>
  <c r="G419" i="4"/>
  <c r="F88" i="9" s="1"/>
  <c r="K401" i="4"/>
  <c r="J70" i="9" s="1"/>
  <c r="H437" i="4"/>
  <c r="G106" i="9" s="1"/>
  <c r="O314" i="4"/>
  <c r="R93" i="8" s="1"/>
  <c r="H424" i="4"/>
  <c r="G93" i="9" s="1"/>
  <c r="T314" i="4"/>
  <c r="W93" i="8" s="1"/>
  <c r="I314" i="4"/>
  <c r="L93" i="8" s="1"/>
  <c r="H392" i="4"/>
  <c r="G61" i="9" s="1"/>
  <c r="L314" i="4"/>
  <c r="O93" i="8" s="1"/>
  <c r="P305" i="4"/>
  <c r="S84" i="8" s="1"/>
  <c r="D295" i="4"/>
  <c r="E299" i="4"/>
  <c r="H78" i="8" s="1"/>
  <c r="N286" i="4"/>
  <c r="Q65" i="8" s="1"/>
  <c r="W327" i="4"/>
  <c r="Z106" i="8" s="1"/>
  <c r="AB354" i="4"/>
  <c r="AN354" i="4"/>
  <c r="D302" i="4"/>
  <c r="G81" i="8" s="1"/>
  <c r="H309" i="4"/>
  <c r="K88" i="8" s="1"/>
  <c r="K295" i="4"/>
  <c r="N74" i="8" s="1"/>
  <c r="R302" i="4"/>
  <c r="U81" i="8" s="1"/>
  <c r="E295" i="4"/>
  <c r="H74" i="8" s="1"/>
  <c r="M282" i="4"/>
  <c r="P61" i="8" s="1"/>
  <c r="R327" i="4"/>
  <c r="U106" i="8" s="1"/>
  <c r="W295" i="4"/>
  <c r="Z74" i="8" s="1"/>
  <c r="S302" i="4"/>
  <c r="V81" i="8" s="1"/>
  <c r="T295" i="4"/>
  <c r="W74" i="8" s="1"/>
  <c r="Q291" i="4"/>
  <c r="T70" i="8" s="1"/>
  <c r="I282" i="4"/>
  <c r="L61" i="8" s="1"/>
  <c r="Q419" i="4"/>
  <c r="P88" i="9" s="1"/>
  <c r="K343" i="4"/>
  <c r="J12" i="9" s="1"/>
  <c r="H233" i="4"/>
  <c r="K12" i="8" s="1"/>
  <c r="N305" i="4"/>
  <c r="Q84" i="8" s="1"/>
  <c r="M305" i="4"/>
  <c r="P84" i="8" s="1"/>
  <c r="L343" i="4"/>
  <c r="K12" i="9" s="1"/>
  <c r="T233" i="4"/>
  <c r="W12" i="8" s="1"/>
  <c r="P233" i="4"/>
  <c r="S12" i="8" s="1"/>
  <c r="D431" i="4"/>
  <c r="C100" i="9" s="1"/>
  <c r="H431" i="4"/>
  <c r="G100" i="9" s="1"/>
  <c r="F415" i="4"/>
  <c r="E84" i="9" s="1"/>
  <c r="E415" i="4"/>
  <c r="D84" i="9" s="1"/>
  <c r="O233" i="4"/>
  <c r="R12" i="8" s="1"/>
  <c r="W305" i="4"/>
  <c r="Z84" i="8" s="1"/>
  <c r="U424" i="4"/>
  <c r="T93" i="9" s="1"/>
  <c r="M437" i="4"/>
  <c r="L106" i="9" s="1"/>
  <c r="M431" i="4"/>
  <c r="L100" i="9" s="1"/>
  <c r="G233" i="4"/>
  <c r="J12" i="8" s="1"/>
  <c r="M266" i="4"/>
  <c r="P45" i="8" s="1"/>
  <c r="G392" i="4"/>
  <c r="F61" i="9" s="1"/>
  <c r="S424" i="4"/>
  <c r="R93" i="9" s="1"/>
  <c r="F322" i="4"/>
  <c r="I101" i="8" s="1"/>
  <c r="W432" i="4"/>
  <c r="V101" i="9" s="1"/>
  <c r="J432" i="4"/>
  <c r="I101" i="9" s="1"/>
  <c r="S432" i="4"/>
  <c r="R101" i="9" s="1"/>
  <c r="W392" i="4"/>
  <c r="V61" i="9" s="1"/>
  <c r="S309" i="4"/>
  <c r="V88" i="8" s="1"/>
  <c r="L266" i="4"/>
  <c r="O45" i="8" s="1"/>
  <c r="H409" i="4"/>
  <c r="G78" i="9" s="1"/>
  <c r="G309" i="4"/>
  <c r="J88" i="8" s="1"/>
  <c r="T419" i="4"/>
  <c r="S88" i="9" s="1"/>
  <c r="P401" i="4"/>
  <c r="O70" i="9" s="1"/>
  <c r="O437" i="4"/>
  <c r="N106" i="9" s="1"/>
  <c r="T282" i="4"/>
  <c r="W61" i="8" s="1"/>
  <c r="W424" i="4"/>
  <c r="V93" i="9" s="1"/>
  <c r="V266" i="4"/>
  <c r="Y45" i="8" s="1"/>
  <c r="I322" i="4"/>
  <c r="L101" i="8" s="1"/>
  <c r="U431" i="4"/>
  <c r="T100" i="9" s="1"/>
  <c r="K266" i="4"/>
  <c r="N45" i="8" s="1"/>
  <c r="Q432" i="4"/>
  <c r="P101" i="9" s="1"/>
  <c r="G282" i="4"/>
  <c r="J61" i="8" s="1"/>
  <c r="K314" i="4"/>
  <c r="N93" i="8" s="1"/>
  <c r="G266" i="4"/>
  <c r="J45" i="8" s="1"/>
  <c r="S322" i="4"/>
  <c r="V101" i="8" s="1"/>
  <c r="L327" i="4"/>
  <c r="O106" i="8" s="1"/>
  <c r="I266" i="4"/>
  <c r="L45" i="8" s="1"/>
  <c r="D437" i="4"/>
  <c r="C106" i="9" s="1"/>
  <c r="Q314" i="4"/>
  <c r="T93" i="8" s="1"/>
  <c r="J295" i="4"/>
  <c r="M74" i="8" s="1"/>
  <c r="T401" i="4"/>
  <c r="S70" i="9" s="1"/>
  <c r="V305" i="4"/>
  <c r="Y84" i="8" s="1"/>
  <c r="R343" i="4"/>
  <c r="Q12" i="9" s="1"/>
  <c r="M265" i="4"/>
  <c r="P44" i="8" s="1"/>
  <c r="J343" i="4"/>
  <c r="I12" i="9" s="1"/>
  <c r="M415" i="4"/>
  <c r="L84" i="9" s="1"/>
  <c r="V343" i="4"/>
  <c r="U12" i="9" s="1"/>
  <c r="Q415" i="4"/>
  <c r="P84" i="9" s="1"/>
  <c r="M233" i="4"/>
  <c r="P12" i="8" s="1"/>
  <c r="U401" i="4"/>
  <c r="T70" i="9" s="1"/>
  <c r="N437" i="4"/>
  <c r="M106" i="9" s="1"/>
  <c r="R432" i="4"/>
  <c r="Q101" i="9" s="1"/>
  <c r="T409" i="4"/>
  <c r="S78" i="9" s="1"/>
  <c r="Q392" i="4"/>
  <c r="P61" i="9" s="1"/>
  <c r="L424" i="4"/>
  <c r="K93" i="9" s="1"/>
  <c r="R322" i="4"/>
  <c r="U101" i="8" s="1"/>
  <c r="L309" i="4"/>
  <c r="O88" i="8" s="1"/>
  <c r="N409" i="4"/>
  <c r="M78" i="9" s="1"/>
  <c r="K309" i="4"/>
  <c r="N88" i="8" s="1"/>
  <c r="J322" i="4"/>
  <c r="M101" i="8" s="1"/>
  <c r="L282" i="4"/>
  <c r="O61" i="8" s="1"/>
  <c r="Q282" i="4"/>
  <c r="T61" i="8" s="1"/>
  <c r="T424" i="4"/>
  <c r="S93" i="9" s="1"/>
  <c r="E282" i="4"/>
  <c r="H61" i="8" s="1"/>
  <c r="J364" i="4"/>
  <c r="I33" i="9" s="1"/>
  <c r="V436" i="4"/>
  <c r="U105" i="9" s="1"/>
  <c r="H396" i="4"/>
  <c r="G65" i="9" s="1"/>
  <c r="D404" i="4"/>
  <c r="C73" i="9" s="1"/>
  <c r="V327" i="4"/>
  <c r="Y106" i="8" s="1"/>
  <c r="E437" i="4"/>
  <c r="D106" i="9" s="1"/>
  <c r="H295" i="4"/>
  <c r="K74" i="8" s="1"/>
  <c r="AR354" i="4"/>
  <c r="AO354" i="4"/>
  <c r="V295" i="4"/>
  <c r="Y74" i="8" s="1"/>
  <c r="V309" i="4"/>
  <c r="Y88" i="8" s="1"/>
  <c r="T322" i="4"/>
  <c r="W101" i="8" s="1"/>
  <c r="I286" i="4"/>
  <c r="L65" i="8" s="1"/>
  <c r="O282" i="4"/>
  <c r="R61" i="8" s="1"/>
  <c r="S299" i="4"/>
  <c r="V78" i="8" s="1"/>
  <c r="L409" i="4"/>
  <c r="K78" i="9" s="1"/>
  <c r="N266" i="4"/>
  <c r="Q45" i="8" s="1"/>
  <c r="E286" i="4"/>
  <c r="H65" i="8" s="1"/>
  <c r="AT354" i="4"/>
  <c r="V299" i="4"/>
  <c r="Y78" i="8" s="1"/>
  <c r="Q299" i="4"/>
  <c r="T78" i="8" s="1"/>
  <c r="L286" i="4"/>
  <c r="O65" i="8" s="1"/>
  <c r="U302" i="4"/>
  <c r="X81" i="8" s="1"/>
  <c r="R409" i="4"/>
  <c r="Q78" i="9" s="1"/>
  <c r="S409" i="4"/>
  <c r="R78" i="9" s="1"/>
  <c r="N396" i="4"/>
  <c r="M65" i="9" s="1"/>
  <c r="S404" i="4"/>
  <c r="R73" i="9" s="1"/>
  <c r="J412" i="4"/>
  <c r="I81" i="9" s="1"/>
  <c r="Q286" i="4"/>
  <c r="T65" i="8" s="1"/>
  <c r="I302" i="4"/>
  <c r="L81" i="8" s="1"/>
  <c r="Q409" i="4"/>
  <c r="P78" i="9" s="1"/>
  <c r="N299" i="4"/>
  <c r="Q78" i="8" s="1"/>
  <c r="I409" i="4"/>
  <c r="H78" i="9" s="1"/>
  <c r="S286" i="4"/>
  <c r="V65" i="8" s="1"/>
  <c r="K432" i="4"/>
  <c r="J101" i="9" s="1"/>
  <c r="H286" i="4"/>
  <c r="K65" i="8" s="1"/>
  <c r="Q322" i="4"/>
  <c r="T101" i="8" s="1"/>
  <c r="R286" i="4"/>
  <c r="U65" i="8" s="1"/>
  <c r="W286" i="4"/>
  <c r="Z65" i="8" s="1"/>
  <c r="M286" i="4"/>
  <c r="P65" i="8" s="1"/>
  <c r="W299" i="4"/>
  <c r="Z78" i="8" s="1"/>
  <c r="D299" i="4"/>
  <c r="S135" i="4"/>
  <c r="L364" i="4"/>
  <c r="K33" i="9" s="1"/>
  <c r="I428" i="4"/>
  <c r="H97" i="9" s="1"/>
  <c r="D436" i="4"/>
  <c r="C105" i="9" s="1"/>
  <c r="O299" i="4"/>
  <c r="R78" i="8" s="1"/>
  <c r="E302" i="4"/>
  <c r="H81" i="8" s="1"/>
  <c r="M299" i="4"/>
  <c r="P78" i="8" s="1"/>
  <c r="K299" i="4"/>
  <c r="N78" i="8" s="1"/>
  <c r="T392" i="4"/>
  <c r="S61" i="9" s="1"/>
  <c r="G299" i="4"/>
  <c r="J78" i="8" s="1"/>
  <c r="F299" i="4"/>
  <c r="I78" i="8" s="1"/>
  <c r="O302" i="4"/>
  <c r="R81" i="8" s="1"/>
  <c r="V286" i="4"/>
  <c r="Y65" i="8" s="1"/>
  <c r="T302" i="4"/>
  <c r="W81" i="8" s="1"/>
  <c r="F286" i="4"/>
  <c r="I65" i="8" s="1"/>
  <c r="O286" i="4"/>
  <c r="R65" i="8" s="1"/>
  <c r="D286" i="4"/>
  <c r="R299" i="4"/>
  <c r="U78" i="8" s="1"/>
  <c r="U299" i="4"/>
  <c r="X78" i="8" s="1"/>
  <c r="U286" i="4"/>
  <c r="X65" i="8" s="1"/>
  <c r="L322" i="4"/>
  <c r="O101" i="8" s="1"/>
  <c r="E436" i="4"/>
  <c r="D105" i="9" s="1"/>
  <c r="AL354" i="4"/>
  <c r="J286" i="4"/>
  <c r="M65" i="8" s="1"/>
  <c r="K286" i="4"/>
  <c r="N65" i="8" s="1"/>
  <c r="K404" i="4"/>
  <c r="J73" i="9" s="1"/>
  <c r="U436" i="4"/>
  <c r="T105" i="9" s="1"/>
  <c r="S364" i="4"/>
  <c r="R33" i="9" s="1"/>
  <c r="P364" i="4"/>
  <c r="O33" i="9" s="1"/>
  <c r="E404" i="4"/>
  <c r="D73" i="9" s="1"/>
  <c r="L428" i="4"/>
  <c r="K97" i="9" s="1"/>
  <c r="R412" i="4"/>
  <c r="Q81" i="9" s="1"/>
  <c r="P436" i="4"/>
  <c r="O105" i="9" s="1"/>
  <c r="R364" i="4"/>
  <c r="Q33" i="9" s="1"/>
  <c r="G428" i="4"/>
  <c r="F97" i="9" s="1"/>
  <c r="V302" i="4"/>
  <c r="Y81" i="8" s="1"/>
  <c r="K412" i="4"/>
  <c r="J81" i="9" s="1"/>
  <c r="G396" i="4"/>
  <c r="F65" i="9" s="1"/>
  <c r="Q404" i="4"/>
  <c r="P73" i="9" s="1"/>
  <c r="W412" i="4"/>
  <c r="V81" i="9" s="1"/>
  <c r="J428" i="4"/>
  <c r="I97" i="9" s="1"/>
  <c r="H436" i="4"/>
  <c r="G105" i="9" s="1"/>
  <c r="Q412" i="4"/>
  <c r="P81" i="9" s="1"/>
  <c r="O364" i="4"/>
  <c r="N33" i="9" s="1"/>
  <c r="F404" i="4"/>
  <c r="E73" i="9" s="1"/>
  <c r="S436" i="4"/>
  <c r="R105" i="9" s="1"/>
  <c r="U396" i="4"/>
  <c r="T65" i="9" s="1"/>
  <c r="D396" i="4"/>
  <c r="C65" i="9" s="1"/>
  <c r="H404" i="4"/>
  <c r="G73" i="9" s="1"/>
  <c r="F412" i="4"/>
  <c r="E81" i="9" s="1"/>
  <c r="T428" i="4"/>
  <c r="S97" i="9" s="1"/>
  <c r="R436" i="4"/>
  <c r="Q105" i="9" s="1"/>
  <c r="S428" i="4"/>
  <c r="R97" i="9" s="1"/>
  <c r="W364" i="4"/>
  <c r="V33" i="9" s="1"/>
  <c r="V364" i="4"/>
  <c r="U33" i="9" s="1"/>
  <c r="R404" i="4"/>
  <c r="Q73" i="9" s="1"/>
  <c r="F436" i="4"/>
  <c r="E105" i="9" s="1"/>
  <c r="T436" i="4"/>
  <c r="S105" i="9" s="1"/>
  <c r="X283" i="4"/>
  <c r="X248" i="4"/>
  <c r="I404" i="4"/>
  <c r="H73" i="9" s="1"/>
  <c r="T404" i="4"/>
  <c r="S73" i="9" s="1"/>
  <c r="G412" i="4"/>
  <c r="F81" i="9" s="1"/>
  <c r="D428" i="4"/>
  <c r="C97" i="9" s="1"/>
  <c r="L436" i="4"/>
  <c r="K105" i="9" s="1"/>
  <c r="U364" i="4"/>
  <c r="T33" i="9" s="1"/>
  <c r="D364" i="4"/>
  <c r="C33" i="9" s="1"/>
  <c r="G436" i="4"/>
  <c r="F105" i="9" s="1"/>
  <c r="W302" i="4"/>
  <c r="Z81" i="8" s="1"/>
  <c r="J404" i="4"/>
  <c r="I73" i="9" s="1"/>
  <c r="P404" i="4"/>
  <c r="O73" i="9" s="1"/>
  <c r="O428" i="4"/>
  <c r="N97" i="9" s="1"/>
  <c r="W436" i="4"/>
  <c r="V105" i="9" s="1"/>
  <c r="N436" i="4"/>
  <c r="M105" i="9" s="1"/>
  <c r="G364" i="4"/>
  <c r="F33" i="9" s="1"/>
  <c r="H364" i="4"/>
  <c r="G33" i="9" s="1"/>
  <c r="M404" i="4"/>
  <c r="L73" i="9" s="1"/>
  <c r="T135" i="4"/>
  <c r="L302" i="4"/>
  <c r="O81" i="8" s="1"/>
  <c r="K302" i="4"/>
  <c r="N81" i="8" s="1"/>
  <c r="Q302" i="4"/>
  <c r="T81" i="8" s="1"/>
  <c r="G302" i="4"/>
  <c r="J81" i="8" s="1"/>
  <c r="F302" i="4"/>
  <c r="M302" i="4"/>
  <c r="P81" i="8" s="1"/>
  <c r="P302" i="4"/>
  <c r="S81" i="8" s="1"/>
  <c r="H302" i="4"/>
  <c r="K81" i="8" s="1"/>
  <c r="K428" i="4"/>
  <c r="J97" i="9" s="1"/>
  <c r="I436" i="4"/>
  <c r="H105" i="9" s="1"/>
  <c r="P412" i="4"/>
  <c r="O81" i="9" s="1"/>
  <c r="V412" i="4"/>
  <c r="U81" i="9" s="1"/>
  <c r="E364" i="4"/>
  <c r="D33" i="9" s="1"/>
  <c r="T140" i="4"/>
  <c r="U139" i="4"/>
  <c r="U154" i="4" s="1"/>
  <c r="T157" i="4" s="1"/>
  <c r="U140" i="4"/>
  <c r="U135" i="4"/>
  <c r="Y530" i="4"/>
  <c r="Y544" i="4"/>
  <c r="Y545" i="4"/>
  <c r="F545" i="4" s="1"/>
  <c r="Y541" i="4"/>
  <c r="Y549" i="4"/>
  <c r="Y542" i="4"/>
  <c r="Y533" i="4"/>
  <c r="Y540" i="4"/>
  <c r="Y548" i="4"/>
  <c r="Y539" i="4"/>
  <c r="Y532" i="4"/>
  <c r="Y538" i="4"/>
  <c r="Y547" i="4"/>
  <c r="Y537" i="4"/>
  <c r="Y531" i="4"/>
  <c r="Y546" i="4"/>
  <c r="Y536" i="4"/>
  <c r="Y535" i="4"/>
  <c r="Y543" i="4"/>
  <c r="Y534" i="4"/>
  <c r="J396" i="4"/>
  <c r="I65" i="9" s="1"/>
  <c r="V396" i="4"/>
  <c r="U65" i="9" s="1"/>
  <c r="I396" i="4"/>
  <c r="H65" i="9" s="1"/>
  <c r="O396" i="4"/>
  <c r="N65" i="9" s="1"/>
  <c r="E396" i="4"/>
  <c r="D65" i="9" s="1"/>
  <c r="M396" i="4"/>
  <c r="L65" i="9" s="1"/>
  <c r="W396" i="4"/>
  <c r="V65" i="9" s="1"/>
  <c r="P396" i="4"/>
  <c r="O65" i="9" s="1"/>
  <c r="R396" i="4"/>
  <c r="Q65" i="9" s="1"/>
  <c r="K396" i="4"/>
  <c r="J65" i="9" s="1"/>
  <c r="L396" i="4"/>
  <c r="K65" i="9" s="1"/>
  <c r="Q396" i="4"/>
  <c r="P65" i="9" s="1"/>
  <c r="S396" i="4"/>
  <c r="R65" i="9" s="1"/>
  <c r="F396" i="4"/>
  <c r="E65" i="9" s="1"/>
  <c r="AF361" i="4"/>
  <c r="AQ361" i="4"/>
  <c r="AL361" i="4"/>
  <c r="AQ346" i="4"/>
  <c r="AD346" i="4"/>
  <c r="AP346" i="4"/>
  <c r="N420" i="4"/>
  <c r="M89" i="9" s="1"/>
  <c r="E420" i="4"/>
  <c r="D89" i="9" s="1"/>
  <c r="G420" i="4"/>
  <c r="F89" i="9" s="1"/>
  <c r="H420" i="4"/>
  <c r="G89" i="9" s="1"/>
  <c r="M420" i="4"/>
  <c r="L89" i="9" s="1"/>
  <c r="R420" i="4"/>
  <c r="Q89" i="9" s="1"/>
  <c r="K420" i="4"/>
  <c r="J89" i="9" s="1"/>
  <c r="O420" i="4"/>
  <c r="N89" i="9" s="1"/>
  <c r="P420" i="4"/>
  <c r="O89" i="9" s="1"/>
  <c r="L420" i="4"/>
  <c r="K89" i="9" s="1"/>
  <c r="I420" i="4"/>
  <c r="H89" i="9" s="1"/>
  <c r="Q420" i="4"/>
  <c r="P89" i="9" s="1"/>
  <c r="D420" i="4"/>
  <c r="S420" i="4"/>
  <c r="R89" i="9" s="1"/>
  <c r="T420" i="4"/>
  <c r="S89" i="9" s="1"/>
  <c r="F420" i="4"/>
  <c r="E89" i="9" s="1"/>
  <c r="U420" i="4"/>
  <c r="T89" i="9" s="1"/>
  <c r="W420" i="4"/>
  <c r="V89" i="9" s="1"/>
  <c r="V420" i="4"/>
  <c r="U89" i="9" s="1"/>
  <c r="J420" i="4"/>
  <c r="I89" i="9" s="1"/>
  <c r="Z139" i="4"/>
  <c r="Z135" i="4"/>
  <c r="Z140" i="4"/>
  <c r="Y139" i="4"/>
  <c r="Y140" i="4"/>
  <c r="W139" i="4"/>
  <c r="W154" i="4" s="1"/>
  <c r="V159" i="4" s="1"/>
  <c r="W140" i="4"/>
  <c r="AN361" i="4"/>
  <c r="AB361" i="4"/>
  <c r="AT361" i="4"/>
  <c r="AA346" i="4"/>
  <c r="AL346" i="4"/>
  <c r="L404" i="4"/>
  <c r="K73" i="9" s="1"/>
  <c r="O404" i="4"/>
  <c r="N73" i="9" s="1"/>
  <c r="G404" i="4"/>
  <c r="F73" i="9" s="1"/>
  <c r="N404" i="4"/>
  <c r="M73" i="9" s="1"/>
  <c r="U404" i="4"/>
  <c r="T73" i="9" s="1"/>
  <c r="W404" i="4"/>
  <c r="V73" i="9" s="1"/>
  <c r="V404" i="4"/>
  <c r="U73" i="9" s="1"/>
  <c r="AG361" i="4"/>
  <c r="AJ361" i="4"/>
  <c r="AE361" i="4"/>
  <c r="AG353" i="4"/>
  <c r="AK353" i="4"/>
  <c r="AH354" i="4"/>
  <c r="AB346" i="4"/>
  <c r="AT346" i="4"/>
  <c r="L412" i="4"/>
  <c r="K81" i="9" s="1"/>
  <c r="S412" i="4"/>
  <c r="R81" i="9" s="1"/>
  <c r="T412" i="4"/>
  <c r="S81" i="9" s="1"/>
  <c r="N412" i="4"/>
  <c r="M81" i="9" s="1"/>
  <c r="U412" i="4"/>
  <c r="T81" i="9" s="1"/>
  <c r="I412" i="4"/>
  <c r="H81" i="9" s="1"/>
  <c r="E412" i="4"/>
  <c r="D81" i="9" s="1"/>
  <c r="O412" i="4"/>
  <c r="N81" i="9" s="1"/>
  <c r="M412" i="4"/>
  <c r="L81" i="9" s="1"/>
  <c r="D412" i="4"/>
  <c r="C81" i="9" s="1"/>
  <c r="AO361" i="4"/>
  <c r="AR361" i="4"/>
  <c r="AM361" i="4"/>
  <c r="AA353" i="4"/>
  <c r="AO353" i="4"/>
  <c r="AS353" i="4"/>
  <c r="AP354" i="4"/>
  <c r="AJ346" i="4"/>
  <c r="AF346" i="4"/>
  <c r="M436" i="4"/>
  <c r="L105" i="9" s="1"/>
  <c r="J436" i="4"/>
  <c r="I105" i="9" s="1"/>
  <c r="K436" i="4"/>
  <c r="J105" i="9" s="1"/>
  <c r="O436" i="4"/>
  <c r="N105" i="9" s="1"/>
  <c r="AH361" i="4"/>
  <c r="AC361" i="4"/>
  <c r="AE353" i="4"/>
  <c r="AH353" i="4"/>
  <c r="AD353" i="4"/>
  <c r="AR346" i="4"/>
  <c r="AN346" i="4"/>
  <c r="O258" i="4"/>
  <c r="R37" i="8" s="1"/>
  <c r="Y135" i="4"/>
  <c r="AP361" i="4"/>
  <c r="AK361" i="4"/>
  <c r="AM353" i="4"/>
  <c r="AP353" i="4"/>
  <c r="AL353" i="4"/>
  <c r="AE346" i="4"/>
  <c r="AC346" i="4"/>
  <c r="AG346" i="4"/>
  <c r="N364" i="4"/>
  <c r="M33" i="9" s="1"/>
  <c r="M364" i="4"/>
  <c r="L33" i="9" s="1"/>
  <c r="I364" i="4"/>
  <c r="H33" i="9" s="1"/>
  <c r="K364" i="4"/>
  <c r="J33" i="9" s="1"/>
  <c r="T364" i="4"/>
  <c r="S33" i="9" s="1"/>
  <c r="F364" i="4"/>
  <c r="E33" i="9" s="1"/>
  <c r="H428" i="4"/>
  <c r="G97" i="9" s="1"/>
  <c r="F428" i="4"/>
  <c r="E97" i="9" s="1"/>
  <c r="P428" i="4"/>
  <c r="O97" i="9" s="1"/>
  <c r="V428" i="4"/>
  <c r="U97" i="9" s="1"/>
  <c r="E428" i="4"/>
  <c r="D97" i="9" s="1"/>
  <c r="R428" i="4"/>
  <c r="Q97" i="9" s="1"/>
  <c r="U428" i="4"/>
  <c r="T97" i="9" s="1"/>
  <c r="W428" i="4"/>
  <c r="V97" i="9" s="1"/>
  <c r="Q428" i="4"/>
  <c r="P97" i="9" s="1"/>
  <c r="N428" i="4"/>
  <c r="M97" i="9" s="1"/>
  <c r="S140" i="4"/>
  <c r="AA361" i="4"/>
  <c r="AS361" i="4"/>
  <c r="AT353" i="4"/>
  <c r="AI346" i="4"/>
  <c r="AK346" i="4"/>
  <c r="AO346" i="4"/>
  <c r="X139" i="4"/>
  <c r="X140" i="4"/>
  <c r="V139" i="4"/>
  <c r="V154" i="4" s="1"/>
  <c r="U158" i="4" s="1"/>
  <c r="V140" i="4"/>
  <c r="V135" i="4"/>
  <c r="AI361" i="4"/>
  <c r="AD361" i="4"/>
  <c r="AM346" i="4"/>
  <c r="AS346" i="4"/>
  <c r="AH346" i="4"/>
  <c r="S37" i="4"/>
  <c r="AD37" i="4"/>
  <c r="Z34" i="4"/>
  <c r="Z37" i="4"/>
  <c r="S34" i="4"/>
  <c r="AM85" i="4"/>
  <c r="V34" i="4"/>
  <c r="Y37" i="4"/>
  <c r="W34" i="4"/>
  <c r="X34" i="4"/>
  <c r="Y34" i="4"/>
  <c r="AM48" i="4"/>
  <c r="AB12" i="4"/>
  <c r="AC37" i="4"/>
  <c r="AA34" i="4"/>
  <c r="AC34" i="4"/>
  <c r="AB37" i="4"/>
  <c r="AD34" i="4"/>
  <c r="AM52" i="4"/>
  <c r="V37" i="4"/>
  <c r="AY80" i="4"/>
  <c r="AR80" i="4"/>
  <c r="AB43" i="4"/>
  <c r="X422" i="4"/>
  <c r="X362" i="4"/>
  <c r="X402" i="4"/>
  <c r="X300" i="4"/>
  <c r="X324" i="4"/>
  <c r="X316" i="4"/>
  <c r="AM87" i="4"/>
  <c r="W37" i="4"/>
  <c r="AM51" i="4"/>
  <c r="X410" i="4"/>
  <c r="T37" i="4"/>
  <c r="X37" i="4"/>
  <c r="X386" i="4"/>
  <c r="X438" i="4"/>
  <c r="X252" i="4"/>
  <c r="X439" i="4"/>
  <c r="X276" i="4"/>
  <c r="X329" i="4"/>
  <c r="X328" i="4"/>
  <c r="AX79" i="4"/>
  <c r="BC14" i="4"/>
  <c r="Y26" i="4"/>
  <c r="M238" i="4"/>
  <c r="P17" i="8" s="1"/>
  <c r="X406" i="4"/>
  <c r="L230" i="4"/>
  <c r="O9" i="8" s="1"/>
  <c r="X312" i="4"/>
  <c r="AU80" i="4"/>
  <c r="X434" i="4"/>
  <c r="AV80" i="4"/>
  <c r="AR47" i="4"/>
  <c r="X26" i="4"/>
  <c r="X292" i="4"/>
  <c r="AX80" i="4"/>
  <c r="AW80" i="4"/>
  <c r="AS80" i="4"/>
  <c r="AT80" i="4"/>
  <c r="X296" i="4"/>
  <c r="BB80" i="4"/>
  <c r="BC80" i="4"/>
  <c r="S259" i="4"/>
  <c r="V38" i="8" s="1"/>
  <c r="AM72" i="4"/>
  <c r="X426" i="4"/>
  <c r="X425" i="4"/>
  <c r="X358" i="4"/>
  <c r="X315" i="4"/>
  <c r="X393" i="4"/>
  <c r="AA43" i="4"/>
  <c r="R256" i="4"/>
  <c r="U35" i="8" s="1"/>
  <c r="AW47" i="4"/>
  <c r="AT47" i="4"/>
  <c r="R240" i="4"/>
  <c r="U19" i="8" s="1"/>
  <c r="AD89" i="4"/>
  <c r="W26" i="4"/>
  <c r="AB26" i="4"/>
  <c r="AL236" i="4"/>
  <c r="AH251" i="4"/>
  <c r="O348" i="4"/>
  <c r="N17" i="9" s="1"/>
  <c r="K348" i="4"/>
  <c r="J17" i="9" s="1"/>
  <c r="D348" i="4"/>
  <c r="T348" i="4"/>
  <c r="S17" i="9" s="1"/>
  <c r="P348" i="4"/>
  <c r="O17" i="9" s="1"/>
  <c r="I348" i="4"/>
  <c r="H17" i="9" s="1"/>
  <c r="Q348" i="4"/>
  <c r="P17" i="9" s="1"/>
  <c r="R348" i="4"/>
  <c r="Q17" i="9" s="1"/>
  <c r="G348" i="4"/>
  <c r="F17" i="9" s="1"/>
  <c r="M348" i="4"/>
  <c r="L17" i="9" s="1"/>
  <c r="W348" i="4"/>
  <c r="V17" i="9" s="1"/>
  <c r="E348" i="4"/>
  <c r="D17" i="9" s="1"/>
  <c r="N348" i="4"/>
  <c r="M17" i="9" s="1"/>
  <c r="U348" i="4"/>
  <c r="T17" i="9" s="1"/>
  <c r="S348" i="4"/>
  <c r="R17" i="9" s="1"/>
  <c r="F348" i="4"/>
  <c r="E17" i="9" s="1"/>
  <c r="H348" i="4"/>
  <c r="G17" i="9" s="1"/>
  <c r="V348" i="4"/>
  <c r="U17" i="9" s="1"/>
  <c r="J348" i="4"/>
  <c r="I17" i="9" s="1"/>
  <c r="L348" i="4"/>
  <c r="K17" i="9" s="1"/>
  <c r="BA47" i="4"/>
  <c r="AX15" i="4"/>
  <c r="AD12" i="4"/>
  <c r="S43" i="4"/>
  <c r="X43" i="4"/>
  <c r="AD236" i="4"/>
  <c r="AL251" i="4"/>
  <c r="AH236" i="4"/>
  <c r="AO251" i="4"/>
  <c r="AA89" i="4"/>
  <c r="AF251" i="4"/>
  <c r="AN251" i="4"/>
  <c r="AA251" i="4"/>
  <c r="AE251" i="4"/>
  <c r="V255" i="4"/>
  <c r="Y34" i="8" s="1"/>
  <c r="F255" i="4"/>
  <c r="I34" i="8" s="1"/>
  <c r="S255" i="4"/>
  <c r="V34" i="8" s="1"/>
  <c r="R255" i="4"/>
  <c r="U34" i="8" s="1"/>
  <c r="Q255" i="4"/>
  <c r="T34" i="8" s="1"/>
  <c r="P255" i="4"/>
  <c r="S34" i="8" s="1"/>
  <c r="W255" i="4"/>
  <c r="Z34" i="8" s="1"/>
  <c r="N255" i="4"/>
  <c r="Q34" i="8" s="1"/>
  <c r="U255" i="4"/>
  <c r="X34" i="8" s="1"/>
  <c r="M255" i="4"/>
  <c r="P34" i="8" s="1"/>
  <c r="L255" i="4"/>
  <c r="O34" i="8" s="1"/>
  <c r="D255" i="4"/>
  <c r="J255" i="4"/>
  <c r="M34" i="8" s="1"/>
  <c r="G255" i="4"/>
  <c r="J34" i="8" s="1"/>
  <c r="E255" i="4"/>
  <c r="H34" i="8" s="1"/>
  <c r="H255" i="4"/>
  <c r="K34" i="8" s="1"/>
  <c r="T255" i="4"/>
  <c r="W34" i="8" s="1"/>
  <c r="O255" i="4"/>
  <c r="R34" i="8" s="1"/>
  <c r="K255" i="4"/>
  <c r="N34" i="8" s="1"/>
  <c r="G279" i="4"/>
  <c r="J58" i="8" s="1"/>
  <c r="K279" i="4"/>
  <c r="N58" i="8" s="1"/>
  <c r="S279" i="4"/>
  <c r="V58" i="8" s="1"/>
  <c r="W279" i="4"/>
  <c r="Z58" i="8" s="1"/>
  <c r="H279" i="4"/>
  <c r="K58" i="8" s="1"/>
  <c r="D279" i="4"/>
  <c r="Q279" i="4"/>
  <c r="T58" i="8" s="1"/>
  <c r="N279" i="4"/>
  <c r="Q58" i="8" s="1"/>
  <c r="U279" i="4"/>
  <c r="X58" i="8" s="1"/>
  <c r="I279" i="4"/>
  <c r="L58" i="8" s="1"/>
  <c r="F279" i="4"/>
  <c r="I58" i="8" s="1"/>
  <c r="L279" i="4"/>
  <c r="O58" i="8" s="1"/>
  <c r="E279" i="4"/>
  <c r="H58" i="8" s="1"/>
  <c r="J279" i="4"/>
  <c r="M58" i="8" s="1"/>
  <c r="V279" i="4"/>
  <c r="Y58" i="8" s="1"/>
  <c r="R279" i="4"/>
  <c r="U58" i="8" s="1"/>
  <c r="O279" i="4"/>
  <c r="R58" i="8" s="1"/>
  <c r="M279" i="4"/>
  <c r="P58" i="8" s="1"/>
  <c r="T279" i="4"/>
  <c r="W58" i="8" s="1"/>
  <c r="P279" i="4"/>
  <c r="S58" i="8" s="1"/>
  <c r="N390" i="4"/>
  <c r="M59" i="9" s="1"/>
  <c r="T390" i="4"/>
  <c r="S59" i="9" s="1"/>
  <c r="O390" i="4"/>
  <c r="N59" i="9" s="1"/>
  <c r="E390" i="4"/>
  <c r="D59" i="9" s="1"/>
  <c r="U390" i="4"/>
  <c r="T59" i="9" s="1"/>
  <c r="F390" i="4"/>
  <c r="E59" i="9" s="1"/>
  <c r="I390" i="4"/>
  <c r="H59" i="9" s="1"/>
  <c r="R390" i="4"/>
  <c r="Q59" i="9" s="1"/>
  <c r="V390" i="4"/>
  <c r="U59" i="9" s="1"/>
  <c r="K390" i="4"/>
  <c r="J59" i="9" s="1"/>
  <c r="J390" i="4"/>
  <c r="I59" i="9" s="1"/>
  <c r="Q390" i="4"/>
  <c r="P59" i="9" s="1"/>
  <c r="G390" i="4"/>
  <c r="F59" i="9" s="1"/>
  <c r="P390" i="4"/>
  <c r="O59" i="9" s="1"/>
  <c r="W390" i="4"/>
  <c r="V59" i="9" s="1"/>
  <c r="M390" i="4"/>
  <c r="L59" i="9" s="1"/>
  <c r="S390" i="4"/>
  <c r="R59" i="9" s="1"/>
  <c r="H390" i="4"/>
  <c r="G59" i="9" s="1"/>
  <c r="L390" i="4"/>
  <c r="K59" i="9" s="1"/>
  <c r="D390" i="4"/>
  <c r="P268" i="4"/>
  <c r="S47" i="8" s="1"/>
  <c r="G268" i="4"/>
  <c r="J47" i="8" s="1"/>
  <c r="O268" i="4"/>
  <c r="R47" i="8" s="1"/>
  <c r="N268" i="4"/>
  <c r="Q47" i="8" s="1"/>
  <c r="K268" i="4"/>
  <c r="N47" i="8" s="1"/>
  <c r="M268" i="4"/>
  <c r="P47" i="8" s="1"/>
  <c r="I268" i="4"/>
  <c r="L47" i="8" s="1"/>
  <c r="J268" i="4"/>
  <c r="M47" i="8" s="1"/>
  <c r="E268" i="4"/>
  <c r="H47" i="8" s="1"/>
  <c r="S268" i="4"/>
  <c r="V47" i="8" s="1"/>
  <c r="H268" i="4"/>
  <c r="K47" i="8" s="1"/>
  <c r="F268" i="4"/>
  <c r="I47" i="8" s="1"/>
  <c r="V268" i="4"/>
  <c r="Y47" i="8" s="1"/>
  <c r="U268" i="4"/>
  <c r="X47" i="8" s="1"/>
  <c r="L268" i="4"/>
  <c r="O47" i="8" s="1"/>
  <c r="R268" i="4"/>
  <c r="U47" i="8" s="1"/>
  <c r="D268" i="4"/>
  <c r="Q268" i="4"/>
  <c r="T47" i="8" s="1"/>
  <c r="W268" i="4"/>
  <c r="Z47" i="8" s="1"/>
  <c r="O257" i="4"/>
  <c r="R36" i="8" s="1"/>
  <c r="L257" i="4"/>
  <c r="O36" i="8" s="1"/>
  <c r="M257" i="4"/>
  <c r="P36" i="8" s="1"/>
  <c r="H257" i="4"/>
  <c r="K36" i="8" s="1"/>
  <c r="K257" i="4"/>
  <c r="N36" i="8" s="1"/>
  <c r="G257" i="4"/>
  <c r="J36" i="8" s="1"/>
  <c r="W257" i="4"/>
  <c r="Z36" i="8" s="1"/>
  <c r="I257" i="4"/>
  <c r="L36" i="8" s="1"/>
  <c r="F257" i="4"/>
  <c r="I36" i="8" s="1"/>
  <c r="N257" i="4"/>
  <c r="Q36" i="8" s="1"/>
  <c r="S257" i="4"/>
  <c r="V36" i="8" s="1"/>
  <c r="Q257" i="4"/>
  <c r="T36" i="8" s="1"/>
  <c r="R257" i="4"/>
  <c r="U36" i="8" s="1"/>
  <c r="J257" i="4"/>
  <c r="M36" i="8" s="1"/>
  <c r="E257" i="4"/>
  <c r="H36" i="8" s="1"/>
  <c r="D257" i="4"/>
  <c r="V257" i="4"/>
  <c r="Y36" i="8" s="1"/>
  <c r="P257" i="4"/>
  <c r="S36" i="8" s="1"/>
  <c r="U257" i="4"/>
  <c r="X36" i="8" s="1"/>
  <c r="T257" i="4"/>
  <c r="W36" i="8" s="1"/>
  <c r="Z43" i="4"/>
  <c r="J239" i="4"/>
  <c r="M18" i="8" s="1"/>
  <c r="H239" i="4"/>
  <c r="K18" i="8" s="1"/>
  <c r="M239" i="4"/>
  <c r="P18" i="8" s="1"/>
  <c r="K239" i="4"/>
  <c r="N18" i="8" s="1"/>
  <c r="I239" i="4"/>
  <c r="L18" i="8" s="1"/>
  <c r="G239" i="4"/>
  <c r="J18" i="8" s="1"/>
  <c r="E239" i="4"/>
  <c r="H18" i="8" s="1"/>
  <c r="W239" i="4"/>
  <c r="Z18" i="8" s="1"/>
  <c r="P239" i="4"/>
  <c r="S18" i="8" s="1"/>
  <c r="T239" i="4"/>
  <c r="W18" i="8" s="1"/>
  <c r="L239" i="4"/>
  <c r="O18" i="8" s="1"/>
  <c r="R239" i="4"/>
  <c r="U18" i="8" s="1"/>
  <c r="U239" i="4"/>
  <c r="X18" i="8" s="1"/>
  <c r="S239" i="4"/>
  <c r="V18" i="8" s="1"/>
  <c r="Q239" i="4"/>
  <c r="T18" i="8" s="1"/>
  <c r="O239" i="4"/>
  <c r="R18" i="8" s="1"/>
  <c r="N239" i="4"/>
  <c r="Q18" i="8" s="1"/>
  <c r="F239" i="4"/>
  <c r="I18" i="8" s="1"/>
  <c r="D239" i="4"/>
  <c r="V239" i="4"/>
  <c r="Y18" i="8" s="1"/>
  <c r="O245" i="4"/>
  <c r="R24" i="8" s="1"/>
  <c r="M245" i="4"/>
  <c r="P24" i="8" s="1"/>
  <c r="W245" i="4"/>
  <c r="Z24" i="8" s="1"/>
  <c r="P245" i="4"/>
  <c r="S24" i="8" s="1"/>
  <c r="U245" i="4"/>
  <c r="X24" i="8" s="1"/>
  <c r="F245" i="4"/>
  <c r="I24" i="8" s="1"/>
  <c r="I245" i="4"/>
  <c r="L24" i="8" s="1"/>
  <c r="G245" i="4"/>
  <c r="J24" i="8" s="1"/>
  <c r="Q245" i="4"/>
  <c r="T24" i="8" s="1"/>
  <c r="R245" i="4"/>
  <c r="U24" i="8" s="1"/>
  <c r="N245" i="4"/>
  <c r="Q24" i="8" s="1"/>
  <c r="J245" i="4"/>
  <c r="M24" i="8" s="1"/>
  <c r="L245" i="4"/>
  <c r="O24" i="8" s="1"/>
  <c r="H245" i="4"/>
  <c r="K24" i="8" s="1"/>
  <c r="E245" i="4"/>
  <c r="H24" i="8" s="1"/>
  <c r="K245" i="4"/>
  <c r="N24" i="8" s="1"/>
  <c r="T245" i="4"/>
  <c r="W24" i="8" s="1"/>
  <c r="D245" i="4"/>
  <c r="S245" i="4"/>
  <c r="V24" i="8" s="1"/>
  <c r="V331" i="4"/>
  <c r="Y110" i="8" s="1"/>
  <c r="F331" i="4"/>
  <c r="I110" i="8" s="1"/>
  <c r="D331" i="4"/>
  <c r="W331" i="4"/>
  <c r="Z110" i="8" s="1"/>
  <c r="J331" i="4"/>
  <c r="M110" i="8" s="1"/>
  <c r="Q331" i="4"/>
  <c r="T110" i="8" s="1"/>
  <c r="P331" i="4"/>
  <c r="S110" i="8" s="1"/>
  <c r="N331" i="4"/>
  <c r="Q110" i="8" s="1"/>
  <c r="I331" i="4"/>
  <c r="L110" i="8" s="1"/>
  <c r="L331" i="4"/>
  <c r="O110" i="8" s="1"/>
  <c r="K331" i="4"/>
  <c r="N110" i="8" s="1"/>
  <c r="S331" i="4"/>
  <c r="V110" i="8" s="1"/>
  <c r="E331" i="4"/>
  <c r="H110" i="8" s="1"/>
  <c r="R331" i="4"/>
  <c r="U110" i="8" s="1"/>
  <c r="O331" i="4"/>
  <c r="R110" i="8" s="1"/>
  <c r="M331" i="4"/>
  <c r="P110" i="8" s="1"/>
  <c r="U331" i="4"/>
  <c r="X110" i="8" s="1"/>
  <c r="T331" i="4"/>
  <c r="W110" i="8" s="1"/>
  <c r="H331" i="4"/>
  <c r="K110" i="8" s="1"/>
  <c r="G331" i="4"/>
  <c r="J110" i="8" s="1"/>
  <c r="AK236" i="4"/>
  <c r="T350" i="4"/>
  <c r="S19" i="9" s="1"/>
  <c r="W350" i="4"/>
  <c r="V19" i="9" s="1"/>
  <c r="M350" i="4"/>
  <c r="L19" i="9" s="1"/>
  <c r="R350" i="4"/>
  <c r="Q19" i="9" s="1"/>
  <c r="J350" i="4"/>
  <c r="I19" i="9" s="1"/>
  <c r="F350" i="4"/>
  <c r="E19" i="9" s="1"/>
  <c r="V350" i="4"/>
  <c r="U19" i="9" s="1"/>
  <c r="K350" i="4"/>
  <c r="J19" i="9" s="1"/>
  <c r="O350" i="4"/>
  <c r="N19" i="9" s="1"/>
  <c r="E350" i="4"/>
  <c r="D19" i="9" s="1"/>
  <c r="U350" i="4"/>
  <c r="T19" i="9" s="1"/>
  <c r="H350" i="4"/>
  <c r="G19" i="9" s="1"/>
  <c r="N350" i="4"/>
  <c r="M19" i="9" s="1"/>
  <c r="I350" i="4"/>
  <c r="H19" i="9" s="1"/>
  <c r="L350" i="4"/>
  <c r="K19" i="9" s="1"/>
  <c r="D350" i="4"/>
  <c r="G350" i="4"/>
  <c r="F19" i="9" s="1"/>
  <c r="P350" i="4"/>
  <c r="O19" i="9" s="1"/>
  <c r="S350" i="4"/>
  <c r="R19" i="9" s="1"/>
  <c r="Q350" i="4"/>
  <c r="P19" i="9" s="1"/>
  <c r="G379" i="4"/>
  <c r="F48" i="9" s="1"/>
  <c r="E379" i="4"/>
  <c r="D48" i="9" s="1"/>
  <c r="O379" i="4"/>
  <c r="N48" i="9" s="1"/>
  <c r="D379" i="4"/>
  <c r="R379" i="4"/>
  <c r="Q48" i="9" s="1"/>
  <c r="P379" i="4"/>
  <c r="O48" i="9" s="1"/>
  <c r="Q379" i="4"/>
  <c r="P48" i="9" s="1"/>
  <c r="T379" i="4"/>
  <c r="S48" i="9" s="1"/>
  <c r="I379" i="4"/>
  <c r="H48" i="9" s="1"/>
  <c r="S379" i="4"/>
  <c r="R48" i="9" s="1"/>
  <c r="L379" i="4"/>
  <c r="K48" i="9" s="1"/>
  <c r="K379" i="4"/>
  <c r="J48" i="9" s="1"/>
  <c r="H379" i="4"/>
  <c r="G48" i="9" s="1"/>
  <c r="W379" i="4"/>
  <c r="V48" i="9" s="1"/>
  <c r="V379" i="4"/>
  <c r="U48" i="9" s="1"/>
  <c r="M379" i="4"/>
  <c r="L48" i="9" s="1"/>
  <c r="U379" i="4"/>
  <c r="T48" i="9" s="1"/>
  <c r="N379" i="4"/>
  <c r="M48" i="9" s="1"/>
  <c r="J379" i="4"/>
  <c r="I48" i="9" s="1"/>
  <c r="F379" i="4"/>
  <c r="E48" i="9" s="1"/>
  <c r="Q377" i="4"/>
  <c r="P46" i="9" s="1"/>
  <c r="G377" i="4"/>
  <c r="F46" i="9" s="1"/>
  <c r="W377" i="4"/>
  <c r="V46" i="9" s="1"/>
  <c r="H377" i="4"/>
  <c r="G46" i="9" s="1"/>
  <c r="S377" i="4"/>
  <c r="R46" i="9" s="1"/>
  <c r="K377" i="4"/>
  <c r="J46" i="9" s="1"/>
  <c r="F377" i="4"/>
  <c r="E46" i="9" s="1"/>
  <c r="I377" i="4"/>
  <c r="H46" i="9" s="1"/>
  <c r="L377" i="4"/>
  <c r="K46" i="9" s="1"/>
  <c r="V377" i="4"/>
  <c r="U46" i="9" s="1"/>
  <c r="R377" i="4"/>
  <c r="Q46" i="9" s="1"/>
  <c r="D377" i="4"/>
  <c r="U377" i="4"/>
  <c r="T46" i="9" s="1"/>
  <c r="J377" i="4"/>
  <c r="I46" i="9" s="1"/>
  <c r="M377" i="4"/>
  <c r="L46" i="9" s="1"/>
  <c r="O377" i="4"/>
  <c r="N46" i="9" s="1"/>
  <c r="N377" i="4"/>
  <c r="M46" i="9" s="1"/>
  <c r="T377" i="4"/>
  <c r="S46" i="9" s="1"/>
  <c r="E377" i="4"/>
  <c r="D46" i="9" s="1"/>
  <c r="P377" i="4"/>
  <c r="O46" i="9" s="1"/>
  <c r="AS45" i="4"/>
  <c r="W43" i="4"/>
  <c r="AS79" i="4"/>
  <c r="BA45" i="4"/>
  <c r="X12" i="4"/>
  <c r="AU15" i="4"/>
  <c r="J243" i="4"/>
  <c r="M22" i="8" s="1"/>
  <c r="P243" i="4"/>
  <c r="S22" i="8" s="1"/>
  <c r="U243" i="4"/>
  <c r="X22" i="8" s="1"/>
  <c r="H243" i="4"/>
  <c r="K22" i="8" s="1"/>
  <c r="D243" i="4"/>
  <c r="J246" i="4"/>
  <c r="M25" i="8" s="1"/>
  <c r="H246" i="4"/>
  <c r="K25" i="8" s="1"/>
  <c r="I246" i="4"/>
  <c r="L25" i="8" s="1"/>
  <c r="L246" i="4"/>
  <c r="O25" i="8" s="1"/>
  <c r="W246" i="4"/>
  <c r="Z25" i="8" s="1"/>
  <c r="S246" i="4"/>
  <c r="V25" i="8" s="1"/>
  <c r="R246" i="4"/>
  <c r="U25" i="8" s="1"/>
  <c r="V246" i="4"/>
  <c r="Y25" i="8" s="1"/>
  <c r="F246" i="4"/>
  <c r="I25" i="8" s="1"/>
  <c r="U246" i="4"/>
  <c r="X25" i="8" s="1"/>
  <c r="Q246" i="4"/>
  <c r="T25" i="8" s="1"/>
  <c r="N246" i="4"/>
  <c r="Q25" i="8" s="1"/>
  <c r="T246" i="4"/>
  <c r="W25" i="8" s="1"/>
  <c r="K246" i="4"/>
  <c r="N25" i="8" s="1"/>
  <c r="P246" i="4"/>
  <c r="S25" i="8" s="1"/>
  <c r="O246" i="4"/>
  <c r="R25" i="8" s="1"/>
  <c r="G246" i="4"/>
  <c r="J25" i="8" s="1"/>
  <c r="D246" i="4"/>
  <c r="E246" i="4"/>
  <c r="H25" i="8" s="1"/>
  <c r="M246" i="4"/>
  <c r="P25" i="8" s="1"/>
  <c r="Q372" i="4"/>
  <c r="P41" i="9" s="1"/>
  <c r="I372" i="4"/>
  <c r="H41" i="9" s="1"/>
  <c r="O372" i="4"/>
  <c r="N41" i="9" s="1"/>
  <c r="J372" i="4"/>
  <c r="I41" i="9" s="1"/>
  <c r="H372" i="4"/>
  <c r="G41" i="9" s="1"/>
  <c r="W372" i="4"/>
  <c r="V41" i="9" s="1"/>
  <c r="S372" i="4"/>
  <c r="R41" i="9" s="1"/>
  <c r="R372" i="4"/>
  <c r="Q41" i="9" s="1"/>
  <c r="M372" i="4"/>
  <c r="L41" i="9" s="1"/>
  <c r="K372" i="4"/>
  <c r="J41" i="9" s="1"/>
  <c r="G372" i="4"/>
  <c r="F41" i="9" s="1"/>
  <c r="L372" i="4"/>
  <c r="K41" i="9" s="1"/>
  <c r="N372" i="4"/>
  <c r="M41" i="9" s="1"/>
  <c r="T372" i="4"/>
  <c r="S41" i="9" s="1"/>
  <c r="F372" i="4"/>
  <c r="E41" i="9" s="1"/>
  <c r="E372" i="4"/>
  <c r="D41" i="9" s="1"/>
  <c r="V372" i="4"/>
  <c r="U41" i="9" s="1"/>
  <c r="P372" i="4"/>
  <c r="O41" i="9" s="1"/>
  <c r="U372" i="4"/>
  <c r="T41" i="9" s="1"/>
  <c r="D372" i="4"/>
  <c r="H272" i="4"/>
  <c r="K51" i="8" s="1"/>
  <c r="T272" i="4"/>
  <c r="W51" i="8" s="1"/>
  <c r="P272" i="4"/>
  <c r="S51" i="8" s="1"/>
  <c r="W272" i="4"/>
  <c r="Z51" i="8" s="1"/>
  <c r="G272" i="4"/>
  <c r="J51" i="8" s="1"/>
  <c r="O272" i="4"/>
  <c r="R51" i="8" s="1"/>
  <c r="N272" i="4"/>
  <c r="Q51" i="8" s="1"/>
  <c r="K272" i="4"/>
  <c r="N51" i="8" s="1"/>
  <c r="U272" i="4"/>
  <c r="X51" i="8" s="1"/>
  <c r="I272" i="4"/>
  <c r="L51" i="8" s="1"/>
  <c r="E272" i="4"/>
  <c r="H51" i="8" s="1"/>
  <c r="J272" i="4"/>
  <c r="M51" i="8" s="1"/>
  <c r="V272" i="4"/>
  <c r="Y51" i="8" s="1"/>
  <c r="S272" i="4"/>
  <c r="V51" i="8" s="1"/>
  <c r="Q272" i="4"/>
  <c r="T51" i="8" s="1"/>
  <c r="M272" i="4"/>
  <c r="P51" i="8" s="1"/>
  <c r="L272" i="4"/>
  <c r="O51" i="8" s="1"/>
  <c r="F272" i="4"/>
  <c r="I51" i="8" s="1"/>
  <c r="D272" i="4"/>
  <c r="R272" i="4"/>
  <c r="U51" i="8" s="1"/>
  <c r="AB236" i="4"/>
  <c r="AB251" i="4"/>
  <c r="AQ251" i="4"/>
  <c r="AT45" i="4"/>
  <c r="W373" i="4"/>
  <c r="V42" i="9" s="1"/>
  <c r="P373" i="4"/>
  <c r="O42" i="9" s="1"/>
  <c r="N373" i="4"/>
  <c r="M42" i="9" s="1"/>
  <c r="F373" i="4"/>
  <c r="E42" i="9" s="1"/>
  <c r="J373" i="4"/>
  <c r="I42" i="9" s="1"/>
  <c r="V373" i="4"/>
  <c r="U42" i="9" s="1"/>
  <c r="O373" i="4"/>
  <c r="N42" i="9" s="1"/>
  <c r="H373" i="4"/>
  <c r="G42" i="9" s="1"/>
  <c r="I373" i="4"/>
  <c r="H42" i="9" s="1"/>
  <c r="D373" i="4"/>
  <c r="T373" i="4"/>
  <c r="S42" i="9" s="1"/>
  <c r="Q373" i="4"/>
  <c r="P42" i="9" s="1"/>
  <c r="R373" i="4"/>
  <c r="Q42" i="9" s="1"/>
  <c r="U373" i="4"/>
  <c r="T42" i="9" s="1"/>
  <c r="M373" i="4"/>
  <c r="L42" i="9" s="1"/>
  <c r="K373" i="4"/>
  <c r="J42" i="9" s="1"/>
  <c r="G373" i="4"/>
  <c r="F42" i="9" s="1"/>
  <c r="L373" i="4"/>
  <c r="K42" i="9" s="1"/>
  <c r="S373" i="4"/>
  <c r="R42" i="9" s="1"/>
  <c r="E373" i="4"/>
  <c r="D42" i="9" s="1"/>
  <c r="G259" i="4"/>
  <c r="J38" i="8" s="1"/>
  <c r="U259" i="4"/>
  <c r="X38" i="8" s="1"/>
  <c r="E259" i="4"/>
  <c r="H38" i="8" s="1"/>
  <c r="V259" i="4"/>
  <c r="Y38" i="8" s="1"/>
  <c r="R259" i="4"/>
  <c r="U38" i="8" s="1"/>
  <c r="D259" i="4"/>
  <c r="J259" i="4"/>
  <c r="M38" i="8" s="1"/>
  <c r="W259" i="4"/>
  <c r="Z38" i="8" s="1"/>
  <c r="L259" i="4"/>
  <c r="O38" i="8" s="1"/>
  <c r="M259" i="4"/>
  <c r="P38" i="8" s="1"/>
  <c r="Q259" i="4"/>
  <c r="T38" i="8" s="1"/>
  <c r="K259" i="4"/>
  <c r="N38" i="8" s="1"/>
  <c r="P259" i="4"/>
  <c r="S38" i="8" s="1"/>
  <c r="F259" i="4"/>
  <c r="I38" i="8" s="1"/>
  <c r="I259" i="4"/>
  <c r="L38" i="8" s="1"/>
  <c r="T259" i="4"/>
  <c r="W38" i="8" s="1"/>
  <c r="H259" i="4"/>
  <c r="K38" i="8" s="1"/>
  <c r="O259" i="4"/>
  <c r="R38" i="8" s="1"/>
  <c r="N259" i="4"/>
  <c r="Q38" i="8" s="1"/>
  <c r="AR236" i="4"/>
  <c r="AD251" i="4"/>
  <c r="AC251" i="4"/>
  <c r="J367" i="4"/>
  <c r="I36" i="9" s="1"/>
  <c r="N367" i="4"/>
  <c r="M36" i="9" s="1"/>
  <c r="H367" i="4"/>
  <c r="G36" i="9" s="1"/>
  <c r="G367" i="4"/>
  <c r="F36" i="9" s="1"/>
  <c r="U367" i="4"/>
  <c r="T36" i="9" s="1"/>
  <c r="W367" i="4"/>
  <c r="V36" i="9" s="1"/>
  <c r="K367" i="4"/>
  <c r="J36" i="9" s="1"/>
  <c r="Q367" i="4"/>
  <c r="P36" i="9" s="1"/>
  <c r="P367" i="4"/>
  <c r="O36" i="9" s="1"/>
  <c r="M367" i="4"/>
  <c r="L36" i="9" s="1"/>
  <c r="R367" i="4"/>
  <c r="Q36" i="9" s="1"/>
  <c r="D367" i="4"/>
  <c r="S367" i="4"/>
  <c r="R36" i="9" s="1"/>
  <c r="F367" i="4"/>
  <c r="E36" i="9" s="1"/>
  <c r="L367" i="4"/>
  <c r="K36" i="9" s="1"/>
  <c r="E367" i="4"/>
  <c r="D36" i="9" s="1"/>
  <c r="I367" i="4"/>
  <c r="H36" i="9" s="1"/>
  <c r="O367" i="4"/>
  <c r="N36" i="9" s="1"/>
  <c r="V367" i="4"/>
  <c r="U36" i="9" s="1"/>
  <c r="T367" i="4"/>
  <c r="S36" i="9" s="1"/>
  <c r="AY45" i="4"/>
  <c r="AR45" i="4"/>
  <c r="D241" i="4"/>
  <c r="R241" i="4"/>
  <c r="U20" i="8" s="1"/>
  <c r="W241" i="4"/>
  <c r="Z20" i="8" s="1"/>
  <c r="T241" i="4"/>
  <c r="W20" i="8" s="1"/>
  <c r="I241" i="4"/>
  <c r="L20" i="8" s="1"/>
  <c r="E241" i="4"/>
  <c r="H20" i="8" s="1"/>
  <c r="O241" i="4"/>
  <c r="R20" i="8" s="1"/>
  <c r="K241" i="4"/>
  <c r="N20" i="8" s="1"/>
  <c r="N241" i="4"/>
  <c r="Q20" i="8" s="1"/>
  <c r="H241" i="4"/>
  <c r="K20" i="8" s="1"/>
  <c r="U241" i="4"/>
  <c r="X20" i="8" s="1"/>
  <c r="G241" i="4"/>
  <c r="J20" i="8" s="1"/>
  <c r="P241" i="4"/>
  <c r="S20" i="8" s="1"/>
  <c r="F241" i="4"/>
  <c r="I20" i="8" s="1"/>
  <c r="J241" i="4"/>
  <c r="M20" i="8" s="1"/>
  <c r="S241" i="4"/>
  <c r="V20" i="8" s="1"/>
  <c r="M241" i="4"/>
  <c r="P20" i="8" s="1"/>
  <c r="L241" i="4"/>
  <c r="O20" i="8" s="1"/>
  <c r="Q241" i="4"/>
  <c r="T20" i="8" s="1"/>
  <c r="O352" i="4"/>
  <c r="N21" i="9" s="1"/>
  <c r="Q352" i="4"/>
  <c r="P21" i="9" s="1"/>
  <c r="K352" i="4"/>
  <c r="J21" i="9" s="1"/>
  <c r="N352" i="4"/>
  <c r="M21" i="9" s="1"/>
  <c r="P352" i="4"/>
  <c r="O21" i="9" s="1"/>
  <c r="R352" i="4"/>
  <c r="Q21" i="9" s="1"/>
  <c r="E352" i="4"/>
  <c r="D21" i="9" s="1"/>
  <c r="G352" i="4"/>
  <c r="F21" i="9" s="1"/>
  <c r="L352" i="4"/>
  <c r="K21" i="9" s="1"/>
  <c r="U352" i="4"/>
  <c r="T21" i="9" s="1"/>
  <c r="W352" i="4"/>
  <c r="V21" i="9" s="1"/>
  <c r="H352" i="4"/>
  <c r="G21" i="9" s="1"/>
  <c r="D352" i="4"/>
  <c r="T352" i="4"/>
  <c r="S21" i="9" s="1"/>
  <c r="M352" i="4"/>
  <c r="L21" i="9" s="1"/>
  <c r="S352" i="4"/>
  <c r="R21" i="9" s="1"/>
  <c r="J352" i="4"/>
  <c r="I21" i="9" s="1"/>
  <c r="V352" i="4"/>
  <c r="U21" i="9" s="1"/>
  <c r="I352" i="4"/>
  <c r="H21" i="9" s="1"/>
  <c r="F352" i="4"/>
  <c r="E21" i="9" s="1"/>
  <c r="L345" i="4"/>
  <c r="K14" i="9" s="1"/>
  <c r="R345" i="4"/>
  <c r="Q14" i="9" s="1"/>
  <c r="F345" i="4"/>
  <c r="E14" i="9" s="1"/>
  <c r="E345" i="4"/>
  <c r="D14" i="9" s="1"/>
  <c r="K345" i="4"/>
  <c r="J14" i="9" s="1"/>
  <c r="U345" i="4"/>
  <c r="T14" i="9" s="1"/>
  <c r="V345" i="4"/>
  <c r="U14" i="9" s="1"/>
  <c r="P345" i="4"/>
  <c r="O14" i="9" s="1"/>
  <c r="I345" i="4"/>
  <c r="H14" i="9" s="1"/>
  <c r="M345" i="4"/>
  <c r="L14" i="9" s="1"/>
  <c r="N345" i="4"/>
  <c r="M14" i="9" s="1"/>
  <c r="J345" i="4"/>
  <c r="I14" i="9" s="1"/>
  <c r="Q345" i="4"/>
  <c r="P14" i="9" s="1"/>
  <c r="O345" i="4"/>
  <c r="N14" i="9" s="1"/>
  <c r="D345" i="4"/>
  <c r="G345" i="4"/>
  <c r="F14" i="9" s="1"/>
  <c r="S345" i="4"/>
  <c r="R14" i="9" s="1"/>
  <c r="H345" i="4"/>
  <c r="G14" i="9" s="1"/>
  <c r="W345" i="4"/>
  <c r="V14" i="9" s="1"/>
  <c r="T345" i="4"/>
  <c r="S14" i="9" s="1"/>
  <c r="T369" i="4"/>
  <c r="S38" i="9" s="1"/>
  <c r="I369" i="4"/>
  <c r="H38" i="9" s="1"/>
  <c r="R369" i="4"/>
  <c r="Q38" i="9" s="1"/>
  <c r="M369" i="4"/>
  <c r="L38" i="9" s="1"/>
  <c r="H369" i="4"/>
  <c r="G38" i="9" s="1"/>
  <c r="F369" i="4"/>
  <c r="E38" i="9" s="1"/>
  <c r="L369" i="4"/>
  <c r="K38" i="9" s="1"/>
  <c r="N369" i="4"/>
  <c r="M38" i="9" s="1"/>
  <c r="V369" i="4"/>
  <c r="U38" i="9" s="1"/>
  <c r="G369" i="4"/>
  <c r="F38" i="9" s="1"/>
  <c r="E369" i="4"/>
  <c r="D38" i="9" s="1"/>
  <c r="W369" i="4"/>
  <c r="V38" i="9" s="1"/>
  <c r="U369" i="4"/>
  <c r="T38" i="9" s="1"/>
  <c r="O369" i="4"/>
  <c r="N38" i="9" s="1"/>
  <c r="P369" i="4"/>
  <c r="O38" i="9" s="1"/>
  <c r="Q369" i="4"/>
  <c r="P38" i="9" s="1"/>
  <c r="S369" i="4"/>
  <c r="R38" i="9" s="1"/>
  <c r="D369" i="4"/>
  <c r="J369" i="4"/>
  <c r="I38" i="9" s="1"/>
  <c r="K369" i="4"/>
  <c r="J38" i="9" s="1"/>
  <c r="AE236" i="4"/>
  <c r="S280" i="4"/>
  <c r="V59" i="8" s="1"/>
  <c r="V280" i="4"/>
  <c r="Y59" i="8" s="1"/>
  <c r="J280" i="4"/>
  <c r="M59" i="8" s="1"/>
  <c r="G280" i="4"/>
  <c r="J59" i="8" s="1"/>
  <c r="K280" i="4"/>
  <c r="N59" i="8" s="1"/>
  <c r="T280" i="4"/>
  <c r="W59" i="8" s="1"/>
  <c r="F280" i="4"/>
  <c r="I59" i="8" s="1"/>
  <c r="W280" i="4"/>
  <c r="Z59" i="8" s="1"/>
  <c r="E280" i="4"/>
  <c r="H59" i="8" s="1"/>
  <c r="O280" i="4"/>
  <c r="R59" i="8" s="1"/>
  <c r="N280" i="4"/>
  <c r="Q59" i="8" s="1"/>
  <c r="I280" i="4"/>
  <c r="L59" i="8" s="1"/>
  <c r="U280" i="4"/>
  <c r="X59" i="8" s="1"/>
  <c r="R280" i="4"/>
  <c r="U59" i="8" s="1"/>
  <c r="D280" i="4"/>
  <c r="P280" i="4"/>
  <c r="S59" i="8" s="1"/>
  <c r="Q280" i="4"/>
  <c r="T59" i="8" s="1"/>
  <c r="M280" i="4"/>
  <c r="P59" i="8" s="1"/>
  <c r="L280" i="4"/>
  <c r="O59" i="8" s="1"/>
  <c r="H280" i="4"/>
  <c r="K59" i="8" s="1"/>
  <c r="AG251" i="4"/>
  <c r="AS251" i="4"/>
  <c r="F267" i="4"/>
  <c r="I46" i="8" s="1"/>
  <c r="I267" i="4"/>
  <c r="L46" i="8" s="1"/>
  <c r="V267" i="4"/>
  <c r="Y46" i="8" s="1"/>
  <c r="K267" i="4"/>
  <c r="N46" i="8" s="1"/>
  <c r="S267" i="4"/>
  <c r="V46" i="8" s="1"/>
  <c r="R267" i="4"/>
  <c r="U46" i="8" s="1"/>
  <c r="J267" i="4"/>
  <c r="M46" i="8" s="1"/>
  <c r="O267" i="4"/>
  <c r="R46" i="8" s="1"/>
  <c r="T267" i="4"/>
  <c r="W46" i="8" s="1"/>
  <c r="M267" i="4"/>
  <c r="P46" i="8" s="1"/>
  <c r="H267" i="4"/>
  <c r="K46" i="8" s="1"/>
  <c r="G267" i="4"/>
  <c r="J46" i="8" s="1"/>
  <c r="L267" i="4"/>
  <c r="O46" i="8" s="1"/>
  <c r="D267" i="4"/>
  <c r="W267" i="4"/>
  <c r="Z46" i="8" s="1"/>
  <c r="U267" i="4"/>
  <c r="X46" i="8" s="1"/>
  <c r="Q267" i="4"/>
  <c r="T46" i="8" s="1"/>
  <c r="P267" i="4"/>
  <c r="S46" i="8" s="1"/>
  <c r="N267" i="4"/>
  <c r="Q46" i="8" s="1"/>
  <c r="M284" i="4"/>
  <c r="P63" i="8" s="1"/>
  <c r="I284" i="4"/>
  <c r="L63" i="8" s="1"/>
  <c r="Q284" i="4"/>
  <c r="T63" i="8" s="1"/>
  <c r="F284" i="4"/>
  <c r="I63" i="8" s="1"/>
  <c r="L284" i="4"/>
  <c r="O63" i="8" s="1"/>
  <c r="R284" i="4"/>
  <c r="U63" i="8" s="1"/>
  <c r="E284" i="4"/>
  <c r="H63" i="8" s="1"/>
  <c r="H284" i="4"/>
  <c r="K63" i="8" s="1"/>
  <c r="P284" i="4"/>
  <c r="S63" i="8" s="1"/>
  <c r="U284" i="4"/>
  <c r="X63" i="8" s="1"/>
  <c r="T284" i="4"/>
  <c r="W63" i="8" s="1"/>
  <c r="D284" i="4"/>
  <c r="S284" i="4"/>
  <c r="V63" i="8" s="1"/>
  <c r="J284" i="4"/>
  <c r="M63" i="8" s="1"/>
  <c r="W284" i="4"/>
  <c r="Z63" i="8" s="1"/>
  <c r="G284" i="4"/>
  <c r="J63" i="8" s="1"/>
  <c r="V284" i="4"/>
  <c r="Y63" i="8" s="1"/>
  <c r="O284" i="4"/>
  <c r="R63" i="8" s="1"/>
  <c r="N284" i="4"/>
  <c r="Q63" i="8" s="1"/>
  <c r="K284" i="4"/>
  <c r="N63" i="8" s="1"/>
  <c r="S253" i="4"/>
  <c r="V32" i="8" s="1"/>
  <c r="J253" i="4"/>
  <c r="M32" i="8" s="1"/>
  <c r="V253" i="4"/>
  <c r="Y32" i="8" s="1"/>
  <c r="Q253" i="4"/>
  <c r="T32" i="8" s="1"/>
  <c r="U253" i="4"/>
  <c r="X32" i="8" s="1"/>
  <c r="R253" i="4"/>
  <c r="U32" i="8" s="1"/>
  <c r="O253" i="4"/>
  <c r="R32" i="8" s="1"/>
  <c r="M253" i="4"/>
  <c r="P32" i="8" s="1"/>
  <c r="N253" i="4"/>
  <c r="Q32" i="8" s="1"/>
  <c r="L253" i="4"/>
  <c r="O32" i="8" s="1"/>
  <c r="K253" i="4"/>
  <c r="N32" i="8" s="1"/>
  <c r="H253" i="4"/>
  <c r="K32" i="8" s="1"/>
  <c r="F253" i="4"/>
  <c r="I32" i="8" s="1"/>
  <c r="E253" i="4"/>
  <c r="H32" i="8" s="1"/>
  <c r="I253" i="4"/>
  <c r="L32" i="8" s="1"/>
  <c r="W253" i="4"/>
  <c r="Z32" i="8" s="1"/>
  <c r="G253" i="4"/>
  <c r="J32" i="8" s="1"/>
  <c r="D253" i="4"/>
  <c r="T253" i="4"/>
  <c r="W32" i="8" s="1"/>
  <c r="P253" i="4"/>
  <c r="S32" i="8" s="1"/>
  <c r="V241" i="4"/>
  <c r="Y20" i="8" s="1"/>
  <c r="J365" i="4"/>
  <c r="I34" i="9" s="1"/>
  <c r="I365" i="4"/>
  <c r="H34" i="9" s="1"/>
  <c r="R365" i="4"/>
  <c r="Q34" i="9" s="1"/>
  <c r="K365" i="4"/>
  <c r="J34" i="9" s="1"/>
  <c r="M365" i="4"/>
  <c r="L34" i="9" s="1"/>
  <c r="G365" i="4"/>
  <c r="F34" i="9" s="1"/>
  <c r="S365" i="4"/>
  <c r="R34" i="9" s="1"/>
  <c r="O365" i="4"/>
  <c r="N34" i="9" s="1"/>
  <c r="D365" i="4"/>
  <c r="T365" i="4"/>
  <c r="S34" i="9" s="1"/>
  <c r="E365" i="4"/>
  <c r="D34" i="9" s="1"/>
  <c r="U365" i="4"/>
  <c r="T34" i="9" s="1"/>
  <c r="F365" i="4"/>
  <c r="E34" i="9" s="1"/>
  <c r="H365" i="4"/>
  <c r="G34" i="9" s="1"/>
  <c r="N365" i="4"/>
  <c r="M34" i="9" s="1"/>
  <c r="W365" i="4"/>
  <c r="V34" i="9" s="1"/>
  <c r="Q365" i="4"/>
  <c r="P34" i="9" s="1"/>
  <c r="V365" i="4"/>
  <c r="U34" i="9" s="1"/>
  <c r="L365" i="4"/>
  <c r="K34" i="9" s="1"/>
  <c r="P365" i="4"/>
  <c r="O34" i="9" s="1"/>
  <c r="J278" i="4"/>
  <c r="M57" i="8" s="1"/>
  <c r="AG236" i="4"/>
  <c r="Q237" i="4"/>
  <c r="T16" i="8" s="1"/>
  <c r="L237" i="4"/>
  <c r="O16" i="8" s="1"/>
  <c r="V237" i="4"/>
  <c r="Y16" i="8" s="1"/>
  <c r="P237" i="4"/>
  <c r="S16" i="8" s="1"/>
  <c r="S237" i="4"/>
  <c r="V16" i="8" s="1"/>
  <c r="I237" i="4"/>
  <c r="L16" i="8" s="1"/>
  <c r="D237" i="4"/>
  <c r="F237" i="4"/>
  <c r="I16" i="8" s="1"/>
  <c r="R237" i="4"/>
  <c r="U16" i="8" s="1"/>
  <c r="K237" i="4"/>
  <c r="N16" i="8" s="1"/>
  <c r="N237" i="4"/>
  <c r="Q16" i="8" s="1"/>
  <c r="U237" i="4"/>
  <c r="X16" i="8" s="1"/>
  <c r="E237" i="4"/>
  <c r="H16" i="8" s="1"/>
  <c r="J237" i="4"/>
  <c r="M16" i="8" s="1"/>
  <c r="O237" i="4"/>
  <c r="R16" i="8" s="1"/>
  <c r="W237" i="4"/>
  <c r="Z16" i="8" s="1"/>
  <c r="G237" i="4"/>
  <c r="J16" i="8" s="1"/>
  <c r="H237" i="4"/>
  <c r="K16" i="8" s="1"/>
  <c r="T237" i="4"/>
  <c r="W16" i="8" s="1"/>
  <c r="N433" i="4"/>
  <c r="M102" i="9" s="1"/>
  <c r="E433" i="4"/>
  <c r="D102" i="9" s="1"/>
  <c r="M433" i="4"/>
  <c r="L102" i="9" s="1"/>
  <c r="U433" i="4"/>
  <c r="T102" i="9" s="1"/>
  <c r="Q433" i="4"/>
  <c r="P102" i="9" s="1"/>
  <c r="G433" i="4"/>
  <c r="F102" i="9" s="1"/>
  <c r="R433" i="4"/>
  <c r="Q102" i="9" s="1"/>
  <c r="S433" i="4"/>
  <c r="R102" i="9" s="1"/>
  <c r="F433" i="4"/>
  <c r="E102" i="9" s="1"/>
  <c r="W433" i="4"/>
  <c r="V102" i="9" s="1"/>
  <c r="O433" i="4"/>
  <c r="N102" i="9" s="1"/>
  <c r="V433" i="4"/>
  <c r="U102" i="9" s="1"/>
  <c r="K433" i="4"/>
  <c r="J102" i="9" s="1"/>
  <c r="D433" i="4"/>
  <c r="J433" i="4"/>
  <c r="I102" i="9" s="1"/>
  <c r="I433" i="4"/>
  <c r="H102" i="9" s="1"/>
  <c r="H433" i="4"/>
  <c r="G102" i="9" s="1"/>
  <c r="T433" i="4"/>
  <c r="S102" i="9" s="1"/>
  <c r="L433" i="4"/>
  <c r="K102" i="9" s="1"/>
  <c r="P433" i="4"/>
  <c r="O102" i="9" s="1"/>
  <c r="W273" i="4"/>
  <c r="Z52" i="8" s="1"/>
  <c r="G273" i="4"/>
  <c r="J52" i="8" s="1"/>
  <c r="V273" i="4"/>
  <c r="Y52" i="8" s="1"/>
  <c r="R273" i="4"/>
  <c r="U52" i="8" s="1"/>
  <c r="T273" i="4"/>
  <c r="W52" i="8" s="1"/>
  <c r="Q273" i="4"/>
  <c r="T52" i="8" s="1"/>
  <c r="M273" i="4"/>
  <c r="P52" i="8" s="1"/>
  <c r="I273" i="4"/>
  <c r="L52" i="8" s="1"/>
  <c r="S273" i="4"/>
  <c r="V52" i="8" s="1"/>
  <c r="J273" i="4"/>
  <c r="M52" i="8" s="1"/>
  <c r="E273" i="4"/>
  <c r="H52" i="8" s="1"/>
  <c r="O273" i="4"/>
  <c r="R52" i="8" s="1"/>
  <c r="L273" i="4"/>
  <c r="O52" i="8" s="1"/>
  <c r="D273" i="4"/>
  <c r="N273" i="4"/>
  <c r="Q52" i="8" s="1"/>
  <c r="P273" i="4"/>
  <c r="S52" i="8" s="1"/>
  <c r="H273" i="4"/>
  <c r="K52" i="8" s="1"/>
  <c r="K273" i="4"/>
  <c r="N52" i="8" s="1"/>
  <c r="F273" i="4"/>
  <c r="I52" i="8" s="1"/>
  <c r="U273" i="4"/>
  <c r="X52" i="8" s="1"/>
  <c r="F278" i="4"/>
  <c r="I57" i="8" s="1"/>
  <c r="N278" i="4"/>
  <c r="Q57" i="8" s="1"/>
  <c r="U278" i="4"/>
  <c r="X57" i="8" s="1"/>
  <c r="L278" i="4"/>
  <c r="O57" i="8" s="1"/>
  <c r="K278" i="4"/>
  <c r="N57" i="8" s="1"/>
  <c r="I278" i="4"/>
  <c r="L57" i="8" s="1"/>
  <c r="W278" i="4"/>
  <c r="Z57" i="8" s="1"/>
  <c r="O278" i="4"/>
  <c r="R57" i="8" s="1"/>
  <c r="G278" i="4"/>
  <c r="J57" i="8" s="1"/>
  <c r="V278" i="4"/>
  <c r="Y57" i="8" s="1"/>
  <c r="S278" i="4"/>
  <c r="V57" i="8" s="1"/>
  <c r="Q278" i="4"/>
  <c r="T57" i="8" s="1"/>
  <c r="T278" i="4"/>
  <c r="W57" i="8" s="1"/>
  <c r="H278" i="4"/>
  <c r="K57" i="8" s="1"/>
  <c r="E278" i="4"/>
  <c r="H57" i="8" s="1"/>
  <c r="P278" i="4"/>
  <c r="S57" i="8" s="1"/>
  <c r="R278" i="4"/>
  <c r="U57" i="8" s="1"/>
  <c r="M278" i="4"/>
  <c r="P57" i="8" s="1"/>
  <c r="D278" i="4"/>
  <c r="S366" i="4"/>
  <c r="R35" i="9" s="1"/>
  <c r="W366" i="4"/>
  <c r="V35" i="9" s="1"/>
  <c r="Q366" i="4"/>
  <c r="P35" i="9" s="1"/>
  <c r="P366" i="4"/>
  <c r="O35" i="9" s="1"/>
  <c r="R366" i="4"/>
  <c r="Q35" i="9" s="1"/>
  <c r="D366" i="4"/>
  <c r="T366" i="4"/>
  <c r="S35" i="9" s="1"/>
  <c r="J366" i="4"/>
  <c r="I35" i="9" s="1"/>
  <c r="M366" i="4"/>
  <c r="L35" i="9" s="1"/>
  <c r="F366" i="4"/>
  <c r="E35" i="9" s="1"/>
  <c r="V366" i="4"/>
  <c r="U35" i="9" s="1"/>
  <c r="K366" i="4"/>
  <c r="J35" i="9" s="1"/>
  <c r="L366" i="4"/>
  <c r="K35" i="9" s="1"/>
  <c r="O366" i="4"/>
  <c r="N35" i="9" s="1"/>
  <c r="E366" i="4"/>
  <c r="D35" i="9" s="1"/>
  <c r="H366" i="4"/>
  <c r="G35" i="9" s="1"/>
  <c r="G366" i="4"/>
  <c r="F35" i="9" s="1"/>
  <c r="U366" i="4"/>
  <c r="T35" i="9" s="1"/>
  <c r="I366" i="4"/>
  <c r="H35" i="9" s="1"/>
  <c r="N366" i="4"/>
  <c r="M35" i="9" s="1"/>
  <c r="Q235" i="4"/>
  <c r="T14" i="8" s="1"/>
  <c r="W235" i="4"/>
  <c r="Z14" i="8" s="1"/>
  <c r="N235" i="4"/>
  <c r="Q14" i="8" s="1"/>
  <c r="M235" i="4"/>
  <c r="P14" i="8" s="1"/>
  <c r="I235" i="4"/>
  <c r="L14" i="8" s="1"/>
  <c r="F235" i="4"/>
  <c r="I14" i="8" s="1"/>
  <c r="T235" i="4"/>
  <c r="W14" i="8" s="1"/>
  <c r="E235" i="4"/>
  <c r="H14" i="8" s="1"/>
  <c r="H235" i="4"/>
  <c r="K14" i="8" s="1"/>
  <c r="O235" i="4"/>
  <c r="R14" i="8" s="1"/>
  <c r="L235" i="4"/>
  <c r="O14" i="8" s="1"/>
  <c r="V235" i="4"/>
  <c r="Y14" i="8" s="1"/>
  <c r="G235" i="4"/>
  <c r="J14" i="8" s="1"/>
  <c r="R235" i="4"/>
  <c r="U14" i="8" s="1"/>
  <c r="K235" i="4"/>
  <c r="N14" i="8" s="1"/>
  <c r="D235" i="4"/>
  <c r="U235" i="4"/>
  <c r="X14" i="8" s="1"/>
  <c r="S235" i="4"/>
  <c r="V14" i="8" s="1"/>
  <c r="J235" i="4"/>
  <c r="M14" i="8" s="1"/>
  <c r="R341" i="4"/>
  <c r="Q10" i="9" s="1"/>
  <c r="D341" i="4"/>
  <c r="T341" i="4"/>
  <c r="S10" i="9" s="1"/>
  <c r="U341" i="4"/>
  <c r="T10" i="9" s="1"/>
  <c r="H341" i="4"/>
  <c r="G10" i="9" s="1"/>
  <c r="S341" i="4"/>
  <c r="R10" i="9" s="1"/>
  <c r="E341" i="4"/>
  <c r="D10" i="9" s="1"/>
  <c r="G341" i="4"/>
  <c r="F10" i="9" s="1"/>
  <c r="K341" i="4"/>
  <c r="J10" i="9" s="1"/>
  <c r="N341" i="4"/>
  <c r="M10" i="9" s="1"/>
  <c r="W341" i="4"/>
  <c r="V10" i="9" s="1"/>
  <c r="M341" i="4"/>
  <c r="L10" i="9" s="1"/>
  <c r="O341" i="4"/>
  <c r="N10" i="9" s="1"/>
  <c r="L341" i="4"/>
  <c r="K10" i="9" s="1"/>
  <c r="F341" i="4"/>
  <c r="E10" i="9" s="1"/>
  <c r="Q341" i="4"/>
  <c r="P10" i="9" s="1"/>
  <c r="J341" i="4"/>
  <c r="I10" i="9" s="1"/>
  <c r="V341" i="4"/>
  <c r="U10" i="9" s="1"/>
  <c r="I341" i="4"/>
  <c r="H10" i="9" s="1"/>
  <c r="P341" i="4"/>
  <c r="O10" i="9" s="1"/>
  <c r="AI236" i="4"/>
  <c r="AJ251" i="4"/>
  <c r="E267" i="4"/>
  <c r="H46" i="8" s="1"/>
  <c r="AC12" i="4"/>
  <c r="F243" i="4"/>
  <c r="I22" i="8" s="1"/>
  <c r="H271" i="4"/>
  <c r="K50" i="8" s="1"/>
  <c r="G271" i="4"/>
  <c r="J50" i="8" s="1"/>
  <c r="K271" i="4"/>
  <c r="N50" i="8" s="1"/>
  <c r="J271" i="4"/>
  <c r="M50" i="8" s="1"/>
  <c r="S271" i="4"/>
  <c r="V50" i="8" s="1"/>
  <c r="Q271" i="4"/>
  <c r="T50" i="8" s="1"/>
  <c r="R271" i="4"/>
  <c r="U50" i="8" s="1"/>
  <c r="N271" i="4"/>
  <c r="Q50" i="8" s="1"/>
  <c r="M271" i="4"/>
  <c r="P50" i="8" s="1"/>
  <c r="P271" i="4"/>
  <c r="S50" i="8" s="1"/>
  <c r="E271" i="4"/>
  <c r="H50" i="8" s="1"/>
  <c r="V271" i="4"/>
  <c r="Y50" i="8" s="1"/>
  <c r="U271" i="4"/>
  <c r="X50" i="8" s="1"/>
  <c r="L271" i="4"/>
  <c r="O50" i="8" s="1"/>
  <c r="F271" i="4"/>
  <c r="I50" i="8" s="1"/>
  <c r="W271" i="4"/>
  <c r="Z50" i="8" s="1"/>
  <c r="D271" i="4"/>
  <c r="T271" i="4"/>
  <c r="W50" i="8" s="1"/>
  <c r="O271" i="4"/>
  <c r="R50" i="8" s="1"/>
  <c r="L383" i="4"/>
  <c r="K52" i="9" s="1"/>
  <c r="V383" i="4"/>
  <c r="U52" i="9" s="1"/>
  <c r="P383" i="4"/>
  <c r="O52" i="9" s="1"/>
  <c r="M383" i="4"/>
  <c r="L52" i="9" s="1"/>
  <c r="R383" i="4"/>
  <c r="Q52" i="9" s="1"/>
  <c r="S383" i="4"/>
  <c r="R52" i="9" s="1"/>
  <c r="G383" i="4"/>
  <c r="F52" i="9" s="1"/>
  <c r="W383" i="4"/>
  <c r="V52" i="9" s="1"/>
  <c r="T383" i="4"/>
  <c r="S52" i="9" s="1"/>
  <c r="O383" i="4"/>
  <c r="N52" i="9" s="1"/>
  <c r="Q383" i="4"/>
  <c r="P52" i="9" s="1"/>
  <c r="E383" i="4"/>
  <c r="D52" i="9" s="1"/>
  <c r="H383" i="4"/>
  <c r="G52" i="9" s="1"/>
  <c r="U383" i="4"/>
  <c r="T52" i="9" s="1"/>
  <c r="N383" i="4"/>
  <c r="M52" i="9" s="1"/>
  <c r="F383" i="4"/>
  <c r="E52" i="9" s="1"/>
  <c r="I383" i="4"/>
  <c r="H52" i="9" s="1"/>
  <c r="J383" i="4"/>
  <c r="I52" i="9" s="1"/>
  <c r="D383" i="4"/>
  <c r="K383" i="4"/>
  <c r="J52" i="9" s="1"/>
  <c r="S242" i="4"/>
  <c r="V21" i="8" s="1"/>
  <c r="G242" i="4"/>
  <c r="J21" i="8" s="1"/>
  <c r="P242" i="4"/>
  <c r="S21" i="8" s="1"/>
  <c r="H242" i="4"/>
  <c r="K21" i="8" s="1"/>
  <c r="J242" i="4"/>
  <c r="M21" i="8" s="1"/>
  <c r="D242" i="4"/>
  <c r="U242" i="4"/>
  <c r="X21" i="8" s="1"/>
  <c r="M242" i="4"/>
  <c r="P21" i="8" s="1"/>
  <c r="R242" i="4"/>
  <c r="U21" i="8" s="1"/>
  <c r="F242" i="4"/>
  <c r="I21" i="8" s="1"/>
  <c r="T242" i="4"/>
  <c r="W21" i="8" s="1"/>
  <c r="N242" i="4"/>
  <c r="Q21" i="8" s="1"/>
  <c r="I242" i="4"/>
  <c r="L21" i="8" s="1"/>
  <c r="L242" i="4"/>
  <c r="O21" i="8" s="1"/>
  <c r="K242" i="4"/>
  <c r="N21" i="8" s="1"/>
  <c r="W242" i="4"/>
  <c r="Z21" i="8" s="1"/>
  <c r="Q242" i="4"/>
  <c r="T21" i="8" s="1"/>
  <c r="O242" i="4"/>
  <c r="R21" i="8" s="1"/>
  <c r="V242" i="4"/>
  <c r="Y21" i="8" s="1"/>
  <c r="AJ236" i="4"/>
  <c r="F262" i="4"/>
  <c r="I41" i="8" s="1"/>
  <c r="K262" i="4"/>
  <c r="N41" i="8" s="1"/>
  <c r="I262" i="4"/>
  <c r="L41" i="8" s="1"/>
  <c r="L262" i="4"/>
  <c r="O41" i="8" s="1"/>
  <c r="J262" i="4"/>
  <c r="M41" i="8" s="1"/>
  <c r="U262" i="4"/>
  <c r="X41" i="8" s="1"/>
  <c r="G262" i="4"/>
  <c r="J41" i="8" s="1"/>
  <c r="E262" i="4"/>
  <c r="H41" i="8" s="1"/>
  <c r="Q262" i="4"/>
  <c r="T41" i="8" s="1"/>
  <c r="V262" i="4"/>
  <c r="Y41" i="8" s="1"/>
  <c r="P262" i="4"/>
  <c r="S41" i="8" s="1"/>
  <c r="T262" i="4"/>
  <c r="W41" i="8" s="1"/>
  <c r="D262" i="4"/>
  <c r="W262" i="4"/>
  <c r="Z41" i="8" s="1"/>
  <c r="O262" i="4"/>
  <c r="R41" i="8" s="1"/>
  <c r="S262" i="4"/>
  <c r="V41" i="8" s="1"/>
  <c r="R262" i="4"/>
  <c r="U41" i="8" s="1"/>
  <c r="M262" i="4"/>
  <c r="P41" i="8" s="1"/>
  <c r="N262" i="4"/>
  <c r="Q41" i="8" s="1"/>
  <c r="H262" i="4"/>
  <c r="K41" i="8" s="1"/>
  <c r="I255" i="4"/>
  <c r="L34" i="8" s="1"/>
  <c r="J231" i="4"/>
  <c r="M10" i="8" s="1"/>
  <c r="I231" i="4"/>
  <c r="L10" i="8" s="1"/>
  <c r="Q231" i="4"/>
  <c r="T10" i="8" s="1"/>
  <c r="K231" i="4"/>
  <c r="N10" i="8" s="1"/>
  <c r="G231" i="4"/>
  <c r="J10" i="8" s="1"/>
  <c r="N231" i="4"/>
  <c r="Q10" i="8" s="1"/>
  <c r="T231" i="4"/>
  <c r="W10" i="8" s="1"/>
  <c r="F231" i="4"/>
  <c r="I10" i="8" s="1"/>
  <c r="L231" i="4"/>
  <c r="O10" i="8" s="1"/>
  <c r="W231" i="4"/>
  <c r="Z10" i="8" s="1"/>
  <c r="S231" i="4"/>
  <c r="V10" i="8" s="1"/>
  <c r="O231" i="4"/>
  <c r="R10" i="8" s="1"/>
  <c r="E231" i="4"/>
  <c r="H10" i="8" s="1"/>
  <c r="P231" i="4"/>
  <c r="S10" i="8" s="1"/>
  <c r="V231" i="4"/>
  <c r="Y10" i="8" s="1"/>
  <c r="M231" i="4"/>
  <c r="P10" i="8" s="1"/>
  <c r="D231" i="4"/>
  <c r="U231" i="4"/>
  <c r="X10" i="8" s="1"/>
  <c r="H231" i="4"/>
  <c r="K10" i="8" s="1"/>
  <c r="R231" i="4"/>
  <c r="U10" i="8" s="1"/>
  <c r="J238" i="4"/>
  <c r="M17" i="8" s="1"/>
  <c r="R238" i="4"/>
  <c r="U17" i="8" s="1"/>
  <c r="H238" i="4"/>
  <c r="K17" i="8" s="1"/>
  <c r="G238" i="4"/>
  <c r="J17" i="8" s="1"/>
  <c r="T238" i="4"/>
  <c r="W17" i="8" s="1"/>
  <c r="D238" i="4"/>
  <c r="S238" i="4"/>
  <c r="V17" i="8" s="1"/>
  <c r="K238" i="4"/>
  <c r="N17" i="8" s="1"/>
  <c r="P238" i="4"/>
  <c r="S17" i="8" s="1"/>
  <c r="N238" i="4"/>
  <c r="Q17" i="8" s="1"/>
  <c r="O238" i="4"/>
  <c r="R17" i="8" s="1"/>
  <c r="L238" i="4"/>
  <c r="O17" i="8" s="1"/>
  <c r="U238" i="4"/>
  <c r="X17" i="8" s="1"/>
  <c r="W238" i="4"/>
  <c r="Z17" i="8" s="1"/>
  <c r="F238" i="4"/>
  <c r="I17" i="8" s="1"/>
  <c r="Q238" i="4"/>
  <c r="T17" i="8" s="1"/>
  <c r="E238" i="4"/>
  <c r="H17" i="8" s="1"/>
  <c r="I238" i="4"/>
  <c r="L17" i="8" s="1"/>
  <c r="V238" i="4"/>
  <c r="Y17" i="8" s="1"/>
  <c r="N258" i="4"/>
  <c r="Q37" i="8" s="1"/>
  <c r="K258" i="4"/>
  <c r="N37" i="8" s="1"/>
  <c r="T258" i="4"/>
  <c r="W37" i="8" s="1"/>
  <c r="M258" i="4"/>
  <c r="P37" i="8" s="1"/>
  <c r="I258" i="4"/>
  <c r="L37" i="8" s="1"/>
  <c r="R258" i="4"/>
  <c r="U37" i="8" s="1"/>
  <c r="W258" i="4"/>
  <c r="Z37" i="8" s="1"/>
  <c r="U258" i="4"/>
  <c r="X37" i="8" s="1"/>
  <c r="S258" i="4"/>
  <c r="V37" i="8" s="1"/>
  <c r="P258" i="4"/>
  <c r="S37" i="8" s="1"/>
  <c r="F258" i="4"/>
  <c r="I37" i="8" s="1"/>
  <c r="H258" i="4"/>
  <c r="K37" i="8" s="1"/>
  <c r="D258" i="4"/>
  <c r="V258" i="4"/>
  <c r="Y37" i="8" s="1"/>
  <c r="Q258" i="4"/>
  <c r="T37" i="8" s="1"/>
  <c r="G258" i="4"/>
  <c r="J37" i="8" s="1"/>
  <c r="E258" i="4"/>
  <c r="H37" i="8" s="1"/>
  <c r="L258" i="4"/>
  <c r="O37" i="8" s="1"/>
  <c r="J258" i="4"/>
  <c r="M37" i="8" s="1"/>
  <c r="AM236" i="4"/>
  <c r="Q387" i="4"/>
  <c r="P56" i="9" s="1"/>
  <c r="D387" i="4"/>
  <c r="T387" i="4"/>
  <c r="S56" i="9" s="1"/>
  <c r="F387" i="4"/>
  <c r="E56" i="9" s="1"/>
  <c r="E387" i="4"/>
  <c r="D56" i="9" s="1"/>
  <c r="V387" i="4"/>
  <c r="U56" i="9" s="1"/>
  <c r="U387" i="4"/>
  <c r="T56" i="9" s="1"/>
  <c r="R387" i="4"/>
  <c r="Q56" i="9" s="1"/>
  <c r="N387" i="4"/>
  <c r="M56" i="9" s="1"/>
  <c r="H387" i="4"/>
  <c r="G56" i="9" s="1"/>
  <c r="J387" i="4"/>
  <c r="I56" i="9" s="1"/>
  <c r="K387" i="4"/>
  <c r="J56" i="9" s="1"/>
  <c r="G387" i="4"/>
  <c r="F56" i="9" s="1"/>
  <c r="I387" i="4"/>
  <c r="H56" i="9" s="1"/>
  <c r="S387" i="4"/>
  <c r="R56" i="9" s="1"/>
  <c r="L387" i="4"/>
  <c r="K56" i="9" s="1"/>
  <c r="M387" i="4"/>
  <c r="L56" i="9" s="1"/>
  <c r="P387" i="4"/>
  <c r="O56" i="9" s="1"/>
  <c r="O387" i="4"/>
  <c r="N56" i="9" s="1"/>
  <c r="W387" i="4"/>
  <c r="V56" i="9" s="1"/>
  <c r="D347" i="4"/>
  <c r="V347" i="4"/>
  <c r="U16" i="9" s="1"/>
  <c r="T347" i="4"/>
  <c r="S16" i="9" s="1"/>
  <c r="J347" i="4"/>
  <c r="I16" i="9" s="1"/>
  <c r="P347" i="4"/>
  <c r="O16" i="9" s="1"/>
  <c r="S347" i="4"/>
  <c r="R16" i="9" s="1"/>
  <c r="G347" i="4"/>
  <c r="F16" i="9" s="1"/>
  <c r="H347" i="4"/>
  <c r="G16" i="9" s="1"/>
  <c r="W347" i="4"/>
  <c r="V16" i="9" s="1"/>
  <c r="N347" i="4"/>
  <c r="M16" i="9" s="1"/>
  <c r="R347" i="4"/>
  <c r="Q16" i="9" s="1"/>
  <c r="M347" i="4"/>
  <c r="L16" i="9" s="1"/>
  <c r="E347" i="4"/>
  <c r="D16" i="9" s="1"/>
  <c r="I347" i="4"/>
  <c r="H16" i="9" s="1"/>
  <c r="Q347" i="4"/>
  <c r="P16" i="9" s="1"/>
  <c r="F347" i="4"/>
  <c r="E16" i="9" s="1"/>
  <c r="K347" i="4"/>
  <c r="J16" i="9" s="1"/>
  <c r="O347" i="4"/>
  <c r="N16" i="9" s="1"/>
  <c r="U347" i="4"/>
  <c r="T16" i="9" s="1"/>
  <c r="L347" i="4"/>
  <c r="K16" i="9" s="1"/>
  <c r="AY47" i="4"/>
  <c r="AA12" i="4"/>
  <c r="AB89" i="4"/>
  <c r="K323" i="4"/>
  <c r="N102" i="8" s="1"/>
  <c r="H323" i="4"/>
  <c r="K102" i="8" s="1"/>
  <c r="M323" i="4"/>
  <c r="P102" i="8" s="1"/>
  <c r="Q323" i="4"/>
  <c r="T102" i="8" s="1"/>
  <c r="G323" i="4"/>
  <c r="J102" i="8" s="1"/>
  <c r="P323" i="4"/>
  <c r="S102" i="8" s="1"/>
  <c r="W323" i="4"/>
  <c r="Z102" i="8" s="1"/>
  <c r="L323" i="4"/>
  <c r="O102" i="8" s="1"/>
  <c r="R323" i="4"/>
  <c r="U102" i="8" s="1"/>
  <c r="O323" i="4"/>
  <c r="R102" i="8" s="1"/>
  <c r="F323" i="4"/>
  <c r="I102" i="8" s="1"/>
  <c r="E323" i="4"/>
  <c r="H102" i="8" s="1"/>
  <c r="D323" i="4"/>
  <c r="U323" i="4"/>
  <c r="X102" i="8" s="1"/>
  <c r="T323" i="4"/>
  <c r="W102" i="8" s="1"/>
  <c r="J323" i="4"/>
  <c r="M102" i="8" s="1"/>
  <c r="I323" i="4"/>
  <c r="L102" i="8" s="1"/>
  <c r="V323" i="4"/>
  <c r="Y102" i="8" s="1"/>
  <c r="N323" i="4"/>
  <c r="Q102" i="8" s="1"/>
  <c r="S323" i="4"/>
  <c r="V102" i="8" s="1"/>
  <c r="V245" i="4"/>
  <c r="Y24" i="8" s="1"/>
  <c r="R349" i="4"/>
  <c r="Q18" i="9" s="1"/>
  <c r="K349" i="4"/>
  <c r="J18" i="9" s="1"/>
  <c r="S349" i="4"/>
  <c r="R18" i="9" s="1"/>
  <c r="W349" i="4"/>
  <c r="V18" i="9" s="1"/>
  <c r="O349" i="4"/>
  <c r="N18" i="9" s="1"/>
  <c r="D349" i="4"/>
  <c r="T349" i="4"/>
  <c r="S18" i="9" s="1"/>
  <c r="F349" i="4"/>
  <c r="E18" i="9" s="1"/>
  <c r="H349" i="4"/>
  <c r="G18" i="9" s="1"/>
  <c r="N349" i="4"/>
  <c r="M18" i="9" s="1"/>
  <c r="Q349" i="4"/>
  <c r="P18" i="9" s="1"/>
  <c r="G349" i="4"/>
  <c r="F18" i="9" s="1"/>
  <c r="V349" i="4"/>
  <c r="U18" i="9" s="1"/>
  <c r="E349" i="4"/>
  <c r="D18" i="9" s="1"/>
  <c r="I349" i="4"/>
  <c r="H18" i="9" s="1"/>
  <c r="J349" i="4"/>
  <c r="I18" i="9" s="1"/>
  <c r="L349" i="4"/>
  <c r="K18" i="9" s="1"/>
  <c r="M349" i="4"/>
  <c r="L18" i="9" s="1"/>
  <c r="U349" i="4"/>
  <c r="T18" i="9" s="1"/>
  <c r="P349" i="4"/>
  <c r="O18" i="9" s="1"/>
  <c r="V368" i="4"/>
  <c r="U37" i="9" s="1"/>
  <c r="W368" i="4"/>
  <c r="V37" i="9" s="1"/>
  <c r="Q368" i="4"/>
  <c r="P37" i="9" s="1"/>
  <c r="E368" i="4"/>
  <c r="D37" i="9" s="1"/>
  <c r="I368" i="4"/>
  <c r="H37" i="9" s="1"/>
  <c r="O368" i="4"/>
  <c r="N37" i="9" s="1"/>
  <c r="U368" i="4"/>
  <c r="T37" i="9" s="1"/>
  <c r="P368" i="4"/>
  <c r="O37" i="9" s="1"/>
  <c r="L368" i="4"/>
  <c r="K37" i="9" s="1"/>
  <c r="N368" i="4"/>
  <c r="M37" i="9" s="1"/>
  <c r="K368" i="4"/>
  <c r="J37" i="9" s="1"/>
  <c r="R368" i="4"/>
  <c r="Q37" i="9" s="1"/>
  <c r="H368" i="4"/>
  <c r="G37" i="9" s="1"/>
  <c r="D368" i="4"/>
  <c r="T368" i="4"/>
  <c r="S37" i="9" s="1"/>
  <c r="J368" i="4"/>
  <c r="I37" i="9" s="1"/>
  <c r="M368" i="4"/>
  <c r="L37" i="9" s="1"/>
  <c r="S368" i="4"/>
  <c r="R37" i="9" s="1"/>
  <c r="F368" i="4"/>
  <c r="E37" i="9" s="1"/>
  <c r="G368" i="4"/>
  <c r="F37" i="9" s="1"/>
  <c r="AN236" i="4"/>
  <c r="AO236" i="4"/>
  <c r="D270" i="4"/>
  <c r="U270" i="4"/>
  <c r="X49" i="8" s="1"/>
  <c r="E270" i="4"/>
  <c r="H49" i="8" s="1"/>
  <c r="O270" i="4"/>
  <c r="R49" i="8" s="1"/>
  <c r="W270" i="4"/>
  <c r="Z49" i="8" s="1"/>
  <c r="G270" i="4"/>
  <c r="J49" i="8" s="1"/>
  <c r="V270" i="4"/>
  <c r="Y49" i="8" s="1"/>
  <c r="R270" i="4"/>
  <c r="U49" i="8" s="1"/>
  <c r="F270" i="4"/>
  <c r="I49" i="8" s="1"/>
  <c r="S270" i="4"/>
  <c r="V49" i="8" s="1"/>
  <c r="Q270" i="4"/>
  <c r="T49" i="8" s="1"/>
  <c r="P270" i="4"/>
  <c r="S49" i="8" s="1"/>
  <c r="L270" i="4"/>
  <c r="O49" i="8" s="1"/>
  <c r="J270" i="4"/>
  <c r="M49" i="8" s="1"/>
  <c r="T270" i="4"/>
  <c r="W49" i="8" s="1"/>
  <c r="N270" i="4"/>
  <c r="Q49" i="8" s="1"/>
  <c r="I270" i="4"/>
  <c r="L49" i="8" s="1"/>
  <c r="M270" i="4"/>
  <c r="P49" i="8" s="1"/>
  <c r="H270" i="4"/>
  <c r="K49" i="8" s="1"/>
  <c r="K270" i="4"/>
  <c r="N49" i="8" s="1"/>
  <c r="AP251" i="4"/>
  <c r="H363" i="4"/>
  <c r="G32" i="9" s="1"/>
  <c r="E363" i="4"/>
  <c r="D32" i="9" s="1"/>
  <c r="U363" i="4"/>
  <c r="T32" i="9" s="1"/>
  <c r="I363" i="4"/>
  <c r="H32" i="9" s="1"/>
  <c r="F363" i="4"/>
  <c r="E32" i="9" s="1"/>
  <c r="Q363" i="4"/>
  <c r="P32" i="9" s="1"/>
  <c r="V363" i="4"/>
  <c r="U32" i="9" s="1"/>
  <c r="G363" i="4"/>
  <c r="F32" i="9" s="1"/>
  <c r="W363" i="4"/>
  <c r="V32" i="9" s="1"/>
  <c r="J363" i="4"/>
  <c r="I32" i="9" s="1"/>
  <c r="P363" i="4"/>
  <c r="O32" i="9" s="1"/>
  <c r="S363" i="4"/>
  <c r="R32" i="9" s="1"/>
  <c r="N363" i="4"/>
  <c r="M32" i="9" s="1"/>
  <c r="R363" i="4"/>
  <c r="Q32" i="9" s="1"/>
  <c r="T363" i="4"/>
  <c r="S32" i="9" s="1"/>
  <c r="K363" i="4"/>
  <c r="J32" i="9" s="1"/>
  <c r="M363" i="4"/>
  <c r="L32" i="9" s="1"/>
  <c r="O363" i="4"/>
  <c r="N32" i="9" s="1"/>
  <c r="L363" i="4"/>
  <c r="K32" i="9" s="1"/>
  <c r="D363" i="4"/>
  <c r="BB47" i="4"/>
  <c r="AZ47" i="4"/>
  <c r="AX47" i="4"/>
  <c r="AD26" i="4"/>
  <c r="AC89" i="4"/>
  <c r="P235" i="4"/>
  <c r="S14" i="8" s="1"/>
  <c r="M381" i="4"/>
  <c r="L50" i="9" s="1"/>
  <c r="V381" i="4"/>
  <c r="U50" i="9" s="1"/>
  <c r="Q381" i="4"/>
  <c r="P50" i="9" s="1"/>
  <c r="L381" i="4"/>
  <c r="K50" i="9" s="1"/>
  <c r="J381" i="4"/>
  <c r="I50" i="9" s="1"/>
  <c r="I381" i="4"/>
  <c r="H50" i="9" s="1"/>
  <c r="H381" i="4"/>
  <c r="G50" i="9" s="1"/>
  <c r="P381" i="4"/>
  <c r="O50" i="9" s="1"/>
  <c r="U381" i="4"/>
  <c r="T50" i="9" s="1"/>
  <c r="S381" i="4"/>
  <c r="R50" i="9" s="1"/>
  <c r="E381" i="4"/>
  <c r="D50" i="9" s="1"/>
  <c r="N381" i="4"/>
  <c r="M50" i="9" s="1"/>
  <c r="T381" i="4"/>
  <c r="S50" i="9" s="1"/>
  <c r="D381" i="4"/>
  <c r="O381" i="4"/>
  <c r="N50" i="9" s="1"/>
  <c r="G381" i="4"/>
  <c r="F50" i="9" s="1"/>
  <c r="W381" i="4"/>
  <c r="V50" i="9" s="1"/>
  <c r="F381" i="4"/>
  <c r="E50" i="9" s="1"/>
  <c r="R381" i="4"/>
  <c r="Q50" i="9" s="1"/>
  <c r="K381" i="4"/>
  <c r="J50" i="9" s="1"/>
  <c r="W351" i="4"/>
  <c r="V20" i="9" s="1"/>
  <c r="K351" i="4"/>
  <c r="J20" i="9" s="1"/>
  <c r="N351" i="4"/>
  <c r="M20" i="9" s="1"/>
  <c r="P351" i="4"/>
  <c r="O20" i="9" s="1"/>
  <c r="E351" i="4"/>
  <c r="D20" i="9" s="1"/>
  <c r="Q351" i="4"/>
  <c r="P20" i="9" s="1"/>
  <c r="M351" i="4"/>
  <c r="L20" i="9" s="1"/>
  <c r="D351" i="4"/>
  <c r="R351" i="4"/>
  <c r="Q20" i="9" s="1"/>
  <c r="I351" i="4"/>
  <c r="H20" i="9" s="1"/>
  <c r="F351" i="4"/>
  <c r="E20" i="9" s="1"/>
  <c r="V351" i="4"/>
  <c r="U20" i="9" s="1"/>
  <c r="L351" i="4"/>
  <c r="K20" i="9" s="1"/>
  <c r="T351" i="4"/>
  <c r="S20" i="9" s="1"/>
  <c r="O351" i="4"/>
  <c r="N20" i="9" s="1"/>
  <c r="U351" i="4"/>
  <c r="T20" i="9" s="1"/>
  <c r="S351" i="4"/>
  <c r="R20" i="9" s="1"/>
  <c r="G351" i="4"/>
  <c r="F20" i="9" s="1"/>
  <c r="H351" i="4"/>
  <c r="G20" i="9" s="1"/>
  <c r="J351" i="4"/>
  <c r="I20" i="9" s="1"/>
  <c r="E274" i="4"/>
  <c r="H53" i="8" s="1"/>
  <c r="G274" i="4"/>
  <c r="J53" i="8" s="1"/>
  <c r="I274" i="4"/>
  <c r="L53" i="8" s="1"/>
  <c r="V274" i="4"/>
  <c r="Y53" i="8" s="1"/>
  <c r="Q274" i="4"/>
  <c r="T53" i="8" s="1"/>
  <c r="K274" i="4"/>
  <c r="N53" i="8" s="1"/>
  <c r="H274" i="4"/>
  <c r="K53" i="8" s="1"/>
  <c r="D274" i="4"/>
  <c r="N274" i="4"/>
  <c r="Q53" i="8" s="1"/>
  <c r="U274" i="4"/>
  <c r="X53" i="8" s="1"/>
  <c r="O274" i="4"/>
  <c r="R53" i="8" s="1"/>
  <c r="W274" i="4"/>
  <c r="Z53" i="8" s="1"/>
  <c r="F274" i="4"/>
  <c r="I53" i="8" s="1"/>
  <c r="S274" i="4"/>
  <c r="V53" i="8" s="1"/>
  <c r="T274" i="4"/>
  <c r="W53" i="8" s="1"/>
  <c r="R274" i="4"/>
  <c r="U53" i="8" s="1"/>
  <c r="P274" i="4"/>
  <c r="S53" i="8" s="1"/>
  <c r="M274" i="4"/>
  <c r="P53" i="8" s="1"/>
  <c r="L274" i="4"/>
  <c r="O53" i="8" s="1"/>
  <c r="J274" i="4"/>
  <c r="M53" i="8" s="1"/>
  <c r="AP236" i="4"/>
  <c r="AA236" i="4"/>
  <c r="E242" i="4"/>
  <c r="H21" i="8" s="1"/>
  <c r="U378" i="4"/>
  <c r="T47" i="9" s="1"/>
  <c r="T378" i="4"/>
  <c r="S47" i="9" s="1"/>
  <c r="H378" i="4"/>
  <c r="G47" i="9" s="1"/>
  <c r="S378" i="4"/>
  <c r="R47" i="9" s="1"/>
  <c r="P378" i="4"/>
  <c r="O47" i="9" s="1"/>
  <c r="Q378" i="4"/>
  <c r="P47" i="9" s="1"/>
  <c r="F378" i="4"/>
  <c r="E47" i="9" s="1"/>
  <c r="O378" i="4"/>
  <c r="N47" i="9" s="1"/>
  <c r="N378" i="4"/>
  <c r="M47" i="9" s="1"/>
  <c r="R378" i="4"/>
  <c r="Q47" i="9" s="1"/>
  <c r="J378" i="4"/>
  <c r="I47" i="9" s="1"/>
  <c r="W378" i="4"/>
  <c r="V47" i="9" s="1"/>
  <c r="M378" i="4"/>
  <c r="L47" i="9" s="1"/>
  <c r="I378" i="4"/>
  <c r="H47" i="9" s="1"/>
  <c r="G378" i="4"/>
  <c r="F47" i="9" s="1"/>
  <c r="K378" i="4"/>
  <c r="J47" i="9" s="1"/>
  <c r="L378" i="4"/>
  <c r="K47" i="9" s="1"/>
  <c r="D378" i="4"/>
  <c r="E378" i="4"/>
  <c r="D47" i="9" s="1"/>
  <c r="V378" i="4"/>
  <c r="U47" i="9" s="1"/>
  <c r="AR251" i="4"/>
  <c r="AV47" i="4"/>
  <c r="U260" i="4"/>
  <c r="X39" i="8" s="1"/>
  <c r="N260" i="4"/>
  <c r="Q39" i="8" s="1"/>
  <c r="E260" i="4"/>
  <c r="H39" i="8" s="1"/>
  <c r="I260" i="4"/>
  <c r="L39" i="8" s="1"/>
  <c r="Q260" i="4"/>
  <c r="T39" i="8" s="1"/>
  <c r="H260" i="4"/>
  <c r="K39" i="8" s="1"/>
  <c r="G260" i="4"/>
  <c r="J39" i="8" s="1"/>
  <c r="W260" i="4"/>
  <c r="Z39" i="8" s="1"/>
  <c r="O260" i="4"/>
  <c r="R39" i="8" s="1"/>
  <c r="L260" i="4"/>
  <c r="O39" i="8" s="1"/>
  <c r="T260" i="4"/>
  <c r="W39" i="8" s="1"/>
  <c r="V260" i="4"/>
  <c r="Y39" i="8" s="1"/>
  <c r="R260" i="4"/>
  <c r="U39" i="8" s="1"/>
  <c r="M260" i="4"/>
  <c r="P39" i="8" s="1"/>
  <c r="F260" i="4"/>
  <c r="I39" i="8" s="1"/>
  <c r="S260" i="4"/>
  <c r="V39" i="8" s="1"/>
  <c r="K260" i="4"/>
  <c r="N39" i="8" s="1"/>
  <c r="J260" i="4"/>
  <c r="M39" i="8" s="1"/>
  <c r="D260" i="4"/>
  <c r="P260" i="4"/>
  <c r="S39" i="8" s="1"/>
  <c r="S384" i="4"/>
  <c r="R53" i="9" s="1"/>
  <c r="D384" i="4"/>
  <c r="R384" i="4"/>
  <c r="Q53" i="9" s="1"/>
  <c r="Q384" i="4"/>
  <c r="P53" i="9" s="1"/>
  <c r="T384" i="4"/>
  <c r="S53" i="9" s="1"/>
  <c r="G384" i="4"/>
  <c r="F53" i="9" s="1"/>
  <c r="P384" i="4"/>
  <c r="O53" i="9" s="1"/>
  <c r="W384" i="4"/>
  <c r="V53" i="9" s="1"/>
  <c r="M384" i="4"/>
  <c r="L53" i="9" s="1"/>
  <c r="O384" i="4"/>
  <c r="N53" i="9" s="1"/>
  <c r="L384" i="4"/>
  <c r="K53" i="9" s="1"/>
  <c r="I384" i="4"/>
  <c r="H53" i="9" s="1"/>
  <c r="J384" i="4"/>
  <c r="I53" i="9" s="1"/>
  <c r="N384" i="4"/>
  <c r="M53" i="9" s="1"/>
  <c r="V384" i="4"/>
  <c r="U53" i="9" s="1"/>
  <c r="F384" i="4"/>
  <c r="E53" i="9" s="1"/>
  <c r="E384" i="4"/>
  <c r="D53" i="9" s="1"/>
  <c r="U384" i="4"/>
  <c r="T53" i="9" s="1"/>
  <c r="H384" i="4"/>
  <c r="G53" i="9" s="1"/>
  <c r="K384" i="4"/>
  <c r="J53" i="9" s="1"/>
  <c r="AS236" i="4"/>
  <c r="AQ236" i="4"/>
  <c r="T268" i="4"/>
  <c r="W47" i="8" s="1"/>
  <c r="AT251" i="4"/>
  <c r="R277" i="4"/>
  <c r="U56" i="8" s="1"/>
  <c r="S277" i="4"/>
  <c r="V56" i="8" s="1"/>
  <c r="K277" i="4"/>
  <c r="N56" i="8" s="1"/>
  <c r="U277" i="4"/>
  <c r="X56" i="8" s="1"/>
  <c r="M277" i="4"/>
  <c r="P56" i="8" s="1"/>
  <c r="T277" i="4"/>
  <c r="W56" i="8" s="1"/>
  <c r="J277" i="4"/>
  <c r="M56" i="8" s="1"/>
  <c r="F277" i="4"/>
  <c r="I56" i="8" s="1"/>
  <c r="W277" i="4"/>
  <c r="Z56" i="8" s="1"/>
  <c r="G277" i="4"/>
  <c r="J56" i="8" s="1"/>
  <c r="D277" i="4"/>
  <c r="E277" i="4"/>
  <c r="H56" i="8" s="1"/>
  <c r="P277" i="4"/>
  <c r="S56" i="8" s="1"/>
  <c r="N277" i="4"/>
  <c r="Q56" i="8" s="1"/>
  <c r="I277" i="4"/>
  <c r="L56" i="8" s="1"/>
  <c r="V277" i="4"/>
  <c r="Y56" i="8" s="1"/>
  <c r="Q277" i="4"/>
  <c r="T56" i="8" s="1"/>
  <c r="L277" i="4"/>
  <c r="O56" i="8" s="1"/>
  <c r="O277" i="4"/>
  <c r="R56" i="8" s="1"/>
  <c r="H277" i="4"/>
  <c r="K56" i="8" s="1"/>
  <c r="H394" i="4"/>
  <c r="G63" i="9" s="1"/>
  <c r="P394" i="4"/>
  <c r="O63" i="9" s="1"/>
  <c r="Q394" i="4"/>
  <c r="P63" i="9" s="1"/>
  <c r="D394" i="4"/>
  <c r="T394" i="4"/>
  <c r="S63" i="9" s="1"/>
  <c r="E394" i="4"/>
  <c r="D63" i="9" s="1"/>
  <c r="U394" i="4"/>
  <c r="T63" i="9" s="1"/>
  <c r="M394" i="4"/>
  <c r="L63" i="9" s="1"/>
  <c r="J394" i="4"/>
  <c r="I63" i="9" s="1"/>
  <c r="G394" i="4"/>
  <c r="F63" i="9" s="1"/>
  <c r="N394" i="4"/>
  <c r="M63" i="9" s="1"/>
  <c r="R394" i="4"/>
  <c r="Q63" i="9" s="1"/>
  <c r="W394" i="4"/>
  <c r="V63" i="9" s="1"/>
  <c r="F394" i="4"/>
  <c r="E63" i="9" s="1"/>
  <c r="L394" i="4"/>
  <c r="K63" i="9" s="1"/>
  <c r="K394" i="4"/>
  <c r="J63" i="9" s="1"/>
  <c r="V394" i="4"/>
  <c r="U63" i="9" s="1"/>
  <c r="I394" i="4"/>
  <c r="H63" i="9" s="1"/>
  <c r="S394" i="4"/>
  <c r="R63" i="9" s="1"/>
  <c r="O394" i="4"/>
  <c r="N63" i="9" s="1"/>
  <c r="M237" i="4"/>
  <c r="P16" i="8" s="1"/>
  <c r="AS47" i="4"/>
  <c r="T43" i="4"/>
  <c r="R234" i="4"/>
  <c r="U13" i="8" s="1"/>
  <c r="Q234" i="4"/>
  <c r="T13" i="8" s="1"/>
  <c r="E234" i="4"/>
  <c r="H13" i="8" s="1"/>
  <c r="G234" i="4"/>
  <c r="J13" i="8" s="1"/>
  <c r="D234" i="4"/>
  <c r="W234" i="4"/>
  <c r="Z13" i="8" s="1"/>
  <c r="T234" i="4"/>
  <c r="W13" i="8" s="1"/>
  <c r="P234" i="4"/>
  <c r="S13" i="8" s="1"/>
  <c r="I234" i="4"/>
  <c r="L13" i="8" s="1"/>
  <c r="F234" i="4"/>
  <c r="I13" i="8" s="1"/>
  <c r="H234" i="4"/>
  <c r="K13" i="8" s="1"/>
  <c r="O234" i="4"/>
  <c r="R13" i="8" s="1"/>
  <c r="J234" i="4"/>
  <c r="M13" i="8" s="1"/>
  <c r="U234" i="4"/>
  <c r="X13" i="8" s="1"/>
  <c r="S234" i="4"/>
  <c r="V13" i="8" s="1"/>
  <c r="N234" i="4"/>
  <c r="Q13" i="8" s="1"/>
  <c r="K234" i="4"/>
  <c r="N13" i="8" s="1"/>
  <c r="V234" i="4"/>
  <c r="Y13" i="8" s="1"/>
  <c r="M234" i="4"/>
  <c r="P13" i="8" s="1"/>
  <c r="L234" i="4"/>
  <c r="O13" i="8" s="1"/>
  <c r="W240" i="4"/>
  <c r="Z19" i="8" s="1"/>
  <c r="U240" i="4"/>
  <c r="X19" i="8" s="1"/>
  <c r="H240" i="4"/>
  <c r="K19" i="8" s="1"/>
  <c r="V240" i="4"/>
  <c r="Y19" i="8" s="1"/>
  <c r="F240" i="4"/>
  <c r="I19" i="8" s="1"/>
  <c r="E240" i="4"/>
  <c r="H19" i="8" s="1"/>
  <c r="N240" i="4"/>
  <c r="Q19" i="8" s="1"/>
  <c r="G240" i="4"/>
  <c r="J19" i="8" s="1"/>
  <c r="M240" i="4"/>
  <c r="P19" i="8" s="1"/>
  <c r="Q240" i="4"/>
  <c r="T19" i="8" s="1"/>
  <c r="L240" i="4"/>
  <c r="O19" i="8" s="1"/>
  <c r="P240" i="4"/>
  <c r="S19" i="8" s="1"/>
  <c r="K240" i="4"/>
  <c r="N19" i="8" s="1"/>
  <c r="J240" i="4"/>
  <c r="M19" i="8" s="1"/>
  <c r="T240" i="4"/>
  <c r="W19" i="8" s="1"/>
  <c r="I240" i="4"/>
  <c r="L19" i="8" s="1"/>
  <c r="O240" i="4"/>
  <c r="R19" i="8" s="1"/>
  <c r="D240" i="4"/>
  <c r="S240" i="4"/>
  <c r="V19" i="8" s="1"/>
  <c r="I370" i="4"/>
  <c r="H39" i="9" s="1"/>
  <c r="E370" i="4"/>
  <c r="D39" i="9" s="1"/>
  <c r="D370" i="4"/>
  <c r="U370" i="4"/>
  <c r="T39" i="9" s="1"/>
  <c r="T370" i="4"/>
  <c r="S39" i="9" s="1"/>
  <c r="O370" i="4"/>
  <c r="N39" i="9" s="1"/>
  <c r="M370" i="4"/>
  <c r="L39" i="9" s="1"/>
  <c r="N370" i="4"/>
  <c r="M39" i="9" s="1"/>
  <c r="P370" i="4"/>
  <c r="O39" i="9" s="1"/>
  <c r="S370" i="4"/>
  <c r="R39" i="9" s="1"/>
  <c r="L370" i="4"/>
  <c r="K39" i="9" s="1"/>
  <c r="F370" i="4"/>
  <c r="E39" i="9" s="1"/>
  <c r="V370" i="4"/>
  <c r="U39" i="9" s="1"/>
  <c r="G370" i="4"/>
  <c r="F39" i="9" s="1"/>
  <c r="R370" i="4"/>
  <c r="Q39" i="9" s="1"/>
  <c r="Q370" i="4"/>
  <c r="P39" i="9" s="1"/>
  <c r="K370" i="4"/>
  <c r="J39" i="9" s="1"/>
  <c r="J370" i="4"/>
  <c r="I39" i="9" s="1"/>
  <c r="W370" i="4"/>
  <c r="V39" i="9" s="1"/>
  <c r="H370" i="4"/>
  <c r="G39" i="9" s="1"/>
  <c r="I263" i="4"/>
  <c r="L42" i="8" s="1"/>
  <c r="F263" i="4"/>
  <c r="I42" i="8" s="1"/>
  <c r="S263" i="4"/>
  <c r="V42" i="8" s="1"/>
  <c r="R263" i="4"/>
  <c r="U42" i="8" s="1"/>
  <c r="J263" i="4"/>
  <c r="M42" i="8" s="1"/>
  <c r="Q263" i="4"/>
  <c r="T42" i="8" s="1"/>
  <c r="U263" i="4"/>
  <c r="X42" i="8" s="1"/>
  <c r="L263" i="4"/>
  <c r="O42" i="8" s="1"/>
  <c r="O263" i="4"/>
  <c r="R42" i="8" s="1"/>
  <c r="W263" i="4"/>
  <c r="Z42" i="8" s="1"/>
  <c r="G263" i="4"/>
  <c r="J42" i="8" s="1"/>
  <c r="M263" i="4"/>
  <c r="P42" i="8" s="1"/>
  <c r="E263" i="4"/>
  <c r="H42" i="8" s="1"/>
  <c r="H263" i="4"/>
  <c r="K42" i="8" s="1"/>
  <c r="P263" i="4"/>
  <c r="S42" i="8" s="1"/>
  <c r="K263" i="4"/>
  <c r="N42" i="8" s="1"/>
  <c r="D263" i="4"/>
  <c r="N263" i="4"/>
  <c r="Q42" i="8" s="1"/>
  <c r="V263" i="4"/>
  <c r="Y42" i="8" s="1"/>
  <c r="T263" i="4"/>
  <c r="W42" i="8" s="1"/>
  <c r="AT236" i="4"/>
  <c r="H389" i="4"/>
  <c r="G58" i="9" s="1"/>
  <c r="W389" i="4"/>
  <c r="V58" i="9" s="1"/>
  <c r="G389" i="4"/>
  <c r="F58" i="9" s="1"/>
  <c r="K389" i="4"/>
  <c r="J58" i="9" s="1"/>
  <c r="V389" i="4"/>
  <c r="U58" i="9" s="1"/>
  <c r="F389" i="4"/>
  <c r="E58" i="9" s="1"/>
  <c r="U389" i="4"/>
  <c r="T58" i="9" s="1"/>
  <c r="J389" i="4"/>
  <c r="I58" i="9" s="1"/>
  <c r="E389" i="4"/>
  <c r="D58" i="9" s="1"/>
  <c r="P389" i="4"/>
  <c r="O58" i="9" s="1"/>
  <c r="T389" i="4"/>
  <c r="S58" i="9" s="1"/>
  <c r="R389" i="4"/>
  <c r="Q58" i="9" s="1"/>
  <c r="D389" i="4"/>
  <c r="S389" i="4"/>
  <c r="R58" i="9" s="1"/>
  <c r="L389" i="4"/>
  <c r="K58" i="9" s="1"/>
  <c r="O389" i="4"/>
  <c r="N58" i="9" s="1"/>
  <c r="I389" i="4"/>
  <c r="H58" i="9" s="1"/>
  <c r="Q389" i="4"/>
  <c r="P58" i="9" s="1"/>
  <c r="M389" i="4"/>
  <c r="L58" i="9" s="1"/>
  <c r="N389" i="4"/>
  <c r="M58" i="9" s="1"/>
  <c r="V269" i="4"/>
  <c r="Y48" i="8" s="1"/>
  <c r="M269" i="4"/>
  <c r="P48" i="8" s="1"/>
  <c r="G269" i="4"/>
  <c r="J48" i="8" s="1"/>
  <c r="U269" i="4"/>
  <c r="X48" i="8" s="1"/>
  <c r="E269" i="4"/>
  <c r="H48" i="8" s="1"/>
  <c r="N269" i="4"/>
  <c r="Q48" i="8" s="1"/>
  <c r="I269" i="4"/>
  <c r="L48" i="8" s="1"/>
  <c r="F269" i="4"/>
  <c r="I48" i="8" s="1"/>
  <c r="Q269" i="4"/>
  <c r="T48" i="8" s="1"/>
  <c r="T269" i="4"/>
  <c r="W48" i="8" s="1"/>
  <c r="P269" i="4"/>
  <c r="S48" i="8" s="1"/>
  <c r="L269" i="4"/>
  <c r="O48" i="8" s="1"/>
  <c r="O269" i="4"/>
  <c r="R48" i="8" s="1"/>
  <c r="D269" i="4"/>
  <c r="R269" i="4"/>
  <c r="U48" i="8" s="1"/>
  <c r="S269" i="4"/>
  <c r="V48" i="8" s="1"/>
  <c r="K269" i="4"/>
  <c r="N48" i="8" s="1"/>
  <c r="J269" i="4"/>
  <c r="M48" i="8" s="1"/>
  <c r="W269" i="4"/>
  <c r="Z48" i="8" s="1"/>
  <c r="BC47" i="4"/>
  <c r="Z26" i="4"/>
  <c r="X332" i="4"/>
  <c r="T230" i="4"/>
  <c r="W9" i="8" s="1"/>
  <c r="M230" i="4"/>
  <c r="P9" i="8" s="1"/>
  <c r="O230" i="4"/>
  <c r="R9" i="8" s="1"/>
  <c r="N230" i="4"/>
  <c r="Q9" i="8" s="1"/>
  <c r="S230" i="4"/>
  <c r="V9" i="8" s="1"/>
  <c r="D230" i="4"/>
  <c r="J230" i="4"/>
  <c r="M9" i="8" s="1"/>
  <c r="F230" i="4"/>
  <c r="I9" i="8" s="1"/>
  <c r="Q230" i="4"/>
  <c r="T9" i="8" s="1"/>
  <c r="W230" i="4"/>
  <c r="Z9" i="8" s="1"/>
  <c r="I230" i="4"/>
  <c r="L9" i="8" s="1"/>
  <c r="E230" i="4"/>
  <c r="H9" i="8" s="1"/>
  <c r="V230" i="4"/>
  <c r="Y9" i="8" s="1"/>
  <c r="H230" i="4"/>
  <c r="K9" i="8" s="1"/>
  <c r="P230" i="4"/>
  <c r="S9" i="8" s="1"/>
  <c r="G230" i="4"/>
  <c r="J9" i="8" s="1"/>
  <c r="K230" i="4"/>
  <c r="N9" i="8" s="1"/>
  <c r="U230" i="4"/>
  <c r="X9" i="8" s="1"/>
  <c r="R230" i="4"/>
  <c r="U9" i="8" s="1"/>
  <c r="E344" i="4"/>
  <c r="D13" i="9" s="1"/>
  <c r="S344" i="4"/>
  <c r="R13" i="9" s="1"/>
  <c r="D344" i="4"/>
  <c r="N344" i="4"/>
  <c r="M13" i="9" s="1"/>
  <c r="O344" i="4"/>
  <c r="N13" i="9" s="1"/>
  <c r="F344" i="4"/>
  <c r="E13" i="9" s="1"/>
  <c r="G344" i="4"/>
  <c r="F13" i="9" s="1"/>
  <c r="I344" i="4"/>
  <c r="H13" i="9" s="1"/>
  <c r="R344" i="4"/>
  <c r="Q13" i="9" s="1"/>
  <c r="V344" i="4"/>
  <c r="U13" i="9" s="1"/>
  <c r="W344" i="4"/>
  <c r="V13" i="9" s="1"/>
  <c r="J344" i="4"/>
  <c r="I13" i="9" s="1"/>
  <c r="H344" i="4"/>
  <c r="G13" i="9" s="1"/>
  <c r="M344" i="4"/>
  <c r="L13" i="9" s="1"/>
  <c r="P344" i="4"/>
  <c r="O13" i="9" s="1"/>
  <c r="L344" i="4"/>
  <c r="K13" i="9" s="1"/>
  <c r="Q344" i="4"/>
  <c r="P13" i="9" s="1"/>
  <c r="U344" i="4"/>
  <c r="T13" i="9" s="1"/>
  <c r="K344" i="4"/>
  <c r="J13" i="9" s="1"/>
  <c r="T344" i="4"/>
  <c r="S13" i="9" s="1"/>
  <c r="I271" i="4"/>
  <c r="L50" i="8" s="1"/>
  <c r="W356" i="4"/>
  <c r="V25" i="9" s="1"/>
  <c r="V356" i="4"/>
  <c r="U25" i="9" s="1"/>
  <c r="R356" i="4"/>
  <c r="Q25" i="9" s="1"/>
  <c r="H356" i="4"/>
  <c r="G25" i="9" s="1"/>
  <c r="Q356" i="4"/>
  <c r="P25" i="9" s="1"/>
  <c r="M356" i="4"/>
  <c r="L25" i="9" s="1"/>
  <c r="G356" i="4"/>
  <c r="F25" i="9" s="1"/>
  <c r="J356" i="4"/>
  <c r="I25" i="9" s="1"/>
  <c r="K356" i="4"/>
  <c r="J25" i="9" s="1"/>
  <c r="S356" i="4"/>
  <c r="R25" i="9" s="1"/>
  <c r="N356" i="4"/>
  <c r="M25" i="9" s="1"/>
  <c r="L356" i="4"/>
  <c r="K25" i="9" s="1"/>
  <c r="D356" i="4"/>
  <c r="T356" i="4"/>
  <c r="S25" i="9" s="1"/>
  <c r="P356" i="4"/>
  <c r="O25" i="9" s="1"/>
  <c r="E356" i="4"/>
  <c r="D25" i="9" s="1"/>
  <c r="I356" i="4"/>
  <c r="H25" i="9" s="1"/>
  <c r="O356" i="4"/>
  <c r="N25" i="9" s="1"/>
  <c r="F356" i="4"/>
  <c r="E25" i="9" s="1"/>
  <c r="U356" i="4"/>
  <c r="T25" i="9" s="1"/>
  <c r="G232" i="4"/>
  <c r="J11" i="8" s="1"/>
  <c r="P232" i="4"/>
  <c r="S11" i="8" s="1"/>
  <c r="O232" i="4"/>
  <c r="R11" i="8" s="1"/>
  <c r="J232" i="4"/>
  <c r="M11" i="8" s="1"/>
  <c r="M232" i="4"/>
  <c r="P11" i="8" s="1"/>
  <c r="N232" i="4"/>
  <c r="Q11" i="8" s="1"/>
  <c r="F232" i="4"/>
  <c r="I11" i="8" s="1"/>
  <c r="L232" i="4"/>
  <c r="O11" i="8" s="1"/>
  <c r="K232" i="4"/>
  <c r="N11" i="8" s="1"/>
  <c r="H232" i="4"/>
  <c r="K11" i="8" s="1"/>
  <c r="D232" i="4"/>
  <c r="U232" i="4"/>
  <c r="X11" i="8" s="1"/>
  <c r="Q232" i="4"/>
  <c r="T11" i="8" s="1"/>
  <c r="I232" i="4"/>
  <c r="L11" i="8" s="1"/>
  <c r="T232" i="4"/>
  <c r="W11" i="8" s="1"/>
  <c r="W232" i="4"/>
  <c r="Z11" i="8" s="1"/>
  <c r="S232" i="4"/>
  <c r="V11" i="8" s="1"/>
  <c r="R232" i="4"/>
  <c r="U11" i="8" s="1"/>
  <c r="E232" i="4"/>
  <c r="H11" i="8" s="1"/>
  <c r="V232" i="4"/>
  <c r="Y11" i="8" s="1"/>
  <c r="V382" i="4"/>
  <c r="U51" i="9" s="1"/>
  <c r="G382" i="4"/>
  <c r="F51" i="9" s="1"/>
  <c r="I382" i="4"/>
  <c r="H51" i="9" s="1"/>
  <c r="D382" i="4"/>
  <c r="U382" i="4"/>
  <c r="T51" i="9" s="1"/>
  <c r="N382" i="4"/>
  <c r="M51" i="9" s="1"/>
  <c r="H382" i="4"/>
  <c r="G51" i="9" s="1"/>
  <c r="W382" i="4"/>
  <c r="V51" i="9" s="1"/>
  <c r="Q382" i="4"/>
  <c r="P51" i="9" s="1"/>
  <c r="R382" i="4"/>
  <c r="Q51" i="9" s="1"/>
  <c r="P382" i="4"/>
  <c r="O51" i="9" s="1"/>
  <c r="O382" i="4"/>
  <c r="N51" i="9" s="1"/>
  <c r="F382" i="4"/>
  <c r="E51" i="9" s="1"/>
  <c r="M382" i="4"/>
  <c r="L51" i="9" s="1"/>
  <c r="K382" i="4"/>
  <c r="J51" i="9" s="1"/>
  <c r="J382" i="4"/>
  <c r="I51" i="9" s="1"/>
  <c r="E382" i="4"/>
  <c r="D51" i="9" s="1"/>
  <c r="T382" i="4"/>
  <c r="S51" i="9" s="1"/>
  <c r="S382" i="4"/>
  <c r="R51" i="9" s="1"/>
  <c r="L382" i="4"/>
  <c r="K51" i="9" s="1"/>
  <c r="AC236" i="4"/>
  <c r="AI251" i="4"/>
  <c r="H269" i="4"/>
  <c r="K48" i="8" s="1"/>
  <c r="N256" i="4"/>
  <c r="Q35" i="8" s="1"/>
  <c r="T256" i="4"/>
  <c r="W35" i="8" s="1"/>
  <c r="V256" i="4"/>
  <c r="Y35" i="8" s="1"/>
  <c r="I256" i="4"/>
  <c r="L35" i="8" s="1"/>
  <c r="F256" i="4"/>
  <c r="I35" i="8" s="1"/>
  <c r="O256" i="4"/>
  <c r="R35" i="8" s="1"/>
  <c r="S256" i="4"/>
  <c r="V35" i="8" s="1"/>
  <c r="G256" i="4"/>
  <c r="J35" i="8" s="1"/>
  <c r="Q256" i="4"/>
  <c r="T35" i="8" s="1"/>
  <c r="L256" i="4"/>
  <c r="O35" i="8" s="1"/>
  <c r="K256" i="4"/>
  <c r="N35" i="8" s="1"/>
  <c r="H256" i="4"/>
  <c r="K35" i="8" s="1"/>
  <c r="E256" i="4"/>
  <c r="H35" i="8" s="1"/>
  <c r="M256" i="4"/>
  <c r="P35" i="8" s="1"/>
  <c r="D256" i="4"/>
  <c r="U256" i="4"/>
  <c r="X35" i="8" s="1"/>
  <c r="J256" i="4"/>
  <c r="M35" i="8" s="1"/>
  <c r="W256" i="4"/>
  <c r="Z35" i="8" s="1"/>
  <c r="P256" i="4"/>
  <c r="S35" i="8" s="1"/>
  <c r="N441" i="4"/>
  <c r="M110" i="9" s="1"/>
  <c r="U441" i="4"/>
  <c r="T110" i="9" s="1"/>
  <c r="W441" i="4"/>
  <c r="V110" i="9" s="1"/>
  <c r="F441" i="4"/>
  <c r="E110" i="9" s="1"/>
  <c r="J441" i="4"/>
  <c r="I110" i="9" s="1"/>
  <c r="Q441" i="4"/>
  <c r="P110" i="9" s="1"/>
  <c r="R441" i="4"/>
  <c r="Q110" i="9" s="1"/>
  <c r="D441" i="4"/>
  <c r="E441" i="4"/>
  <c r="D110" i="9" s="1"/>
  <c r="H441" i="4"/>
  <c r="G110" i="9" s="1"/>
  <c r="L441" i="4"/>
  <c r="K110" i="9" s="1"/>
  <c r="T441" i="4"/>
  <c r="S110" i="9" s="1"/>
  <c r="P441" i="4"/>
  <c r="O110" i="9" s="1"/>
  <c r="M441" i="4"/>
  <c r="L110" i="9" s="1"/>
  <c r="I441" i="4"/>
  <c r="H110" i="9" s="1"/>
  <c r="K441" i="4"/>
  <c r="J110" i="9" s="1"/>
  <c r="S441" i="4"/>
  <c r="R110" i="9" s="1"/>
  <c r="V441" i="4"/>
  <c r="U110" i="9" s="1"/>
  <c r="G441" i="4"/>
  <c r="F110" i="9" s="1"/>
  <c r="O441" i="4"/>
  <c r="N110" i="9" s="1"/>
  <c r="J340" i="4"/>
  <c r="I9" i="9" s="1"/>
  <c r="H340" i="4"/>
  <c r="G9" i="9" s="1"/>
  <c r="G340" i="4"/>
  <c r="F9" i="9" s="1"/>
  <c r="K340" i="4"/>
  <c r="J9" i="9" s="1"/>
  <c r="F340" i="4"/>
  <c r="E9" i="9" s="1"/>
  <c r="V340" i="4"/>
  <c r="U9" i="9" s="1"/>
  <c r="L340" i="4"/>
  <c r="K9" i="9" s="1"/>
  <c r="N340" i="4"/>
  <c r="M9" i="9" s="1"/>
  <c r="D340" i="4"/>
  <c r="M340" i="4"/>
  <c r="L9" i="9" s="1"/>
  <c r="P340" i="4"/>
  <c r="O9" i="9" s="1"/>
  <c r="T340" i="4"/>
  <c r="S9" i="9" s="1"/>
  <c r="E340" i="4"/>
  <c r="D9" i="9" s="1"/>
  <c r="U340" i="4"/>
  <c r="T9" i="9" s="1"/>
  <c r="O340" i="4"/>
  <c r="N9" i="9" s="1"/>
  <c r="I340" i="4"/>
  <c r="H9" i="9" s="1"/>
  <c r="W340" i="4"/>
  <c r="V9" i="9" s="1"/>
  <c r="R340" i="4"/>
  <c r="Q9" i="9" s="1"/>
  <c r="S340" i="4"/>
  <c r="R9" i="9" s="1"/>
  <c r="Q340" i="4"/>
  <c r="P9" i="9" s="1"/>
  <c r="O355" i="4"/>
  <c r="N24" i="9" s="1"/>
  <c r="K355" i="4"/>
  <c r="J24" i="9" s="1"/>
  <c r="Q355" i="4"/>
  <c r="P24" i="9" s="1"/>
  <c r="P355" i="4"/>
  <c r="O24" i="9" s="1"/>
  <c r="F355" i="4"/>
  <c r="E24" i="9" s="1"/>
  <c r="D355" i="4"/>
  <c r="V355" i="4"/>
  <c r="U24" i="9" s="1"/>
  <c r="S355" i="4"/>
  <c r="R24" i="9" s="1"/>
  <c r="T355" i="4"/>
  <c r="S24" i="9" s="1"/>
  <c r="G355" i="4"/>
  <c r="F24" i="9" s="1"/>
  <c r="E355" i="4"/>
  <c r="D24" i="9" s="1"/>
  <c r="W355" i="4"/>
  <c r="V24" i="9" s="1"/>
  <c r="U355" i="4"/>
  <c r="T24" i="9" s="1"/>
  <c r="M355" i="4"/>
  <c r="L24" i="9" s="1"/>
  <c r="I355" i="4"/>
  <c r="H24" i="9" s="1"/>
  <c r="N355" i="4"/>
  <c r="M24" i="9" s="1"/>
  <c r="L355" i="4"/>
  <c r="K24" i="9" s="1"/>
  <c r="R355" i="4"/>
  <c r="Q24" i="9" s="1"/>
  <c r="H355" i="4"/>
  <c r="G24" i="9" s="1"/>
  <c r="J355" i="4"/>
  <c r="I24" i="9" s="1"/>
  <c r="AK251" i="4"/>
  <c r="AV45" i="4"/>
  <c r="AW45" i="4"/>
  <c r="D388" i="4"/>
  <c r="W388" i="4"/>
  <c r="V57" i="9" s="1"/>
  <c r="T388" i="4"/>
  <c r="S57" i="9" s="1"/>
  <c r="H388" i="4"/>
  <c r="G57" i="9" s="1"/>
  <c r="M388" i="4"/>
  <c r="L57" i="9" s="1"/>
  <c r="L388" i="4"/>
  <c r="K57" i="9" s="1"/>
  <c r="S388" i="4"/>
  <c r="R57" i="9" s="1"/>
  <c r="P388" i="4"/>
  <c r="O57" i="9" s="1"/>
  <c r="I388" i="4"/>
  <c r="H57" i="9" s="1"/>
  <c r="K388" i="4"/>
  <c r="J57" i="9" s="1"/>
  <c r="E388" i="4"/>
  <c r="D57" i="9" s="1"/>
  <c r="Q388" i="4"/>
  <c r="P57" i="9" s="1"/>
  <c r="U388" i="4"/>
  <c r="T57" i="9" s="1"/>
  <c r="O388" i="4"/>
  <c r="N57" i="9" s="1"/>
  <c r="F388" i="4"/>
  <c r="E57" i="9" s="1"/>
  <c r="N388" i="4"/>
  <c r="M57" i="9" s="1"/>
  <c r="V388" i="4"/>
  <c r="U57" i="9" s="1"/>
  <c r="G388" i="4"/>
  <c r="F57" i="9" s="1"/>
  <c r="J388" i="4"/>
  <c r="I57" i="9" s="1"/>
  <c r="R388" i="4"/>
  <c r="Q57" i="9" s="1"/>
  <c r="J380" i="4"/>
  <c r="I49" i="9" s="1"/>
  <c r="S380" i="4"/>
  <c r="R49" i="9" s="1"/>
  <c r="D380" i="4"/>
  <c r="R380" i="4"/>
  <c r="Q49" i="9" s="1"/>
  <c r="Q380" i="4"/>
  <c r="P49" i="9" s="1"/>
  <c r="E380" i="4"/>
  <c r="D49" i="9" s="1"/>
  <c r="N380" i="4"/>
  <c r="M49" i="9" s="1"/>
  <c r="O380" i="4"/>
  <c r="N49" i="9" s="1"/>
  <c r="M380" i="4"/>
  <c r="L49" i="9" s="1"/>
  <c r="L380" i="4"/>
  <c r="K49" i="9" s="1"/>
  <c r="P380" i="4"/>
  <c r="O49" i="9" s="1"/>
  <c r="T380" i="4"/>
  <c r="S49" i="9" s="1"/>
  <c r="W380" i="4"/>
  <c r="V49" i="9" s="1"/>
  <c r="G380" i="4"/>
  <c r="F49" i="9" s="1"/>
  <c r="K380" i="4"/>
  <c r="J49" i="9" s="1"/>
  <c r="U380" i="4"/>
  <c r="T49" i="9" s="1"/>
  <c r="V380" i="4"/>
  <c r="U49" i="9" s="1"/>
  <c r="I380" i="4"/>
  <c r="H49" i="9" s="1"/>
  <c r="F380" i="4"/>
  <c r="E49" i="9" s="1"/>
  <c r="H380" i="4"/>
  <c r="G49" i="9" s="1"/>
  <c r="AF236" i="4"/>
  <c r="U342" i="4"/>
  <c r="T11" i="9" s="1"/>
  <c r="F342" i="4"/>
  <c r="E11" i="9" s="1"/>
  <c r="L342" i="4"/>
  <c r="K11" i="9" s="1"/>
  <c r="E342" i="4"/>
  <c r="D11" i="9" s="1"/>
  <c r="I342" i="4"/>
  <c r="H11" i="9" s="1"/>
  <c r="H342" i="4"/>
  <c r="G11" i="9" s="1"/>
  <c r="D342" i="4"/>
  <c r="T342" i="4"/>
  <c r="S11" i="9" s="1"/>
  <c r="O342" i="4"/>
  <c r="N11" i="9" s="1"/>
  <c r="J342" i="4"/>
  <c r="I11" i="9" s="1"/>
  <c r="R342" i="4"/>
  <c r="Q11" i="9" s="1"/>
  <c r="N342" i="4"/>
  <c r="M11" i="9" s="1"/>
  <c r="V342" i="4"/>
  <c r="U11" i="9" s="1"/>
  <c r="S342" i="4"/>
  <c r="R11" i="9" s="1"/>
  <c r="G342" i="4"/>
  <c r="F11" i="9" s="1"/>
  <c r="M342" i="4"/>
  <c r="L11" i="9" s="1"/>
  <c r="W342" i="4"/>
  <c r="V11" i="9" s="1"/>
  <c r="K342" i="4"/>
  <c r="J11" i="9" s="1"/>
  <c r="P342" i="4"/>
  <c r="O11" i="9" s="1"/>
  <c r="Q342" i="4"/>
  <c r="P11" i="9" s="1"/>
  <c r="AM251" i="4"/>
  <c r="AR79" i="4"/>
  <c r="AW77" i="4"/>
  <c r="AT79" i="4"/>
  <c r="BC79" i="4"/>
  <c r="AM73" i="4"/>
  <c r="AV15" i="4"/>
  <c r="AZ15" i="4"/>
  <c r="AM28" i="4"/>
  <c r="BA21" i="4"/>
  <c r="AV79" i="4"/>
  <c r="BA15" i="4"/>
  <c r="AS15" i="4"/>
  <c r="AR15" i="4"/>
  <c r="AW15" i="4"/>
  <c r="BB15" i="4"/>
  <c r="AY15" i="4"/>
  <c r="BC15" i="4"/>
  <c r="AT15" i="4"/>
  <c r="V104" i="4"/>
  <c r="Z110" i="4"/>
  <c r="AM49" i="4"/>
  <c r="AC26" i="4"/>
  <c r="AS95" i="4"/>
  <c r="AY8" i="4"/>
  <c r="W12" i="4"/>
  <c r="BC107" i="4"/>
  <c r="S104" i="4"/>
  <c r="AS30" i="4"/>
  <c r="AU79" i="4"/>
  <c r="X110" i="4"/>
  <c r="BC51" i="4"/>
  <c r="Z12" i="4"/>
  <c r="AX14" i="4"/>
  <c r="AM50" i="4"/>
  <c r="AA110" i="4"/>
  <c r="AD32" i="4"/>
  <c r="S12" i="4"/>
  <c r="AM74" i="4"/>
  <c r="AD43" i="4"/>
  <c r="AT95" i="4"/>
  <c r="Y110" i="4"/>
  <c r="V28" i="4"/>
  <c r="U97" i="4"/>
  <c r="AV66" i="4"/>
  <c r="BB79" i="4"/>
  <c r="AA26" i="4"/>
  <c r="AT24" i="4"/>
  <c r="W40" i="4"/>
  <c r="AZ79" i="4"/>
  <c r="AC32" i="4"/>
  <c r="W110" i="4"/>
  <c r="BA79" i="4"/>
  <c r="AC43" i="4"/>
  <c r="AA32" i="4"/>
  <c r="AX45" i="4"/>
  <c r="AM91" i="4"/>
  <c r="AU63" i="4"/>
  <c r="AW79" i="4"/>
  <c r="AT108" i="4"/>
  <c r="U12" i="4"/>
  <c r="AB70" i="4"/>
  <c r="U104" i="4"/>
  <c r="AB23" i="4"/>
  <c r="AB32" i="4"/>
  <c r="AZ45" i="4"/>
  <c r="AV21" i="4"/>
  <c r="S72" i="4"/>
  <c r="AU45" i="4"/>
  <c r="AU95" i="4"/>
  <c r="V12" i="4"/>
  <c r="V43" i="4"/>
  <c r="AX20" i="4"/>
  <c r="T106" i="4"/>
  <c r="X70" i="4"/>
  <c r="Y12" i="4"/>
  <c r="AM90" i="4"/>
  <c r="AS107" i="4"/>
  <c r="T12" i="4"/>
  <c r="AU47" i="4"/>
  <c r="U106" i="4"/>
  <c r="AU55" i="4"/>
  <c r="BB45" i="4"/>
  <c r="AD110" i="4"/>
  <c r="AD23" i="4"/>
  <c r="AA23" i="4"/>
  <c r="Y56" i="4"/>
  <c r="AZ107" i="4"/>
  <c r="U43" i="4"/>
  <c r="BB69" i="4"/>
  <c r="T75" i="4"/>
  <c r="Y106" i="4"/>
  <c r="Z40" i="4"/>
  <c r="AR66" i="4"/>
  <c r="AM94" i="4"/>
  <c r="S97" i="4"/>
  <c r="S89" i="4"/>
  <c r="BB22" i="4"/>
  <c r="AM62" i="4"/>
  <c r="AK63" i="4"/>
  <c r="AX24" i="4"/>
  <c r="BB52" i="4"/>
  <c r="W19" i="4"/>
  <c r="AM71" i="4"/>
  <c r="AV29" i="4"/>
  <c r="BB107" i="4"/>
  <c r="AM70" i="4"/>
  <c r="AY29" i="4"/>
  <c r="AT22" i="4"/>
  <c r="AC16" i="4"/>
  <c r="V26" i="4"/>
  <c r="V7" i="4"/>
  <c r="Y104" i="4"/>
  <c r="W106" i="4"/>
  <c r="X89" i="4"/>
  <c r="BB20" i="4"/>
  <c r="AX13" i="4"/>
  <c r="Z32" i="4"/>
  <c r="V110" i="4"/>
  <c r="AS91" i="4"/>
  <c r="V33" i="4"/>
  <c r="AA106" i="4"/>
  <c r="AY62" i="4"/>
  <c r="V32" i="4"/>
  <c r="AB104" i="4"/>
  <c r="AR21" i="4"/>
  <c r="AX63" i="4"/>
  <c r="AD16" i="4"/>
  <c r="AU14" i="4"/>
  <c r="W89" i="4"/>
  <c r="AR20" i="4"/>
  <c r="Y28" i="4"/>
  <c r="X106" i="4"/>
  <c r="AZ21" i="4"/>
  <c r="AZ22" i="4"/>
  <c r="AD104" i="4"/>
  <c r="X104" i="4"/>
  <c r="AA16" i="4"/>
  <c r="Y89" i="4"/>
  <c r="AZ14" i="4"/>
  <c r="V97" i="4"/>
  <c r="AV14" i="4"/>
  <c r="AW14" i="4"/>
  <c r="BA22" i="4"/>
  <c r="AU21" i="4"/>
  <c r="U75" i="4"/>
  <c r="Z104" i="4"/>
  <c r="BB100" i="4"/>
  <c r="AR14" i="4"/>
  <c r="AS14" i="4"/>
  <c r="Z89" i="4"/>
  <c r="AU20" i="4"/>
  <c r="AY21" i="4"/>
  <c r="T26" i="4"/>
  <c r="AW95" i="4"/>
  <c r="AY95" i="4"/>
  <c r="U26" i="4"/>
  <c r="W104" i="4"/>
  <c r="AW22" i="4"/>
  <c r="S26" i="4"/>
  <c r="U19" i="4"/>
  <c r="AV64" i="4"/>
  <c r="BB14" i="4"/>
  <c r="AY69" i="4"/>
  <c r="AC110" i="4"/>
  <c r="AZ20" i="4"/>
  <c r="AV20" i="4"/>
  <c r="W32" i="4"/>
  <c r="AY14" i="4"/>
  <c r="X32" i="4"/>
  <c r="S110" i="4"/>
  <c r="BC9" i="4"/>
  <c r="BA77" i="4"/>
  <c r="AB16" i="4"/>
  <c r="AC104" i="4"/>
  <c r="AZ95" i="4"/>
  <c r="AX95" i="4"/>
  <c r="AV22" i="4"/>
  <c r="U33" i="4"/>
  <c r="T7" i="4"/>
  <c r="AY20" i="4"/>
  <c r="U72" i="4"/>
  <c r="T89" i="4"/>
  <c r="Y32" i="4"/>
  <c r="AU99" i="4"/>
  <c r="T110" i="4"/>
  <c r="V75" i="4"/>
  <c r="AT98" i="4"/>
  <c r="Z106" i="4"/>
  <c r="AB110" i="4"/>
  <c r="V89" i="4"/>
  <c r="AV18" i="4"/>
  <c r="U16" i="4"/>
  <c r="AZ55" i="4"/>
  <c r="BC21" i="4"/>
  <c r="V72" i="4"/>
  <c r="AU29" i="4"/>
  <c r="AV13" i="4"/>
  <c r="AT14" i="4"/>
  <c r="U110" i="4"/>
  <c r="AV95" i="4"/>
  <c r="BA14" i="4"/>
  <c r="AR95" i="4"/>
  <c r="AS22" i="4"/>
  <c r="U89" i="4"/>
  <c r="AU17" i="4"/>
  <c r="AX31" i="4"/>
  <c r="AR55" i="4"/>
  <c r="AR91" i="4"/>
  <c r="AH88" i="4"/>
  <c r="Y40" i="4"/>
  <c r="U70" i="4"/>
  <c r="BC20" i="4"/>
  <c r="AX107" i="4"/>
  <c r="T72" i="4"/>
  <c r="AU30" i="4"/>
  <c r="AW108" i="4"/>
  <c r="AS11" i="4"/>
  <c r="AV25" i="4"/>
  <c r="Y70" i="4"/>
  <c r="U23" i="4"/>
  <c r="AX62" i="4"/>
  <c r="AB56" i="4"/>
  <c r="AU62" i="4"/>
  <c r="AT62" i="4"/>
  <c r="BA62" i="4"/>
  <c r="AZ69" i="4"/>
  <c r="BC69" i="4"/>
  <c r="BB95" i="4"/>
  <c r="BA95" i="4"/>
  <c r="U32" i="4"/>
  <c r="AX29" i="4"/>
  <c r="AR30" i="4"/>
  <c r="AW62" i="4"/>
  <c r="AY79" i="4"/>
  <c r="AR107" i="4"/>
  <c r="AY107" i="4"/>
  <c r="AY30" i="4"/>
  <c r="AX98" i="4"/>
  <c r="S32" i="4"/>
  <c r="BC95" i="4"/>
  <c r="AC36" i="4"/>
  <c r="AY91" i="4"/>
  <c r="T32" i="4"/>
  <c r="BB62" i="4"/>
  <c r="BB91" i="4"/>
  <c r="U78" i="4"/>
  <c r="AW107" i="4"/>
  <c r="BA20" i="4"/>
  <c r="AR69" i="4"/>
  <c r="AV62" i="4"/>
  <c r="AT69" i="4"/>
  <c r="AC97" i="4"/>
  <c r="AT20" i="4"/>
  <c r="BB50" i="4"/>
  <c r="AR10" i="4"/>
  <c r="BA30" i="4"/>
  <c r="AU22" i="4"/>
  <c r="Z75" i="4"/>
  <c r="AT9" i="4"/>
  <c r="BB25" i="4"/>
  <c r="Z70" i="4"/>
  <c r="AZ57" i="4"/>
  <c r="AT31" i="4"/>
  <c r="W70" i="4"/>
  <c r="AU18" i="4"/>
  <c r="AS9" i="4"/>
  <c r="BB9" i="4"/>
  <c r="BA91" i="4"/>
  <c r="BC25" i="4"/>
  <c r="AZ24" i="4"/>
  <c r="BB74" i="4"/>
  <c r="AW13" i="4"/>
  <c r="BB30" i="4"/>
  <c r="AU9" i="4"/>
  <c r="BB31" i="4"/>
  <c r="AZ31" i="4"/>
  <c r="AZ9" i="4"/>
  <c r="BA31" i="4"/>
  <c r="V23" i="4"/>
  <c r="Z84" i="4"/>
  <c r="Y97" i="4"/>
  <c r="AD19" i="4"/>
  <c r="S106" i="4"/>
  <c r="Z92" i="4"/>
  <c r="AR25" i="4"/>
  <c r="AY93" i="4"/>
  <c r="AW29" i="4"/>
  <c r="AV69" i="4"/>
  <c r="X19" i="4"/>
  <c r="S23" i="4"/>
  <c r="X7" i="4"/>
  <c r="AR62" i="4"/>
  <c r="AS62" i="4"/>
  <c r="S60" i="4"/>
  <c r="AA70" i="4"/>
  <c r="Y33" i="4"/>
  <c r="AY31" i="4"/>
  <c r="BA25" i="4"/>
  <c r="AR9" i="4"/>
  <c r="AS68" i="4"/>
  <c r="T23" i="4"/>
  <c r="AT101" i="4"/>
  <c r="AU31" i="4"/>
  <c r="AV31" i="4"/>
  <c r="AT90" i="4"/>
  <c r="AS31" i="4"/>
  <c r="BA9" i="4"/>
  <c r="AX9" i="4"/>
  <c r="AS25" i="4"/>
  <c r="AU107" i="4"/>
  <c r="AR31" i="4"/>
  <c r="AY9" i="4"/>
  <c r="T84" i="4"/>
  <c r="W16" i="4"/>
  <c r="BB18" i="4"/>
  <c r="AS69" i="4"/>
  <c r="AW31" i="4"/>
  <c r="Z28" i="4"/>
  <c r="BC62" i="4"/>
  <c r="AW9" i="4"/>
  <c r="AV9" i="4"/>
  <c r="AS17" i="4"/>
  <c r="AR53" i="4"/>
  <c r="Z19" i="4"/>
  <c r="AC23" i="4"/>
  <c r="AZ101" i="4"/>
  <c r="AZ100" i="4"/>
  <c r="Y75" i="4"/>
  <c r="AZ30" i="4"/>
  <c r="AW101" i="4"/>
  <c r="BC101" i="4"/>
  <c r="AX55" i="4"/>
  <c r="X33" i="4"/>
  <c r="AT25" i="4"/>
  <c r="U109" i="4"/>
  <c r="Z33" i="4"/>
  <c r="W92" i="4"/>
  <c r="W33" i="4"/>
  <c r="BA29" i="4"/>
  <c r="X92" i="4"/>
  <c r="AA40" i="4"/>
  <c r="Y92" i="4"/>
  <c r="AT65" i="4"/>
  <c r="AD28" i="4"/>
  <c r="AU39" i="4"/>
  <c r="AA75" i="4"/>
  <c r="AD106" i="4"/>
  <c r="AR98" i="4"/>
  <c r="AR64" i="4"/>
  <c r="V56" i="4"/>
  <c r="AD40" i="4"/>
  <c r="AZ38" i="4"/>
  <c r="AA78" i="4"/>
  <c r="AU66" i="4"/>
  <c r="BC82" i="4"/>
  <c r="AA104" i="4"/>
  <c r="V106" i="4"/>
  <c r="T78" i="4"/>
  <c r="Z56" i="4"/>
  <c r="AC56" i="4"/>
  <c r="AZ8" i="4"/>
  <c r="AZ62" i="4"/>
  <c r="AD72" i="4"/>
  <c r="AY11" i="4"/>
  <c r="Z109" i="4"/>
  <c r="AD7" i="4"/>
  <c r="BB77" i="4"/>
  <c r="BB41" i="4"/>
  <c r="AW86" i="4"/>
  <c r="AB78" i="4"/>
  <c r="AS101" i="4"/>
  <c r="S84" i="4"/>
  <c r="X78" i="4"/>
  <c r="BB101" i="4"/>
  <c r="U60" i="4"/>
  <c r="AR101" i="4"/>
  <c r="AD70" i="4"/>
  <c r="AA103" i="4"/>
  <c r="AD60" i="4"/>
  <c r="X40" i="4"/>
  <c r="W23" i="4"/>
  <c r="AC70" i="4"/>
  <c r="AV101" i="4"/>
  <c r="AW51" i="4"/>
  <c r="AW30" i="4"/>
  <c r="BC64" i="4"/>
  <c r="Z16" i="4"/>
  <c r="AZ66" i="4"/>
  <c r="T97" i="4"/>
  <c r="AA56" i="4"/>
  <c r="AX65" i="4"/>
  <c r="AC78" i="4"/>
  <c r="BB86" i="4"/>
  <c r="AB36" i="4"/>
  <c r="AV65" i="4"/>
  <c r="AD78" i="4"/>
  <c r="AT94" i="4"/>
  <c r="AC75" i="4"/>
  <c r="AC19" i="4"/>
  <c r="AC40" i="4"/>
  <c r="AA28" i="4"/>
  <c r="T16" i="4"/>
  <c r="AS41" i="4"/>
  <c r="BA38" i="4"/>
  <c r="AD75" i="4"/>
  <c r="AU69" i="4"/>
  <c r="BC66" i="4"/>
  <c r="AA19" i="4"/>
  <c r="AA92" i="4"/>
  <c r="AT63" i="4"/>
  <c r="AW41" i="4"/>
  <c r="AZ39" i="4"/>
  <c r="BA64" i="4"/>
  <c r="AR100" i="4"/>
  <c r="AT100" i="4"/>
  <c r="AY42" i="4"/>
  <c r="AC103" i="4"/>
  <c r="AU41" i="4"/>
  <c r="AB75" i="4"/>
  <c r="AB19" i="4"/>
  <c r="V70" i="4"/>
  <c r="AR11" i="4"/>
  <c r="AC92" i="4"/>
  <c r="AX66" i="4"/>
  <c r="AS66" i="4"/>
  <c r="AV63" i="4"/>
  <c r="AV39" i="4"/>
  <c r="AS39" i="4"/>
  <c r="AS77" i="4"/>
  <c r="S70" i="4"/>
  <c r="AD92" i="4"/>
  <c r="BC11" i="4"/>
  <c r="S16" i="4"/>
  <c r="U7" i="4"/>
  <c r="AB28" i="4"/>
  <c r="BA101" i="4"/>
  <c r="BB66" i="4"/>
  <c r="AD33" i="4"/>
  <c r="T33" i="4"/>
  <c r="BC63" i="4"/>
  <c r="AA72" i="4"/>
  <c r="W36" i="4"/>
  <c r="AS8" i="4"/>
  <c r="AC72" i="4"/>
  <c r="AV82" i="4"/>
  <c r="BA63" i="4"/>
  <c r="BC8" i="4"/>
  <c r="BC39" i="4"/>
  <c r="AD103" i="4"/>
  <c r="AY77" i="4"/>
  <c r="AS51" i="4"/>
  <c r="AU8" i="4"/>
  <c r="AX8" i="4"/>
  <c r="AY99" i="4"/>
  <c r="BA39" i="4"/>
  <c r="T70" i="4"/>
  <c r="AB92" i="4"/>
  <c r="AB97" i="4"/>
  <c r="T60" i="4"/>
  <c r="AW11" i="4"/>
  <c r="Z78" i="4"/>
  <c r="AB84" i="4"/>
  <c r="AV57" i="4"/>
  <c r="AW8" i="4"/>
  <c r="AR39" i="4"/>
  <c r="AR63" i="4"/>
  <c r="AW65" i="4"/>
  <c r="AT66" i="4"/>
  <c r="Z72" i="4"/>
  <c r="BC53" i="4"/>
  <c r="AB7" i="4"/>
  <c r="AZ63" i="4"/>
  <c r="BB39" i="4"/>
  <c r="AZ77" i="4"/>
  <c r="AV8" i="4"/>
  <c r="W84" i="4"/>
  <c r="AY64" i="4"/>
  <c r="X84" i="4"/>
  <c r="AR18" i="4"/>
  <c r="X28" i="4"/>
  <c r="S78" i="4"/>
  <c r="AX90" i="4"/>
  <c r="AX86" i="4"/>
  <c r="AW63" i="4"/>
  <c r="AS44" i="4"/>
  <c r="AY63" i="4"/>
  <c r="AS63" i="4"/>
  <c r="AY39" i="4"/>
  <c r="AU77" i="4"/>
  <c r="AT55" i="4"/>
  <c r="Y84" i="4"/>
  <c r="Y78" i="4"/>
  <c r="T104" i="4"/>
  <c r="AB106" i="4"/>
  <c r="AC106" i="4"/>
  <c r="BB63" i="4"/>
  <c r="AW93" i="4"/>
  <c r="AT39" i="4"/>
  <c r="AX41" i="4"/>
  <c r="AU64" i="4"/>
  <c r="BA8" i="4"/>
  <c r="AX64" i="4"/>
  <c r="BB8" i="4"/>
  <c r="Z7" i="4"/>
  <c r="X97" i="4"/>
  <c r="AT8" i="4"/>
  <c r="X109" i="4"/>
  <c r="W78" i="4"/>
  <c r="AB72" i="4"/>
  <c r="AB40" i="4"/>
  <c r="AV77" i="4"/>
  <c r="AX82" i="4"/>
  <c r="T56" i="4"/>
  <c r="AW18" i="4"/>
  <c r="AW82" i="4"/>
  <c r="BC74" i="4"/>
  <c r="BA69" i="4"/>
  <c r="AZ10" i="4"/>
  <c r="AX91" i="4"/>
  <c r="AW98" i="4"/>
  <c r="AU81" i="4"/>
  <c r="BA82" i="4"/>
  <c r="AX17" i="4"/>
  <c r="S7" i="4"/>
  <c r="V60" i="4"/>
  <c r="AW17" i="4"/>
  <c r="AX11" i="4"/>
  <c r="AW20" i="4"/>
  <c r="AC28" i="4"/>
  <c r="AX77" i="4"/>
  <c r="Z103" i="4"/>
  <c r="V40" i="4"/>
  <c r="AR22" i="4"/>
  <c r="BA66" i="4"/>
  <c r="AT107" i="4"/>
  <c r="S33" i="4"/>
  <c r="U56" i="4"/>
  <c r="Z60" i="4"/>
  <c r="AY18" i="4"/>
  <c r="AT51" i="4"/>
  <c r="BB76" i="4"/>
  <c r="AT29" i="4"/>
  <c r="AW55" i="4"/>
  <c r="AY22" i="4"/>
  <c r="AZ29" i="4"/>
  <c r="AY25" i="4"/>
  <c r="BC77" i="4"/>
  <c r="AT18" i="4"/>
  <c r="AY17" i="4"/>
  <c r="AV93" i="4"/>
  <c r="AH59" i="4"/>
  <c r="AU11" i="4"/>
  <c r="AT11" i="4"/>
  <c r="AD36" i="4"/>
  <c r="AR29" i="4"/>
  <c r="BC38" i="4"/>
  <c r="AV74" i="4"/>
  <c r="BA90" i="4"/>
  <c r="AY66" i="4"/>
  <c r="AW38" i="4"/>
  <c r="AU98" i="4"/>
  <c r="AZ86" i="4"/>
  <c r="BC18" i="4"/>
  <c r="AX101" i="4"/>
  <c r="W28" i="4"/>
  <c r="AZ41" i="4"/>
  <c r="AV100" i="4"/>
  <c r="AS98" i="4"/>
  <c r="AY98" i="4"/>
  <c r="AZ25" i="4"/>
  <c r="AU25" i="4"/>
  <c r="AV41" i="4"/>
  <c r="AS29" i="4"/>
  <c r="AX22" i="4"/>
  <c r="BA98" i="4"/>
  <c r="W56" i="4"/>
  <c r="AR17" i="4"/>
  <c r="X23" i="4"/>
  <c r="AV11" i="4"/>
  <c r="AX74" i="4"/>
  <c r="AV86" i="4"/>
  <c r="AZ98" i="4"/>
  <c r="AS86" i="4"/>
  <c r="AX18" i="4"/>
  <c r="AT91" i="4"/>
  <c r="BC29" i="4"/>
  <c r="BA107" i="4"/>
  <c r="AY41" i="4"/>
  <c r="AX25" i="4"/>
  <c r="AV17" i="4"/>
  <c r="AW25" i="4"/>
  <c r="AR8" i="4"/>
  <c r="AD84" i="4"/>
  <c r="X56" i="4"/>
  <c r="W109" i="4"/>
  <c r="AD56" i="4"/>
  <c r="BA17" i="4"/>
  <c r="AV58" i="4"/>
  <c r="AA33" i="4"/>
  <c r="AA97" i="4"/>
  <c r="V84" i="4"/>
  <c r="T19" i="4"/>
  <c r="S75" i="4"/>
  <c r="BC22" i="4"/>
  <c r="AB33" i="4"/>
  <c r="AW99" i="4"/>
  <c r="AS100" i="4"/>
  <c r="V19" i="4"/>
  <c r="AC33" i="4"/>
  <c r="U28" i="4"/>
  <c r="Z97" i="4"/>
  <c r="AX38" i="4"/>
  <c r="Y19" i="4"/>
  <c r="Z23" i="4"/>
  <c r="AR93" i="4"/>
  <c r="AS74" i="4"/>
  <c r="AY101" i="4"/>
  <c r="Y109" i="4"/>
  <c r="AZ18" i="4"/>
  <c r="AX100" i="4"/>
  <c r="AY100" i="4"/>
  <c r="V78" i="4"/>
  <c r="AV98" i="4"/>
  <c r="AW91" i="4"/>
  <c r="AW52" i="4"/>
  <c r="AU101" i="4"/>
  <c r="AS18" i="4"/>
  <c r="BA74" i="4"/>
  <c r="AS108" i="4"/>
  <c r="AA7" i="4"/>
  <c r="AY68" i="4"/>
  <c r="AT54" i="4"/>
  <c r="AZ11" i="4"/>
  <c r="W72" i="4"/>
  <c r="S28" i="4"/>
  <c r="BC31" i="4"/>
  <c r="AB103" i="4"/>
  <c r="X75" i="4"/>
  <c r="AR65" i="4"/>
  <c r="AW66" i="4"/>
  <c r="J88" i="4"/>
  <c r="I88" i="4"/>
  <c r="K88" i="4"/>
  <c r="H88" i="4"/>
  <c r="G88" i="4"/>
  <c r="F88" i="4"/>
  <c r="E88" i="4"/>
  <c r="D88" i="4"/>
  <c r="O88" i="4"/>
  <c r="N88" i="4"/>
  <c r="M88" i="4"/>
  <c r="L88" i="4"/>
  <c r="AF88" i="4"/>
  <c r="D102" i="4"/>
  <c r="O102" i="4"/>
  <c r="N102" i="4"/>
  <c r="M102" i="4"/>
  <c r="L102" i="4"/>
  <c r="K102" i="4"/>
  <c r="J102" i="4"/>
  <c r="I102" i="4"/>
  <c r="H102" i="4"/>
  <c r="G102" i="4"/>
  <c r="E102" i="4"/>
  <c r="F102" i="4"/>
  <c r="AG88" i="4"/>
  <c r="AM53" i="4"/>
  <c r="AG59" i="4"/>
  <c r="O59" i="4"/>
  <c r="N59" i="4"/>
  <c r="M59" i="4"/>
  <c r="L59" i="4"/>
  <c r="K59" i="4"/>
  <c r="J59" i="4"/>
  <c r="I59" i="4"/>
  <c r="H59" i="4"/>
  <c r="G59" i="4"/>
  <c r="F59" i="4"/>
  <c r="E59" i="4"/>
  <c r="D59" i="4"/>
  <c r="AS42" i="4"/>
  <c r="AY58" i="4"/>
  <c r="AW24" i="4"/>
  <c r="AZ82" i="4"/>
  <c r="X16" i="4"/>
  <c r="AA84" i="4"/>
  <c r="AD97" i="4"/>
  <c r="BA50" i="4"/>
  <c r="BB53" i="4"/>
  <c r="X72" i="4"/>
  <c r="S19" i="4"/>
  <c r="AV76" i="4"/>
  <c r="AR74" i="4"/>
  <c r="AY24" i="4"/>
  <c r="AV24" i="4"/>
  <c r="BC54" i="4"/>
  <c r="BB55" i="4"/>
  <c r="AZ91" i="4"/>
  <c r="Y16" i="4"/>
  <c r="AV38" i="4"/>
  <c r="Y72" i="4"/>
  <c r="AA36" i="4"/>
  <c r="AA60" i="4"/>
  <c r="AT57" i="4"/>
  <c r="AU54" i="4"/>
  <c r="AV99" i="4"/>
  <c r="AX99" i="4"/>
  <c r="AT93" i="4"/>
  <c r="AB60" i="4"/>
  <c r="BC99" i="4"/>
  <c r="BC55" i="4"/>
  <c r="T109" i="4"/>
  <c r="AC60" i="4"/>
  <c r="X36" i="4"/>
  <c r="S56" i="4"/>
  <c r="W75" i="4"/>
  <c r="BB58" i="4"/>
  <c r="AW21" i="4"/>
  <c r="AS99" i="4"/>
  <c r="AW74" i="4"/>
  <c r="BA100" i="4"/>
  <c r="BB82" i="4"/>
  <c r="AV90" i="4"/>
  <c r="AS52" i="4"/>
  <c r="AU108" i="4"/>
  <c r="AZ58" i="4"/>
  <c r="AT99" i="4"/>
  <c r="AR46" i="4"/>
  <c r="AC7" i="4"/>
  <c r="V109" i="4"/>
  <c r="AE59" i="4"/>
  <c r="AY86" i="4"/>
  <c r="W97" i="4"/>
  <c r="AZ99" i="4"/>
  <c r="S109" i="4"/>
  <c r="BA108" i="4"/>
  <c r="BA68" i="4"/>
  <c r="AY83" i="4"/>
  <c r="AU83" i="4"/>
  <c r="BA83" i="4"/>
  <c r="AV83" i="4"/>
  <c r="BB83" i="4"/>
  <c r="BC83" i="4"/>
  <c r="AX83" i="4"/>
  <c r="AZ83" i="4"/>
  <c r="AW83" i="4"/>
  <c r="AT83" i="4"/>
  <c r="AS83" i="4"/>
  <c r="AR83" i="4"/>
  <c r="BB57" i="4"/>
  <c r="AY90" i="4"/>
  <c r="BB17" i="4"/>
  <c r="AT17" i="4"/>
  <c r="AT13" i="4"/>
  <c r="BA13" i="4"/>
  <c r="AR13" i="4"/>
  <c r="BB13" i="4"/>
  <c r="AY13" i="4"/>
  <c r="AU13" i="4"/>
  <c r="BC13" i="4"/>
  <c r="AZ13" i="4"/>
  <c r="BC41" i="4"/>
  <c r="AS38" i="4"/>
  <c r="AR54" i="4"/>
  <c r="AT21" i="4"/>
  <c r="BC100" i="4"/>
  <c r="AX51" i="4"/>
  <c r="BC58" i="4"/>
  <c r="AU24" i="4"/>
  <c r="AV54" i="4"/>
  <c r="AU38" i="4"/>
  <c r="AS21" i="4"/>
  <c r="AG102" i="4"/>
  <c r="AZ17" i="4"/>
  <c r="BB29" i="4"/>
  <c r="U84" i="4"/>
  <c r="AU91" i="4"/>
  <c r="AR94" i="4"/>
  <c r="W103" i="4"/>
  <c r="BB21" i="4"/>
  <c r="X103" i="4"/>
  <c r="BA18" i="4"/>
  <c r="AY57" i="4"/>
  <c r="AW58" i="4"/>
  <c r="AX21" i="4"/>
  <c r="AS53" i="4"/>
  <c r="AS90" i="4"/>
  <c r="S40" i="4"/>
  <c r="AU100" i="4"/>
  <c r="W60" i="4"/>
  <c r="Y103" i="4"/>
  <c r="BC17" i="4"/>
  <c r="AS13" i="4"/>
  <c r="AT30" i="4"/>
  <c r="BB11" i="4"/>
  <c r="AU82" i="4"/>
  <c r="AW90" i="4"/>
  <c r="AR99" i="4"/>
  <c r="Y7" i="4"/>
  <c r="AY10" i="4"/>
  <c r="AT41" i="4"/>
  <c r="T40" i="4"/>
  <c r="Y23" i="4"/>
  <c r="AW100" i="4"/>
  <c r="AS20" i="4"/>
  <c r="X60" i="4"/>
  <c r="T28" i="4"/>
  <c r="V16" i="4"/>
  <c r="BA11" i="4"/>
  <c r="BB24" i="4"/>
  <c r="AU58" i="4"/>
  <c r="AS82" i="4"/>
  <c r="W7" i="4"/>
  <c r="BB99" i="4"/>
  <c r="AX57" i="4"/>
  <c r="AS57" i="4"/>
  <c r="AS54" i="4"/>
  <c r="AR41" i="4"/>
  <c r="BB64" i="4"/>
  <c r="U40" i="4"/>
  <c r="Y60" i="4"/>
  <c r="BA54" i="4"/>
  <c r="BA58" i="4"/>
  <c r="AT82" i="4"/>
  <c r="AC84" i="4"/>
  <c r="BC30" i="4"/>
  <c r="AX30" i="4"/>
  <c r="AV30" i="4"/>
  <c r="AU74" i="4"/>
  <c r="AT74" i="4"/>
  <c r="BC57" i="4"/>
  <c r="AR38" i="4"/>
  <c r="AT52" i="4"/>
  <c r="BA44" i="4"/>
  <c r="AX54" i="4"/>
  <c r="AY82" i="4"/>
  <c r="AZ90" i="4"/>
  <c r="BB93" i="4"/>
  <c r="AS93" i="4"/>
  <c r="AT86" i="4"/>
  <c r="AV53" i="4"/>
  <c r="BC91" i="4"/>
  <c r="BA57" i="4"/>
  <c r="AV55" i="4"/>
  <c r="AV107" i="4"/>
  <c r="BA53" i="4"/>
  <c r="AR58" i="4"/>
  <c r="AX93" i="4"/>
  <c r="AS24" i="4"/>
  <c r="AY54" i="4"/>
  <c r="BB38" i="4"/>
  <c r="AW69" i="4"/>
  <c r="AX69" i="4"/>
  <c r="AZ46" i="4"/>
  <c r="AV46" i="4"/>
  <c r="AX46" i="4"/>
  <c r="AU46" i="4"/>
  <c r="AT46" i="4"/>
  <c r="BA46" i="4"/>
  <c r="AV68" i="4"/>
  <c r="AX42" i="4"/>
  <c r="AZ51" i="4"/>
  <c r="AU93" i="4"/>
  <c r="U92" i="4"/>
  <c r="V92" i="4"/>
  <c r="T92" i="4"/>
  <c r="S92" i="4"/>
  <c r="AY53" i="4"/>
  <c r="AU50" i="4"/>
  <c r="AT50" i="4"/>
  <c r="BC87" i="4"/>
  <c r="BB87" i="4"/>
  <c r="AY87" i="4"/>
  <c r="AX87" i="4"/>
  <c r="AW87" i="4"/>
  <c r="AU87" i="4"/>
  <c r="AS87" i="4"/>
  <c r="AV87" i="4"/>
  <c r="AR87" i="4"/>
  <c r="AZ87" i="4"/>
  <c r="AT87" i="4"/>
  <c r="BA87" i="4"/>
  <c r="AS65" i="4"/>
  <c r="BC65" i="4"/>
  <c r="AZ65" i="4"/>
  <c r="AY65" i="4"/>
  <c r="AU65" i="4"/>
  <c r="BA65" i="4"/>
  <c r="AW54" i="4"/>
  <c r="AV81" i="4"/>
  <c r="BB65" i="4"/>
  <c r="BB42" i="4"/>
  <c r="AW53" i="4"/>
  <c r="AY52" i="4"/>
  <c r="AS50" i="4"/>
  <c r="BC10" i="4"/>
  <c r="AE88" i="4"/>
  <c r="AZ93" i="4"/>
  <c r="BA24" i="4"/>
  <c r="X96" i="4"/>
  <c r="W96" i="4"/>
  <c r="Y96" i="4"/>
  <c r="Z96" i="4"/>
  <c r="AX53" i="4"/>
  <c r="BA94" i="4"/>
  <c r="AZ53" i="4"/>
  <c r="AT64" i="4"/>
  <c r="AR51" i="4"/>
  <c r="AS58" i="4"/>
  <c r="AZ74" i="4"/>
  <c r="AU51" i="4"/>
  <c r="AY51" i="4"/>
  <c r="BB54" i="4"/>
  <c r="BC24" i="4"/>
  <c r="AV27" i="4"/>
  <c r="BA27" i="4"/>
  <c r="AU27" i="4"/>
  <c r="AT27" i="4"/>
  <c r="BB27" i="4"/>
  <c r="AY27" i="4"/>
  <c r="AW27" i="4"/>
  <c r="AS27" i="4"/>
  <c r="BC27" i="4"/>
  <c r="AX27" i="4"/>
  <c r="AR27" i="4"/>
  <c r="AZ27" i="4"/>
  <c r="BC68" i="4"/>
  <c r="AE102" i="4"/>
  <c r="AR24" i="4"/>
  <c r="AT81" i="4"/>
  <c r="AR77" i="4"/>
  <c r="AT77" i="4"/>
  <c r="AV50" i="4"/>
  <c r="BC42" i="4"/>
  <c r="AV51" i="4"/>
  <c r="AZ50" i="4"/>
  <c r="V103" i="4"/>
  <c r="T103" i="4"/>
  <c r="S103" i="4"/>
  <c r="U103" i="4"/>
  <c r="BC86" i="4"/>
  <c r="AZ64" i="4"/>
  <c r="AU90" i="4"/>
  <c r="AW48" i="4"/>
  <c r="AS48" i="4"/>
  <c r="AR48" i="4"/>
  <c r="BC48" i="4"/>
  <c r="AU48" i="4"/>
  <c r="AV48" i="4"/>
  <c r="BA48" i="4"/>
  <c r="AX48" i="4"/>
  <c r="AT48" i="4"/>
  <c r="BB48" i="4"/>
  <c r="AY48" i="4"/>
  <c r="AZ48" i="4"/>
  <c r="AB96" i="4"/>
  <c r="AD96" i="4"/>
  <c r="AC96" i="4"/>
  <c r="AA96" i="4"/>
  <c r="AF102" i="4"/>
  <c r="AX68" i="4"/>
  <c r="BC46" i="4"/>
  <c r="AD109" i="4"/>
  <c r="AC109" i="4"/>
  <c r="AB109" i="4"/>
  <c r="AA109" i="4"/>
  <c r="BC67" i="4"/>
  <c r="AZ67" i="4"/>
  <c r="BB67" i="4"/>
  <c r="AW67" i="4"/>
  <c r="BA67" i="4"/>
  <c r="AY67" i="4"/>
  <c r="AX67" i="4"/>
  <c r="AU67" i="4"/>
  <c r="AR67" i="4"/>
  <c r="AT67" i="4"/>
  <c r="AS67" i="4"/>
  <c r="AV67" i="4"/>
  <c r="AV71" i="4"/>
  <c r="AT71" i="4"/>
  <c r="BA71" i="4"/>
  <c r="AR71" i="4"/>
  <c r="AX71" i="4"/>
  <c r="AY71" i="4"/>
  <c r="AW71" i="4"/>
  <c r="AU71" i="4"/>
  <c r="AS71" i="4"/>
  <c r="BB71" i="4"/>
  <c r="BC71" i="4"/>
  <c r="AZ71" i="4"/>
  <c r="BB51" i="4"/>
  <c r="AT58" i="4"/>
  <c r="AU42" i="4"/>
  <c r="AT53" i="4"/>
  <c r="AR42" i="4"/>
  <c r="BC85" i="4"/>
  <c r="AR85" i="4"/>
  <c r="BA85" i="4"/>
  <c r="AY85" i="4"/>
  <c r="AS85" i="4"/>
  <c r="AU85" i="4"/>
  <c r="BB85" i="4"/>
  <c r="AX85" i="4"/>
  <c r="AZ85" i="4"/>
  <c r="AT85" i="4"/>
  <c r="AW85" i="4"/>
  <c r="AV85" i="4"/>
  <c r="BC90" i="4"/>
  <c r="BA76" i="4"/>
  <c r="AZ76" i="4"/>
  <c r="AY76" i="4"/>
  <c r="AW76" i="4"/>
  <c r="AR76" i="4"/>
  <c r="AX76" i="4"/>
  <c r="AU76" i="4"/>
  <c r="BC76" i="4"/>
  <c r="AS76" i="4"/>
  <c r="AT76" i="4"/>
  <c r="AR68" i="4"/>
  <c r="AZ42" i="4"/>
  <c r="AU10" i="4"/>
  <c r="AS10" i="4"/>
  <c r="AV10" i="4"/>
  <c r="AW10" i="4"/>
  <c r="BA10" i="4"/>
  <c r="AT10" i="4"/>
  <c r="AX10" i="4"/>
  <c r="BB10" i="4"/>
  <c r="Y36" i="4"/>
  <c r="AT38" i="4"/>
  <c r="BA52" i="4"/>
  <c r="BA99" i="4"/>
  <c r="AU57" i="4"/>
  <c r="AX58" i="4"/>
  <c r="AH102" i="4"/>
  <c r="Z36" i="4"/>
  <c r="AW57" i="4"/>
  <c r="AR57" i="4"/>
  <c r="AX39" i="4"/>
  <c r="AW39" i="4"/>
  <c r="BB98" i="4"/>
  <c r="AV44" i="4"/>
  <c r="AU44" i="4"/>
  <c r="AW44" i="4"/>
  <c r="BC44" i="4"/>
  <c r="AZ44" i="4"/>
  <c r="AY44" i="4"/>
  <c r="AR44" i="4"/>
  <c r="AT44" i="4"/>
  <c r="BB44" i="4"/>
  <c r="AX44" i="4"/>
  <c r="AU52" i="4"/>
  <c r="AW81" i="4"/>
  <c r="AU53" i="4"/>
  <c r="AU49" i="4"/>
  <c r="BB49" i="4"/>
  <c r="AX49" i="4"/>
  <c r="AV49" i="4"/>
  <c r="BC49" i="4"/>
  <c r="BA49" i="4"/>
  <c r="AT49" i="4"/>
  <c r="AS49" i="4"/>
  <c r="AR49" i="4"/>
  <c r="AZ49" i="4"/>
  <c r="AY49" i="4"/>
  <c r="AW49" i="4"/>
  <c r="AY74" i="4"/>
  <c r="AY105" i="4"/>
  <c r="AX105" i="4"/>
  <c r="AU105" i="4"/>
  <c r="AR105" i="4"/>
  <c r="AV105" i="4"/>
  <c r="AT105" i="4"/>
  <c r="AZ105" i="4"/>
  <c r="AS105" i="4"/>
  <c r="AW105" i="4"/>
  <c r="BC105" i="4"/>
  <c r="BB105" i="4"/>
  <c r="BA105" i="4"/>
  <c r="AS55" i="4"/>
  <c r="AR82" i="4"/>
  <c r="AR50" i="4"/>
  <c r="AV52" i="4"/>
  <c r="AY38" i="4"/>
  <c r="BC81" i="4"/>
  <c r="AR81" i="4"/>
  <c r="BA81" i="4"/>
  <c r="AZ81" i="4"/>
  <c r="AY81" i="4"/>
  <c r="AX81" i="4"/>
  <c r="AS81" i="4"/>
  <c r="AT42" i="4"/>
  <c r="BA86" i="4"/>
  <c r="AW64" i="4"/>
  <c r="BA51" i="4"/>
  <c r="AY55" i="4"/>
  <c r="BA55" i="4"/>
  <c r="BC98" i="4"/>
  <c r="AS64" i="4"/>
  <c r="AT73" i="4"/>
  <c r="BB73" i="4"/>
  <c r="AZ73" i="4"/>
  <c r="AX73" i="4"/>
  <c r="AW73" i="4"/>
  <c r="AU73" i="4"/>
  <c r="BC73" i="4"/>
  <c r="AY73" i="4"/>
  <c r="AV73" i="4"/>
  <c r="AR73" i="4"/>
  <c r="BA73" i="4"/>
  <c r="AS73" i="4"/>
  <c r="BA41" i="4"/>
  <c r="AX52" i="4"/>
  <c r="AW50" i="4"/>
  <c r="AU86" i="4"/>
  <c r="AR86" i="4"/>
  <c r="AW68" i="4"/>
  <c r="AY46" i="4"/>
  <c r="AX61" i="4"/>
  <c r="AT61" i="4"/>
  <c r="AR61" i="4"/>
  <c r="AY61" i="4"/>
  <c r="BB61" i="4"/>
  <c r="BC61" i="4"/>
  <c r="BA61" i="4"/>
  <c r="AZ61" i="4"/>
  <c r="AW61" i="4"/>
  <c r="AV61" i="4"/>
  <c r="AU61" i="4"/>
  <c r="AS61" i="4"/>
  <c r="AZ52" i="4"/>
  <c r="BA42" i="4"/>
  <c r="BC50" i="4"/>
  <c r="AY50" i="4"/>
  <c r="AX50" i="4"/>
  <c r="AT68" i="4"/>
  <c r="AW42" i="4"/>
  <c r="AZ94" i="4"/>
  <c r="AV94" i="4"/>
  <c r="AX94" i="4"/>
  <c r="BB94" i="4"/>
  <c r="AY94" i="4"/>
  <c r="BC94" i="4"/>
  <c r="AW94" i="4"/>
  <c r="AU94" i="4"/>
  <c r="AS94" i="4"/>
  <c r="AS46" i="4"/>
  <c r="BB46" i="4"/>
  <c r="BC52" i="4"/>
  <c r="BB68" i="4"/>
  <c r="AF59" i="4"/>
  <c r="BB108" i="4"/>
  <c r="AZ108" i="4"/>
  <c r="AY108" i="4"/>
  <c r="AX108" i="4"/>
  <c r="AV108" i="4"/>
  <c r="AR108" i="4"/>
  <c r="BC108" i="4"/>
  <c r="V36" i="4"/>
  <c r="U36" i="4"/>
  <c r="T36" i="4"/>
  <c r="S36" i="4"/>
  <c r="AR52" i="4"/>
  <c r="BA93" i="4"/>
  <c r="BC93" i="4"/>
  <c r="AV35" i="4"/>
  <c r="BC35" i="4"/>
  <c r="AZ35" i="4"/>
  <c r="BA35" i="4"/>
  <c r="AU35" i="4"/>
  <c r="AW35" i="4"/>
  <c r="AS35" i="4"/>
  <c r="AY35" i="4"/>
  <c r="AX35" i="4"/>
  <c r="AT35" i="4"/>
  <c r="AR35" i="4"/>
  <c r="BB35" i="4"/>
  <c r="AW46" i="4"/>
  <c r="AZ68" i="4"/>
  <c r="AU68" i="4"/>
  <c r="AR90" i="4"/>
  <c r="BB90" i="4"/>
  <c r="AZ54" i="4"/>
  <c r="AV42" i="4"/>
  <c r="BB81" i="4"/>
  <c r="AV91" i="4"/>
  <c r="P375" i="4" l="1"/>
  <c r="O44" i="9" s="1"/>
  <c r="Q243" i="4"/>
  <c r="T22" i="8" s="1"/>
  <c r="L265" i="4"/>
  <c r="O44" i="8" s="1"/>
  <c r="V243" i="4"/>
  <c r="Y22" i="8" s="1"/>
  <c r="S243" i="4"/>
  <c r="V22" i="8" s="1"/>
  <c r="D375" i="4"/>
  <c r="C44" i="9" s="1"/>
  <c r="R375" i="4"/>
  <c r="Q44" i="9" s="1"/>
  <c r="S375" i="4"/>
  <c r="R44" i="9" s="1"/>
  <c r="G265" i="4"/>
  <c r="J44" i="8" s="1"/>
  <c r="I243" i="4"/>
  <c r="L22" i="8" s="1"/>
  <c r="W243" i="4"/>
  <c r="Z22" i="8" s="1"/>
  <c r="N375" i="4"/>
  <c r="M44" i="9" s="1"/>
  <c r="O265" i="4"/>
  <c r="R44" i="8" s="1"/>
  <c r="Q265" i="4"/>
  <c r="T44" i="8" s="1"/>
  <c r="W375" i="4"/>
  <c r="V44" i="9" s="1"/>
  <c r="R265" i="4"/>
  <c r="U44" i="8" s="1"/>
  <c r="M375" i="4"/>
  <c r="L44" i="9" s="1"/>
  <c r="E265" i="4"/>
  <c r="H44" i="8" s="1"/>
  <c r="N265" i="4"/>
  <c r="Q44" i="8" s="1"/>
  <c r="V375" i="4"/>
  <c r="U44" i="9" s="1"/>
  <c r="I375" i="4"/>
  <c r="H44" i="9" s="1"/>
  <c r="S265" i="4"/>
  <c r="V44" i="8" s="1"/>
  <c r="Q375" i="4"/>
  <c r="P44" i="9" s="1"/>
  <c r="J339" i="4"/>
  <c r="I8" i="9" s="1"/>
  <c r="L243" i="4"/>
  <c r="O22" i="8" s="1"/>
  <c r="R243" i="4"/>
  <c r="U22" i="8" s="1"/>
  <c r="W265" i="4"/>
  <c r="Z44" i="8" s="1"/>
  <c r="K265" i="4"/>
  <c r="N44" i="8" s="1"/>
  <c r="F265" i="4"/>
  <c r="I44" i="8" s="1"/>
  <c r="U265" i="4"/>
  <c r="X44" i="8" s="1"/>
  <c r="K243" i="4"/>
  <c r="N22" i="8" s="1"/>
  <c r="G243" i="4"/>
  <c r="J22" i="8" s="1"/>
  <c r="G375" i="4"/>
  <c r="F44" i="9" s="1"/>
  <c r="K375" i="4"/>
  <c r="J44" i="9" s="1"/>
  <c r="T265" i="4"/>
  <c r="W44" i="8" s="1"/>
  <c r="V265" i="4"/>
  <c r="Y44" i="8" s="1"/>
  <c r="U375" i="4"/>
  <c r="T44" i="9" s="1"/>
  <c r="P265" i="4"/>
  <c r="S44" i="8" s="1"/>
  <c r="H375" i="4"/>
  <c r="G44" i="9" s="1"/>
  <c r="T243" i="4"/>
  <c r="W22" i="8" s="1"/>
  <c r="O243" i="4"/>
  <c r="R22" i="8" s="1"/>
  <c r="M243" i="4"/>
  <c r="P22" i="8" s="1"/>
  <c r="X301" i="4"/>
  <c r="G535" i="4"/>
  <c r="F535" i="4"/>
  <c r="J265" i="4"/>
  <c r="M44" i="8" s="1"/>
  <c r="J375" i="4"/>
  <c r="I44" i="9" s="1"/>
  <c r="H265" i="4"/>
  <c r="K44" i="8" s="1"/>
  <c r="O375" i="4"/>
  <c r="N44" i="9" s="1"/>
  <c r="F375" i="4"/>
  <c r="E44" i="9" s="1"/>
  <c r="E243" i="4"/>
  <c r="H22" i="8" s="1"/>
  <c r="N243" i="4"/>
  <c r="Q22" i="8" s="1"/>
  <c r="X371" i="4"/>
  <c r="X308" i="4"/>
  <c r="X407" i="4"/>
  <c r="X374" i="4"/>
  <c r="T375" i="4"/>
  <c r="S44" i="9" s="1"/>
  <c r="D265" i="4"/>
  <c r="G44" i="8" s="1"/>
  <c r="T96" i="4"/>
  <c r="U96" i="4"/>
  <c r="S96" i="4"/>
  <c r="AF34" i="4"/>
  <c r="X411" i="4"/>
  <c r="X293" i="4"/>
  <c r="X297" i="4"/>
  <c r="X414" i="4"/>
  <c r="X304" i="4"/>
  <c r="X403" i="4"/>
  <c r="K339" i="4"/>
  <c r="J8" i="9" s="1"/>
  <c r="X264" i="4"/>
  <c r="H339" i="4"/>
  <c r="G8" i="9" s="1"/>
  <c r="Q339" i="4"/>
  <c r="P8" i="9" s="1"/>
  <c r="X418" i="4"/>
  <c r="X261" i="4"/>
  <c r="N339" i="4"/>
  <c r="M8" i="9" s="1"/>
  <c r="L339" i="4"/>
  <c r="K8" i="9" s="1"/>
  <c r="F339" i="4"/>
  <c r="E8" i="9" s="1"/>
  <c r="T339" i="4"/>
  <c r="S8" i="9" s="1"/>
  <c r="E339" i="4"/>
  <c r="D8" i="9" s="1"/>
  <c r="W339" i="4"/>
  <c r="V8" i="9" s="1"/>
  <c r="D339" i="4"/>
  <c r="C8" i="9" s="1"/>
  <c r="O339" i="4"/>
  <c r="N8" i="9" s="1"/>
  <c r="M339" i="4"/>
  <c r="L8" i="9" s="1"/>
  <c r="G339" i="4"/>
  <c r="F8" i="9" s="1"/>
  <c r="I339" i="4"/>
  <c r="H8" i="9" s="1"/>
  <c r="V339" i="4"/>
  <c r="U8" i="9" s="1"/>
  <c r="U339" i="4"/>
  <c r="T8" i="9" s="1"/>
  <c r="R339" i="4"/>
  <c r="Q8" i="9" s="1"/>
  <c r="P339" i="4"/>
  <c r="O8" i="9" s="1"/>
  <c r="S339" i="4"/>
  <c r="R8" i="9" s="1"/>
  <c r="Y80" i="4"/>
  <c r="X288" i="4"/>
  <c r="AJ442" i="4"/>
  <c r="X357" i="4"/>
  <c r="X247" i="4"/>
  <c r="S157" i="4"/>
  <c r="S160" i="4"/>
  <c r="S159" i="4"/>
  <c r="Q244" i="4"/>
  <c r="T23" i="8" s="1"/>
  <c r="X319" i="4"/>
  <c r="X430" i="4"/>
  <c r="X320" i="4"/>
  <c r="X397" i="4"/>
  <c r="X429" i="4"/>
  <c r="X398" i="4"/>
  <c r="X287" i="4"/>
  <c r="R244" i="4"/>
  <c r="U23" i="8" s="1"/>
  <c r="X421" i="4"/>
  <c r="X435" i="4"/>
  <c r="X326" i="4"/>
  <c r="K244" i="4"/>
  <c r="N23" i="8" s="1"/>
  <c r="X399" i="4"/>
  <c r="T354" i="4"/>
  <c r="S23" i="9" s="1"/>
  <c r="H244" i="4"/>
  <c r="K23" i="8" s="1"/>
  <c r="X289" i="4"/>
  <c r="AB442" i="4"/>
  <c r="T80" i="4"/>
  <c r="AH37" i="4"/>
  <c r="U80" i="4"/>
  <c r="AH43" i="4"/>
  <c r="V244" i="4"/>
  <c r="Y23" i="8" s="1"/>
  <c r="O244" i="4"/>
  <c r="R23" i="8" s="1"/>
  <c r="N244" i="4"/>
  <c r="Q23" i="8" s="1"/>
  <c r="X250" i="4"/>
  <c r="X310" i="4"/>
  <c r="T244" i="4"/>
  <c r="W23" i="8" s="1"/>
  <c r="E244" i="4"/>
  <c r="H23" i="8" s="1"/>
  <c r="F244" i="4"/>
  <c r="I23" i="8" s="1"/>
  <c r="X416" i="4"/>
  <c r="M244" i="4"/>
  <c r="P23" i="8" s="1"/>
  <c r="S244" i="4"/>
  <c r="V23" i="8" s="1"/>
  <c r="L244" i="4"/>
  <c r="O23" i="8" s="1"/>
  <c r="X306" i="4"/>
  <c r="X440" i="4"/>
  <c r="J244" i="4"/>
  <c r="M23" i="8" s="1"/>
  <c r="I244" i="4"/>
  <c r="L23" i="8" s="1"/>
  <c r="X298" i="4"/>
  <c r="G244" i="4"/>
  <c r="J23" i="8" s="1"/>
  <c r="U244" i="4"/>
  <c r="X23" i="8" s="1"/>
  <c r="X325" i="4"/>
  <c r="X360" i="4"/>
  <c r="X311" i="4"/>
  <c r="D244" i="4"/>
  <c r="P244" i="4"/>
  <c r="S23" i="8" s="1"/>
  <c r="W244" i="4"/>
  <c r="Z23" i="8" s="1"/>
  <c r="K229" i="4"/>
  <c r="N8" i="8" s="1"/>
  <c r="X275" i="4"/>
  <c r="X400" i="4"/>
  <c r="X391" i="4"/>
  <c r="X427" i="4"/>
  <c r="X330" i="4"/>
  <c r="X417" i="4"/>
  <c r="X385" i="4"/>
  <c r="AG442" i="4"/>
  <c r="R229" i="4"/>
  <c r="U8" i="8" s="1"/>
  <c r="X303" i="4"/>
  <c r="X317" i="4"/>
  <c r="I229" i="4"/>
  <c r="L8" i="8" s="1"/>
  <c r="X321" i="4"/>
  <c r="X249" i="4"/>
  <c r="X408" i="4"/>
  <c r="X307" i="4"/>
  <c r="X359" i="4"/>
  <c r="X281" i="4"/>
  <c r="X395" i="4"/>
  <c r="X413" i="4"/>
  <c r="X290" i="4"/>
  <c r="X285" i="4"/>
  <c r="AH26" i="4"/>
  <c r="AF43" i="4"/>
  <c r="AH34" i="4"/>
  <c r="AA80" i="4"/>
  <c r="AM442" i="4"/>
  <c r="AK442" i="4"/>
  <c r="AE442" i="4"/>
  <c r="U157" i="4"/>
  <c r="O354" i="4"/>
  <c r="N23" i="9" s="1"/>
  <c r="P229" i="4"/>
  <c r="S8" i="8" s="1"/>
  <c r="Q354" i="4"/>
  <c r="P23" i="9" s="1"/>
  <c r="D229" i="4"/>
  <c r="G8" i="8" s="1"/>
  <c r="T229" i="4"/>
  <c r="W8" i="8" s="1"/>
  <c r="W229" i="4"/>
  <c r="Z8" i="8" s="1"/>
  <c r="T160" i="4"/>
  <c r="U354" i="4"/>
  <c r="T23" i="9" s="1"/>
  <c r="Q229" i="4"/>
  <c r="T8" i="8" s="1"/>
  <c r="M229" i="4"/>
  <c r="P8" i="8" s="1"/>
  <c r="U229" i="4"/>
  <c r="X8" i="8" s="1"/>
  <c r="M354" i="4"/>
  <c r="L23" i="9" s="1"/>
  <c r="AQ442" i="4"/>
  <c r="N354" i="4"/>
  <c r="M23" i="9" s="1"/>
  <c r="L229" i="4"/>
  <c r="O8" i="8" s="1"/>
  <c r="N229" i="4"/>
  <c r="Q8" i="8" s="1"/>
  <c r="U159" i="4"/>
  <c r="J229" i="4"/>
  <c r="M8" i="8" s="1"/>
  <c r="H229" i="4"/>
  <c r="K8" i="8" s="1"/>
  <c r="O229" i="4"/>
  <c r="R8" i="8" s="1"/>
  <c r="E229" i="4"/>
  <c r="H8" i="8" s="1"/>
  <c r="V229" i="4"/>
  <c r="Y8" i="8" s="1"/>
  <c r="G229" i="4"/>
  <c r="J8" i="8" s="1"/>
  <c r="V158" i="4"/>
  <c r="X376" i="4"/>
  <c r="F229" i="4"/>
  <c r="I8" i="8" s="1"/>
  <c r="S229" i="4"/>
  <c r="V8" i="8" s="1"/>
  <c r="H354" i="4"/>
  <c r="G23" i="9" s="1"/>
  <c r="F354" i="4"/>
  <c r="E23" i="9" s="1"/>
  <c r="S354" i="4"/>
  <c r="R23" i="9" s="1"/>
  <c r="X313" i="4"/>
  <c r="AC442" i="4"/>
  <c r="X291" i="4"/>
  <c r="X254" i="4"/>
  <c r="T159" i="4"/>
  <c r="V157" i="4"/>
  <c r="V160" i="4"/>
  <c r="X282" i="4"/>
  <c r="X419" i="4"/>
  <c r="X314" i="4"/>
  <c r="I354" i="4"/>
  <c r="H23" i="9" s="1"/>
  <c r="E354" i="4"/>
  <c r="D23" i="9" s="1"/>
  <c r="X432" i="4"/>
  <c r="AN442" i="4"/>
  <c r="U160" i="4"/>
  <c r="AL442" i="4"/>
  <c r="W354" i="4"/>
  <c r="V23" i="9" s="1"/>
  <c r="J354" i="4"/>
  <c r="I23" i="9" s="1"/>
  <c r="X322" i="4"/>
  <c r="X318" i="4"/>
  <c r="T158" i="4"/>
  <c r="AP442" i="4"/>
  <c r="R354" i="4"/>
  <c r="Q23" i="9" s="1"/>
  <c r="P354" i="4"/>
  <c r="O23" i="9" s="1"/>
  <c r="X343" i="4"/>
  <c r="X437" i="4"/>
  <c r="X415" i="4"/>
  <c r="X294" i="4"/>
  <c r="X327" i="4"/>
  <c r="D354" i="4"/>
  <c r="C23" i="9" s="1"/>
  <c r="G354" i="4"/>
  <c r="F23" i="9" s="1"/>
  <c r="L354" i="4"/>
  <c r="K23" i="9" s="1"/>
  <c r="X409" i="4"/>
  <c r="K549" i="4"/>
  <c r="J27" i="10" s="1"/>
  <c r="E549" i="4"/>
  <c r="K354" i="4"/>
  <c r="J23" i="9" s="1"/>
  <c r="V354" i="4"/>
  <c r="U23" i="9" s="1"/>
  <c r="X405" i="4"/>
  <c r="X401" i="4"/>
  <c r="X423" i="4"/>
  <c r="X431" i="4"/>
  <c r="AO442" i="4"/>
  <c r="X47" i="4"/>
  <c r="O34" i="4"/>
  <c r="AE37" i="4"/>
  <c r="AG34" i="4"/>
  <c r="AE34" i="4"/>
  <c r="E37" i="4"/>
  <c r="W47" i="4"/>
  <c r="Y47" i="4"/>
  <c r="Z47" i="4"/>
  <c r="I34" i="4"/>
  <c r="M34" i="4"/>
  <c r="AC80" i="4"/>
  <c r="AF37" i="4"/>
  <c r="L34" i="4"/>
  <c r="I37" i="4"/>
  <c r="G34" i="4"/>
  <c r="O471" i="4"/>
  <c r="N27" i="7" s="1"/>
  <c r="O468" i="4"/>
  <c r="N24" i="7" s="1"/>
  <c r="O454" i="4"/>
  <c r="N10" i="7" s="1"/>
  <c r="O467" i="4"/>
  <c r="N23" i="7" s="1"/>
  <c r="O457" i="4"/>
  <c r="N13" i="7" s="1"/>
  <c r="O463" i="4"/>
  <c r="N19" i="7" s="1"/>
  <c r="O469" i="4"/>
  <c r="N25" i="7" s="1"/>
  <c r="O458" i="4"/>
  <c r="N14" i="7" s="1"/>
  <c r="O459" i="4"/>
  <c r="N15" i="7" s="1"/>
  <c r="O455" i="4"/>
  <c r="N11" i="7" s="1"/>
  <c r="O453" i="4"/>
  <c r="N9" i="7" s="1"/>
  <c r="O465" i="4"/>
  <c r="N21" i="7" s="1"/>
  <c r="O456" i="4"/>
  <c r="N12" i="7" s="1"/>
  <c r="O470" i="4"/>
  <c r="N26" i="7" s="1"/>
  <c r="O464" i="4"/>
  <c r="N20" i="7" s="1"/>
  <c r="O452" i="4"/>
  <c r="N8" i="7" s="1"/>
  <c r="O460" i="4"/>
  <c r="N16" i="7" s="1"/>
  <c r="AP545" i="4"/>
  <c r="S545" i="4" s="1"/>
  <c r="J545" i="4" s="1"/>
  <c r="I23" i="10" s="1"/>
  <c r="O462" i="4"/>
  <c r="N18" i="7" s="1"/>
  <c r="O461" i="4"/>
  <c r="N17" i="7" s="1"/>
  <c r="O466" i="4"/>
  <c r="N22" i="7" s="1"/>
  <c r="AS442" i="4"/>
  <c r="AA442" i="4"/>
  <c r="X295" i="4"/>
  <c r="G74" i="8"/>
  <c r="X265" i="4"/>
  <c r="X424" i="4"/>
  <c r="X266" i="4"/>
  <c r="AR442" i="4"/>
  <c r="X392" i="4"/>
  <c r="AT442" i="4"/>
  <c r="H353" i="4"/>
  <c r="G22" i="9" s="1"/>
  <c r="AF442" i="4"/>
  <c r="X305" i="4"/>
  <c r="X233" i="4"/>
  <c r="G88" i="8"/>
  <c r="X309" i="4"/>
  <c r="L353" i="4"/>
  <c r="K22" i="9" s="1"/>
  <c r="AI442" i="4"/>
  <c r="AD442" i="4"/>
  <c r="E353" i="4"/>
  <c r="D22" i="9" s="1"/>
  <c r="G65" i="8"/>
  <c r="X286" i="4"/>
  <c r="AH442" i="4"/>
  <c r="G78" i="8"/>
  <c r="X299" i="4"/>
  <c r="M353" i="4"/>
  <c r="L22" i="9" s="1"/>
  <c r="J353" i="4"/>
  <c r="I22" i="9" s="1"/>
  <c r="W353" i="4"/>
  <c r="V22" i="9" s="1"/>
  <c r="F353" i="4"/>
  <c r="E22" i="9" s="1"/>
  <c r="X412" i="4"/>
  <c r="X404" i="4"/>
  <c r="X436" i="4"/>
  <c r="S353" i="4"/>
  <c r="R22" i="9" s="1"/>
  <c r="I353" i="4"/>
  <c r="H22" i="9" s="1"/>
  <c r="N353" i="4"/>
  <c r="M22" i="9" s="1"/>
  <c r="X364" i="4"/>
  <c r="T353" i="4"/>
  <c r="S22" i="9" s="1"/>
  <c r="G353" i="4"/>
  <c r="F22" i="9" s="1"/>
  <c r="D353" i="4"/>
  <c r="C22" i="9" s="1"/>
  <c r="U353" i="4"/>
  <c r="T22" i="9" s="1"/>
  <c r="X428" i="4"/>
  <c r="K353" i="4"/>
  <c r="J22" i="9" s="1"/>
  <c r="Q353" i="4"/>
  <c r="P22" i="9" s="1"/>
  <c r="X396" i="4"/>
  <c r="I81" i="8"/>
  <c r="X302" i="4"/>
  <c r="P353" i="4"/>
  <c r="O22" i="9" s="1"/>
  <c r="V353" i="4"/>
  <c r="U22" i="9" s="1"/>
  <c r="R353" i="4"/>
  <c r="Q22" i="9" s="1"/>
  <c r="O353" i="4"/>
  <c r="N22" i="9" s="1"/>
  <c r="C89" i="9"/>
  <c r="X420" i="4"/>
  <c r="U14" i="10"/>
  <c r="I536" i="4"/>
  <c r="K536" i="4"/>
  <c r="J14" i="10" s="1"/>
  <c r="G536" i="4"/>
  <c r="F14" i="10" s="1"/>
  <c r="E536" i="4"/>
  <c r="J536" i="4"/>
  <c r="I14" i="10" s="1"/>
  <c r="F536" i="4"/>
  <c r="E14" i="10" s="1"/>
  <c r="L536" i="4"/>
  <c r="K14" i="10" s="1"/>
  <c r="U26" i="10"/>
  <c r="F548" i="4"/>
  <c r="E26" i="10" s="1"/>
  <c r="G548" i="4"/>
  <c r="F26" i="10" s="1"/>
  <c r="I548" i="4"/>
  <c r="E548" i="4"/>
  <c r="J548" i="4"/>
  <c r="I26" i="10" s="1"/>
  <c r="K548" i="4"/>
  <c r="J26" i="10" s="1"/>
  <c r="L548" i="4"/>
  <c r="K26" i="10" s="1"/>
  <c r="Y550" i="4"/>
  <c r="U8" i="10"/>
  <c r="Y554" i="4"/>
  <c r="Y559" i="4"/>
  <c r="I559" i="4" s="1"/>
  <c r="J530" i="4"/>
  <c r="I8" i="10" s="1"/>
  <c r="F530" i="4"/>
  <c r="E8" i="10" s="1"/>
  <c r="K530" i="4"/>
  <c r="J8" i="10" s="1"/>
  <c r="I530" i="4"/>
  <c r="G530" i="4"/>
  <c r="F8" i="10" s="1"/>
  <c r="E530" i="4"/>
  <c r="L530" i="4"/>
  <c r="K8" i="10" s="1"/>
  <c r="U24" i="10"/>
  <c r="E546" i="4"/>
  <c r="F546" i="4"/>
  <c r="E24" i="10" s="1"/>
  <c r="J546" i="4"/>
  <c r="I24" i="10" s="1"/>
  <c r="I546" i="4"/>
  <c r="K546" i="4"/>
  <c r="J24" i="10" s="1"/>
  <c r="G546" i="4"/>
  <c r="F24" i="10" s="1"/>
  <c r="L546" i="4"/>
  <c r="K24" i="10" s="1"/>
  <c r="Y552" i="4"/>
  <c r="U18" i="10"/>
  <c r="J540" i="4"/>
  <c r="I18" i="10" s="1"/>
  <c r="I540" i="4"/>
  <c r="K540" i="4"/>
  <c r="J18" i="10" s="1"/>
  <c r="G540" i="4"/>
  <c r="F18" i="10" s="1"/>
  <c r="E540" i="4"/>
  <c r="F540" i="4"/>
  <c r="E18" i="10" s="1"/>
  <c r="L540" i="4"/>
  <c r="K18" i="10" s="1"/>
  <c r="U9" i="10"/>
  <c r="Y555" i="4"/>
  <c r="K531" i="4"/>
  <c r="J9" i="10" s="1"/>
  <c r="E531" i="4"/>
  <c r="I531" i="4"/>
  <c r="J531" i="4"/>
  <c r="F531" i="4"/>
  <c r="E9" i="10" s="1"/>
  <c r="G531" i="4"/>
  <c r="F9" i="10" s="1"/>
  <c r="L531" i="4"/>
  <c r="K9" i="10" s="1"/>
  <c r="Y557" i="4"/>
  <c r="U11" i="10"/>
  <c r="J533" i="4"/>
  <c r="I11" i="10" s="1"/>
  <c r="K533" i="4"/>
  <c r="J11" i="10" s="1"/>
  <c r="E533" i="4"/>
  <c r="F533" i="4"/>
  <c r="E11" i="10" s="1"/>
  <c r="I533" i="4"/>
  <c r="G533" i="4"/>
  <c r="F11" i="10" s="1"/>
  <c r="L533" i="4"/>
  <c r="K11" i="10" s="1"/>
  <c r="U15" i="10"/>
  <c r="E537" i="4"/>
  <c r="J537" i="4"/>
  <c r="I15" i="10" s="1"/>
  <c r="K537" i="4"/>
  <c r="J15" i="10" s="1"/>
  <c r="I537" i="4"/>
  <c r="F537" i="4"/>
  <c r="E15" i="10" s="1"/>
  <c r="G537" i="4"/>
  <c r="F15" i="10" s="1"/>
  <c r="L537" i="4"/>
  <c r="K15" i="10" s="1"/>
  <c r="U20" i="10"/>
  <c r="I542" i="4"/>
  <c r="F542" i="4"/>
  <c r="E20" i="10" s="1"/>
  <c r="K542" i="4"/>
  <c r="J20" i="10" s="1"/>
  <c r="J542" i="4"/>
  <c r="I20" i="10" s="1"/>
  <c r="E542" i="4"/>
  <c r="G542" i="4"/>
  <c r="F20" i="10" s="1"/>
  <c r="L542" i="4"/>
  <c r="K20" i="10" s="1"/>
  <c r="U25" i="10"/>
  <c r="I547" i="4"/>
  <c r="F547" i="4"/>
  <c r="E25" i="10" s="1"/>
  <c r="E547" i="4"/>
  <c r="K547" i="4"/>
  <c r="J25" i="10" s="1"/>
  <c r="J547" i="4"/>
  <c r="I25" i="10" s="1"/>
  <c r="G547" i="4"/>
  <c r="F25" i="10" s="1"/>
  <c r="L547" i="4"/>
  <c r="K25" i="10" s="1"/>
  <c r="U27" i="10"/>
  <c r="F549" i="4"/>
  <c r="G549" i="4"/>
  <c r="F27" i="10" s="1"/>
  <c r="J549" i="4"/>
  <c r="I27" i="10" s="1"/>
  <c r="I549" i="4"/>
  <c r="L549" i="4"/>
  <c r="K27" i="10" s="1"/>
  <c r="Y558" i="4"/>
  <c r="U12" i="10"/>
  <c r="G534" i="4"/>
  <c r="F12" i="10" s="1"/>
  <c r="E534" i="4"/>
  <c r="J534" i="4"/>
  <c r="I12" i="10" s="1"/>
  <c r="I534" i="4"/>
  <c r="F534" i="4"/>
  <c r="E12" i="10" s="1"/>
  <c r="K534" i="4"/>
  <c r="J12" i="10" s="1"/>
  <c r="L534" i="4"/>
  <c r="K12" i="10" s="1"/>
  <c r="U16" i="10"/>
  <c r="E538" i="4"/>
  <c r="F538" i="4"/>
  <c r="E16" i="10" s="1"/>
  <c r="I538" i="4"/>
  <c r="G538" i="4"/>
  <c r="F16" i="10" s="1"/>
  <c r="J538" i="4"/>
  <c r="I16" i="10" s="1"/>
  <c r="K538" i="4"/>
  <c r="J16" i="10" s="1"/>
  <c r="L538" i="4"/>
  <c r="K16" i="10" s="1"/>
  <c r="U19" i="10"/>
  <c r="J541" i="4"/>
  <c r="I19" i="10" s="1"/>
  <c r="F541" i="4"/>
  <c r="E19" i="10" s="1"/>
  <c r="I541" i="4"/>
  <c r="K541" i="4"/>
  <c r="J19" i="10" s="1"/>
  <c r="E541" i="4"/>
  <c r="G541" i="4"/>
  <c r="F19" i="10" s="1"/>
  <c r="L541" i="4"/>
  <c r="K19" i="10" s="1"/>
  <c r="U21" i="10"/>
  <c r="G543" i="4"/>
  <c r="F21" i="10" s="1"/>
  <c r="K543" i="4"/>
  <c r="J21" i="10" s="1"/>
  <c r="E543" i="4"/>
  <c r="F543" i="4"/>
  <c r="E21" i="10" s="1"/>
  <c r="I543" i="4"/>
  <c r="J543" i="4"/>
  <c r="I21" i="10" s="1"/>
  <c r="L543" i="4"/>
  <c r="K21" i="10" s="1"/>
  <c r="Y556" i="4"/>
  <c r="U10" i="10"/>
  <c r="I532" i="4"/>
  <c r="G532" i="4"/>
  <c r="F10" i="10" s="1"/>
  <c r="E532" i="4"/>
  <c r="K532" i="4"/>
  <c r="J10" i="10" s="1"/>
  <c r="J532" i="4"/>
  <c r="I10" i="10" s="1"/>
  <c r="F532" i="4"/>
  <c r="E10" i="10" s="1"/>
  <c r="L532" i="4"/>
  <c r="K10" i="10" s="1"/>
  <c r="U23" i="10"/>
  <c r="Y553" i="4"/>
  <c r="K545" i="4"/>
  <c r="J23" i="10" s="1"/>
  <c r="E23" i="10"/>
  <c r="E545" i="4"/>
  <c r="I545" i="4"/>
  <c r="G545" i="4"/>
  <c r="F23" i="10" s="1"/>
  <c r="L545" i="4"/>
  <c r="K23" i="10" s="1"/>
  <c r="U13" i="10"/>
  <c r="Y551" i="4"/>
  <c r="K535" i="4"/>
  <c r="J13" i="10" s="1"/>
  <c r="F13" i="10"/>
  <c r="I535" i="4"/>
  <c r="E13" i="10"/>
  <c r="E535" i="4"/>
  <c r="L535" i="4"/>
  <c r="K13" i="10" s="1"/>
  <c r="J535" i="4"/>
  <c r="I13" i="10" s="1"/>
  <c r="U17" i="10"/>
  <c r="F539" i="4"/>
  <c r="E17" i="10" s="1"/>
  <c r="J539" i="4"/>
  <c r="I17" i="10" s="1"/>
  <c r="G539" i="4"/>
  <c r="F17" i="10" s="1"/>
  <c r="K539" i="4"/>
  <c r="J17" i="10" s="1"/>
  <c r="E539" i="4"/>
  <c r="I539" i="4"/>
  <c r="L539" i="4"/>
  <c r="K17" i="10" s="1"/>
  <c r="U22" i="10"/>
  <c r="J544" i="4"/>
  <c r="I22" i="10" s="1"/>
  <c r="G544" i="4"/>
  <c r="F22" i="10" s="1"/>
  <c r="K544" i="4"/>
  <c r="J22" i="10" s="1"/>
  <c r="F544" i="4"/>
  <c r="E22" i="10" s="1"/>
  <c r="E544" i="4"/>
  <c r="I544" i="4"/>
  <c r="L544" i="4"/>
  <c r="K22" i="10" s="1"/>
  <c r="F34" i="4"/>
  <c r="J34" i="4"/>
  <c r="H34" i="4"/>
  <c r="N34" i="4"/>
  <c r="D34" i="4"/>
  <c r="E34" i="4"/>
  <c r="W80" i="4"/>
  <c r="S80" i="4"/>
  <c r="O37" i="4"/>
  <c r="K34" i="4"/>
  <c r="J37" i="4"/>
  <c r="AG37" i="4"/>
  <c r="Z80" i="4"/>
  <c r="K37" i="4"/>
  <c r="X80" i="4"/>
  <c r="D37" i="4"/>
  <c r="L37" i="4"/>
  <c r="AD80" i="4"/>
  <c r="AE43" i="4"/>
  <c r="AB80" i="4"/>
  <c r="F37" i="4"/>
  <c r="M37" i="4"/>
  <c r="G37" i="4"/>
  <c r="N37" i="4"/>
  <c r="V80" i="4"/>
  <c r="X45" i="4"/>
  <c r="H37" i="4"/>
  <c r="AG26" i="4"/>
  <c r="U47" i="4"/>
  <c r="W45" i="4"/>
  <c r="Y45" i="4"/>
  <c r="W15" i="4"/>
  <c r="F361" i="4"/>
  <c r="E30" i="9" s="1"/>
  <c r="Z31" i="4"/>
  <c r="AB15" i="4"/>
  <c r="AG70" i="4"/>
  <c r="O361" i="4"/>
  <c r="N30" i="9" s="1"/>
  <c r="T79" i="4"/>
  <c r="U361" i="4"/>
  <c r="T30" i="9" s="1"/>
  <c r="K251" i="4"/>
  <c r="N30" i="8" s="1"/>
  <c r="AE110" i="4"/>
  <c r="AC47" i="4"/>
  <c r="V45" i="4"/>
  <c r="J251" i="4"/>
  <c r="M30" i="8" s="1"/>
  <c r="Z45" i="4"/>
  <c r="C17" i="9"/>
  <c r="X348" i="4"/>
  <c r="AH110" i="4"/>
  <c r="U79" i="4"/>
  <c r="C20" i="9"/>
  <c r="X351" i="4"/>
  <c r="V361" i="4"/>
  <c r="U30" i="9" s="1"/>
  <c r="U45" i="4"/>
  <c r="S45" i="4"/>
  <c r="P361" i="4"/>
  <c r="O30" i="9" s="1"/>
  <c r="C49" i="9"/>
  <c r="X380" i="4"/>
  <c r="C25" i="9"/>
  <c r="X356" i="4"/>
  <c r="X269" i="4"/>
  <c r="G48" i="8"/>
  <c r="C37" i="9"/>
  <c r="X368" i="4"/>
  <c r="C56" i="9"/>
  <c r="X387" i="4"/>
  <c r="C38" i="9"/>
  <c r="X369" i="4"/>
  <c r="Q251" i="4"/>
  <c r="T30" i="8" s="1"/>
  <c r="C19" i="9"/>
  <c r="X350" i="4"/>
  <c r="R251" i="4"/>
  <c r="U30" i="8" s="1"/>
  <c r="I361" i="4"/>
  <c r="H30" i="9" s="1"/>
  <c r="X238" i="4"/>
  <c r="G17" i="8"/>
  <c r="L251" i="4"/>
  <c r="O30" i="8" s="1"/>
  <c r="G110" i="8"/>
  <c r="X331" i="4"/>
  <c r="R361" i="4"/>
  <c r="Q30" i="9" s="1"/>
  <c r="G38" i="8"/>
  <c r="X259" i="4"/>
  <c r="C42" i="9"/>
  <c r="X373" i="4"/>
  <c r="G22" i="8"/>
  <c r="C48" i="9"/>
  <c r="X379" i="4"/>
  <c r="S251" i="4"/>
  <c r="V30" i="8" s="1"/>
  <c r="G47" i="8"/>
  <c r="X268" i="4"/>
  <c r="X255" i="4"/>
  <c r="G34" i="8"/>
  <c r="J361" i="4"/>
  <c r="I30" i="9" s="1"/>
  <c r="L361" i="4"/>
  <c r="K30" i="9" s="1"/>
  <c r="C58" i="9"/>
  <c r="X389" i="4"/>
  <c r="C47" i="9"/>
  <c r="X378" i="4"/>
  <c r="G41" i="8"/>
  <c r="X262" i="4"/>
  <c r="G63" i="8"/>
  <c r="X284" i="4"/>
  <c r="O251" i="4"/>
  <c r="R30" i="8" s="1"/>
  <c r="C59" i="9"/>
  <c r="X390" i="4"/>
  <c r="G21" i="8"/>
  <c r="X242" i="4"/>
  <c r="AD79" i="4"/>
  <c r="V79" i="4"/>
  <c r="S15" i="4"/>
  <c r="W361" i="4"/>
  <c r="V30" i="9" s="1"/>
  <c r="K361" i="4"/>
  <c r="J30" i="9" s="1"/>
  <c r="C11" i="9"/>
  <c r="X342" i="4"/>
  <c r="C57" i="9"/>
  <c r="X388" i="4"/>
  <c r="X270" i="4"/>
  <c r="G49" i="8"/>
  <c r="G46" i="8"/>
  <c r="X267" i="4"/>
  <c r="G51" i="8"/>
  <c r="X272" i="4"/>
  <c r="D251" i="4"/>
  <c r="T361" i="4"/>
  <c r="S30" i="9" s="1"/>
  <c r="S361" i="4"/>
  <c r="R30" i="9" s="1"/>
  <c r="G42" i="8"/>
  <c r="X263" i="4"/>
  <c r="G56" i="8"/>
  <c r="X277" i="4"/>
  <c r="G53" i="8"/>
  <c r="X274" i="4"/>
  <c r="C14" i="9"/>
  <c r="X345" i="4"/>
  <c r="C36" i="9"/>
  <c r="X367" i="4"/>
  <c r="F251" i="4"/>
  <c r="I30" i="8" s="1"/>
  <c r="G24" i="8"/>
  <c r="X245" i="4"/>
  <c r="G58" i="8"/>
  <c r="X279" i="4"/>
  <c r="C13" i="9"/>
  <c r="X344" i="4"/>
  <c r="G57" i="8"/>
  <c r="X278" i="4"/>
  <c r="X15" i="4"/>
  <c r="Y15" i="4"/>
  <c r="F12" i="4"/>
  <c r="AA15" i="4"/>
  <c r="N361" i="4"/>
  <c r="M30" i="9" s="1"/>
  <c r="H361" i="4"/>
  <c r="G30" i="9" s="1"/>
  <c r="O236" i="4"/>
  <c r="R15" i="8" s="1"/>
  <c r="M236" i="4"/>
  <c r="P15" i="8" s="1"/>
  <c r="U236" i="4"/>
  <c r="X15" i="8" s="1"/>
  <c r="T236" i="4"/>
  <c r="W15" i="8" s="1"/>
  <c r="H236" i="4"/>
  <c r="K15" i="8" s="1"/>
  <c r="P236" i="4"/>
  <c r="S15" i="8" s="1"/>
  <c r="G236" i="4"/>
  <c r="J15" i="8" s="1"/>
  <c r="K236" i="4"/>
  <c r="N15" i="8" s="1"/>
  <c r="L236" i="4"/>
  <c r="O15" i="8" s="1"/>
  <c r="V236" i="4"/>
  <c r="Y15" i="8" s="1"/>
  <c r="F236" i="4"/>
  <c r="I15" i="8" s="1"/>
  <c r="R236" i="4"/>
  <c r="U15" i="8" s="1"/>
  <c r="E236" i="4"/>
  <c r="H15" i="8" s="1"/>
  <c r="J236" i="4"/>
  <c r="M15" i="8" s="1"/>
  <c r="D236" i="4"/>
  <c r="W236" i="4"/>
  <c r="Z15" i="8" s="1"/>
  <c r="I236" i="4"/>
  <c r="L15" i="8" s="1"/>
  <c r="S236" i="4"/>
  <c r="V15" i="8" s="1"/>
  <c r="Q236" i="4"/>
  <c r="T15" i="8" s="1"/>
  <c r="C46" i="9"/>
  <c r="X377" i="4"/>
  <c r="M251" i="4"/>
  <c r="P30" i="8" s="1"/>
  <c r="I251" i="4"/>
  <c r="L30" i="8" s="1"/>
  <c r="C110" i="9"/>
  <c r="X441" i="4"/>
  <c r="X240" i="4"/>
  <c r="G19" i="8"/>
  <c r="G9" i="8"/>
  <c r="X230" i="4"/>
  <c r="G13" i="8"/>
  <c r="X234" i="4"/>
  <c r="Z15" i="4"/>
  <c r="G361" i="4"/>
  <c r="F30" i="9" s="1"/>
  <c r="C39" i="9"/>
  <c r="X370" i="4"/>
  <c r="C50" i="9"/>
  <c r="X381" i="4"/>
  <c r="M346" i="4"/>
  <c r="L15" i="9" s="1"/>
  <c r="K346" i="4"/>
  <c r="J15" i="9" s="1"/>
  <c r="S346" i="4"/>
  <c r="R15" i="9" s="1"/>
  <c r="I346" i="4"/>
  <c r="H15" i="9" s="1"/>
  <c r="L346" i="4"/>
  <c r="K15" i="9" s="1"/>
  <c r="P346" i="4"/>
  <c r="O15" i="9" s="1"/>
  <c r="G346" i="4"/>
  <c r="F15" i="9" s="1"/>
  <c r="D346" i="4"/>
  <c r="E346" i="4"/>
  <c r="D15" i="9" s="1"/>
  <c r="W346" i="4"/>
  <c r="V15" i="9" s="1"/>
  <c r="T346" i="4"/>
  <c r="S15" i="9" s="1"/>
  <c r="U346" i="4"/>
  <c r="T15" i="9" s="1"/>
  <c r="H346" i="4"/>
  <c r="G15" i="9" s="1"/>
  <c r="Q346" i="4"/>
  <c r="P15" i="9" s="1"/>
  <c r="V346" i="4"/>
  <c r="U15" i="9" s="1"/>
  <c r="N346" i="4"/>
  <c r="M15" i="9" s="1"/>
  <c r="R346" i="4"/>
  <c r="Q15" i="9" s="1"/>
  <c r="O346" i="4"/>
  <c r="N15" i="9" s="1"/>
  <c r="F346" i="4"/>
  <c r="E15" i="9" s="1"/>
  <c r="J346" i="4"/>
  <c r="I15" i="9" s="1"/>
  <c r="G37" i="8"/>
  <c r="X258" i="4"/>
  <c r="C52" i="9"/>
  <c r="X383" i="4"/>
  <c r="C10" i="9"/>
  <c r="X341" i="4"/>
  <c r="X237" i="4"/>
  <c r="G16" i="8"/>
  <c r="C41" i="9"/>
  <c r="X372" i="4"/>
  <c r="N251" i="4"/>
  <c r="Q30" i="8" s="1"/>
  <c r="P251" i="4"/>
  <c r="S30" i="8" s="1"/>
  <c r="E361" i="4"/>
  <c r="D30" i="9" s="1"/>
  <c r="G36" i="8"/>
  <c r="X257" i="4"/>
  <c r="V15" i="4"/>
  <c r="Q361" i="4"/>
  <c r="P30" i="9" s="1"/>
  <c r="C63" i="9"/>
  <c r="X394" i="4"/>
  <c r="C53" i="9"/>
  <c r="X384" i="4"/>
  <c r="G102" i="8"/>
  <c r="X323" i="4"/>
  <c r="T251" i="4"/>
  <c r="W30" i="8" s="1"/>
  <c r="H251" i="4"/>
  <c r="K30" i="8" s="1"/>
  <c r="G18" i="8"/>
  <c r="X239" i="4"/>
  <c r="C51" i="9"/>
  <c r="X382" i="4"/>
  <c r="E251" i="4"/>
  <c r="H30" i="8" s="1"/>
  <c r="V251" i="4"/>
  <c r="Y30" i="8" s="1"/>
  <c r="AD47" i="4"/>
  <c r="M361" i="4"/>
  <c r="L30" i="9" s="1"/>
  <c r="C9" i="9"/>
  <c r="X340" i="4"/>
  <c r="C18" i="9"/>
  <c r="X349" i="4"/>
  <c r="G10" i="8"/>
  <c r="X231" i="4"/>
  <c r="C35" i="9"/>
  <c r="X366" i="4"/>
  <c r="G59" i="8"/>
  <c r="X280" i="4"/>
  <c r="G20" i="8"/>
  <c r="X241" i="4"/>
  <c r="U251" i="4"/>
  <c r="X30" i="8" s="1"/>
  <c r="X260" i="4"/>
  <c r="G39" i="8"/>
  <c r="C32" i="9"/>
  <c r="X363" i="4"/>
  <c r="C16" i="9"/>
  <c r="X347" i="4"/>
  <c r="C21" i="9"/>
  <c r="X352" i="4"/>
  <c r="G251" i="4"/>
  <c r="J30" i="8" s="1"/>
  <c r="C24" i="9"/>
  <c r="X355" i="4"/>
  <c r="G52" i="8"/>
  <c r="X273" i="4"/>
  <c r="AA47" i="4"/>
  <c r="G35" i="8"/>
  <c r="X256" i="4"/>
  <c r="D361" i="4"/>
  <c r="X232" i="4"/>
  <c r="G11" i="8"/>
  <c r="G50" i="8"/>
  <c r="X271" i="4"/>
  <c r="G14" i="8"/>
  <c r="X235" i="4"/>
  <c r="W251" i="4"/>
  <c r="Z30" i="8" s="1"/>
  <c r="X253" i="4"/>
  <c r="G32" i="8"/>
  <c r="N236" i="4"/>
  <c r="Q15" i="8" s="1"/>
  <c r="AB47" i="4"/>
  <c r="T45" i="4"/>
  <c r="C102" i="9"/>
  <c r="X433" i="4"/>
  <c r="C34" i="9"/>
  <c r="X365" i="4"/>
  <c r="X246" i="4"/>
  <c r="G25" i="8"/>
  <c r="T15" i="4"/>
  <c r="AC15" i="4"/>
  <c r="U15" i="4"/>
  <c r="AD15" i="4"/>
  <c r="S79" i="4"/>
  <c r="AB79" i="4"/>
  <c r="AC79" i="4"/>
  <c r="AA79" i="4"/>
  <c r="AB20" i="4"/>
  <c r="F43" i="4"/>
  <c r="AE12" i="4"/>
  <c r="AC95" i="4"/>
  <c r="AA14" i="4"/>
  <c r="N43" i="4"/>
  <c r="T95" i="4"/>
  <c r="AG33" i="4"/>
  <c r="AH12" i="4"/>
  <c r="AE32" i="4"/>
  <c r="D43" i="4"/>
  <c r="M43" i="4"/>
  <c r="X20" i="4"/>
  <c r="AH32" i="4"/>
  <c r="O43" i="4"/>
  <c r="AB107" i="4"/>
  <c r="AC45" i="4"/>
  <c r="V14" i="4"/>
  <c r="T69" i="4"/>
  <c r="J26" i="4"/>
  <c r="AD101" i="4"/>
  <c r="K12" i="4"/>
  <c r="AF70" i="4"/>
  <c r="AA20" i="4"/>
  <c r="V95" i="4"/>
  <c r="G43" i="4"/>
  <c r="H43" i="4"/>
  <c r="Z79" i="4"/>
  <c r="S95" i="4"/>
  <c r="J43" i="4"/>
  <c r="AB14" i="4"/>
  <c r="M12" i="4"/>
  <c r="T47" i="4"/>
  <c r="T14" i="4"/>
  <c r="AF12" i="4"/>
  <c r="X9" i="4"/>
  <c r="U8" i="4"/>
  <c r="AD45" i="4"/>
  <c r="AB95" i="4"/>
  <c r="AG12" i="4"/>
  <c r="H110" i="4"/>
  <c r="U63" i="4"/>
  <c r="AA39" i="4"/>
  <c r="AC8" i="4"/>
  <c r="T9" i="4"/>
  <c r="H26" i="4"/>
  <c r="AG104" i="4"/>
  <c r="AD21" i="4"/>
  <c r="S22" i="4"/>
  <c r="Z9" i="4"/>
  <c r="I12" i="4"/>
  <c r="U69" i="4"/>
  <c r="AA45" i="4"/>
  <c r="L12" i="4"/>
  <c r="J12" i="4"/>
  <c r="AG28" i="4"/>
  <c r="AF23" i="4"/>
  <c r="AA101" i="4"/>
  <c r="AD14" i="4"/>
  <c r="U95" i="4"/>
  <c r="AG106" i="4"/>
  <c r="Y9" i="4"/>
  <c r="AG110" i="4"/>
  <c r="Y29" i="4"/>
  <c r="I43" i="4"/>
  <c r="AB22" i="4"/>
  <c r="X31" i="4"/>
  <c r="I32" i="4"/>
  <c r="U14" i="4"/>
  <c r="AB45" i="4"/>
  <c r="AA107" i="4"/>
  <c r="Z29" i="4"/>
  <c r="AD20" i="4"/>
  <c r="AF32" i="4"/>
  <c r="S63" i="4"/>
  <c r="S14" i="4"/>
  <c r="AE26" i="4"/>
  <c r="S47" i="4"/>
  <c r="K43" i="4"/>
  <c r="N12" i="4"/>
  <c r="AG43" i="4"/>
  <c r="L43" i="4"/>
  <c r="O12" i="4"/>
  <c r="V47" i="4"/>
  <c r="W79" i="4"/>
  <c r="AG23" i="4"/>
  <c r="E12" i="4"/>
  <c r="U9" i="4"/>
  <c r="T22" i="4"/>
  <c r="AF40" i="4"/>
  <c r="G12" i="4"/>
  <c r="AD95" i="4"/>
  <c r="W9" i="4"/>
  <c r="V9" i="4"/>
  <c r="H12" i="4"/>
  <c r="E43" i="4"/>
  <c r="D12" i="4"/>
  <c r="AE106" i="4"/>
  <c r="AD107" i="4"/>
  <c r="AC30" i="4"/>
  <c r="Z63" i="4"/>
  <c r="AH104" i="4"/>
  <c r="U107" i="4"/>
  <c r="AD62" i="4"/>
  <c r="AD25" i="4"/>
  <c r="AB9" i="4"/>
  <c r="Z95" i="4"/>
  <c r="AE89" i="4"/>
  <c r="P59" i="4"/>
  <c r="T62" i="4"/>
  <c r="AD91" i="4"/>
  <c r="AB8" i="4"/>
  <c r="S11" i="4"/>
  <c r="S107" i="4"/>
  <c r="AH89" i="4"/>
  <c r="AD100" i="4"/>
  <c r="U31" i="4"/>
  <c r="Y62" i="4"/>
  <c r="G110" i="4"/>
  <c r="Z14" i="4"/>
  <c r="AC101" i="4"/>
  <c r="M26" i="4"/>
  <c r="P102" i="4"/>
  <c r="X22" i="4"/>
  <c r="X18" i="4"/>
  <c r="T20" i="4"/>
  <c r="Y95" i="4"/>
  <c r="V29" i="4"/>
  <c r="X74" i="4"/>
  <c r="AF104" i="4"/>
  <c r="AC20" i="4"/>
  <c r="AF89" i="4"/>
  <c r="P88" i="4"/>
  <c r="AK64" i="4"/>
  <c r="AD64" i="4" s="1"/>
  <c r="AM63" i="4"/>
  <c r="AH72" i="4"/>
  <c r="AG89" i="4"/>
  <c r="AH106" i="4"/>
  <c r="J104" i="4"/>
  <c r="AF92" i="4"/>
  <c r="F26" i="4"/>
  <c r="AF7" i="4"/>
  <c r="AG32" i="4"/>
  <c r="F110" i="4"/>
  <c r="L26" i="4"/>
  <c r="D32" i="4"/>
  <c r="M89" i="4"/>
  <c r="I26" i="4"/>
  <c r="O89" i="4"/>
  <c r="H106" i="4"/>
  <c r="AF56" i="4"/>
  <c r="K26" i="4"/>
  <c r="D89" i="4"/>
  <c r="AG19" i="4"/>
  <c r="G26" i="4"/>
  <c r="G89" i="4"/>
  <c r="AH28" i="4"/>
  <c r="X14" i="4"/>
  <c r="W14" i="4"/>
  <c r="AA100" i="4"/>
  <c r="AC14" i="4"/>
  <c r="Y79" i="4"/>
  <c r="AG92" i="4"/>
  <c r="AE104" i="4"/>
  <c r="U30" i="4"/>
  <c r="AF110" i="4"/>
  <c r="N26" i="4"/>
  <c r="E89" i="4"/>
  <c r="AE72" i="4"/>
  <c r="V63" i="4"/>
  <c r="I106" i="4"/>
  <c r="X79" i="4"/>
  <c r="I110" i="4"/>
  <c r="Z62" i="4"/>
  <c r="AC100" i="4"/>
  <c r="AA95" i="4"/>
  <c r="O26" i="4"/>
  <c r="F89" i="4"/>
  <c r="W20" i="4"/>
  <c r="W95" i="4"/>
  <c r="M32" i="4"/>
  <c r="D26" i="4"/>
  <c r="K110" i="4"/>
  <c r="H89" i="4"/>
  <c r="AF78" i="4"/>
  <c r="T31" i="4"/>
  <c r="AE23" i="4"/>
  <c r="S9" i="4"/>
  <c r="X95" i="4"/>
  <c r="AE19" i="4"/>
  <c r="E26" i="4"/>
  <c r="L110" i="4"/>
  <c r="I89" i="4"/>
  <c r="AH23" i="4"/>
  <c r="V25" i="4"/>
  <c r="AE56" i="4"/>
  <c r="J110" i="4"/>
  <c r="Y14" i="4"/>
  <c r="AA63" i="4"/>
  <c r="AH75" i="4"/>
  <c r="K32" i="4"/>
  <c r="J89" i="4"/>
  <c r="AB101" i="4"/>
  <c r="AF26" i="4"/>
  <c r="M110" i="4"/>
  <c r="N89" i="4"/>
  <c r="AG78" i="4"/>
  <c r="N110" i="4"/>
  <c r="K89" i="4"/>
  <c r="T18" i="4"/>
  <c r="AH56" i="4"/>
  <c r="X86" i="4"/>
  <c r="AG56" i="4"/>
  <c r="L89" i="4"/>
  <c r="O110" i="4"/>
  <c r="T101" i="4"/>
  <c r="AG16" i="4"/>
  <c r="AD39" i="4"/>
  <c r="V69" i="4"/>
  <c r="AF16" i="4"/>
  <c r="D110" i="4"/>
  <c r="AE16" i="4"/>
  <c r="AD9" i="4"/>
  <c r="E110" i="4"/>
  <c r="Z64" i="4"/>
  <c r="AH70" i="4"/>
  <c r="AA62" i="4"/>
  <c r="AC39" i="4"/>
  <c r="AA9" i="4"/>
  <c r="U11" i="4"/>
  <c r="AE84" i="4"/>
  <c r="L32" i="4"/>
  <c r="G106" i="4"/>
  <c r="AB39" i="4"/>
  <c r="AC9" i="4"/>
  <c r="AB18" i="4"/>
  <c r="N32" i="4"/>
  <c r="W41" i="4"/>
  <c r="U101" i="4"/>
  <c r="AF84" i="4"/>
  <c r="AG97" i="4"/>
  <c r="X30" i="4"/>
  <c r="O32" i="4"/>
  <c r="AB62" i="4"/>
  <c r="AG75" i="4"/>
  <c r="W63" i="4"/>
  <c r="J106" i="4"/>
  <c r="K106" i="4"/>
  <c r="M104" i="4"/>
  <c r="V62" i="4"/>
  <c r="E32" i="4"/>
  <c r="W62" i="4"/>
  <c r="X62" i="4"/>
  <c r="E70" i="4"/>
  <c r="U66" i="4"/>
  <c r="AC22" i="4"/>
  <c r="W29" i="4"/>
  <c r="S31" i="4"/>
  <c r="G32" i="4"/>
  <c r="W8" i="4"/>
  <c r="V11" i="4"/>
  <c r="X29" i="4"/>
  <c r="V31" i="4"/>
  <c r="H32" i="4"/>
  <c r="T107" i="4"/>
  <c r="V39" i="4"/>
  <c r="W31" i="4"/>
  <c r="Z13" i="4"/>
  <c r="J32" i="4"/>
  <c r="Z98" i="4"/>
  <c r="AH19" i="4"/>
  <c r="AH84" i="4"/>
  <c r="U17" i="4"/>
  <c r="Z101" i="4"/>
  <c r="S18" i="4"/>
  <c r="AD8" i="4"/>
  <c r="Z38" i="4"/>
  <c r="F32" i="4"/>
  <c r="AF75" i="4"/>
  <c r="N78" i="4"/>
  <c r="V8" i="4"/>
  <c r="AH40" i="4"/>
  <c r="AC69" i="4"/>
  <c r="AH60" i="4"/>
  <c r="AC25" i="4"/>
  <c r="W101" i="4"/>
  <c r="U20" i="4"/>
  <c r="AH92" i="4"/>
  <c r="W22" i="4"/>
  <c r="X101" i="4"/>
  <c r="V20" i="4"/>
  <c r="Z86" i="4"/>
  <c r="AB58" i="4"/>
  <c r="U62" i="4"/>
  <c r="W77" i="4"/>
  <c r="M78" i="4"/>
  <c r="W98" i="4"/>
  <c r="Y31" i="4"/>
  <c r="AC38" i="4"/>
  <c r="U18" i="4"/>
  <c r="S101" i="4"/>
  <c r="E106" i="4"/>
  <c r="AA41" i="4"/>
  <c r="V18" i="4"/>
  <c r="S62" i="4"/>
  <c r="G104" i="4"/>
  <c r="AC62" i="4"/>
  <c r="S69" i="4"/>
  <c r="AD98" i="4"/>
  <c r="U98" i="4"/>
  <c r="S99" i="4"/>
  <c r="U22" i="4"/>
  <c r="J33" i="4"/>
  <c r="Y66" i="4"/>
  <c r="W11" i="4"/>
  <c r="AC63" i="4"/>
  <c r="T17" i="4"/>
  <c r="AD24" i="4"/>
  <c r="AB11" i="4"/>
  <c r="AA25" i="4"/>
  <c r="T63" i="4"/>
  <c r="Z18" i="4"/>
  <c r="X63" i="4"/>
  <c r="S25" i="4"/>
  <c r="AH16" i="4"/>
  <c r="AD82" i="4"/>
  <c r="AB25" i="4"/>
  <c r="W18" i="4"/>
  <c r="AB100" i="4"/>
  <c r="AA31" i="4"/>
  <c r="Y63" i="4"/>
  <c r="AG109" i="4"/>
  <c r="V22" i="4"/>
  <c r="AE92" i="4"/>
  <c r="Y101" i="4"/>
  <c r="W65" i="4"/>
  <c r="AD30" i="4"/>
  <c r="W90" i="4"/>
  <c r="D104" i="4"/>
  <c r="T8" i="4"/>
  <c r="AH7" i="4"/>
  <c r="AC77" i="4"/>
  <c r="AH97" i="4"/>
  <c r="H104" i="4"/>
  <c r="Z100" i="4"/>
  <c r="Y25" i="4"/>
  <c r="AA8" i="4"/>
  <c r="S39" i="4"/>
  <c r="Z39" i="4"/>
  <c r="I104" i="4"/>
  <c r="AE28" i="4"/>
  <c r="F33" i="4"/>
  <c r="W17" i="4"/>
  <c r="V98" i="4"/>
  <c r="E78" i="4"/>
  <c r="AA29" i="4"/>
  <c r="F78" i="4"/>
  <c r="L78" i="4"/>
  <c r="T66" i="4"/>
  <c r="AF106" i="4"/>
  <c r="AH33" i="4"/>
  <c r="AH78" i="4"/>
  <c r="W24" i="4"/>
  <c r="F106" i="4"/>
  <c r="T74" i="4"/>
  <c r="D78" i="4"/>
  <c r="AF97" i="4"/>
  <c r="H75" i="4"/>
  <c r="D33" i="4"/>
  <c r="T21" i="4"/>
  <c r="X54" i="4"/>
  <c r="AA69" i="4"/>
  <c r="Y57" i="4"/>
  <c r="AD77" i="4"/>
  <c r="Z25" i="4"/>
  <c r="V21" i="4"/>
  <c r="AG84" i="4"/>
  <c r="L33" i="4"/>
  <c r="D70" i="4"/>
  <c r="G78" i="4"/>
  <c r="L106" i="4"/>
  <c r="Z22" i="4"/>
  <c r="X77" i="4"/>
  <c r="Y18" i="4"/>
  <c r="AB69" i="4"/>
  <c r="AA77" i="4"/>
  <c r="X25" i="4"/>
  <c r="AG72" i="4"/>
  <c r="AF33" i="4"/>
  <c r="G33" i="4"/>
  <c r="F70" i="4"/>
  <c r="H78" i="4"/>
  <c r="M106" i="4"/>
  <c r="AF19" i="4"/>
  <c r="AB77" i="4"/>
  <c r="AB29" i="4"/>
  <c r="G70" i="4"/>
  <c r="I78" i="4"/>
  <c r="N106" i="4"/>
  <c r="U93" i="4"/>
  <c r="S29" i="4"/>
  <c r="S66" i="4"/>
  <c r="V66" i="4"/>
  <c r="AD69" i="4"/>
  <c r="S20" i="4"/>
  <c r="Y100" i="4"/>
  <c r="AD29" i="4"/>
  <c r="V30" i="4"/>
  <c r="H70" i="4"/>
  <c r="J78" i="4"/>
  <c r="O106" i="4"/>
  <c r="V91" i="4"/>
  <c r="Z41" i="4"/>
  <c r="Z11" i="4"/>
  <c r="Z8" i="4"/>
  <c r="AH103" i="4"/>
  <c r="AC29" i="4"/>
  <c r="S98" i="4"/>
  <c r="I70" i="4"/>
  <c r="K78" i="4"/>
  <c r="L104" i="4"/>
  <c r="I33" i="4"/>
  <c r="X17" i="4"/>
  <c r="T98" i="4"/>
  <c r="J70" i="4"/>
  <c r="W69" i="4"/>
  <c r="AG40" i="4"/>
  <c r="AB91" i="4"/>
  <c r="X8" i="4"/>
  <c r="AD38" i="4"/>
  <c r="U25" i="4"/>
  <c r="X93" i="4"/>
  <c r="W100" i="4"/>
  <c r="T100" i="4"/>
  <c r="AC82" i="4"/>
  <c r="K70" i="4"/>
  <c r="N104" i="4"/>
  <c r="Y8" i="4"/>
  <c r="V41" i="4"/>
  <c r="AC17" i="4"/>
  <c r="L70" i="4"/>
  <c r="O104" i="4"/>
  <c r="AD63" i="4"/>
  <c r="AA30" i="4"/>
  <c r="AA22" i="4"/>
  <c r="AA21" i="4"/>
  <c r="U39" i="4"/>
  <c r="T25" i="4"/>
  <c r="V101" i="4"/>
  <c r="M70" i="4"/>
  <c r="AE70" i="4"/>
  <c r="D106" i="4"/>
  <c r="K104" i="4"/>
  <c r="T11" i="4"/>
  <c r="AH109" i="4"/>
  <c r="W25" i="4"/>
  <c r="N70" i="4"/>
  <c r="AD22" i="4"/>
  <c r="AC31" i="4"/>
  <c r="T39" i="4"/>
  <c r="AE78" i="4"/>
  <c r="N97" i="4"/>
  <c r="X21" i="4"/>
  <c r="O70" i="4"/>
  <c r="E104" i="4"/>
  <c r="W93" i="4"/>
  <c r="X98" i="4"/>
  <c r="AB63" i="4"/>
  <c r="AC24" i="4"/>
  <c r="X11" i="4"/>
  <c r="Z58" i="4"/>
  <c r="Y24" i="4"/>
  <c r="O78" i="4"/>
  <c r="F104" i="4"/>
  <c r="S100" i="4"/>
  <c r="Z17" i="4"/>
  <c r="AC66" i="4"/>
  <c r="AE75" i="4"/>
  <c r="AC107" i="4"/>
  <c r="T93" i="4"/>
  <c r="Z21" i="4"/>
  <c r="AD31" i="4"/>
  <c r="Y98" i="4"/>
  <c r="T29" i="4"/>
  <c r="V107" i="4"/>
  <c r="U100" i="4"/>
  <c r="Y77" i="4"/>
  <c r="Y69" i="4"/>
  <c r="Y20" i="4"/>
  <c r="N60" i="4"/>
  <c r="O28" i="4"/>
  <c r="M33" i="4"/>
  <c r="X66" i="4"/>
  <c r="Z66" i="4"/>
  <c r="W66" i="4"/>
  <c r="Y21" i="4"/>
  <c r="AB31" i="4"/>
  <c r="AF60" i="4"/>
  <c r="S17" i="4"/>
  <c r="N33" i="4"/>
  <c r="AD66" i="4"/>
  <c r="X13" i="4"/>
  <c r="T53" i="4"/>
  <c r="U29" i="4"/>
  <c r="AF109" i="4"/>
  <c r="V100" i="4"/>
  <c r="Z77" i="4"/>
  <c r="X100" i="4"/>
  <c r="AD57" i="4"/>
  <c r="T91" i="4"/>
  <c r="S21" i="4"/>
  <c r="AE97" i="4"/>
  <c r="O33" i="4"/>
  <c r="X90" i="4"/>
  <c r="X41" i="4"/>
  <c r="Y17" i="4"/>
  <c r="T99" i="4"/>
  <c r="E33" i="4"/>
  <c r="AH96" i="4"/>
  <c r="Y58" i="4"/>
  <c r="Y22" i="4"/>
  <c r="AC86" i="4"/>
  <c r="Y41" i="4"/>
  <c r="S93" i="4"/>
  <c r="AD41" i="4"/>
  <c r="AA91" i="4"/>
  <c r="AB82" i="4"/>
  <c r="AE33" i="4"/>
  <c r="O97" i="4"/>
  <c r="Y93" i="4"/>
  <c r="S8" i="4"/>
  <c r="X99" i="4"/>
  <c r="W21" i="4"/>
  <c r="AA18" i="4"/>
  <c r="X24" i="4"/>
  <c r="AG7" i="4"/>
  <c r="H33" i="4"/>
  <c r="V74" i="4"/>
  <c r="AB66" i="4"/>
  <c r="Y11" i="4"/>
  <c r="Z20" i="4"/>
  <c r="Z82" i="4"/>
  <c r="AA24" i="4"/>
  <c r="K33" i="4"/>
  <c r="Y86" i="4"/>
  <c r="W58" i="4"/>
  <c r="S10" i="4"/>
  <c r="AB17" i="4"/>
  <c r="AD58" i="4"/>
  <c r="AA66" i="4"/>
  <c r="T54" i="4"/>
  <c r="L60" i="4"/>
  <c r="M84" i="4"/>
  <c r="D97" i="4"/>
  <c r="AH36" i="4"/>
  <c r="E97" i="4"/>
  <c r="F109" i="4"/>
  <c r="E109" i="4"/>
  <c r="D109" i="4"/>
  <c r="G109" i="4"/>
  <c r="O109" i="4"/>
  <c r="N109" i="4"/>
  <c r="M109" i="4"/>
  <c r="L109" i="4"/>
  <c r="K109" i="4"/>
  <c r="J109" i="4"/>
  <c r="I109" i="4"/>
  <c r="H109" i="4"/>
  <c r="AE103" i="4"/>
  <c r="G103" i="4"/>
  <c r="F103" i="4"/>
  <c r="E103" i="4"/>
  <c r="D103" i="4"/>
  <c r="O103" i="4"/>
  <c r="N103" i="4"/>
  <c r="M103" i="4"/>
  <c r="L103" i="4"/>
  <c r="K103" i="4"/>
  <c r="H103" i="4"/>
  <c r="J103" i="4"/>
  <c r="I103" i="4"/>
  <c r="AF103" i="4"/>
  <c r="G97" i="4"/>
  <c r="H7" i="4"/>
  <c r="H97" i="4"/>
  <c r="F92" i="4"/>
  <c r="E92" i="4"/>
  <c r="D92" i="4"/>
  <c r="O92" i="4"/>
  <c r="N92" i="4"/>
  <c r="M92" i="4"/>
  <c r="L92" i="4"/>
  <c r="K92" i="4"/>
  <c r="J92" i="4"/>
  <c r="G92" i="4"/>
  <c r="I92" i="4"/>
  <c r="H92" i="4"/>
  <c r="I97" i="4"/>
  <c r="F97" i="4"/>
  <c r="J97" i="4"/>
  <c r="D72" i="4"/>
  <c r="K97" i="4"/>
  <c r="AG96" i="4"/>
  <c r="L97" i="4"/>
  <c r="O96" i="4"/>
  <c r="N96" i="4"/>
  <c r="M96" i="4"/>
  <c r="L96" i="4"/>
  <c r="K96" i="4"/>
  <c r="J96" i="4"/>
  <c r="I96" i="4"/>
  <c r="H96" i="4"/>
  <c r="G96" i="4"/>
  <c r="F96" i="4"/>
  <c r="E96" i="4"/>
  <c r="D96" i="4"/>
  <c r="M97" i="4"/>
  <c r="AM55" i="4"/>
  <c r="AM54" i="4"/>
  <c r="J75" i="4"/>
  <c r="F72" i="4"/>
  <c r="I75" i="4"/>
  <c r="E72" i="4"/>
  <c r="L23" i="4"/>
  <c r="F7" i="4"/>
  <c r="K75" i="4"/>
  <c r="G72" i="4"/>
  <c r="O84" i="4"/>
  <c r="N23" i="4"/>
  <c r="G7" i="4"/>
  <c r="L75" i="4"/>
  <c r="H72" i="4"/>
  <c r="M23" i="4"/>
  <c r="M75" i="4"/>
  <c r="I72" i="4"/>
  <c r="N84" i="4"/>
  <c r="N75" i="4"/>
  <c r="D84" i="4"/>
  <c r="AF72" i="4"/>
  <c r="O75" i="4"/>
  <c r="E84" i="4"/>
  <c r="F84" i="4"/>
  <c r="K72" i="4"/>
  <c r="G84" i="4"/>
  <c r="E7" i="4"/>
  <c r="O16" i="4"/>
  <c r="L72" i="4"/>
  <c r="H84" i="4"/>
  <c r="AE7" i="4"/>
  <c r="E16" i="4"/>
  <c r="M72" i="4"/>
  <c r="I84" i="4"/>
  <c r="M60" i="4"/>
  <c r="I16" i="4"/>
  <c r="D75" i="4"/>
  <c r="J72" i="4"/>
  <c r="J84" i="4"/>
  <c r="E75" i="4"/>
  <c r="N72" i="4"/>
  <c r="K84" i="4"/>
  <c r="F75" i="4"/>
  <c r="O72" i="4"/>
  <c r="L84" i="4"/>
  <c r="G75" i="4"/>
  <c r="AE36" i="4"/>
  <c r="N36" i="4"/>
  <c r="M36" i="4"/>
  <c r="L36" i="4"/>
  <c r="K36" i="4"/>
  <c r="J36" i="4"/>
  <c r="I36" i="4"/>
  <c r="H36" i="4"/>
  <c r="G36" i="4"/>
  <c r="F36" i="4"/>
  <c r="E36" i="4"/>
  <c r="O36" i="4"/>
  <c r="D36" i="4"/>
  <c r="G56" i="4"/>
  <c r="F56" i="4"/>
  <c r="K56" i="4"/>
  <c r="E56" i="4"/>
  <c r="D56" i="4"/>
  <c r="H56" i="4"/>
  <c r="O56" i="4"/>
  <c r="N56" i="4"/>
  <c r="M56" i="4"/>
  <c r="L56" i="4"/>
  <c r="I56" i="4"/>
  <c r="J56" i="4"/>
  <c r="G60" i="4"/>
  <c r="I7" i="4"/>
  <c r="O60" i="4"/>
  <c r="J7" i="4"/>
  <c r="E19" i="4"/>
  <c r="O19" i="4"/>
  <c r="N19" i="4"/>
  <c r="M19" i="4"/>
  <c r="L19" i="4"/>
  <c r="K19" i="4"/>
  <c r="J19" i="4"/>
  <c r="I19" i="4"/>
  <c r="H19" i="4"/>
  <c r="G19" i="4"/>
  <c r="F19" i="4"/>
  <c r="D19" i="4"/>
  <c r="AE60" i="4"/>
  <c r="D7" i="4"/>
  <c r="E60" i="4"/>
  <c r="O23" i="4"/>
  <c r="K7" i="4"/>
  <c r="AE40" i="4"/>
  <c r="G40" i="4"/>
  <c r="F40" i="4"/>
  <c r="E40" i="4"/>
  <c r="D40" i="4"/>
  <c r="K40" i="4"/>
  <c r="I40" i="4"/>
  <c r="O40" i="4"/>
  <c r="H40" i="4"/>
  <c r="N40" i="4"/>
  <c r="M40" i="4"/>
  <c r="L40" i="4"/>
  <c r="J40" i="4"/>
  <c r="D23" i="4"/>
  <c r="E23" i="4"/>
  <c r="L7" i="4"/>
  <c r="F23" i="4"/>
  <c r="M7" i="4"/>
  <c r="F60" i="4"/>
  <c r="G23" i="4"/>
  <c r="N7" i="4"/>
  <c r="H60" i="4"/>
  <c r="H23" i="4"/>
  <c r="O7" i="4"/>
  <c r="I60" i="4"/>
  <c r="AF36" i="4"/>
  <c r="I23" i="4"/>
  <c r="J60" i="4"/>
  <c r="AG60" i="4"/>
  <c r="J23" i="4"/>
  <c r="K60" i="4"/>
  <c r="K23" i="4"/>
  <c r="D60" i="4"/>
  <c r="D28" i="4"/>
  <c r="E28" i="4"/>
  <c r="F28" i="4"/>
  <c r="G28" i="4"/>
  <c r="H28" i="4"/>
  <c r="I28" i="4"/>
  <c r="J28" i="4"/>
  <c r="AF28" i="4"/>
  <c r="L28" i="4"/>
  <c r="M28" i="4"/>
  <c r="K28" i="4"/>
  <c r="N28" i="4"/>
  <c r="H16" i="4"/>
  <c r="J16" i="4"/>
  <c r="K16" i="4"/>
  <c r="L16" i="4"/>
  <c r="M16" i="4"/>
  <c r="N16" i="4"/>
  <c r="D16" i="4"/>
  <c r="F16" i="4"/>
  <c r="G16" i="4"/>
  <c r="AA58" i="4"/>
  <c r="AB57" i="4"/>
  <c r="Z99" i="4"/>
  <c r="AC91" i="4"/>
  <c r="AB21" i="4"/>
  <c r="V93" i="4"/>
  <c r="AC58" i="4"/>
  <c r="Y54" i="4"/>
  <c r="AB30" i="4"/>
  <c r="AD17" i="4"/>
  <c r="U74" i="4"/>
  <c r="Y38" i="4"/>
  <c r="S91" i="4"/>
  <c r="AE96" i="4"/>
  <c r="AC21" i="4"/>
  <c r="AA17" i="4"/>
  <c r="Y82" i="4"/>
  <c r="Z24" i="4"/>
  <c r="W38" i="4"/>
  <c r="U91" i="4"/>
  <c r="Y90" i="4"/>
  <c r="S74" i="4"/>
  <c r="AD11" i="4"/>
  <c r="W13" i="4"/>
  <c r="V46" i="4"/>
  <c r="AB86" i="4"/>
  <c r="U54" i="4"/>
  <c r="AA82" i="4"/>
  <c r="AC18" i="4"/>
  <c r="Z90" i="4"/>
  <c r="S30" i="4"/>
  <c r="S41" i="4"/>
  <c r="Z30" i="4"/>
  <c r="W30" i="4"/>
  <c r="X38" i="4"/>
  <c r="V54" i="4"/>
  <c r="U41" i="4"/>
  <c r="AA11" i="4"/>
  <c r="Y13" i="4"/>
  <c r="U94" i="4"/>
  <c r="W64" i="4"/>
  <c r="S54" i="4"/>
  <c r="W74" i="4"/>
  <c r="W39" i="4"/>
  <c r="U10" i="4"/>
  <c r="AD18" i="4"/>
  <c r="AG103" i="4"/>
  <c r="T30" i="4"/>
  <c r="X65" i="4"/>
  <c r="T41" i="4"/>
  <c r="V83" i="4"/>
  <c r="S83" i="4"/>
  <c r="U83" i="4"/>
  <c r="T83" i="4"/>
  <c r="Y30" i="4"/>
  <c r="AC11" i="4"/>
  <c r="AA98" i="4"/>
  <c r="U21" i="4"/>
  <c r="Z65" i="4"/>
  <c r="AC13" i="4"/>
  <c r="AB13" i="4"/>
  <c r="AA13" i="4"/>
  <c r="AD13" i="4"/>
  <c r="AB24" i="4"/>
  <c r="W86" i="4"/>
  <c r="Z93" i="4"/>
  <c r="AA83" i="4"/>
  <c r="AB83" i="4"/>
  <c r="AD83" i="4"/>
  <c r="AC83" i="4"/>
  <c r="AB41" i="4"/>
  <c r="Z69" i="4"/>
  <c r="V17" i="4"/>
  <c r="AC99" i="4"/>
  <c r="AC10" i="4"/>
  <c r="AA38" i="4"/>
  <c r="AD10" i="4"/>
  <c r="Z54" i="4"/>
  <c r="V99" i="4"/>
  <c r="Y99" i="4"/>
  <c r="U99" i="4"/>
  <c r="S13" i="4"/>
  <c r="T13" i="4"/>
  <c r="V13" i="4"/>
  <c r="U13" i="4"/>
  <c r="AE109" i="4"/>
  <c r="AB38" i="4"/>
  <c r="AB10" i="4"/>
  <c r="W99" i="4"/>
  <c r="X83" i="4"/>
  <c r="W83" i="4"/>
  <c r="Z83" i="4"/>
  <c r="Y83" i="4"/>
  <c r="Z76" i="4"/>
  <c r="AC54" i="4"/>
  <c r="AB54" i="4"/>
  <c r="AA54" i="4"/>
  <c r="AD54" i="4"/>
  <c r="U52" i="4"/>
  <c r="T52" i="4"/>
  <c r="S52" i="4"/>
  <c r="V52" i="4"/>
  <c r="AB98" i="4"/>
  <c r="W67" i="4"/>
  <c r="Z67" i="4"/>
  <c r="Y67" i="4"/>
  <c r="X67" i="4"/>
  <c r="AC98" i="4"/>
  <c r="V10" i="4"/>
  <c r="W82" i="4"/>
  <c r="AA57" i="4"/>
  <c r="AD86" i="4"/>
  <c r="W57" i="4"/>
  <c r="T35" i="4"/>
  <c r="S35" i="4"/>
  <c r="V35" i="4"/>
  <c r="U35" i="4"/>
  <c r="U86" i="4"/>
  <c r="V86" i="4"/>
  <c r="T86" i="4"/>
  <c r="S86" i="4"/>
  <c r="AG36" i="4"/>
  <c r="U73" i="4"/>
  <c r="T73" i="4"/>
  <c r="S73" i="4"/>
  <c r="V73" i="4"/>
  <c r="V44" i="4"/>
  <c r="U44" i="4"/>
  <c r="T44" i="4"/>
  <c r="S44" i="4"/>
  <c r="Y85" i="4"/>
  <c r="W85" i="4"/>
  <c r="Z85" i="4"/>
  <c r="X85" i="4"/>
  <c r="S42" i="4"/>
  <c r="V42" i="4"/>
  <c r="U42" i="4"/>
  <c r="T42" i="4"/>
  <c r="S67" i="4"/>
  <c r="V67" i="4"/>
  <c r="U67" i="4"/>
  <c r="T67" i="4"/>
  <c r="AC57" i="4"/>
  <c r="AC41" i="4"/>
  <c r="Y73" i="4"/>
  <c r="Z73" i="4"/>
  <c r="X73" i="4"/>
  <c r="W73" i="4"/>
  <c r="T51" i="4"/>
  <c r="V51" i="4"/>
  <c r="U51" i="4"/>
  <c r="S51" i="4"/>
  <c r="AD44" i="4"/>
  <c r="AC44" i="4"/>
  <c r="AB44" i="4"/>
  <c r="AA44" i="4"/>
  <c r="Y53" i="4"/>
  <c r="X53" i="4"/>
  <c r="W53" i="4"/>
  <c r="Z53" i="4"/>
  <c r="X69" i="4"/>
  <c r="V108" i="4"/>
  <c r="S108" i="4"/>
  <c r="U108" i="4"/>
  <c r="T108" i="4"/>
  <c r="W61" i="4"/>
  <c r="X61" i="4"/>
  <c r="Z61" i="4"/>
  <c r="Y61" i="4"/>
  <c r="AD85" i="4"/>
  <c r="AC85" i="4"/>
  <c r="AB85" i="4"/>
  <c r="AA85" i="4"/>
  <c r="Z50" i="4"/>
  <c r="Y50" i="4"/>
  <c r="X50" i="4"/>
  <c r="W50" i="4"/>
  <c r="AA10" i="4"/>
  <c r="Y65" i="4"/>
  <c r="AD48" i="4"/>
  <c r="AA48" i="4"/>
  <c r="AC48" i="4"/>
  <c r="AB48" i="4"/>
  <c r="X108" i="4"/>
  <c r="W108" i="4"/>
  <c r="Y108" i="4"/>
  <c r="Z108" i="4"/>
  <c r="AC81" i="4"/>
  <c r="AB81" i="4"/>
  <c r="AA81" i="4"/>
  <c r="AD81" i="4"/>
  <c r="AB105" i="4"/>
  <c r="AD105" i="4"/>
  <c r="AC105" i="4"/>
  <c r="AA105" i="4"/>
  <c r="W49" i="4"/>
  <c r="Z49" i="4"/>
  <c r="Y49" i="4"/>
  <c r="X49" i="4"/>
  <c r="U76" i="4"/>
  <c r="T76" i="4"/>
  <c r="S76" i="4"/>
  <c r="V76" i="4"/>
  <c r="AA99" i="4"/>
  <c r="AB99" i="4"/>
  <c r="Z46" i="4"/>
  <c r="Y46" i="4"/>
  <c r="X46" i="4"/>
  <c r="W46" i="4"/>
  <c r="V94" i="4"/>
  <c r="X10" i="4"/>
  <c r="W10" i="4"/>
  <c r="Z10" i="4"/>
  <c r="Y10" i="4"/>
  <c r="Z105" i="4"/>
  <c r="Y105" i="4"/>
  <c r="X105" i="4"/>
  <c r="W105" i="4"/>
  <c r="AA46" i="4"/>
  <c r="AB46" i="4"/>
  <c r="AD46" i="4"/>
  <c r="AC46" i="4"/>
  <c r="S94" i="4"/>
  <c r="AD73" i="4"/>
  <c r="AC73" i="4"/>
  <c r="AB73" i="4"/>
  <c r="AA73" i="4"/>
  <c r="U105" i="4"/>
  <c r="V105" i="4"/>
  <c r="T105" i="4"/>
  <c r="S105" i="4"/>
  <c r="AB76" i="4"/>
  <c r="AA76" i="4"/>
  <c r="AD76" i="4"/>
  <c r="AC76" i="4"/>
  <c r="S71" i="4"/>
  <c r="V71" i="4"/>
  <c r="U71" i="4"/>
  <c r="T71" i="4"/>
  <c r="AD67" i="4"/>
  <c r="AB67" i="4"/>
  <c r="AA67" i="4"/>
  <c r="AC67" i="4"/>
  <c r="X58" i="4"/>
  <c r="AD50" i="4"/>
  <c r="AC50" i="4"/>
  <c r="AB50" i="4"/>
  <c r="AA50" i="4"/>
  <c r="AD99" i="4"/>
  <c r="AD53" i="4"/>
  <c r="AA53" i="4"/>
  <c r="AC53" i="4"/>
  <c r="AB53" i="4"/>
  <c r="AD93" i="4"/>
  <c r="AB93" i="4"/>
  <c r="AA93" i="4"/>
  <c r="AC93" i="4"/>
  <c r="U53" i="4"/>
  <c r="T94" i="4"/>
  <c r="AA61" i="4"/>
  <c r="AD61" i="4"/>
  <c r="AC61" i="4"/>
  <c r="AB61" i="4"/>
  <c r="Y74" i="4"/>
  <c r="T81" i="4"/>
  <c r="S81" i="4"/>
  <c r="V81" i="4"/>
  <c r="U81" i="4"/>
  <c r="Z44" i="4"/>
  <c r="W44" i="4"/>
  <c r="Y44" i="4"/>
  <c r="X44" i="4"/>
  <c r="Z27" i="4"/>
  <c r="W27" i="4"/>
  <c r="Y27" i="4"/>
  <c r="X27" i="4"/>
  <c r="S53" i="4"/>
  <c r="AC35" i="4"/>
  <c r="AB35" i="4"/>
  <c r="AA35" i="4"/>
  <c r="AD35" i="4"/>
  <c r="AB108" i="4"/>
  <c r="AD108" i="4"/>
  <c r="AC108" i="4"/>
  <c r="AA108" i="4"/>
  <c r="Z74" i="4"/>
  <c r="X64" i="4"/>
  <c r="AF96" i="4"/>
  <c r="V90" i="4"/>
  <c r="U90" i="4"/>
  <c r="T90" i="4"/>
  <c r="S90" i="4"/>
  <c r="Y64" i="4"/>
  <c r="AD42" i="4"/>
  <c r="AC42" i="4"/>
  <c r="AB42" i="4"/>
  <c r="AA42" i="4"/>
  <c r="Y48" i="4"/>
  <c r="X48" i="4"/>
  <c r="W48" i="4"/>
  <c r="Z48" i="4"/>
  <c r="X39" i="4"/>
  <c r="V53" i="4"/>
  <c r="AC51" i="4"/>
  <c r="AD51" i="4"/>
  <c r="AB51" i="4"/>
  <c r="AA51" i="4"/>
  <c r="U58" i="4"/>
  <c r="V58" i="4"/>
  <c r="T58" i="4"/>
  <c r="S58" i="4"/>
  <c r="S38" i="4"/>
  <c r="V38" i="4"/>
  <c r="U38" i="4"/>
  <c r="T38" i="4"/>
  <c r="X76" i="4"/>
  <c r="Z52" i="4"/>
  <c r="W52" i="4"/>
  <c r="Y52" i="4"/>
  <c r="X52" i="4"/>
  <c r="V68" i="4"/>
  <c r="U68" i="4"/>
  <c r="T68" i="4"/>
  <c r="S68" i="4"/>
  <c r="Y51" i="4"/>
  <c r="X51" i="4"/>
  <c r="W51" i="4"/>
  <c r="Z51" i="4"/>
  <c r="Y39" i="4"/>
  <c r="Y76" i="4"/>
  <c r="AD68" i="4"/>
  <c r="AC68" i="4"/>
  <c r="AB68" i="4"/>
  <c r="AA68" i="4"/>
  <c r="Y94" i="4"/>
  <c r="Z94" i="4"/>
  <c r="X94" i="4"/>
  <c r="W94" i="4"/>
  <c r="V61" i="4"/>
  <c r="U61" i="4"/>
  <c r="T61" i="4"/>
  <c r="S61" i="4"/>
  <c r="V85" i="4"/>
  <c r="U85" i="4"/>
  <c r="T85" i="4"/>
  <c r="S85" i="4"/>
  <c r="W54" i="4"/>
  <c r="Z71" i="4"/>
  <c r="X71" i="4"/>
  <c r="W71" i="4"/>
  <c r="Y71" i="4"/>
  <c r="V77" i="4"/>
  <c r="U77" i="4"/>
  <c r="T77" i="4"/>
  <c r="S77" i="4"/>
  <c r="Z68" i="4"/>
  <c r="W68" i="4"/>
  <c r="Y68" i="4"/>
  <c r="X68" i="4"/>
  <c r="W107" i="4"/>
  <c r="Z107" i="4"/>
  <c r="Y107" i="4"/>
  <c r="X107" i="4"/>
  <c r="AC90" i="4"/>
  <c r="AB90" i="4"/>
  <c r="AA90" i="4"/>
  <c r="AD90" i="4"/>
  <c r="W76" i="4"/>
  <c r="AB27" i="4"/>
  <c r="AA27" i="4"/>
  <c r="AD27" i="4"/>
  <c r="AC27" i="4"/>
  <c r="AC87" i="4"/>
  <c r="AB87" i="4"/>
  <c r="AA87" i="4"/>
  <c r="AD87" i="4"/>
  <c r="AD94" i="4"/>
  <c r="AC94" i="4"/>
  <c r="AB94" i="4"/>
  <c r="AA94" i="4"/>
  <c r="V50" i="4"/>
  <c r="U50" i="4"/>
  <c r="T50" i="4"/>
  <c r="S50" i="4"/>
  <c r="T48" i="4"/>
  <c r="V48" i="4"/>
  <c r="U48" i="4"/>
  <c r="S48" i="4"/>
  <c r="Y91" i="4"/>
  <c r="X91" i="4"/>
  <c r="W91" i="4"/>
  <c r="Z91" i="4"/>
  <c r="AB52" i="4"/>
  <c r="AA52" i="4"/>
  <c r="AD52" i="4"/>
  <c r="AC52" i="4"/>
  <c r="V57" i="4"/>
  <c r="U57" i="4"/>
  <c r="T57" i="4"/>
  <c r="S57" i="4"/>
  <c r="T10" i="4"/>
  <c r="U27" i="4"/>
  <c r="T27" i="4"/>
  <c r="S27" i="4"/>
  <c r="V27" i="4"/>
  <c r="X82" i="4"/>
  <c r="T87" i="4"/>
  <c r="S87" i="4"/>
  <c r="U87" i="4"/>
  <c r="V87" i="4"/>
  <c r="AA86" i="4"/>
  <c r="U46" i="4"/>
  <c r="X57" i="4"/>
  <c r="X35" i="4"/>
  <c r="Z35" i="4"/>
  <c r="Y35" i="4"/>
  <c r="W35" i="4"/>
  <c r="X87" i="4"/>
  <c r="Z87" i="4"/>
  <c r="Y87" i="4"/>
  <c r="W87" i="4"/>
  <c r="S46" i="4"/>
  <c r="Z57" i="4"/>
  <c r="V82" i="4"/>
  <c r="U82" i="4"/>
  <c r="T82" i="4"/>
  <c r="S82" i="4"/>
  <c r="AD49" i="4"/>
  <c r="AB49" i="4"/>
  <c r="AA49" i="4"/>
  <c r="AC49" i="4"/>
  <c r="X81" i="4"/>
  <c r="Z81" i="4"/>
  <c r="Y81" i="4"/>
  <c r="W81" i="4"/>
  <c r="T46" i="4"/>
  <c r="Z42" i="4"/>
  <c r="X42" i="4"/>
  <c r="W42" i="4"/>
  <c r="Y42" i="4"/>
  <c r="S49" i="4"/>
  <c r="T49" i="4"/>
  <c r="V49" i="4"/>
  <c r="U49" i="4"/>
  <c r="AD71" i="4"/>
  <c r="AC71" i="4"/>
  <c r="AB71" i="4"/>
  <c r="AA71" i="4"/>
  <c r="T24" i="4"/>
  <c r="V24" i="4"/>
  <c r="U24" i="4"/>
  <c r="S24" i="4"/>
  <c r="AB74" i="4"/>
  <c r="AD74" i="4"/>
  <c r="AC74" i="4"/>
  <c r="AA74" i="4"/>
  <c r="X55" i="4"/>
  <c r="W55" i="4"/>
  <c r="Z55" i="4"/>
  <c r="Y55" i="4"/>
  <c r="X375" i="4" l="1"/>
  <c r="X243" i="4"/>
  <c r="X339" i="4"/>
  <c r="AG80" i="4"/>
  <c r="X244" i="4"/>
  <c r="AF80" i="4"/>
  <c r="AE80" i="4"/>
  <c r="I9" i="10"/>
  <c r="H531" i="4"/>
  <c r="G9" i="10" s="1"/>
  <c r="G23" i="8"/>
  <c r="X229" i="4"/>
  <c r="D442" i="4"/>
  <c r="C111" i="9" s="1"/>
  <c r="X354" i="4"/>
  <c r="P34" i="4"/>
  <c r="S64" i="4"/>
  <c r="E27" i="10"/>
  <c r="D549" i="4"/>
  <c r="C27" i="10" s="1"/>
  <c r="G442" i="4"/>
  <c r="F111" i="9" s="1"/>
  <c r="Q442" i="4"/>
  <c r="P111" i="9" s="1"/>
  <c r="K442" i="4"/>
  <c r="J111" i="9" s="1"/>
  <c r="N442" i="4"/>
  <c r="M111" i="9" s="1"/>
  <c r="L442" i="4"/>
  <c r="K111" i="9" s="1"/>
  <c r="R442" i="4"/>
  <c r="Q111" i="9" s="1"/>
  <c r="E442" i="4"/>
  <c r="D111" i="9" s="1"/>
  <c r="V442" i="4"/>
  <c r="U111" i="9" s="1"/>
  <c r="H442" i="4"/>
  <c r="G111" i="9" s="1"/>
  <c r="W442" i="4"/>
  <c r="V111" i="9" s="1"/>
  <c r="S554" i="4"/>
  <c r="J554" i="4" s="1"/>
  <c r="S559" i="4"/>
  <c r="J559" i="4" s="1"/>
  <c r="J561" i="4" s="1"/>
  <c r="S553" i="4"/>
  <c r="J553" i="4" s="1"/>
  <c r="F442" i="4"/>
  <c r="E111" i="9" s="1"/>
  <c r="T442" i="4"/>
  <c r="S111" i="9" s="1"/>
  <c r="I442" i="4"/>
  <c r="H111" i="9" s="1"/>
  <c r="J442" i="4"/>
  <c r="I111" i="9" s="1"/>
  <c r="U442" i="4"/>
  <c r="T111" i="9" s="1"/>
  <c r="O442" i="4"/>
  <c r="N111" i="9" s="1"/>
  <c r="M442" i="4"/>
  <c r="L111" i="9" s="1"/>
  <c r="P442" i="4"/>
  <c r="O111" i="9" s="1"/>
  <c r="S442" i="4"/>
  <c r="R111" i="9" s="1"/>
  <c r="X353" i="4"/>
  <c r="D22" i="10"/>
  <c r="D544" i="4"/>
  <c r="C22" i="10" s="1"/>
  <c r="D17" i="10"/>
  <c r="D539" i="4"/>
  <c r="C17" i="10" s="1"/>
  <c r="D13" i="10"/>
  <c r="D535" i="4"/>
  <c r="C13" i="10" s="1"/>
  <c r="D16" i="10"/>
  <c r="D538" i="4"/>
  <c r="C16" i="10" s="1"/>
  <c r="D27" i="10"/>
  <c r="D11" i="10"/>
  <c r="D533" i="4"/>
  <c r="C11" i="10" s="1"/>
  <c r="D18" i="10"/>
  <c r="D540" i="4"/>
  <c r="C18" i="10" s="1"/>
  <c r="E559" i="4"/>
  <c r="F559" i="4"/>
  <c r="F561" i="4" s="1"/>
  <c r="K559" i="4"/>
  <c r="K561" i="4" s="1"/>
  <c r="G559" i="4"/>
  <c r="G561" i="4" s="1"/>
  <c r="L559" i="4"/>
  <c r="L561" i="4" s="1"/>
  <c r="H26" i="10"/>
  <c r="H548" i="4"/>
  <c r="G26" i="10" s="1"/>
  <c r="J556" i="4"/>
  <c r="G556" i="4"/>
  <c r="I556" i="4"/>
  <c r="F556" i="4"/>
  <c r="K556" i="4"/>
  <c r="E556" i="4"/>
  <c r="L556" i="4"/>
  <c r="H25" i="10"/>
  <c r="H547" i="4"/>
  <c r="G25" i="10" s="1"/>
  <c r="H20" i="10"/>
  <c r="H542" i="4"/>
  <c r="G20" i="10" s="1"/>
  <c r="D15" i="10"/>
  <c r="D537" i="4"/>
  <c r="C15" i="10" s="1"/>
  <c r="H9" i="10"/>
  <c r="F554" i="4"/>
  <c r="K554" i="4"/>
  <c r="I554" i="4"/>
  <c r="E554" i="4"/>
  <c r="G554" i="4"/>
  <c r="L554" i="4"/>
  <c r="H13" i="10"/>
  <c r="H535" i="4"/>
  <c r="G13" i="10" s="1"/>
  <c r="F558" i="4"/>
  <c r="I558" i="4"/>
  <c r="E558" i="4"/>
  <c r="J558" i="4"/>
  <c r="K558" i="4"/>
  <c r="G558" i="4"/>
  <c r="L558" i="4"/>
  <c r="D9" i="10"/>
  <c r="D531" i="4"/>
  <c r="C9" i="10" s="1"/>
  <c r="H24" i="10"/>
  <c r="H546" i="4"/>
  <c r="G24" i="10" s="1"/>
  <c r="D8" i="10"/>
  <c r="D530" i="4"/>
  <c r="C8" i="10" s="1"/>
  <c r="H14" i="10"/>
  <c r="H536" i="4"/>
  <c r="G14" i="10" s="1"/>
  <c r="H23" i="10"/>
  <c r="H545" i="4"/>
  <c r="G23" i="10" s="1"/>
  <c r="H18" i="10"/>
  <c r="H540" i="4"/>
  <c r="G18" i="10" s="1"/>
  <c r="G550" i="4"/>
  <c r="E550" i="4"/>
  <c r="K550" i="4"/>
  <c r="F550" i="4"/>
  <c r="I550" i="4"/>
  <c r="J550" i="4"/>
  <c r="L550" i="4"/>
  <c r="D23" i="10"/>
  <c r="D545" i="4"/>
  <c r="C23" i="10" s="1"/>
  <c r="H21" i="10"/>
  <c r="H543" i="4"/>
  <c r="G21" i="10" s="1"/>
  <c r="D19" i="10"/>
  <c r="D541" i="4"/>
  <c r="C19" i="10" s="1"/>
  <c r="J557" i="4"/>
  <c r="F557" i="4"/>
  <c r="I557" i="4"/>
  <c r="K557" i="4"/>
  <c r="E557" i="4"/>
  <c r="G557" i="4"/>
  <c r="L557" i="4"/>
  <c r="I555" i="4"/>
  <c r="E555" i="4"/>
  <c r="J555" i="4"/>
  <c r="F555" i="4"/>
  <c r="G555" i="4"/>
  <c r="K555" i="4"/>
  <c r="L555" i="4"/>
  <c r="H8" i="10"/>
  <c r="H530" i="4"/>
  <c r="G8" i="10" s="1"/>
  <c r="F551" i="4"/>
  <c r="G551" i="4"/>
  <c r="I551" i="4"/>
  <c r="E551" i="4"/>
  <c r="K551" i="4"/>
  <c r="L551" i="4"/>
  <c r="J551" i="4"/>
  <c r="D10" i="10"/>
  <c r="D532" i="4"/>
  <c r="C10" i="10" s="1"/>
  <c r="H12" i="10"/>
  <c r="H534" i="4"/>
  <c r="G12" i="10" s="1"/>
  <c r="H27" i="10"/>
  <c r="H549" i="4"/>
  <c r="G27" i="10" s="1"/>
  <c r="D20" i="10"/>
  <c r="D542" i="4"/>
  <c r="C20" i="10" s="1"/>
  <c r="D24" i="10"/>
  <c r="D546" i="4"/>
  <c r="C24" i="10" s="1"/>
  <c r="D21" i="10"/>
  <c r="D543" i="4"/>
  <c r="C21" i="10" s="1"/>
  <c r="H19" i="10"/>
  <c r="H541" i="4"/>
  <c r="G19" i="10" s="1"/>
  <c r="H16" i="10"/>
  <c r="H538" i="4"/>
  <c r="G16" i="10" s="1"/>
  <c r="H15" i="10"/>
  <c r="H537" i="4"/>
  <c r="G15" i="10" s="1"/>
  <c r="H11" i="10"/>
  <c r="H533" i="4"/>
  <c r="G11" i="10" s="1"/>
  <c r="F552" i="4"/>
  <c r="E552" i="4"/>
  <c r="I552" i="4"/>
  <c r="J552" i="4"/>
  <c r="G552" i="4"/>
  <c r="K552" i="4"/>
  <c r="L552" i="4"/>
  <c r="H22" i="10"/>
  <c r="H544" i="4"/>
  <c r="G22" i="10" s="1"/>
  <c r="H17" i="10"/>
  <c r="H539" i="4"/>
  <c r="G17" i="10" s="1"/>
  <c r="E553" i="4"/>
  <c r="K553" i="4"/>
  <c r="G553" i="4"/>
  <c r="I553" i="4"/>
  <c r="F553" i="4"/>
  <c r="L553" i="4"/>
  <c r="H10" i="10"/>
  <c r="H532" i="4"/>
  <c r="G10" i="10" s="1"/>
  <c r="D12" i="10"/>
  <c r="D534" i="4"/>
  <c r="C12" i="10" s="1"/>
  <c r="D25" i="10"/>
  <c r="D547" i="4"/>
  <c r="C25" i="10" s="1"/>
  <c r="D26" i="10"/>
  <c r="D548" i="4"/>
  <c r="C26" i="10" s="1"/>
  <c r="D14" i="10"/>
  <c r="D536" i="4"/>
  <c r="C14" i="10" s="1"/>
  <c r="D80" i="4"/>
  <c r="P37" i="4"/>
  <c r="N80" i="4"/>
  <c r="H80" i="4"/>
  <c r="K80" i="4"/>
  <c r="I80" i="4"/>
  <c r="F80" i="4"/>
  <c r="AH80" i="4"/>
  <c r="O80" i="4"/>
  <c r="M80" i="4"/>
  <c r="G80" i="4"/>
  <c r="E80" i="4"/>
  <c r="J80" i="4"/>
  <c r="L80" i="4"/>
  <c r="V64" i="4"/>
  <c r="AC64" i="4"/>
  <c r="AA64" i="4"/>
  <c r="M15" i="4"/>
  <c r="AG47" i="4"/>
  <c r="K15" i="4"/>
  <c r="AE15" i="4"/>
  <c r="AG15" i="4"/>
  <c r="AH15" i="4"/>
  <c r="H15" i="4"/>
  <c r="N15" i="4"/>
  <c r="AH45" i="4"/>
  <c r="U64" i="4"/>
  <c r="L47" i="4"/>
  <c r="L15" i="4"/>
  <c r="D15" i="4"/>
  <c r="O15" i="4"/>
  <c r="J15" i="4"/>
  <c r="AH31" i="4"/>
  <c r="AE45" i="4"/>
  <c r="AH47" i="4"/>
  <c r="AF15" i="4"/>
  <c r="E15" i="4"/>
  <c r="AG45" i="4"/>
  <c r="AF47" i="4"/>
  <c r="AH79" i="4"/>
  <c r="F15" i="4"/>
  <c r="G15" i="4"/>
  <c r="I15" i="4"/>
  <c r="AH29" i="4"/>
  <c r="AE47" i="4"/>
  <c r="G30" i="8"/>
  <c r="X251" i="4"/>
  <c r="M47" i="4"/>
  <c r="D47" i="4"/>
  <c r="F47" i="4"/>
  <c r="H47" i="4"/>
  <c r="C15" i="9"/>
  <c r="X346" i="4"/>
  <c r="X236" i="4"/>
  <c r="G15" i="8"/>
  <c r="I47" i="4"/>
  <c r="AF45" i="4"/>
  <c r="AE79" i="4"/>
  <c r="C30" i="9"/>
  <c r="X361" i="4"/>
  <c r="AE100" i="4"/>
  <c r="AF22" i="4"/>
  <c r="AG20" i="4"/>
  <c r="AH9" i="4"/>
  <c r="AE14" i="4"/>
  <c r="AG95" i="4"/>
  <c r="AE29" i="4"/>
  <c r="AG14" i="4"/>
  <c r="AE107" i="4"/>
  <c r="AH14" i="4"/>
  <c r="P12" i="4"/>
  <c r="AH8" i="4"/>
  <c r="E45" i="4"/>
  <c r="G14" i="4"/>
  <c r="AF20" i="4"/>
  <c r="AE31" i="4"/>
  <c r="AF9" i="4"/>
  <c r="AE95" i="4"/>
  <c r="F45" i="4"/>
  <c r="F9" i="4"/>
  <c r="AF25" i="4"/>
  <c r="AF14" i="4"/>
  <c r="I45" i="4"/>
  <c r="H45" i="4"/>
  <c r="E9" i="4"/>
  <c r="K45" i="4"/>
  <c r="J45" i="4"/>
  <c r="AH39" i="4"/>
  <c r="AG82" i="4"/>
  <c r="N45" i="4"/>
  <c r="AE63" i="4"/>
  <c r="O45" i="4"/>
  <c r="D45" i="4"/>
  <c r="AH69" i="4"/>
  <c r="AG25" i="4"/>
  <c r="N14" i="4"/>
  <c r="L45" i="4"/>
  <c r="AH22" i="4"/>
  <c r="O47" i="4"/>
  <c r="F14" i="4"/>
  <c r="G45" i="4"/>
  <c r="O79" i="4"/>
  <c r="H9" i="4"/>
  <c r="N47" i="4"/>
  <c r="M45" i="4"/>
  <c r="AG9" i="4"/>
  <c r="P43" i="4"/>
  <c r="I14" i="4"/>
  <c r="AF11" i="4"/>
  <c r="AH95" i="4"/>
  <c r="J47" i="4"/>
  <c r="AG8" i="4"/>
  <c r="K47" i="4"/>
  <c r="AH107" i="4"/>
  <c r="N9" i="4"/>
  <c r="AF39" i="4"/>
  <c r="O14" i="4"/>
  <c r="E47" i="4"/>
  <c r="G47" i="4"/>
  <c r="AH25" i="4"/>
  <c r="AH91" i="4"/>
  <c r="AB64" i="4"/>
  <c r="T64" i="4"/>
  <c r="H14" i="4"/>
  <c r="P110" i="4"/>
  <c r="H95" i="4"/>
  <c r="P56" i="4"/>
  <c r="P40" i="4"/>
  <c r="P89" i="4"/>
  <c r="AH21" i="4"/>
  <c r="AG22" i="4"/>
  <c r="P36" i="4"/>
  <c r="P84" i="4"/>
  <c r="K79" i="4"/>
  <c r="K9" i="4"/>
  <c r="P23" i="4"/>
  <c r="P7" i="4"/>
  <c r="P106" i="4"/>
  <c r="AE20" i="4"/>
  <c r="P26" i="4"/>
  <c r="AK65" i="4"/>
  <c r="AM64" i="4"/>
  <c r="P109" i="4"/>
  <c r="P104" i="4"/>
  <c r="P92" i="4"/>
  <c r="P33" i="4"/>
  <c r="F31" i="4"/>
  <c r="P32" i="4"/>
  <c r="P103" i="4"/>
  <c r="P16" i="4"/>
  <c r="P75" i="4"/>
  <c r="P72" i="4"/>
  <c r="P78" i="4"/>
  <c r="J14" i="4"/>
  <c r="P19" i="4"/>
  <c r="P96" i="4"/>
  <c r="P97" i="4"/>
  <c r="P28" i="4"/>
  <c r="AF17" i="4"/>
  <c r="P60" i="4"/>
  <c r="P70" i="4"/>
  <c r="AF18" i="4"/>
  <c r="G9" i="4"/>
  <c r="AG79" i="4"/>
  <c r="AE62" i="4"/>
  <c r="I95" i="4"/>
  <c r="AH98" i="4"/>
  <c r="AH101" i="4"/>
  <c r="AH62" i="4"/>
  <c r="J79" i="4"/>
  <c r="AF74" i="4"/>
  <c r="AG98" i="4"/>
  <c r="AF107" i="4"/>
  <c r="AG107" i="4"/>
  <c r="AF101" i="4"/>
  <c r="AF31" i="4"/>
  <c r="AG62" i="4"/>
  <c r="M25" i="4"/>
  <c r="N31" i="4"/>
  <c r="I22" i="4"/>
  <c r="F62" i="4"/>
  <c r="AH100" i="4"/>
  <c r="AG31" i="4"/>
  <c r="AH63" i="4"/>
  <c r="AF29" i="4"/>
  <c r="AG101" i="4"/>
  <c r="L14" i="4"/>
  <c r="I8" i="4"/>
  <c r="AH41" i="4"/>
  <c r="M9" i="4"/>
  <c r="N62" i="4"/>
  <c r="J95" i="4"/>
  <c r="AE93" i="4"/>
  <c r="AH86" i="4"/>
  <c r="AE99" i="4"/>
  <c r="E62" i="4"/>
  <c r="K14" i="4"/>
  <c r="L79" i="4"/>
  <c r="K95" i="4"/>
  <c r="AG86" i="4"/>
  <c r="M14" i="4"/>
  <c r="M79" i="4"/>
  <c r="L95" i="4"/>
  <c r="AE18" i="4"/>
  <c r="N79" i="4"/>
  <c r="M95" i="4"/>
  <c r="N63" i="4"/>
  <c r="N95" i="4"/>
  <c r="D14" i="4"/>
  <c r="O95" i="4"/>
  <c r="AH82" i="4"/>
  <c r="AF77" i="4"/>
  <c r="AG30" i="4"/>
  <c r="L9" i="4"/>
  <c r="E14" i="4"/>
  <c r="F8" i="4"/>
  <c r="J9" i="4"/>
  <c r="AE11" i="4"/>
  <c r="D79" i="4"/>
  <c r="E79" i="4"/>
  <c r="F79" i="4"/>
  <c r="D95" i="4"/>
  <c r="AF79" i="4"/>
  <c r="G79" i="4"/>
  <c r="E95" i="4"/>
  <c r="H79" i="4"/>
  <c r="F95" i="4"/>
  <c r="I79" i="4"/>
  <c r="G95" i="4"/>
  <c r="AF95" i="4"/>
  <c r="AF30" i="4"/>
  <c r="AG69" i="4"/>
  <c r="AG63" i="4"/>
  <c r="M101" i="4"/>
  <c r="AF62" i="4"/>
  <c r="AE9" i="4"/>
  <c r="O9" i="4"/>
  <c r="H101" i="4"/>
  <c r="AF100" i="4"/>
  <c r="AG66" i="4"/>
  <c r="L63" i="4"/>
  <c r="AE41" i="4"/>
  <c r="D9" i="4"/>
  <c r="L62" i="4"/>
  <c r="M22" i="4"/>
  <c r="L101" i="4"/>
  <c r="AG77" i="4"/>
  <c r="H62" i="4"/>
  <c r="I9" i="4"/>
  <c r="J8" i="4"/>
  <c r="G20" i="4"/>
  <c r="E63" i="4"/>
  <c r="AE101" i="4"/>
  <c r="AH58" i="4"/>
  <c r="AG24" i="4"/>
  <c r="AH77" i="4"/>
  <c r="I62" i="4"/>
  <c r="F20" i="4"/>
  <c r="J63" i="4"/>
  <c r="M31" i="4"/>
  <c r="M8" i="4"/>
  <c r="H25" i="4"/>
  <c r="F101" i="4"/>
  <c r="O62" i="4"/>
  <c r="D8" i="4"/>
  <c r="D101" i="4"/>
  <c r="D62" i="4"/>
  <c r="E8" i="4"/>
  <c r="O63" i="4"/>
  <c r="E101" i="4"/>
  <c r="L8" i="4"/>
  <c r="D63" i="4"/>
  <c r="AE25" i="4"/>
  <c r="AF63" i="4"/>
  <c r="G62" i="4"/>
  <c r="H22" i="4"/>
  <c r="F63" i="4"/>
  <c r="I101" i="4"/>
  <c r="E31" i="4"/>
  <c r="AH38" i="4"/>
  <c r="AF69" i="4"/>
  <c r="AF8" i="4"/>
  <c r="J62" i="4"/>
  <c r="H63" i="4"/>
  <c r="J101" i="4"/>
  <c r="AG93" i="4"/>
  <c r="AH13" i="4"/>
  <c r="AH11" i="4"/>
  <c r="K62" i="4"/>
  <c r="I63" i="4"/>
  <c r="M62" i="4"/>
  <c r="K22" i="4"/>
  <c r="N22" i="4"/>
  <c r="AE8" i="4"/>
  <c r="F25" i="4"/>
  <c r="F100" i="4"/>
  <c r="G31" i="4"/>
  <c r="K8" i="4"/>
  <c r="F22" i="4"/>
  <c r="O20" i="4"/>
  <c r="O101" i="4"/>
  <c r="G63" i="4"/>
  <c r="AG94" i="4"/>
  <c r="AE22" i="4"/>
  <c r="J31" i="4"/>
  <c r="G8" i="4"/>
  <c r="AE69" i="4"/>
  <c r="AE98" i="4"/>
  <c r="AH30" i="4"/>
  <c r="N8" i="4"/>
  <c r="K63" i="4"/>
  <c r="D22" i="4"/>
  <c r="G101" i="4"/>
  <c r="AG17" i="4"/>
  <c r="O100" i="4"/>
  <c r="H98" i="4"/>
  <c r="E22" i="4"/>
  <c r="K101" i="4"/>
  <c r="L31" i="4"/>
  <c r="AG18" i="4"/>
  <c r="AG100" i="4"/>
  <c r="H31" i="4"/>
  <c r="J22" i="4"/>
  <c r="M63" i="4"/>
  <c r="L22" i="4"/>
  <c r="N101" i="4"/>
  <c r="I31" i="4"/>
  <c r="G22" i="4"/>
  <c r="O22" i="4"/>
  <c r="N20" i="4"/>
  <c r="AE21" i="4"/>
  <c r="O25" i="4"/>
  <c r="M100" i="4"/>
  <c r="AG29" i="4"/>
  <c r="F29" i="4"/>
  <c r="AH66" i="4"/>
  <c r="O31" i="4"/>
  <c r="N100" i="4"/>
  <c r="AF91" i="4"/>
  <c r="L29" i="4"/>
  <c r="I25" i="4"/>
  <c r="D20" i="4"/>
  <c r="AG91" i="4"/>
  <c r="N29" i="4"/>
  <c r="J25" i="4"/>
  <c r="O29" i="4"/>
  <c r="E25" i="4"/>
  <c r="K29" i="4"/>
  <c r="K25" i="4"/>
  <c r="D100" i="4"/>
  <c r="I93" i="4"/>
  <c r="D29" i="4"/>
  <c r="D25" i="4"/>
  <c r="E20" i="4"/>
  <c r="AF90" i="4"/>
  <c r="E29" i="4"/>
  <c r="L25" i="4"/>
  <c r="E100" i="4"/>
  <c r="J66" i="4"/>
  <c r="J29" i="4"/>
  <c r="AG11" i="4"/>
  <c r="AF21" i="4"/>
  <c r="H29" i="4"/>
  <c r="G25" i="4"/>
  <c r="I20" i="4"/>
  <c r="G100" i="4"/>
  <c r="H100" i="4"/>
  <c r="I29" i="4"/>
  <c r="N25" i="4"/>
  <c r="J20" i="4"/>
  <c r="I100" i="4"/>
  <c r="AE74" i="4"/>
  <c r="H20" i="4"/>
  <c r="J100" i="4"/>
  <c r="AG39" i="4"/>
  <c r="AH99" i="4"/>
  <c r="K20" i="4"/>
  <c r="K100" i="4"/>
  <c r="L20" i="4"/>
  <c r="L100" i="4"/>
  <c r="M20" i="4"/>
  <c r="AF93" i="4"/>
  <c r="AH20" i="4"/>
  <c r="F66" i="4"/>
  <c r="L66" i="4"/>
  <c r="D66" i="4"/>
  <c r="AF98" i="4"/>
  <c r="AF99" i="4"/>
  <c r="D31" i="4"/>
  <c r="M29" i="4"/>
  <c r="H8" i="4"/>
  <c r="O66" i="4"/>
  <c r="G98" i="4"/>
  <c r="K99" i="4"/>
  <c r="M93" i="4"/>
  <c r="AE66" i="4"/>
  <c r="AG99" i="4"/>
  <c r="K31" i="4"/>
  <c r="G29" i="4"/>
  <c r="O8" i="4"/>
  <c r="AF13" i="4"/>
  <c r="F18" i="4"/>
  <c r="I66" i="4"/>
  <c r="K66" i="4"/>
  <c r="H66" i="4"/>
  <c r="G66" i="4"/>
  <c r="E66" i="4"/>
  <c r="N66" i="4"/>
  <c r="AF66" i="4"/>
  <c r="M66" i="4"/>
  <c r="AG58" i="4"/>
  <c r="AB55" i="4"/>
  <c r="U55" i="4"/>
  <c r="AF54" i="4"/>
  <c r="AA55" i="4"/>
  <c r="AE86" i="4"/>
  <c r="D86" i="4"/>
  <c r="O86" i="4"/>
  <c r="N86" i="4"/>
  <c r="M86" i="4"/>
  <c r="L86" i="4"/>
  <c r="K86" i="4"/>
  <c r="J86" i="4"/>
  <c r="I86" i="4"/>
  <c r="H86" i="4"/>
  <c r="G86" i="4"/>
  <c r="F86" i="4"/>
  <c r="E86" i="4"/>
  <c r="O91" i="4"/>
  <c r="N91" i="4"/>
  <c r="M91" i="4"/>
  <c r="L91" i="4"/>
  <c r="K91" i="4"/>
  <c r="J91" i="4"/>
  <c r="I91" i="4"/>
  <c r="H91" i="4"/>
  <c r="G91" i="4"/>
  <c r="F91" i="4"/>
  <c r="D91" i="4"/>
  <c r="E91" i="4"/>
  <c r="N93" i="4"/>
  <c r="AH53" i="4"/>
  <c r="O90" i="4"/>
  <c r="N90" i="4"/>
  <c r="M90" i="4"/>
  <c r="L90" i="4"/>
  <c r="K90" i="4"/>
  <c r="J90" i="4"/>
  <c r="I90" i="4"/>
  <c r="H90" i="4"/>
  <c r="G90" i="4"/>
  <c r="F90" i="4"/>
  <c r="E90" i="4"/>
  <c r="D90" i="4"/>
  <c r="H107" i="4"/>
  <c r="O93" i="4"/>
  <c r="G107" i="4"/>
  <c r="AG87" i="4"/>
  <c r="I107" i="4"/>
  <c r="M99" i="4"/>
  <c r="G87" i="4"/>
  <c r="F87" i="4"/>
  <c r="E87" i="4"/>
  <c r="D87" i="4"/>
  <c r="H87" i="4"/>
  <c r="O87" i="4"/>
  <c r="N87" i="4"/>
  <c r="M87" i="4"/>
  <c r="L87" i="4"/>
  <c r="K87" i="4"/>
  <c r="J87" i="4"/>
  <c r="I87" i="4"/>
  <c r="J107" i="4"/>
  <c r="N99" i="4"/>
  <c r="J93" i="4"/>
  <c r="M105" i="4"/>
  <c r="L105" i="4"/>
  <c r="K105" i="4"/>
  <c r="J105" i="4"/>
  <c r="I105" i="4"/>
  <c r="H105" i="4"/>
  <c r="G105" i="4"/>
  <c r="F105" i="4"/>
  <c r="E105" i="4"/>
  <c r="D105" i="4"/>
  <c r="O105" i="4"/>
  <c r="N105" i="4"/>
  <c r="K107" i="4"/>
  <c r="J98" i="4"/>
  <c r="O99" i="4"/>
  <c r="D93" i="4"/>
  <c r="K98" i="4"/>
  <c r="E93" i="4"/>
  <c r="L98" i="4"/>
  <c r="D99" i="4"/>
  <c r="F93" i="4"/>
  <c r="M98" i="4"/>
  <c r="E99" i="4"/>
  <c r="G93" i="4"/>
  <c r="AH64" i="4"/>
  <c r="AH18" i="4"/>
  <c r="J39" i="4"/>
  <c r="N98" i="4"/>
  <c r="L99" i="4"/>
  <c r="H93" i="4"/>
  <c r="AE91" i="4"/>
  <c r="M107" i="4"/>
  <c r="O98" i="4"/>
  <c r="F99" i="4"/>
  <c r="D108" i="4"/>
  <c r="O108" i="4"/>
  <c r="N108" i="4"/>
  <c r="M108" i="4"/>
  <c r="L108" i="4"/>
  <c r="K108" i="4"/>
  <c r="J108" i="4"/>
  <c r="I108" i="4"/>
  <c r="H108" i="4"/>
  <c r="G108" i="4"/>
  <c r="F108" i="4"/>
  <c r="E108" i="4"/>
  <c r="L107" i="4"/>
  <c r="G99" i="4"/>
  <c r="N107" i="4"/>
  <c r="D98" i="4"/>
  <c r="H99" i="4"/>
  <c r="L94" i="4"/>
  <c r="K94" i="4"/>
  <c r="J94" i="4"/>
  <c r="I94" i="4"/>
  <c r="H94" i="4"/>
  <c r="G94" i="4"/>
  <c r="F94" i="4"/>
  <c r="E94" i="4"/>
  <c r="D94" i="4"/>
  <c r="O94" i="4"/>
  <c r="N94" i="4"/>
  <c r="M94" i="4"/>
  <c r="O107" i="4"/>
  <c r="I98" i="4"/>
  <c r="I99" i="4"/>
  <c r="D107" i="4"/>
  <c r="E98" i="4"/>
  <c r="J99" i="4"/>
  <c r="K93" i="4"/>
  <c r="E107" i="4"/>
  <c r="F98" i="4"/>
  <c r="L93" i="4"/>
  <c r="F107" i="4"/>
  <c r="T55" i="4"/>
  <c r="AD55" i="4"/>
  <c r="S55" i="4"/>
  <c r="V55" i="4"/>
  <c r="AC55" i="4"/>
  <c r="J83" i="4"/>
  <c r="I83" i="4"/>
  <c r="K83" i="4"/>
  <c r="H83" i="4"/>
  <c r="G83" i="4"/>
  <c r="F83" i="4"/>
  <c r="E83" i="4"/>
  <c r="D83" i="4"/>
  <c r="O83" i="4"/>
  <c r="N83" i="4"/>
  <c r="M83" i="4"/>
  <c r="L83" i="4"/>
  <c r="AE39" i="4"/>
  <c r="AE77" i="4"/>
  <c r="H77" i="4"/>
  <c r="G77" i="4"/>
  <c r="F77" i="4"/>
  <c r="E77" i="4"/>
  <c r="D77" i="4"/>
  <c r="I77" i="4"/>
  <c r="O77" i="4"/>
  <c r="N77" i="4"/>
  <c r="M77" i="4"/>
  <c r="L77" i="4"/>
  <c r="K77" i="4"/>
  <c r="J77" i="4"/>
  <c r="AF41" i="4"/>
  <c r="AG74" i="4"/>
  <c r="AH52" i="4"/>
  <c r="AH74" i="4"/>
  <c r="G82" i="4"/>
  <c r="F82" i="4"/>
  <c r="E82" i="4"/>
  <c r="D82" i="4"/>
  <c r="H82" i="4"/>
  <c r="O82" i="4"/>
  <c r="N82" i="4"/>
  <c r="M82" i="4"/>
  <c r="L82" i="4"/>
  <c r="K82" i="4"/>
  <c r="J82" i="4"/>
  <c r="I82" i="4"/>
  <c r="F10" i="4"/>
  <c r="AG10" i="4"/>
  <c r="AE10" i="4"/>
  <c r="O74" i="4"/>
  <c r="N74" i="4"/>
  <c r="M74" i="4"/>
  <c r="L74" i="4"/>
  <c r="K74" i="4"/>
  <c r="J74" i="4"/>
  <c r="I74" i="4"/>
  <c r="H74" i="4"/>
  <c r="G74" i="4"/>
  <c r="F74" i="4"/>
  <c r="E74" i="4"/>
  <c r="D74" i="4"/>
  <c r="AG13" i="4"/>
  <c r="L73" i="4"/>
  <c r="K73" i="4"/>
  <c r="J73" i="4"/>
  <c r="I73" i="4"/>
  <c r="H73" i="4"/>
  <c r="G73" i="4"/>
  <c r="M73" i="4"/>
  <c r="F73" i="4"/>
  <c r="E73" i="4"/>
  <c r="D73" i="4"/>
  <c r="O73" i="4"/>
  <c r="N73" i="4"/>
  <c r="G39" i="4"/>
  <c r="AG57" i="4"/>
  <c r="AF48" i="4"/>
  <c r="AE54" i="4"/>
  <c r="E76" i="4"/>
  <c r="D76" i="4"/>
  <c r="O76" i="4"/>
  <c r="N76" i="4"/>
  <c r="M76" i="4"/>
  <c r="L76" i="4"/>
  <c r="K76" i="4"/>
  <c r="J76" i="4"/>
  <c r="I76" i="4"/>
  <c r="H76" i="4"/>
  <c r="G76" i="4"/>
  <c r="F76" i="4"/>
  <c r="L39" i="4"/>
  <c r="AG21" i="4"/>
  <c r="K39" i="4"/>
  <c r="AH24" i="4"/>
  <c r="AE81" i="4"/>
  <c r="D81" i="4"/>
  <c r="E81" i="4"/>
  <c r="O81" i="4"/>
  <c r="N81" i="4"/>
  <c r="M81" i="4"/>
  <c r="L81" i="4"/>
  <c r="K81" i="4"/>
  <c r="J81" i="4"/>
  <c r="I81" i="4"/>
  <c r="H81" i="4"/>
  <c r="G81" i="4"/>
  <c r="F81" i="4"/>
  <c r="N18" i="4"/>
  <c r="L21" i="4"/>
  <c r="M21" i="4"/>
  <c r="AG83" i="4"/>
  <c r="N21" i="4"/>
  <c r="D11" i="4"/>
  <c r="I85" i="4"/>
  <c r="H85" i="4"/>
  <c r="F85" i="4"/>
  <c r="E85" i="4"/>
  <c r="D85" i="4"/>
  <c r="O85" i="4"/>
  <c r="N85" i="4"/>
  <c r="M85" i="4"/>
  <c r="J85" i="4"/>
  <c r="G85" i="4"/>
  <c r="L85" i="4"/>
  <c r="K85" i="4"/>
  <c r="AH85" i="4"/>
  <c r="O48" i="4"/>
  <c r="N48" i="4"/>
  <c r="M48" i="4"/>
  <c r="L48" i="4"/>
  <c r="K48" i="4"/>
  <c r="J48" i="4"/>
  <c r="I48" i="4"/>
  <c r="H48" i="4"/>
  <c r="G48" i="4"/>
  <c r="F48" i="4"/>
  <c r="E48" i="4"/>
  <c r="D48" i="4"/>
  <c r="G10" i="4"/>
  <c r="M18" i="4"/>
  <c r="I39" i="4"/>
  <c r="J21" i="4"/>
  <c r="N69" i="4"/>
  <c r="E11" i="4"/>
  <c r="J57" i="4"/>
  <c r="I57" i="4"/>
  <c r="H57" i="4"/>
  <c r="G57" i="4"/>
  <c r="F57" i="4"/>
  <c r="E57" i="4"/>
  <c r="N57" i="4"/>
  <c r="D57" i="4"/>
  <c r="L57" i="4"/>
  <c r="O57" i="4"/>
  <c r="K57" i="4"/>
  <c r="M57" i="4"/>
  <c r="H51" i="4"/>
  <c r="G51" i="4"/>
  <c r="F51" i="4"/>
  <c r="J51" i="4"/>
  <c r="E51" i="4"/>
  <c r="D51" i="4"/>
  <c r="L51" i="4"/>
  <c r="I51" i="4"/>
  <c r="O51" i="4"/>
  <c r="N51" i="4"/>
  <c r="M51" i="4"/>
  <c r="K51" i="4"/>
  <c r="J10" i="4"/>
  <c r="F11" i="4"/>
  <c r="E39" i="4"/>
  <c r="O21" i="4"/>
  <c r="O49" i="4"/>
  <c r="F49" i="4"/>
  <c r="N49" i="4"/>
  <c r="M49" i="4"/>
  <c r="L49" i="4"/>
  <c r="K49" i="4"/>
  <c r="J49" i="4"/>
  <c r="D49" i="4"/>
  <c r="I49" i="4"/>
  <c r="H49" i="4"/>
  <c r="G49" i="4"/>
  <c r="E49" i="4"/>
  <c r="AH54" i="4"/>
  <c r="K10" i="4"/>
  <c r="D18" i="4"/>
  <c r="G11" i="4"/>
  <c r="M39" i="4"/>
  <c r="I21" i="4"/>
  <c r="D69" i="4"/>
  <c r="AE35" i="4"/>
  <c r="K35" i="4"/>
  <c r="J35" i="4"/>
  <c r="I35" i="4"/>
  <c r="H35" i="4"/>
  <c r="G35" i="4"/>
  <c r="O35" i="4"/>
  <c r="L35" i="4"/>
  <c r="F35" i="4"/>
  <c r="E35" i="4"/>
  <c r="D35" i="4"/>
  <c r="M35" i="4"/>
  <c r="N35" i="4"/>
  <c r="J41" i="4"/>
  <c r="N41" i="4"/>
  <c r="K41" i="4"/>
  <c r="I41" i="4"/>
  <c r="L41" i="4"/>
  <c r="H41" i="4"/>
  <c r="G41" i="4"/>
  <c r="F41" i="4"/>
  <c r="E41" i="4"/>
  <c r="D41" i="4"/>
  <c r="O41" i="4"/>
  <c r="M41" i="4"/>
  <c r="L10" i="4"/>
  <c r="O18" i="4"/>
  <c r="N39" i="4"/>
  <c r="K21" i="4"/>
  <c r="E69" i="4"/>
  <c r="AE44" i="4"/>
  <c r="D71" i="4"/>
  <c r="E71" i="4"/>
  <c r="O71" i="4"/>
  <c r="H71" i="4"/>
  <c r="N71" i="4"/>
  <c r="M71" i="4"/>
  <c r="L71" i="4"/>
  <c r="K71" i="4"/>
  <c r="J71" i="4"/>
  <c r="I71" i="4"/>
  <c r="G71" i="4"/>
  <c r="F71" i="4"/>
  <c r="E18" i="4"/>
  <c r="H11" i="4"/>
  <c r="O39" i="4"/>
  <c r="F69" i="4"/>
  <c r="K68" i="4"/>
  <c r="J68" i="4"/>
  <c r="I68" i="4"/>
  <c r="H68" i="4"/>
  <c r="G68" i="4"/>
  <c r="O68" i="4"/>
  <c r="F68" i="4"/>
  <c r="E68" i="4"/>
  <c r="D68" i="4"/>
  <c r="L68" i="4"/>
  <c r="N68" i="4"/>
  <c r="M68" i="4"/>
  <c r="AH57" i="4"/>
  <c r="H67" i="4"/>
  <c r="G67" i="4"/>
  <c r="F67" i="4"/>
  <c r="E67" i="4"/>
  <c r="D67" i="4"/>
  <c r="L67" i="4"/>
  <c r="O67" i="4"/>
  <c r="N67" i="4"/>
  <c r="I67" i="4"/>
  <c r="M67" i="4"/>
  <c r="K67" i="4"/>
  <c r="J67" i="4"/>
  <c r="AE30" i="4"/>
  <c r="L30" i="4"/>
  <c r="N30" i="4"/>
  <c r="K30" i="4"/>
  <c r="J30" i="4"/>
  <c r="I30" i="4"/>
  <c r="H30" i="4"/>
  <c r="G30" i="4"/>
  <c r="F30" i="4"/>
  <c r="E30" i="4"/>
  <c r="D30" i="4"/>
  <c r="M30" i="4"/>
  <c r="O30" i="4"/>
  <c r="I11" i="4"/>
  <c r="F39" i="4"/>
  <c r="H21" i="4"/>
  <c r="G69" i="4"/>
  <c r="AE13" i="4"/>
  <c r="E13" i="4"/>
  <c r="D13" i="4"/>
  <c r="F13" i="4"/>
  <c r="I13" i="4"/>
  <c r="O13" i="4"/>
  <c r="N13" i="4"/>
  <c r="M13" i="4"/>
  <c r="G13" i="4"/>
  <c r="L13" i="4"/>
  <c r="K13" i="4"/>
  <c r="J13" i="4"/>
  <c r="H13" i="4"/>
  <c r="G18" i="4"/>
  <c r="J11" i="4"/>
  <c r="D21" i="4"/>
  <c r="H69" i="4"/>
  <c r="H10" i="4"/>
  <c r="N53" i="4"/>
  <c r="M53" i="4"/>
  <c r="O53" i="4"/>
  <c r="L53" i="4"/>
  <c r="K53" i="4"/>
  <c r="J53" i="4"/>
  <c r="I53" i="4"/>
  <c r="H53" i="4"/>
  <c r="G53" i="4"/>
  <c r="F53" i="4"/>
  <c r="E53" i="4"/>
  <c r="D53" i="4"/>
  <c r="E54" i="4"/>
  <c r="O54" i="4"/>
  <c r="N54" i="4"/>
  <c r="M54" i="4"/>
  <c r="L54" i="4"/>
  <c r="K54" i="4"/>
  <c r="J54" i="4"/>
  <c r="I54" i="4"/>
  <c r="H54" i="4"/>
  <c r="G54" i="4"/>
  <c r="F54" i="4"/>
  <c r="D54" i="4"/>
  <c r="O10" i="4"/>
  <c r="H18" i="4"/>
  <c r="K11" i="4"/>
  <c r="H39" i="4"/>
  <c r="E21" i="4"/>
  <c r="I69" i="4"/>
  <c r="AE24" i="4"/>
  <c r="O24" i="4"/>
  <c r="D24" i="4"/>
  <c r="N24" i="4"/>
  <c r="M24" i="4"/>
  <c r="L24" i="4"/>
  <c r="K24" i="4"/>
  <c r="J24" i="4"/>
  <c r="I24" i="4"/>
  <c r="H24" i="4"/>
  <c r="G24" i="4"/>
  <c r="F24" i="4"/>
  <c r="E24" i="4"/>
  <c r="I10" i="4"/>
  <c r="AH42" i="4"/>
  <c r="N10" i="4"/>
  <c r="I18" i="4"/>
  <c r="L11" i="4"/>
  <c r="D39" i="4"/>
  <c r="F21" i="4"/>
  <c r="J69" i="4"/>
  <c r="M42" i="4"/>
  <c r="L42" i="4"/>
  <c r="N42" i="4"/>
  <c r="K42" i="4"/>
  <c r="J42" i="4"/>
  <c r="I42" i="4"/>
  <c r="H42" i="4"/>
  <c r="G42" i="4"/>
  <c r="F42" i="4"/>
  <c r="E42" i="4"/>
  <c r="D42" i="4"/>
  <c r="O42" i="4"/>
  <c r="D10" i="4"/>
  <c r="M11" i="4"/>
  <c r="G21" i="4"/>
  <c r="K69" i="4"/>
  <c r="AE46" i="4"/>
  <c r="I46" i="4"/>
  <c r="H46" i="4"/>
  <c r="G46" i="4"/>
  <c r="F46" i="4"/>
  <c r="E46" i="4"/>
  <c r="K46" i="4"/>
  <c r="J46" i="4"/>
  <c r="D46" i="4"/>
  <c r="M46" i="4"/>
  <c r="O46" i="4"/>
  <c r="N46" i="4"/>
  <c r="L46" i="4"/>
  <c r="F61" i="4"/>
  <c r="E61" i="4"/>
  <c r="J61" i="4"/>
  <c r="D61" i="4"/>
  <c r="O61" i="4"/>
  <c r="N61" i="4"/>
  <c r="M61" i="4"/>
  <c r="H61" i="4"/>
  <c r="G61" i="4"/>
  <c r="L61" i="4"/>
  <c r="K61" i="4"/>
  <c r="I61" i="4"/>
  <c r="E10" i="4"/>
  <c r="J18" i="4"/>
  <c r="N11" i="4"/>
  <c r="L69" i="4"/>
  <c r="AE50" i="4"/>
  <c r="E50" i="4"/>
  <c r="D50" i="4"/>
  <c r="I50" i="4"/>
  <c r="G50" i="4"/>
  <c r="O50" i="4"/>
  <c r="N50" i="4"/>
  <c r="F50" i="4"/>
  <c r="M50" i="4"/>
  <c r="L50" i="4"/>
  <c r="K50" i="4"/>
  <c r="J50" i="4"/>
  <c r="H50" i="4"/>
  <c r="K18" i="4"/>
  <c r="O11" i="4"/>
  <c r="O69" i="4"/>
  <c r="AE58" i="4"/>
  <c r="M58" i="4"/>
  <c r="N58" i="4"/>
  <c r="L58" i="4"/>
  <c r="K58" i="4"/>
  <c r="J58" i="4"/>
  <c r="I58" i="4"/>
  <c r="H58" i="4"/>
  <c r="G58" i="4"/>
  <c r="F58" i="4"/>
  <c r="E58" i="4"/>
  <c r="D58" i="4"/>
  <c r="O58" i="4"/>
  <c r="E44" i="4"/>
  <c r="O44" i="4"/>
  <c r="N44" i="4"/>
  <c r="M44" i="4"/>
  <c r="L44" i="4"/>
  <c r="K44" i="4"/>
  <c r="G44" i="4"/>
  <c r="J44" i="4"/>
  <c r="I44" i="4"/>
  <c r="D44" i="4"/>
  <c r="H44" i="4"/>
  <c r="F44" i="4"/>
  <c r="K52" i="4"/>
  <c r="J52" i="4"/>
  <c r="I52" i="4"/>
  <c r="H52" i="4"/>
  <c r="M52" i="4"/>
  <c r="G52" i="4"/>
  <c r="O52" i="4"/>
  <c r="F52" i="4"/>
  <c r="E52" i="4"/>
  <c r="D52" i="4"/>
  <c r="L52" i="4"/>
  <c r="N52" i="4"/>
  <c r="M10" i="4"/>
  <c r="AF61" i="4"/>
  <c r="AH49" i="4"/>
  <c r="AG54" i="4"/>
  <c r="L18" i="4"/>
  <c r="M69" i="4"/>
  <c r="F17" i="4"/>
  <c r="AF27" i="4"/>
  <c r="F27" i="4"/>
  <c r="O27" i="4"/>
  <c r="N27" i="4"/>
  <c r="M27" i="4"/>
  <c r="L27" i="4"/>
  <c r="E27" i="4"/>
  <c r="K27" i="4"/>
  <c r="J27" i="4"/>
  <c r="I27" i="4"/>
  <c r="H27" i="4"/>
  <c r="G27" i="4"/>
  <c r="D27" i="4"/>
  <c r="AG27" i="4"/>
  <c r="O38" i="4"/>
  <c r="N38" i="4"/>
  <c r="L38" i="4"/>
  <c r="K38" i="4"/>
  <c r="J38" i="4"/>
  <c r="I38" i="4"/>
  <c r="H38" i="4"/>
  <c r="G38" i="4"/>
  <c r="F38" i="4"/>
  <c r="E38" i="4"/>
  <c r="D38" i="4"/>
  <c r="M38" i="4"/>
  <c r="G17" i="4"/>
  <c r="I17" i="4"/>
  <c r="K17" i="4"/>
  <c r="J17" i="4"/>
  <c r="AE17" i="4"/>
  <c r="L17" i="4"/>
  <c r="M17" i="4"/>
  <c r="D17" i="4"/>
  <c r="E17" i="4"/>
  <c r="N17" i="4"/>
  <c r="O17" i="4"/>
  <c r="H17" i="4"/>
  <c r="AG76" i="4"/>
  <c r="AG38" i="4"/>
  <c r="AF24" i="4"/>
  <c r="AF105" i="4"/>
  <c r="AG67" i="4"/>
  <c r="AE73" i="4"/>
  <c r="AE71" i="4"/>
  <c r="AE38" i="4"/>
  <c r="AF71" i="4"/>
  <c r="AF53" i="4"/>
  <c r="AG41" i="4"/>
  <c r="AH48" i="4"/>
  <c r="AF58" i="4"/>
  <c r="AF86" i="4"/>
  <c r="AG68" i="4"/>
  <c r="AH93" i="4"/>
  <c r="AG85" i="4"/>
  <c r="AH81" i="4"/>
  <c r="AG71" i="4"/>
  <c r="AE94" i="4"/>
  <c r="AF83" i="4"/>
  <c r="AF81" i="4"/>
  <c r="AE83" i="4"/>
  <c r="AE27" i="4"/>
  <c r="AH44" i="4"/>
  <c r="AF52" i="4"/>
  <c r="AH83" i="4"/>
  <c r="AE53" i="4"/>
  <c r="AF67" i="4"/>
  <c r="AH73" i="4"/>
  <c r="AH17" i="4"/>
  <c r="AF38" i="4"/>
  <c r="AH46" i="4"/>
  <c r="AE48" i="4"/>
  <c r="AH61" i="4"/>
  <c r="AF46" i="4"/>
  <c r="AG44" i="4"/>
  <c r="AG48" i="4"/>
  <c r="AE76" i="4"/>
  <c r="AF108" i="4"/>
  <c r="AE67" i="4"/>
  <c r="AH87" i="4"/>
  <c r="AF57" i="4"/>
  <c r="AE87" i="4"/>
  <c r="AE61" i="4"/>
  <c r="AF76" i="4"/>
  <c r="AG108" i="4"/>
  <c r="AF44" i="4"/>
  <c r="AH35" i="4"/>
  <c r="AG51" i="4"/>
  <c r="AE108" i="4"/>
  <c r="AF50" i="4"/>
  <c r="AE42" i="4"/>
  <c r="AG53" i="4"/>
  <c r="AG105" i="4"/>
  <c r="AF51" i="4"/>
  <c r="AG52" i="4"/>
  <c r="AF49" i="4"/>
  <c r="AF87" i="4"/>
  <c r="AG50" i="4"/>
  <c r="AE68" i="4"/>
  <c r="AF85" i="4"/>
  <c r="AF68" i="4"/>
  <c r="AH67" i="4"/>
  <c r="AF73" i="4"/>
  <c r="AE51" i="4"/>
  <c r="AG49" i="4"/>
  <c r="AH51" i="4"/>
  <c r="AE105" i="4"/>
  <c r="AF94" i="4"/>
  <c r="AH108" i="4"/>
  <c r="AF35" i="4"/>
  <c r="AH27" i="4"/>
  <c r="AH50" i="4"/>
  <c r="AH68" i="4"/>
  <c r="AE82" i="4"/>
  <c r="AE52" i="4"/>
  <c r="AH105" i="4"/>
  <c r="AE49" i="4"/>
  <c r="AG73" i="4"/>
  <c r="AF42" i="4"/>
  <c r="AF82" i="4"/>
  <c r="AG81" i="4"/>
  <c r="AG42" i="4"/>
  <c r="AH10" i="4"/>
  <c r="AH71" i="4"/>
  <c r="AF10" i="4"/>
  <c r="AE90" i="4"/>
  <c r="AH94" i="4"/>
  <c r="AG46" i="4"/>
  <c r="AG61" i="4"/>
  <c r="AG90" i="4"/>
  <c r="AE85" i="4"/>
  <c r="AH90" i="4"/>
  <c r="AH76" i="4"/>
  <c r="AE57" i="4"/>
  <c r="AG35" i="4"/>
  <c r="AE64" i="4" l="1"/>
  <c r="H559" i="4"/>
  <c r="H561" i="4" s="1"/>
  <c r="X442" i="4"/>
  <c r="D557" i="4"/>
  <c r="D558" i="4"/>
  <c r="D551" i="4"/>
  <c r="H556" i="4"/>
  <c r="H551" i="4"/>
  <c r="D555" i="4"/>
  <c r="E561" i="4"/>
  <c r="D559" i="4"/>
  <c r="D561" i="4" s="1"/>
  <c r="I561" i="4"/>
  <c r="H558" i="4"/>
  <c r="H555" i="4"/>
  <c r="D556" i="4"/>
  <c r="D553" i="4"/>
  <c r="H557" i="4"/>
  <c r="D552" i="4"/>
  <c r="D550" i="4"/>
  <c r="D554" i="4"/>
  <c r="H553" i="4"/>
  <c r="H552" i="4"/>
  <c r="H550" i="4"/>
  <c r="H554" i="4"/>
  <c r="AG64" i="4"/>
  <c r="P80" i="4"/>
  <c r="N64" i="4"/>
  <c r="P15" i="4"/>
  <c r="E64" i="4"/>
  <c r="H64" i="4"/>
  <c r="K64" i="4"/>
  <c r="P45" i="4"/>
  <c r="P47" i="4"/>
  <c r="D64" i="4"/>
  <c r="J64" i="4"/>
  <c r="L64" i="4"/>
  <c r="M64" i="4"/>
  <c r="AF64" i="4"/>
  <c r="O64" i="4"/>
  <c r="F64" i="4"/>
  <c r="G64" i="4"/>
  <c r="P49" i="4"/>
  <c r="I64" i="4"/>
  <c r="P66" i="4"/>
  <c r="P99" i="4"/>
  <c r="P38" i="4"/>
  <c r="P57" i="4"/>
  <c r="P73" i="4"/>
  <c r="P87" i="4"/>
  <c r="P86" i="4"/>
  <c r="P25" i="4"/>
  <c r="P14" i="4"/>
  <c r="P29" i="4"/>
  <c r="P63" i="4"/>
  <c r="P13" i="4"/>
  <c r="P52" i="4"/>
  <c r="P61" i="4"/>
  <c r="P85" i="4"/>
  <c r="P82" i="4"/>
  <c r="P107" i="4"/>
  <c r="P108" i="4"/>
  <c r="P50" i="4"/>
  <c r="P77" i="4"/>
  <c r="P98" i="4"/>
  <c r="P100" i="4"/>
  <c r="P95" i="4"/>
  <c r="P21" i="4"/>
  <c r="P39" i="4"/>
  <c r="P24" i="4"/>
  <c r="P68" i="4"/>
  <c r="P93" i="4"/>
  <c r="P10" i="4"/>
  <c r="P53" i="4"/>
  <c r="P41" i="4"/>
  <c r="P51" i="4"/>
  <c r="P62" i="4"/>
  <c r="P79" i="4"/>
  <c r="P17" i="4"/>
  <c r="P11" i="4"/>
  <c r="P101" i="4"/>
  <c r="P42" i="4"/>
  <c r="P81" i="4"/>
  <c r="P76" i="4"/>
  <c r="P8" i="4"/>
  <c r="AM65" i="4"/>
  <c r="AA65" i="4"/>
  <c r="S65" i="4"/>
  <c r="AB65" i="4"/>
  <c r="T65" i="4"/>
  <c r="V65" i="4"/>
  <c r="U65" i="4"/>
  <c r="AD65" i="4"/>
  <c r="AC65" i="4"/>
  <c r="P58" i="4"/>
  <c r="P69" i="4"/>
  <c r="P94" i="4"/>
  <c r="P22" i="4"/>
  <c r="P46" i="4"/>
  <c r="P30" i="4"/>
  <c r="P91" i="4"/>
  <c r="P74" i="4"/>
  <c r="P105" i="4"/>
  <c r="P90" i="4"/>
  <c r="P20" i="4"/>
  <c r="P67" i="4"/>
  <c r="P31" i="4"/>
  <c r="P71" i="4"/>
  <c r="P18" i="4"/>
  <c r="P27" i="4"/>
  <c r="P44" i="4"/>
  <c r="P54" i="4"/>
  <c r="P35" i="4"/>
  <c r="P48" i="4"/>
  <c r="P83" i="4"/>
  <c r="P9" i="4"/>
  <c r="AF55" i="4"/>
  <c r="AG55" i="4"/>
  <c r="D55" i="4"/>
  <c r="K55" i="4"/>
  <c r="O55" i="4"/>
  <c r="J55" i="4"/>
  <c r="M55" i="4"/>
  <c r="I55" i="4"/>
  <c r="AE55" i="4"/>
  <c r="H55" i="4"/>
  <c r="N55" i="4"/>
  <c r="AH55" i="4"/>
  <c r="L55" i="4"/>
  <c r="G55" i="4"/>
  <c r="E55" i="4"/>
  <c r="F55" i="4"/>
  <c r="P64" i="4" l="1"/>
  <c r="AH65" i="4"/>
  <c r="AG65" i="4"/>
  <c r="AF65" i="4"/>
  <c r="I65" i="4"/>
  <c r="G65" i="4"/>
  <c r="H65" i="4"/>
  <c r="E65" i="4"/>
  <c r="D65" i="4"/>
  <c r="F65" i="4"/>
  <c r="AE65" i="4"/>
  <c r="O65" i="4"/>
  <c r="N65" i="4"/>
  <c r="M65" i="4"/>
  <c r="L65" i="4"/>
  <c r="K65" i="4"/>
  <c r="J65" i="4"/>
  <c r="P55" i="4"/>
  <c r="P65" i="4" l="1"/>
  <c r="GW5" i="4" l="1"/>
  <c r="GV5" i="4" s="1"/>
  <c r="GI5" i="4"/>
  <c r="GH5" i="4" s="1"/>
  <c r="FU5" i="4"/>
  <c r="FT5" i="4" s="1"/>
  <c r="FG5" i="4"/>
  <c r="FF5" i="4" s="1"/>
  <c r="ES5" i="4"/>
  <c r="ER5" i="4" s="1"/>
  <c r="N111" i="3"/>
  <c r="M111" i="3"/>
  <c r="L111" i="3"/>
  <c r="K111" i="3"/>
  <c r="J111" i="3"/>
  <c r="I111" i="3"/>
  <c r="H111" i="3"/>
  <c r="G111" i="3"/>
  <c r="F111" i="3"/>
  <c r="E111" i="3"/>
  <c r="D111" i="3"/>
  <c r="N110" i="3"/>
  <c r="M110" i="3"/>
  <c r="L110" i="3"/>
  <c r="K110" i="3"/>
  <c r="J110" i="3"/>
  <c r="I110" i="3"/>
  <c r="H110" i="3"/>
  <c r="G110" i="3"/>
  <c r="F110" i="3"/>
  <c r="E110" i="3"/>
  <c r="D110" i="3"/>
  <c r="N109" i="3"/>
  <c r="M109" i="3"/>
  <c r="L109" i="3"/>
  <c r="K109" i="3"/>
  <c r="J109" i="3"/>
  <c r="I109" i="3"/>
  <c r="H109" i="3"/>
  <c r="G109" i="3"/>
  <c r="F109" i="3"/>
  <c r="E109" i="3"/>
  <c r="D109" i="3"/>
  <c r="N108" i="3"/>
  <c r="M108" i="3"/>
  <c r="L108" i="3"/>
  <c r="K108" i="3"/>
  <c r="J108" i="3"/>
  <c r="I108" i="3"/>
  <c r="H108" i="3"/>
  <c r="G108" i="3"/>
  <c r="F108" i="3"/>
  <c r="E108" i="3"/>
  <c r="D108" i="3"/>
  <c r="N107" i="3"/>
  <c r="M107" i="3"/>
  <c r="L107" i="3"/>
  <c r="K107" i="3"/>
  <c r="J107" i="3"/>
  <c r="I107" i="3"/>
  <c r="H107" i="3"/>
  <c r="G107" i="3"/>
  <c r="F107" i="3"/>
  <c r="E107" i="3"/>
  <c r="D107" i="3"/>
  <c r="N106" i="3"/>
  <c r="M106" i="3"/>
  <c r="L106" i="3"/>
  <c r="K106" i="3"/>
  <c r="J106" i="3"/>
  <c r="I106" i="3"/>
  <c r="H106" i="3"/>
  <c r="G106" i="3"/>
  <c r="F106" i="3"/>
  <c r="E106" i="3"/>
  <c r="D106" i="3"/>
  <c r="N105" i="3"/>
  <c r="M105" i="3"/>
  <c r="L105" i="3"/>
  <c r="K105" i="3"/>
  <c r="J105" i="3"/>
  <c r="I105" i="3"/>
  <c r="H105" i="3"/>
  <c r="G105" i="3"/>
  <c r="F105" i="3"/>
  <c r="E105" i="3"/>
  <c r="D105" i="3"/>
  <c r="N104" i="3"/>
  <c r="M104" i="3"/>
  <c r="L104" i="3"/>
  <c r="K104" i="3"/>
  <c r="J104" i="3"/>
  <c r="I104" i="3"/>
  <c r="H104" i="3"/>
  <c r="G104" i="3"/>
  <c r="F104" i="3"/>
  <c r="E104" i="3"/>
  <c r="D104" i="3"/>
  <c r="N103" i="3"/>
  <c r="M103" i="3"/>
  <c r="L103" i="3"/>
  <c r="K103" i="3"/>
  <c r="J103" i="3"/>
  <c r="I103" i="3"/>
  <c r="H103" i="3"/>
  <c r="G103" i="3"/>
  <c r="F103" i="3"/>
  <c r="E103" i="3"/>
  <c r="D103" i="3"/>
  <c r="N102" i="3"/>
  <c r="M102" i="3"/>
  <c r="L102" i="3"/>
  <c r="K102" i="3"/>
  <c r="J102" i="3"/>
  <c r="I102" i="3"/>
  <c r="H102" i="3"/>
  <c r="G102" i="3"/>
  <c r="F102" i="3"/>
  <c r="E102" i="3"/>
  <c r="D102" i="3"/>
  <c r="N101" i="3"/>
  <c r="M101" i="3"/>
  <c r="L101" i="3"/>
  <c r="K101" i="3"/>
  <c r="J101" i="3"/>
  <c r="I101" i="3"/>
  <c r="H101" i="3"/>
  <c r="G101" i="3"/>
  <c r="F101" i="3"/>
  <c r="E101" i="3"/>
  <c r="D101" i="3"/>
  <c r="N100" i="3"/>
  <c r="M100" i="3"/>
  <c r="L100" i="3"/>
  <c r="K100" i="3"/>
  <c r="J100" i="3"/>
  <c r="I100" i="3"/>
  <c r="H100" i="3"/>
  <c r="G100" i="3"/>
  <c r="F100" i="3"/>
  <c r="E100" i="3"/>
  <c r="D100" i="3"/>
  <c r="N99" i="3"/>
  <c r="M99" i="3"/>
  <c r="L99" i="3"/>
  <c r="K99" i="3"/>
  <c r="J99" i="3"/>
  <c r="I99" i="3"/>
  <c r="H99" i="3"/>
  <c r="G99" i="3"/>
  <c r="F99" i="3"/>
  <c r="E99" i="3"/>
  <c r="D99" i="3"/>
  <c r="N98" i="3"/>
  <c r="M98" i="3"/>
  <c r="L98" i="3"/>
  <c r="K98" i="3"/>
  <c r="J98" i="3"/>
  <c r="I98" i="3"/>
  <c r="H98" i="3"/>
  <c r="G98" i="3"/>
  <c r="F98" i="3"/>
  <c r="E98" i="3"/>
  <c r="D98" i="3"/>
  <c r="N97" i="3"/>
  <c r="M97" i="3"/>
  <c r="L97" i="3"/>
  <c r="K97" i="3"/>
  <c r="J97" i="3"/>
  <c r="I97" i="3"/>
  <c r="H97" i="3"/>
  <c r="G97" i="3"/>
  <c r="F97" i="3"/>
  <c r="E97" i="3"/>
  <c r="D97" i="3"/>
  <c r="N96" i="3"/>
  <c r="M96" i="3"/>
  <c r="L96" i="3"/>
  <c r="K96" i="3"/>
  <c r="J96" i="3"/>
  <c r="I96" i="3"/>
  <c r="H96" i="3"/>
  <c r="G96" i="3"/>
  <c r="F96" i="3"/>
  <c r="E96" i="3"/>
  <c r="D96" i="3"/>
  <c r="N95" i="3"/>
  <c r="M95" i="3"/>
  <c r="L95" i="3"/>
  <c r="K95" i="3"/>
  <c r="J95" i="3"/>
  <c r="I95" i="3"/>
  <c r="H95" i="3"/>
  <c r="G95" i="3"/>
  <c r="F95" i="3"/>
  <c r="E95" i="3"/>
  <c r="D95" i="3"/>
  <c r="N94" i="3"/>
  <c r="M94" i="3"/>
  <c r="L94" i="3"/>
  <c r="K94" i="3"/>
  <c r="J94" i="3"/>
  <c r="I94" i="3"/>
  <c r="H94" i="3"/>
  <c r="G94" i="3"/>
  <c r="F94" i="3"/>
  <c r="E94" i="3"/>
  <c r="D94" i="3"/>
  <c r="N93" i="3"/>
  <c r="M93" i="3"/>
  <c r="L93" i="3"/>
  <c r="K93" i="3"/>
  <c r="J93" i="3"/>
  <c r="I93" i="3"/>
  <c r="H93" i="3"/>
  <c r="G93" i="3"/>
  <c r="F93" i="3"/>
  <c r="E93" i="3"/>
  <c r="D93" i="3"/>
  <c r="N92" i="3"/>
  <c r="M92" i="3"/>
  <c r="L92" i="3"/>
  <c r="K92" i="3"/>
  <c r="J92" i="3"/>
  <c r="I92" i="3"/>
  <c r="H92" i="3"/>
  <c r="G92" i="3"/>
  <c r="F92" i="3"/>
  <c r="E92" i="3"/>
  <c r="D92" i="3"/>
  <c r="N91" i="3"/>
  <c r="M91" i="3"/>
  <c r="L91" i="3"/>
  <c r="K91" i="3"/>
  <c r="J91" i="3"/>
  <c r="I91" i="3"/>
  <c r="H91" i="3"/>
  <c r="G91" i="3"/>
  <c r="F91" i="3"/>
  <c r="E91" i="3"/>
  <c r="D91" i="3"/>
  <c r="N90" i="3"/>
  <c r="M90" i="3"/>
  <c r="L90" i="3"/>
  <c r="K90" i="3"/>
  <c r="J90" i="3"/>
  <c r="I90" i="3"/>
  <c r="H90" i="3"/>
  <c r="G90" i="3"/>
  <c r="F90" i="3"/>
  <c r="E90" i="3"/>
  <c r="D90" i="3"/>
  <c r="N89" i="3"/>
  <c r="M89" i="3"/>
  <c r="L89" i="3"/>
  <c r="K89" i="3"/>
  <c r="J89" i="3"/>
  <c r="I89" i="3"/>
  <c r="H89" i="3"/>
  <c r="G89" i="3"/>
  <c r="F89" i="3"/>
  <c r="E89" i="3"/>
  <c r="D89" i="3"/>
  <c r="N88" i="3"/>
  <c r="M88" i="3"/>
  <c r="L88" i="3"/>
  <c r="K88" i="3"/>
  <c r="J88" i="3"/>
  <c r="I88" i="3"/>
  <c r="H88" i="3"/>
  <c r="G88" i="3"/>
  <c r="F88" i="3"/>
  <c r="E88" i="3"/>
  <c r="D88" i="3"/>
  <c r="N87" i="3"/>
  <c r="M87" i="3"/>
  <c r="L87" i="3"/>
  <c r="K87" i="3"/>
  <c r="J87" i="3"/>
  <c r="I87" i="3"/>
  <c r="H87" i="3"/>
  <c r="G87" i="3"/>
  <c r="F87" i="3"/>
  <c r="E87" i="3"/>
  <c r="D87" i="3"/>
  <c r="N86" i="3"/>
  <c r="M86" i="3"/>
  <c r="L86" i="3"/>
  <c r="K86" i="3"/>
  <c r="J86" i="3"/>
  <c r="I86" i="3"/>
  <c r="H86" i="3"/>
  <c r="G86" i="3"/>
  <c r="F86" i="3"/>
  <c r="E86" i="3"/>
  <c r="D86" i="3"/>
  <c r="N85" i="3"/>
  <c r="M85" i="3"/>
  <c r="L85" i="3"/>
  <c r="K85" i="3"/>
  <c r="J85" i="3"/>
  <c r="I85" i="3"/>
  <c r="H85" i="3"/>
  <c r="G85" i="3"/>
  <c r="F85" i="3"/>
  <c r="E85" i="3"/>
  <c r="D85" i="3"/>
  <c r="N84" i="3"/>
  <c r="M84" i="3"/>
  <c r="L84" i="3"/>
  <c r="K84" i="3"/>
  <c r="J84" i="3"/>
  <c r="I84" i="3"/>
  <c r="H84" i="3"/>
  <c r="G84" i="3"/>
  <c r="F84" i="3"/>
  <c r="E84" i="3"/>
  <c r="D84" i="3"/>
  <c r="N83" i="3"/>
  <c r="M83" i="3"/>
  <c r="L83" i="3"/>
  <c r="K83" i="3"/>
  <c r="J83" i="3"/>
  <c r="I83" i="3"/>
  <c r="H83" i="3"/>
  <c r="G83" i="3"/>
  <c r="F83" i="3"/>
  <c r="E83" i="3"/>
  <c r="D83" i="3"/>
  <c r="N82" i="3"/>
  <c r="M82" i="3"/>
  <c r="L82" i="3"/>
  <c r="K82" i="3"/>
  <c r="J82" i="3"/>
  <c r="I82" i="3"/>
  <c r="H82" i="3"/>
  <c r="G82" i="3"/>
  <c r="F82" i="3"/>
  <c r="E82" i="3"/>
  <c r="D82" i="3"/>
  <c r="N81" i="3"/>
  <c r="M81" i="3"/>
  <c r="L81" i="3"/>
  <c r="K81" i="3"/>
  <c r="J81" i="3"/>
  <c r="I81" i="3"/>
  <c r="H81" i="3"/>
  <c r="G81" i="3"/>
  <c r="F81" i="3"/>
  <c r="E81" i="3"/>
  <c r="D81" i="3"/>
  <c r="N80" i="3"/>
  <c r="M80" i="3"/>
  <c r="L80" i="3"/>
  <c r="K80" i="3"/>
  <c r="J80" i="3"/>
  <c r="I80" i="3"/>
  <c r="H80" i="3"/>
  <c r="G80" i="3"/>
  <c r="F80" i="3"/>
  <c r="E80" i="3"/>
  <c r="D80" i="3"/>
  <c r="N79" i="3"/>
  <c r="M79" i="3"/>
  <c r="L79" i="3"/>
  <c r="K79" i="3"/>
  <c r="J79" i="3"/>
  <c r="I79" i="3"/>
  <c r="H79" i="3"/>
  <c r="G79" i="3"/>
  <c r="F79" i="3"/>
  <c r="E79" i="3"/>
  <c r="D79" i="3"/>
  <c r="N78" i="3"/>
  <c r="M78" i="3"/>
  <c r="L78" i="3"/>
  <c r="K78" i="3"/>
  <c r="J78" i="3"/>
  <c r="I78" i="3"/>
  <c r="H78" i="3"/>
  <c r="G78" i="3"/>
  <c r="F78" i="3"/>
  <c r="E78" i="3"/>
  <c r="D78" i="3"/>
  <c r="N77" i="3"/>
  <c r="M77" i="3"/>
  <c r="L77" i="3"/>
  <c r="K77" i="3"/>
  <c r="J77" i="3"/>
  <c r="I77" i="3"/>
  <c r="H77" i="3"/>
  <c r="G77" i="3"/>
  <c r="F77" i="3"/>
  <c r="E77" i="3"/>
  <c r="D77" i="3"/>
  <c r="N76" i="3"/>
  <c r="M76" i="3"/>
  <c r="L76" i="3"/>
  <c r="K76" i="3"/>
  <c r="J76" i="3"/>
  <c r="I76" i="3"/>
  <c r="H76" i="3"/>
  <c r="G76" i="3"/>
  <c r="F76" i="3"/>
  <c r="E76" i="3"/>
  <c r="D76" i="3"/>
  <c r="N75" i="3"/>
  <c r="M75" i="3"/>
  <c r="L75" i="3"/>
  <c r="K75" i="3"/>
  <c r="J75" i="3"/>
  <c r="I75" i="3"/>
  <c r="H75" i="3"/>
  <c r="G75" i="3"/>
  <c r="F75" i="3"/>
  <c r="E75" i="3"/>
  <c r="D75" i="3"/>
  <c r="N74" i="3"/>
  <c r="M74" i="3"/>
  <c r="L74" i="3"/>
  <c r="K74" i="3"/>
  <c r="J74" i="3"/>
  <c r="I74" i="3"/>
  <c r="H74" i="3"/>
  <c r="G74" i="3"/>
  <c r="F74" i="3"/>
  <c r="E74" i="3"/>
  <c r="D74" i="3"/>
  <c r="N73" i="3"/>
  <c r="M73" i="3"/>
  <c r="L73" i="3"/>
  <c r="K73" i="3"/>
  <c r="J73" i="3"/>
  <c r="I73" i="3"/>
  <c r="H73" i="3"/>
  <c r="G73" i="3"/>
  <c r="F73" i="3"/>
  <c r="E73" i="3"/>
  <c r="D73" i="3"/>
  <c r="N72" i="3"/>
  <c r="M72" i="3"/>
  <c r="L72" i="3"/>
  <c r="K72" i="3"/>
  <c r="J72" i="3"/>
  <c r="I72" i="3"/>
  <c r="H72" i="3"/>
  <c r="G72" i="3"/>
  <c r="F72" i="3"/>
  <c r="E72" i="3"/>
  <c r="D72" i="3"/>
  <c r="N71" i="3"/>
  <c r="M71" i="3"/>
  <c r="L71" i="3"/>
  <c r="K71" i="3"/>
  <c r="J71" i="3"/>
  <c r="I71" i="3"/>
  <c r="H71" i="3"/>
  <c r="G71" i="3"/>
  <c r="F71" i="3"/>
  <c r="E71" i="3"/>
  <c r="D71" i="3"/>
  <c r="N70" i="3"/>
  <c r="M70" i="3"/>
  <c r="L70" i="3"/>
  <c r="K70" i="3"/>
  <c r="J70" i="3"/>
  <c r="I70" i="3"/>
  <c r="H70" i="3"/>
  <c r="G70" i="3"/>
  <c r="F70" i="3"/>
  <c r="E70" i="3"/>
  <c r="D70" i="3"/>
  <c r="N69" i="3"/>
  <c r="M69" i="3"/>
  <c r="L69" i="3"/>
  <c r="K69" i="3"/>
  <c r="J69" i="3"/>
  <c r="I69" i="3"/>
  <c r="H69" i="3"/>
  <c r="G69" i="3"/>
  <c r="F69" i="3"/>
  <c r="E69" i="3"/>
  <c r="D69" i="3"/>
  <c r="N68" i="3"/>
  <c r="M68" i="3"/>
  <c r="L68" i="3"/>
  <c r="K68" i="3"/>
  <c r="J68" i="3"/>
  <c r="I68" i="3"/>
  <c r="H68" i="3"/>
  <c r="G68" i="3"/>
  <c r="F68" i="3"/>
  <c r="E68" i="3"/>
  <c r="D68" i="3"/>
  <c r="N67" i="3"/>
  <c r="M67" i="3"/>
  <c r="L67" i="3"/>
  <c r="K67" i="3"/>
  <c r="J67" i="3"/>
  <c r="I67" i="3"/>
  <c r="H67" i="3"/>
  <c r="G67" i="3"/>
  <c r="F67" i="3"/>
  <c r="E67" i="3"/>
  <c r="D67" i="3"/>
  <c r="N66" i="3"/>
  <c r="M66" i="3"/>
  <c r="L66" i="3"/>
  <c r="K66" i="3"/>
  <c r="J66" i="3"/>
  <c r="I66" i="3"/>
  <c r="H66" i="3"/>
  <c r="G66" i="3"/>
  <c r="F66" i="3"/>
  <c r="E66" i="3"/>
  <c r="D66" i="3"/>
  <c r="N65" i="3"/>
  <c r="M65" i="3"/>
  <c r="L65" i="3"/>
  <c r="K65" i="3"/>
  <c r="J65" i="3"/>
  <c r="I65" i="3"/>
  <c r="H65" i="3"/>
  <c r="G65" i="3"/>
  <c r="F65" i="3"/>
  <c r="E65" i="3"/>
  <c r="D65" i="3"/>
  <c r="N64" i="3"/>
  <c r="M64" i="3"/>
  <c r="L64" i="3"/>
  <c r="K64" i="3"/>
  <c r="J64" i="3"/>
  <c r="I64" i="3"/>
  <c r="H64" i="3"/>
  <c r="G64" i="3"/>
  <c r="F64" i="3"/>
  <c r="E64" i="3"/>
  <c r="D64" i="3"/>
  <c r="N63" i="3"/>
  <c r="M63" i="3"/>
  <c r="L63" i="3"/>
  <c r="K63" i="3"/>
  <c r="J63" i="3"/>
  <c r="I63" i="3"/>
  <c r="H63" i="3"/>
  <c r="G63" i="3"/>
  <c r="F63" i="3"/>
  <c r="E63" i="3"/>
  <c r="D63" i="3"/>
  <c r="N62" i="3"/>
  <c r="M62" i="3"/>
  <c r="L62" i="3"/>
  <c r="K62" i="3"/>
  <c r="J62" i="3"/>
  <c r="I62" i="3"/>
  <c r="H62" i="3"/>
  <c r="G62" i="3"/>
  <c r="F62" i="3"/>
  <c r="E62" i="3"/>
  <c r="D62" i="3"/>
  <c r="N61" i="3"/>
  <c r="M61" i="3"/>
  <c r="L61" i="3"/>
  <c r="K61" i="3"/>
  <c r="J61" i="3"/>
  <c r="I61" i="3"/>
  <c r="H61" i="3"/>
  <c r="G61" i="3"/>
  <c r="F61" i="3"/>
  <c r="E61" i="3"/>
  <c r="D61" i="3"/>
  <c r="N60" i="3"/>
  <c r="M60" i="3"/>
  <c r="L60" i="3"/>
  <c r="K60" i="3"/>
  <c r="J60" i="3"/>
  <c r="I60" i="3"/>
  <c r="H60" i="3"/>
  <c r="G60" i="3"/>
  <c r="F60" i="3"/>
  <c r="E60" i="3"/>
  <c r="D60" i="3"/>
  <c r="N59" i="3"/>
  <c r="M59" i="3"/>
  <c r="L59" i="3"/>
  <c r="K59" i="3"/>
  <c r="J59" i="3"/>
  <c r="I59" i="3"/>
  <c r="H59" i="3"/>
  <c r="G59" i="3"/>
  <c r="F59" i="3"/>
  <c r="E59" i="3"/>
  <c r="D59" i="3"/>
  <c r="N58" i="3"/>
  <c r="M58" i="3"/>
  <c r="L58" i="3"/>
  <c r="K58" i="3"/>
  <c r="J58" i="3"/>
  <c r="I58" i="3"/>
  <c r="H58" i="3"/>
  <c r="G58" i="3"/>
  <c r="F58" i="3"/>
  <c r="E58" i="3"/>
  <c r="D58" i="3"/>
  <c r="N57" i="3"/>
  <c r="M57" i="3"/>
  <c r="L57" i="3"/>
  <c r="K57" i="3"/>
  <c r="J57" i="3"/>
  <c r="I57" i="3"/>
  <c r="H57" i="3"/>
  <c r="G57" i="3"/>
  <c r="F57" i="3"/>
  <c r="E57" i="3"/>
  <c r="D57" i="3"/>
  <c r="N56" i="3"/>
  <c r="M56" i="3"/>
  <c r="L56" i="3"/>
  <c r="K56" i="3"/>
  <c r="J56" i="3"/>
  <c r="I56" i="3"/>
  <c r="H56" i="3"/>
  <c r="G56" i="3"/>
  <c r="F56" i="3"/>
  <c r="E56" i="3"/>
  <c r="D56" i="3"/>
  <c r="N55" i="3"/>
  <c r="M55" i="3"/>
  <c r="L55" i="3"/>
  <c r="K55" i="3"/>
  <c r="J55" i="3"/>
  <c r="I55" i="3"/>
  <c r="H55" i="3"/>
  <c r="G55" i="3"/>
  <c r="F55" i="3"/>
  <c r="E55" i="3"/>
  <c r="D55" i="3"/>
  <c r="N54" i="3"/>
  <c r="M54" i="3"/>
  <c r="L54" i="3"/>
  <c r="K54" i="3"/>
  <c r="J54" i="3"/>
  <c r="I54" i="3"/>
  <c r="H54" i="3"/>
  <c r="G54" i="3"/>
  <c r="F54" i="3"/>
  <c r="E54" i="3"/>
  <c r="D54" i="3"/>
  <c r="N53" i="3"/>
  <c r="M53" i="3"/>
  <c r="L53" i="3"/>
  <c r="K53" i="3"/>
  <c r="J53" i="3"/>
  <c r="I53" i="3"/>
  <c r="H53" i="3"/>
  <c r="G53" i="3"/>
  <c r="F53" i="3"/>
  <c r="E53" i="3"/>
  <c r="D53" i="3"/>
  <c r="N52" i="3"/>
  <c r="M52" i="3"/>
  <c r="L52" i="3"/>
  <c r="K52" i="3"/>
  <c r="J52" i="3"/>
  <c r="I52" i="3"/>
  <c r="H52" i="3"/>
  <c r="G52" i="3"/>
  <c r="F52" i="3"/>
  <c r="E52" i="3"/>
  <c r="D52" i="3"/>
  <c r="N51" i="3"/>
  <c r="M51" i="3"/>
  <c r="L51" i="3"/>
  <c r="K51" i="3"/>
  <c r="J51" i="3"/>
  <c r="I51" i="3"/>
  <c r="H51" i="3"/>
  <c r="G51" i="3"/>
  <c r="F51" i="3"/>
  <c r="E51" i="3"/>
  <c r="D51" i="3"/>
  <c r="N50" i="3"/>
  <c r="M50" i="3"/>
  <c r="L50" i="3"/>
  <c r="K50" i="3"/>
  <c r="J50" i="3"/>
  <c r="I50" i="3"/>
  <c r="H50" i="3"/>
  <c r="G50" i="3"/>
  <c r="F50" i="3"/>
  <c r="E50" i="3"/>
  <c r="D50" i="3"/>
  <c r="N49" i="3"/>
  <c r="M49" i="3"/>
  <c r="L49" i="3"/>
  <c r="K49" i="3"/>
  <c r="J49" i="3"/>
  <c r="I49" i="3"/>
  <c r="H49" i="3"/>
  <c r="G49" i="3"/>
  <c r="F49" i="3"/>
  <c r="E49" i="3"/>
  <c r="D49" i="3"/>
  <c r="N48" i="3"/>
  <c r="M48" i="3"/>
  <c r="L48" i="3"/>
  <c r="K48" i="3"/>
  <c r="J48" i="3"/>
  <c r="I48" i="3"/>
  <c r="H48" i="3"/>
  <c r="G48" i="3"/>
  <c r="F48" i="3"/>
  <c r="E48" i="3"/>
  <c r="D48" i="3"/>
  <c r="N47" i="3"/>
  <c r="M47" i="3"/>
  <c r="L47" i="3"/>
  <c r="K47" i="3"/>
  <c r="J47" i="3"/>
  <c r="I47" i="3"/>
  <c r="H47" i="3"/>
  <c r="G47" i="3"/>
  <c r="F47" i="3"/>
  <c r="E47" i="3"/>
  <c r="D47" i="3"/>
  <c r="N46" i="3"/>
  <c r="M46" i="3"/>
  <c r="L46" i="3"/>
  <c r="K46" i="3"/>
  <c r="J46" i="3"/>
  <c r="I46" i="3"/>
  <c r="H46" i="3"/>
  <c r="G46" i="3"/>
  <c r="F46" i="3"/>
  <c r="E46" i="3"/>
  <c r="D46" i="3"/>
  <c r="N45" i="3"/>
  <c r="M45" i="3"/>
  <c r="L45" i="3"/>
  <c r="K45" i="3"/>
  <c r="J45" i="3"/>
  <c r="I45" i="3"/>
  <c r="H45" i="3"/>
  <c r="G45" i="3"/>
  <c r="F45" i="3"/>
  <c r="E45" i="3"/>
  <c r="D45" i="3"/>
  <c r="N44" i="3"/>
  <c r="M44" i="3"/>
  <c r="L44" i="3"/>
  <c r="K44" i="3"/>
  <c r="J44" i="3"/>
  <c r="I44" i="3"/>
  <c r="H44" i="3"/>
  <c r="G44" i="3"/>
  <c r="F44" i="3"/>
  <c r="E44" i="3"/>
  <c r="D44" i="3"/>
  <c r="N43" i="3"/>
  <c r="M43" i="3"/>
  <c r="L43" i="3"/>
  <c r="K43" i="3"/>
  <c r="J43" i="3"/>
  <c r="I43" i="3"/>
  <c r="H43" i="3"/>
  <c r="G43" i="3"/>
  <c r="F43" i="3"/>
  <c r="E43" i="3"/>
  <c r="D43" i="3"/>
  <c r="N42" i="3"/>
  <c r="M42" i="3"/>
  <c r="L42" i="3"/>
  <c r="K42" i="3"/>
  <c r="J42" i="3"/>
  <c r="I42" i="3"/>
  <c r="H42" i="3"/>
  <c r="G42" i="3"/>
  <c r="F42" i="3"/>
  <c r="E42" i="3"/>
  <c r="D42" i="3"/>
  <c r="N41" i="3"/>
  <c r="M41" i="3"/>
  <c r="L41" i="3"/>
  <c r="K41" i="3"/>
  <c r="J41" i="3"/>
  <c r="I41" i="3"/>
  <c r="H41" i="3"/>
  <c r="G41" i="3"/>
  <c r="F41" i="3"/>
  <c r="E41" i="3"/>
  <c r="D41" i="3"/>
  <c r="N40" i="3"/>
  <c r="M40" i="3"/>
  <c r="L40" i="3"/>
  <c r="K40" i="3"/>
  <c r="J40" i="3"/>
  <c r="I40" i="3"/>
  <c r="H40" i="3"/>
  <c r="G40" i="3"/>
  <c r="F40" i="3"/>
  <c r="E40" i="3"/>
  <c r="D40" i="3"/>
  <c r="N39" i="3"/>
  <c r="M39" i="3"/>
  <c r="L39" i="3"/>
  <c r="K39" i="3"/>
  <c r="J39" i="3"/>
  <c r="I39" i="3"/>
  <c r="H39" i="3"/>
  <c r="G39" i="3"/>
  <c r="F39" i="3"/>
  <c r="E39" i="3"/>
  <c r="D39" i="3"/>
  <c r="N38" i="3"/>
  <c r="M38" i="3"/>
  <c r="L38" i="3"/>
  <c r="K38" i="3"/>
  <c r="J38" i="3"/>
  <c r="I38" i="3"/>
  <c r="H38" i="3"/>
  <c r="G38" i="3"/>
  <c r="F38" i="3"/>
  <c r="E38" i="3"/>
  <c r="D38" i="3"/>
  <c r="N37" i="3"/>
  <c r="M37" i="3"/>
  <c r="L37" i="3"/>
  <c r="K37" i="3"/>
  <c r="J37" i="3"/>
  <c r="I37" i="3"/>
  <c r="H37" i="3"/>
  <c r="G37" i="3"/>
  <c r="F37" i="3"/>
  <c r="E37" i="3"/>
  <c r="D37" i="3"/>
  <c r="N36" i="3"/>
  <c r="M36" i="3"/>
  <c r="L36" i="3"/>
  <c r="K36" i="3"/>
  <c r="J36" i="3"/>
  <c r="I36" i="3"/>
  <c r="H36" i="3"/>
  <c r="G36" i="3"/>
  <c r="F36" i="3"/>
  <c r="E36" i="3"/>
  <c r="D36" i="3"/>
  <c r="N35" i="3"/>
  <c r="M35" i="3"/>
  <c r="L35" i="3"/>
  <c r="K35" i="3"/>
  <c r="J35" i="3"/>
  <c r="I35" i="3"/>
  <c r="H35" i="3"/>
  <c r="G35" i="3"/>
  <c r="F35" i="3"/>
  <c r="E35" i="3"/>
  <c r="D35" i="3"/>
  <c r="N34" i="3"/>
  <c r="M34" i="3"/>
  <c r="L34" i="3"/>
  <c r="K34" i="3"/>
  <c r="J34" i="3"/>
  <c r="I34" i="3"/>
  <c r="H34" i="3"/>
  <c r="G34" i="3"/>
  <c r="F34" i="3"/>
  <c r="E34" i="3"/>
  <c r="D34" i="3"/>
  <c r="N33" i="3"/>
  <c r="M33" i="3"/>
  <c r="L33" i="3"/>
  <c r="K33" i="3"/>
  <c r="J33" i="3"/>
  <c r="I33" i="3"/>
  <c r="H33" i="3"/>
  <c r="G33" i="3"/>
  <c r="F33" i="3"/>
  <c r="E33" i="3"/>
  <c r="D33" i="3"/>
  <c r="N32" i="3"/>
  <c r="M32" i="3"/>
  <c r="L32" i="3"/>
  <c r="K32" i="3"/>
  <c r="J32" i="3"/>
  <c r="I32" i="3"/>
  <c r="H32" i="3"/>
  <c r="G32" i="3"/>
  <c r="F32" i="3"/>
  <c r="E32" i="3"/>
  <c r="D32" i="3"/>
  <c r="N31" i="3"/>
  <c r="M31" i="3"/>
  <c r="L31" i="3"/>
  <c r="K31" i="3"/>
  <c r="J31" i="3"/>
  <c r="I31" i="3"/>
  <c r="H31" i="3"/>
  <c r="G31" i="3"/>
  <c r="F31" i="3"/>
  <c r="E31" i="3"/>
  <c r="D31" i="3"/>
  <c r="N30" i="3"/>
  <c r="M30" i="3"/>
  <c r="L30" i="3"/>
  <c r="K30" i="3"/>
  <c r="J30" i="3"/>
  <c r="I30" i="3"/>
  <c r="H30" i="3"/>
  <c r="G30" i="3"/>
  <c r="F30" i="3"/>
  <c r="E30" i="3"/>
  <c r="D30" i="3"/>
  <c r="N29" i="3"/>
  <c r="M29" i="3"/>
  <c r="L29" i="3"/>
  <c r="K29" i="3"/>
  <c r="J29" i="3"/>
  <c r="I29" i="3"/>
  <c r="H29" i="3"/>
  <c r="G29" i="3"/>
  <c r="F29" i="3"/>
  <c r="E29" i="3"/>
  <c r="D29" i="3"/>
  <c r="N28" i="3"/>
  <c r="M28" i="3"/>
  <c r="L28" i="3"/>
  <c r="K28" i="3"/>
  <c r="J28" i="3"/>
  <c r="I28" i="3"/>
  <c r="H28" i="3"/>
  <c r="G28" i="3"/>
  <c r="F28" i="3"/>
  <c r="E28" i="3"/>
  <c r="D28" i="3"/>
  <c r="N27" i="3"/>
  <c r="M27" i="3"/>
  <c r="L27" i="3"/>
  <c r="K27" i="3"/>
  <c r="J27" i="3"/>
  <c r="I27" i="3"/>
  <c r="H27" i="3"/>
  <c r="G27" i="3"/>
  <c r="F27" i="3"/>
  <c r="E27" i="3"/>
  <c r="D27" i="3"/>
  <c r="N26" i="3"/>
  <c r="M26" i="3"/>
  <c r="L26" i="3"/>
  <c r="K26" i="3"/>
  <c r="J26" i="3"/>
  <c r="I26" i="3"/>
  <c r="H26" i="3"/>
  <c r="G26" i="3"/>
  <c r="F26" i="3"/>
  <c r="E26" i="3"/>
  <c r="D26" i="3"/>
  <c r="N25" i="3"/>
  <c r="M25" i="3"/>
  <c r="L25" i="3"/>
  <c r="K25" i="3"/>
  <c r="J25" i="3"/>
  <c r="I25" i="3"/>
  <c r="H25" i="3"/>
  <c r="G25" i="3"/>
  <c r="F25" i="3"/>
  <c r="E25" i="3"/>
  <c r="D25" i="3"/>
  <c r="N24" i="3"/>
  <c r="M24" i="3"/>
  <c r="L24" i="3"/>
  <c r="K24" i="3"/>
  <c r="J24" i="3"/>
  <c r="I24" i="3"/>
  <c r="H24" i="3"/>
  <c r="G24" i="3"/>
  <c r="F24" i="3"/>
  <c r="E24" i="3"/>
  <c r="D24" i="3"/>
  <c r="N23" i="3"/>
  <c r="M23" i="3"/>
  <c r="L23" i="3"/>
  <c r="K23" i="3"/>
  <c r="J23" i="3"/>
  <c r="I23" i="3"/>
  <c r="H23" i="3"/>
  <c r="G23" i="3"/>
  <c r="F23" i="3"/>
  <c r="E23" i="3"/>
  <c r="D23" i="3"/>
  <c r="N22" i="3"/>
  <c r="M22" i="3"/>
  <c r="L22" i="3"/>
  <c r="K22" i="3"/>
  <c r="J22" i="3"/>
  <c r="I22" i="3"/>
  <c r="H22" i="3"/>
  <c r="G22" i="3"/>
  <c r="F22" i="3"/>
  <c r="E22" i="3"/>
  <c r="D22" i="3"/>
  <c r="N21" i="3"/>
  <c r="M21" i="3"/>
  <c r="L21" i="3"/>
  <c r="K21" i="3"/>
  <c r="J21" i="3"/>
  <c r="I21" i="3"/>
  <c r="H21" i="3"/>
  <c r="G21" i="3"/>
  <c r="F21" i="3"/>
  <c r="E21" i="3"/>
  <c r="D21" i="3"/>
  <c r="N20" i="3"/>
  <c r="M20" i="3"/>
  <c r="L20" i="3"/>
  <c r="K20" i="3"/>
  <c r="J20" i="3"/>
  <c r="I20" i="3"/>
  <c r="H20" i="3"/>
  <c r="G20" i="3"/>
  <c r="F20" i="3"/>
  <c r="E20" i="3"/>
  <c r="D20" i="3"/>
  <c r="N19" i="3"/>
  <c r="M19" i="3"/>
  <c r="L19" i="3"/>
  <c r="K19" i="3"/>
  <c r="J19" i="3"/>
  <c r="I19" i="3"/>
  <c r="H19" i="3"/>
  <c r="G19" i="3"/>
  <c r="F19" i="3"/>
  <c r="E19" i="3"/>
  <c r="D19" i="3"/>
  <c r="N18" i="3"/>
  <c r="M18" i="3"/>
  <c r="L18" i="3"/>
  <c r="K18" i="3"/>
  <c r="J18" i="3"/>
  <c r="I18" i="3"/>
  <c r="H18" i="3"/>
  <c r="G18" i="3"/>
  <c r="F18" i="3"/>
  <c r="E18" i="3"/>
  <c r="D18" i="3"/>
  <c r="N17" i="3"/>
  <c r="M17" i="3"/>
  <c r="L17" i="3"/>
  <c r="K17" i="3"/>
  <c r="J17" i="3"/>
  <c r="I17" i="3"/>
  <c r="H17" i="3"/>
  <c r="G17" i="3"/>
  <c r="F17" i="3"/>
  <c r="E17" i="3"/>
  <c r="D17" i="3"/>
  <c r="N16" i="3"/>
  <c r="M16" i="3"/>
  <c r="L16" i="3"/>
  <c r="K16" i="3"/>
  <c r="J16" i="3"/>
  <c r="I16" i="3"/>
  <c r="H16" i="3"/>
  <c r="G16" i="3"/>
  <c r="F16" i="3"/>
  <c r="E16" i="3"/>
  <c r="D16" i="3"/>
  <c r="N15" i="3"/>
  <c r="M15" i="3"/>
  <c r="L15" i="3"/>
  <c r="K15" i="3"/>
  <c r="J15" i="3"/>
  <c r="I15" i="3"/>
  <c r="H15" i="3"/>
  <c r="G15" i="3"/>
  <c r="F15" i="3"/>
  <c r="E15" i="3"/>
  <c r="D15" i="3"/>
  <c r="N14" i="3"/>
  <c r="M14" i="3"/>
  <c r="L14" i="3"/>
  <c r="K14" i="3"/>
  <c r="J14" i="3"/>
  <c r="I14" i="3"/>
  <c r="H14" i="3"/>
  <c r="G14" i="3"/>
  <c r="F14" i="3"/>
  <c r="E14" i="3"/>
  <c r="D14" i="3"/>
  <c r="N13" i="3"/>
  <c r="M13" i="3"/>
  <c r="L13" i="3"/>
  <c r="K13" i="3"/>
  <c r="J13" i="3"/>
  <c r="I13" i="3"/>
  <c r="H13" i="3"/>
  <c r="G13" i="3"/>
  <c r="F13" i="3"/>
  <c r="E13" i="3"/>
  <c r="D13" i="3"/>
  <c r="N12" i="3"/>
  <c r="M12" i="3"/>
  <c r="L12" i="3"/>
  <c r="K12" i="3"/>
  <c r="J12" i="3"/>
  <c r="I12" i="3"/>
  <c r="H12" i="3"/>
  <c r="G12" i="3"/>
  <c r="F12" i="3"/>
  <c r="E12" i="3"/>
  <c r="D12" i="3"/>
  <c r="N11" i="3"/>
  <c r="M11" i="3"/>
  <c r="L11" i="3"/>
  <c r="K11" i="3"/>
  <c r="J11" i="3"/>
  <c r="I11" i="3"/>
  <c r="H11" i="3"/>
  <c r="G11" i="3"/>
  <c r="F11" i="3"/>
  <c r="E11" i="3"/>
  <c r="D11" i="3"/>
  <c r="N10" i="3"/>
  <c r="M10" i="3"/>
  <c r="L10" i="3"/>
  <c r="K10" i="3"/>
  <c r="J10" i="3"/>
  <c r="I10" i="3"/>
  <c r="H10" i="3"/>
  <c r="G10" i="3"/>
  <c r="F10" i="3"/>
  <c r="E10" i="3"/>
  <c r="D10" i="3"/>
  <c r="N9" i="3"/>
  <c r="M9" i="3"/>
  <c r="L9" i="3"/>
  <c r="K9" i="3"/>
  <c r="J9" i="3"/>
  <c r="I9" i="3"/>
  <c r="H9" i="3"/>
  <c r="G9" i="3"/>
  <c r="F9" i="3"/>
  <c r="E9" i="3"/>
  <c r="D9" i="3"/>
  <c r="N8" i="3"/>
  <c r="M8" i="3"/>
  <c r="L8" i="3"/>
  <c r="K8" i="3"/>
  <c r="J8" i="3"/>
  <c r="I8" i="3"/>
  <c r="H8" i="3"/>
  <c r="G8" i="3"/>
  <c r="F8" i="3"/>
  <c r="E8" i="3"/>
  <c r="D8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A113" i="5" l="1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C4" i="5"/>
  <c r="A1" i="5" s="1"/>
</calcChain>
</file>

<file path=xl/sharedStrings.xml><?xml version="1.0" encoding="utf-8"?>
<sst xmlns="http://schemas.openxmlformats.org/spreadsheetml/2006/main" count="8094" uniqueCount="814">
  <si>
    <t>Use with 1construct.gms and 2balance.gms</t>
  </si>
  <si>
    <t>Country</t>
  </si>
  <si>
    <t>RWA</t>
  </si>
  <si>
    <t>Year</t>
  </si>
  <si>
    <t>Units</t>
  </si>
  <si>
    <t>Billions of Rwanda Francs</t>
  </si>
  <si>
    <t>Citation</t>
  </si>
  <si>
    <t>Other accounts</t>
  </si>
  <si>
    <t>csorg</t>
  </si>
  <si>
    <t>Sorghum (A111)</t>
  </si>
  <si>
    <t>trc</t>
  </si>
  <si>
    <t>Transaction costs</t>
  </si>
  <si>
    <t>cmaiz</t>
  </si>
  <si>
    <t>Maize (A112)</t>
  </si>
  <si>
    <t>flab</t>
  </si>
  <si>
    <t>Labor</t>
  </si>
  <si>
    <t>cwhea</t>
  </si>
  <si>
    <t>Wheat (A113)</t>
  </si>
  <si>
    <t>flnd</t>
  </si>
  <si>
    <t>Land</t>
  </si>
  <si>
    <t>crice</t>
  </si>
  <si>
    <t>Paddy &amp; husked rice (A116)</t>
  </si>
  <si>
    <t>fcap</t>
  </si>
  <si>
    <t>Capital</t>
  </si>
  <si>
    <t>cocer</t>
  </si>
  <si>
    <t>Other cereals (A119)</t>
  </si>
  <si>
    <t>ent</t>
  </si>
  <si>
    <t>Enterprises</t>
  </si>
  <si>
    <t>cipot</t>
  </si>
  <si>
    <t>Irish potatoes (A121)</t>
  </si>
  <si>
    <t>hhd</t>
  </si>
  <si>
    <t>Households</t>
  </si>
  <si>
    <t>cspot</t>
  </si>
  <si>
    <t>Sweet potatoes (A122)</t>
  </si>
  <si>
    <t>gov</t>
  </si>
  <si>
    <t>Government</t>
  </si>
  <si>
    <t>ccass</t>
  </si>
  <si>
    <t>Cassava (A123)</t>
  </si>
  <si>
    <t>atax</t>
  </si>
  <si>
    <t>Taxes - activity (production)</t>
  </si>
  <si>
    <t>croot</t>
  </si>
  <si>
    <t>Other roots &amp; tubers (A129)</t>
  </si>
  <si>
    <t>ctax</t>
  </si>
  <si>
    <t>Taxes - customs duties (imports)</t>
  </si>
  <si>
    <t>cbean</t>
  </si>
  <si>
    <t>Dried beans (A131)</t>
  </si>
  <si>
    <t>dtax</t>
  </si>
  <si>
    <t>Taxes - direct (corporate, private)</t>
  </si>
  <si>
    <t>cpeas</t>
  </si>
  <si>
    <t>Peas &amp; other legumes (A132)</t>
  </si>
  <si>
    <t>etax</t>
  </si>
  <si>
    <t>Taxes - exports</t>
  </si>
  <si>
    <t>cvege</t>
  </si>
  <si>
    <t>Other vegetables (A139)</t>
  </si>
  <si>
    <t>ftax</t>
  </si>
  <si>
    <t>Taxes - factors (royalities)</t>
  </si>
  <si>
    <t>cbanb</t>
  </si>
  <si>
    <t>Bananas for beer (A141)</t>
  </si>
  <si>
    <t>mtax</t>
  </si>
  <si>
    <t>Taxes - VAT on imported products</t>
  </si>
  <si>
    <t>cbanc</t>
  </si>
  <si>
    <t>Bananas for cooking (A142)</t>
  </si>
  <si>
    <t>stax</t>
  </si>
  <si>
    <t>Taxes - general sales</t>
  </si>
  <si>
    <t>cbans</t>
  </si>
  <si>
    <t>Bananas (sweet) (A143)</t>
  </si>
  <si>
    <t>vtax</t>
  </si>
  <si>
    <t>Taxes - VAT on domestic products</t>
  </si>
  <si>
    <t>cfrui</t>
  </si>
  <si>
    <t>Other fruit &amp; nuts (A149)</t>
  </si>
  <si>
    <t>xtax</t>
  </si>
  <si>
    <t>Taxes - excise</t>
  </si>
  <si>
    <t>cgnut</t>
  </si>
  <si>
    <t>Ground nuts (A151)</t>
  </si>
  <si>
    <t>s-i</t>
  </si>
  <si>
    <t>Savings-investment</t>
  </si>
  <si>
    <t>csoya</t>
  </si>
  <si>
    <t>Soya (A152)</t>
  </si>
  <si>
    <t>dstk</t>
  </si>
  <si>
    <t>Change in stocks</t>
  </si>
  <si>
    <t>coils</t>
  </si>
  <si>
    <t>Other oil seeds (A159)</t>
  </si>
  <si>
    <t>row</t>
  </si>
  <si>
    <t>Rest of world</t>
  </si>
  <si>
    <t>ccoff</t>
  </si>
  <si>
    <t>Coffee, not roasted, not decaffeinated (A210)</t>
  </si>
  <si>
    <t>total</t>
  </si>
  <si>
    <t>Total</t>
  </si>
  <si>
    <t>cteal</t>
  </si>
  <si>
    <t>Tea (unprocessed green leaf) (A220)</t>
  </si>
  <si>
    <t>ctoba</t>
  </si>
  <si>
    <t>Tobacco, raw (A291)</t>
  </si>
  <si>
    <t>csugr</t>
  </si>
  <si>
    <t>Sugar cane (A292)</t>
  </si>
  <si>
    <t>Factors</t>
  </si>
  <si>
    <t>flab-rn</t>
  </si>
  <si>
    <t>Labor - rural uneducated</t>
  </si>
  <si>
    <t>flab-rp</t>
  </si>
  <si>
    <t>Labor - rural primary</t>
  </si>
  <si>
    <t>flab-rs</t>
  </si>
  <si>
    <t>Labor - rural secondary</t>
  </si>
  <si>
    <t>flab-rt</t>
  </si>
  <si>
    <t>Labor - rural tertiary</t>
  </si>
  <si>
    <t>flab-un</t>
  </si>
  <si>
    <t>Labor - urban uneducated</t>
  </si>
  <si>
    <t>flab-up</t>
  </si>
  <si>
    <t>Labor - urban primary</t>
  </si>
  <si>
    <t>flab-us</t>
  </si>
  <si>
    <t>Labor - urban secondary</t>
  </si>
  <si>
    <t>flab-ut</t>
  </si>
  <si>
    <t>Labor - urban tertiary</t>
  </si>
  <si>
    <t>Crop land</t>
  </si>
  <si>
    <t>fcap-c</t>
  </si>
  <si>
    <t>Capital - crops</t>
  </si>
  <si>
    <t>fcap-l</t>
  </si>
  <si>
    <t>Capital - livestock</t>
  </si>
  <si>
    <t>fcap-m</t>
  </si>
  <si>
    <t>Capital - mining</t>
  </si>
  <si>
    <t>fcap-n</t>
  </si>
  <si>
    <t>Capital - non-primary</t>
  </si>
  <si>
    <t>Activities and commodities (X104)</t>
  </si>
  <si>
    <t>cpyre</t>
  </si>
  <si>
    <t>Pyrethrum (A293)</t>
  </si>
  <si>
    <t>cocrp</t>
  </si>
  <si>
    <t>Agricultural products n.e.c. (A299)</t>
  </si>
  <si>
    <t>ccatt</t>
  </si>
  <si>
    <t>Bovine cattle, live (A311)</t>
  </si>
  <si>
    <t>csmlr</t>
  </si>
  <si>
    <t>Sheep, goats, pigs,live (A312)</t>
  </si>
  <si>
    <t>cpoul</t>
  </si>
  <si>
    <t>Poultry, live (A313)</t>
  </si>
  <si>
    <t>coliv</t>
  </si>
  <si>
    <t>Other live animals (A319)</t>
  </si>
  <si>
    <t>cmilk</t>
  </si>
  <si>
    <t>Raw milk (A321)</t>
  </si>
  <si>
    <t>ceggs</t>
  </si>
  <si>
    <t>Eggs (A322)</t>
  </si>
  <si>
    <t>chony</t>
  </si>
  <si>
    <t>Natural honey (A323)</t>
  </si>
  <si>
    <t>chunt</t>
  </si>
  <si>
    <t>Other livestock &amp; hunting products (A329)</t>
  </si>
  <si>
    <t>cfuel</t>
  </si>
  <si>
    <t>Fuel wood (A401)</t>
  </si>
  <si>
    <t>cchar</t>
  </si>
  <si>
    <t>Charcoal (A402)</t>
  </si>
  <si>
    <t>cfore</t>
  </si>
  <si>
    <t>Other forestry products (A409)</t>
  </si>
  <si>
    <t>cfish</t>
  </si>
  <si>
    <t>Fishery products (A500)</t>
  </si>
  <si>
    <t>cngas</t>
  </si>
  <si>
    <t>Natural gas (B01)</t>
  </si>
  <si>
    <t>cmore</t>
  </si>
  <si>
    <t>Metal ores (B03)</t>
  </si>
  <si>
    <t>comin</t>
  </si>
  <si>
    <t>Quarry &amp; other mining products (B09)</t>
  </si>
  <si>
    <t>cmeat</t>
  </si>
  <si>
    <t>Meat and meat products (C11)</t>
  </si>
  <si>
    <t>cfsea</t>
  </si>
  <si>
    <t>Prepared and preserved fish (C12)</t>
  </si>
  <si>
    <t>cfveg</t>
  </si>
  <si>
    <t>Prepared and preserved vegetables (C13)</t>
  </si>
  <si>
    <t>cfoil</t>
  </si>
  <si>
    <t>Animal and vegetable oils and fats (C14)</t>
  </si>
  <si>
    <t>cdair</t>
  </si>
  <si>
    <t>Dairy products (C15)</t>
  </si>
  <si>
    <t>cgmll</t>
  </si>
  <si>
    <t>Grain mill products (C16)</t>
  </si>
  <si>
    <t>cbake</t>
  </si>
  <si>
    <t>Bakery products (C17)</t>
  </si>
  <si>
    <t>cfeed</t>
  </si>
  <si>
    <t>Animal feed &amp; other by-products (C18)</t>
  </si>
  <si>
    <t>cfood</t>
  </si>
  <si>
    <t>Other manufactured food products (C19)</t>
  </si>
  <si>
    <t>calco</t>
  </si>
  <si>
    <t>Alcoholic drinks (C21)</t>
  </si>
  <si>
    <t>cbeve</t>
  </si>
  <si>
    <t>Soft drinks (C22)</t>
  </si>
  <si>
    <t>cptob</t>
  </si>
  <si>
    <t>Tobacco products (C23)</t>
  </si>
  <si>
    <t>ctext</t>
  </si>
  <si>
    <t>Textiles, clothing &amp; leather products (C30)</t>
  </si>
  <si>
    <t>cwood</t>
  </si>
  <si>
    <t>Wood, paper and related products (C41)</t>
  </si>
  <si>
    <t>cprnt</t>
  </si>
  <si>
    <t>Printing and reproduction of recorded media (C42)</t>
  </si>
  <si>
    <t>cpetr</t>
  </si>
  <si>
    <t>Coke and refined petroleum products (C51)</t>
  </si>
  <si>
    <t>cchem</t>
  </si>
  <si>
    <t>Chemicals and chemical products (C52)</t>
  </si>
  <si>
    <t>cphar</t>
  </si>
  <si>
    <t>Pharmaceutical products (C53)</t>
  </si>
  <si>
    <t>cprub</t>
  </si>
  <si>
    <t>Rubber and plastics products (C54)</t>
  </si>
  <si>
    <t>cnmet</t>
  </si>
  <si>
    <t>Non-metallic mineral products n.e.c. (C61)</t>
  </si>
  <si>
    <t>cceme</t>
  </si>
  <si>
    <t>Manufacture of cement, lime and plaster (C62)</t>
  </si>
  <si>
    <t>cclay</t>
  </si>
  <si>
    <t>Manufacture of clay building materials (C63)</t>
  </si>
  <si>
    <t>cmetl</t>
  </si>
  <si>
    <t>Metals &amp; metal products, except machinery and equipment (C72)</t>
  </si>
  <si>
    <t>cmach</t>
  </si>
  <si>
    <t>Machinery and equipment (except transport) (C74)</t>
  </si>
  <si>
    <t>cvehi</t>
  </si>
  <si>
    <t>Transport equipment (C76)</t>
  </si>
  <si>
    <t>cfurn</t>
  </si>
  <si>
    <t>Furniture (C81)</t>
  </si>
  <si>
    <t>coman</t>
  </si>
  <si>
    <t>Other manufacturing (C82)</t>
  </si>
  <si>
    <t>crepr</t>
  </si>
  <si>
    <t>Repair and installation of machinery and equipment (C83)</t>
  </si>
  <si>
    <t>celec</t>
  </si>
  <si>
    <t>Electricity, gas, steam and air conditioning supply (D00)</t>
  </si>
  <si>
    <t>cwatr</t>
  </si>
  <si>
    <t>Water collection, treatment and supply: sewrage (E01)</t>
  </si>
  <si>
    <t>cwast</t>
  </si>
  <si>
    <t>Waste collection and management (E02)</t>
  </si>
  <si>
    <t>ccons</t>
  </si>
  <si>
    <t>Construction (modern) (F01)</t>
  </si>
  <si>
    <t>ccont</t>
  </si>
  <si>
    <t>Construction (traditional) (F02)</t>
  </si>
  <si>
    <t>cvehr</t>
  </si>
  <si>
    <t>Maintenance and repair of motor vehicles (G10)</t>
  </si>
  <si>
    <t>cveht</t>
  </si>
  <si>
    <t>Wholesale and retail trade of motor vehicles and motorcycles (G21)</t>
  </si>
  <si>
    <t>ctrdw</t>
  </si>
  <si>
    <t>Wholesale trade, except of motor vehicles and motorcycles (G22)</t>
  </si>
  <si>
    <t>ctrdr</t>
  </si>
  <si>
    <t>Retail trade, except of motor vehicles and motorcycles (G23)</t>
  </si>
  <si>
    <t>ctrnl</t>
  </si>
  <si>
    <t>Land transport (H10)</t>
  </si>
  <si>
    <t>ctrna</t>
  </si>
  <si>
    <t>Air transport (H20)</t>
  </si>
  <si>
    <t>ctrns</t>
  </si>
  <si>
    <t>Services related to transport (H31)</t>
  </si>
  <si>
    <t>cpost</t>
  </si>
  <si>
    <t>Postal and courier activities (H32)</t>
  </si>
  <si>
    <t>chotl</t>
  </si>
  <si>
    <t>Hotels &amp; restaurants (I00)</t>
  </si>
  <si>
    <t>cpubl</t>
  </si>
  <si>
    <t>Publishing, video making, programming &amp; broadcasting activities (J10)</t>
  </si>
  <si>
    <t>ccomm</t>
  </si>
  <si>
    <t>Telecommunication (J20)</t>
  </si>
  <si>
    <t>cinfo</t>
  </si>
  <si>
    <t>Information technology services (J30)</t>
  </si>
  <si>
    <t>cbank</t>
  </si>
  <si>
    <t>Monetary institutions (K01)</t>
  </si>
  <si>
    <t>cinsu</t>
  </si>
  <si>
    <t>Insurance, reinsurance and pension funding, except compulsory social security (K02)</t>
  </si>
  <si>
    <t>cofsv</t>
  </si>
  <si>
    <t>Other financial services (K03)</t>
  </si>
  <si>
    <t>crent</t>
  </si>
  <si>
    <t>Rental value of dwellings (L01)</t>
  </si>
  <si>
    <t>creal</t>
  </si>
  <si>
    <t>Other real estate activities (L09)</t>
  </si>
  <si>
    <t>clegl</t>
  </si>
  <si>
    <t>Legal, accounting management &amp; head office activities (M01)</t>
  </si>
  <si>
    <t>cenga</t>
  </si>
  <si>
    <t>Architectural and engineering activities (M02)</t>
  </si>
  <si>
    <t>cprod</t>
  </si>
  <si>
    <t>Other professional, scientific and technical activities (M03)</t>
  </si>
  <si>
    <t>ctrvl</t>
  </si>
  <si>
    <t>Travel agents and tour operators (N01)</t>
  </si>
  <si>
    <t>cobsv</t>
  </si>
  <si>
    <t>Other administrative and support service activities (N09)</t>
  </si>
  <si>
    <t>cpadm</t>
  </si>
  <si>
    <t>Public administration and defence; compulsory social security (O00)</t>
  </si>
  <si>
    <t>ceduc</t>
  </si>
  <si>
    <t>Education (P00)</t>
  </si>
  <si>
    <t>cheal</t>
  </si>
  <si>
    <t>Human health activities (Q01)</t>
  </si>
  <si>
    <t>csocw</t>
  </si>
  <si>
    <t>Social work activities (Q02)</t>
  </si>
  <si>
    <t>ccult</t>
  </si>
  <si>
    <t>Libraries, archives, museums and other cultural activities (R01)</t>
  </si>
  <si>
    <t>carts</t>
  </si>
  <si>
    <t>Other arts, entertainment and recreation (R09)</t>
  </si>
  <si>
    <t>cosrv</t>
  </si>
  <si>
    <t>Other service activities (S00)</t>
  </si>
  <si>
    <t>cdsrv</t>
  </si>
  <si>
    <t>Domestic services (T00)</t>
  </si>
  <si>
    <t>ctrdc</t>
  </si>
  <si>
    <t>Travel debits &amp; credits (V00)</t>
  </si>
  <si>
    <t>hhd-f1</t>
  </si>
  <si>
    <t>Rural - farm q1</t>
  </si>
  <si>
    <t>hhd-f2</t>
  </si>
  <si>
    <t>Rural - farm q2</t>
  </si>
  <si>
    <t>hhd-f3</t>
  </si>
  <si>
    <t>Rural - farm q3</t>
  </si>
  <si>
    <t>hhd-f4</t>
  </si>
  <si>
    <t>Rural - farm q4</t>
  </si>
  <si>
    <t>hhd-f5</t>
  </si>
  <si>
    <t>Rural - farm q5</t>
  </si>
  <si>
    <t>hhd-n1</t>
  </si>
  <si>
    <t>Rural - nonfarm q1</t>
  </si>
  <si>
    <t>hhd-n2</t>
  </si>
  <si>
    <t>Rural - nonfarm q2</t>
  </si>
  <si>
    <t>hhd-n3</t>
  </si>
  <si>
    <t>Rural - nonfarm q3</t>
  </si>
  <si>
    <t>hhd-n4</t>
  </si>
  <si>
    <t>Rural - nonfarm q4</t>
  </si>
  <si>
    <t>hhd-n5</t>
  </si>
  <si>
    <t>Rural - nonfarm q5</t>
  </si>
  <si>
    <t>hhd-u1</t>
  </si>
  <si>
    <t>Urban - q1</t>
  </si>
  <si>
    <t>hhd-u2</t>
  </si>
  <si>
    <t>Urban - q2</t>
  </si>
  <si>
    <t>hhd-u3</t>
  </si>
  <si>
    <t>Urban - q3</t>
  </si>
  <si>
    <t>hhd-u4</t>
  </si>
  <si>
    <t>Urban - q4</t>
  </si>
  <si>
    <t>hhd-u5</t>
  </si>
  <si>
    <t>Urban - q5</t>
  </si>
  <si>
    <t>Labor - Kigali uneducated</t>
  </si>
  <si>
    <t>Labor - Kigali primary</t>
  </si>
  <si>
    <t>Labor - Kigali secondary</t>
  </si>
  <si>
    <t>Labor - Kigali tertiary</t>
  </si>
  <si>
    <t>Kigali - q1</t>
  </si>
  <si>
    <t>Kigali - q2</t>
  </si>
  <si>
    <t>Kigali - q3</t>
  </si>
  <si>
    <t>Kigali - q4</t>
  </si>
  <si>
    <t>Kigali - q5</t>
  </si>
  <si>
    <t>hhd-k1</t>
  </si>
  <si>
    <t>hhd-k2</t>
  </si>
  <si>
    <t>hhd-k3</t>
  </si>
  <si>
    <t>hhd-k4</t>
  </si>
  <si>
    <t>hhd-k5</t>
  </si>
  <si>
    <t>flab-kn</t>
  </si>
  <si>
    <t>flab-kp</t>
  </si>
  <si>
    <t>flab-ks</t>
  </si>
  <si>
    <t>flab-kt</t>
  </si>
  <si>
    <t>GDX index</t>
  </si>
  <si>
    <t>Type</t>
  </si>
  <si>
    <t>Name</t>
  </si>
  <si>
    <t>Location</t>
  </si>
  <si>
    <t>Row</t>
  </si>
  <si>
    <t>Column</t>
  </si>
  <si>
    <t>rdim</t>
  </si>
  <si>
    <t>cdim</t>
  </si>
  <si>
    <t>dset</t>
  </si>
  <si>
    <t>mac</t>
  </si>
  <si>
    <t>sets!a7</t>
  </si>
  <si>
    <t>ac</t>
  </si>
  <si>
    <t>sets!b7</t>
  </si>
  <si>
    <t>aac</t>
  </si>
  <si>
    <t>sets!c7</t>
  </si>
  <si>
    <t>a</t>
  </si>
  <si>
    <t>sets!d7</t>
  </si>
  <si>
    <t>aliv</t>
  </si>
  <si>
    <t>sets!e7</t>
  </si>
  <si>
    <t>amin</t>
  </si>
  <si>
    <t>sets!f7</t>
  </si>
  <si>
    <t>c</t>
  </si>
  <si>
    <t>sets!g7</t>
  </si>
  <si>
    <t xml:space="preserve">f    </t>
  </si>
  <si>
    <t>sets!h7</t>
  </si>
  <si>
    <t xml:space="preserve">flab  </t>
  </si>
  <si>
    <t>sets!i7</t>
  </si>
  <si>
    <t>sets!j7</t>
  </si>
  <si>
    <t xml:space="preserve">fcap  </t>
  </si>
  <si>
    <t>sets!k7</t>
  </si>
  <si>
    <t>h</t>
  </si>
  <si>
    <t>sets!l7</t>
  </si>
  <si>
    <t>t</t>
  </si>
  <si>
    <t>sets!m7</t>
  </si>
  <si>
    <t>food</t>
  </si>
  <si>
    <t>sets!n7</t>
  </si>
  <si>
    <t>set</t>
  </si>
  <si>
    <t>mapmac</t>
  </si>
  <si>
    <t>sets!q7</t>
  </si>
  <si>
    <t>values=nodata</t>
  </si>
  <si>
    <t>mapac</t>
  </si>
  <si>
    <t>sets!t7</t>
  </si>
  <si>
    <t>mapaacac</t>
  </si>
  <si>
    <t>sets!w7</t>
  </si>
  <si>
    <t>par</t>
  </si>
  <si>
    <t>facact</t>
  </si>
  <si>
    <t>miscfac</t>
  </si>
  <si>
    <t>hhdfac</t>
  </si>
  <si>
    <t>ownshr</t>
  </si>
  <si>
    <t>acthhd</t>
  </si>
  <si>
    <t>comhhd</t>
  </si>
  <si>
    <t>mischhd</t>
  </si>
  <si>
    <t>hhddata</t>
  </si>
  <si>
    <t>Sets</t>
  </si>
  <si>
    <t>Mappings</t>
  </si>
  <si>
    <t>b</t>
  </si>
  <si>
    <t>d</t>
  </si>
  <si>
    <t>e</t>
  </si>
  <si>
    <t>f</t>
  </si>
  <si>
    <t>g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</si>
  <si>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</si>
  <si>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</si>
  <si>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</si>
  <si>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</si>
  <si>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</si>
  <si>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</si>
  <si>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</si>
  <si>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</si>
  <si>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</si>
  <si>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</si>
  <si>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</si>
  <si>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u</t>
  </si>
  <si>
    <t>v</t>
  </si>
  <si>
    <t>w</t>
  </si>
  <si>
    <t>x</t>
  </si>
  <si>
    <t>y</t>
  </si>
  <si>
    <t>z</t>
  </si>
  <si>
    <t>Macro</t>
  </si>
  <si>
    <t>Micro accounts</t>
  </si>
  <si>
    <t>Activities</t>
  </si>
  <si>
    <t>Commodities</t>
  </si>
  <si>
    <t>Taxes</t>
  </si>
  <si>
    <t xml:space="preserve">Food </t>
  </si>
  <si>
    <t>Macro-micro accounts</t>
  </si>
  <si>
    <t>Activities-commodities</t>
  </si>
  <si>
    <t>National-all</t>
  </si>
  <si>
    <t>accounts</t>
  </si>
  <si>
    <t>All</t>
  </si>
  <si>
    <t>National</t>
  </si>
  <si>
    <t>Livestock</t>
  </si>
  <si>
    <t>Mining</t>
  </si>
  <si>
    <t>items</t>
  </si>
  <si>
    <t>MMAC</t>
  </si>
  <si>
    <t>MAC</t>
  </si>
  <si>
    <t>MAACAC</t>
  </si>
  <si>
    <t>AC</t>
  </si>
  <si>
    <t>AAC</t>
  </si>
  <si>
    <t>A</t>
  </si>
  <si>
    <t>ALIV</t>
  </si>
  <si>
    <t>AMIN</t>
  </si>
  <si>
    <t>C</t>
  </si>
  <si>
    <t xml:space="preserve">F    </t>
  </si>
  <si>
    <t xml:space="preserve">FLAB  </t>
  </si>
  <si>
    <t>FLND</t>
  </si>
  <si>
    <t xml:space="preserve">FCAP  </t>
  </si>
  <si>
    <t>H</t>
  </si>
  <si>
    <t>T</t>
  </si>
  <si>
    <t>FOOD</t>
  </si>
  <si>
    <t>mact</t>
  </si>
  <si>
    <t>amaiz</t>
  </si>
  <si>
    <t>acatt</t>
  </si>
  <si>
    <t>mcom</t>
  </si>
  <si>
    <t>asorg</t>
  </si>
  <si>
    <t>amilk</t>
  </si>
  <si>
    <t>mtrc</t>
  </si>
  <si>
    <t>arice</t>
  </si>
  <si>
    <t>apoul</t>
  </si>
  <si>
    <t>angas</t>
  </si>
  <si>
    <t>mlab</t>
  </si>
  <si>
    <t>awhea</t>
  </si>
  <si>
    <t>aeggs</t>
  </si>
  <si>
    <t>aomin</t>
  </si>
  <si>
    <t>mlnd</t>
  </si>
  <si>
    <t>aocer</t>
  </si>
  <si>
    <t>asmlr</t>
  </si>
  <si>
    <t>mcap</t>
  </si>
  <si>
    <t>aoliv</t>
  </si>
  <si>
    <t>ment</t>
  </si>
  <si>
    <t>agnut</t>
  </si>
  <si>
    <t>mhhd</t>
  </si>
  <si>
    <t>aoils</t>
  </si>
  <si>
    <t>mgov</t>
  </si>
  <si>
    <t>acass</t>
  </si>
  <si>
    <t>matx</t>
  </si>
  <si>
    <t>aipot</t>
  </si>
  <si>
    <t>mdtx</t>
  </si>
  <si>
    <t>aspot</t>
  </si>
  <si>
    <t>metx</t>
  </si>
  <si>
    <t>aroot</t>
  </si>
  <si>
    <t>mftx</t>
  </si>
  <si>
    <t>mmtx</t>
  </si>
  <si>
    <t>avege</t>
  </si>
  <si>
    <t>mstx</t>
  </si>
  <si>
    <t>asugr</t>
  </si>
  <si>
    <t>ms-i</t>
  </si>
  <si>
    <t>atoba</t>
  </si>
  <si>
    <t>mstk</t>
  </si>
  <si>
    <t>mrow</t>
  </si>
  <si>
    <t>mtot</t>
  </si>
  <si>
    <t>afrui</t>
  </si>
  <si>
    <t>ateal</t>
  </si>
  <si>
    <t>acoff</t>
  </si>
  <si>
    <t>aocrp</t>
  </si>
  <si>
    <t>afish</t>
  </si>
  <si>
    <t>afore</t>
  </si>
  <si>
    <t>ameat</t>
  </si>
  <si>
    <t>afsea</t>
  </si>
  <si>
    <t>adair</t>
  </si>
  <si>
    <t>afveg</t>
  </si>
  <si>
    <t>afoil</t>
  </si>
  <si>
    <t>agmll</t>
  </si>
  <si>
    <t>afood</t>
  </si>
  <si>
    <t>afeed</t>
  </si>
  <si>
    <t>abeve</t>
  </si>
  <si>
    <t>aptob</t>
  </si>
  <si>
    <t>atext</t>
  </si>
  <si>
    <t>awood</t>
  </si>
  <si>
    <t>apetr</t>
  </si>
  <si>
    <t>achem</t>
  </si>
  <si>
    <t>anmet</t>
  </si>
  <si>
    <t>ametl</t>
  </si>
  <si>
    <t>amach</t>
  </si>
  <si>
    <t>avehi</t>
  </si>
  <si>
    <t>aoman</t>
  </si>
  <si>
    <t>aelec</t>
  </si>
  <si>
    <t>awatr</t>
  </si>
  <si>
    <t>acons</t>
  </si>
  <si>
    <t>ahotl</t>
  </si>
  <si>
    <t>acomm</t>
  </si>
  <si>
    <t>areal</t>
  </si>
  <si>
    <t>apadm</t>
  </si>
  <si>
    <t>aeduc</t>
  </si>
  <si>
    <t>aheal</t>
  </si>
  <si>
    <t>aosrv</t>
  </si>
  <si>
    <t>abean</t>
  </si>
  <si>
    <t>apeas</t>
  </si>
  <si>
    <t>abanb</t>
  </si>
  <si>
    <t>abanc</t>
  </si>
  <si>
    <t>abans</t>
  </si>
  <si>
    <t>asoya</t>
  </si>
  <si>
    <t>apyre</t>
  </si>
  <si>
    <t>ahony</t>
  </si>
  <si>
    <t>ahunt</t>
  </si>
  <si>
    <t>afuel</t>
  </si>
  <si>
    <t>achar</t>
  </si>
  <si>
    <t>amore</t>
  </si>
  <si>
    <t>abake</t>
  </si>
  <si>
    <t>aalco</t>
  </si>
  <si>
    <t>aprnt</t>
  </si>
  <si>
    <t>aphar</t>
  </si>
  <si>
    <t>aprub</t>
  </si>
  <si>
    <t>aceme</t>
  </si>
  <si>
    <t>aclay</t>
  </si>
  <si>
    <t>afurn</t>
  </si>
  <si>
    <t>arepr</t>
  </si>
  <si>
    <t>awast</t>
  </si>
  <si>
    <t>acont</t>
  </si>
  <si>
    <t>avehr</t>
  </si>
  <si>
    <t>aveht</t>
  </si>
  <si>
    <t>atrdw</t>
  </si>
  <si>
    <t>atrdr</t>
  </si>
  <si>
    <t>atrnl</t>
  </si>
  <si>
    <t>atrna</t>
  </si>
  <si>
    <t>atrns</t>
  </si>
  <si>
    <t>apost</t>
  </si>
  <si>
    <t>apubl</t>
  </si>
  <si>
    <t>ainfo</t>
  </si>
  <si>
    <t>abank</t>
  </si>
  <si>
    <t>ainsu</t>
  </si>
  <si>
    <t>aofsv</t>
  </si>
  <si>
    <t>arent</t>
  </si>
  <si>
    <t>alegl</t>
  </si>
  <si>
    <t>aenga</t>
  </si>
  <si>
    <t>aprod</t>
  </si>
  <si>
    <t>atrvl</t>
  </si>
  <si>
    <t>aobsv</t>
  </si>
  <si>
    <t>asocw</t>
  </si>
  <si>
    <t>acult</t>
  </si>
  <si>
    <t>aarts</t>
  </si>
  <si>
    <t>adsrv</t>
  </si>
  <si>
    <t>atrdc</t>
  </si>
  <si>
    <t>mctx</t>
  </si>
  <si>
    <t>mvtx</t>
  </si>
  <si>
    <t>mxtx</t>
  </si>
  <si>
    <t>mg-i</t>
  </si>
  <si>
    <t>g-i</t>
  </si>
  <si>
    <t>Factor income generation</t>
  </si>
  <si>
    <t>Disaggregated factors' share of national aggregate factor value-added</t>
  </si>
  <si>
    <t>FACACT</t>
  </si>
  <si>
    <t>Rural uneducated</t>
  </si>
  <si>
    <t>Rural primary</t>
  </si>
  <si>
    <t>Rural secondary</t>
  </si>
  <si>
    <t>Rural tertiary</t>
  </si>
  <si>
    <t>Urban uneducated</t>
  </si>
  <si>
    <t>Urban primary</t>
  </si>
  <si>
    <t>Urban secondary</t>
  </si>
  <si>
    <t>Urban tertiary</t>
  </si>
  <si>
    <t>Crops</t>
  </si>
  <si>
    <t>Other</t>
  </si>
  <si>
    <t>Kigali uneducated</t>
  </si>
  <si>
    <t>Kigali primary</t>
  </si>
  <si>
    <t>Kigali secondary</t>
  </si>
  <si>
    <t>Kigali tertiary</t>
  </si>
  <si>
    <t>Miscellaneous factor accounts</t>
  </si>
  <si>
    <t>Disaggregated factors' income and expenditure shares</t>
  </si>
  <si>
    <t>MISCFAC</t>
  </si>
  <si>
    <t>Expenditure shares (sums to 1)</t>
  </si>
  <si>
    <t>Income shares (need not sum to 1)</t>
  </si>
  <si>
    <t>Factor taxes</t>
  </si>
  <si>
    <t>exp</t>
  </si>
  <si>
    <t>inc</t>
  </si>
  <si>
    <t>Factor payments to households</t>
  </si>
  <si>
    <t>Share of factor incomes distributed to different households</t>
  </si>
  <si>
    <t>HHDFAC</t>
  </si>
  <si>
    <t>Household own consumption</t>
  </si>
  <si>
    <t>Households' share of own consumption</t>
  </si>
  <si>
    <t>ACTHHD</t>
  </si>
  <si>
    <t>Own consumption share of</t>
  </si>
  <si>
    <t>Urban</t>
  </si>
  <si>
    <t>total household consumption</t>
  </si>
  <si>
    <t>OWNSHR</t>
  </si>
  <si>
    <t>Household market consumption</t>
  </si>
  <si>
    <t>Households' share of marketed consumption</t>
  </si>
  <si>
    <t>COMHHD</t>
  </si>
  <si>
    <t>Miscellaneous household accounts</t>
  </si>
  <si>
    <t>Disaggregated households' income and expenditure shares</t>
  </si>
  <si>
    <t>MISCHHD</t>
  </si>
  <si>
    <t>Income shares (sums to 1)</t>
  </si>
  <si>
    <t>Consumption</t>
  </si>
  <si>
    <t>Direct taxes</t>
  </si>
  <si>
    <t>Savings</t>
  </si>
  <si>
    <t>Survey data</t>
  </si>
  <si>
    <t>fac</t>
  </si>
  <si>
    <t>con</t>
  </si>
  <si>
    <t>tcons</t>
  </si>
  <si>
    <t>pop</t>
  </si>
  <si>
    <t>fa!b7</t>
  </si>
  <si>
    <t>mf!b6</t>
  </si>
  <si>
    <t>hf!b7</t>
  </si>
  <si>
    <t>ah!b8</t>
  </si>
  <si>
    <t>ah!f7</t>
  </si>
  <si>
    <t>ch!b7</t>
  </si>
  <si>
    <t>mh!b6</t>
  </si>
  <si>
    <t>mh!t7</t>
  </si>
  <si>
    <t>Data tables extracted from household and labor force surveys</t>
  </si>
  <si>
    <t>Final shares</t>
  </si>
  <si>
    <t>Shares</t>
  </si>
  <si>
    <t>None</t>
  </si>
  <si>
    <t>Primary</t>
  </si>
  <si>
    <t>Secondary</t>
  </si>
  <si>
    <t>Tertiary</t>
  </si>
  <si>
    <t>Rural</t>
  </si>
  <si>
    <t>Selected</t>
  </si>
  <si>
    <t>Scaled</t>
  </si>
  <si>
    <t>Adjustment factors</t>
  </si>
  <si>
    <t>Assigned to sectors</t>
  </si>
  <si>
    <t>Adjusted values</t>
  </si>
  <si>
    <t>Use which sector?</t>
  </si>
  <si>
    <t>Aggregate to which sectors?</t>
  </si>
  <si>
    <t>Selected sector data sources</t>
  </si>
  <si>
    <t>Wages</t>
  </si>
  <si>
    <t>Survey data table - Labor wages</t>
  </si>
  <si>
    <t>Household survey (act_wage)</t>
  </si>
  <si>
    <t>Scaling</t>
  </si>
  <si>
    <t>Original</t>
  </si>
  <si>
    <t>Survey data table - Nonfarm enterprises earnings</t>
  </si>
  <si>
    <t>Household survey (act_entr)</t>
  </si>
  <si>
    <t>Survey data table - Crop earnings</t>
  </si>
  <si>
    <t>Household survey (act_crop)</t>
  </si>
  <si>
    <t>Survey data table - Livestock earnings</t>
  </si>
  <si>
    <t>Household survey (act_live)</t>
  </si>
  <si>
    <t>samdesc</t>
  </si>
  <si>
    <t>flab11</t>
  </si>
  <si>
    <t>flab12</t>
  </si>
  <si>
    <t>flab13</t>
  </si>
  <si>
    <t>flab14</t>
  </si>
  <si>
    <t>flab21</t>
  </si>
  <si>
    <t>flab22</t>
  </si>
  <si>
    <t>flab23</t>
  </si>
  <si>
    <t>flab24</t>
  </si>
  <si>
    <t>flab31</t>
  </si>
  <si>
    <t>flab32</t>
  </si>
  <si>
    <t>flab33</t>
  </si>
  <si>
    <t>flab34</t>
  </si>
  <si>
    <t>Labor force survey (act_wage)</t>
  </si>
  <si>
    <t>Combined data</t>
  </si>
  <si>
    <t>Education levels</t>
  </si>
  <si>
    <t>Kigali</t>
  </si>
  <si>
    <t>Own consumption share of total consumption</t>
  </si>
  <si>
    <t>Survey data table - Own consumption values</t>
  </si>
  <si>
    <t>Household survey (acthhd)</t>
  </si>
  <si>
    <t>Assigned values</t>
  </si>
  <si>
    <t>hhd111</t>
  </si>
  <si>
    <t>hhd112</t>
  </si>
  <si>
    <t>hhd113</t>
  </si>
  <si>
    <t>hhd114</t>
  </si>
  <si>
    <t>hhd115</t>
  </si>
  <si>
    <t>hhd121</t>
  </si>
  <si>
    <t>hhd122</t>
  </si>
  <si>
    <t>hhd123</t>
  </si>
  <si>
    <t>hhd124</t>
  </si>
  <si>
    <t>hhd125</t>
  </si>
  <si>
    <t>hhd221</t>
  </si>
  <si>
    <t>hhd222</t>
  </si>
  <si>
    <t>hhd223</t>
  </si>
  <si>
    <t>hhd224</t>
  </si>
  <si>
    <t>hhd225</t>
  </si>
  <si>
    <t>hhd321</t>
  </si>
  <si>
    <t>hhd322</t>
  </si>
  <si>
    <t>hhd323</t>
  </si>
  <si>
    <t>hhd324</t>
  </si>
  <si>
    <t>hhd325</t>
  </si>
  <si>
    <t>Home</t>
  </si>
  <si>
    <t>Scale</t>
  </si>
  <si>
    <t>Survey</t>
  </si>
  <si>
    <t>Imposed</t>
  </si>
  <si>
    <t>Survey data table - Marketed consumption values</t>
  </si>
  <si>
    <t>Household survey (comhhd)</t>
  </si>
  <si>
    <t>Marketed</t>
  </si>
  <si>
    <t>Own</t>
  </si>
  <si>
    <t>Market</t>
  </si>
  <si>
    <t>Food</t>
  </si>
  <si>
    <t>Proc food</t>
  </si>
  <si>
    <t>Pop.</t>
  </si>
  <si>
    <t xml:space="preserve">   Cons pc</t>
  </si>
  <si>
    <t>Consumption analysis table</t>
  </si>
  <si>
    <t>Q1</t>
  </si>
  <si>
    <t>Q2</t>
  </si>
  <si>
    <t>Q3</t>
  </si>
  <si>
    <t>Q4</t>
  </si>
  <si>
    <t>Q5</t>
  </si>
  <si>
    <t>Checking for overlapping average consumption between quintiles</t>
  </si>
  <si>
    <t>Farm</t>
  </si>
  <si>
    <t>Nonfarm</t>
  </si>
  <si>
    <t xml:space="preserve">   Food %</t>
  </si>
  <si>
    <t xml:space="preserve">   Processed food %</t>
  </si>
  <si>
    <t>Own consumption %</t>
  </si>
  <si>
    <t>Factor income payments to households</t>
  </si>
  <si>
    <t>Assigned value</t>
  </si>
  <si>
    <t>Survey data table - Household wage income</t>
  </si>
  <si>
    <t>Household survey (hhdwage)</t>
  </si>
  <si>
    <t>Survey data table - Household enterprise income</t>
  </si>
  <si>
    <t>Household survey (hhdentr)</t>
  </si>
  <si>
    <t>Survey data table - Household crop income</t>
  </si>
  <si>
    <t>Household survey (hhdcrop)</t>
  </si>
  <si>
    <t>Survey data table - Household livestock income</t>
  </si>
  <si>
    <t>Household survey (hhdlive)</t>
  </si>
  <si>
    <t>hhddesc</t>
  </si>
  <si>
    <t>hhd_f1</t>
  </si>
  <si>
    <t>hhd_f2</t>
  </si>
  <si>
    <t>hhd_f3</t>
  </si>
  <si>
    <t>hhd_f4</t>
  </si>
  <si>
    <t>hhd_f5</t>
  </si>
  <si>
    <t>hhd_n1</t>
  </si>
  <si>
    <t>hhd_n2</t>
  </si>
  <si>
    <t>hhd_n3</t>
  </si>
  <si>
    <t>hhd_n4</t>
  </si>
  <si>
    <t>hhd_n5</t>
  </si>
  <si>
    <t>hhd_u1</t>
  </si>
  <si>
    <t>hhd_u2</t>
  </si>
  <si>
    <t>hhd_u3</t>
  </si>
  <si>
    <t>hhd_u4</t>
  </si>
  <si>
    <t>hhd_u5</t>
  </si>
  <si>
    <t>hhd_k1</t>
  </si>
  <si>
    <t>hhd_k2</t>
  </si>
  <si>
    <t>hhd_k3</t>
  </si>
  <si>
    <t>hhd_k4</t>
  </si>
  <si>
    <t>hhd_k5</t>
  </si>
  <si>
    <t>Miscellaneous factor incomes and expenditures</t>
  </si>
  <si>
    <t>Final</t>
  </si>
  <si>
    <t>Adjustment factor</t>
  </si>
  <si>
    <t>External data</t>
  </si>
  <si>
    <t>Non-farm</t>
  </si>
  <si>
    <t>Diff</t>
  </si>
  <si>
    <t>Total consumption</t>
  </si>
  <si>
    <t>Captured above</t>
  </si>
  <si>
    <t>Survey data table - Household population</t>
  </si>
  <si>
    <t>Household survey (hhdpop)</t>
  </si>
  <si>
    <t>pw</t>
  </si>
  <si>
    <t>hw</t>
  </si>
  <si>
    <t>Survey data table - Misc household incomes and expenditures</t>
  </si>
  <si>
    <t>Household survey (hhdmisc)</t>
  </si>
  <si>
    <t>misc1</t>
  </si>
  <si>
    <t>misc2</t>
  </si>
  <si>
    <t>misc3</t>
  </si>
  <si>
    <t>misc4</t>
  </si>
  <si>
    <t>misc5</t>
  </si>
  <si>
    <t>misc6</t>
  </si>
  <si>
    <t>misc7</t>
  </si>
  <si>
    <t>misc8</t>
  </si>
  <si>
    <t>misc9</t>
  </si>
  <si>
    <t>misc10</t>
  </si>
  <si>
    <t>misc11</t>
  </si>
  <si>
    <t>misc12</t>
  </si>
  <si>
    <t>misc13</t>
  </si>
  <si>
    <t>misc14</t>
  </si>
  <si>
    <t>misc15</t>
  </si>
  <si>
    <t>misc16</t>
  </si>
  <si>
    <t>misc17</t>
  </si>
  <si>
    <t>misc18</t>
  </si>
  <si>
    <t>misc19</t>
  </si>
  <si>
    <t>misc20</t>
  </si>
  <si>
    <t>misc21</t>
  </si>
  <si>
    <t>misc22</t>
  </si>
  <si>
    <t>misc23</t>
  </si>
  <si>
    <t>misc24</t>
  </si>
  <si>
    <t>misc25</t>
  </si>
  <si>
    <t>The Rwanda Social Security Board"</t>
  </si>
  <si>
    <t>Other benefits to the household  - e.g. NGOs (Specify)"</t>
  </si>
  <si>
    <t xml:space="preserve">cash and food transfers received"                                                         </t>
  </si>
  <si>
    <t>Payments for medical treatment"</t>
  </si>
  <si>
    <t>Pension from  the private sector"</t>
  </si>
  <si>
    <t xml:space="preserve">amount received from land rental"                                           </t>
  </si>
  <si>
    <t>Old Age Grant"</t>
  </si>
  <si>
    <t>Private savings fund (private sector)"</t>
  </si>
  <si>
    <t xml:space="preserve">amount received from agr. equipment rental" </t>
  </si>
  <si>
    <t>The Genocide Survivors Support and Assistance Fund (FARG)"</t>
  </si>
  <si>
    <t>Insurance  dividends"</t>
  </si>
  <si>
    <t>VUP, UBUDEHE direct suppport over the last 12 months"</t>
  </si>
  <si>
    <t>Local government education  support"</t>
  </si>
  <si>
    <t>Dowry, contribution to wedding or inheritance"</t>
  </si>
  <si>
    <t>Payment to hh over the last 12 months"</t>
  </si>
  <si>
    <t>Educational scholarships (primary, secondary, university, TV"</t>
  </si>
  <si>
    <t>Gambling â Lottery â Tombola"</t>
  </si>
  <si>
    <t>The Rwanda Demobilization and Reintegration Commission (RDRC"</t>
  </si>
  <si>
    <t>Sale of  fixed / non fixed assets"</t>
  </si>
  <si>
    <t>Food relief"</t>
  </si>
  <si>
    <t>Property rent (Fixed or non-fixed assets)"</t>
  </si>
  <si>
    <t>Allowance for  dismissal or termination  of employment"</t>
  </si>
  <si>
    <t>NGO/ Charity contribution to education costs"</t>
  </si>
  <si>
    <t>Government donations of goods (Telephones, bicycles, mosquit"</t>
  </si>
  <si>
    <t>Other benefits (specify..)"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</si>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</sst>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 tint="-0.49995422223578601"/>
      <name val="Calibri"/>
      <family val="2"/>
      <scheme val="minor"/>
    </font>
    <font>
      <sz val="11"/>
      <color theme="0" tint="-0.4999542222357860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9"/>
      <color theme="0" tint="-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7" tint="0.59999389629810485"/>
      </left>
      <right/>
      <top style="thin">
        <color theme="7" tint="0.59999389629810485"/>
      </top>
      <bottom/>
      <diagonal/>
    </border>
    <border>
      <left/>
      <right/>
      <top style="thin">
        <color theme="7" tint="0.59999389629810485"/>
      </top>
      <bottom/>
      <diagonal/>
    </border>
    <border>
      <left/>
      <right style="thin">
        <color theme="7" tint="0.59999389629810485"/>
      </right>
      <top style="thin">
        <color theme="7" tint="0.59999389629810485"/>
      </top>
      <bottom/>
      <diagonal/>
    </border>
    <border>
      <left style="thin">
        <color theme="7" tint="0.59999389629810485"/>
      </left>
      <right/>
      <top/>
      <bottom/>
      <diagonal/>
    </border>
    <border>
      <left/>
      <right style="thin">
        <color theme="7" tint="0.59999389629810485"/>
      </right>
      <top/>
      <bottom/>
      <diagonal/>
    </border>
    <border>
      <left style="thin">
        <color theme="7" tint="0.59999389629810485"/>
      </left>
      <right/>
      <top/>
      <bottom style="thin">
        <color theme="7" tint="0.59999389629810485"/>
      </bottom>
      <diagonal/>
    </border>
    <border>
      <left/>
      <right/>
      <top/>
      <bottom style="thin">
        <color theme="7" tint="0.59999389629810485"/>
      </bottom>
      <diagonal/>
    </border>
    <border>
      <left/>
      <right style="thin">
        <color theme="7" tint="0.59999389629810485"/>
      </right>
      <top/>
      <bottom style="thin">
        <color theme="7" tint="0.59999389629810485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7" tint="0.59999389629810485"/>
      </left>
      <right/>
      <top style="thin">
        <color theme="7" tint="0.59999389629810485"/>
      </top>
      <bottom style="thin">
        <color theme="7" tint="0.59999389629810485"/>
      </bottom>
      <diagonal/>
    </border>
    <border>
      <left/>
      <right/>
      <top style="thin">
        <color theme="7" tint="0.59999389629810485"/>
      </top>
      <bottom style="thin">
        <color theme="7" tint="0.59999389629810485"/>
      </bottom>
      <diagonal/>
    </border>
    <border>
      <left/>
      <right style="thin">
        <color theme="7" tint="0.59999389629810485"/>
      </right>
      <top style="thin">
        <color theme="7" tint="0.59999389629810485"/>
      </top>
      <bottom style="thin">
        <color theme="7" tint="0.59999389629810485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0">
    <xf numFmtId="0" fontId="0" fillId="0" borderId="0" xfId="0"/>
    <xf numFmtId="0" fontId="3" fillId="2" borderId="0" xfId="0" applyFont="1" applyFill="1"/>
    <xf numFmtId="0" fontId="0" fillId="2" borderId="0" xfId="0" applyFill="1"/>
    <xf numFmtId="0" fontId="4" fillId="2" borderId="0" xfId="0" applyFont="1" applyFill="1"/>
    <xf numFmtId="0" fontId="2" fillId="2" borderId="0" xfId="0" applyFont="1" applyFill="1"/>
    <xf numFmtId="0" fontId="0" fillId="3" borderId="1" xfId="0" applyFill="1" applyBorder="1" applyAlignment="1">
      <alignment horizontal="center"/>
    </xf>
    <xf numFmtId="0" fontId="5" fillId="2" borderId="0" xfId="0" applyFont="1" applyFill="1"/>
    <xf numFmtId="0" fontId="2" fillId="2" borderId="0" xfId="0" applyFont="1" applyFill="1" applyAlignment="1">
      <alignment vertical="top"/>
    </xf>
    <xf numFmtId="0" fontId="0" fillId="2" borderId="0" xfId="0" applyFill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4" fontId="0" fillId="0" borderId="0" xfId="0" applyNumberFormat="1"/>
    <xf numFmtId="4" fontId="0" fillId="0" borderId="2" xfId="0" applyNumberFormat="1" applyBorder="1"/>
    <xf numFmtId="4" fontId="0" fillId="0" borderId="3" xfId="0" applyNumberFormat="1" applyBorder="1"/>
    <xf numFmtId="0" fontId="0" fillId="0" borderId="2" xfId="0" applyBorder="1"/>
    <xf numFmtId="4" fontId="0" fillId="0" borderId="0" xfId="1" applyNumberFormat="1" applyFont="1"/>
    <xf numFmtId="3" fontId="0" fillId="0" borderId="0" xfId="0" applyNumberFormat="1"/>
    <xf numFmtId="3" fontId="0" fillId="3" borderId="0" xfId="0" applyNumberFormat="1" applyFill="1"/>
    <xf numFmtId="3" fontId="0" fillId="4" borderId="0" xfId="0" applyNumberFormat="1" applyFill="1"/>
    <xf numFmtId="0" fontId="13" fillId="2" borderId="0" xfId="0" applyFont="1" applyFill="1"/>
    <xf numFmtId="0" fontId="6" fillId="2" borderId="0" xfId="0" applyFont="1" applyFill="1"/>
    <xf numFmtId="0" fontId="9" fillId="2" borderId="0" xfId="0" applyFont="1" applyFill="1" applyAlignment="1">
      <alignment horizontal="center"/>
    </xf>
    <xf numFmtId="0" fontId="10" fillId="2" borderId="0" xfId="0" applyFont="1" applyFill="1"/>
    <xf numFmtId="0" fontId="12" fillId="2" borderId="0" xfId="0" applyFont="1" applyFill="1"/>
    <xf numFmtId="0" fontId="11" fillId="2" borderId="0" xfId="0" applyFont="1" applyFill="1"/>
    <xf numFmtId="0" fontId="9" fillId="2" borderId="0" xfId="0" applyFont="1" applyFill="1"/>
    <xf numFmtId="3" fontId="9" fillId="2" borderId="0" xfId="0" applyNumberFormat="1" applyFont="1" applyFill="1"/>
    <xf numFmtId="164" fontId="0" fillId="2" borderId="2" xfId="0" applyNumberFormat="1" applyFill="1" applyBorder="1"/>
    <xf numFmtId="3" fontId="0" fillId="2" borderId="2" xfId="0" applyNumberFormat="1" applyFill="1" applyBorder="1"/>
    <xf numFmtId="4" fontId="7" fillId="2" borderId="0" xfId="1" applyNumberFormat="1" applyFont="1" applyFill="1"/>
    <xf numFmtId="164" fontId="5" fillId="2" borderId="2" xfId="1" applyNumberFormat="1" applyFont="1" applyFill="1" applyBorder="1"/>
    <xf numFmtId="164" fontId="5" fillId="2" borderId="0" xfId="1" applyNumberFormat="1" applyFont="1" applyFill="1"/>
    <xf numFmtId="164" fontId="5" fillId="2" borderId="2" xfId="0" applyNumberFormat="1" applyFont="1" applyFill="1" applyBorder="1"/>
    <xf numFmtId="164" fontId="5" fillId="2" borderId="0" xfId="0" applyNumberFormat="1" applyFont="1" applyFill="1" applyBorder="1"/>
    <xf numFmtId="2" fontId="0" fillId="2" borderId="2" xfId="0" applyNumberFormat="1" applyFill="1" applyBorder="1"/>
    <xf numFmtId="3" fontId="8" fillId="2" borderId="0" xfId="0" applyNumberFormat="1" applyFont="1" applyFill="1"/>
    <xf numFmtId="3" fontId="8" fillId="2" borderId="0" xfId="0" applyNumberFormat="1" applyFont="1" applyFill="1" applyAlignment="1">
      <alignment horizontal="right"/>
    </xf>
    <xf numFmtId="164" fontId="0" fillId="5" borderId="4" xfId="0" applyNumberFormat="1" applyFill="1" applyBorder="1"/>
    <xf numFmtId="164" fontId="0" fillId="5" borderId="5" xfId="0" applyNumberFormat="1" applyFill="1" applyBorder="1"/>
    <xf numFmtId="164" fontId="0" fillId="5" borderId="6" xfId="0" applyNumberFormat="1" applyFill="1" applyBorder="1"/>
    <xf numFmtId="164" fontId="0" fillId="5" borderId="7" xfId="0" applyNumberFormat="1" applyFill="1" applyBorder="1"/>
    <xf numFmtId="164" fontId="0" fillId="2" borderId="0" xfId="0" applyNumberFormat="1" applyFill="1" applyBorder="1"/>
    <xf numFmtId="164" fontId="0" fillId="2" borderId="8" xfId="0" applyNumberFormat="1" applyFill="1" applyBorder="1"/>
    <xf numFmtId="164" fontId="0" fillId="5" borderId="9" xfId="0" applyNumberFormat="1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164" fontId="0" fillId="5" borderId="12" xfId="0" applyNumberFormat="1" applyFill="1" applyBorder="1"/>
    <xf numFmtId="164" fontId="0" fillId="2" borderId="13" xfId="0" applyNumberFormat="1" applyFill="1" applyBorder="1"/>
    <xf numFmtId="0" fontId="5" fillId="5" borderId="12" xfId="0" applyFont="1" applyFill="1" applyBorder="1"/>
    <xf numFmtId="0" fontId="5" fillId="5" borderId="5" xfId="0" applyFont="1" applyFill="1" applyBorder="1"/>
    <xf numFmtId="0" fontId="5" fillId="5" borderId="6" xfId="0" applyFont="1" applyFill="1" applyBorder="1"/>
    <xf numFmtId="164" fontId="5" fillId="2" borderId="0" xfId="1" applyNumberFormat="1" applyFont="1" applyFill="1" applyBorder="1"/>
    <xf numFmtId="2" fontId="0" fillId="2" borderId="8" xfId="0" applyNumberFormat="1" applyFill="1" applyBorder="1"/>
    <xf numFmtId="164" fontId="5" fillId="2" borderId="13" xfId="1" applyNumberFormat="1" applyFont="1" applyFill="1" applyBorder="1"/>
    <xf numFmtId="164" fontId="5" fillId="2" borderId="10" xfId="1" applyNumberFormat="1" applyFont="1" applyFill="1" applyBorder="1"/>
    <xf numFmtId="164" fontId="5" fillId="2" borderId="13" xfId="0" applyNumberFormat="1" applyFont="1" applyFill="1" applyBorder="1"/>
    <xf numFmtId="164" fontId="5" fillId="2" borderId="10" xfId="0" applyNumberFormat="1" applyFont="1" applyFill="1" applyBorder="1"/>
    <xf numFmtId="0" fontId="5" fillId="2" borderId="10" xfId="0" applyFont="1" applyFill="1" applyBorder="1"/>
    <xf numFmtId="2" fontId="0" fillId="2" borderId="13" xfId="0" applyNumberFormat="1" applyFill="1" applyBorder="1"/>
    <xf numFmtId="2" fontId="0" fillId="2" borderId="11" xfId="0" applyNumberFormat="1" applyFill="1" applyBorder="1"/>
    <xf numFmtId="2" fontId="0" fillId="2" borderId="0" xfId="0" applyNumberFormat="1" applyFill="1" applyBorder="1"/>
    <xf numFmtId="2" fontId="0" fillId="2" borderId="10" xfId="0" applyNumberFormat="1" applyFill="1" applyBorder="1"/>
    <xf numFmtId="3" fontId="0" fillId="5" borderId="5" xfId="0" applyNumberFormat="1" applyFill="1" applyBorder="1"/>
    <xf numFmtId="3" fontId="0" fillId="5" borderId="12" xfId="0" applyNumberFormat="1" applyFill="1" applyBorder="1"/>
    <xf numFmtId="3" fontId="0" fillId="5" borderId="6" xfId="0" applyNumberFormat="1" applyFill="1" applyBorder="1"/>
    <xf numFmtId="3" fontId="0" fillId="2" borderId="0" xfId="0" applyNumberFormat="1" applyFill="1" applyBorder="1"/>
    <xf numFmtId="3" fontId="0" fillId="2" borderId="8" xfId="0" applyNumberFormat="1" applyFill="1" applyBorder="1"/>
    <xf numFmtId="3" fontId="0" fillId="2" borderId="10" xfId="0" applyNumberFormat="1" applyFill="1" applyBorder="1"/>
    <xf numFmtId="3" fontId="0" fillId="2" borderId="13" xfId="0" applyNumberFormat="1" applyFill="1" applyBorder="1"/>
    <xf numFmtId="3" fontId="0" fillId="2" borderId="11" xfId="0" applyNumberFormat="1" applyFill="1" applyBorder="1"/>
    <xf numFmtId="3" fontId="0" fillId="2" borderId="4" xfId="0" applyNumberFormat="1" applyFill="1" applyBorder="1"/>
    <xf numFmtId="3" fontId="0" fillId="2" borderId="5" xfId="0" applyNumberFormat="1" applyFill="1" applyBorder="1"/>
    <xf numFmtId="3" fontId="0" fillId="2" borderId="12" xfId="0" applyNumberFormat="1" applyFill="1" applyBorder="1"/>
    <xf numFmtId="3" fontId="0" fillId="2" borderId="6" xfId="0" applyNumberFormat="1" applyFill="1" applyBorder="1"/>
    <xf numFmtId="3" fontId="0" fillId="2" borderId="7" xfId="0" applyNumberFormat="1" applyFill="1" applyBorder="1"/>
    <xf numFmtId="3" fontId="0" fillId="2" borderId="9" xfId="0" applyNumberFormat="1" applyFill="1" applyBorder="1"/>
    <xf numFmtId="0" fontId="9" fillId="5" borderId="4" xfId="0" applyFont="1" applyFill="1" applyBorder="1"/>
    <xf numFmtId="3" fontId="9" fillId="5" borderId="5" xfId="1" applyNumberFormat="1" applyFont="1" applyFill="1" applyBorder="1"/>
    <xf numFmtId="3" fontId="9" fillId="5" borderId="6" xfId="1" applyNumberFormat="1" applyFont="1" applyFill="1" applyBorder="1"/>
    <xf numFmtId="3" fontId="8" fillId="5" borderId="7" xfId="0" applyNumberFormat="1" applyFont="1" applyFill="1" applyBorder="1"/>
    <xf numFmtId="9" fontId="9" fillId="2" borderId="0" xfId="1" applyFont="1" applyFill="1" applyBorder="1" applyAlignment="1">
      <alignment horizontal="center"/>
    </xf>
    <xf numFmtId="0" fontId="0" fillId="2" borderId="0" xfId="0" applyFill="1" applyBorder="1"/>
    <xf numFmtId="9" fontId="9" fillId="2" borderId="8" xfId="1" applyFont="1" applyFill="1" applyBorder="1" applyAlignment="1">
      <alignment horizontal="center"/>
    </xf>
    <xf numFmtId="3" fontId="8" fillId="5" borderId="9" xfId="0" applyNumberFormat="1" applyFont="1" applyFill="1" applyBorder="1"/>
    <xf numFmtId="9" fontId="9" fillId="2" borderId="10" xfId="1" applyFont="1" applyFill="1" applyBorder="1" applyAlignment="1">
      <alignment horizontal="center"/>
    </xf>
    <xf numFmtId="0" fontId="0" fillId="2" borderId="10" xfId="0" applyFill="1" applyBorder="1"/>
    <xf numFmtId="9" fontId="9" fillId="2" borderId="11" xfId="1" applyFont="1" applyFill="1" applyBorder="1" applyAlignment="1">
      <alignment horizontal="center"/>
    </xf>
    <xf numFmtId="4" fontId="9" fillId="2" borderId="14" xfId="1" applyNumberFormat="1" applyFont="1" applyFill="1" applyBorder="1" applyAlignment="1">
      <alignment horizontal="center"/>
    </xf>
    <xf numFmtId="3" fontId="0" fillId="4" borderId="15" xfId="0" applyNumberFormat="1" applyFill="1" applyBorder="1"/>
    <xf numFmtId="3" fontId="0" fillId="4" borderId="16" xfId="0" applyNumberFormat="1" applyFill="1" applyBorder="1"/>
    <xf numFmtId="3" fontId="0" fillId="4" borderId="17" xfId="0" applyNumberFormat="1" applyFill="1" applyBorder="1"/>
    <xf numFmtId="3" fontId="0" fillId="4" borderId="18" xfId="0" applyNumberFormat="1" applyFill="1" applyBorder="1"/>
    <xf numFmtId="3" fontId="0" fillId="3" borderId="0" xfId="0" applyNumberFormat="1" applyFill="1" applyBorder="1"/>
    <xf numFmtId="3" fontId="0" fillId="3" borderId="19" xfId="0" applyNumberFormat="1" applyFill="1" applyBorder="1"/>
    <xf numFmtId="3" fontId="0" fillId="4" borderId="20" xfId="0" applyNumberFormat="1" applyFill="1" applyBorder="1"/>
    <xf numFmtId="3" fontId="0" fillId="3" borderId="21" xfId="0" applyNumberFormat="1" applyFill="1" applyBorder="1"/>
    <xf numFmtId="3" fontId="0" fillId="3" borderId="22" xfId="0" applyNumberFormat="1" applyFill="1" applyBorder="1"/>
    <xf numFmtId="164" fontId="0" fillId="2" borderId="6" xfId="0" applyNumberFormat="1" applyFill="1" applyBorder="1"/>
    <xf numFmtId="0" fontId="14" fillId="2" borderId="0" xfId="0" applyFont="1" applyFill="1"/>
    <xf numFmtId="0" fontId="15" fillId="2" borderId="0" xfId="0" applyFont="1" applyFill="1"/>
    <xf numFmtId="3" fontId="0" fillId="5" borderId="4" xfId="0" applyNumberFormat="1" applyFill="1" applyBorder="1"/>
    <xf numFmtId="164" fontId="0" fillId="4" borderId="15" xfId="0" applyNumberFormat="1" applyFill="1" applyBorder="1"/>
    <xf numFmtId="164" fontId="0" fillId="4" borderId="18" xfId="0" applyNumberFormat="1" applyFill="1" applyBorder="1"/>
    <xf numFmtId="164" fontId="0" fillId="4" borderId="20" xfId="0" applyNumberFormat="1" applyFill="1" applyBorder="1"/>
    <xf numFmtId="3" fontId="0" fillId="3" borderId="18" xfId="0" applyNumberFormat="1" applyFill="1" applyBorder="1"/>
    <xf numFmtId="3" fontId="0" fillId="3" borderId="20" xfId="0" applyNumberFormat="1" applyFill="1" applyBorder="1"/>
    <xf numFmtId="165" fontId="9" fillId="2" borderId="0" xfId="0" applyNumberFormat="1" applyFont="1" applyFill="1"/>
    <xf numFmtId="164" fontId="0" fillId="2" borderId="0" xfId="1" applyNumberFormat="1" applyFont="1" applyFill="1" applyBorder="1"/>
    <xf numFmtId="164" fontId="0" fillId="2" borderId="7" xfId="1" applyNumberFormat="1" applyFont="1" applyFill="1" applyBorder="1"/>
    <xf numFmtId="164" fontId="0" fillId="2" borderId="8" xfId="1" applyNumberFormat="1" applyFont="1" applyFill="1" applyBorder="1"/>
    <xf numFmtId="164" fontId="0" fillId="2" borderId="10" xfId="1" applyNumberFormat="1" applyFont="1" applyFill="1" applyBorder="1"/>
    <xf numFmtId="164" fontId="0" fillId="2" borderId="9" xfId="1" applyNumberFormat="1" applyFont="1" applyFill="1" applyBorder="1"/>
    <xf numFmtId="164" fontId="0" fillId="2" borderId="11" xfId="1" applyNumberFormat="1" applyFont="1" applyFill="1" applyBorder="1"/>
    <xf numFmtId="164" fontId="16" fillId="2" borderId="0" xfId="0" applyNumberFormat="1" applyFont="1" applyFill="1" applyAlignment="1">
      <alignment horizontal="left"/>
    </xf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3" fontId="5" fillId="2" borderId="0" xfId="0" applyNumberFormat="1" applyFont="1" applyFill="1"/>
    <xf numFmtId="164" fontId="0" fillId="0" borderId="0" xfId="1" applyNumberFormat="1" applyFont="1"/>
    <xf numFmtId="164" fontId="0" fillId="5" borderId="23" xfId="0" applyNumberFormat="1" applyFill="1" applyBorder="1"/>
    <xf numFmtId="2" fontId="0" fillId="2" borderId="7" xfId="0" applyNumberFormat="1" applyFill="1" applyBorder="1"/>
    <xf numFmtId="2" fontId="0" fillId="2" borderId="24" xfId="0" applyNumberFormat="1" applyFill="1" applyBorder="1"/>
    <xf numFmtId="2" fontId="0" fillId="2" borderId="5" xfId="0" applyNumberFormat="1" applyFill="1" applyBorder="1"/>
    <xf numFmtId="2" fontId="0" fillId="2" borderId="4" xfId="0" applyNumberFormat="1" applyFill="1" applyBorder="1"/>
    <xf numFmtId="2" fontId="0" fillId="2" borderId="6" xfId="0" applyNumberFormat="1" applyFill="1" applyBorder="1"/>
    <xf numFmtId="2" fontId="0" fillId="2" borderId="23" xfId="0" applyNumberFormat="1" applyFill="1" applyBorder="1"/>
    <xf numFmtId="2" fontId="0" fillId="2" borderId="9" xfId="0" applyNumberFormat="1" applyFill="1" applyBorder="1"/>
    <xf numFmtId="2" fontId="0" fillId="2" borderId="25" xfId="0" applyNumberFormat="1" applyFill="1" applyBorder="1"/>
    <xf numFmtId="2" fontId="0" fillId="5" borderId="23" xfId="0" applyNumberFormat="1" applyFill="1" applyBorder="1"/>
    <xf numFmtId="2" fontId="0" fillId="5" borderId="5" xfId="0" applyNumberFormat="1" applyFill="1" applyBorder="1"/>
    <xf numFmtId="2" fontId="0" fillId="5" borderId="6" xfId="0" applyNumberFormat="1" applyFill="1" applyBorder="1"/>
    <xf numFmtId="2" fontId="0" fillId="5" borderId="24" xfId="0" applyNumberFormat="1" applyFill="1" applyBorder="1"/>
    <xf numFmtId="2" fontId="0" fillId="5" borderId="0" xfId="0" applyNumberFormat="1" applyFill="1" applyBorder="1"/>
    <xf numFmtId="2" fontId="0" fillId="5" borderId="8" xfId="0" applyNumberFormat="1" applyFill="1" applyBorder="1"/>
    <xf numFmtId="2" fontId="0" fillId="5" borderId="25" xfId="0" applyNumberFormat="1" applyFill="1" applyBorder="1"/>
    <xf numFmtId="2" fontId="0" fillId="5" borderId="10" xfId="0" applyNumberFormat="1" applyFill="1" applyBorder="1"/>
    <xf numFmtId="2" fontId="0" fillId="5" borderId="11" xfId="0" applyNumberFormat="1" applyFill="1" applyBorder="1"/>
    <xf numFmtId="164" fontId="0" fillId="4" borderId="16" xfId="0" applyNumberFormat="1" applyFill="1" applyBorder="1"/>
    <xf numFmtId="164" fontId="0" fillId="4" borderId="17" xfId="0" applyNumberFormat="1" applyFill="1" applyBorder="1"/>
    <xf numFmtId="3" fontId="0" fillId="3" borderId="15" xfId="0" applyNumberFormat="1" applyFill="1" applyBorder="1"/>
    <xf numFmtId="3" fontId="0" fillId="3" borderId="16" xfId="0" applyNumberFormat="1" applyFill="1" applyBorder="1"/>
    <xf numFmtId="3" fontId="0" fillId="3" borderId="17" xfId="0" applyNumberFormat="1" applyFill="1" applyBorder="1"/>
    <xf numFmtId="3" fontId="0" fillId="2" borderId="24" xfId="0" applyNumberFormat="1" applyFill="1" applyBorder="1"/>
    <xf numFmtId="3" fontId="0" fillId="2" borderId="23" xfId="0" applyNumberFormat="1" applyFill="1" applyBorder="1"/>
    <xf numFmtId="3" fontId="0" fillId="2" borderId="25" xfId="0" applyNumberFormat="1" applyFill="1" applyBorder="1"/>
    <xf numFmtId="164" fontId="0" fillId="2" borderId="24" xfId="1" applyNumberFormat="1" applyFont="1" applyFill="1" applyBorder="1"/>
    <xf numFmtId="164" fontId="0" fillId="2" borderId="5" xfId="1" applyNumberFormat="1" applyFont="1" applyFill="1" applyBorder="1"/>
    <xf numFmtId="164" fontId="0" fillId="2" borderId="4" xfId="1" applyNumberFormat="1" applyFont="1" applyFill="1" applyBorder="1"/>
    <xf numFmtId="164" fontId="0" fillId="2" borderId="6" xfId="1" applyNumberFormat="1" applyFont="1" applyFill="1" applyBorder="1"/>
    <xf numFmtId="164" fontId="0" fillId="2" borderId="23" xfId="1" applyNumberFormat="1" applyFont="1" applyFill="1" applyBorder="1"/>
    <xf numFmtId="164" fontId="0" fillId="2" borderId="25" xfId="1" applyNumberFormat="1" applyFont="1" applyFill="1" applyBorder="1"/>
    <xf numFmtId="0" fontId="0" fillId="5" borderId="7" xfId="0" applyFill="1" applyBorder="1"/>
    <xf numFmtId="0" fontId="0" fillId="5" borderId="0" xfId="0" applyFill="1" applyBorder="1"/>
    <xf numFmtId="0" fontId="0" fillId="5" borderId="8" xfId="0" applyFill="1" applyBorder="1"/>
    <xf numFmtId="0" fontId="0" fillId="5" borderId="9" xfId="0" applyFill="1" applyBorder="1"/>
    <xf numFmtId="0" fontId="0" fillId="4" borderId="0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6" xfId="0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2" fontId="0" fillId="2" borderId="31" xfId="0" applyNumberFormat="1" applyFill="1" applyBorder="1"/>
    <xf numFmtId="164" fontId="13" fillId="2" borderId="0" xfId="1" applyNumberFormat="1" applyFont="1" applyFill="1"/>
    <xf numFmtId="164" fontId="8" fillId="2" borderId="0" xfId="1" applyNumberFormat="1" applyFont="1" applyFill="1" applyBorder="1"/>
    <xf numFmtId="4" fontId="0" fillId="5" borderId="4" xfId="0" applyNumberFormat="1" applyFill="1" applyBorder="1"/>
    <xf numFmtId="4" fontId="0" fillId="5" borderId="6" xfId="0" applyNumberFormat="1" applyFill="1" applyBorder="1"/>
    <xf numFmtId="4" fontId="0" fillId="5" borderId="7" xfId="0" applyNumberFormat="1" applyFill="1" applyBorder="1"/>
    <xf numFmtId="164" fontId="7" fillId="2" borderId="10" xfId="1" applyNumberFormat="1" applyFont="1" applyFill="1" applyBorder="1"/>
    <xf numFmtId="164" fontId="8" fillId="2" borderId="7" xfId="1" applyNumberFormat="1" applyFont="1" applyFill="1" applyBorder="1"/>
    <xf numFmtId="164" fontId="7" fillId="2" borderId="9" xfId="1" applyNumberFormat="1" applyFont="1" applyFill="1" applyBorder="1"/>
    <xf numFmtId="3" fontId="8" fillId="5" borderId="4" xfId="0" applyNumberFormat="1" applyFont="1" applyFill="1" applyBorder="1"/>
    <xf numFmtId="164" fontId="8" fillId="2" borderId="5" xfId="1" applyNumberFormat="1" applyFont="1" applyFill="1" applyBorder="1"/>
    <xf numFmtId="164" fontId="8" fillId="2" borderId="4" xfId="1" applyNumberFormat="1" applyFont="1" applyFill="1" applyBorder="1"/>
    <xf numFmtId="164" fontId="8" fillId="2" borderId="10" xfId="1" applyNumberFormat="1" applyFont="1" applyFill="1" applyBorder="1"/>
    <xf numFmtId="164" fontId="8" fillId="2" borderId="9" xfId="1" applyNumberFormat="1" applyFont="1" applyFill="1" applyBorder="1"/>
    <xf numFmtId="164" fontId="8" fillId="2" borderId="8" xfId="1" applyNumberFormat="1" applyFont="1" applyFill="1" applyBorder="1"/>
    <xf numFmtId="164" fontId="8" fillId="2" borderId="6" xfId="1" applyNumberFormat="1" applyFont="1" applyFill="1" applyBorder="1"/>
    <xf numFmtId="164" fontId="8" fillId="2" borderId="11" xfId="1" applyNumberFormat="1" applyFont="1" applyFill="1" applyBorder="1"/>
    <xf numFmtId="164" fontId="7" fillId="2" borderId="11" xfId="1" applyNumberFormat="1" applyFont="1" applyFill="1" applyBorder="1"/>
    <xf numFmtId="3" fontId="8" fillId="2" borderId="8" xfId="1" applyNumberFormat="1" applyFont="1" applyFill="1" applyBorder="1"/>
    <xf numFmtId="3" fontId="8" fillId="2" borderId="6" xfId="1" applyNumberFormat="1" applyFont="1" applyFill="1" applyBorder="1"/>
    <xf numFmtId="3" fontId="8" fillId="2" borderId="11" xfId="1" applyNumberFormat="1" applyFont="1" applyFill="1" applyBorder="1"/>
    <xf numFmtId="3" fontId="7" fillId="2" borderId="11" xfId="1" applyNumberFormat="1" applyFont="1" applyFill="1" applyBorder="1"/>
    <xf numFmtId="2" fontId="5" fillId="2" borderId="0" xfId="0" applyNumberFormat="1" applyFont="1" applyFill="1"/>
    <xf numFmtId="3" fontId="8" fillId="2" borderId="0" xfId="1" applyNumberFormat="1" applyFont="1" applyFill="1" applyBorder="1"/>
    <xf numFmtId="3" fontId="8" fillId="2" borderId="7" xfId="1" applyNumberFormat="1" applyFont="1" applyFill="1" applyBorder="1"/>
    <xf numFmtId="3" fontId="8" fillId="2" borderId="5" xfId="1" applyNumberFormat="1" applyFont="1" applyFill="1" applyBorder="1"/>
    <xf numFmtId="3" fontId="8" fillId="2" borderId="4" xfId="1" applyNumberFormat="1" applyFont="1" applyFill="1" applyBorder="1"/>
    <xf numFmtId="3" fontId="8" fillId="2" borderId="10" xfId="1" applyNumberFormat="1" applyFont="1" applyFill="1" applyBorder="1"/>
    <xf numFmtId="3" fontId="8" fillId="2" borderId="9" xfId="1" applyNumberFormat="1" applyFont="1" applyFill="1" applyBorder="1"/>
    <xf numFmtId="3" fontId="7" fillId="2" borderId="10" xfId="1" applyNumberFormat="1" applyFont="1" applyFill="1" applyBorder="1"/>
    <xf numFmtId="3" fontId="7" fillId="2" borderId="9" xfId="1" applyNumberFormat="1" applyFont="1" applyFill="1" applyBorder="1"/>
    <xf numFmtId="164" fontId="13" fillId="2" borderId="0" xfId="1" applyNumberFormat="1" applyFont="1" applyFill="1" applyAlignment="1">
      <alignment horizontal="right"/>
    </xf>
    <xf numFmtId="3" fontId="13" fillId="2" borderId="0" xfId="0" applyNumberFormat="1" applyFont="1" applyFill="1" applyAlignment="1">
      <alignment horizontal="right"/>
    </xf>
    <xf numFmtId="2" fontId="5" fillId="2" borderId="9" xfId="0" applyNumberFormat="1" applyFont="1" applyFill="1" applyBorder="1"/>
    <xf numFmtId="4" fontId="0" fillId="5" borderId="5" xfId="0" applyNumberFormat="1" applyFill="1" applyBorder="1" applyAlignment="1">
      <alignment horizontal="right"/>
    </xf>
    <xf numFmtId="4" fontId="0" fillId="5" borderId="4" xfId="0" applyNumberFormat="1" applyFill="1" applyBorder="1" applyAlignment="1">
      <alignment horizontal="right"/>
    </xf>
    <xf numFmtId="4" fontId="0" fillId="5" borderId="6" xfId="0" applyNumberFormat="1" applyFill="1" applyBorder="1" applyAlignment="1">
      <alignment horizontal="right"/>
    </xf>
    <xf numFmtId="4" fontId="0" fillId="5" borderId="0" xfId="0" applyNumberFormat="1" applyFill="1" applyBorder="1" applyAlignment="1">
      <alignment horizontal="right"/>
    </xf>
    <xf numFmtId="4" fontId="0" fillId="5" borderId="7" xfId="0" applyNumberFormat="1" applyFill="1" applyBorder="1" applyAlignment="1">
      <alignment horizontal="right"/>
    </xf>
    <xf numFmtId="4" fontId="0" fillId="5" borderId="8" xfId="0" applyNumberFormat="1" applyFill="1" applyBorder="1" applyAlignment="1">
      <alignment horizontal="right"/>
    </xf>
    <xf numFmtId="164" fontId="0" fillId="3" borderId="0" xfId="1" applyNumberFormat="1" applyFont="1" applyFill="1" applyBorder="1"/>
    <xf numFmtId="164" fontId="0" fillId="3" borderId="18" xfId="1" applyNumberFormat="1" applyFont="1" applyFill="1" applyBorder="1"/>
    <xf numFmtId="164" fontId="0" fillId="3" borderId="19" xfId="1" applyNumberFormat="1" applyFont="1" applyFill="1" applyBorder="1"/>
    <xf numFmtId="164" fontId="0" fillId="3" borderId="27" xfId="1" applyNumberFormat="1" applyFont="1" applyFill="1" applyBorder="1"/>
    <xf numFmtId="164" fontId="0" fillId="3" borderId="26" xfId="1" applyNumberFormat="1" applyFont="1" applyFill="1" applyBorder="1"/>
    <xf numFmtId="164" fontId="0" fillId="3" borderId="28" xfId="1" applyNumberFormat="1" applyFont="1" applyFill="1" applyBorder="1"/>
    <xf numFmtId="164" fontId="0" fillId="3" borderId="21" xfId="1" applyNumberFormat="1" applyFont="1" applyFill="1" applyBorder="1"/>
    <xf numFmtId="164" fontId="0" fillId="3" borderId="20" xfId="1" applyNumberFormat="1" applyFont="1" applyFill="1" applyBorder="1"/>
    <xf numFmtId="164" fontId="0" fillId="3" borderId="22" xfId="1" applyNumberFormat="1" applyFont="1" applyFill="1" applyBorder="1"/>
    <xf numFmtId="165" fontId="5" fillId="2" borderId="0" xfId="0" applyNumberFormat="1" applyFont="1" applyFill="1" applyAlignment="1">
      <alignment horizontal="left"/>
    </xf>
    <xf numFmtId="3" fontId="0" fillId="2" borderId="0" xfId="0" applyNumberFormat="1" applyFill="1"/>
    <xf numFmtId="4" fontId="0" fillId="5" borderId="0" xfId="0" applyNumberFormat="1" applyFill="1" applyAlignment="1">
      <alignment horizontal="right"/>
    </xf>
    <xf numFmtId="2" fontId="0" fillId="2" borderId="0" xfId="0" applyNumberFormat="1" applyFill="1"/>
  </cellXfs>
  <cellStyles count="2">
    <cellStyle name="Normal" xfId="0" builtinId="0"/>
    <cellStyle name="Percent" xfId="1" builtinId="5"/>
  </cellStyles>
  <dxfs count="34">
    <dxf>
      <font>
        <color rgb="FFC00000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SVY!$R$135</c:f>
              <c:strCache>
                <c:ptCount val="1"/>
                <c:pt idx="0">
                  <c:v>   Food %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SVY!$S$130:$Z$130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Rural</c:v>
                </c:pt>
                <c:pt idx="6">
                  <c:v>Urban</c:v>
                </c:pt>
                <c:pt idx="7">
                  <c:v>Total</c:v>
                </c:pt>
              </c:strCache>
            </c:strRef>
          </c:cat>
          <c:val>
            <c:numRef>
              <c:f>SVY!$S$135:$Z$135</c:f>
              <c:numCache>
                <c:formatCode>0.0%</c:formatCode>
                <c:ptCount val="8"/>
                <c:pt idx="0">
                  <c:v>0.64368867473990043</c:v>
                </c:pt>
                <c:pt idx="1">
                  <c:v>0.66653679498592044</c:v>
                </c:pt>
                <c:pt idx="2">
                  <c:v>0.66807994417800687</c:v>
                </c:pt>
                <c:pt idx="3">
                  <c:v>0.65019349426390016</c:v>
                </c:pt>
                <c:pt idx="4">
                  <c:v>0.47217692228515551</c:v>
                </c:pt>
                <c:pt idx="5">
                  <c:v>0.65361585940764111</c:v>
                </c:pt>
                <c:pt idx="6">
                  <c:v>0.43495669092042566</c:v>
                </c:pt>
                <c:pt idx="7">
                  <c:v>0.56862376826627592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B-427D-B92E-843E9555CABB}"/>
            </c:ext>
          </c:extLst>
        </c:ser>
        <c:ser>
          <c:idx val="1"/>
          <c:order val="1"/>
          <c:tx>
            <c:strRef>
              <c:f>SVY!$R$137</c:f>
              <c:strCache>
                <c:ptCount val="1"/>
                <c:pt idx="0">
                  <c:v>   Processed food %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SVY!$S$130:$Z$130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Rural</c:v>
                </c:pt>
                <c:pt idx="6">
                  <c:v>Urban</c:v>
                </c:pt>
                <c:pt idx="7">
                  <c:v>Total</c:v>
                </c:pt>
              </c:strCache>
            </c:strRef>
          </c:cat>
          <c:val>
            <c:numRef>
              <c:f>SVY!$S$137:$Z$137</c:f>
              <c:numCache>
                <c:formatCode>0.0%</c:formatCode>
                <c:ptCount val="8"/>
                <c:pt idx="0">
                  <c:v>0.25534444312947024</c:v>
                </c:pt>
                <c:pt idx="1">
                  <c:v>0.28108259058053214</c:v>
                </c:pt>
                <c:pt idx="2">
                  <c:v>0.31429813808852636</c:v>
                </c:pt>
                <c:pt idx="3">
                  <c:v>0.37261285632441088</c:v>
                </c:pt>
                <c:pt idx="4">
                  <c:v>0.53553542212704097</c:v>
                </c:pt>
                <c:pt idx="5">
                  <c:v>0.35212953465638508</c:v>
                </c:pt>
                <c:pt idx="6">
                  <c:v>0.53591588538047241</c:v>
                </c:pt>
                <c:pt idx="7">
                  <c:v>0.40677386194259563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2B-427D-B92E-843E9555CABB}"/>
            </c:ext>
          </c:extLst>
        </c:ser>
        <c:ser>
          <c:idx val="2"/>
          <c:order val="2"/>
          <c:tx>
            <c:strRef>
              <c:f>SVY!$R$140</c:f>
              <c:strCache>
                <c:ptCount val="1"/>
                <c:pt idx="0">
                  <c:v>Own consumption %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SVY!$S$130:$Z$130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Rural</c:v>
                </c:pt>
                <c:pt idx="6">
                  <c:v>Urban</c:v>
                </c:pt>
                <c:pt idx="7">
                  <c:v>Total</c:v>
                </c:pt>
              </c:strCache>
            </c:strRef>
          </c:cat>
          <c:val>
            <c:numRef>
              <c:f>SVY!$S$140:$Z$140</c:f>
              <c:numCache>
                <c:formatCode>0.0%</c:formatCode>
                <c:ptCount val="8"/>
                <c:pt idx="0">
                  <c:v>0.34504432465855511</c:v>
                </c:pt>
                <c:pt idx="1">
                  <c:v>0.3378098170906022</c:v>
                </c:pt>
                <c:pt idx="2">
                  <c:v>0.31992686447552449</c:v>
                </c:pt>
                <c:pt idx="3">
                  <c:v>0.27202920081239063</c:v>
                </c:pt>
                <c:pt idx="4">
                  <c:v>7.39067646932485E-2</c:v>
                </c:pt>
                <c:pt idx="5">
                  <c:v>0.29786955124890818</c:v>
                </c:pt>
                <c:pt idx="6">
                  <c:v>3.5965700906086528E-2</c:v>
                </c:pt>
                <c:pt idx="7">
                  <c:v>0.19606839617905789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2B-427D-B92E-843E9555C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206415"/>
        <c:axId val="1364790175"/>
      </c:barChart>
      <c:catAx>
        <c:axId val="155520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90175"/>
        <c:crosses val="autoZero"/>
        <c:auto val="1"/>
        <c:lblAlgn val="ctr"/>
        <c:lblOffset val="100"/>
        <c:noMultiLvlLbl val="0"/>
      </c:catAx>
      <c:valAx>
        <c:axId val="13647901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55520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SVY!$R$150</c:f>
              <c:strCache>
                <c:ptCount val="1"/>
                <c:pt idx="0">
                  <c:v>Farm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SVY!$S$149:$W$149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SVY!$S$150:$W$150</c:f>
              <c:numCache>
                <c:formatCode>#,##0</c:formatCode>
                <c:ptCount val="5"/>
                <c:pt idx="0">
                  <c:v>136.77129172007415</c:v>
                </c:pt>
                <c:pt idx="1">
                  <c:v>206.40705909748709</c:v>
                </c:pt>
                <c:pt idx="2">
                  <c:v>272.7496289738616</c:v>
                </c:pt>
                <c:pt idx="3">
                  <c:v>382.33111917578333</c:v>
                </c:pt>
                <c:pt idx="4">
                  <c:v>676.42394890334606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00-465E-AD57-BB7002FB4687}"/>
            </c:ext>
          </c:extLst>
        </c:ser>
        <c:ser>
          <c:idx val="1"/>
          <c:order val="1"/>
          <c:tx>
            <c:strRef>
              <c:f>SVY!$R$151</c:f>
              <c:strCache>
                <c:ptCount val="1"/>
                <c:pt idx="0">
                  <c:v>Nonfarm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SVY!$S$149:$W$149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SVY!$S$151:$W$151</c:f>
              <c:numCache>
                <c:formatCode>#,##0</c:formatCode>
                <c:ptCount val="5"/>
                <c:pt idx="0">
                  <c:v>111.40166689948958</c:v>
                </c:pt>
                <c:pt idx="1">
                  <c:v>117.60189508564905</c:v>
                </c:pt>
                <c:pt idx="2">
                  <c:v>220.38699197544517</c:v>
                </c:pt>
                <c:pt idx="3">
                  <c:v>321.44818352927996</c:v>
                </c:pt>
                <c:pt idx="4">
                  <c:v>921.79514768910883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00-465E-AD57-BB7002FB4687}"/>
            </c:ext>
          </c:extLst>
        </c:ser>
        <c:ser>
          <c:idx val="2"/>
          <c:order val="2"/>
          <c:tx>
            <c:strRef>
              <c:f>SVY!$R$152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SVY!$S$149:$W$149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SVY!$S$152:$W$152</c:f>
              <c:numCache>
                <c:formatCode>#,##0</c:formatCode>
                <c:ptCount val="5"/>
                <c:pt idx="0">
                  <c:v>129.89196422258576</c:v>
                </c:pt>
                <c:pt idx="1">
                  <c:v>208.46983743384655</c:v>
                </c:pt>
                <c:pt idx="2">
                  <c:v>283.88910739633343</c:v>
                </c:pt>
                <c:pt idx="3">
                  <c:v>414.94552328673473</c:v>
                </c:pt>
                <c:pt idx="4">
                  <c:v>917.34407716728958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00-465E-AD57-BB7002FB4687}"/>
            </c:ext>
          </c:extLst>
        </c:ser>
        <c:ser>
          <c:idx val="3"/>
          <c:order val="3"/>
          <c:tx>
            <c:strRef>
              <c:f>SVY!$R$153</c:f>
              <c:strCache>
                <c:ptCount val="1"/>
                <c:pt idx="0">
                  <c:v>Kigali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SVY!$S$149:$W$149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SVY!$S$153:$W$153</c:f>
              <c:numCache>
                <c:formatCode>#,##0</c:formatCode>
                <c:ptCount val="5"/>
                <c:pt idx="0">
                  <c:v>114.60406176080865</c:v>
                </c:pt>
                <c:pt idx="1">
                  <c:v>166.55251230980045</c:v>
                </c:pt>
                <c:pt idx="2">
                  <c:v>225.59727709044265</c:v>
                </c:pt>
                <c:pt idx="3">
                  <c:v>333.48575093990286</c:v>
                </c:pt>
                <c:pt idx="4">
                  <c:v>1139.0589201136461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00-465E-AD57-BB7002FB4687}"/>
            </c:ext>
          </c:extLst>
        </c:ser>
        <c:ser>
          <c:idx val="4"/>
          <c:order val="4"/>
          <c:tx>
            <c:strRef>
              <c:f>SVY!$R$154</c:f>
              <c:strCache>
                <c:ptCount val="1"/>
                <c:pt idx="0">
                  <c:v>National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SVY!$S$149:$W$149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SVY!$S$154:$W$154</c:f>
              <c:numCache>
                <c:formatCode>#,##0</c:formatCode>
                <c:ptCount val="5"/>
                <c:pt idx="0">
                  <c:v>135.73500501796372</c:v>
                </c:pt>
                <c:pt idx="1">
                  <c:v>204.21999525970807</c:v>
                </c:pt>
                <c:pt idx="2">
                  <c:v>270.19209624793507</c:v>
                </c:pt>
                <c:pt idx="3">
                  <c:v>378.35772908878397</c:v>
                </c:pt>
                <c:pt idx="4">
                  <c:v>908.58583548926129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00-465E-AD57-BB7002FB4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206415"/>
        <c:axId val="1364790175"/>
      </c:barChart>
      <c:catAx>
        <c:axId val="155520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90175"/>
        <c:crosses val="autoZero"/>
        <c:auto val="1"/>
        <c:lblAlgn val="ctr"/>
        <c:lblOffset val="100"/>
        <c:noMultiLvlLbl val="0"/>
      </c:catAx>
      <c:valAx>
        <c:axId val="13647901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55520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267606</xdr:colOff>
      <xdr:row>128</xdr:row>
      <xdr:rowOff>170543</xdr:rowOff>
    </xdr:from>
    <xdr:to>
      <xdr:col>44</xdr:col>
      <xdr:colOff>308429</xdr:colOff>
      <xdr:row>144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F3111E-24BC-4D97-9C19-98B854742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544286</xdr:colOff>
      <xdr:row>147</xdr:row>
      <xdr:rowOff>27214</xdr:rowOff>
    </xdr:from>
    <xdr:to>
      <xdr:col>44</xdr:col>
      <xdr:colOff>371929</xdr:colOff>
      <xdr:row>162</xdr:row>
      <xdr:rowOff>48986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6349BF-EED4-4A16-86D9-3C6A14966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0.62247</cdr:x>
      <cdr:y>0.05357</cdr:y>
    </cdr:from>
    <cdr:to>
      <cdr:x>0.62247</cdr:x>
      <cdr:y>0.82407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861C0A7-31E8-477F-8CA6-DBA40ED03DB5}"/>
            </a:ext>
          </a:extLst>
        </cdr:cNvPr>
        <cdr:cNvCxnSpPr/>
      </cdr:nvCxnSpPr>
      <cdr:spPr>
        <a:xfrm xmlns:a="http://schemas.openxmlformats.org/drawingml/2006/main" flipV="1">
          <a:off x="6835322" y="146957"/>
          <a:ext cx="0" cy="2113643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1">
              <a:lumMod val="7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ropbox%20(IFPRI)\NEXUS\Nexus%20Project\7%20AgGDP+\SAMs\RWA_X117\Code_SUT17\1RWA_X104_2017_extend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ets"/>
      <sheetName val="Notes"/>
      <sheetName val="MAC"/>
      <sheetName val="SUT"/>
      <sheetName val="USE"/>
      <sheetName val="SUP"/>
      <sheetName val="wMAC"/>
      <sheetName val="wBOP"/>
      <sheetName val="xBOP"/>
      <sheetName val="wGFS"/>
      <sheetName val="xGFS"/>
      <sheetName val="wGDPe"/>
      <sheetName val="wGDPp"/>
      <sheetName val="wAGR"/>
      <sheetName val="wIND"/>
      <sheetName val="wSRV"/>
      <sheetName val="wTRD"/>
      <sheetName val="wABS"/>
      <sheetName val="wUSE"/>
      <sheetName val="wSUP"/>
      <sheetName val="wTRC"/>
      <sheetName val="wTAX"/>
      <sheetName val="xTAX"/>
      <sheetName val="xTRD"/>
      <sheetName val="xMIN"/>
      <sheetName val="xAGR"/>
      <sheetName val="xMAN"/>
      <sheetName val="xOTH"/>
      <sheetName val="wEXR"/>
      <sheetName val="wPRC"/>
    </sheetNames>
    <sheetDataSet>
      <sheetData sheetId="0"/>
      <sheetData sheetId="1"/>
      <sheetData sheetId="2">
        <row r="4">
          <cell r="B4" t="str">
            <v>RWA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8">
          <cell r="A8" t="str">
            <v>Afghanistan</v>
          </cell>
          <cell r="B8" t="str">
            <v>AFG</v>
          </cell>
        </row>
        <row r="9">
          <cell r="A9" t="str">
            <v>Albania</v>
          </cell>
          <cell r="B9" t="str">
            <v>ALB</v>
          </cell>
        </row>
        <row r="10">
          <cell r="A10" t="str">
            <v>Algeria</v>
          </cell>
          <cell r="B10" t="str">
            <v>DZA</v>
          </cell>
        </row>
        <row r="11">
          <cell r="A11" t="str">
            <v>Angola</v>
          </cell>
          <cell r="B11" t="str">
            <v>AGO</v>
          </cell>
        </row>
        <row r="12">
          <cell r="A12" t="str">
            <v>Antigua and Barbuda</v>
          </cell>
          <cell r="B12" t="str">
            <v>ATG</v>
          </cell>
        </row>
        <row r="13">
          <cell r="A13" t="str">
            <v>Argentina</v>
          </cell>
          <cell r="B13" t="str">
            <v>ARG</v>
          </cell>
        </row>
        <row r="14">
          <cell r="A14" t="str">
            <v>Armenia</v>
          </cell>
          <cell r="B14" t="str">
            <v>ARM</v>
          </cell>
        </row>
        <row r="15">
          <cell r="A15" t="str">
            <v>Aruba</v>
          </cell>
          <cell r="B15" t="str">
            <v>ABW</v>
          </cell>
        </row>
        <row r="16">
          <cell r="A16" t="str">
            <v>Australia</v>
          </cell>
          <cell r="B16" t="str">
            <v>AUS</v>
          </cell>
        </row>
        <row r="17">
          <cell r="A17" t="str">
            <v>Austria</v>
          </cell>
          <cell r="B17" t="str">
            <v>AUT</v>
          </cell>
        </row>
        <row r="18">
          <cell r="A18" t="str">
            <v>Azerbaijan</v>
          </cell>
          <cell r="B18" t="str">
            <v>AZE</v>
          </cell>
        </row>
        <row r="19">
          <cell r="A19" t="str">
            <v>Bahamas, The</v>
          </cell>
          <cell r="B19" t="str">
            <v>BHS</v>
          </cell>
        </row>
        <row r="20">
          <cell r="A20" t="str">
            <v>Bahrain</v>
          </cell>
          <cell r="B20" t="str">
            <v>BHR</v>
          </cell>
        </row>
        <row r="21">
          <cell r="A21" t="str">
            <v>Bangladesh</v>
          </cell>
          <cell r="B21" t="str">
            <v>BGD</v>
          </cell>
        </row>
        <row r="22">
          <cell r="A22" t="str">
            <v>Barbados</v>
          </cell>
          <cell r="B22" t="str">
            <v>BRB</v>
          </cell>
        </row>
        <row r="23">
          <cell r="A23" t="str">
            <v>Belarus</v>
          </cell>
          <cell r="B23" t="str">
            <v>BLR</v>
          </cell>
        </row>
        <row r="24">
          <cell r="A24" t="str">
            <v>Belgium</v>
          </cell>
          <cell r="B24" t="str">
            <v>BEL</v>
          </cell>
        </row>
        <row r="25">
          <cell r="A25" t="str">
            <v>Belize</v>
          </cell>
          <cell r="B25" t="str">
            <v>BLZ</v>
          </cell>
        </row>
        <row r="26">
          <cell r="A26" t="str">
            <v>Benin</v>
          </cell>
          <cell r="B26" t="str">
            <v>BEN</v>
          </cell>
        </row>
        <row r="27">
          <cell r="A27" t="str">
            <v>Bermuda</v>
          </cell>
          <cell r="B27" t="str">
            <v>BMU</v>
          </cell>
        </row>
        <row r="28">
          <cell r="A28" t="str">
            <v>Bhutan</v>
          </cell>
          <cell r="B28" t="str">
            <v>BTN</v>
          </cell>
        </row>
        <row r="29">
          <cell r="A29" t="str">
            <v>Bolivia</v>
          </cell>
          <cell r="B29" t="str">
            <v>BOL</v>
          </cell>
        </row>
        <row r="30">
          <cell r="A30" t="str">
            <v>Bosnia and Herzegovina</v>
          </cell>
          <cell r="B30" t="str">
            <v>BIH</v>
          </cell>
        </row>
        <row r="31">
          <cell r="A31" t="str">
            <v>Botswana</v>
          </cell>
          <cell r="B31" t="str">
            <v>BWA</v>
          </cell>
        </row>
        <row r="32">
          <cell r="A32" t="str">
            <v>Brazil</v>
          </cell>
          <cell r="B32" t="str">
            <v>BRA</v>
          </cell>
        </row>
        <row r="33">
          <cell r="A33" t="str">
            <v>Brunei Darussalam</v>
          </cell>
          <cell r="B33" t="str">
            <v>BRN</v>
          </cell>
        </row>
        <row r="34">
          <cell r="A34" t="str">
            <v>Bulgaria</v>
          </cell>
          <cell r="B34" t="str">
            <v>BGR</v>
          </cell>
        </row>
        <row r="35">
          <cell r="A35" t="str">
            <v>Burkina Faso</v>
          </cell>
          <cell r="B35" t="str">
            <v>BFA</v>
          </cell>
        </row>
        <row r="36">
          <cell r="A36" t="str">
            <v>Burundi</v>
          </cell>
          <cell r="B36" t="str">
            <v>BDI</v>
          </cell>
        </row>
        <row r="37">
          <cell r="A37" t="str">
            <v>Cabo Verde</v>
          </cell>
          <cell r="B37" t="str">
            <v>CPV</v>
          </cell>
        </row>
        <row r="38">
          <cell r="A38" t="str">
            <v>Cambodia</v>
          </cell>
          <cell r="B38" t="str">
            <v>KHM</v>
          </cell>
        </row>
        <row r="39">
          <cell r="A39" t="str">
            <v>Cameroon</v>
          </cell>
          <cell r="B39" t="str">
            <v>CMR</v>
          </cell>
        </row>
        <row r="40">
          <cell r="A40" t="str">
            <v>Canada</v>
          </cell>
          <cell r="B40" t="str">
            <v>CAN</v>
          </cell>
        </row>
        <row r="41">
          <cell r="A41" t="str">
            <v>Cayman Islands</v>
          </cell>
          <cell r="B41" t="str">
            <v>CYM</v>
          </cell>
        </row>
        <row r="42">
          <cell r="A42" t="str">
            <v>Central African Republic</v>
          </cell>
          <cell r="B42" t="str">
            <v>CAF</v>
          </cell>
        </row>
        <row r="43">
          <cell r="A43" t="str">
            <v>Chad</v>
          </cell>
          <cell r="B43" t="str">
            <v>TCD</v>
          </cell>
        </row>
        <row r="44">
          <cell r="A44" t="str">
            <v>Chile</v>
          </cell>
          <cell r="B44" t="str">
            <v>CHL</v>
          </cell>
        </row>
        <row r="45">
          <cell r="A45" t="str">
            <v>Hong Kong SAR, China</v>
          </cell>
          <cell r="B45" t="str">
            <v>HKG</v>
          </cell>
        </row>
        <row r="46">
          <cell r="A46" t="str">
            <v>Macao SAR, China</v>
          </cell>
          <cell r="B46" t="str">
            <v>MAC</v>
          </cell>
        </row>
        <row r="47">
          <cell r="A47" t="str">
            <v>China</v>
          </cell>
          <cell r="B47" t="str">
            <v>CHN</v>
          </cell>
        </row>
        <row r="48">
          <cell r="A48" t="str">
            <v>Colombia</v>
          </cell>
          <cell r="B48" t="str">
            <v>COL</v>
          </cell>
        </row>
        <row r="49">
          <cell r="A49" t="str">
            <v>Comoros</v>
          </cell>
          <cell r="B49" t="str">
            <v>COM</v>
          </cell>
        </row>
        <row r="50">
          <cell r="A50" t="str">
            <v>Congo, Dem. Rep.</v>
          </cell>
          <cell r="B50" t="str">
            <v>COD</v>
          </cell>
        </row>
        <row r="51">
          <cell r="A51" t="str">
            <v>Congo, Rep.</v>
          </cell>
          <cell r="B51" t="str">
            <v>COG</v>
          </cell>
        </row>
        <row r="52">
          <cell r="A52" t="str">
            <v>Curacao</v>
          </cell>
          <cell r="B52" t="str">
            <v>CUW</v>
          </cell>
        </row>
        <row r="53">
          <cell r="A53" t="str">
            <v>Cyprus</v>
          </cell>
          <cell r="B53" t="str">
            <v>CYP</v>
          </cell>
        </row>
        <row r="54">
          <cell r="A54" t="str">
            <v>Czech Republic</v>
          </cell>
          <cell r="B54" t="str">
            <v>CZE</v>
          </cell>
        </row>
        <row r="55">
          <cell r="A55" t="str">
            <v>Denmark</v>
          </cell>
          <cell r="B55" t="str">
            <v>DNK</v>
          </cell>
        </row>
        <row r="56">
          <cell r="A56" t="str">
            <v>Djibouti</v>
          </cell>
          <cell r="B56" t="str">
            <v>DJI</v>
          </cell>
        </row>
        <row r="57">
          <cell r="A57" t="str">
            <v>Dominica</v>
          </cell>
          <cell r="B57" t="str">
            <v>DMA</v>
          </cell>
        </row>
        <row r="58">
          <cell r="A58" t="str">
            <v>Dominican Republic</v>
          </cell>
          <cell r="B58" t="str">
            <v>DOM</v>
          </cell>
        </row>
        <row r="59">
          <cell r="A59" t="str">
            <v>Ecuador</v>
          </cell>
          <cell r="B59" t="str">
            <v>ECU</v>
          </cell>
        </row>
        <row r="60">
          <cell r="A60" t="str">
            <v>Egypt, Arab Rep.</v>
          </cell>
          <cell r="B60" t="str">
            <v>EGY</v>
          </cell>
        </row>
        <row r="61">
          <cell r="A61" t="str">
            <v>El Salvador</v>
          </cell>
          <cell r="B61" t="str">
            <v>SLV</v>
          </cell>
        </row>
        <row r="62">
          <cell r="A62" t="str">
            <v>Equatorial Guinea</v>
          </cell>
          <cell r="B62" t="str">
            <v>GNQ</v>
          </cell>
        </row>
        <row r="63">
          <cell r="A63" t="str">
            <v>Eritrea</v>
          </cell>
          <cell r="B63" t="str">
            <v>ERI</v>
          </cell>
        </row>
        <row r="64">
          <cell r="A64" t="str">
            <v>Estonia</v>
          </cell>
          <cell r="B64" t="str">
            <v>EST</v>
          </cell>
        </row>
        <row r="65">
          <cell r="A65" t="str">
            <v>Eswatini</v>
          </cell>
          <cell r="B65" t="str">
            <v>SWZ</v>
          </cell>
        </row>
        <row r="66">
          <cell r="A66" t="str">
            <v>Ethiopia</v>
          </cell>
          <cell r="B66" t="str">
            <v>ETH</v>
          </cell>
        </row>
        <row r="67">
          <cell r="A67" t="e">
            <v>#N/A</v>
          </cell>
          <cell r="B67" t="str">
            <v>EMU</v>
          </cell>
        </row>
        <row r="68">
          <cell r="A68" t="str">
            <v>Finland</v>
          </cell>
          <cell r="B68" t="str">
            <v>FIN</v>
          </cell>
        </row>
        <row r="69">
          <cell r="A69" t="str">
            <v>France</v>
          </cell>
          <cell r="B69" t="str">
            <v>FRA</v>
          </cell>
        </row>
        <row r="70">
          <cell r="A70" t="str">
            <v>Gabon</v>
          </cell>
          <cell r="B70" t="str">
            <v>GAB</v>
          </cell>
        </row>
        <row r="71">
          <cell r="A71" t="str">
            <v>Gambia, The</v>
          </cell>
          <cell r="B71" t="str">
            <v>GMB</v>
          </cell>
        </row>
        <row r="72">
          <cell r="A72" t="str">
            <v>Georgia</v>
          </cell>
          <cell r="B72" t="str">
            <v>GEO</v>
          </cell>
        </row>
        <row r="73">
          <cell r="A73" t="str">
            <v>Germany</v>
          </cell>
          <cell r="B73" t="str">
            <v>DEU</v>
          </cell>
        </row>
        <row r="74">
          <cell r="A74" t="str">
            <v>Ghana</v>
          </cell>
          <cell r="B74" t="str">
            <v>GHA</v>
          </cell>
        </row>
        <row r="75">
          <cell r="A75" t="str">
            <v>Gibraltar</v>
          </cell>
          <cell r="B75" t="str">
            <v>GIB</v>
          </cell>
        </row>
        <row r="76">
          <cell r="A76" t="str">
            <v>Greece</v>
          </cell>
          <cell r="B76" t="str">
            <v>GRC</v>
          </cell>
        </row>
        <row r="77">
          <cell r="A77" t="str">
            <v>Greenland</v>
          </cell>
          <cell r="B77" t="str">
            <v>GRL</v>
          </cell>
        </row>
        <row r="78">
          <cell r="A78" t="str">
            <v>Grenada</v>
          </cell>
          <cell r="B78" t="str">
            <v>GRD</v>
          </cell>
        </row>
        <row r="79">
          <cell r="A79" t="str">
            <v>Guatemala</v>
          </cell>
          <cell r="B79" t="str">
            <v>GTM</v>
          </cell>
        </row>
        <row r="80">
          <cell r="A80" t="str">
            <v>Guinea</v>
          </cell>
          <cell r="B80" t="str">
            <v>GIN</v>
          </cell>
        </row>
        <row r="81">
          <cell r="A81" t="str">
            <v>Guinea-Bissau</v>
          </cell>
          <cell r="B81" t="str">
            <v>GNB</v>
          </cell>
        </row>
        <row r="82">
          <cell r="A82" t="str">
            <v>Guyana</v>
          </cell>
          <cell r="B82" t="str">
            <v>GUY</v>
          </cell>
        </row>
        <row r="83">
          <cell r="A83" t="str">
            <v>Haiti</v>
          </cell>
          <cell r="B83" t="str">
            <v>HTI</v>
          </cell>
        </row>
        <row r="84">
          <cell r="A84" t="str">
            <v>Indonesia</v>
          </cell>
          <cell r="B84" t="str">
            <v>IDN</v>
          </cell>
        </row>
        <row r="85">
          <cell r="A85" t="str">
            <v>Iran, Islamic Rep.</v>
          </cell>
          <cell r="B85" t="str">
            <v>IRN</v>
          </cell>
        </row>
        <row r="86">
          <cell r="A86" t="str">
            <v>Iraq</v>
          </cell>
          <cell r="B86" t="str">
            <v>IRQ</v>
          </cell>
        </row>
        <row r="87">
          <cell r="A87" t="str">
            <v>Ireland</v>
          </cell>
          <cell r="B87" t="str">
            <v>IRL</v>
          </cell>
        </row>
        <row r="88">
          <cell r="A88" t="str">
            <v>Isle of Man</v>
          </cell>
          <cell r="B88" t="str">
            <v>IMN</v>
          </cell>
        </row>
        <row r="89">
          <cell r="A89" t="str">
            <v>Israel</v>
          </cell>
          <cell r="B89" t="str">
            <v>ISR</v>
          </cell>
        </row>
        <row r="90">
          <cell r="A90" t="str">
            <v>Italy</v>
          </cell>
          <cell r="B90" t="str">
            <v>ITA</v>
          </cell>
        </row>
        <row r="91">
          <cell r="A91" t="str">
            <v>Jamaica</v>
          </cell>
          <cell r="B91" t="str">
            <v>JAM</v>
          </cell>
        </row>
        <row r="92">
          <cell r="A92" t="str">
            <v>Japan</v>
          </cell>
          <cell r="B92" t="str">
            <v>JPN</v>
          </cell>
        </row>
        <row r="93">
          <cell r="A93" t="str">
            <v>Jordan</v>
          </cell>
          <cell r="B93" t="str">
            <v>JOR</v>
          </cell>
        </row>
        <row r="94">
          <cell r="A94" t="str">
            <v>Kazakhstan</v>
          </cell>
          <cell r="B94" t="str">
            <v>KAZ</v>
          </cell>
        </row>
        <row r="95">
          <cell r="A95" t="str">
            <v>Kenya</v>
          </cell>
          <cell r="B95" t="str">
            <v>KEN</v>
          </cell>
        </row>
        <row r="96">
          <cell r="A96" t="str">
            <v>Kiribati</v>
          </cell>
          <cell r="B96" t="str">
            <v>KIR</v>
          </cell>
        </row>
        <row r="97">
          <cell r="A97" t="str">
            <v>Korea, Rep.</v>
          </cell>
          <cell r="B97" t="str">
            <v>KOR</v>
          </cell>
        </row>
        <row r="98">
          <cell r="A98" t="str">
            <v>Kosovo</v>
          </cell>
          <cell r="B98" t="str">
            <v>XKX</v>
          </cell>
        </row>
        <row r="99">
          <cell r="A99" t="str">
            <v>Kuwait</v>
          </cell>
          <cell r="B99" t="str">
            <v>KWT</v>
          </cell>
        </row>
        <row r="100">
          <cell r="A100" t="str">
            <v>Kyrgyz Republic</v>
          </cell>
          <cell r="B100" t="str">
            <v>KGZ</v>
          </cell>
        </row>
        <row r="101">
          <cell r="A101" t="str">
            <v>Lao PDR</v>
          </cell>
          <cell r="B101" t="str">
            <v>LAO</v>
          </cell>
        </row>
        <row r="102">
          <cell r="A102" t="str">
            <v>Latvia</v>
          </cell>
          <cell r="B102" t="str">
            <v>LVA</v>
          </cell>
        </row>
        <row r="103">
          <cell r="A103" t="str">
            <v>Lebanon</v>
          </cell>
          <cell r="B103" t="str">
            <v>LBN</v>
          </cell>
        </row>
        <row r="104">
          <cell r="A104" t="str">
            <v>Lesotho</v>
          </cell>
          <cell r="B104" t="str">
            <v>LSO</v>
          </cell>
        </row>
        <row r="105">
          <cell r="A105" t="str">
            <v>Liberia</v>
          </cell>
          <cell r="B105" t="str">
            <v>LBR</v>
          </cell>
        </row>
        <row r="106">
          <cell r="A106" t="str">
            <v>Libya</v>
          </cell>
          <cell r="B106" t="str">
            <v>LBY</v>
          </cell>
        </row>
        <row r="107">
          <cell r="A107" t="str">
            <v>Lithuania</v>
          </cell>
          <cell r="B107" t="str">
            <v>LTU</v>
          </cell>
        </row>
        <row r="108">
          <cell r="A108" t="str">
            <v>Luxembourg</v>
          </cell>
          <cell r="B108" t="str">
            <v>LUX</v>
          </cell>
        </row>
        <row r="109">
          <cell r="A109" t="str">
            <v>Madagascar</v>
          </cell>
          <cell r="B109" t="str">
            <v>MDG</v>
          </cell>
        </row>
        <row r="110">
          <cell r="A110" t="str">
            <v>Malawi</v>
          </cell>
          <cell r="B110" t="str">
            <v>MWI</v>
          </cell>
        </row>
        <row r="111">
          <cell r="A111" t="str">
            <v>Malaysia</v>
          </cell>
          <cell r="B111" t="str">
            <v>MYS</v>
          </cell>
        </row>
        <row r="112">
          <cell r="A112" t="str">
            <v>Maldives</v>
          </cell>
          <cell r="B112" t="str">
            <v>MDV</v>
          </cell>
        </row>
        <row r="113">
          <cell r="A113" t="str">
            <v>Mali</v>
          </cell>
          <cell r="B113" t="str">
            <v>MLI</v>
          </cell>
        </row>
        <row r="114">
          <cell r="A114" t="str">
            <v>Malta</v>
          </cell>
          <cell r="B114" t="str">
            <v>MLT</v>
          </cell>
        </row>
        <row r="115">
          <cell r="A115" t="str">
            <v>Mauritania</v>
          </cell>
          <cell r="B115" t="str">
            <v>MRT</v>
          </cell>
        </row>
        <row r="116">
          <cell r="A116" t="str">
            <v>Mauritius</v>
          </cell>
          <cell r="B116" t="str">
            <v>MUS</v>
          </cell>
        </row>
        <row r="117">
          <cell r="A117" t="str">
            <v>Mexico</v>
          </cell>
          <cell r="B117" t="str">
            <v>MEX</v>
          </cell>
        </row>
        <row r="118">
          <cell r="A118" t="str">
            <v>Moldova</v>
          </cell>
          <cell r="B118" t="str">
            <v>MDA</v>
          </cell>
        </row>
        <row r="119">
          <cell r="A119" t="str">
            <v>Mongolia</v>
          </cell>
          <cell r="B119" t="str">
            <v>MNG</v>
          </cell>
        </row>
        <row r="120">
          <cell r="A120" t="str">
            <v>Montenegro</v>
          </cell>
          <cell r="B120" t="str">
            <v>MNE</v>
          </cell>
        </row>
        <row r="121">
          <cell r="A121" t="str">
            <v>Morocco</v>
          </cell>
          <cell r="B121" t="str">
            <v>MAR</v>
          </cell>
        </row>
        <row r="122">
          <cell r="A122" t="str">
            <v>Mozambique</v>
          </cell>
          <cell r="B122" t="str">
            <v>MOZ</v>
          </cell>
        </row>
        <row r="123">
          <cell r="A123" t="str">
            <v>Myanmar</v>
          </cell>
          <cell r="B123" t="str">
            <v>MMR</v>
          </cell>
        </row>
        <row r="124">
          <cell r="A124" t="str">
            <v>Namibia</v>
          </cell>
          <cell r="B124" t="str">
            <v>NAM</v>
          </cell>
        </row>
        <row r="125">
          <cell r="A125" t="str">
            <v>Nauru</v>
          </cell>
          <cell r="B125" t="str">
            <v>NRU</v>
          </cell>
        </row>
        <row r="126">
          <cell r="A126" t="str">
            <v>Nepal</v>
          </cell>
          <cell r="B126" t="str">
            <v>NPL</v>
          </cell>
        </row>
        <row r="127">
          <cell r="A127" t="str">
            <v>Netherlands</v>
          </cell>
          <cell r="B127" t="str">
            <v>NLD</v>
          </cell>
        </row>
        <row r="128">
          <cell r="A128" t="str">
            <v>New Zealand</v>
          </cell>
          <cell r="B128" t="str">
            <v>NZL</v>
          </cell>
        </row>
        <row r="129">
          <cell r="A129" t="str">
            <v>Nicaragua</v>
          </cell>
          <cell r="B129" t="str">
            <v>NIC</v>
          </cell>
        </row>
        <row r="130">
          <cell r="A130" t="str">
            <v>Niger</v>
          </cell>
          <cell r="B130" t="str">
            <v>NER</v>
          </cell>
        </row>
        <row r="131">
          <cell r="A131" t="str">
            <v>Nigeria</v>
          </cell>
          <cell r="B131" t="str">
            <v>NGA</v>
          </cell>
        </row>
        <row r="132">
          <cell r="A132" t="str">
            <v>North Macedonia</v>
          </cell>
          <cell r="B132" t="str">
            <v>MKD</v>
          </cell>
        </row>
        <row r="133">
          <cell r="A133" t="str">
            <v>Norway</v>
          </cell>
          <cell r="B133" t="str">
            <v>NOR</v>
          </cell>
        </row>
        <row r="134">
          <cell r="A134" t="str">
            <v>Oman</v>
          </cell>
          <cell r="B134" t="str">
            <v>OMN</v>
          </cell>
        </row>
        <row r="135">
          <cell r="A135" t="str">
            <v>Pakistan</v>
          </cell>
          <cell r="B135" t="str">
            <v>PAK</v>
          </cell>
        </row>
        <row r="136">
          <cell r="A136" t="str">
            <v>Palau</v>
          </cell>
          <cell r="B136" t="str">
            <v>PLW</v>
          </cell>
        </row>
        <row r="137">
          <cell r="A137" t="str">
            <v>Panama</v>
          </cell>
          <cell r="B137" t="str">
            <v>PAN</v>
          </cell>
        </row>
        <row r="138">
          <cell r="A138" t="str">
            <v>Papua New Guinea</v>
          </cell>
          <cell r="B138" t="str">
            <v>PNG</v>
          </cell>
        </row>
        <row r="139">
          <cell r="A139" t="str">
            <v>Paraguay</v>
          </cell>
          <cell r="B139" t="str">
            <v>PRY</v>
          </cell>
        </row>
        <row r="140">
          <cell r="A140" t="str">
            <v>Peru</v>
          </cell>
          <cell r="B140" t="str">
            <v>PER</v>
          </cell>
        </row>
        <row r="141">
          <cell r="A141" t="str">
            <v>Philippines</v>
          </cell>
          <cell r="B141" t="str">
            <v>PHL</v>
          </cell>
        </row>
        <row r="142">
          <cell r="A142" t="str">
            <v>Poland</v>
          </cell>
          <cell r="B142" t="str">
            <v>POL</v>
          </cell>
        </row>
        <row r="143">
          <cell r="A143" t="str">
            <v>Portugal</v>
          </cell>
          <cell r="B143" t="str">
            <v>PRT</v>
          </cell>
        </row>
        <row r="144">
          <cell r="A144" t="str">
            <v>Qatar</v>
          </cell>
          <cell r="B144" t="str">
            <v>QAT</v>
          </cell>
        </row>
        <row r="145">
          <cell r="A145" t="str">
            <v>Romania</v>
          </cell>
          <cell r="B145" t="str">
            <v>ROU</v>
          </cell>
        </row>
        <row r="146">
          <cell r="A146" t="str">
            <v>Russian Federation</v>
          </cell>
          <cell r="B146" t="str">
            <v>RUS</v>
          </cell>
        </row>
        <row r="147">
          <cell r="A147" t="str">
            <v>Rwanda</v>
          </cell>
          <cell r="B147" t="str">
            <v>RWA</v>
          </cell>
        </row>
        <row r="148">
          <cell r="A148" t="str">
            <v>Samoa</v>
          </cell>
          <cell r="B148" t="str">
            <v>WSM</v>
          </cell>
        </row>
        <row r="149">
          <cell r="A149" t="str">
            <v>San Marino</v>
          </cell>
          <cell r="B149" t="str">
            <v>SMR</v>
          </cell>
        </row>
        <row r="150">
          <cell r="A150" t="str">
            <v>Sao Tome and Principe</v>
          </cell>
          <cell r="B150" t="str">
            <v>STP</v>
          </cell>
        </row>
        <row r="151">
          <cell r="A151" t="str">
            <v>Saudi Arabia</v>
          </cell>
          <cell r="B151" t="str">
            <v>SAU</v>
          </cell>
        </row>
        <row r="152">
          <cell r="A152" t="str">
            <v>Senegal</v>
          </cell>
          <cell r="B152" t="str">
            <v>SEN</v>
          </cell>
        </row>
        <row r="153">
          <cell r="A153" t="str">
            <v>Serbia</v>
          </cell>
          <cell r="B153" t="str">
            <v>SRB</v>
          </cell>
        </row>
        <row r="154">
          <cell r="A154" t="str">
            <v>Seychelles</v>
          </cell>
          <cell r="B154" t="str">
            <v>SYC</v>
          </cell>
        </row>
        <row r="155">
          <cell r="A155" t="str">
            <v>Sierra Leone</v>
          </cell>
          <cell r="B155" t="str">
            <v>SLE</v>
          </cell>
        </row>
        <row r="156">
          <cell r="A156" t="str">
            <v>Singapore</v>
          </cell>
          <cell r="B156" t="str">
            <v>SGP</v>
          </cell>
        </row>
        <row r="157">
          <cell r="A157" t="str">
            <v>Slovak Republic</v>
          </cell>
          <cell r="B157" t="str">
            <v>SVK</v>
          </cell>
        </row>
        <row r="158">
          <cell r="A158" t="str">
            <v>Slovenia</v>
          </cell>
          <cell r="B158" t="str">
            <v>SVN</v>
          </cell>
        </row>
        <row r="159">
          <cell r="A159" t="str">
            <v>Solomon Islands</v>
          </cell>
          <cell r="B159" t="str">
            <v>SLB</v>
          </cell>
        </row>
        <row r="160">
          <cell r="A160" t="str">
            <v>Somalia</v>
          </cell>
          <cell r="B160" t="str">
            <v>SOM</v>
          </cell>
        </row>
        <row r="161">
          <cell r="A161" t="str">
            <v>South Africa</v>
          </cell>
          <cell r="B161" t="str">
            <v>ZAF</v>
          </cell>
        </row>
        <row r="162">
          <cell r="A162" t="str">
            <v>South Sudan</v>
          </cell>
          <cell r="B162" t="str">
            <v>SSD</v>
          </cell>
        </row>
        <row r="163">
          <cell r="A163" t="str">
            <v>Spain</v>
          </cell>
          <cell r="B163" t="str">
            <v>ESP</v>
          </cell>
        </row>
        <row r="164">
          <cell r="A164" t="str">
            <v>Sri Lanka</v>
          </cell>
          <cell r="B164" t="str">
            <v>LKA</v>
          </cell>
        </row>
        <row r="165">
          <cell r="A165" t="str">
            <v>St. Kitts and Nevis</v>
          </cell>
          <cell r="B165" t="str">
            <v>KNA</v>
          </cell>
        </row>
        <row r="166">
          <cell r="A166" t="str">
            <v>St. Lucia</v>
          </cell>
          <cell r="B166" t="str">
            <v>LCA</v>
          </cell>
        </row>
        <row r="167">
          <cell r="A167" t="str">
            <v>St. Vincent and the Grenadines</v>
          </cell>
          <cell r="B167" t="str">
            <v>VCT</v>
          </cell>
        </row>
        <row r="168">
          <cell r="A168" t="str">
            <v>Sudan</v>
          </cell>
          <cell r="B168" t="str">
            <v>SDN</v>
          </cell>
        </row>
        <row r="169">
          <cell r="A169" t="str">
            <v>Suriname</v>
          </cell>
          <cell r="B169" t="str">
            <v>SUR</v>
          </cell>
        </row>
        <row r="170">
          <cell r="A170" t="str">
            <v>Sweden</v>
          </cell>
          <cell r="B170" t="str">
            <v>SWE</v>
          </cell>
        </row>
        <row r="171">
          <cell r="A171" t="str">
            <v>Switzerland</v>
          </cell>
          <cell r="B171" t="str">
            <v>CHE</v>
          </cell>
        </row>
        <row r="172">
          <cell r="A172" t="str">
            <v>Syrian Arab Republic</v>
          </cell>
          <cell r="B172" t="str">
            <v>SYR</v>
          </cell>
        </row>
        <row r="173">
          <cell r="A173" t="str">
            <v>Tajikistan</v>
          </cell>
          <cell r="B173" t="str">
            <v>TJK</v>
          </cell>
        </row>
        <row r="174">
          <cell r="A174" t="str">
            <v>Tanzania</v>
          </cell>
          <cell r="B174" t="str">
            <v>TZA</v>
          </cell>
        </row>
        <row r="175">
          <cell r="A175" t="str">
            <v>Thailand</v>
          </cell>
          <cell r="B175" t="str">
            <v>THA</v>
          </cell>
        </row>
        <row r="176">
          <cell r="A176" t="str">
            <v>Timor-Leste</v>
          </cell>
          <cell r="B176" t="str">
            <v>TLS</v>
          </cell>
        </row>
        <row r="177">
          <cell r="A177" t="str">
            <v>Togo</v>
          </cell>
          <cell r="B177" t="str">
            <v>TGO</v>
          </cell>
        </row>
        <row r="178">
          <cell r="A178" t="str">
            <v>Tonga</v>
          </cell>
          <cell r="B178" t="str">
            <v>TON</v>
          </cell>
        </row>
        <row r="179">
          <cell r="A179" t="str">
            <v>Trinidad and Tobago</v>
          </cell>
          <cell r="B179" t="str">
            <v>TTO</v>
          </cell>
        </row>
        <row r="180">
          <cell r="A180" t="str">
            <v>Tunisia</v>
          </cell>
          <cell r="B180" t="str">
            <v>TUN</v>
          </cell>
        </row>
        <row r="181">
          <cell r="A181" t="str">
            <v>Turkey</v>
          </cell>
          <cell r="B181" t="str">
            <v>TUR</v>
          </cell>
        </row>
        <row r="182">
          <cell r="A182" t="str">
            <v>Turkmenistan</v>
          </cell>
          <cell r="B182" t="str">
            <v>TKM</v>
          </cell>
        </row>
        <row r="183">
          <cell r="A183" t="str">
            <v>Uganda</v>
          </cell>
          <cell r="B183" t="str">
            <v>UGA</v>
          </cell>
        </row>
        <row r="184">
          <cell r="A184" t="str">
            <v>Ukraine</v>
          </cell>
          <cell r="B184" t="str">
            <v>UKR</v>
          </cell>
        </row>
        <row r="185">
          <cell r="A185" t="str">
            <v>United Arab Emirates</v>
          </cell>
          <cell r="B185" t="str">
            <v>ARE</v>
          </cell>
        </row>
        <row r="186">
          <cell r="A186" t="str">
            <v>United Kingdom</v>
          </cell>
          <cell r="B186" t="str">
            <v>GBR</v>
          </cell>
        </row>
        <row r="187">
          <cell r="A187" t="str">
            <v>United States</v>
          </cell>
          <cell r="B187" t="str">
            <v>USA</v>
          </cell>
        </row>
        <row r="188">
          <cell r="A188" t="str">
            <v>Uruguay</v>
          </cell>
          <cell r="B188" t="str">
            <v>URY</v>
          </cell>
        </row>
        <row r="189">
          <cell r="A189" t="str">
            <v>Virgin Islands (U.S.)</v>
          </cell>
          <cell r="B189" t="str">
            <v>VIR</v>
          </cell>
        </row>
        <row r="190">
          <cell r="A190" t="str">
            <v>Uzbekistan</v>
          </cell>
          <cell r="B190" t="str">
            <v>UZB</v>
          </cell>
        </row>
        <row r="191">
          <cell r="A191" t="str">
            <v>Vanuatu</v>
          </cell>
          <cell r="B191" t="str">
            <v>VUT</v>
          </cell>
        </row>
        <row r="192">
          <cell r="A192" t="str">
            <v>Venezuela, RB</v>
          </cell>
          <cell r="B192" t="str">
            <v>VEN</v>
          </cell>
        </row>
        <row r="193">
          <cell r="A193" t="str">
            <v>Vietnam</v>
          </cell>
          <cell r="B193" t="str">
            <v>VNM</v>
          </cell>
        </row>
        <row r="194">
          <cell r="A194" t="str">
            <v>Yemen, Rep.</v>
          </cell>
          <cell r="B194" t="str">
            <v>YEM</v>
          </cell>
        </row>
        <row r="195">
          <cell r="A195" t="str">
            <v>Zambia</v>
          </cell>
          <cell r="B195" t="str">
            <v>ZMB</v>
          </cell>
        </row>
        <row r="196">
          <cell r="A196" t="str">
            <v>Zimbabwe</v>
          </cell>
          <cell r="B196" t="str">
            <v>ZWE</v>
          </cell>
        </row>
      </sheetData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7C9B-C3FF-4631-812F-DA4C80ABE424}">
  <sheetPr>
    <tabColor theme="1"/>
  </sheetPr>
  <dimension ref="A1:N114"/>
  <sheetViews>
    <sheetView zoomScale="160" zoomScaleNormal="160" workbookViewId="0">
      <pane ySplit="9" topLeftCell="A10" activePane="bottomLeft" state="frozen"/>
      <selection activeCell="H9" sqref="H9"/>
      <selection pane="bottomLeft" activeCell="I25" sqref="I25"/>
    </sheetView>
  </sheetViews>
  <sheetFormatPr defaultColWidth="0" defaultRowHeight="14.5" zeroHeight="1" x14ac:dyDescent="0.35"/>
  <cols>
    <col min="1" max="2" width="8.81640625" customWidth="1"/>
    <col min="3" max="3" width="39.36328125" customWidth="1"/>
    <col min="4" max="4" width="2.54296875" customWidth="1"/>
    <col min="5" max="5" width="8.81640625" customWidth="1"/>
    <col min="6" max="6" width="23.54296875" customWidth="1"/>
    <col min="7" max="7" width="2.54296875" customWidth="1"/>
    <col min="8" max="8" width="8.81640625" customWidth="1"/>
    <col min="9" max="9" width="23.54296875" customWidth="1"/>
    <col min="10" max="10" width="2.54296875" customWidth="1"/>
    <col min="11" max="11" width="8.81640625" customWidth="1"/>
    <col min="12" max="12" width="23.54296875" customWidth="1"/>
    <col min="13" max="14" width="8.81640625" customWidth="1"/>
    <col min="15" max="16384" width="8.7265625" hidden="1"/>
  </cols>
  <sheetData>
    <row r="1" spans="1:14" ht="18.5" x14ac:dyDescent="0.45">
      <c r="A1" s="1" t="str">
        <f>CONCATENATE(B5," ",C4," SAM")</f>
        <v>2017 Rwanda SAM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5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5">
      <c r="A4" s="4" t="s">
        <v>1</v>
      </c>
      <c r="B4" s="5" t="s">
        <v>2</v>
      </c>
      <c r="C4" s="6" t="str">
        <f>IF(ISNA(INDEX([1]wEXR!$A$8:$A$196,MATCH([1]Notes!B4,[1]wEXR!$B$8:$B$196,0))),"Check name",INDEX([1]wEXR!$A$8:$A$196,MATCH([1]Notes!B4,[1]wEXR!$B$8:$B$196,0)))</f>
        <v>Rwanda</v>
      </c>
      <c r="D4" s="6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35">
      <c r="A5" s="4" t="s">
        <v>3</v>
      </c>
      <c r="B5" s="5">
        <v>2017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35">
      <c r="A6" s="4" t="s">
        <v>4</v>
      </c>
      <c r="B6" s="2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35">
      <c r="A7" s="7" t="s">
        <v>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5">
      <c r="A9" s="4" t="s">
        <v>120</v>
      </c>
      <c r="B9" s="2"/>
      <c r="C9" s="2"/>
      <c r="D9" s="2"/>
      <c r="E9" s="4" t="s">
        <v>94</v>
      </c>
      <c r="F9" s="2"/>
      <c r="G9" s="2"/>
      <c r="H9" s="4" t="s">
        <v>31</v>
      </c>
      <c r="I9" s="2"/>
      <c r="J9" s="2"/>
      <c r="K9" s="4" t="s">
        <v>7</v>
      </c>
      <c r="L9" s="2"/>
      <c r="M9" s="2"/>
      <c r="N9" s="2"/>
    </row>
    <row r="10" spans="1:14" x14ac:dyDescent="0.35">
      <c r="A10" s="2" t="str">
        <f>"a"&amp;MID(B10,2,4)</f>
        <v>asorg</v>
      </c>
      <c r="B10" s="2" t="s">
        <v>8</v>
      </c>
      <c r="C10" s="2" t="s">
        <v>9</v>
      </c>
      <c r="D10" s="2"/>
      <c r="E10" s="2" t="s">
        <v>95</v>
      </c>
      <c r="F10" s="2" t="s">
        <v>96</v>
      </c>
      <c r="G10" s="2"/>
      <c r="H10" s="2" t="s">
        <v>283</v>
      </c>
      <c r="I10" s="2" t="s">
        <v>284</v>
      </c>
      <c r="J10" s="2"/>
      <c r="K10" s="2" t="s">
        <v>10</v>
      </c>
      <c r="L10" s="2" t="s">
        <v>11</v>
      </c>
      <c r="M10" s="2"/>
      <c r="N10" s="2"/>
    </row>
    <row r="11" spans="1:14" x14ac:dyDescent="0.35">
      <c r="A11" s="2" t="str">
        <f t="shared" ref="A11:A74" si="0">"a"&amp;MID(B11,2,4)</f>
        <v>amaiz</v>
      </c>
      <c r="B11" s="2" t="s">
        <v>12</v>
      </c>
      <c r="C11" s="2" t="s">
        <v>13</v>
      </c>
      <c r="D11" s="2"/>
      <c r="E11" s="2" t="s">
        <v>97</v>
      </c>
      <c r="F11" s="2" t="s">
        <v>98</v>
      </c>
      <c r="G11" s="2"/>
      <c r="H11" s="2" t="s">
        <v>285</v>
      </c>
      <c r="I11" s="2" t="s">
        <v>286</v>
      </c>
      <c r="J11" s="2"/>
      <c r="K11" s="2" t="s">
        <v>14</v>
      </c>
      <c r="L11" s="2" t="s">
        <v>15</v>
      </c>
      <c r="M11" s="2"/>
      <c r="N11" s="2"/>
    </row>
    <row r="12" spans="1:14" x14ac:dyDescent="0.35">
      <c r="A12" s="2" t="str">
        <f t="shared" si="0"/>
        <v>awhea</v>
      </c>
      <c r="B12" s="2" t="s">
        <v>16</v>
      </c>
      <c r="C12" s="2" t="s">
        <v>17</v>
      </c>
      <c r="D12" s="2"/>
      <c r="E12" s="2" t="s">
        <v>99</v>
      </c>
      <c r="F12" s="2" t="s">
        <v>100</v>
      </c>
      <c r="G12" s="2"/>
      <c r="H12" s="2" t="s">
        <v>287</v>
      </c>
      <c r="I12" s="2" t="s">
        <v>288</v>
      </c>
      <c r="J12" s="2"/>
      <c r="K12" s="2" t="s">
        <v>18</v>
      </c>
      <c r="L12" s="2" t="s">
        <v>19</v>
      </c>
      <c r="M12" s="2"/>
      <c r="N12" s="2"/>
    </row>
    <row r="13" spans="1:14" x14ac:dyDescent="0.35">
      <c r="A13" s="2" t="str">
        <f t="shared" si="0"/>
        <v>arice</v>
      </c>
      <c r="B13" s="2" t="s">
        <v>20</v>
      </c>
      <c r="C13" s="2" t="s">
        <v>21</v>
      </c>
      <c r="D13" s="2"/>
      <c r="E13" s="2" t="s">
        <v>101</v>
      </c>
      <c r="F13" s="2" t="s">
        <v>102</v>
      </c>
      <c r="G13" s="2"/>
      <c r="H13" s="2" t="s">
        <v>289</v>
      </c>
      <c r="I13" s="2" t="s">
        <v>290</v>
      </c>
      <c r="J13" s="2"/>
      <c r="K13" s="2" t="s">
        <v>22</v>
      </c>
      <c r="L13" s="2" t="s">
        <v>23</v>
      </c>
      <c r="M13" s="2"/>
      <c r="N13" s="2"/>
    </row>
    <row r="14" spans="1:14" x14ac:dyDescent="0.35">
      <c r="A14" s="2" t="str">
        <f t="shared" si="0"/>
        <v>aocer</v>
      </c>
      <c r="B14" s="2" t="s">
        <v>24</v>
      </c>
      <c r="C14" s="2" t="s">
        <v>25</v>
      </c>
      <c r="D14" s="2"/>
      <c r="E14" s="2" t="s">
        <v>103</v>
      </c>
      <c r="F14" s="2" t="s">
        <v>104</v>
      </c>
      <c r="G14" s="2"/>
      <c r="H14" s="2" t="s">
        <v>291</v>
      </c>
      <c r="I14" s="2" t="s">
        <v>292</v>
      </c>
      <c r="J14" s="2"/>
      <c r="K14" s="2" t="s">
        <v>26</v>
      </c>
      <c r="L14" s="2" t="s">
        <v>27</v>
      </c>
      <c r="M14" s="2"/>
      <c r="N14" s="2"/>
    </row>
    <row r="15" spans="1:14" x14ac:dyDescent="0.35">
      <c r="A15" s="2" t="str">
        <f t="shared" si="0"/>
        <v>aipot</v>
      </c>
      <c r="B15" s="2" t="s">
        <v>28</v>
      </c>
      <c r="C15" s="2" t="s">
        <v>29</v>
      </c>
      <c r="D15" s="2"/>
      <c r="E15" s="2" t="s">
        <v>105</v>
      </c>
      <c r="F15" s="2" t="s">
        <v>106</v>
      </c>
      <c r="G15" s="2"/>
      <c r="H15" s="2" t="s">
        <v>293</v>
      </c>
      <c r="I15" s="2" t="s">
        <v>294</v>
      </c>
      <c r="J15" s="2"/>
      <c r="K15" s="2" t="s">
        <v>30</v>
      </c>
      <c r="L15" s="2" t="s">
        <v>31</v>
      </c>
      <c r="M15" s="2"/>
      <c r="N15" s="2"/>
    </row>
    <row r="16" spans="1:14" x14ac:dyDescent="0.35">
      <c r="A16" s="2" t="str">
        <f t="shared" si="0"/>
        <v>aspot</v>
      </c>
      <c r="B16" s="2" t="s">
        <v>32</v>
      </c>
      <c r="C16" s="2" t="s">
        <v>33</v>
      </c>
      <c r="D16" s="2"/>
      <c r="E16" s="2" t="s">
        <v>107</v>
      </c>
      <c r="F16" s="2" t="s">
        <v>108</v>
      </c>
      <c r="G16" s="2"/>
      <c r="H16" s="2" t="s">
        <v>295</v>
      </c>
      <c r="I16" s="2" t="s">
        <v>296</v>
      </c>
      <c r="J16" s="2"/>
      <c r="K16" s="2" t="s">
        <v>34</v>
      </c>
      <c r="L16" s="2" t="s">
        <v>35</v>
      </c>
      <c r="M16" s="2"/>
      <c r="N16" s="2"/>
    </row>
    <row r="17" spans="1:14" x14ac:dyDescent="0.35">
      <c r="A17" s="2" t="str">
        <f t="shared" si="0"/>
        <v>acass</v>
      </c>
      <c r="B17" s="2" t="s">
        <v>36</v>
      </c>
      <c r="C17" s="2" t="s">
        <v>37</v>
      </c>
      <c r="D17" s="2"/>
      <c r="E17" s="2" t="s">
        <v>109</v>
      </c>
      <c r="F17" s="2" t="s">
        <v>110</v>
      </c>
      <c r="G17" s="2"/>
      <c r="H17" s="2" t="s">
        <v>297</v>
      </c>
      <c r="I17" s="2" t="s">
        <v>298</v>
      </c>
      <c r="J17" s="2"/>
      <c r="K17" s="2" t="s">
        <v>38</v>
      </c>
      <c r="L17" s="2" t="s">
        <v>39</v>
      </c>
      <c r="M17" s="2"/>
      <c r="N17" s="2"/>
    </row>
    <row r="18" spans="1:14" x14ac:dyDescent="0.35">
      <c r="A18" s="2" t="str">
        <f t="shared" si="0"/>
        <v>aroot</v>
      </c>
      <c r="B18" s="2" t="s">
        <v>40</v>
      </c>
      <c r="C18" s="2" t="s">
        <v>41</v>
      </c>
      <c r="D18" s="2"/>
      <c r="E18" s="2" t="s">
        <v>327</v>
      </c>
      <c r="F18" s="2" t="s">
        <v>313</v>
      </c>
      <c r="G18" s="2"/>
      <c r="H18" s="2" t="s">
        <v>299</v>
      </c>
      <c r="I18" s="2" t="s">
        <v>300</v>
      </c>
      <c r="J18" s="2"/>
      <c r="K18" s="2" t="s">
        <v>42</v>
      </c>
      <c r="L18" s="2" t="s">
        <v>43</v>
      </c>
      <c r="M18" s="2"/>
      <c r="N18" s="2"/>
    </row>
    <row r="19" spans="1:14" x14ac:dyDescent="0.35">
      <c r="A19" s="2" t="str">
        <f t="shared" si="0"/>
        <v>abean</v>
      </c>
      <c r="B19" s="2" t="s">
        <v>44</v>
      </c>
      <c r="C19" s="2" t="s">
        <v>45</v>
      </c>
      <c r="D19" s="2"/>
      <c r="E19" s="2" t="s">
        <v>328</v>
      </c>
      <c r="F19" s="2" t="s">
        <v>314</v>
      </c>
      <c r="G19" s="2"/>
      <c r="H19" s="2" t="s">
        <v>301</v>
      </c>
      <c r="I19" s="2" t="s">
        <v>302</v>
      </c>
      <c r="J19" s="2"/>
      <c r="K19" s="2" t="s">
        <v>46</v>
      </c>
      <c r="L19" s="2" t="s">
        <v>47</v>
      </c>
      <c r="M19" s="2"/>
      <c r="N19" s="2"/>
    </row>
    <row r="20" spans="1:14" x14ac:dyDescent="0.35">
      <c r="A20" s="2" t="str">
        <f t="shared" si="0"/>
        <v>apeas</v>
      </c>
      <c r="B20" s="2" t="s">
        <v>48</v>
      </c>
      <c r="C20" s="2" t="s">
        <v>49</v>
      </c>
      <c r="D20" s="2"/>
      <c r="E20" s="2" t="s">
        <v>329</v>
      </c>
      <c r="F20" s="2" t="s">
        <v>315</v>
      </c>
      <c r="G20" s="2"/>
      <c r="H20" s="2" t="s">
        <v>303</v>
      </c>
      <c r="I20" s="2" t="s">
        <v>304</v>
      </c>
      <c r="J20" s="2"/>
      <c r="K20" s="2" t="s">
        <v>50</v>
      </c>
      <c r="L20" s="2" t="s">
        <v>51</v>
      </c>
      <c r="M20" s="2"/>
      <c r="N20" s="2"/>
    </row>
    <row r="21" spans="1:14" x14ac:dyDescent="0.35">
      <c r="A21" s="2" t="str">
        <f t="shared" si="0"/>
        <v>avege</v>
      </c>
      <c r="B21" s="2" t="s">
        <v>52</v>
      </c>
      <c r="C21" s="2" t="s">
        <v>53</v>
      </c>
      <c r="D21" s="2"/>
      <c r="E21" s="2" t="s">
        <v>330</v>
      </c>
      <c r="F21" s="2" t="s">
        <v>316</v>
      </c>
      <c r="G21" s="2"/>
      <c r="H21" s="2" t="s">
        <v>305</v>
      </c>
      <c r="I21" s="2" t="s">
        <v>306</v>
      </c>
      <c r="J21" s="2"/>
      <c r="K21" s="2" t="s">
        <v>54</v>
      </c>
      <c r="L21" s="2" t="s">
        <v>55</v>
      </c>
      <c r="M21" s="2"/>
      <c r="N21" s="2"/>
    </row>
    <row r="22" spans="1:14" x14ac:dyDescent="0.35">
      <c r="A22" s="2" t="str">
        <f t="shared" si="0"/>
        <v>abanb</v>
      </c>
      <c r="B22" s="2" t="s">
        <v>56</v>
      </c>
      <c r="C22" s="2" t="s">
        <v>57</v>
      </c>
      <c r="D22" s="2"/>
      <c r="E22" s="2" t="s">
        <v>18</v>
      </c>
      <c r="F22" s="2" t="s">
        <v>111</v>
      </c>
      <c r="G22" s="2"/>
      <c r="H22" s="2" t="s">
        <v>307</v>
      </c>
      <c r="I22" s="2" t="s">
        <v>308</v>
      </c>
      <c r="J22" s="2"/>
      <c r="K22" s="2" t="s">
        <v>58</v>
      </c>
      <c r="L22" s="2" t="s">
        <v>59</v>
      </c>
      <c r="M22" s="2"/>
      <c r="N22" s="2"/>
    </row>
    <row r="23" spans="1:14" x14ac:dyDescent="0.35">
      <c r="A23" s="2" t="str">
        <f t="shared" si="0"/>
        <v>abanc</v>
      </c>
      <c r="B23" s="2" t="s">
        <v>60</v>
      </c>
      <c r="C23" s="2" t="s">
        <v>61</v>
      </c>
      <c r="D23" s="2"/>
      <c r="E23" s="2" t="s">
        <v>112</v>
      </c>
      <c r="F23" s="2" t="s">
        <v>113</v>
      </c>
      <c r="G23" s="2"/>
      <c r="H23" s="2" t="s">
        <v>309</v>
      </c>
      <c r="I23" s="2" t="s">
        <v>310</v>
      </c>
      <c r="J23" s="2"/>
      <c r="K23" s="2" t="s">
        <v>62</v>
      </c>
      <c r="L23" s="2" t="s">
        <v>63</v>
      </c>
      <c r="M23" s="2"/>
      <c r="N23" s="2"/>
    </row>
    <row r="24" spans="1:14" x14ac:dyDescent="0.35">
      <c r="A24" s="2" t="str">
        <f t="shared" si="0"/>
        <v>abans</v>
      </c>
      <c r="B24" s="2" t="s">
        <v>64</v>
      </c>
      <c r="C24" s="2" t="s">
        <v>65</v>
      </c>
      <c r="D24" s="2"/>
      <c r="E24" s="2" t="s">
        <v>114</v>
      </c>
      <c r="F24" s="2" t="s">
        <v>115</v>
      </c>
      <c r="G24" s="2"/>
      <c r="H24" s="2" t="s">
        <v>311</v>
      </c>
      <c r="I24" s="2" t="s">
        <v>312</v>
      </c>
      <c r="J24" s="2"/>
      <c r="K24" s="2" t="s">
        <v>66</v>
      </c>
      <c r="L24" s="2" t="s">
        <v>67</v>
      </c>
      <c r="M24" s="2"/>
      <c r="N24" s="2"/>
    </row>
    <row r="25" spans="1:14" x14ac:dyDescent="0.35">
      <c r="A25" s="2" t="str">
        <f t="shared" si="0"/>
        <v>afrui</v>
      </c>
      <c r="B25" s="2" t="s">
        <v>68</v>
      </c>
      <c r="C25" s="2" t="s">
        <v>69</v>
      </c>
      <c r="D25" s="2"/>
      <c r="E25" s="2" t="s">
        <v>116</v>
      </c>
      <c r="F25" s="2" t="s">
        <v>117</v>
      </c>
      <c r="G25" s="2"/>
      <c r="H25" s="2" t="s">
        <v>322</v>
      </c>
      <c r="I25" s="2" t="s">
        <v>317</v>
      </c>
      <c r="J25" s="2"/>
      <c r="K25" s="2" t="s">
        <v>70</v>
      </c>
      <c r="L25" s="2" t="s">
        <v>71</v>
      </c>
      <c r="M25" s="2"/>
      <c r="N25" s="2"/>
    </row>
    <row r="26" spans="1:14" x14ac:dyDescent="0.35">
      <c r="A26" s="2" t="str">
        <f t="shared" si="0"/>
        <v>agnut</v>
      </c>
      <c r="B26" s="2" t="s">
        <v>72</v>
      </c>
      <c r="C26" s="2" t="s">
        <v>73</v>
      </c>
      <c r="D26" s="2"/>
      <c r="E26" s="2" t="s">
        <v>118</v>
      </c>
      <c r="F26" s="2" t="s">
        <v>119</v>
      </c>
      <c r="G26" s="2"/>
      <c r="H26" s="2" t="s">
        <v>323</v>
      </c>
      <c r="I26" s="2" t="s">
        <v>318</v>
      </c>
      <c r="J26" s="2"/>
      <c r="K26" s="2" t="s">
        <v>74</v>
      </c>
      <c r="L26" s="2" t="s">
        <v>75</v>
      </c>
      <c r="M26" s="2"/>
      <c r="N26" s="2"/>
    </row>
    <row r="27" spans="1:14" x14ac:dyDescent="0.35">
      <c r="A27" s="2" t="str">
        <f t="shared" si="0"/>
        <v>asoya</v>
      </c>
      <c r="B27" s="2" t="s">
        <v>76</v>
      </c>
      <c r="C27" s="2" t="s">
        <v>77</v>
      </c>
      <c r="D27" s="2"/>
      <c r="E27" s="2"/>
      <c r="F27" s="2"/>
      <c r="G27" s="2"/>
      <c r="H27" s="2" t="s">
        <v>324</v>
      </c>
      <c r="I27" s="2" t="s">
        <v>319</v>
      </c>
      <c r="J27" s="2"/>
      <c r="K27" s="2" t="s">
        <v>78</v>
      </c>
      <c r="L27" s="2" t="s">
        <v>79</v>
      </c>
      <c r="M27" s="2"/>
      <c r="N27" s="2"/>
    </row>
    <row r="28" spans="1:14" x14ac:dyDescent="0.35">
      <c r="A28" s="2" t="str">
        <f t="shared" si="0"/>
        <v>aoils</v>
      </c>
      <c r="B28" s="2" t="s">
        <v>80</v>
      </c>
      <c r="C28" s="2" t="s">
        <v>81</v>
      </c>
      <c r="D28" s="2"/>
      <c r="E28" s="2"/>
      <c r="F28" s="2"/>
      <c r="G28" s="2"/>
      <c r="H28" s="2" t="s">
        <v>325</v>
      </c>
      <c r="I28" s="2" t="s">
        <v>320</v>
      </c>
      <c r="J28" s="2"/>
      <c r="K28" s="2" t="s">
        <v>82</v>
      </c>
      <c r="L28" s="2" t="s">
        <v>83</v>
      </c>
      <c r="M28" s="2"/>
      <c r="N28" s="2"/>
    </row>
    <row r="29" spans="1:14" x14ac:dyDescent="0.35">
      <c r="A29" s="2" t="str">
        <f t="shared" si="0"/>
        <v>acoff</v>
      </c>
      <c r="B29" s="2" t="s">
        <v>84</v>
      </c>
      <c r="C29" s="2" t="s">
        <v>85</v>
      </c>
      <c r="D29" s="2"/>
      <c r="E29" s="2"/>
      <c r="F29" s="2"/>
      <c r="G29" s="2"/>
      <c r="H29" s="2" t="s">
        <v>326</v>
      </c>
      <c r="I29" s="2" t="s">
        <v>321</v>
      </c>
      <c r="J29" s="2"/>
      <c r="K29" s="2" t="s">
        <v>86</v>
      </c>
      <c r="L29" s="2" t="s">
        <v>87</v>
      </c>
      <c r="M29" s="2"/>
      <c r="N29" s="2"/>
    </row>
    <row r="30" spans="1:14" x14ac:dyDescent="0.35">
      <c r="A30" s="2" t="str">
        <f t="shared" si="0"/>
        <v>ateal</v>
      </c>
      <c r="B30" s="2" t="s">
        <v>88</v>
      </c>
      <c r="C30" s="2" t="s">
        <v>89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35">
      <c r="A31" s="2" t="str">
        <f t="shared" si="0"/>
        <v>atoba</v>
      </c>
      <c r="B31" s="2" t="s">
        <v>90</v>
      </c>
      <c r="C31" s="2" t="s">
        <v>91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35">
      <c r="A32" s="2" t="str">
        <f t="shared" si="0"/>
        <v>asugr</v>
      </c>
      <c r="B32" s="2" t="s">
        <v>92</v>
      </c>
      <c r="C32" s="2" t="s">
        <v>93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35">
      <c r="A33" s="2" t="str">
        <f t="shared" si="0"/>
        <v>apyre</v>
      </c>
      <c r="B33" s="2" t="s">
        <v>121</v>
      </c>
      <c r="C33" s="2" t="s">
        <v>122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35">
      <c r="A34" s="2" t="str">
        <f t="shared" si="0"/>
        <v>aocrp</v>
      </c>
      <c r="B34" s="2" t="s">
        <v>123</v>
      </c>
      <c r="C34" s="2" t="s">
        <v>124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35">
      <c r="A35" s="2" t="str">
        <f t="shared" si="0"/>
        <v>acatt</v>
      </c>
      <c r="B35" s="2" t="s">
        <v>125</v>
      </c>
      <c r="C35" s="2" t="s">
        <v>126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35">
      <c r="A36" s="2" t="str">
        <f t="shared" si="0"/>
        <v>asmlr</v>
      </c>
      <c r="B36" s="2" t="s">
        <v>127</v>
      </c>
      <c r="C36" s="2" t="s">
        <v>128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35">
      <c r="A37" s="2" t="str">
        <f t="shared" si="0"/>
        <v>apoul</v>
      </c>
      <c r="B37" s="2" t="s">
        <v>129</v>
      </c>
      <c r="C37" s="2" t="s">
        <v>130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35">
      <c r="A38" s="2" t="str">
        <f t="shared" si="0"/>
        <v>aoliv</v>
      </c>
      <c r="B38" s="2" t="s">
        <v>131</v>
      </c>
      <c r="C38" s="2" t="s">
        <v>132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35">
      <c r="A39" s="2" t="str">
        <f t="shared" si="0"/>
        <v>amilk</v>
      </c>
      <c r="B39" s="2" t="s">
        <v>133</v>
      </c>
      <c r="C39" s="2" t="s">
        <v>134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35">
      <c r="A40" s="2" t="str">
        <f t="shared" si="0"/>
        <v>aeggs</v>
      </c>
      <c r="B40" s="2" t="s">
        <v>135</v>
      </c>
      <c r="C40" s="2" t="s">
        <v>136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35">
      <c r="A41" s="2" t="str">
        <f t="shared" si="0"/>
        <v>ahony</v>
      </c>
      <c r="B41" s="2" t="s">
        <v>137</v>
      </c>
      <c r="C41" s="2" t="s">
        <v>138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35">
      <c r="A42" s="2" t="str">
        <f t="shared" si="0"/>
        <v>ahunt</v>
      </c>
      <c r="B42" s="2" t="s">
        <v>139</v>
      </c>
      <c r="C42" s="2" t="s">
        <v>140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35">
      <c r="A43" s="2" t="str">
        <f t="shared" si="0"/>
        <v>afuel</v>
      </c>
      <c r="B43" s="2" t="s">
        <v>141</v>
      </c>
      <c r="C43" s="2" t="s">
        <v>142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35">
      <c r="A44" s="2" t="str">
        <f t="shared" si="0"/>
        <v>achar</v>
      </c>
      <c r="B44" s="2" t="s">
        <v>143</v>
      </c>
      <c r="C44" s="2" t="s">
        <v>144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35">
      <c r="A45" s="2" t="str">
        <f t="shared" si="0"/>
        <v>afore</v>
      </c>
      <c r="B45" s="2" t="s">
        <v>145</v>
      </c>
      <c r="C45" s="2" t="s">
        <v>146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35">
      <c r="A46" s="2" t="str">
        <f t="shared" si="0"/>
        <v>afish</v>
      </c>
      <c r="B46" s="2" t="s">
        <v>147</v>
      </c>
      <c r="C46" s="2" t="s">
        <v>148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35">
      <c r="A47" s="2" t="str">
        <f t="shared" si="0"/>
        <v>angas</v>
      </c>
      <c r="B47" s="2" t="s">
        <v>149</v>
      </c>
      <c r="C47" s="2" t="s">
        <v>150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35">
      <c r="A48" s="2" t="str">
        <f t="shared" si="0"/>
        <v>amore</v>
      </c>
      <c r="B48" s="2" t="s">
        <v>151</v>
      </c>
      <c r="C48" s="2" t="s">
        <v>152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35">
      <c r="A49" s="2" t="str">
        <f t="shared" si="0"/>
        <v>aomin</v>
      </c>
      <c r="B49" s="2" t="s">
        <v>153</v>
      </c>
      <c r="C49" s="2" t="s">
        <v>154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35">
      <c r="A50" s="2" t="str">
        <f t="shared" si="0"/>
        <v>ameat</v>
      </c>
      <c r="B50" s="2" t="s">
        <v>155</v>
      </c>
      <c r="C50" s="2" t="s">
        <v>156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35">
      <c r="A51" s="2" t="str">
        <f t="shared" si="0"/>
        <v>afsea</v>
      </c>
      <c r="B51" s="2" t="s">
        <v>157</v>
      </c>
      <c r="C51" s="2" t="s">
        <v>158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35">
      <c r="A52" s="2" t="str">
        <f t="shared" si="0"/>
        <v>afveg</v>
      </c>
      <c r="B52" s="2" t="s">
        <v>159</v>
      </c>
      <c r="C52" s="2" t="s">
        <v>160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35">
      <c r="A53" s="2" t="str">
        <f t="shared" si="0"/>
        <v>afoil</v>
      </c>
      <c r="B53" s="2" t="s">
        <v>161</v>
      </c>
      <c r="C53" s="2" t="s">
        <v>162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35">
      <c r="A54" s="2" t="str">
        <f t="shared" si="0"/>
        <v>adair</v>
      </c>
      <c r="B54" s="2" t="s">
        <v>163</v>
      </c>
      <c r="C54" s="2" t="s">
        <v>164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35">
      <c r="A55" s="2" t="str">
        <f t="shared" si="0"/>
        <v>agmll</v>
      </c>
      <c r="B55" s="2" t="s">
        <v>165</v>
      </c>
      <c r="C55" s="2" t="s">
        <v>166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35">
      <c r="A56" s="2" t="str">
        <f t="shared" si="0"/>
        <v>abake</v>
      </c>
      <c r="B56" s="2" t="s">
        <v>167</v>
      </c>
      <c r="C56" s="2" t="s">
        <v>168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35">
      <c r="A57" s="2" t="str">
        <f t="shared" si="0"/>
        <v>afeed</v>
      </c>
      <c r="B57" s="2" t="s">
        <v>169</v>
      </c>
      <c r="C57" s="2" t="s">
        <v>170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35">
      <c r="A58" s="2" t="str">
        <f t="shared" si="0"/>
        <v>afood</v>
      </c>
      <c r="B58" s="2" t="s">
        <v>171</v>
      </c>
      <c r="C58" s="2" t="s">
        <v>172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35">
      <c r="A59" s="2" t="str">
        <f t="shared" si="0"/>
        <v>aalco</v>
      </c>
      <c r="B59" s="2" t="s">
        <v>173</v>
      </c>
      <c r="C59" s="2" t="s">
        <v>174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35">
      <c r="A60" s="2" t="str">
        <f t="shared" si="0"/>
        <v>abeve</v>
      </c>
      <c r="B60" s="2" t="s">
        <v>175</v>
      </c>
      <c r="C60" s="2" t="s">
        <v>176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35">
      <c r="A61" s="2" t="str">
        <f t="shared" si="0"/>
        <v>aptob</v>
      </c>
      <c r="B61" s="2" t="s">
        <v>177</v>
      </c>
      <c r="C61" s="2" t="s">
        <v>178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35">
      <c r="A62" s="2" t="str">
        <f t="shared" si="0"/>
        <v>atext</v>
      </c>
      <c r="B62" s="2" t="s">
        <v>179</v>
      </c>
      <c r="C62" s="2" t="s">
        <v>180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35">
      <c r="A63" s="2" t="str">
        <f t="shared" si="0"/>
        <v>awood</v>
      </c>
      <c r="B63" s="2" t="s">
        <v>181</v>
      </c>
      <c r="C63" s="2" t="s">
        <v>182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35">
      <c r="A64" s="2" t="str">
        <f t="shared" si="0"/>
        <v>aprnt</v>
      </c>
      <c r="B64" s="2" t="s">
        <v>183</v>
      </c>
      <c r="C64" s="2" t="s">
        <v>184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35">
      <c r="A65" s="2" t="str">
        <f t="shared" si="0"/>
        <v>apetr</v>
      </c>
      <c r="B65" s="2" t="s">
        <v>185</v>
      </c>
      <c r="C65" s="2" t="s">
        <v>186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35">
      <c r="A66" s="2" t="str">
        <f t="shared" si="0"/>
        <v>achem</v>
      </c>
      <c r="B66" s="2" t="s">
        <v>187</v>
      </c>
      <c r="C66" s="2" t="s">
        <v>188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35">
      <c r="A67" s="2" t="str">
        <f t="shared" si="0"/>
        <v>aphar</v>
      </c>
      <c r="B67" s="2" t="s">
        <v>189</v>
      </c>
      <c r="C67" s="2" t="s">
        <v>190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35">
      <c r="A68" s="2" t="str">
        <f t="shared" si="0"/>
        <v>aprub</v>
      </c>
      <c r="B68" s="2" t="s">
        <v>191</v>
      </c>
      <c r="C68" s="2" t="s">
        <v>192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35">
      <c r="A69" s="2" t="str">
        <f t="shared" si="0"/>
        <v>anmet</v>
      </c>
      <c r="B69" s="2" t="s">
        <v>193</v>
      </c>
      <c r="C69" s="2" t="s">
        <v>194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35">
      <c r="A70" s="2" t="str">
        <f t="shared" si="0"/>
        <v>aceme</v>
      </c>
      <c r="B70" s="2" t="s">
        <v>195</v>
      </c>
      <c r="C70" s="2" t="s">
        <v>196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35">
      <c r="A71" s="2" t="str">
        <f t="shared" si="0"/>
        <v>aclay</v>
      </c>
      <c r="B71" s="2" t="s">
        <v>197</v>
      </c>
      <c r="C71" s="2" t="s">
        <v>198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35">
      <c r="A72" s="2" t="str">
        <f t="shared" si="0"/>
        <v>ametl</v>
      </c>
      <c r="B72" s="2" t="s">
        <v>199</v>
      </c>
      <c r="C72" s="2" t="s">
        <v>200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35">
      <c r="A73" s="2" t="str">
        <f t="shared" si="0"/>
        <v>amach</v>
      </c>
      <c r="B73" s="2" t="s">
        <v>201</v>
      </c>
      <c r="C73" s="2" t="s">
        <v>202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35">
      <c r="A74" s="2" t="str">
        <f t="shared" si="0"/>
        <v>avehi</v>
      </c>
      <c r="B74" s="2" t="s">
        <v>203</v>
      </c>
      <c r="C74" s="2" t="s">
        <v>204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35">
      <c r="A75" s="2" t="str">
        <f t="shared" ref="A75:A113" si="1">"a"&amp;MID(B75,2,4)</f>
        <v>afurn</v>
      </c>
      <c r="B75" s="2" t="s">
        <v>205</v>
      </c>
      <c r="C75" s="2" t="s">
        <v>206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35">
      <c r="A76" s="2" t="str">
        <f t="shared" si="1"/>
        <v>aoman</v>
      </c>
      <c r="B76" s="2" t="s">
        <v>207</v>
      </c>
      <c r="C76" s="2" t="s">
        <v>208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35">
      <c r="A77" s="2" t="str">
        <f t="shared" si="1"/>
        <v>arepr</v>
      </c>
      <c r="B77" s="2" t="s">
        <v>209</v>
      </c>
      <c r="C77" s="2" t="s">
        <v>210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35">
      <c r="A78" s="2" t="str">
        <f t="shared" si="1"/>
        <v>aelec</v>
      </c>
      <c r="B78" s="2" t="s">
        <v>211</v>
      </c>
      <c r="C78" s="2" t="s">
        <v>212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35">
      <c r="A79" s="2" t="str">
        <f t="shared" si="1"/>
        <v>awatr</v>
      </c>
      <c r="B79" s="2" t="s">
        <v>213</v>
      </c>
      <c r="C79" s="2" t="s">
        <v>214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35">
      <c r="A80" s="2" t="str">
        <f t="shared" si="1"/>
        <v>awast</v>
      </c>
      <c r="B80" s="2" t="s">
        <v>215</v>
      </c>
      <c r="C80" s="2" t="s">
        <v>216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35">
      <c r="A81" s="2" t="str">
        <f t="shared" si="1"/>
        <v>acons</v>
      </c>
      <c r="B81" s="2" t="s">
        <v>217</v>
      </c>
      <c r="C81" s="2" t="s">
        <v>218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35">
      <c r="A82" s="2" t="str">
        <f t="shared" si="1"/>
        <v>acont</v>
      </c>
      <c r="B82" s="2" t="s">
        <v>219</v>
      </c>
      <c r="C82" s="2" t="s">
        <v>220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35">
      <c r="A83" s="2" t="str">
        <f t="shared" si="1"/>
        <v>avehr</v>
      </c>
      <c r="B83" s="2" t="s">
        <v>221</v>
      </c>
      <c r="C83" s="2" t="s">
        <v>222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35">
      <c r="A84" s="2" t="str">
        <f t="shared" si="1"/>
        <v>aveht</v>
      </c>
      <c r="B84" s="2" t="s">
        <v>223</v>
      </c>
      <c r="C84" s="2" t="s">
        <v>224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35">
      <c r="A85" s="2" t="str">
        <f t="shared" si="1"/>
        <v>atrdw</v>
      </c>
      <c r="B85" s="2" t="s">
        <v>225</v>
      </c>
      <c r="C85" s="2" t="s">
        <v>226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35">
      <c r="A86" s="2" t="str">
        <f t="shared" si="1"/>
        <v>atrdr</v>
      </c>
      <c r="B86" s="2" t="s">
        <v>227</v>
      </c>
      <c r="C86" s="2" t="s">
        <v>228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35">
      <c r="A87" s="2" t="str">
        <f t="shared" si="1"/>
        <v>atrnl</v>
      </c>
      <c r="B87" s="2" t="s">
        <v>229</v>
      </c>
      <c r="C87" s="2" t="s">
        <v>230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35">
      <c r="A88" s="2" t="str">
        <f t="shared" si="1"/>
        <v>atrna</v>
      </c>
      <c r="B88" s="2" t="s">
        <v>231</v>
      </c>
      <c r="C88" s="2" t="s">
        <v>232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35">
      <c r="A89" s="2" t="str">
        <f t="shared" si="1"/>
        <v>atrns</v>
      </c>
      <c r="B89" s="2" t="s">
        <v>233</v>
      </c>
      <c r="C89" s="2" t="s">
        <v>234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35">
      <c r="A90" s="2" t="str">
        <f t="shared" si="1"/>
        <v>apost</v>
      </c>
      <c r="B90" s="2" t="s">
        <v>235</v>
      </c>
      <c r="C90" s="2" t="s">
        <v>236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35">
      <c r="A91" s="2" t="str">
        <f t="shared" si="1"/>
        <v>ahotl</v>
      </c>
      <c r="B91" s="2" t="s">
        <v>237</v>
      </c>
      <c r="C91" s="2" t="s">
        <v>238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x14ac:dyDescent="0.35">
      <c r="A92" s="2" t="str">
        <f t="shared" si="1"/>
        <v>apubl</v>
      </c>
      <c r="B92" s="2" t="s">
        <v>239</v>
      </c>
      <c r="C92" s="2" t="s">
        <v>240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35">
      <c r="A93" s="2" t="str">
        <f t="shared" si="1"/>
        <v>acomm</v>
      </c>
      <c r="B93" s="2" t="s">
        <v>241</v>
      </c>
      <c r="C93" s="2" t="s">
        <v>242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35">
      <c r="A94" s="2" t="str">
        <f t="shared" si="1"/>
        <v>ainfo</v>
      </c>
      <c r="B94" s="2" t="s">
        <v>243</v>
      </c>
      <c r="C94" s="2" t="s">
        <v>244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35">
      <c r="A95" s="2" t="str">
        <f t="shared" si="1"/>
        <v>abank</v>
      </c>
      <c r="B95" s="2" t="s">
        <v>245</v>
      </c>
      <c r="C95" s="2" t="s">
        <v>246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35">
      <c r="A96" s="2" t="str">
        <f t="shared" si="1"/>
        <v>ainsu</v>
      </c>
      <c r="B96" s="2" t="s">
        <v>247</v>
      </c>
      <c r="C96" s="2" t="s">
        <v>248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35">
      <c r="A97" s="2" t="str">
        <f t="shared" si="1"/>
        <v>aofsv</v>
      </c>
      <c r="B97" s="2" t="s">
        <v>249</v>
      </c>
      <c r="C97" s="2" t="s">
        <v>250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35">
      <c r="A98" s="2" t="str">
        <f t="shared" si="1"/>
        <v>arent</v>
      </c>
      <c r="B98" s="2" t="s">
        <v>251</v>
      </c>
      <c r="C98" s="2" t="s">
        <v>252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35">
      <c r="A99" s="2" t="str">
        <f t="shared" si="1"/>
        <v>areal</v>
      </c>
      <c r="B99" s="2" t="s">
        <v>253</v>
      </c>
      <c r="C99" s="2" t="s">
        <v>254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35">
      <c r="A100" s="2" t="str">
        <f t="shared" si="1"/>
        <v>alegl</v>
      </c>
      <c r="B100" s="2" t="s">
        <v>255</v>
      </c>
      <c r="C100" s="2" t="s">
        <v>256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35">
      <c r="A101" s="2" t="str">
        <f t="shared" si="1"/>
        <v>aenga</v>
      </c>
      <c r="B101" s="2" t="s">
        <v>257</v>
      </c>
      <c r="C101" s="2" t="s">
        <v>258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35">
      <c r="A102" s="2" t="str">
        <f t="shared" si="1"/>
        <v>aprod</v>
      </c>
      <c r="B102" s="2" t="s">
        <v>259</v>
      </c>
      <c r="C102" s="2" t="s">
        <v>260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35">
      <c r="A103" s="2" t="str">
        <f t="shared" si="1"/>
        <v>atrvl</v>
      </c>
      <c r="B103" s="2" t="s">
        <v>261</v>
      </c>
      <c r="C103" s="2" t="s">
        <v>262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35">
      <c r="A104" s="2" t="str">
        <f t="shared" si="1"/>
        <v>aobsv</v>
      </c>
      <c r="B104" s="2" t="s">
        <v>263</v>
      </c>
      <c r="C104" s="2" t="s">
        <v>264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35">
      <c r="A105" s="2" t="str">
        <f t="shared" si="1"/>
        <v>apadm</v>
      </c>
      <c r="B105" s="2" t="s">
        <v>265</v>
      </c>
      <c r="C105" s="2" t="s">
        <v>266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35">
      <c r="A106" s="2" t="str">
        <f t="shared" si="1"/>
        <v>aeduc</v>
      </c>
      <c r="B106" s="2" t="s">
        <v>267</v>
      </c>
      <c r="C106" s="2" t="s">
        <v>268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35">
      <c r="A107" s="2" t="str">
        <f t="shared" si="1"/>
        <v>aheal</v>
      </c>
      <c r="B107" s="2" t="s">
        <v>269</v>
      </c>
      <c r="C107" s="2" t="s">
        <v>270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35">
      <c r="A108" s="2" t="str">
        <f t="shared" si="1"/>
        <v>asocw</v>
      </c>
      <c r="B108" s="2" t="s">
        <v>271</v>
      </c>
      <c r="C108" s="2" t="s">
        <v>272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35">
      <c r="A109" s="2" t="str">
        <f t="shared" si="1"/>
        <v>acult</v>
      </c>
      <c r="B109" s="2" t="s">
        <v>273</v>
      </c>
      <c r="C109" s="2" t="s">
        <v>274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35">
      <c r="A110" s="2" t="str">
        <f t="shared" si="1"/>
        <v>aarts</v>
      </c>
      <c r="B110" s="2" t="s">
        <v>275</v>
      </c>
      <c r="C110" s="2" t="s">
        <v>276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35">
      <c r="A111" s="2" t="str">
        <f t="shared" si="1"/>
        <v>aosrv</v>
      </c>
      <c r="B111" s="2" t="s">
        <v>277</v>
      </c>
      <c r="C111" s="2" t="s">
        <v>278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35">
      <c r="A112" s="2" t="str">
        <f t="shared" si="1"/>
        <v>adsrv</v>
      </c>
      <c r="B112" s="2" t="s">
        <v>279</v>
      </c>
      <c r="C112" s="2" t="s">
        <v>280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35">
      <c r="A113" s="2" t="str">
        <f t="shared" si="1"/>
        <v>atrdc</v>
      </c>
      <c r="B113" s="2" t="s">
        <v>281</v>
      </c>
      <c r="C113" s="2" t="s">
        <v>282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</sheetData>
  <conditionalFormatting sqref="C4:D4">
    <cfRule type="cellIs" dxfId="33" priority="1" operator="equal">
      <formula>"Check name"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249977111117893"/>
  </sheetPr>
  <dimension ref="A1:F32"/>
  <sheetViews>
    <sheetView zoomScale="85" zoomScaleNormal="85" workbookViewId="0">
      <pane ySplit="7" topLeftCell="A8" activePane="bottomLeft" state="frozen"/>
      <selection pane="bottomLeft" activeCell="C28" sqref="C28"/>
    </sheetView>
  </sheetViews>
  <sheetFormatPr defaultRowHeight="14.5" x14ac:dyDescent="0.35"/>
  <sheetData>
    <row r="1" spans="1:5" ht="18.5" x14ac:dyDescent="0.45">
      <c r="A1" s="10" t="s">
        <v>331</v>
      </c>
    </row>
    <row r="6" spans="1:5" x14ac:dyDescent="0.35">
      <c r="A6" t="s">
        <v>332</v>
      </c>
      <c r="B6" t="s">
        <v>333</v>
      </c>
      <c r="C6" t="s">
        <v>334</v>
      </c>
      <c r="D6" t="s">
        <v>335</v>
      </c>
      <c r="E6" t="s">
        <v>336</v>
      </c>
    </row>
    <row r="7" spans="1:5" x14ac:dyDescent="0.35">
      <c r="D7" t="s">
        <v>337</v>
      </c>
      <c r="E7" t="s">
        <v>338</v>
      </c>
    </row>
    <row r="8" spans="1:5" x14ac:dyDescent="0.35">
      <c r="A8" t="s">
        <v>339</v>
      </c>
      <c r="B8" t="s">
        <v>340</v>
      </c>
      <c r="C8" t="s">
        <v>341</v>
      </c>
      <c r="D8">
        <v>1</v>
      </c>
    </row>
    <row r="9" spans="1:5" x14ac:dyDescent="0.35">
      <c r="A9" t="s">
        <v>339</v>
      </c>
      <c r="B9" t="s">
        <v>342</v>
      </c>
      <c r="C9" t="s">
        <v>343</v>
      </c>
      <c r="D9">
        <v>1</v>
      </c>
    </row>
    <row r="10" spans="1:5" x14ac:dyDescent="0.35">
      <c r="A10" t="s">
        <v>339</v>
      </c>
      <c r="B10" t="s">
        <v>344</v>
      </c>
      <c r="C10" t="s">
        <v>345</v>
      </c>
      <c r="D10">
        <v>1</v>
      </c>
    </row>
    <row r="11" spans="1:5" x14ac:dyDescent="0.35">
      <c r="A11" t="s">
        <v>339</v>
      </c>
      <c r="B11" t="s">
        <v>346</v>
      </c>
      <c r="C11" t="s">
        <v>347</v>
      </c>
      <c r="D11">
        <v>1</v>
      </c>
    </row>
    <row r="12" spans="1:5" x14ac:dyDescent="0.35">
      <c r="A12" t="s">
        <v>339</v>
      </c>
      <c r="B12" t="s">
        <v>348</v>
      </c>
      <c r="C12" t="s">
        <v>349</v>
      </c>
      <c r="D12">
        <v>1</v>
      </c>
    </row>
    <row r="13" spans="1:5" x14ac:dyDescent="0.35">
      <c r="A13" t="s">
        <v>339</v>
      </c>
      <c r="B13" t="s">
        <v>350</v>
      </c>
      <c r="C13" t="s">
        <v>351</v>
      </c>
      <c r="D13">
        <v>1</v>
      </c>
    </row>
    <row r="14" spans="1:5" x14ac:dyDescent="0.35">
      <c r="A14" t="s">
        <v>339</v>
      </c>
      <c r="B14" t="s">
        <v>352</v>
      </c>
      <c r="C14" t="s">
        <v>353</v>
      </c>
      <c r="D14">
        <v>1</v>
      </c>
    </row>
    <row r="15" spans="1:5" x14ac:dyDescent="0.35">
      <c r="A15" t="s">
        <v>339</v>
      </c>
      <c r="B15" t="s">
        <v>354</v>
      </c>
      <c r="C15" t="s">
        <v>355</v>
      </c>
      <c r="D15">
        <v>1</v>
      </c>
    </row>
    <row r="16" spans="1:5" x14ac:dyDescent="0.35">
      <c r="A16" t="s">
        <v>339</v>
      </c>
      <c r="B16" t="s">
        <v>356</v>
      </c>
      <c r="C16" t="s">
        <v>357</v>
      </c>
      <c r="D16">
        <v>1</v>
      </c>
    </row>
    <row r="17" spans="1:6" x14ac:dyDescent="0.35">
      <c r="A17" t="s">
        <v>339</v>
      </c>
      <c r="B17" t="s">
        <v>18</v>
      </c>
      <c r="C17" t="s">
        <v>358</v>
      </c>
      <c r="D17">
        <v>1</v>
      </c>
    </row>
    <row r="18" spans="1:6" x14ac:dyDescent="0.35">
      <c r="A18" t="s">
        <v>339</v>
      </c>
      <c r="B18" t="s">
        <v>359</v>
      </c>
      <c r="C18" t="s">
        <v>360</v>
      </c>
      <c r="D18">
        <v>1</v>
      </c>
    </row>
    <row r="19" spans="1:6" x14ac:dyDescent="0.35">
      <c r="A19" t="s">
        <v>339</v>
      </c>
      <c r="B19" t="s">
        <v>361</v>
      </c>
      <c r="C19" t="s">
        <v>362</v>
      </c>
      <c r="D19">
        <v>1</v>
      </c>
    </row>
    <row r="20" spans="1:6" x14ac:dyDescent="0.35">
      <c r="A20" t="s">
        <v>339</v>
      </c>
      <c r="B20" t="s">
        <v>363</v>
      </c>
      <c r="C20" t="s">
        <v>364</v>
      </c>
      <c r="D20">
        <v>1</v>
      </c>
    </row>
    <row r="21" spans="1:6" x14ac:dyDescent="0.35">
      <c r="A21" t="s">
        <v>339</v>
      </c>
      <c r="B21" t="s">
        <v>365</v>
      </c>
      <c r="C21" t="s">
        <v>366</v>
      </c>
      <c r="D21">
        <v>1</v>
      </c>
    </row>
    <row r="22" spans="1:6" x14ac:dyDescent="0.35">
      <c r="A22" t="s">
        <v>367</v>
      </c>
      <c r="B22" t="s">
        <v>368</v>
      </c>
      <c r="C22" t="s">
        <v>369</v>
      </c>
      <c r="D22">
        <v>2</v>
      </c>
      <c r="F22" t="s">
        <v>370</v>
      </c>
    </row>
    <row r="23" spans="1:6" x14ac:dyDescent="0.35">
      <c r="A23" t="s">
        <v>367</v>
      </c>
      <c r="B23" t="s">
        <v>371</v>
      </c>
      <c r="C23" t="s">
        <v>372</v>
      </c>
      <c r="D23">
        <v>2</v>
      </c>
      <c r="F23" t="s">
        <v>370</v>
      </c>
    </row>
    <row r="24" spans="1:6" x14ac:dyDescent="0.35">
      <c r="A24" t="s">
        <v>367</v>
      </c>
      <c r="B24" t="s">
        <v>373</v>
      </c>
      <c r="C24" t="s">
        <v>374</v>
      </c>
      <c r="D24">
        <v>2</v>
      </c>
      <c r="F24" t="s">
        <v>370</v>
      </c>
    </row>
    <row r="25" spans="1:6" x14ac:dyDescent="0.35">
      <c r="A25" t="s">
        <v>375</v>
      </c>
      <c r="B25" t="s">
        <v>376</v>
      </c>
      <c r="C25" t="s">
        <v>617</v>
      </c>
      <c r="D25">
        <v>1</v>
      </c>
      <c r="E25">
        <v>1</v>
      </c>
    </row>
    <row r="26" spans="1:6" x14ac:dyDescent="0.35">
      <c r="A26" t="s">
        <v>375</v>
      </c>
      <c r="B26" t="s">
        <v>377</v>
      </c>
      <c r="C26" t="s">
        <v>618</v>
      </c>
      <c r="D26">
        <v>1</v>
      </c>
      <c r="E26">
        <v>2</v>
      </c>
    </row>
    <row r="27" spans="1:6" x14ac:dyDescent="0.35">
      <c r="A27" t="s">
        <v>375</v>
      </c>
      <c r="B27" t="s">
        <v>378</v>
      </c>
      <c r="C27" t="s">
        <v>619</v>
      </c>
      <c r="D27">
        <v>1</v>
      </c>
      <c r="E27">
        <v>1</v>
      </c>
    </row>
    <row r="28" spans="1:6" x14ac:dyDescent="0.35">
      <c r="A28" t="s">
        <v>375</v>
      </c>
      <c r="B28" t="s">
        <v>379</v>
      </c>
      <c r="C28" t="s">
        <v>620</v>
      </c>
      <c r="D28">
        <v>1</v>
      </c>
    </row>
    <row r="29" spans="1:6" x14ac:dyDescent="0.35">
      <c r="A29" t="s">
        <v>375</v>
      </c>
      <c r="B29" t="s">
        <v>380</v>
      </c>
      <c r="C29" t="s">
        <v>621</v>
      </c>
      <c r="D29">
        <v>1</v>
      </c>
      <c r="E29">
        <v>1</v>
      </c>
    </row>
    <row r="30" spans="1:6" x14ac:dyDescent="0.35">
      <c r="A30" t="s">
        <v>375</v>
      </c>
      <c r="B30" t="s">
        <v>381</v>
      </c>
      <c r="C30" t="s">
        <v>622</v>
      </c>
      <c r="D30">
        <v>1</v>
      </c>
      <c r="E30">
        <v>1</v>
      </c>
    </row>
    <row r="31" spans="1:6" x14ac:dyDescent="0.35">
      <c r="A31" t="s">
        <v>375</v>
      </c>
      <c r="B31" t="s">
        <v>382</v>
      </c>
      <c r="C31" t="s">
        <v>623</v>
      </c>
      <c r="D31">
        <v>1</v>
      </c>
      <c r="E31">
        <v>2</v>
      </c>
    </row>
    <row r="32" spans="1:6" x14ac:dyDescent="0.35">
      <c r="A32" t="s">
        <v>375</v>
      </c>
      <c r="B32" t="s">
        <v>383</v>
      </c>
      <c r="C32" t="s">
        <v>624</v>
      </c>
      <c r="D32">
        <v>1</v>
      </c>
      <c r="E3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8B24-FAA6-462D-8DDD-EF7670BDB4E8}">
  <sheetPr>
    <tabColor theme="1" tint="0.249977111117893"/>
  </sheetPr>
  <dimension ref="A1:Z271"/>
  <sheetViews>
    <sheetView workbookViewId="0">
      <pane ySplit="6" topLeftCell="A7" activePane="bottomLeft" state="frozen"/>
      <selection pane="bottomLeft" activeCell="L7" sqref="L7"/>
    </sheetView>
  </sheetViews>
  <sheetFormatPr defaultRowHeight="14.5" x14ac:dyDescent="0.35"/>
  <sheetData>
    <row r="1" spans="1:26" ht="18.5" x14ac:dyDescent="0.45">
      <c r="A1" s="10" t="s">
        <v>384</v>
      </c>
      <c r="Q1" t="s">
        <v>385</v>
      </c>
    </row>
    <row r="2" spans="1:26" x14ac:dyDescent="0.35">
      <c r="A2" t="s">
        <v>346</v>
      </c>
      <c r="B2" t="s">
        <v>386</v>
      </c>
      <c r="C2" t="s">
        <v>352</v>
      </c>
      <c r="D2" t="s">
        <v>387</v>
      </c>
      <c r="E2" t="s">
        <v>388</v>
      </c>
      <c r="F2" t="s">
        <v>389</v>
      </c>
      <c r="G2" t="s">
        <v>390</v>
      </c>
      <c r="H2" t="s">
        <v>361</v>
      </c>
      <c r="I2" t="s">
        <v>391</v>
      </c>
      <c r="J2" t="s">
        <v>392</v>
      </c>
      <c r="K2" t="s">
        <v>393</v>
      </c>
      <c r="L2" t="s">
        <v>394</v>
      </c>
      <c r="M2" t="s">
        <v>395</v>
      </c>
      <c r="N2" t="s">
        <v>396</v>
      </c>
      <c r="O2" t="s">
        <v>397</v>
      </c>
      <c r="P2" t="s">
        <v>398</v>
      </c>
      <c r="Q2" t="s">
        <v>399</v>
      </c>
      <c r="R2" t="s">
        <v>400</v>
      </c>
      <c r="S2" t="s">
        <v>401</v>
      </c>
      <c r="T2" t="s">
        <v>363</v>
      </c>
      <c r="U2" t="s">
        <v>402</v>
      </c>
      <c r="V2" t="s">
        <v>403</v>
      </c>
      <c r="W2" t="s">
        <v>404</v>
      </c>
      <c r="X2" t="s">
        <v>405</v>
      </c>
      <c r="Y2" t="s">
        <v>406</v>
      </c>
      <c r="Z2" t="s">
        <v>407</v>
      </c>
    </row>
    <row r="4" spans="1:26" x14ac:dyDescent="0.35">
      <c r="A4" t="s">
        <v>408</v>
      </c>
      <c r="B4" t="s">
        <v>409</v>
      </c>
      <c r="D4" t="s">
        <v>410</v>
      </c>
      <c r="G4" t="s">
        <v>411</v>
      </c>
      <c r="H4" t="s">
        <v>94</v>
      </c>
      <c r="L4" t="s">
        <v>31</v>
      </c>
      <c r="M4" t="s">
        <v>412</v>
      </c>
      <c r="N4" t="s">
        <v>413</v>
      </c>
      <c r="Q4" t="s">
        <v>414</v>
      </c>
      <c r="T4" t="s">
        <v>415</v>
      </c>
      <c r="W4" t="s">
        <v>416</v>
      </c>
    </row>
    <row r="5" spans="1:26" x14ac:dyDescent="0.35">
      <c r="A5" t="s">
        <v>417</v>
      </c>
      <c r="B5" t="s">
        <v>418</v>
      </c>
      <c r="C5" t="s">
        <v>419</v>
      </c>
      <c r="D5" t="s">
        <v>418</v>
      </c>
      <c r="E5" t="s">
        <v>420</v>
      </c>
      <c r="F5" t="s">
        <v>421</v>
      </c>
      <c r="G5" t="s">
        <v>418</v>
      </c>
      <c r="H5" t="s">
        <v>418</v>
      </c>
      <c r="I5" t="s">
        <v>15</v>
      </c>
      <c r="J5" t="s">
        <v>19</v>
      </c>
      <c r="K5" t="s">
        <v>23</v>
      </c>
      <c r="L5" t="s">
        <v>418</v>
      </c>
      <c r="N5" t="s">
        <v>422</v>
      </c>
      <c r="Q5" t="s">
        <v>423</v>
      </c>
      <c r="T5" t="s">
        <v>424</v>
      </c>
      <c r="W5" t="s">
        <v>425</v>
      </c>
    </row>
    <row r="6" spans="1:26" x14ac:dyDescent="0.35">
      <c r="A6" t="s">
        <v>424</v>
      </c>
      <c r="B6" t="s">
        <v>426</v>
      </c>
      <c r="C6" t="s">
        <v>427</v>
      </c>
      <c r="D6" t="s">
        <v>428</v>
      </c>
      <c r="E6" t="s">
        <v>429</v>
      </c>
      <c r="F6" t="s">
        <v>430</v>
      </c>
      <c r="G6" t="s">
        <v>431</v>
      </c>
      <c r="H6" t="s">
        <v>432</v>
      </c>
      <c r="I6" t="s">
        <v>433</v>
      </c>
      <c r="J6" t="s">
        <v>434</v>
      </c>
      <c r="K6" t="s">
        <v>435</v>
      </c>
      <c r="L6" t="s">
        <v>436</v>
      </c>
      <c r="M6" t="s">
        <v>437</v>
      </c>
      <c r="N6" t="s">
        <v>438</v>
      </c>
      <c r="Q6" t="s">
        <v>424</v>
      </c>
      <c r="R6" t="s">
        <v>426</v>
      </c>
      <c r="T6" t="s">
        <v>428</v>
      </c>
      <c r="U6" t="s">
        <v>431</v>
      </c>
      <c r="W6" t="s">
        <v>427</v>
      </c>
      <c r="X6" t="s">
        <v>426</v>
      </c>
    </row>
    <row r="7" spans="1:26" x14ac:dyDescent="0.35">
      <c r="A7" t="s">
        <v>439</v>
      </c>
      <c r="B7" t="s">
        <v>443</v>
      </c>
      <c r="C7" t="s">
        <v>443</v>
      </c>
      <c r="D7" t="s">
        <v>443</v>
      </c>
      <c r="E7" t="s">
        <v>441</v>
      </c>
      <c r="F7" t="s">
        <v>448</v>
      </c>
      <c r="G7" t="s">
        <v>8</v>
      </c>
      <c r="H7" t="s">
        <v>14</v>
      </c>
      <c r="I7" t="s">
        <v>14</v>
      </c>
      <c r="J7" t="s">
        <v>18</v>
      </c>
      <c r="K7" t="s">
        <v>22</v>
      </c>
      <c r="L7" t="s">
        <v>30</v>
      </c>
      <c r="M7" t="s">
        <v>38</v>
      </c>
      <c r="N7" t="s">
        <v>443</v>
      </c>
      <c r="Q7" t="s">
        <v>439</v>
      </c>
      <c r="R7" t="s">
        <v>443</v>
      </c>
      <c r="T7" t="s">
        <v>443</v>
      </c>
      <c r="U7" t="s">
        <v>8</v>
      </c>
      <c r="W7" t="s">
        <v>443</v>
      </c>
      <c r="X7" t="s">
        <v>443</v>
      </c>
    </row>
    <row r="8" spans="1:26" x14ac:dyDescent="0.35">
      <c r="A8" t="s">
        <v>442</v>
      </c>
      <c r="B8" t="s">
        <v>440</v>
      </c>
      <c r="C8" t="s">
        <v>440</v>
      </c>
      <c r="D8" t="s">
        <v>440</v>
      </c>
      <c r="E8" t="s">
        <v>455</v>
      </c>
      <c r="F8" t="s">
        <v>526</v>
      </c>
      <c r="G8" t="s">
        <v>12</v>
      </c>
      <c r="H8" t="s">
        <v>95</v>
      </c>
      <c r="I8" t="s">
        <v>95</v>
      </c>
      <c r="K8" t="s">
        <v>112</v>
      </c>
      <c r="L8" t="s">
        <v>283</v>
      </c>
      <c r="M8" t="s">
        <v>42</v>
      </c>
      <c r="N8" t="s">
        <v>440</v>
      </c>
      <c r="Q8" t="s">
        <v>439</v>
      </c>
      <c r="R8" t="s">
        <v>440</v>
      </c>
      <c r="T8" t="s">
        <v>440</v>
      </c>
      <c r="U8" t="s">
        <v>12</v>
      </c>
      <c r="W8" t="s">
        <v>440</v>
      </c>
      <c r="X8" t="s">
        <v>440</v>
      </c>
    </row>
    <row r="9" spans="1:26" x14ac:dyDescent="0.35">
      <c r="A9" t="s">
        <v>445</v>
      </c>
      <c r="B9" t="s">
        <v>450</v>
      </c>
      <c r="C9" t="s">
        <v>450</v>
      </c>
      <c r="D9" t="s">
        <v>450</v>
      </c>
      <c r="E9" t="s">
        <v>447</v>
      </c>
      <c r="F9" t="s">
        <v>452</v>
      </c>
      <c r="G9" t="s">
        <v>16</v>
      </c>
      <c r="H9" t="s">
        <v>97</v>
      </c>
      <c r="I9" t="s">
        <v>97</v>
      </c>
      <c r="K9" t="s">
        <v>114</v>
      </c>
      <c r="L9" t="s">
        <v>285</v>
      </c>
      <c r="M9" t="s">
        <v>46</v>
      </c>
      <c r="N9" t="s">
        <v>450</v>
      </c>
      <c r="Q9" t="s">
        <v>439</v>
      </c>
      <c r="R9" t="s">
        <v>450</v>
      </c>
      <c r="T9" t="s">
        <v>450</v>
      </c>
      <c r="U9" t="s">
        <v>16</v>
      </c>
      <c r="W9" t="s">
        <v>450</v>
      </c>
      <c r="X9" t="s">
        <v>450</v>
      </c>
    </row>
    <row r="10" spans="1:26" x14ac:dyDescent="0.35">
      <c r="A10" t="s">
        <v>449</v>
      </c>
      <c r="B10" t="s">
        <v>446</v>
      </c>
      <c r="C10" t="s">
        <v>446</v>
      </c>
      <c r="D10" t="s">
        <v>446</v>
      </c>
      <c r="E10" t="s">
        <v>457</v>
      </c>
      <c r="G10" t="s">
        <v>20</v>
      </c>
      <c r="H10" t="s">
        <v>99</v>
      </c>
      <c r="I10" t="s">
        <v>99</v>
      </c>
      <c r="K10" t="s">
        <v>116</v>
      </c>
      <c r="L10" t="s">
        <v>287</v>
      </c>
      <c r="M10" t="s">
        <v>50</v>
      </c>
      <c r="N10" t="s">
        <v>446</v>
      </c>
      <c r="Q10" t="s">
        <v>439</v>
      </c>
      <c r="R10" t="s">
        <v>446</v>
      </c>
      <c r="T10" t="s">
        <v>446</v>
      </c>
      <c r="U10" t="s">
        <v>20</v>
      </c>
      <c r="W10" t="s">
        <v>446</v>
      </c>
      <c r="X10" t="s">
        <v>446</v>
      </c>
    </row>
    <row r="11" spans="1:26" x14ac:dyDescent="0.35">
      <c r="A11" t="s">
        <v>453</v>
      </c>
      <c r="B11" t="s">
        <v>454</v>
      </c>
      <c r="C11" t="s">
        <v>454</v>
      </c>
      <c r="D11" t="s">
        <v>454</v>
      </c>
      <c r="E11" t="s">
        <v>444</v>
      </c>
      <c r="G11" t="s">
        <v>24</v>
      </c>
      <c r="H11" t="s">
        <v>101</v>
      </c>
      <c r="I11" t="s">
        <v>101</v>
      </c>
      <c r="K11" t="s">
        <v>118</v>
      </c>
      <c r="L11" t="s">
        <v>289</v>
      </c>
      <c r="M11" t="s">
        <v>54</v>
      </c>
      <c r="N11" t="s">
        <v>454</v>
      </c>
      <c r="Q11" t="s">
        <v>439</v>
      </c>
      <c r="R11" t="s">
        <v>454</v>
      </c>
      <c r="T11" t="s">
        <v>454</v>
      </c>
      <c r="U11" t="s">
        <v>24</v>
      </c>
      <c r="W11" t="s">
        <v>454</v>
      </c>
      <c r="X11" t="s">
        <v>454</v>
      </c>
    </row>
    <row r="12" spans="1:26" x14ac:dyDescent="0.35">
      <c r="A12" t="s">
        <v>456</v>
      </c>
      <c r="B12" t="s">
        <v>465</v>
      </c>
      <c r="C12" t="s">
        <v>465</v>
      </c>
      <c r="D12" t="s">
        <v>465</v>
      </c>
      <c r="E12" t="s">
        <v>451</v>
      </c>
      <c r="G12" t="s">
        <v>28</v>
      </c>
      <c r="H12" t="s">
        <v>103</v>
      </c>
      <c r="I12" t="s">
        <v>103</v>
      </c>
      <c r="L12" t="s">
        <v>291</v>
      </c>
      <c r="M12" t="s">
        <v>58</v>
      </c>
      <c r="N12" t="s">
        <v>465</v>
      </c>
      <c r="Q12" t="s">
        <v>439</v>
      </c>
      <c r="R12" t="s">
        <v>465</v>
      </c>
      <c r="T12" t="s">
        <v>465</v>
      </c>
      <c r="U12" t="s">
        <v>28</v>
      </c>
      <c r="W12" t="s">
        <v>465</v>
      </c>
      <c r="X12" t="s">
        <v>465</v>
      </c>
    </row>
    <row r="13" spans="1:26" x14ac:dyDescent="0.35">
      <c r="A13" t="s">
        <v>458</v>
      </c>
      <c r="B13" t="s">
        <v>467</v>
      </c>
      <c r="C13" t="s">
        <v>467</v>
      </c>
      <c r="D13" t="s">
        <v>467</v>
      </c>
      <c r="E13" t="s">
        <v>522</v>
      </c>
      <c r="G13" t="s">
        <v>32</v>
      </c>
      <c r="H13" t="s">
        <v>105</v>
      </c>
      <c r="I13" t="s">
        <v>105</v>
      </c>
      <c r="L13" t="s">
        <v>293</v>
      </c>
      <c r="M13" t="s">
        <v>62</v>
      </c>
      <c r="N13" t="s">
        <v>467</v>
      </c>
      <c r="Q13" t="s">
        <v>439</v>
      </c>
      <c r="R13" t="s">
        <v>467</v>
      </c>
      <c r="T13" t="s">
        <v>467</v>
      </c>
      <c r="U13" t="s">
        <v>32</v>
      </c>
      <c r="W13" t="s">
        <v>467</v>
      </c>
      <c r="X13" t="s">
        <v>467</v>
      </c>
    </row>
    <row r="14" spans="1:26" x14ac:dyDescent="0.35">
      <c r="A14" t="s">
        <v>460</v>
      </c>
      <c r="B14" t="s">
        <v>463</v>
      </c>
      <c r="C14" t="s">
        <v>463</v>
      </c>
      <c r="D14" t="s">
        <v>463</v>
      </c>
      <c r="E14" t="s">
        <v>523</v>
      </c>
      <c r="G14" t="s">
        <v>36</v>
      </c>
      <c r="H14" t="s">
        <v>107</v>
      </c>
      <c r="I14" t="s">
        <v>107</v>
      </c>
      <c r="L14" t="s">
        <v>295</v>
      </c>
      <c r="M14" t="s">
        <v>66</v>
      </c>
      <c r="N14" t="s">
        <v>463</v>
      </c>
      <c r="Q14" t="s">
        <v>439</v>
      </c>
      <c r="R14" t="s">
        <v>463</v>
      </c>
      <c r="T14" t="s">
        <v>463</v>
      </c>
      <c r="U14" t="s">
        <v>36</v>
      </c>
      <c r="W14" t="s">
        <v>463</v>
      </c>
      <c r="X14" t="s">
        <v>463</v>
      </c>
    </row>
    <row r="15" spans="1:26" x14ac:dyDescent="0.35">
      <c r="A15" t="s">
        <v>462</v>
      </c>
      <c r="B15" t="s">
        <v>469</v>
      </c>
      <c r="C15" t="s">
        <v>469</v>
      </c>
      <c r="D15" t="s">
        <v>469</v>
      </c>
      <c r="G15" t="s">
        <v>40</v>
      </c>
      <c r="H15" t="s">
        <v>109</v>
      </c>
      <c r="I15" t="s">
        <v>109</v>
      </c>
      <c r="L15" t="s">
        <v>297</v>
      </c>
      <c r="M15" t="s">
        <v>70</v>
      </c>
      <c r="N15" t="s">
        <v>469</v>
      </c>
      <c r="Q15" t="s">
        <v>439</v>
      </c>
      <c r="R15" t="s">
        <v>469</v>
      </c>
      <c r="T15" t="s">
        <v>469</v>
      </c>
      <c r="U15" t="s">
        <v>40</v>
      </c>
      <c r="W15" t="s">
        <v>469</v>
      </c>
      <c r="X15" t="s">
        <v>469</v>
      </c>
    </row>
    <row r="16" spans="1:26" x14ac:dyDescent="0.35">
      <c r="A16" t="s">
        <v>464</v>
      </c>
      <c r="B16" t="s">
        <v>515</v>
      </c>
      <c r="C16" t="s">
        <v>515</v>
      </c>
      <c r="D16" t="s">
        <v>515</v>
      </c>
      <c r="G16" t="s">
        <v>44</v>
      </c>
      <c r="H16" t="s">
        <v>327</v>
      </c>
      <c r="I16" t="s">
        <v>327</v>
      </c>
      <c r="L16" t="s">
        <v>299</v>
      </c>
      <c r="N16" t="s">
        <v>515</v>
      </c>
      <c r="Q16" t="s">
        <v>439</v>
      </c>
      <c r="R16" t="s">
        <v>515</v>
      </c>
      <c r="T16" t="s">
        <v>515</v>
      </c>
      <c r="U16" t="s">
        <v>44</v>
      </c>
      <c r="W16" t="s">
        <v>515</v>
      </c>
      <c r="X16" t="s">
        <v>515</v>
      </c>
    </row>
    <row r="17" spans="1:24" x14ac:dyDescent="0.35">
      <c r="A17" t="s">
        <v>562</v>
      </c>
      <c r="B17" t="s">
        <v>516</v>
      </c>
      <c r="C17" t="s">
        <v>516</v>
      </c>
      <c r="D17" t="s">
        <v>516</v>
      </c>
      <c r="G17" t="s">
        <v>48</v>
      </c>
      <c r="H17" t="s">
        <v>328</v>
      </c>
      <c r="I17" t="s">
        <v>328</v>
      </c>
      <c r="L17" t="s">
        <v>301</v>
      </c>
      <c r="N17" t="s">
        <v>516</v>
      </c>
      <c r="Q17" t="s">
        <v>439</v>
      </c>
      <c r="R17" t="s">
        <v>516</v>
      </c>
      <c r="T17" t="s">
        <v>516</v>
      </c>
      <c r="U17" t="s">
        <v>48</v>
      </c>
      <c r="W17" t="s">
        <v>516</v>
      </c>
      <c r="X17" t="s">
        <v>516</v>
      </c>
    </row>
    <row r="18" spans="1:24" x14ac:dyDescent="0.35">
      <c r="A18" t="s">
        <v>466</v>
      </c>
      <c r="B18" t="s">
        <v>472</v>
      </c>
      <c r="C18" t="s">
        <v>472</v>
      </c>
      <c r="D18" t="s">
        <v>472</v>
      </c>
      <c r="G18" t="s">
        <v>52</v>
      </c>
      <c r="H18" t="s">
        <v>329</v>
      </c>
      <c r="I18" t="s">
        <v>329</v>
      </c>
      <c r="L18" t="s">
        <v>303</v>
      </c>
      <c r="N18" t="s">
        <v>472</v>
      </c>
      <c r="Q18" t="s">
        <v>439</v>
      </c>
      <c r="R18" t="s">
        <v>472</v>
      </c>
      <c r="T18" t="s">
        <v>472</v>
      </c>
      <c r="U18" t="s">
        <v>52</v>
      </c>
      <c r="W18" t="s">
        <v>472</v>
      </c>
      <c r="X18" t="s">
        <v>472</v>
      </c>
    </row>
    <row r="19" spans="1:24" x14ac:dyDescent="0.35">
      <c r="A19" t="s">
        <v>468</v>
      </c>
      <c r="B19" t="s">
        <v>517</v>
      </c>
      <c r="C19" t="s">
        <v>517</v>
      </c>
      <c r="D19" t="s">
        <v>517</v>
      </c>
      <c r="G19" t="s">
        <v>56</v>
      </c>
      <c r="H19" t="s">
        <v>330</v>
      </c>
      <c r="I19" t="s">
        <v>330</v>
      </c>
      <c r="L19" t="s">
        <v>305</v>
      </c>
      <c r="N19" t="s">
        <v>517</v>
      </c>
      <c r="Q19" t="s">
        <v>439</v>
      </c>
      <c r="R19" t="s">
        <v>517</v>
      </c>
      <c r="T19" t="s">
        <v>517</v>
      </c>
      <c r="U19" t="s">
        <v>56</v>
      </c>
      <c r="W19" t="s">
        <v>517</v>
      </c>
      <c r="X19" t="s">
        <v>517</v>
      </c>
    </row>
    <row r="20" spans="1:24" x14ac:dyDescent="0.35">
      <c r="A20" t="s">
        <v>470</v>
      </c>
      <c r="B20" t="s">
        <v>518</v>
      </c>
      <c r="C20" t="s">
        <v>518</v>
      </c>
      <c r="D20" t="s">
        <v>518</v>
      </c>
      <c r="G20" t="s">
        <v>60</v>
      </c>
      <c r="H20" t="s">
        <v>18</v>
      </c>
      <c r="L20" t="s">
        <v>307</v>
      </c>
      <c r="N20" t="s">
        <v>518</v>
      </c>
      <c r="Q20" t="s">
        <v>439</v>
      </c>
      <c r="R20" t="s">
        <v>518</v>
      </c>
      <c r="T20" t="s">
        <v>518</v>
      </c>
      <c r="U20" t="s">
        <v>60</v>
      </c>
      <c r="W20" t="s">
        <v>518</v>
      </c>
      <c r="X20" t="s">
        <v>518</v>
      </c>
    </row>
    <row r="21" spans="1:24" x14ac:dyDescent="0.35">
      <c r="A21" t="s">
        <v>471</v>
      </c>
      <c r="B21" t="s">
        <v>519</v>
      </c>
      <c r="C21" t="s">
        <v>519</v>
      </c>
      <c r="D21" t="s">
        <v>519</v>
      </c>
      <c r="G21" t="s">
        <v>64</v>
      </c>
      <c r="H21" t="s">
        <v>22</v>
      </c>
      <c r="L21" t="s">
        <v>309</v>
      </c>
      <c r="N21" t="s">
        <v>519</v>
      </c>
      <c r="Q21" t="s">
        <v>439</v>
      </c>
      <c r="R21" t="s">
        <v>519</v>
      </c>
      <c r="T21" t="s">
        <v>519</v>
      </c>
      <c r="U21" t="s">
        <v>64</v>
      </c>
      <c r="W21" t="s">
        <v>519</v>
      </c>
      <c r="X21" t="s">
        <v>519</v>
      </c>
    </row>
    <row r="22" spans="1:24" x14ac:dyDescent="0.35">
      <c r="A22" t="s">
        <v>473</v>
      </c>
      <c r="B22" t="s">
        <v>480</v>
      </c>
      <c r="C22" t="s">
        <v>480</v>
      </c>
      <c r="D22" t="s">
        <v>480</v>
      </c>
      <c r="G22" t="s">
        <v>68</v>
      </c>
      <c r="H22" t="s">
        <v>112</v>
      </c>
      <c r="L22" t="s">
        <v>311</v>
      </c>
      <c r="N22" t="s">
        <v>480</v>
      </c>
      <c r="Q22" t="s">
        <v>439</v>
      </c>
      <c r="R22" t="s">
        <v>480</v>
      </c>
      <c r="T22" t="s">
        <v>480</v>
      </c>
      <c r="U22" t="s">
        <v>68</v>
      </c>
      <c r="W22" t="s">
        <v>480</v>
      </c>
      <c r="X22" t="s">
        <v>480</v>
      </c>
    </row>
    <row r="23" spans="1:24" x14ac:dyDescent="0.35">
      <c r="A23" t="s">
        <v>563</v>
      </c>
      <c r="B23" t="s">
        <v>459</v>
      </c>
      <c r="C23" t="s">
        <v>459</v>
      </c>
      <c r="D23" t="s">
        <v>459</v>
      </c>
      <c r="G23" t="s">
        <v>72</v>
      </c>
      <c r="H23" t="s">
        <v>114</v>
      </c>
      <c r="L23" t="s">
        <v>322</v>
      </c>
      <c r="N23" t="s">
        <v>459</v>
      </c>
      <c r="Q23" t="s">
        <v>439</v>
      </c>
      <c r="R23" t="s">
        <v>459</v>
      </c>
      <c r="T23" t="s">
        <v>459</v>
      </c>
      <c r="U23" t="s">
        <v>72</v>
      </c>
      <c r="W23" t="s">
        <v>459</v>
      </c>
      <c r="X23" t="s">
        <v>459</v>
      </c>
    </row>
    <row r="24" spans="1:24" x14ac:dyDescent="0.35">
      <c r="A24" t="s">
        <v>564</v>
      </c>
      <c r="B24" t="s">
        <v>520</v>
      </c>
      <c r="C24" t="s">
        <v>520</v>
      </c>
      <c r="D24" t="s">
        <v>520</v>
      </c>
      <c r="G24" t="s">
        <v>76</v>
      </c>
      <c r="H24" t="s">
        <v>116</v>
      </c>
      <c r="L24" t="s">
        <v>323</v>
      </c>
      <c r="N24" t="s">
        <v>520</v>
      </c>
      <c r="Q24" t="s">
        <v>439</v>
      </c>
      <c r="R24" t="s">
        <v>520</v>
      </c>
      <c r="T24" t="s">
        <v>520</v>
      </c>
      <c r="U24" t="s">
        <v>76</v>
      </c>
      <c r="W24" t="s">
        <v>520</v>
      </c>
      <c r="X24" t="s">
        <v>520</v>
      </c>
    </row>
    <row r="25" spans="1:24" x14ac:dyDescent="0.35">
      <c r="A25" t="s">
        <v>475</v>
      </c>
      <c r="B25" t="s">
        <v>461</v>
      </c>
      <c r="C25" t="s">
        <v>461</v>
      </c>
      <c r="D25" t="s">
        <v>461</v>
      </c>
      <c r="G25" t="s">
        <v>80</v>
      </c>
      <c r="H25" t="s">
        <v>118</v>
      </c>
      <c r="L25" t="s">
        <v>324</v>
      </c>
      <c r="N25" t="s">
        <v>461</v>
      </c>
      <c r="Q25" t="s">
        <v>439</v>
      </c>
      <c r="R25" t="s">
        <v>461</v>
      </c>
      <c r="T25" t="s">
        <v>461</v>
      </c>
      <c r="U25" t="s">
        <v>80</v>
      </c>
      <c r="W25" t="s">
        <v>461</v>
      </c>
      <c r="X25" t="s">
        <v>461</v>
      </c>
    </row>
    <row r="26" spans="1:24" x14ac:dyDescent="0.35">
      <c r="A26" t="s">
        <v>565</v>
      </c>
      <c r="B26" t="s">
        <v>482</v>
      </c>
      <c r="C26" t="s">
        <v>482</v>
      </c>
      <c r="D26" t="s">
        <v>482</v>
      </c>
      <c r="G26" t="s">
        <v>84</v>
      </c>
      <c r="L26" t="s">
        <v>325</v>
      </c>
      <c r="N26" t="s">
        <v>474</v>
      </c>
      <c r="Q26" t="s">
        <v>439</v>
      </c>
      <c r="R26" t="s">
        <v>482</v>
      </c>
      <c r="T26" t="s">
        <v>482</v>
      </c>
      <c r="U26" t="s">
        <v>84</v>
      </c>
      <c r="W26" t="s">
        <v>482</v>
      </c>
      <c r="X26" t="s">
        <v>482</v>
      </c>
    </row>
    <row r="27" spans="1:24" x14ac:dyDescent="0.35">
      <c r="A27" t="s">
        <v>477</v>
      </c>
      <c r="B27" t="s">
        <v>481</v>
      </c>
      <c r="C27" t="s">
        <v>481</v>
      </c>
      <c r="D27" t="s">
        <v>481</v>
      </c>
      <c r="G27" t="s">
        <v>88</v>
      </c>
      <c r="L27" t="s">
        <v>326</v>
      </c>
      <c r="N27" t="s">
        <v>441</v>
      </c>
      <c r="Q27" t="s">
        <v>439</v>
      </c>
      <c r="R27" t="s">
        <v>481</v>
      </c>
      <c r="T27" t="s">
        <v>481</v>
      </c>
      <c r="U27" t="s">
        <v>88</v>
      </c>
      <c r="W27" t="s">
        <v>481</v>
      </c>
      <c r="X27" t="s">
        <v>481</v>
      </c>
    </row>
    <row r="28" spans="1:24" x14ac:dyDescent="0.35">
      <c r="A28" t="s">
        <v>478</v>
      </c>
      <c r="B28" t="s">
        <v>476</v>
      </c>
      <c r="C28" t="s">
        <v>476</v>
      </c>
      <c r="D28" t="s">
        <v>476</v>
      </c>
      <c r="G28" t="s">
        <v>90</v>
      </c>
      <c r="N28" t="s">
        <v>455</v>
      </c>
      <c r="Q28" t="s">
        <v>439</v>
      </c>
      <c r="R28" t="s">
        <v>476</v>
      </c>
      <c r="T28" t="s">
        <v>476</v>
      </c>
      <c r="U28" t="s">
        <v>90</v>
      </c>
      <c r="W28" t="s">
        <v>476</v>
      </c>
      <c r="X28" t="s">
        <v>476</v>
      </c>
    </row>
    <row r="29" spans="1:24" x14ac:dyDescent="0.35">
      <c r="A29" t="s">
        <v>479</v>
      </c>
      <c r="B29" t="s">
        <v>474</v>
      </c>
      <c r="C29" t="s">
        <v>474</v>
      </c>
      <c r="D29" t="s">
        <v>474</v>
      </c>
      <c r="G29" t="s">
        <v>92</v>
      </c>
      <c r="N29" t="s">
        <v>447</v>
      </c>
      <c r="Q29" t="s">
        <v>439</v>
      </c>
      <c r="R29" t="s">
        <v>474</v>
      </c>
      <c r="T29" t="s">
        <v>474</v>
      </c>
      <c r="U29" t="s">
        <v>92</v>
      </c>
      <c r="W29" t="s">
        <v>474</v>
      </c>
      <c r="X29" t="s">
        <v>474</v>
      </c>
    </row>
    <row r="30" spans="1:24" x14ac:dyDescent="0.35">
      <c r="B30" t="s">
        <v>521</v>
      </c>
      <c r="C30" t="s">
        <v>521</v>
      </c>
      <c r="D30" t="s">
        <v>521</v>
      </c>
      <c r="G30" t="s">
        <v>121</v>
      </c>
      <c r="N30" t="s">
        <v>457</v>
      </c>
      <c r="Q30" t="s">
        <v>439</v>
      </c>
      <c r="R30" t="s">
        <v>521</v>
      </c>
      <c r="T30" t="s">
        <v>521</v>
      </c>
      <c r="U30" t="s">
        <v>121</v>
      </c>
      <c r="W30" t="s">
        <v>521</v>
      </c>
      <c r="X30" t="s">
        <v>521</v>
      </c>
    </row>
    <row r="31" spans="1:24" x14ac:dyDescent="0.35">
      <c r="B31" t="s">
        <v>483</v>
      </c>
      <c r="C31" t="s">
        <v>483</v>
      </c>
      <c r="D31" t="s">
        <v>483</v>
      </c>
      <c r="G31" t="s">
        <v>123</v>
      </c>
      <c r="N31" t="s">
        <v>444</v>
      </c>
      <c r="Q31" t="s">
        <v>439</v>
      </c>
      <c r="R31" t="s">
        <v>483</v>
      </c>
      <c r="T31" t="s">
        <v>483</v>
      </c>
      <c r="U31" t="s">
        <v>123</v>
      </c>
      <c r="W31" t="s">
        <v>483</v>
      </c>
      <c r="X31" t="s">
        <v>483</v>
      </c>
    </row>
    <row r="32" spans="1:24" x14ac:dyDescent="0.35">
      <c r="B32" t="s">
        <v>441</v>
      </c>
      <c r="C32" t="s">
        <v>441</v>
      </c>
      <c r="D32" t="s">
        <v>441</v>
      </c>
      <c r="G32" t="s">
        <v>125</v>
      </c>
      <c r="N32" t="s">
        <v>451</v>
      </c>
      <c r="Q32" t="s">
        <v>439</v>
      </c>
      <c r="R32" t="s">
        <v>441</v>
      </c>
      <c r="T32" t="s">
        <v>441</v>
      </c>
      <c r="U32" t="s">
        <v>125</v>
      </c>
      <c r="W32" t="s">
        <v>441</v>
      </c>
      <c r="X32" t="s">
        <v>441</v>
      </c>
    </row>
    <row r="33" spans="2:24" x14ac:dyDescent="0.35">
      <c r="B33" t="s">
        <v>455</v>
      </c>
      <c r="C33" t="s">
        <v>455</v>
      </c>
      <c r="D33" t="s">
        <v>455</v>
      </c>
      <c r="G33" t="s">
        <v>127</v>
      </c>
      <c r="N33" t="s">
        <v>522</v>
      </c>
      <c r="Q33" t="s">
        <v>439</v>
      </c>
      <c r="R33" t="s">
        <v>455</v>
      </c>
      <c r="T33" t="s">
        <v>455</v>
      </c>
      <c r="U33" t="s">
        <v>127</v>
      </c>
      <c r="W33" t="s">
        <v>455</v>
      </c>
      <c r="X33" t="s">
        <v>455</v>
      </c>
    </row>
    <row r="34" spans="2:24" x14ac:dyDescent="0.35">
      <c r="B34" t="s">
        <v>447</v>
      </c>
      <c r="C34" t="s">
        <v>447</v>
      </c>
      <c r="D34" t="s">
        <v>447</v>
      </c>
      <c r="G34" t="s">
        <v>129</v>
      </c>
      <c r="N34" t="s">
        <v>523</v>
      </c>
      <c r="Q34" t="s">
        <v>439</v>
      </c>
      <c r="R34" t="s">
        <v>447</v>
      </c>
      <c r="T34" t="s">
        <v>447</v>
      </c>
      <c r="U34" t="s">
        <v>129</v>
      </c>
      <c r="W34" t="s">
        <v>447</v>
      </c>
      <c r="X34" t="s">
        <v>447</v>
      </c>
    </row>
    <row r="35" spans="2:24" x14ac:dyDescent="0.35">
      <c r="B35" t="s">
        <v>457</v>
      </c>
      <c r="C35" t="s">
        <v>457</v>
      </c>
      <c r="D35" t="s">
        <v>457</v>
      </c>
      <c r="G35" t="s">
        <v>131</v>
      </c>
      <c r="N35" t="s">
        <v>484</v>
      </c>
      <c r="Q35" t="s">
        <v>439</v>
      </c>
      <c r="R35" t="s">
        <v>457</v>
      </c>
      <c r="T35" t="s">
        <v>457</v>
      </c>
      <c r="U35" t="s">
        <v>131</v>
      </c>
      <c r="W35" t="s">
        <v>457</v>
      </c>
      <c r="X35" t="s">
        <v>457</v>
      </c>
    </row>
    <row r="36" spans="2:24" x14ac:dyDescent="0.35">
      <c r="B36" t="s">
        <v>444</v>
      </c>
      <c r="C36" t="s">
        <v>444</v>
      </c>
      <c r="D36" t="s">
        <v>444</v>
      </c>
      <c r="G36" t="s">
        <v>133</v>
      </c>
      <c r="N36" t="s">
        <v>486</v>
      </c>
      <c r="Q36" t="s">
        <v>439</v>
      </c>
      <c r="R36" t="s">
        <v>444</v>
      </c>
      <c r="T36" t="s">
        <v>444</v>
      </c>
      <c r="U36" t="s">
        <v>133</v>
      </c>
      <c r="W36" t="s">
        <v>444</v>
      </c>
      <c r="X36" t="s">
        <v>444</v>
      </c>
    </row>
    <row r="37" spans="2:24" x14ac:dyDescent="0.35">
      <c r="B37" t="s">
        <v>451</v>
      </c>
      <c r="C37" t="s">
        <v>451</v>
      </c>
      <c r="D37" t="s">
        <v>451</v>
      </c>
      <c r="G37" t="s">
        <v>135</v>
      </c>
      <c r="N37" t="s">
        <v>487</v>
      </c>
      <c r="Q37" t="s">
        <v>439</v>
      </c>
      <c r="R37" t="s">
        <v>451</v>
      </c>
      <c r="T37" t="s">
        <v>451</v>
      </c>
      <c r="U37" t="s">
        <v>135</v>
      </c>
      <c r="W37" t="s">
        <v>451</v>
      </c>
      <c r="X37" t="s">
        <v>451</v>
      </c>
    </row>
    <row r="38" spans="2:24" x14ac:dyDescent="0.35">
      <c r="B38" t="s">
        <v>522</v>
      </c>
      <c r="C38" t="s">
        <v>522</v>
      </c>
      <c r="D38" t="s">
        <v>522</v>
      </c>
      <c r="G38" t="s">
        <v>137</v>
      </c>
      <c r="N38" t="s">
        <v>489</v>
      </c>
      <c r="Q38" t="s">
        <v>439</v>
      </c>
      <c r="R38" t="s">
        <v>522</v>
      </c>
      <c r="T38" t="s">
        <v>522</v>
      </c>
      <c r="U38" t="s">
        <v>137</v>
      </c>
      <c r="W38" t="s">
        <v>522</v>
      </c>
      <c r="X38" t="s">
        <v>522</v>
      </c>
    </row>
    <row r="39" spans="2:24" x14ac:dyDescent="0.35">
      <c r="B39" t="s">
        <v>523</v>
      </c>
      <c r="C39" t="s">
        <v>523</v>
      </c>
      <c r="D39" t="s">
        <v>523</v>
      </c>
      <c r="G39" t="s">
        <v>139</v>
      </c>
      <c r="N39" t="s">
        <v>490</v>
      </c>
      <c r="Q39" t="s">
        <v>439</v>
      </c>
      <c r="R39" t="s">
        <v>523</v>
      </c>
      <c r="T39" t="s">
        <v>523</v>
      </c>
      <c r="U39" t="s">
        <v>139</v>
      </c>
      <c r="W39" t="s">
        <v>523</v>
      </c>
      <c r="X39" t="s">
        <v>523</v>
      </c>
    </row>
    <row r="40" spans="2:24" x14ac:dyDescent="0.35">
      <c r="B40" t="s">
        <v>524</v>
      </c>
      <c r="C40" t="s">
        <v>524</v>
      </c>
      <c r="D40" t="s">
        <v>524</v>
      </c>
      <c r="G40" t="s">
        <v>141</v>
      </c>
      <c r="N40" t="s">
        <v>488</v>
      </c>
      <c r="Q40" t="s">
        <v>439</v>
      </c>
      <c r="R40" t="s">
        <v>524</v>
      </c>
      <c r="T40" t="s">
        <v>524</v>
      </c>
      <c r="U40" t="s">
        <v>141</v>
      </c>
      <c r="W40" t="s">
        <v>524</v>
      </c>
      <c r="X40" t="s">
        <v>524</v>
      </c>
    </row>
    <row r="41" spans="2:24" x14ac:dyDescent="0.35">
      <c r="B41" t="s">
        <v>525</v>
      </c>
      <c r="C41" t="s">
        <v>525</v>
      </c>
      <c r="D41" t="s">
        <v>525</v>
      </c>
      <c r="G41" t="s">
        <v>143</v>
      </c>
      <c r="N41" t="s">
        <v>491</v>
      </c>
      <c r="Q41" t="s">
        <v>439</v>
      </c>
      <c r="R41" t="s">
        <v>525</v>
      </c>
      <c r="T41" t="s">
        <v>525</v>
      </c>
      <c r="U41" t="s">
        <v>143</v>
      </c>
      <c r="W41" t="s">
        <v>525</v>
      </c>
      <c r="X41" t="s">
        <v>525</v>
      </c>
    </row>
    <row r="42" spans="2:24" x14ac:dyDescent="0.35">
      <c r="B42" t="s">
        <v>485</v>
      </c>
      <c r="C42" t="s">
        <v>485</v>
      </c>
      <c r="D42" t="s">
        <v>485</v>
      </c>
      <c r="G42" t="s">
        <v>145</v>
      </c>
      <c r="N42" t="s">
        <v>527</v>
      </c>
      <c r="Q42" t="s">
        <v>439</v>
      </c>
      <c r="R42" t="s">
        <v>485</v>
      </c>
      <c r="T42" t="s">
        <v>485</v>
      </c>
      <c r="U42" t="s">
        <v>145</v>
      </c>
      <c r="W42" t="s">
        <v>485</v>
      </c>
      <c r="X42" t="s">
        <v>485</v>
      </c>
    </row>
    <row r="43" spans="2:24" x14ac:dyDescent="0.35">
      <c r="B43" t="s">
        <v>484</v>
      </c>
      <c r="C43" t="s">
        <v>484</v>
      </c>
      <c r="D43" t="s">
        <v>484</v>
      </c>
      <c r="G43" t="s">
        <v>147</v>
      </c>
      <c r="N43" t="s">
        <v>492</v>
      </c>
      <c r="Q43" t="s">
        <v>439</v>
      </c>
      <c r="R43" t="s">
        <v>484</v>
      </c>
      <c r="T43" t="s">
        <v>484</v>
      </c>
      <c r="U43" t="s">
        <v>147</v>
      </c>
      <c r="W43" t="s">
        <v>484</v>
      </c>
      <c r="X43" t="s">
        <v>484</v>
      </c>
    </row>
    <row r="44" spans="2:24" x14ac:dyDescent="0.35">
      <c r="B44" t="s">
        <v>448</v>
      </c>
      <c r="C44" t="s">
        <v>448</v>
      </c>
      <c r="D44" t="s">
        <v>448</v>
      </c>
      <c r="G44" t="s">
        <v>149</v>
      </c>
      <c r="N44" t="s">
        <v>494</v>
      </c>
      <c r="Q44" t="s">
        <v>439</v>
      </c>
      <c r="R44" t="s">
        <v>448</v>
      </c>
      <c r="T44" t="s">
        <v>448</v>
      </c>
      <c r="U44" t="s">
        <v>149</v>
      </c>
      <c r="W44" t="s">
        <v>448</v>
      </c>
      <c r="X44" t="s">
        <v>448</v>
      </c>
    </row>
    <row r="45" spans="2:24" x14ac:dyDescent="0.35">
      <c r="B45" t="s">
        <v>526</v>
      </c>
      <c r="C45" t="s">
        <v>526</v>
      </c>
      <c r="D45" t="s">
        <v>526</v>
      </c>
      <c r="G45" t="s">
        <v>151</v>
      </c>
      <c r="N45" t="s">
        <v>508</v>
      </c>
      <c r="Q45" t="s">
        <v>439</v>
      </c>
      <c r="R45" t="s">
        <v>526</v>
      </c>
      <c r="T45" t="s">
        <v>526</v>
      </c>
      <c r="U45" t="s">
        <v>151</v>
      </c>
      <c r="W45" t="s">
        <v>526</v>
      </c>
      <c r="X45" t="s">
        <v>526</v>
      </c>
    </row>
    <row r="46" spans="2:24" x14ac:dyDescent="0.35">
      <c r="B46" t="s">
        <v>452</v>
      </c>
      <c r="C46" t="s">
        <v>452</v>
      </c>
      <c r="D46" t="s">
        <v>452</v>
      </c>
      <c r="G46" t="s">
        <v>153</v>
      </c>
      <c r="Q46" t="s">
        <v>439</v>
      </c>
      <c r="R46" t="s">
        <v>452</v>
      </c>
      <c r="T46" t="s">
        <v>452</v>
      </c>
      <c r="U46" t="s">
        <v>153</v>
      </c>
      <c r="W46" t="s">
        <v>452</v>
      </c>
      <c r="X46" t="s">
        <v>452</v>
      </c>
    </row>
    <row r="47" spans="2:24" x14ac:dyDescent="0.35">
      <c r="B47" t="s">
        <v>486</v>
      </c>
      <c r="C47" t="s">
        <v>486</v>
      </c>
      <c r="D47" t="s">
        <v>486</v>
      </c>
      <c r="G47" t="s">
        <v>155</v>
      </c>
      <c r="Q47" t="s">
        <v>439</v>
      </c>
      <c r="R47" t="s">
        <v>486</v>
      </c>
      <c r="T47" t="s">
        <v>486</v>
      </c>
      <c r="U47" t="s">
        <v>155</v>
      </c>
      <c r="W47" t="s">
        <v>486</v>
      </c>
      <c r="X47" t="s">
        <v>486</v>
      </c>
    </row>
    <row r="48" spans="2:24" x14ac:dyDescent="0.35">
      <c r="B48" t="s">
        <v>487</v>
      </c>
      <c r="C48" t="s">
        <v>487</v>
      </c>
      <c r="D48" t="s">
        <v>487</v>
      </c>
      <c r="G48" t="s">
        <v>157</v>
      </c>
      <c r="Q48" t="s">
        <v>439</v>
      </c>
      <c r="R48" t="s">
        <v>487</v>
      </c>
      <c r="T48" t="s">
        <v>487</v>
      </c>
      <c r="U48" t="s">
        <v>157</v>
      </c>
      <c r="W48" t="s">
        <v>487</v>
      </c>
      <c r="X48" t="s">
        <v>487</v>
      </c>
    </row>
    <row r="49" spans="2:24" x14ac:dyDescent="0.35">
      <c r="B49" t="s">
        <v>489</v>
      </c>
      <c r="C49" t="s">
        <v>489</v>
      </c>
      <c r="D49" t="s">
        <v>489</v>
      </c>
      <c r="G49" t="s">
        <v>159</v>
      </c>
      <c r="Q49" t="s">
        <v>439</v>
      </c>
      <c r="R49" t="s">
        <v>489</v>
      </c>
      <c r="T49" t="s">
        <v>489</v>
      </c>
      <c r="U49" t="s">
        <v>159</v>
      </c>
      <c r="W49" t="s">
        <v>489</v>
      </c>
      <c r="X49" t="s">
        <v>489</v>
      </c>
    </row>
    <row r="50" spans="2:24" x14ac:dyDescent="0.35">
      <c r="B50" t="s">
        <v>490</v>
      </c>
      <c r="C50" t="s">
        <v>490</v>
      </c>
      <c r="D50" t="s">
        <v>490</v>
      </c>
      <c r="G50" t="s">
        <v>161</v>
      </c>
      <c r="Q50" t="s">
        <v>439</v>
      </c>
      <c r="R50" t="s">
        <v>490</v>
      </c>
      <c r="T50" t="s">
        <v>490</v>
      </c>
      <c r="U50" t="s">
        <v>161</v>
      </c>
      <c r="W50" t="s">
        <v>490</v>
      </c>
      <c r="X50" t="s">
        <v>490</v>
      </c>
    </row>
    <row r="51" spans="2:24" x14ac:dyDescent="0.35">
      <c r="B51" t="s">
        <v>488</v>
      </c>
      <c r="C51" t="s">
        <v>488</v>
      </c>
      <c r="D51" t="s">
        <v>488</v>
      </c>
      <c r="G51" t="s">
        <v>163</v>
      </c>
      <c r="Q51" t="s">
        <v>439</v>
      </c>
      <c r="R51" t="s">
        <v>488</v>
      </c>
      <c r="T51" t="s">
        <v>488</v>
      </c>
      <c r="U51" t="s">
        <v>163</v>
      </c>
      <c r="W51" t="s">
        <v>488</v>
      </c>
      <c r="X51" t="s">
        <v>488</v>
      </c>
    </row>
    <row r="52" spans="2:24" x14ac:dyDescent="0.35">
      <c r="B52" t="s">
        <v>491</v>
      </c>
      <c r="C52" t="s">
        <v>491</v>
      </c>
      <c r="D52" t="s">
        <v>491</v>
      </c>
      <c r="G52" t="s">
        <v>165</v>
      </c>
      <c r="Q52" t="s">
        <v>439</v>
      </c>
      <c r="R52" t="s">
        <v>491</v>
      </c>
      <c r="T52" t="s">
        <v>491</v>
      </c>
      <c r="U52" t="s">
        <v>165</v>
      </c>
      <c r="W52" t="s">
        <v>491</v>
      </c>
      <c r="X52" t="s">
        <v>491</v>
      </c>
    </row>
    <row r="53" spans="2:24" x14ac:dyDescent="0.35">
      <c r="B53" t="s">
        <v>527</v>
      </c>
      <c r="C53" t="s">
        <v>527</v>
      </c>
      <c r="D53" t="s">
        <v>527</v>
      </c>
      <c r="G53" t="s">
        <v>167</v>
      </c>
      <c r="Q53" t="s">
        <v>439</v>
      </c>
      <c r="R53" t="s">
        <v>527</v>
      </c>
      <c r="T53" t="s">
        <v>527</v>
      </c>
      <c r="U53" t="s">
        <v>167</v>
      </c>
      <c r="W53" t="s">
        <v>527</v>
      </c>
      <c r="X53" t="s">
        <v>527</v>
      </c>
    </row>
    <row r="54" spans="2:24" x14ac:dyDescent="0.35">
      <c r="B54" t="s">
        <v>493</v>
      </c>
      <c r="C54" t="s">
        <v>493</v>
      </c>
      <c r="D54" t="s">
        <v>493</v>
      </c>
      <c r="G54" t="s">
        <v>169</v>
      </c>
      <c r="Q54" t="s">
        <v>439</v>
      </c>
      <c r="R54" t="s">
        <v>493</v>
      </c>
      <c r="T54" t="s">
        <v>493</v>
      </c>
      <c r="U54" t="s">
        <v>169</v>
      </c>
      <c r="W54" t="s">
        <v>493</v>
      </c>
      <c r="X54" t="s">
        <v>493</v>
      </c>
    </row>
    <row r="55" spans="2:24" x14ac:dyDescent="0.35">
      <c r="B55" t="s">
        <v>492</v>
      </c>
      <c r="C55" t="s">
        <v>492</v>
      </c>
      <c r="D55" t="s">
        <v>492</v>
      </c>
      <c r="G55" t="s">
        <v>171</v>
      </c>
      <c r="Q55" t="s">
        <v>439</v>
      </c>
      <c r="R55" t="s">
        <v>492</v>
      </c>
      <c r="T55" t="s">
        <v>492</v>
      </c>
      <c r="U55" t="s">
        <v>171</v>
      </c>
      <c r="W55" t="s">
        <v>492</v>
      </c>
      <c r="X55" t="s">
        <v>492</v>
      </c>
    </row>
    <row r="56" spans="2:24" x14ac:dyDescent="0.35">
      <c r="B56" t="s">
        <v>528</v>
      </c>
      <c r="C56" t="s">
        <v>528</v>
      </c>
      <c r="D56" t="s">
        <v>528</v>
      </c>
      <c r="G56" t="s">
        <v>173</v>
      </c>
      <c r="Q56" t="s">
        <v>439</v>
      </c>
      <c r="R56" t="s">
        <v>528</v>
      </c>
      <c r="T56" t="s">
        <v>528</v>
      </c>
      <c r="U56" t="s">
        <v>173</v>
      </c>
      <c r="W56" t="s">
        <v>528</v>
      </c>
      <c r="X56" t="s">
        <v>528</v>
      </c>
    </row>
    <row r="57" spans="2:24" x14ac:dyDescent="0.35">
      <c r="B57" t="s">
        <v>494</v>
      </c>
      <c r="C57" t="s">
        <v>494</v>
      </c>
      <c r="D57" t="s">
        <v>494</v>
      </c>
      <c r="G57" t="s">
        <v>175</v>
      </c>
      <c r="Q57" t="s">
        <v>439</v>
      </c>
      <c r="R57" t="s">
        <v>494</v>
      </c>
      <c r="T57" t="s">
        <v>494</v>
      </c>
      <c r="U57" t="s">
        <v>175</v>
      </c>
      <c r="W57" t="s">
        <v>494</v>
      </c>
      <c r="X57" t="s">
        <v>494</v>
      </c>
    </row>
    <row r="58" spans="2:24" x14ac:dyDescent="0.35">
      <c r="B58" t="s">
        <v>495</v>
      </c>
      <c r="C58" t="s">
        <v>495</v>
      </c>
      <c r="D58" t="s">
        <v>495</v>
      </c>
      <c r="G58" t="s">
        <v>177</v>
      </c>
      <c r="Q58" t="s">
        <v>439</v>
      </c>
      <c r="R58" t="s">
        <v>495</v>
      </c>
      <c r="T58" t="s">
        <v>495</v>
      </c>
      <c r="U58" t="s">
        <v>177</v>
      </c>
      <c r="W58" t="s">
        <v>495</v>
      </c>
      <c r="X58" t="s">
        <v>495</v>
      </c>
    </row>
    <row r="59" spans="2:24" x14ac:dyDescent="0.35">
      <c r="B59" t="s">
        <v>496</v>
      </c>
      <c r="C59" t="s">
        <v>496</v>
      </c>
      <c r="D59" t="s">
        <v>496</v>
      </c>
      <c r="G59" t="s">
        <v>179</v>
      </c>
      <c r="Q59" t="s">
        <v>439</v>
      </c>
      <c r="R59" t="s">
        <v>496</v>
      </c>
      <c r="T59" t="s">
        <v>496</v>
      </c>
      <c r="U59" t="s">
        <v>179</v>
      </c>
      <c r="W59" t="s">
        <v>496</v>
      </c>
      <c r="X59" t="s">
        <v>496</v>
      </c>
    </row>
    <row r="60" spans="2:24" x14ac:dyDescent="0.35">
      <c r="B60" t="s">
        <v>497</v>
      </c>
      <c r="C60" t="s">
        <v>497</v>
      </c>
      <c r="D60" t="s">
        <v>497</v>
      </c>
      <c r="G60" t="s">
        <v>181</v>
      </c>
      <c r="Q60" t="s">
        <v>439</v>
      </c>
      <c r="R60" t="s">
        <v>497</v>
      </c>
      <c r="T60" t="s">
        <v>497</v>
      </c>
      <c r="U60" t="s">
        <v>181</v>
      </c>
      <c r="W60" t="s">
        <v>497</v>
      </c>
      <c r="X60" t="s">
        <v>497</v>
      </c>
    </row>
    <row r="61" spans="2:24" x14ac:dyDescent="0.35">
      <c r="B61" t="s">
        <v>529</v>
      </c>
      <c r="C61" t="s">
        <v>529</v>
      </c>
      <c r="D61" t="s">
        <v>529</v>
      </c>
      <c r="G61" t="s">
        <v>183</v>
      </c>
      <c r="Q61" t="s">
        <v>439</v>
      </c>
      <c r="R61" t="s">
        <v>529</v>
      </c>
      <c r="T61" t="s">
        <v>529</v>
      </c>
      <c r="U61" t="s">
        <v>183</v>
      </c>
      <c r="W61" t="s">
        <v>529</v>
      </c>
      <c r="X61" t="s">
        <v>529</v>
      </c>
    </row>
    <row r="62" spans="2:24" x14ac:dyDescent="0.35">
      <c r="B62" t="s">
        <v>498</v>
      </c>
      <c r="C62" t="s">
        <v>498</v>
      </c>
      <c r="D62" t="s">
        <v>498</v>
      </c>
      <c r="G62" t="s">
        <v>185</v>
      </c>
      <c r="Q62" t="s">
        <v>439</v>
      </c>
      <c r="R62" t="s">
        <v>498</v>
      </c>
      <c r="T62" t="s">
        <v>498</v>
      </c>
      <c r="U62" t="s">
        <v>185</v>
      </c>
      <c r="W62" t="s">
        <v>498</v>
      </c>
      <c r="X62" t="s">
        <v>498</v>
      </c>
    </row>
    <row r="63" spans="2:24" x14ac:dyDescent="0.35">
      <c r="B63" t="s">
        <v>499</v>
      </c>
      <c r="C63" t="s">
        <v>499</v>
      </c>
      <c r="D63" t="s">
        <v>499</v>
      </c>
      <c r="G63" t="s">
        <v>187</v>
      </c>
      <c r="Q63" t="s">
        <v>439</v>
      </c>
      <c r="R63" t="s">
        <v>499</v>
      </c>
      <c r="T63" t="s">
        <v>499</v>
      </c>
      <c r="U63" t="s">
        <v>187</v>
      </c>
      <c r="W63" t="s">
        <v>499</v>
      </c>
      <c r="X63" t="s">
        <v>499</v>
      </c>
    </row>
    <row r="64" spans="2:24" x14ac:dyDescent="0.35">
      <c r="B64" t="s">
        <v>530</v>
      </c>
      <c r="C64" t="s">
        <v>530</v>
      </c>
      <c r="D64" t="s">
        <v>530</v>
      </c>
      <c r="G64" t="s">
        <v>189</v>
      </c>
      <c r="Q64" t="s">
        <v>439</v>
      </c>
      <c r="R64" t="s">
        <v>530</v>
      </c>
      <c r="T64" t="s">
        <v>530</v>
      </c>
      <c r="U64" t="s">
        <v>189</v>
      </c>
      <c r="W64" t="s">
        <v>530</v>
      </c>
      <c r="X64" t="s">
        <v>530</v>
      </c>
    </row>
    <row r="65" spans="2:24" x14ac:dyDescent="0.35">
      <c r="B65" t="s">
        <v>531</v>
      </c>
      <c r="C65" t="s">
        <v>531</v>
      </c>
      <c r="D65" t="s">
        <v>531</v>
      </c>
      <c r="G65" t="s">
        <v>191</v>
      </c>
      <c r="Q65" t="s">
        <v>439</v>
      </c>
      <c r="R65" t="s">
        <v>531</v>
      </c>
      <c r="T65" t="s">
        <v>531</v>
      </c>
      <c r="U65" t="s">
        <v>191</v>
      </c>
      <c r="W65" t="s">
        <v>531</v>
      </c>
      <c r="X65" t="s">
        <v>531</v>
      </c>
    </row>
    <row r="66" spans="2:24" x14ac:dyDescent="0.35">
      <c r="B66" t="s">
        <v>500</v>
      </c>
      <c r="C66" t="s">
        <v>500</v>
      </c>
      <c r="D66" t="s">
        <v>500</v>
      </c>
      <c r="G66" t="s">
        <v>193</v>
      </c>
      <c r="Q66" t="s">
        <v>439</v>
      </c>
      <c r="R66" t="s">
        <v>500</v>
      </c>
      <c r="T66" t="s">
        <v>500</v>
      </c>
      <c r="U66" t="s">
        <v>193</v>
      </c>
      <c r="W66" t="s">
        <v>500</v>
      </c>
      <c r="X66" t="s">
        <v>500</v>
      </c>
    </row>
    <row r="67" spans="2:24" x14ac:dyDescent="0.35">
      <c r="B67" t="s">
        <v>532</v>
      </c>
      <c r="C67" t="s">
        <v>532</v>
      </c>
      <c r="D67" t="s">
        <v>532</v>
      </c>
      <c r="G67" t="s">
        <v>195</v>
      </c>
      <c r="Q67" t="s">
        <v>439</v>
      </c>
      <c r="R67" t="s">
        <v>532</v>
      </c>
      <c r="T67" t="s">
        <v>532</v>
      </c>
      <c r="U67" t="s">
        <v>195</v>
      </c>
      <c r="W67" t="s">
        <v>532</v>
      </c>
      <c r="X67" t="s">
        <v>532</v>
      </c>
    </row>
    <row r="68" spans="2:24" x14ac:dyDescent="0.35">
      <c r="B68" t="s">
        <v>533</v>
      </c>
      <c r="C68" t="s">
        <v>533</v>
      </c>
      <c r="D68" t="s">
        <v>533</v>
      </c>
      <c r="G68" t="s">
        <v>197</v>
      </c>
      <c r="Q68" t="s">
        <v>439</v>
      </c>
      <c r="R68" t="s">
        <v>533</v>
      </c>
      <c r="T68" t="s">
        <v>533</v>
      </c>
      <c r="U68" t="s">
        <v>197</v>
      </c>
      <c r="W68" t="s">
        <v>533</v>
      </c>
      <c r="X68" t="s">
        <v>533</v>
      </c>
    </row>
    <row r="69" spans="2:24" x14ac:dyDescent="0.35">
      <c r="B69" t="s">
        <v>501</v>
      </c>
      <c r="C69" t="s">
        <v>501</v>
      </c>
      <c r="D69" t="s">
        <v>501</v>
      </c>
      <c r="G69" t="s">
        <v>199</v>
      </c>
      <c r="Q69" t="s">
        <v>439</v>
      </c>
      <c r="R69" t="s">
        <v>501</v>
      </c>
      <c r="T69" t="s">
        <v>501</v>
      </c>
      <c r="U69" t="s">
        <v>199</v>
      </c>
      <c r="W69" t="s">
        <v>501</v>
      </c>
      <c r="X69" t="s">
        <v>501</v>
      </c>
    </row>
    <row r="70" spans="2:24" x14ac:dyDescent="0.35">
      <c r="B70" t="s">
        <v>502</v>
      </c>
      <c r="C70" t="s">
        <v>502</v>
      </c>
      <c r="D70" t="s">
        <v>502</v>
      </c>
      <c r="G70" t="s">
        <v>201</v>
      </c>
      <c r="Q70" t="s">
        <v>439</v>
      </c>
      <c r="R70" t="s">
        <v>502</v>
      </c>
      <c r="T70" t="s">
        <v>502</v>
      </c>
      <c r="U70" t="s">
        <v>201</v>
      </c>
      <c r="W70" t="s">
        <v>502</v>
      </c>
      <c r="X70" t="s">
        <v>502</v>
      </c>
    </row>
    <row r="71" spans="2:24" x14ac:dyDescent="0.35">
      <c r="B71" t="s">
        <v>503</v>
      </c>
      <c r="C71" t="s">
        <v>503</v>
      </c>
      <c r="D71" t="s">
        <v>503</v>
      </c>
      <c r="G71" t="s">
        <v>203</v>
      </c>
      <c r="Q71" t="s">
        <v>439</v>
      </c>
      <c r="R71" t="s">
        <v>503</v>
      </c>
      <c r="T71" t="s">
        <v>503</v>
      </c>
      <c r="U71" t="s">
        <v>203</v>
      </c>
      <c r="W71" t="s">
        <v>503</v>
      </c>
      <c r="X71" t="s">
        <v>503</v>
      </c>
    </row>
    <row r="72" spans="2:24" x14ac:dyDescent="0.35">
      <c r="B72" t="s">
        <v>534</v>
      </c>
      <c r="C72" t="s">
        <v>534</v>
      </c>
      <c r="D72" t="s">
        <v>534</v>
      </c>
      <c r="G72" t="s">
        <v>205</v>
      </c>
      <c r="Q72" t="s">
        <v>439</v>
      </c>
      <c r="R72" t="s">
        <v>534</v>
      </c>
      <c r="T72" t="s">
        <v>534</v>
      </c>
      <c r="U72" t="s">
        <v>205</v>
      </c>
      <c r="W72" t="s">
        <v>534</v>
      </c>
      <c r="X72" t="s">
        <v>534</v>
      </c>
    </row>
    <row r="73" spans="2:24" x14ac:dyDescent="0.35">
      <c r="B73" t="s">
        <v>504</v>
      </c>
      <c r="C73" t="s">
        <v>504</v>
      </c>
      <c r="D73" t="s">
        <v>504</v>
      </c>
      <c r="G73" t="s">
        <v>207</v>
      </c>
      <c r="Q73" t="s">
        <v>439</v>
      </c>
      <c r="R73" t="s">
        <v>504</v>
      </c>
      <c r="T73" t="s">
        <v>504</v>
      </c>
      <c r="U73" t="s">
        <v>207</v>
      </c>
      <c r="W73" t="s">
        <v>504</v>
      </c>
      <c r="X73" t="s">
        <v>504</v>
      </c>
    </row>
    <row r="74" spans="2:24" x14ac:dyDescent="0.35">
      <c r="B74" t="s">
        <v>535</v>
      </c>
      <c r="C74" t="s">
        <v>535</v>
      </c>
      <c r="D74" t="s">
        <v>535</v>
      </c>
      <c r="G74" t="s">
        <v>209</v>
      </c>
      <c r="Q74" t="s">
        <v>439</v>
      </c>
      <c r="R74" t="s">
        <v>535</v>
      </c>
      <c r="T74" t="s">
        <v>535</v>
      </c>
      <c r="U74" t="s">
        <v>209</v>
      </c>
      <c r="W74" t="s">
        <v>535</v>
      </c>
      <c r="X74" t="s">
        <v>535</v>
      </c>
    </row>
    <row r="75" spans="2:24" x14ac:dyDescent="0.35">
      <c r="B75" t="s">
        <v>505</v>
      </c>
      <c r="C75" t="s">
        <v>505</v>
      </c>
      <c r="D75" t="s">
        <v>505</v>
      </c>
      <c r="G75" t="s">
        <v>211</v>
      </c>
      <c r="Q75" t="s">
        <v>439</v>
      </c>
      <c r="R75" t="s">
        <v>505</v>
      </c>
      <c r="T75" t="s">
        <v>505</v>
      </c>
      <c r="U75" t="s">
        <v>211</v>
      </c>
      <c r="W75" t="s">
        <v>505</v>
      </c>
      <c r="X75" t="s">
        <v>505</v>
      </c>
    </row>
    <row r="76" spans="2:24" x14ac:dyDescent="0.35">
      <c r="B76" t="s">
        <v>506</v>
      </c>
      <c r="C76" t="s">
        <v>506</v>
      </c>
      <c r="D76" t="s">
        <v>506</v>
      </c>
      <c r="G76" t="s">
        <v>213</v>
      </c>
      <c r="Q76" t="s">
        <v>439</v>
      </c>
      <c r="R76" t="s">
        <v>506</v>
      </c>
      <c r="T76" t="s">
        <v>506</v>
      </c>
      <c r="U76" t="s">
        <v>213</v>
      </c>
      <c r="W76" t="s">
        <v>506</v>
      </c>
      <c r="X76" t="s">
        <v>506</v>
      </c>
    </row>
    <row r="77" spans="2:24" x14ac:dyDescent="0.35">
      <c r="B77" t="s">
        <v>536</v>
      </c>
      <c r="C77" t="s">
        <v>536</v>
      </c>
      <c r="D77" t="s">
        <v>536</v>
      </c>
      <c r="G77" t="s">
        <v>215</v>
      </c>
      <c r="Q77" t="s">
        <v>439</v>
      </c>
      <c r="R77" t="s">
        <v>536</v>
      </c>
      <c r="T77" t="s">
        <v>536</v>
      </c>
      <c r="U77" t="s">
        <v>215</v>
      </c>
      <c r="W77" t="s">
        <v>536</v>
      </c>
      <c r="X77" t="s">
        <v>536</v>
      </c>
    </row>
    <row r="78" spans="2:24" x14ac:dyDescent="0.35">
      <c r="B78" t="s">
        <v>507</v>
      </c>
      <c r="C78" t="s">
        <v>507</v>
      </c>
      <c r="D78" t="s">
        <v>507</v>
      </c>
      <c r="G78" t="s">
        <v>217</v>
      </c>
      <c r="Q78" t="s">
        <v>439</v>
      </c>
      <c r="R78" t="s">
        <v>507</v>
      </c>
      <c r="T78" t="s">
        <v>507</v>
      </c>
      <c r="U78" t="s">
        <v>217</v>
      </c>
      <c r="W78" t="s">
        <v>507</v>
      </c>
      <c r="X78" t="s">
        <v>507</v>
      </c>
    </row>
    <row r="79" spans="2:24" x14ac:dyDescent="0.35">
      <c r="B79" t="s">
        <v>537</v>
      </c>
      <c r="C79" t="s">
        <v>537</v>
      </c>
      <c r="D79" t="s">
        <v>537</v>
      </c>
      <c r="G79" t="s">
        <v>219</v>
      </c>
      <c r="Q79" t="s">
        <v>439</v>
      </c>
      <c r="R79" t="s">
        <v>537</v>
      </c>
      <c r="T79" t="s">
        <v>537</v>
      </c>
      <c r="U79" t="s">
        <v>219</v>
      </c>
      <c r="W79" t="s">
        <v>537</v>
      </c>
      <c r="X79" t="s">
        <v>537</v>
      </c>
    </row>
    <row r="80" spans="2:24" x14ac:dyDescent="0.35">
      <c r="B80" t="s">
        <v>538</v>
      </c>
      <c r="C80" t="s">
        <v>538</v>
      </c>
      <c r="D80" t="s">
        <v>538</v>
      </c>
      <c r="G80" t="s">
        <v>221</v>
      </c>
      <c r="Q80" t="s">
        <v>439</v>
      </c>
      <c r="R80" t="s">
        <v>538</v>
      </c>
      <c r="T80" t="s">
        <v>538</v>
      </c>
      <c r="U80" t="s">
        <v>221</v>
      </c>
      <c r="W80" t="s">
        <v>538</v>
      </c>
      <c r="X80" t="s">
        <v>538</v>
      </c>
    </row>
    <row r="81" spans="2:24" x14ac:dyDescent="0.35">
      <c r="B81" t="s">
        <v>539</v>
      </c>
      <c r="C81" t="s">
        <v>539</v>
      </c>
      <c r="D81" t="s">
        <v>539</v>
      </c>
      <c r="G81" t="s">
        <v>223</v>
      </c>
      <c r="Q81" t="s">
        <v>439</v>
      </c>
      <c r="R81" t="s">
        <v>539</v>
      </c>
      <c r="T81" t="s">
        <v>539</v>
      </c>
      <c r="U81" t="s">
        <v>223</v>
      </c>
      <c r="W81" t="s">
        <v>539</v>
      </c>
      <c r="X81" t="s">
        <v>539</v>
      </c>
    </row>
    <row r="82" spans="2:24" x14ac:dyDescent="0.35">
      <c r="B82" t="s">
        <v>540</v>
      </c>
      <c r="C82" t="s">
        <v>540</v>
      </c>
      <c r="D82" t="s">
        <v>540</v>
      </c>
      <c r="G82" t="s">
        <v>225</v>
      </c>
      <c r="Q82" t="s">
        <v>439</v>
      </c>
      <c r="R82" t="s">
        <v>540</v>
      </c>
      <c r="T82" t="s">
        <v>540</v>
      </c>
      <c r="U82" t="s">
        <v>225</v>
      </c>
      <c r="W82" t="s">
        <v>540</v>
      </c>
      <c r="X82" t="s">
        <v>540</v>
      </c>
    </row>
    <row r="83" spans="2:24" x14ac:dyDescent="0.35">
      <c r="B83" t="s">
        <v>541</v>
      </c>
      <c r="C83" t="s">
        <v>541</v>
      </c>
      <c r="D83" t="s">
        <v>541</v>
      </c>
      <c r="G83" t="s">
        <v>227</v>
      </c>
      <c r="Q83" t="s">
        <v>439</v>
      </c>
      <c r="R83" t="s">
        <v>541</v>
      </c>
      <c r="T83" t="s">
        <v>541</v>
      </c>
      <c r="U83" t="s">
        <v>227</v>
      </c>
      <c r="W83" t="s">
        <v>541</v>
      </c>
      <c r="X83" t="s">
        <v>541</v>
      </c>
    </row>
    <row r="84" spans="2:24" x14ac:dyDescent="0.35">
      <c r="B84" t="s">
        <v>542</v>
      </c>
      <c r="C84" t="s">
        <v>542</v>
      </c>
      <c r="D84" t="s">
        <v>542</v>
      </c>
      <c r="G84" t="s">
        <v>229</v>
      </c>
      <c r="Q84" t="s">
        <v>439</v>
      </c>
      <c r="R84" t="s">
        <v>542</v>
      </c>
      <c r="T84" t="s">
        <v>542</v>
      </c>
      <c r="U84" t="s">
        <v>229</v>
      </c>
      <c r="W84" t="s">
        <v>542</v>
      </c>
      <c r="X84" t="s">
        <v>542</v>
      </c>
    </row>
    <row r="85" spans="2:24" x14ac:dyDescent="0.35">
      <c r="B85" t="s">
        <v>543</v>
      </c>
      <c r="C85" t="s">
        <v>543</v>
      </c>
      <c r="D85" t="s">
        <v>543</v>
      </c>
      <c r="G85" t="s">
        <v>231</v>
      </c>
      <c r="Q85" t="s">
        <v>439</v>
      </c>
      <c r="R85" t="s">
        <v>543</v>
      </c>
      <c r="T85" t="s">
        <v>543</v>
      </c>
      <c r="U85" t="s">
        <v>231</v>
      </c>
      <c r="W85" t="s">
        <v>543</v>
      </c>
      <c r="X85" t="s">
        <v>543</v>
      </c>
    </row>
    <row r="86" spans="2:24" x14ac:dyDescent="0.35">
      <c r="B86" t="s">
        <v>544</v>
      </c>
      <c r="C86" t="s">
        <v>544</v>
      </c>
      <c r="D86" t="s">
        <v>544</v>
      </c>
      <c r="G86" t="s">
        <v>233</v>
      </c>
      <c r="Q86" t="s">
        <v>439</v>
      </c>
      <c r="R86" t="s">
        <v>544</v>
      </c>
      <c r="T86" t="s">
        <v>544</v>
      </c>
      <c r="U86" t="s">
        <v>233</v>
      </c>
      <c r="W86" t="s">
        <v>544</v>
      </c>
      <c r="X86" t="s">
        <v>544</v>
      </c>
    </row>
    <row r="87" spans="2:24" x14ac:dyDescent="0.35">
      <c r="B87" t="s">
        <v>545</v>
      </c>
      <c r="C87" t="s">
        <v>545</v>
      </c>
      <c r="D87" t="s">
        <v>545</v>
      </c>
      <c r="G87" t="s">
        <v>235</v>
      </c>
      <c r="Q87" t="s">
        <v>439</v>
      </c>
      <c r="R87" t="s">
        <v>545</v>
      </c>
      <c r="T87" t="s">
        <v>545</v>
      </c>
      <c r="U87" t="s">
        <v>235</v>
      </c>
      <c r="W87" t="s">
        <v>545</v>
      </c>
      <c r="X87" t="s">
        <v>545</v>
      </c>
    </row>
    <row r="88" spans="2:24" x14ac:dyDescent="0.35">
      <c r="B88" t="s">
        <v>508</v>
      </c>
      <c r="C88" t="s">
        <v>508</v>
      </c>
      <c r="D88" t="s">
        <v>508</v>
      </c>
      <c r="G88" t="s">
        <v>237</v>
      </c>
      <c r="Q88" t="s">
        <v>439</v>
      </c>
      <c r="R88" t="s">
        <v>508</v>
      </c>
      <c r="T88" t="s">
        <v>508</v>
      </c>
      <c r="U88" t="s">
        <v>237</v>
      </c>
      <c r="W88" t="s">
        <v>508</v>
      </c>
      <c r="X88" t="s">
        <v>508</v>
      </c>
    </row>
    <row r="89" spans="2:24" x14ac:dyDescent="0.35">
      <c r="B89" t="s">
        <v>546</v>
      </c>
      <c r="C89" t="s">
        <v>546</v>
      </c>
      <c r="D89" t="s">
        <v>546</v>
      </c>
      <c r="G89" t="s">
        <v>239</v>
      </c>
      <c r="Q89" t="s">
        <v>439</v>
      </c>
      <c r="R89" t="s">
        <v>546</v>
      </c>
      <c r="T89" t="s">
        <v>546</v>
      </c>
      <c r="U89" t="s">
        <v>239</v>
      </c>
      <c r="W89" t="s">
        <v>546</v>
      </c>
      <c r="X89" t="s">
        <v>546</v>
      </c>
    </row>
    <row r="90" spans="2:24" x14ac:dyDescent="0.35">
      <c r="B90" t="s">
        <v>509</v>
      </c>
      <c r="C90" t="s">
        <v>509</v>
      </c>
      <c r="D90" t="s">
        <v>509</v>
      </c>
      <c r="G90" t="s">
        <v>241</v>
      </c>
      <c r="Q90" t="s">
        <v>439</v>
      </c>
      <c r="R90" t="s">
        <v>509</v>
      </c>
      <c r="T90" t="s">
        <v>509</v>
      </c>
      <c r="U90" t="s">
        <v>241</v>
      </c>
      <c r="W90" t="s">
        <v>509</v>
      </c>
      <c r="X90" t="s">
        <v>509</v>
      </c>
    </row>
    <row r="91" spans="2:24" x14ac:dyDescent="0.35">
      <c r="B91" t="s">
        <v>547</v>
      </c>
      <c r="C91" t="s">
        <v>547</v>
      </c>
      <c r="D91" t="s">
        <v>547</v>
      </c>
      <c r="G91" t="s">
        <v>243</v>
      </c>
      <c r="Q91" t="s">
        <v>439</v>
      </c>
      <c r="R91" t="s">
        <v>547</v>
      </c>
      <c r="T91" t="s">
        <v>547</v>
      </c>
      <c r="U91" t="s">
        <v>243</v>
      </c>
      <c r="W91" t="s">
        <v>547</v>
      </c>
      <c r="X91" t="s">
        <v>547</v>
      </c>
    </row>
    <row r="92" spans="2:24" x14ac:dyDescent="0.35">
      <c r="B92" t="s">
        <v>548</v>
      </c>
      <c r="C92" t="s">
        <v>548</v>
      </c>
      <c r="D92" t="s">
        <v>548</v>
      </c>
      <c r="G92" t="s">
        <v>245</v>
      </c>
      <c r="Q92" t="s">
        <v>439</v>
      </c>
      <c r="R92" t="s">
        <v>548</v>
      </c>
      <c r="T92" t="s">
        <v>548</v>
      </c>
      <c r="U92" t="s">
        <v>245</v>
      </c>
      <c r="W92" t="s">
        <v>548</v>
      </c>
      <c r="X92" t="s">
        <v>548</v>
      </c>
    </row>
    <row r="93" spans="2:24" x14ac:dyDescent="0.35">
      <c r="B93" t="s">
        <v>549</v>
      </c>
      <c r="C93" t="s">
        <v>549</v>
      </c>
      <c r="D93" t="s">
        <v>549</v>
      </c>
      <c r="G93" t="s">
        <v>247</v>
      </c>
      <c r="Q93" t="s">
        <v>439</v>
      </c>
      <c r="R93" t="s">
        <v>549</v>
      </c>
      <c r="T93" t="s">
        <v>549</v>
      </c>
      <c r="U93" t="s">
        <v>247</v>
      </c>
      <c r="W93" t="s">
        <v>549</v>
      </c>
      <c r="X93" t="s">
        <v>549</v>
      </c>
    </row>
    <row r="94" spans="2:24" x14ac:dyDescent="0.35">
      <c r="B94" t="s">
        <v>550</v>
      </c>
      <c r="C94" t="s">
        <v>550</v>
      </c>
      <c r="D94" t="s">
        <v>550</v>
      </c>
      <c r="G94" t="s">
        <v>249</v>
      </c>
      <c r="Q94" t="s">
        <v>439</v>
      </c>
      <c r="R94" t="s">
        <v>550</v>
      </c>
      <c r="T94" t="s">
        <v>550</v>
      </c>
      <c r="U94" t="s">
        <v>249</v>
      </c>
      <c r="W94" t="s">
        <v>550</v>
      </c>
      <c r="X94" t="s">
        <v>550</v>
      </c>
    </row>
    <row r="95" spans="2:24" x14ac:dyDescent="0.35">
      <c r="B95" t="s">
        <v>551</v>
      </c>
      <c r="C95" t="s">
        <v>551</v>
      </c>
      <c r="D95" t="s">
        <v>551</v>
      </c>
      <c r="G95" t="s">
        <v>251</v>
      </c>
      <c r="Q95" t="s">
        <v>439</v>
      </c>
      <c r="R95" t="s">
        <v>551</v>
      </c>
      <c r="T95" t="s">
        <v>551</v>
      </c>
      <c r="U95" t="s">
        <v>251</v>
      </c>
      <c r="W95" t="s">
        <v>551</v>
      </c>
      <c r="X95" t="s">
        <v>551</v>
      </c>
    </row>
    <row r="96" spans="2:24" x14ac:dyDescent="0.35">
      <c r="B96" t="s">
        <v>510</v>
      </c>
      <c r="C96" t="s">
        <v>510</v>
      </c>
      <c r="D96" t="s">
        <v>510</v>
      </c>
      <c r="G96" t="s">
        <v>253</v>
      </c>
      <c r="Q96" t="s">
        <v>439</v>
      </c>
      <c r="R96" t="s">
        <v>510</v>
      </c>
      <c r="T96" t="s">
        <v>510</v>
      </c>
      <c r="U96" t="s">
        <v>253</v>
      </c>
      <c r="W96" t="s">
        <v>510</v>
      </c>
      <c r="X96" t="s">
        <v>510</v>
      </c>
    </row>
    <row r="97" spans="2:24" x14ac:dyDescent="0.35">
      <c r="B97" t="s">
        <v>552</v>
      </c>
      <c r="C97" t="s">
        <v>552</v>
      </c>
      <c r="D97" t="s">
        <v>552</v>
      </c>
      <c r="G97" t="s">
        <v>255</v>
      </c>
      <c r="Q97" t="s">
        <v>439</v>
      </c>
      <c r="R97" t="s">
        <v>552</v>
      </c>
      <c r="T97" t="s">
        <v>552</v>
      </c>
      <c r="U97" t="s">
        <v>255</v>
      </c>
      <c r="W97" t="s">
        <v>552</v>
      </c>
      <c r="X97" t="s">
        <v>552</v>
      </c>
    </row>
    <row r="98" spans="2:24" x14ac:dyDescent="0.35">
      <c r="B98" t="s">
        <v>553</v>
      </c>
      <c r="C98" t="s">
        <v>553</v>
      </c>
      <c r="D98" t="s">
        <v>553</v>
      </c>
      <c r="G98" t="s">
        <v>257</v>
      </c>
      <c r="Q98" t="s">
        <v>439</v>
      </c>
      <c r="R98" t="s">
        <v>553</v>
      </c>
      <c r="T98" t="s">
        <v>553</v>
      </c>
      <c r="U98" t="s">
        <v>257</v>
      </c>
      <c r="W98" t="s">
        <v>553</v>
      </c>
      <c r="X98" t="s">
        <v>553</v>
      </c>
    </row>
    <row r="99" spans="2:24" x14ac:dyDescent="0.35">
      <c r="B99" t="s">
        <v>554</v>
      </c>
      <c r="C99" t="s">
        <v>554</v>
      </c>
      <c r="D99" t="s">
        <v>554</v>
      </c>
      <c r="G99" t="s">
        <v>259</v>
      </c>
      <c r="Q99" t="s">
        <v>439</v>
      </c>
      <c r="R99" t="s">
        <v>554</v>
      </c>
      <c r="T99" t="s">
        <v>554</v>
      </c>
      <c r="U99" t="s">
        <v>259</v>
      </c>
      <c r="W99" t="s">
        <v>554</v>
      </c>
      <c r="X99" t="s">
        <v>554</v>
      </c>
    </row>
    <row r="100" spans="2:24" x14ac:dyDescent="0.35">
      <c r="B100" t="s">
        <v>555</v>
      </c>
      <c r="C100" t="s">
        <v>555</v>
      </c>
      <c r="D100" t="s">
        <v>555</v>
      </c>
      <c r="G100" t="s">
        <v>261</v>
      </c>
      <c r="Q100" t="s">
        <v>439</v>
      </c>
      <c r="R100" t="s">
        <v>555</v>
      </c>
      <c r="T100" t="s">
        <v>555</v>
      </c>
      <c r="U100" t="s">
        <v>261</v>
      </c>
      <c r="W100" t="s">
        <v>555</v>
      </c>
      <c r="X100" t="s">
        <v>555</v>
      </c>
    </row>
    <row r="101" spans="2:24" x14ac:dyDescent="0.35">
      <c r="B101" t="s">
        <v>556</v>
      </c>
      <c r="C101" t="s">
        <v>556</v>
      </c>
      <c r="D101" t="s">
        <v>556</v>
      </c>
      <c r="G101" t="s">
        <v>263</v>
      </c>
      <c r="Q101" t="s">
        <v>439</v>
      </c>
      <c r="R101" t="s">
        <v>556</v>
      </c>
      <c r="T101" t="s">
        <v>556</v>
      </c>
      <c r="U101" t="s">
        <v>263</v>
      </c>
      <c r="W101" t="s">
        <v>556</v>
      </c>
      <c r="X101" t="s">
        <v>556</v>
      </c>
    </row>
    <row r="102" spans="2:24" x14ac:dyDescent="0.35">
      <c r="B102" t="s">
        <v>511</v>
      </c>
      <c r="C102" t="s">
        <v>511</v>
      </c>
      <c r="D102" t="s">
        <v>511</v>
      </c>
      <c r="G102" t="s">
        <v>265</v>
      </c>
      <c r="Q102" t="s">
        <v>439</v>
      </c>
      <c r="R102" t="s">
        <v>511</v>
      </c>
      <c r="T102" t="s">
        <v>511</v>
      </c>
      <c r="U102" t="s">
        <v>265</v>
      </c>
      <c r="W102" t="s">
        <v>511</v>
      </c>
      <c r="X102" t="s">
        <v>511</v>
      </c>
    </row>
    <row r="103" spans="2:24" x14ac:dyDescent="0.35">
      <c r="B103" t="s">
        <v>512</v>
      </c>
      <c r="C103" t="s">
        <v>512</v>
      </c>
      <c r="D103" t="s">
        <v>512</v>
      </c>
      <c r="G103" t="s">
        <v>267</v>
      </c>
      <c r="Q103" t="s">
        <v>439</v>
      </c>
      <c r="R103" t="s">
        <v>512</v>
      </c>
      <c r="T103" t="s">
        <v>512</v>
      </c>
      <c r="U103" t="s">
        <v>267</v>
      </c>
      <c r="W103" t="s">
        <v>512</v>
      </c>
      <c r="X103" t="s">
        <v>512</v>
      </c>
    </row>
    <row r="104" spans="2:24" x14ac:dyDescent="0.35">
      <c r="B104" t="s">
        <v>513</v>
      </c>
      <c r="C104" t="s">
        <v>513</v>
      </c>
      <c r="D104" t="s">
        <v>513</v>
      </c>
      <c r="G104" t="s">
        <v>269</v>
      </c>
      <c r="Q104" t="s">
        <v>439</v>
      </c>
      <c r="R104" t="s">
        <v>513</v>
      </c>
      <c r="T104" t="s">
        <v>513</v>
      </c>
      <c r="U104" t="s">
        <v>269</v>
      </c>
      <c r="W104" t="s">
        <v>513</v>
      </c>
      <c r="X104" t="s">
        <v>513</v>
      </c>
    </row>
    <row r="105" spans="2:24" x14ac:dyDescent="0.35">
      <c r="B105" t="s">
        <v>557</v>
      </c>
      <c r="C105" t="s">
        <v>557</v>
      </c>
      <c r="D105" t="s">
        <v>557</v>
      </c>
      <c r="G105" t="s">
        <v>271</v>
      </c>
      <c r="Q105" t="s">
        <v>439</v>
      </c>
      <c r="R105" t="s">
        <v>557</v>
      </c>
      <c r="T105" t="s">
        <v>557</v>
      </c>
      <c r="U105" t="s">
        <v>271</v>
      </c>
      <c r="W105" t="s">
        <v>557</v>
      </c>
      <c r="X105" t="s">
        <v>557</v>
      </c>
    </row>
    <row r="106" spans="2:24" x14ac:dyDescent="0.35">
      <c r="B106" t="s">
        <v>558</v>
      </c>
      <c r="C106" t="s">
        <v>558</v>
      </c>
      <c r="D106" t="s">
        <v>558</v>
      </c>
      <c r="G106" t="s">
        <v>273</v>
      </c>
      <c r="Q106" t="s">
        <v>439</v>
      </c>
      <c r="R106" t="s">
        <v>558</v>
      </c>
      <c r="T106" t="s">
        <v>558</v>
      </c>
      <c r="U106" t="s">
        <v>273</v>
      </c>
      <c r="W106" t="s">
        <v>558</v>
      </c>
      <c r="X106" t="s">
        <v>558</v>
      </c>
    </row>
    <row r="107" spans="2:24" x14ac:dyDescent="0.35">
      <c r="B107" t="s">
        <v>559</v>
      </c>
      <c r="C107" t="s">
        <v>559</v>
      </c>
      <c r="D107" t="s">
        <v>559</v>
      </c>
      <c r="G107" t="s">
        <v>275</v>
      </c>
      <c r="Q107" t="s">
        <v>439</v>
      </c>
      <c r="R107" t="s">
        <v>559</v>
      </c>
      <c r="T107" t="s">
        <v>559</v>
      </c>
      <c r="U107" t="s">
        <v>275</v>
      </c>
      <c r="W107" t="s">
        <v>559</v>
      </c>
      <c r="X107" t="s">
        <v>559</v>
      </c>
    </row>
    <row r="108" spans="2:24" x14ac:dyDescent="0.35">
      <c r="B108" t="s">
        <v>514</v>
      </c>
      <c r="C108" t="s">
        <v>514</v>
      </c>
      <c r="D108" t="s">
        <v>514</v>
      </c>
      <c r="G108" t="s">
        <v>277</v>
      </c>
      <c r="Q108" t="s">
        <v>439</v>
      </c>
      <c r="R108" t="s">
        <v>514</v>
      </c>
      <c r="T108" t="s">
        <v>514</v>
      </c>
      <c r="U108" t="s">
        <v>277</v>
      </c>
      <c r="W108" t="s">
        <v>514</v>
      </c>
      <c r="X108" t="s">
        <v>514</v>
      </c>
    </row>
    <row r="109" spans="2:24" x14ac:dyDescent="0.35">
      <c r="B109" t="s">
        <v>560</v>
      </c>
      <c r="C109" t="s">
        <v>560</v>
      </c>
      <c r="D109" t="s">
        <v>560</v>
      </c>
      <c r="G109" t="s">
        <v>279</v>
      </c>
      <c r="Q109" t="s">
        <v>439</v>
      </c>
      <c r="R109" t="s">
        <v>560</v>
      </c>
      <c r="T109" t="s">
        <v>560</v>
      </c>
      <c r="U109" t="s">
        <v>279</v>
      </c>
      <c r="W109" t="s">
        <v>560</v>
      </c>
      <c r="X109" t="s">
        <v>560</v>
      </c>
    </row>
    <row r="110" spans="2:24" x14ac:dyDescent="0.35">
      <c r="B110" t="s">
        <v>561</v>
      </c>
      <c r="C110" t="s">
        <v>561</v>
      </c>
      <c r="D110" t="s">
        <v>561</v>
      </c>
      <c r="G110" t="s">
        <v>281</v>
      </c>
      <c r="Q110" t="s">
        <v>439</v>
      </c>
      <c r="R110" t="s">
        <v>561</v>
      </c>
      <c r="T110" t="s">
        <v>561</v>
      </c>
      <c r="U110" t="s">
        <v>281</v>
      </c>
      <c r="W110" t="s">
        <v>561</v>
      </c>
      <c r="X110" t="s">
        <v>561</v>
      </c>
    </row>
    <row r="111" spans="2:24" x14ac:dyDescent="0.35">
      <c r="B111" t="s">
        <v>8</v>
      </c>
      <c r="C111" t="s">
        <v>8</v>
      </c>
      <c r="Q111" t="s">
        <v>442</v>
      </c>
      <c r="R111" t="s">
        <v>8</v>
      </c>
      <c r="W111" t="s">
        <v>8</v>
      </c>
      <c r="X111" t="s">
        <v>8</v>
      </c>
    </row>
    <row r="112" spans="2:24" x14ac:dyDescent="0.35">
      <c r="B112" t="s">
        <v>12</v>
      </c>
      <c r="C112" t="s">
        <v>12</v>
      </c>
      <c r="Q112" t="s">
        <v>442</v>
      </c>
      <c r="R112" t="s">
        <v>12</v>
      </c>
      <c r="W112" t="s">
        <v>12</v>
      </c>
      <c r="X112" t="s">
        <v>12</v>
      </c>
    </row>
    <row r="113" spans="2:24" x14ac:dyDescent="0.35">
      <c r="B113" t="s">
        <v>16</v>
      </c>
      <c r="C113" t="s">
        <v>16</v>
      </c>
      <c r="Q113" t="s">
        <v>442</v>
      </c>
      <c r="R113" t="s">
        <v>16</v>
      </c>
      <c r="W113" t="s">
        <v>16</v>
      </c>
      <c r="X113" t="s">
        <v>16</v>
      </c>
    </row>
    <row r="114" spans="2:24" x14ac:dyDescent="0.35">
      <c r="B114" t="s">
        <v>20</v>
      </c>
      <c r="C114" t="s">
        <v>20</v>
      </c>
      <c r="Q114" t="s">
        <v>442</v>
      </c>
      <c r="R114" t="s">
        <v>20</v>
      </c>
      <c r="W114" t="s">
        <v>20</v>
      </c>
      <c r="X114" t="s">
        <v>20</v>
      </c>
    </row>
    <row r="115" spans="2:24" x14ac:dyDescent="0.35">
      <c r="B115" t="s">
        <v>24</v>
      </c>
      <c r="C115" t="s">
        <v>24</v>
      </c>
      <c r="Q115" t="s">
        <v>442</v>
      </c>
      <c r="R115" t="s">
        <v>24</v>
      </c>
      <c r="W115" t="s">
        <v>24</v>
      </c>
      <c r="X115" t="s">
        <v>24</v>
      </c>
    </row>
    <row r="116" spans="2:24" x14ac:dyDescent="0.35">
      <c r="B116" t="s">
        <v>28</v>
      </c>
      <c r="C116" t="s">
        <v>28</v>
      </c>
      <c r="Q116" t="s">
        <v>442</v>
      </c>
      <c r="R116" t="s">
        <v>28</v>
      </c>
      <c r="W116" t="s">
        <v>28</v>
      </c>
      <c r="X116" t="s">
        <v>28</v>
      </c>
    </row>
    <row r="117" spans="2:24" x14ac:dyDescent="0.35">
      <c r="B117" t="s">
        <v>32</v>
      </c>
      <c r="C117" t="s">
        <v>32</v>
      </c>
      <c r="Q117" t="s">
        <v>442</v>
      </c>
      <c r="R117" t="s">
        <v>32</v>
      </c>
      <c r="W117" t="s">
        <v>32</v>
      </c>
      <c r="X117" t="s">
        <v>32</v>
      </c>
    </row>
    <row r="118" spans="2:24" x14ac:dyDescent="0.35">
      <c r="B118" t="s">
        <v>36</v>
      </c>
      <c r="C118" t="s">
        <v>36</v>
      </c>
      <c r="Q118" t="s">
        <v>442</v>
      </c>
      <c r="R118" t="s">
        <v>36</v>
      </c>
      <c r="W118" t="s">
        <v>36</v>
      </c>
      <c r="X118" t="s">
        <v>36</v>
      </c>
    </row>
    <row r="119" spans="2:24" x14ac:dyDescent="0.35">
      <c r="B119" t="s">
        <v>40</v>
      </c>
      <c r="C119" t="s">
        <v>40</v>
      </c>
      <c r="Q119" t="s">
        <v>442</v>
      </c>
      <c r="R119" t="s">
        <v>40</v>
      </c>
      <c r="W119" t="s">
        <v>40</v>
      </c>
      <c r="X119" t="s">
        <v>40</v>
      </c>
    </row>
    <row r="120" spans="2:24" x14ac:dyDescent="0.35">
      <c r="B120" t="s">
        <v>44</v>
      </c>
      <c r="C120" t="s">
        <v>44</v>
      </c>
      <c r="Q120" t="s">
        <v>442</v>
      </c>
      <c r="R120" t="s">
        <v>44</v>
      </c>
      <c r="W120" t="s">
        <v>44</v>
      </c>
      <c r="X120" t="s">
        <v>44</v>
      </c>
    </row>
    <row r="121" spans="2:24" x14ac:dyDescent="0.35">
      <c r="B121" t="s">
        <v>48</v>
      </c>
      <c r="C121" t="s">
        <v>48</v>
      </c>
      <c r="Q121" t="s">
        <v>442</v>
      </c>
      <c r="R121" t="s">
        <v>48</v>
      </c>
      <c r="W121" t="s">
        <v>48</v>
      </c>
      <c r="X121" t="s">
        <v>48</v>
      </c>
    </row>
    <row r="122" spans="2:24" x14ac:dyDescent="0.35">
      <c r="B122" t="s">
        <v>52</v>
      </c>
      <c r="C122" t="s">
        <v>52</v>
      </c>
      <c r="Q122" t="s">
        <v>442</v>
      </c>
      <c r="R122" t="s">
        <v>52</v>
      </c>
      <c r="W122" t="s">
        <v>52</v>
      </c>
      <c r="X122" t="s">
        <v>52</v>
      </c>
    </row>
    <row r="123" spans="2:24" x14ac:dyDescent="0.35">
      <c r="B123" t="s">
        <v>56</v>
      </c>
      <c r="C123" t="s">
        <v>56</v>
      </c>
      <c r="Q123" t="s">
        <v>442</v>
      </c>
      <c r="R123" t="s">
        <v>56</v>
      </c>
      <c r="W123" t="s">
        <v>56</v>
      </c>
      <c r="X123" t="s">
        <v>56</v>
      </c>
    </row>
    <row r="124" spans="2:24" x14ac:dyDescent="0.35">
      <c r="B124" t="s">
        <v>60</v>
      </c>
      <c r="C124" t="s">
        <v>60</v>
      </c>
      <c r="Q124" t="s">
        <v>442</v>
      </c>
      <c r="R124" t="s">
        <v>60</v>
      </c>
      <c r="W124" t="s">
        <v>60</v>
      </c>
      <c r="X124" t="s">
        <v>60</v>
      </c>
    </row>
    <row r="125" spans="2:24" x14ac:dyDescent="0.35">
      <c r="B125" t="s">
        <v>64</v>
      </c>
      <c r="C125" t="s">
        <v>64</v>
      </c>
      <c r="Q125" t="s">
        <v>442</v>
      </c>
      <c r="R125" t="s">
        <v>64</v>
      </c>
      <c r="W125" t="s">
        <v>64</v>
      </c>
      <c r="X125" t="s">
        <v>64</v>
      </c>
    </row>
    <row r="126" spans="2:24" x14ac:dyDescent="0.35">
      <c r="B126" t="s">
        <v>68</v>
      </c>
      <c r="C126" t="s">
        <v>68</v>
      </c>
      <c r="Q126" t="s">
        <v>442</v>
      </c>
      <c r="R126" t="s">
        <v>68</v>
      </c>
      <c r="W126" t="s">
        <v>68</v>
      </c>
      <c r="X126" t="s">
        <v>68</v>
      </c>
    </row>
    <row r="127" spans="2:24" x14ac:dyDescent="0.35">
      <c r="B127" t="s">
        <v>72</v>
      </c>
      <c r="C127" t="s">
        <v>72</v>
      </c>
      <c r="Q127" t="s">
        <v>442</v>
      </c>
      <c r="R127" t="s">
        <v>72</v>
      </c>
      <c r="W127" t="s">
        <v>72</v>
      </c>
      <c r="X127" t="s">
        <v>72</v>
      </c>
    </row>
    <row r="128" spans="2:24" x14ac:dyDescent="0.35">
      <c r="B128" t="s">
        <v>76</v>
      </c>
      <c r="C128" t="s">
        <v>76</v>
      </c>
      <c r="Q128" t="s">
        <v>442</v>
      </c>
      <c r="R128" t="s">
        <v>76</v>
      </c>
      <c r="W128" t="s">
        <v>76</v>
      </c>
      <c r="X128" t="s">
        <v>76</v>
      </c>
    </row>
    <row r="129" spans="2:24" x14ac:dyDescent="0.35">
      <c r="B129" t="s">
        <v>80</v>
      </c>
      <c r="C129" t="s">
        <v>80</v>
      </c>
      <c r="Q129" t="s">
        <v>442</v>
      </c>
      <c r="R129" t="s">
        <v>80</v>
      </c>
      <c r="W129" t="s">
        <v>80</v>
      </c>
      <c r="X129" t="s">
        <v>80</v>
      </c>
    </row>
    <row r="130" spans="2:24" x14ac:dyDescent="0.35">
      <c r="B130" t="s">
        <v>84</v>
      </c>
      <c r="C130" t="s">
        <v>84</v>
      </c>
      <c r="Q130" t="s">
        <v>442</v>
      </c>
      <c r="R130" t="s">
        <v>84</v>
      </c>
      <c r="W130" t="s">
        <v>84</v>
      </c>
      <c r="X130" t="s">
        <v>84</v>
      </c>
    </row>
    <row r="131" spans="2:24" x14ac:dyDescent="0.35">
      <c r="B131" t="s">
        <v>88</v>
      </c>
      <c r="C131" t="s">
        <v>88</v>
      </c>
      <c r="Q131" t="s">
        <v>442</v>
      </c>
      <c r="R131" t="s">
        <v>88</v>
      </c>
      <c r="W131" t="s">
        <v>88</v>
      </c>
      <c r="X131" t="s">
        <v>88</v>
      </c>
    </row>
    <row r="132" spans="2:24" x14ac:dyDescent="0.35">
      <c r="B132" t="s">
        <v>90</v>
      </c>
      <c r="C132" t="s">
        <v>90</v>
      </c>
      <c r="Q132" t="s">
        <v>442</v>
      </c>
      <c r="R132" t="s">
        <v>90</v>
      </c>
      <c r="W132" t="s">
        <v>90</v>
      </c>
      <c r="X132" t="s">
        <v>90</v>
      </c>
    </row>
    <row r="133" spans="2:24" x14ac:dyDescent="0.35">
      <c r="B133" t="s">
        <v>92</v>
      </c>
      <c r="C133" t="s">
        <v>92</v>
      </c>
      <c r="Q133" t="s">
        <v>442</v>
      </c>
      <c r="R133" t="s">
        <v>92</v>
      </c>
      <c r="W133" t="s">
        <v>92</v>
      </c>
      <c r="X133" t="s">
        <v>92</v>
      </c>
    </row>
    <row r="134" spans="2:24" x14ac:dyDescent="0.35">
      <c r="B134" t="s">
        <v>121</v>
      </c>
      <c r="C134" t="s">
        <v>121</v>
      </c>
      <c r="Q134" t="s">
        <v>442</v>
      </c>
      <c r="R134" t="s">
        <v>121</v>
      </c>
      <c r="W134" t="s">
        <v>121</v>
      </c>
      <c r="X134" t="s">
        <v>121</v>
      </c>
    </row>
    <row r="135" spans="2:24" x14ac:dyDescent="0.35">
      <c r="B135" t="s">
        <v>123</v>
      </c>
      <c r="C135" t="s">
        <v>123</v>
      </c>
      <c r="Q135" t="s">
        <v>442</v>
      </c>
      <c r="R135" t="s">
        <v>123</v>
      </c>
      <c r="W135" t="s">
        <v>123</v>
      </c>
      <c r="X135" t="s">
        <v>123</v>
      </c>
    </row>
    <row r="136" spans="2:24" x14ac:dyDescent="0.35">
      <c r="B136" t="s">
        <v>125</v>
      </c>
      <c r="C136" t="s">
        <v>125</v>
      </c>
      <c r="Q136" t="s">
        <v>442</v>
      </c>
      <c r="R136" t="s">
        <v>125</v>
      </c>
      <c r="W136" t="s">
        <v>125</v>
      </c>
      <c r="X136" t="s">
        <v>125</v>
      </c>
    </row>
    <row r="137" spans="2:24" x14ac:dyDescent="0.35">
      <c r="B137" t="s">
        <v>127</v>
      </c>
      <c r="C137" t="s">
        <v>127</v>
      </c>
      <c r="Q137" t="s">
        <v>442</v>
      </c>
      <c r="R137" t="s">
        <v>127</v>
      </c>
      <c r="W137" t="s">
        <v>127</v>
      </c>
      <c r="X137" t="s">
        <v>127</v>
      </c>
    </row>
    <row r="138" spans="2:24" x14ac:dyDescent="0.35">
      <c r="B138" t="s">
        <v>129</v>
      </c>
      <c r="C138" t="s">
        <v>129</v>
      </c>
      <c r="Q138" t="s">
        <v>442</v>
      </c>
      <c r="R138" t="s">
        <v>129</v>
      </c>
      <c r="W138" t="s">
        <v>129</v>
      </c>
      <c r="X138" t="s">
        <v>129</v>
      </c>
    </row>
    <row r="139" spans="2:24" x14ac:dyDescent="0.35">
      <c r="B139" t="s">
        <v>131</v>
      </c>
      <c r="C139" t="s">
        <v>131</v>
      </c>
      <c r="Q139" t="s">
        <v>442</v>
      </c>
      <c r="R139" t="s">
        <v>131</v>
      </c>
      <c r="W139" t="s">
        <v>131</v>
      </c>
      <c r="X139" t="s">
        <v>131</v>
      </c>
    </row>
    <row r="140" spans="2:24" x14ac:dyDescent="0.35">
      <c r="B140" t="s">
        <v>133</v>
      </c>
      <c r="C140" t="s">
        <v>133</v>
      </c>
      <c r="Q140" t="s">
        <v>442</v>
      </c>
      <c r="R140" t="s">
        <v>133</v>
      </c>
      <c r="W140" t="s">
        <v>133</v>
      </c>
      <c r="X140" t="s">
        <v>133</v>
      </c>
    </row>
    <row r="141" spans="2:24" x14ac:dyDescent="0.35">
      <c r="B141" t="s">
        <v>135</v>
      </c>
      <c r="C141" t="s">
        <v>135</v>
      </c>
      <c r="Q141" t="s">
        <v>442</v>
      </c>
      <c r="R141" t="s">
        <v>135</v>
      </c>
      <c r="W141" t="s">
        <v>135</v>
      </c>
      <c r="X141" t="s">
        <v>135</v>
      </c>
    </row>
    <row r="142" spans="2:24" x14ac:dyDescent="0.35">
      <c r="B142" t="s">
        <v>137</v>
      </c>
      <c r="C142" t="s">
        <v>137</v>
      </c>
      <c r="Q142" t="s">
        <v>442</v>
      </c>
      <c r="R142" t="s">
        <v>137</v>
      </c>
      <c r="W142" t="s">
        <v>137</v>
      </c>
      <c r="X142" t="s">
        <v>137</v>
      </c>
    </row>
    <row r="143" spans="2:24" x14ac:dyDescent="0.35">
      <c r="B143" t="s">
        <v>139</v>
      </c>
      <c r="C143" t="s">
        <v>139</v>
      </c>
      <c r="Q143" t="s">
        <v>442</v>
      </c>
      <c r="R143" t="s">
        <v>139</v>
      </c>
      <c r="W143" t="s">
        <v>139</v>
      </c>
      <c r="X143" t="s">
        <v>139</v>
      </c>
    </row>
    <row r="144" spans="2:24" x14ac:dyDescent="0.35">
      <c r="B144" t="s">
        <v>141</v>
      </c>
      <c r="C144" t="s">
        <v>141</v>
      </c>
      <c r="Q144" t="s">
        <v>442</v>
      </c>
      <c r="R144" t="s">
        <v>141</v>
      </c>
      <c r="W144" t="s">
        <v>141</v>
      </c>
      <c r="X144" t="s">
        <v>141</v>
      </c>
    </row>
    <row r="145" spans="2:24" x14ac:dyDescent="0.35">
      <c r="B145" t="s">
        <v>143</v>
      </c>
      <c r="C145" t="s">
        <v>143</v>
      </c>
      <c r="Q145" t="s">
        <v>442</v>
      </c>
      <c r="R145" t="s">
        <v>143</v>
      </c>
      <c r="W145" t="s">
        <v>143</v>
      </c>
      <c r="X145" t="s">
        <v>143</v>
      </c>
    </row>
    <row r="146" spans="2:24" x14ac:dyDescent="0.35">
      <c r="B146" t="s">
        <v>145</v>
      </c>
      <c r="C146" t="s">
        <v>145</v>
      </c>
      <c r="Q146" t="s">
        <v>442</v>
      </c>
      <c r="R146" t="s">
        <v>145</v>
      </c>
      <c r="W146" t="s">
        <v>145</v>
      </c>
      <c r="X146" t="s">
        <v>145</v>
      </c>
    </row>
    <row r="147" spans="2:24" x14ac:dyDescent="0.35">
      <c r="B147" t="s">
        <v>147</v>
      </c>
      <c r="C147" t="s">
        <v>147</v>
      </c>
      <c r="Q147" t="s">
        <v>442</v>
      </c>
      <c r="R147" t="s">
        <v>147</v>
      </c>
      <c r="W147" t="s">
        <v>147</v>
      </c>
      <c r="X147" t="s">
        <v>147</v>
      </c>
    </row>
    <row r="148" spans="2:24" x14ac:dyDescent="0.35">
      <c r="B148" t="s">
        <v>149</v>
      </c>
      <c r="C148" t="s">
        <v>149</v>
      </c>
      <c r="Q148" t="s">
        <v>442</v>
      </c>
      <c r="R148" t="s">
        <v>149</v>
      </c>
      <c r="W148" t="s">
        <v>149</v>
      </c>
      <c r="X148" t="s">
        <v>149</v>
      </c>
    </row>
    <row r="149" spans="2:24" x14ac:dyDescent="0.35">
      <c r="B149" t="s">
        <v>151</v>
      </c>
      <c r="C149" t="s">
        <v>151</v>
      </c>
      <c r="Q149" t="s">
        <v>442</v>
      </c>
      <c r="R149" t="s">
        <v>151</v>
      </c>
      <c r="W149" t="s">
        <v>151</v>
      </c>
      <c r="X149" t="s">
        <v>151</v>
      </c>
    </row>
    <row r="150" spans="2:24" x14ac:dyDescent="0.35">
      <c r="B150" t="s">
        <v>153</v>
      </c>
      <c r="C150" t="s">
        <v>153</v>
      </c>
      <c r="Q150" t="s">
        <v>442</v>
      </c>
      <c r="R150" t="s">
        <v>153</v>
      </c>
      <c r="W150" t="s">
        <v>153</v>
      </c>
      <c r="X150" t="s">
        <v>153</v>
      </c>
    </row>
    <row r="151" spans="2:24" x14ac:dyDescent="0.35">
      <c r="B151" t="s">
        <v>155</v>
      </c>
      <c r="C151" t="s">
        <v>155</v>
      </c>
      <c r="Q151" t="s">
        <v>442</v>
      </c>
      <c r="R151" t="s">
        <v>155</v>
      </c>
      <c r="W151" t="s">
        <v>155</v>
      </c>
      <c r="X151" t="s">
        <v>155</v>
      </c>
    </row>
    <row r="152" spans="2:24" x14ac:dyDescent="0.35">
      <c r="B152" t="s">
        <v>157</v>
      </c>
      <c r="C152" t="s">
        <v>157</v>
      </c>
      <c r="Q152" t="s">
        <v>442</v>
      </c>
      <c r="R152" t="s">
        <v>157</v>
      </c>
      <c r="W152" t="s">
        <v>157</v>
      </c>
      <c r="X152" t="s">
        <v>157</v>
      </c>
    </row>
    <row r="153" spans="2:24" x14ac:dyDescent="0.35">
      <c r="B153" t="s">
        <v>159</v>
      </c>
      <c r="C153" t="s">
        <v>159</v>
      </c>
      <c r="Q153" t="s">
        <v>442</v>
      </c>
      <c r="R153" t="s">
        <v>159</v>
      </c>
      <c r="W153" t="s">
        <v>159</v>
      </c>
      <c r="X153" t="s">
        <v>159</v>
      </c>
    </row>
    <row r="154" spans="2:24" x14ac:dyDescent="0.35">
      <c r="B154" t="s">
        <v>161</v>
      </c>
      <c r="C154" t="s">
        <v>161</v>
      </c>
      <c r="Q154" t="s">
        <v>442</v>
      </c>
      <c r="R154" t="s">
        <v>161</v>
      </c>
      <c r="W154" t="s">
        <v>161</v>
      </c>
      <c r="X154" t="s">
        <v>161</v>
      </c>
    </row>
    <row r="155" spans="2:24" x14ac:dyDescent="0.35">
      <c r="B155" t="s">
        <v>163</v>
      </c>
      <c r="C155" t="s">
        <v>163</v>
      </c>
      <c r="Q155" t="s">
        <v>442</v>
      </c>
      <c r="R155" t="s">
        <v>163</v>
      </c>
      <c r="W155" t="s">
        <v>163</v>
      </c>
      <c r="X155" t="s">
        <v>163</v>
      </c>
    </row>
    <row r="156" spans="2:24" x14ac:dyDescent="0.35">
      <c r="B156" t="s">
        <v>165</v>
      </c>
      <c r="C156" t="s">
        <v>165</v>
      </c>
      <c r="Q156" t="s">
        <v>442</v>
      </c>
      <c r="R156" t="s">
        <v>165</v>
      </c>
      <c r="W156" t="s">
        <v>165</v>
      </c>
      <c r="X156" t="s">
        <v>165</v>
      </c>
    </row>
    <row r="157" spans="2:24" x14ac:dyDescent="0.35">
      <c r="B157" t="s">
        <v>167</v>
      </c>
      <c r="C157" t="s">
        <v>167</v>
      </c>
      <c r="Q157" t="s">
        <v>442</v>
      </c>
      <c r="R157" t="s">
        <v>167</v>
      </c>
      <c r="W157" t="s">
        <v>167</v>
      </c>
      <c r="X157" t="s">
        <v>167</v>
      </c>
    </row>
    <row r="158" spans="2:24" x14ac:dyDescent="0.35">
      <c r="B158" t="s">
        <v>169</v>
      </c>
      <c r="C158" t="s">
        <v>169</v>
      </c>
      <c r="Q158" t="s">
        <v>442</v>
      </c>
      <c r="R158" t="s">
        <v>169</v>
      </c>
      <c r="W158" t="s">
        <v>169</v>
      </c>
      <c r="X158" t="s">
        <v>169</v>
      </c>
    </row>
    <row r="159" spans="2:24" x14ac:dyDescent="0.35">
      <c r="B159" t="s">
        <v>171</v>
      </c>
      <c r="C159" t="s">
        <v>171</v>
      </c>
      <c r="Q159" t="s">
        <v>442</v>
      </c>
      <c r="R159" t="s">
        <v>171</v>
      </c>
      <c r="W159" t="s">
        <v>171</v>
      </c>
      <c r="X159" t="s">
        <v>171</v>
      </c>
    </row>
    <row r="160" spans="2:24" x14ac:dyDescent="0.35">
      <c r="B160" t="s">
        <v>173</v>
      </c>
      <c r="C160" t="s">
        <v>173</v>
      </c>
      <c r="Q160" t="s">
        <v>442</v>
      </c>
      <c r="R160" t="s">
        <v>173</v>
      </c>
      <c r="W160" t="s">
        <v>173</v>
      </c>
      <c r="X160" t="s">
        <v>173</v>
      </c>
    </row>
    <row r="161" spans="2:24" x14ac:dyDescent="0.35">
      <c r="B161" t="s">
        <v>175</v>
      </c>
      <c r="C161" t="s">
        <v>175</v>
      </c>
      <c r="Q161" t="s">
        <v>442</v>
      </c>
      <c r="R161" t="s">
        <v>175</v>
      </c>
      <c r="W161" t="s">
        <v>175</v>
      </c>
      <c r="X161" t="s">
        <v>175</v>
      </c>
    </row>
    <row r="162" spans="2:24" x14ac:dyDescent="0.35">
      <c r="B162" t="s">
        <v>177</v>
      </c>
      <c r="C162" t="s">
        <v>177</v>
      </c>
      <c r="Q162" t="s">
        <v>442</v>
      </c>
      <c r="R162" t="s">
        <v>177</v>
      </c>
      <c r="W162" t="s">
        <v>177</v>
      </c>
      <c r="X162" t="s">
        <v>177</v>
      </c>
    </row>
    <row r="163" spans="2:24" x14ac:dyDescent="0.35">
      <c r="B163" t="s">
        <v>179</v>
      </c>
      <c r="C163" t="s">
        <v>179</v>
      </c>
      <c r="Q163" t="s">
        <v>442</v>
      </c>
      <c r="R163" t="s">
        <v>179</v>
      </c>
      <c r="W163" t="s">
        <v>179</v>
      </c>
      <c r="X163" t="s">
        <v>179</v>
      </c>
    </row>
    <row r="164" spans="2:24" x14ac:dyDescent="0.35">
      <c r="B164" t="s">
        <v>181</v>
      </c>
      <c r="C164" t="s">
        <v>181</v>
      </c>
      <c r="Q164" t="s">
        <v>442</v>
      </c>
      <c r="R164" t="s">
        <v>181</v>
      </c>
      <c r="W164" t="s">
        <v>181</v>
      </c>
      <c r="X164" t="s">
        <v>181</v>
      </c>
    </row>
    <row r="165" spans="2:24" x14ac:dyDescent="0.35">
      <c r="B165" t="s">
        <v>183</v>
      </c>
      <c r="C165" t="s">
        <v>183</v>
      </c>
      <c r="Q165" t="s">
        <v>442</v>
      </c>
      <c r="R165" t="s">
        <v>183</v>
      </c>
      <c r="W165" t="s">
        <v>183</v>
      </c>
      <c r="X165" t="s">
        <v>183</v>
      </c>
    </row>
    <row r="166" spans="2:24" x14ac:dyDescent="0.35">
      <c r="B166" t="s">
        <v>185</v>
      </c>
      <c r="C166" t="s">
        <v>185</v>
      </c>
      <c r="Q166" t="s">
        <v>442</v>
      </c>
      <c r="R166" t="s">
        <v>185</v>
      </c>
      <c r="W166" t="s">
        <v>185</v>
      </c>
      <c r="X166" t="s">
        <v>185</v>
      </c>
    </row>
    <row r="167" spans="2:24" x14ac:dyDescent="0.35">
      <c r="B167" t="s">
        <v>187</v>
      </c>
      <c r="C167" t="s">
        <v>187</v>
      </c>
      <c r="Q167" t="s">
        <v>442</v>
      </c>
      <c r="R167" t="s">
        <v>187</v>
      </c>
      <c r="W167" t="s">
        <v>187</v>
      </c>
      <c r="X167" t="s">
        <v>187</v>
      </c>
    </row>
    <row r="168" spans="2:24" x14ac:dyDescent="0.35">
      <c r="B168" t="s">
        <v>189</v>
      </c>
      <c r="C168" t="s">
        <v>189</v>
      </c>
      <c r="Q168" t="s">
        <v>442</v>
      </c>
      <c r="R168" t="s">
        <v>189</v>
      </c>
      <c r="W168" t="s">
        <v>189</v>
      </c>
      <c r="X168" t="s">
        <v>189</v>
      </c>
    </row>
    <row r="169" spans="2:24" x14ac:dyDescent="0.35">
      <c r="B169" t="s">
        <v>191</v>
      </c>
      <c r="C169" t="s">
        <v>191</v>
      </c>
      <c r="Q169" t="s">
        <v>442</v>
      </c>
      <c r="R169" t="s">
        <v>191</v>
      </c>
      <c r="W169" t="s">
        <v>191</v>
      </c>
      <c r="X169" t="s">
        <v>191</v>
      </c>
    </row>
    <row r="170" spans="2:24" x14ac:dyDescent="0.35">
      <c r="B170" t="s">
        <v>193</v>
      </c>
      <c r="C170" t="s">
        <v>193</v>
      </c>
      <c r="Q170" t="s">
        <v>442</v>
      </c>
      <c r="R170" t="s">
        <v>193</v>
      </c>
      <c r="W170" t="s">
        <v>193</v>
      </c>
      <c r="X170" t="s">
        <v>193</v>
      </c>
    </row>
    <row r="171" spans="2:24" x14ac:dyDescent="0.35">
      <c r="B171" t="s">
        <v>195</v>
      </c>
      <c r="C171" t="s">
        <v>195</v>
      </c>
      <c r="Q171" t="s">
        <v>442</v>
      </c>
      <c r="R171" t="s">
        <v>195</v>
      </c>
      <c r="W171" t="s">
        <v>195</v>
      </c>
      <c r="X171" t="s">
        <v>195</v>
      </c>
    </row>
    <row r="172" spans="2:24" x14ac:dyDescent="0.35">
      <c r="B172" t="s">
        <v>197</v>
      </c>
      <c r="C172" t="s">
        <v>197</v>
      </c>
      <c r="Q172" t="s">
        <v>442</v>
      </c>
      <c r="R172" t="s">
        <v>197</v>
      </c>
      <c r="W172" t="s">
        <v>197</v>
      </c>
      <c r="X172" t="s">
        <v>197</v>
      </c>
    </row>
    <row r="173" spans="2:24" x14ac:dyDescent="0.35">
      <c r="B173" t="s">
        <v>199</v>
      </c>
      <c r="C173" t="s">
        <v>199</v>
      </c>
      <c r="Q173" t="s">
        <v>442</v>
      </c>
      <c r="R173" t="s">
        <v>199</v>
      </c>
      <c r="W173" t="s">
        <v>199</v>
      </c>
      <c r="X173" t="s">
        <v>199</v>
      </c>
    </row>
    <row r="174" spans="2:24" x14ac:dyDescent="0.35">
      <c r="B174" t="s">
        <v>201</v>
      </c>
      <c r="C174" t="s">
        <v>201</v>
      </c>
      <c r="Q174" t="s">
        <v>442</v>
      </c>
      <c r="R174" t="s">
        <v>201</v>
      </c>
      <c r="W174" t="s">
        <v>201</v>
      </c>
      <c r="X174" t="s">
        <v>201</v>
      </c>
    </row>
    <row r="175" spans="2:24" x14ac:dyDescent="0.35">
      <c r="B175" t="s">
        <v>203</v>
      </c>
      <c r="C175" t="s">
        <v>203</v>
      </c>
      <c r="Q175" t="s">
        <v>442</v>
      </c>
      <c r="R175" t="s">
        <v>203</v>
      </c>
      <c r="W175" t="s">
        <v>203</v>
      </c>
      <c r="X175" t="s">
        <v>203</v>
      </c>
    </row>
    <row r="176" spans="2:24" x14ac:dyDescent="0.35">
      <c r="B176" t="s">
        <v>205</v>
      </c>
      <c r="C176" t="s">
        <v>205</v>
      </c>
      <c r="Q176" t="s">
        <v>442</v>
      </c>
      <c r="R176" t="s">
        <v>205</v>
      </c>
      <c r="W176" t="s">
        <v>205</v>
      </c>
      <c r="X176" t="s">
        <v>205</v>
      </c>
    </row>
    <row r="177" spans="2:24" x14ac:dyDescent="0.35">
      <c r="B177" t="s">
        <v>207</v>
      </c>
      <c r="C177" t="s">
        <v>207</v>
      </c>
      <c r="Q177" t="s">
        <v>442</v>
      </c>
      <c r="R177" t="s">
        <v>207</v>
      </c>
      <c r="W177" t="s">
        <v>207</v>
      </c>
      <c r="X177" t="s">
        <v>207</v>
      </c>
    </row>
    <row r="178" spans="2:24" x14ac:dyDescent="0.35">
      <c r="B178" t="s">
        <v>209</v>
      </c>
      <c r="C178" t="s">
        <v>209</v>
      </c>
      <c r="Q178" t="s">
        <v>442</v>
      </c>
      <c r="R178" t="s">
        <v>209</v>
      </c>
      <c r="W178" t="s">
        <v>209</v>
      </c>
      <c r="X178" t="s">
        <v>209</v>
      </c>
    </row>
    <row r="179" spans="2:24" x14ac:dyDescent="0.35">
      <c r="B179" t="s">
        <v>211</v>
      </c>
      <c r="C179" t="s">
        <v>211</v>
      </c>
      <c r="Q179" t="s">
        <v>442</v>
      </c>
      <c r="R179" t="s">
        <v>211</v>
      </c>
      <c r="W179" t="s">
        <v>211</v>
      </c>
      <c r="X179" t="s">
        <v>211</v>
      </c>
    </row>
    <row r="180" spans="2:24" x14ac:dyDescent="0.35">
      <c r="B180" t="s">
        <v>213</v>
      </c>
      <c r="C180" t="s">
        <v>213</v>
      </c>
      <c r="Q180" t="s">
        <v>442</v>
      </c>
      <c r="R180" t="s">
        <v>213</v>
      </c>
      <c r="W180" t="s">
        <v>213</v>
      </c>
      <c r="X180" t="s">
        <v>213</v>
      </c>
    </row>
    <row r="181" spans="2:24" x14ac:dyDescent="0.35">
      <c r="B181" t="s">
        <v>215</v>
      </c>
      <c r="C181" t="s">
        <v>215</v>
      </c>
      <c r="Q181" t="s">
        <v>442</v>
      </c>
      <c r="R181" t="s">
        <v>215</v>
      </c>
      <c r="W181" t="s">
        <v>215</v>
      </c>
      <c r="X181" t="s">
        <v>215</v>
      </c>
    </row>
    <row r="182" spans="2:24" x14ac:dyDescent="0.35">
      <c r="B182" t="s">
        <v>217</v>
      </c>
      <c r="C182" t="s">
        <v>217</v>
      </c>
      <c r="Q182" t="s">
        <v>442</v>
      </c>
      <c r="R182" t="s">
        <v>217</v>
      </c>
      <c r="W182" t="s">
        <v>217</v>
      </c>
      <c r="X182" t="s">
        <v>217</v>
      </c>
    </row>
    <row r="183" spans="2:24" x14ac:dyDescent="0.35">
      <c r="B183" t="s">
        <v>219</v>
      </c>
      <c r="C183" t="s">
        <v>219</v>
      </c>
      <c r="Q183" t="s">
        <v>442</v>
      </c>
      <c r="R183" t="s">
        <v>219</v>
      </c>
      <c r="W183" t="s">
        <v>219</v>
      </c>
      <c r="X183" t="s">
        <v>219</v>
      </c>
    </row>
    <row r="184" spans="2:24" x14ac:dyDescent="0.35">
      <c r="B184" t="s">
        <v>221</v>
      </c>
      <c r="C184" t="s">
        <v>221</v>
      </c>
      <c r="Q184" t="s">
        <v>442</v>
      </c>
      <c r="R184" t="s">
        <v>221</v>
      </c>
      <c r="W184" t="s">
        <v>221</v>
      </c>
      <c r="X184" t="s">
        <v>221</v>
      </c>
    </row>
    <row r="185" spans="2:24" x14ac:dyDescent="0.35">
      <c r="B185" t="s">
        <v>223</v>
      </c>
      <c r="C185" t="s">
        <v>223</v>
      </c>
      <c r="Q185" t="s">
        <v>442</v>
      </c>
      <c r="R185" t="s">
        <v>223</v>
      </c>
      <c r="W185" t="s">
        <v>223</v>
      </c>
      <c r="X185" t="s">
        <v>223</v>
      </c>
    </row>
    <row r="186" spans="2:24" x14ac:dyDescent="0.35">
      <c r="B186" t="s">
        <v>225</v>
      </c>
      <c r="C186" t="s">
        <v>225</v>
      </c>
      <c r="Q186" t="s">
        <v>442</v>
      </c>
      <c r="R186" t="s">
        <v>225</v>
      </c>
      <c r="W186" t="s">
        <v>225</v>
      </c>
      <c r="X186" t="s">
        <v>225</v>
      </c>
    </row>
    <row r="187" spans="2:24" x14ac:dyDescent="0.35">
      <c r="B187" t="s">
        <v>227</v>
      </c>
      <c r="C187" t="s">
        <v>227</v>
      </c>
      <c r="Q187" t="s">
        <v>442</v>
      </c>
      <c r="R187" t="s">
        <v>227</v>
      </c>
      <c r="W187" t="s">
        <v>227</v>
      </c>
      <c r="X187" t="s">
        <v>227</v>
      </c>
    </row>
    <row r="188" spans="2:24" x14ac:dyDescent="0.35">
      <c r="B188" t="s">
        <v>229</v>
      </c>
      <c r="C188" t="s">
        <v>229</v>
      </c>
      <c r="Q188" t="s">
        <v>442</v>
      </c>
      <c r="R188" t="s">
        <v>229</v>
      </c>
      <c r="W188" t="s">
        <v>229</v>
      </c>
      <c r="X188" t="s">
        <v>229</v>
      </c>
    </row>
    <row r="189" spans="2:24" x14ac:dyDescent="0.35">
      <c r="B189" t="s">
        <v>231</v>
      </c>
      <c r="C189" t="s">
        <v>231</v>
      </c>
      <c r="Q189" t="s">
        <v>442</v>
      </c>
      <c r="R189" t="s">
        <v>231</v>
      </c>
      <c r="W189" t="s">
        <v>231</v>
      </c>
      <c r="X189" t="s">
        <v>231</v>
      </c>
    </row>
    <row r="190" spans="2:24" x14ac:dyDescent="0.35">
      <c r="B190" t="s">
        <v>233</v>
      </c>
      <c r="C190" t="s">
        <v>233</v>
      </c>
      <c r="Q190" t="s">
        <v>442</v>
      </c>
      <c r="R190" t="s">
        <v>233</v>
      </c>
      <c r="W190" t="s">
        <v>233</v>
      </c>
      <c r="X190" t="s">
        <v>233</v>
      </c>
    </row>
    <row r="191" spans="2:24" x14ac:dyDescent="0.35">
      <c r="B191" t="s">
        <v>235</v>
      </c>
      <c r="C191" t="s">
        <v>235</v>
      </c>
      <c r="Q191" t="s">
        <v>442</v>
      </c>
      <c r="R191" t="s">
        <v>235</v>
      </c>
      <c r="W191" t="s">
        <v>235</v>
      </c>
      <c r="X191" t="s">
        <v>235</v>
      </c>
    </row>
    <row r="192" spans="2:24" x14ac:dyDescent="0.35">
      <c r="B192" t="s">
        <v>237</v>
      </c>
      <c r="C192" t="s">
        <v>237</v>
      </c>
      <c r="Q192" t="s">
        <v>442</v>
      </c>
      <c r="R192" t="s">
        <v>237</v>
      </c>
      <c r="W192" t="s">
        <v>237</v>
      </c>
      <c r="X192" t="s">
        <v>237</v>
      </c>
    </row>
    <row r="193" spans="2:24" x14ac:dyDescent="0.35">
      <c r="B193" t="s">
        <v>239</v>
      </c>
      <c r="C193" t="s">
        <v>239</v>
      </c>
      <c r="Q193" t="s">
        <v>442</v>
      </c>
      <c r="R193" t="s">
        <v>239</v>
      </c>
      <c r="W193" t="s">
        <v>239</v>
      </c>
      <c r="X193" t="s">
        <v>239</v>
      </c>
    </row>
    <row r="194" spans="2:24" x14ac:dyDescent="0.35">
      <c r="B194" t="s">
        <v>241</v>
      </c>
      <c r="C194" t="s">
        <v>241</v>
      </c>
      <c r="Q194" t="s">
        <v>442</v>
      </c>
      <c r="R194" t="s">
        <v>241</v>
      </c>
      <c r="W194" t="s">
        <v>241</v>
      </c>
      <c r="X194" t="s">
        <v>241</v>
      </c>
    </row>
    <row r="195" spans="2:24" x14ac:dyDescent="0.35">
      <c r="B195" t="s">
        <v>243</v>
      </c>
      <c r="C195" t="s">
        <v>243</v>
      </c>
      <c r="Q195" t="s">
        <v>442</v>
      </c>
      <c r="R195" t="s">
        <v>243</v>
      </c>
      <c r="W195" t="s">
        <v>243</v>
      </c>
      <c r="X195" t="s">
        <v>243</v>
      </c>
    </row>
    <row r="196" spans="2:24" x14ac:dyDescent="0.35">
      <c r="B196" t="s">
        <v>245</v>
      </c>
      <c r="C196" t="s">
        <v>245</v>
      </c>
      <c r="Q196" t="s">
        <v>442</v>
      </c>
      <c r="R196" t="s">
        <v>245</v>
      </c>
      <c r="W196" t="s">
        <v>245</v>
      </c>
      <c r="X196" t="s">
        <v>245</v>
      </c>
    </row>
    <row r="197" spans="2:24" x14ac:dyDescent="0.35">
      <c r="B197" t="s">
        <v>247</v>
      </c>
      <c r="C197" t="s">
        <v>247</v>
      </c>
      <c r="Q197" t="s">
        <v>442</v>
      </c>
      <c r="R197" t="s">
        <v>247</v>
      </c>
      <c r="W197" t="s">
        <v>247</v>
      </c>
      <c r="X197" t="s">
        <v>247</v>
      </c>
    </row>
    <row r="198" spans="2:24" x14ac:dyDescent="0.35">
      <c r="B198" t="s">
        <v>249</v>
      </c>
      <c r="C198" t="s">
        <v>249</v>
      </c>
      <c r="Q198" t="s">
        <v>442</v>
      </c>
      <c r="R198" t="s">
        <v>249</v>
      </c>
      <c r="W198" t="s">
        <v>249</v>
      </c>
      <c r="X198" t="s">
        <v>249</v>
      </c>
    </row>
    <row r="199" spans="2:24" x14ac:dyDescent="0.35">
      <c r="B199" t="s">
        <v>251</v>
      </c>
      <c r="C199" t="s">
        <v>251</v>
      </c>
      <c r="Q199" t="s">
        <v>442</v>
      </c>
      <c r="R199" t="s">
        <v>251</v>
      </c>
      <c r="W199" t="s">
        <v>251</v>
      </c>
      <c r="X199" t="s">
        <v>251</v>
      </c>
    </row>
    <row r="200" spans="2:24" x14ac:dyDescent="0.35">
      <c r="B200" t="s">
        <v>253</v>
      </c>
      <c r="C200" t="s">
        <v>253</v>
      </c>
      <c r="Q200" t="s">
        <v>442</v>
      </c>
      <c r="R200" t="s">
        <v>253</v>
      </c>
      <c r="W200" t="s">
        <v>253</v>
      </c>
      <c r="X200" t="s">
        <v>253</v>
      </c>
    </row>
    <row r="201" spans="2:24" x14ac:dyDescent="0.35">
      <c r="B201" t="s">
        <v>255</v>
      </c>
      <c r="C201" t="s">
        <v>255</v>
      </c>
      <c r="Q201" t="s">
        <v>442</v>
      </c>
      <c r="R201" t="s">
        <v>255</v>
      </c>
      <c r="W201" t="s">
        <v>255</v>
      </c>
      <c r="X201" t="s">
        <v>255</v>
      </c>
    </row>
    <row r="202" spans="2:24" x14ac:dyDescent="0.35">
      <c r="B202" t="s">
        <v>257</v>
      </c>
      <c r="C202" t="s">
        <v>257</v>
      </c>
      <c r="Q202" t="s">
        <v>442</v>
      </c>
      <c r="R202" t="s">
        <v>257</v>
      </c>
      <c r="W202" t="s">
        <v>257</v>
      </c>
      <c r="X202" t="s">
        <v>257</v>
      </c>
    </row>
    <row r="203" spans="2:24" x14ac:dyDescent="0.35">
      <c r="B203" t="s">
        <v>259</v>
      </c>
      <c r="C203" t="s">
        <v>259</v>
      </c>
      <c r="Q203" t="s">
        <v>442</v>
      </c>
      <c r="R203" t="s">
        <v>259</v>
      </c>
      <c r="W203" t="s">
        <v>259</v>
      </c>
      <c r="X203" t="s">
        <v>259</v>
      </c>
    </row>
    <row r="204" spans="2:24" x14ac:dyDescent="0.35">
      <c r="B204" t="s">
        <v>261</v>
      </c>
      <c r="C204" t="s">
        <v>261</v>
      </c>
      <c r="Q204" t="s">
        <v>442</v>
      </c>
      <c r="R204" t="s">
        <v>261</v>
      </c>
      <c r="W204" t="s">
        <v>261</v>
      </c>
      <c r="X204" t="s">
        <v>261</v>
      </c>
    </row>
    <row r="205" spans="2:24" x14ac:dyDescent="0.35">
      <c r="B205" t="s">
        <v>263</v>
      </c>
      <c r="C205" t="s">
        <v>263</v>
      </c>
      <c r="Q205" t="s">
        <v>442</v>
      </c>
      <c r="R205" t="s">
        <v>263</v>
      </c>
      <c r="W205" t="s">
        <v>263</v>
      </c>
      <c r="X205" t="s">
        <v>263</v>
      </c>
    </row>
    <row r="206" spans="2:24" x14ac:dyDescent="0.35">
      <c r="B206" t="s">
        <v>265</v>
      </c>
      <c r="C206" t="s">
        <v>265</v>
      </c>
      <c r="Q206" t="s">
        <v>442</v>
      </c>
      <c r="R206" t="s">
        <v>265</v>
      </c>
      <c r="W206" t="s">
        <v>265</v>
      </c>
      <c r="X206" t="s">
        <v>265</v>
      </c>
    </row>
    <row r="207" spans="2:24" x14ac:dyDescent="0.35">
      <c r="B207" t="s">
        <v>267</v>
      </c>
      <c r="C207" t="s">
        <v>267</v>
      </c>
      <c r="Q207" t="s">
        <v>442</v>
      </c>
      <c r="R207" t="s">
        <v>267</v>
      </c>
      <c r="W207" t="s">
        <v>267</v>
      </c>
      <c r="X207" t="s">
        <v>267</v>
      </c>
    </row>
    <row r="208" spans="2:24" x14ac:dyDescent="0.35">
      <c r="B208" t="s">
        <v>269</v>
      </c>
      <c r="C208" t="s">
        <v>269</v>
      </c>
      <c r="Q208" t="s">
        <v>442</v>
      </c>
      <c r="R208" t="s">
        <v>269</v>
      </c>
      <c r="W208" t="s">
        <v>269</v>
      </c>
      <c r="X208" t="s">
        <v>269</v>
      </c>
    </row>
    <row r="209" spans="2:24" x14ac:dyDescent="0.35">
      <c r="B209" t="s">
        <v>271</v>
      </c>
      <c r="C209" t="s">
        <v>271</v>
      </c>
      <c r="Q209" t="s">
        <v>442</v>
      </c>
      <c r="R209" t="s">
        <v>271</v>
      </c>
      <c r="W209" t="s">
        <v>271</v>
      </c>
      <c r="X209" t="s">
        <v>271</v>
      </c>
    </row>
    <row r="210" spans="2:24" x14ac:dyDescent="0.35">
      <c r="B210" t="s">
        <v>273</v>
      </c>
      <c r="C210" t="s">
        <v>273</v>
      </c>
      <c r="Q210" t="s">
        <v>442</v>
      </c>
      <c r="R210" t="s">
        <v>273</v>
      </c>
      <c r="W210" t="s">
        <v>273</v>
      </c>
      <c r="X210" t="s">
        <v>273</v>
      </c>
    </row>
    <row r="211" spans="2:24" x14ac:dyDescent="0.35">
      <c r="B211" t="s">
        <v>275</v>
      </c>
      <c r="C211" t="s">
        <v>275</v>
      </c>
      <c r="Q211" t="s">
        <v>442</v>
      </c>
      <c r="R211" t="s">
        <v>275</v>
      </c>
      <c r="W211" t="s">
        <v>275</v>
      </c>
      <c r="X211" t="s">
        <v>275</v>
      </c>
    </row>
    <row r="212" spans="2:24" x14ac:dyDescent="0.35">
      <c r="B212" t="s">
        <v>277</v>
      </c>
      <c r="C212" t="s">
        <v>277</v>
      </c>
      <c r="Q212" t="s">
        <v>442</v>
      </c>
      <c r="R212" t="s">
        <v>277</v>
      </c>
      <c r="W212" t="s">
        <v>277</v>
      </c>
      <c r="X212" t="s">
        <v>277</v>
      </c>
    </row>
    <row r="213" spans="2:24" x14ac:dyDescent="0.35">
      <c r="B213" t="s">
        <v>279</v>
      </c>
      <c r="C213" t="s">
        <v>279</v>
      </c>
      <c r="Q213" t="s">
        <v>442</v>
      </c>
      <c r="R213" t="s">
        <v>279</v>
      </c>
      <c r="W213" t="s">
        <v>279</v>
      </c>
      <c r="X213" t="s">
        <v>279</v>
      </c>
    </row>
    <row r="214" spans="2:24" x14ac:dyDescent="0.35">
      <c r="B214" t="s">
        <v>281</v>
      </c>
      <c r="C214" t="s">
        <v>281</v>
      </c>
      <c r="Q214" t="s">
        <v>442</v>
      </c>
      <c r="R214" t="s">
        <v>281</v>
      </c>
      <c r="W214" t="s">
        <v>281</v>
      </c>
      <c r="X214" t="s">
        <v>281</v>
      </c>
    </row>
    <row r="215" spans="2:24" x14ac:dyDescent="0.35">
      <c r="B215" t="s">
        <v>10</v>
      </c>
      <c r="C215" t="s">
        <v>10</v>
      </c>
      <c r="Q215" t="s">
        <v>445</v>
      </c>
      <c r="R215" t="s">
        <v>10</v>
      </c>
      <c r="W215" t="s">
        <v>10</v>
      </c>
      <c r="X215" t="s">
        <v>10</v>
      </c>
    </row>
    <row r="216" spans="2:24" x14ac:dyDescent="0.35">
      <c r="B216" t="s">
        <v>14</v>
      </c>
      <c r="C216" t="s">
        <v>14</v>
      </c>
      <c r="Q216" t="s">
        <v>449</v>
      </c>
      <c r="R216" t="s">
        <v>14</v>
      </c>
      <c r="W216" t="s">
        <v>14</v>
      </c>
      <c r="X216" t="s">
        <v>14</v>
      </c>
    </row>
    <row r="217" spans="2:24" x14ac:dyDescent="0.35">
      <c r="B217" t="s">
        <v>95</v>
      </c>
      <c r="C217" t="s">
        <v>18</v>
      </c>
      <c r="Q217" t="s">
        <v>449</v>
      </c>
      <c r="R217" t="s">
        <v>95</v>
      </c>
      <c r="W217" t="s">
        <v>14</v>
      </c>
      <c r="X217" t="s">
        <v>95</v>
      </c>
    </row>
    <row r="218" spans="2:24" x14ac:dyDescent="0.35">
      <c r="B218" t="s">
        <v>97</v>
      </c>
      <c r="C218" t="s">
        <v>22</v>
      </c>
      <c r="Q218" t="s">
        <v>449</v>
      </c>
      <c r="R218" t="s">
        <v>97</v>
      </c>
      <c r="W218" t="s">
        <v>14</v>
      </c>
      <c r="X218" t="s">
        <v>97</v>
      </c>
    </row>
    <row r="219" spans="2:24" x14ac:dyDescent="0.35">
      <c r="B219" t="s">
        <v>99</v>
      </c>
      <c r="C219" t="s">
        <v>26</v>
      </c>
      <c r="Q219" t="s">
        <v>449</v>
      </c>
      <c r="R219" t="s">
        <v>99</v>
      </c>
      <c r="W219" t="s">
        <v>14</v>
      </c>
      <c r="X219" t="s">
        <v>99</v>
      </c>
    </row>
    <row r="220" spans="2:24" x14ac:dyDescent="0.35">
      <c r="B220" t="s">
        <v>101</v>
      </c>
      <c r="C220" t="s">
        <v>30</v>
      </c>
      <c r="Q220" t="s">
        <v>449</v>
      </c>
      <c r="R220" t="s">
        <v>101</v>
      </c>
      <c r="W220" t="s">
        <v>14</v>
      </c>
      <c r="X220" t="s">
        <v>101</v>
      </c>
    </row>
    <row r="221" spans="2:24" x14ac:dyDescent="0.35">
      <c r="B221" t="s">
        <v>103</v>
      </c>
      <c r="C221" t="s">
        <v>34</v>
      </c>
      <c r="Q221" t="s">
        <v>449</v>
      </c>
      <c r="R221" t="s">
        <v>103</v>
      </c>
      <c r="W221" t="s">
        <v>14</v>
      </c>
      <c r="X221" t="s">
        <v>103</v>
      </c>
    </row>
    <row r="222" spans="2:24" x14ac:dyDescent="0.35">
      <c r="B222" t="s">
        <v>105</v>
      </c>
      <c r="C222" t="s">
        <v>38</v>
      </c>
      <c r="Q222" t="s">
        <v>449</v>
      </c>
      <c r="R222" t="s">
        <v>105</v>
      </c>
      <c r="W222" t="s">
        <v>14</v>
      </c>
      <c r="X222" t="s">
        <v>105</v>
      </c>
    </row>
    <row r="223" spans="2:24" x14ac:dyDescent="0.35">
      <c r="B223" t="s">
        <v>107</v>
      </c>
      <c r="C223" t="s">
        <v>42</v>
      </c>
      <c r="Q223" t="s">
        <v>449</v>
      </c>
      <c r="R223" t="s">
        <v>107</v>
      </c>
      <c r="W223" t="s">
        <v>14</v>
      </c>
      <c r="X223" t="s">
        <v>107</v>
      </c>
    </row>
    <row r="224" spans="2:24" x14ac:dyDescent="0.35">
      <c r="B224" t="s">
        <v>109</v>
      </c>
      <c r="C224" t="s">
        <v>46</v>
      </c>
      <c r="Q224" t="s">
        <v>449</v>
      </c>
      <c r="R224" t="s">
        <v>109</v>
      </c>
      <c r="W224" t="s">
        <v>14</v>
      </c>
      <c r="X224" t="s">
        <v>109</v>
      </c>
    </row>
    <row r="225" spans="2:24" x14ac:dyDescent="0.35">
      <c r="B225" t="s">
        <v>327</v>
      </c>
      <c r="C225" t="s">
        <v>50</v>
      </c>
      <c r="Q225" t="s">
        <v>449</v>
      </c>
      <c r="R225" t="s">
        <v>327</v>
      </c>
      <c r="W225" t="s">
        <v>14</v>
      </c>
      <c r="X225" t="s">
        <v>327</v>
      </c>
    </row>
    <row r="226" spans="2:24" x14ac:dyDescent="0.35">
      <c r="B226" t="s">
        <v>328</v>
      </c>
      <c r="C226" t="s">
        <v>54</v>
      </c>
      <c r="Q226" t="s">
        <v>449</v>
      </c>
      <c r="R226" t="s">
        <v>328</v>
      </c>
      <c r="W226" t="s">
        <v>14</v>
      </c>
      <c r="X226" t="s">
        <v>328</v>
      </c>
    </row>
    <row r="227" spans="2:24" x14ac:dyDescent="0.35">
      <c r="B227" t="s">
        <v>329</v>
      </c>
      <c r="C227" t="s">
        <v>58</v>
      </c>
      <c r="Q227" t="s">
        <v>449</v>
      </c>
      <c r="R227" t="s">
        <v>329</v>
      </c>
      <c r="W227" t="s">
        <v>14</v>
      </c>
      <c r="X227" t="s">
        <v>329</v>
      </c>
    </row>
    <row r="228" spans="2:24" x14ac:dyDescent="0.35">
      <c r="B228" t="s">
        <v>330</v>
      </c>
      <c r="C228" t="s">
        <v>62</v>
      </c>
      <c r="Q228" t="s">
        <v>449</v>
      </c>
      <c r="R228" t="s">
        <v>330</v>
      </c>
      <c r="W228" t="s">
        <v>14</v>
      </c>
      <c r="X228" t="s">
        <v>330</v>
      </c>
    </row>
    <row r="229" spans="2:24" x14ac:dyDescent="0.35">
      <c r="B229" t="s">
        <v>18</v>
      </c>
      <c r="C229" t="s">
        <v>66</v>
      </c>
      <c r="Q229" t="s">
        <v>453</v>
      </c>
      <c r="R229" t="s">
        <v>18</v>
      </c>
      <c r="W229" t="s">
        <v>18</v>
      </c>
      <c r="X229" t="s">
        <v>18</v>
      </c>
    </row>
    <row r="230" spans="2:24" x14ac:dyDescent="0.35">
      <c r="B230" t="s">
        <v>22</v>
      </c>
      <c r="C230" t="s">
        <v>70</v>
      </c>
      <c r="Q230" t="s">
        <v>456</v>
      </c>
      <c r="R230" t="s">
        <v>22</v>
      </c>
      <c r="W230" t="s">
        <v>22</v>
      </c>
      <c r="X230" t="s">
        <v>22</v>
      </c>
    </row>
    <row r="231" spans="2:24" x14ac:dyDescent="0.35">
      <c r="B231" t="s">
        <v>112</v>
      </c>
      <c r="C231" t="s">
        <v>74</v>
      </c>
      <c r="Q231" t="s">
        <v>456</v>
      </c>
      <c r="R231" t="s">
        <v>112</v>
      </c>
      <c r="W231" t="s">
        <v>22</v>
      </c>
      <c r="X231" t="s">
        <v>112</v>
      </c>
    </row>
    <row r="232" spans="2:24" x14ac:dyDescent="0.35">
      <c r="B232" t="s">
        <v>114</v>
      </c>
      <c r="C232" t="s">
        <v>566</v>
      </c>
      <c r="Q232" t="s">
        <v>456</v>
      </c>
      <c r="R232" t="s">
        <v>114</v>
      </c>
      <c r="W232" t="s">
        <v>22</v>
      </c>
      <c r="X232" t="s">
        <v>114</v>
      </c>
    </row>
    <row r="233" spans="2:24" x14ac:dyDescent="0.35">
      <c r="B233" t="s">
        <v>116</v>
      </c>
      <c r="C233" t="s">
        <v>78</v>
      </c>
      <c r="Q233" t="s">
        <v>456</v>
      </c>
      <c r="R233" t="s">
        <v>116</v>
      </c>
      <c r="W233" t="s">
        <v>22</v>
      </c>
      <c r="X233" t="s">
        <v>116</v>
      </c>
    </row>
    <row r="234" spans="2:24" x14ac:dyDescent="0.35">
      <c r="B234" t="s">
        <v>118</v>
      </c>
      <c r="C234" t="s">
        <v>82</v>
      </c>
      <c r="Q234" t="s">
        <v>456</v>
      </c>
      <c r="R234" t="s">
        <v>118</v>
      </c>
      <c r="W234" t="s">
        <v>22</v>
      </c>
      <c r="X234" t="s">
        <v>118</v>
      </c>
    </row>
    <row r="235" spans="2:24" x14ac:dyDescent="0.35">
      <c r="B235" t="s">
        <v>26</v>
      </c>
      <c r="C235" t="s">
        <v>86</v>
      </c>
      <c r="Q235" t="s">
        <v>458</v>
      </c>
      <c r="R235" t="s">
        <v>26</v>
      </c>
      <c r="W235" t="s">
        <v>26</v>
      </c>
      <c r="X235" t="s">
        <v>26</v>
      </c>
    </row>
    <row r="236" spans="2:24" x14ac:dyDescent="0.35">
      <c r="B236" t="s">
        <v>30</v>
      </c>
      <c r="Q236" t="s">
        <v>460</v>
      </c>
      <c r="R236" t="s">
        <v>30</v>
      </c>
      <c r="W236" t="s">
        <v>30</v>
      </c>
      <c r="X236" t="s">
        <v>30</v>
      </c>
    </row>
    <row r="237" spans="2:24" x14ac:dyDescent="0.35">
      <c r="B237" t="s">
        <v>283</v>
      </c>
      <c r="Q237" t="s">
        <v>460</v>
      </c>
      <c r="R237" t="s">
        <v>283</v>
      </c>
      <c r="W237" t="s">
        <v>30</v>
      </c>
      <c r="X237" t="s">
        <v>283</v>
      </c>
    </row>
    <row r="238" spans="2:24" x14ac:dyDescent="0.35">
      <c r="B238" t="s">
        <v>285</v>
      </c>
      <c r="Q238" t="s">
        <v>460</v>
      </c>
      <c r="R238" t="s">
        <v>285</v>
      </c>
      <c r="W238" t="s">
        <v>30</v>
      </c>
      <c r="X238" t="s">
        <v>285</v>
      </c>
    </row>
    <row r="239" spans="2:24" x14ac:dyDescent="0.35">
      <c r="B239" t="s">
        <v>287</v>
      </c>
      <c r="Q239" t="s">
        <v>460</v>
      </c>
      <c r="R239" t="s">
        <v>287</v>
      </c>
      <c r="W239" t="s">
        <v>30</v>
      </c>
      <c r="X239" t="s">
        <v>287</v>
      </c>
    </row>
    <row r="240" spans="2:24" x14ac:dyDescent="0.35">
      <c r="B240" t="s">
        <v>289</v>
      </c>
      <c r="Q240" t="s">
        <v>460</v>
      </c>
      <c r="R240" t="s">
        <v>289</v>
      </c>
      <c r="W240" t="s">
        <v>30</v>
      </c>
      <c r="X240" t="s">
        <v>289</v>
      </c>
    </row>
    <row r="241" spans="2:24" x14ac:dyDescent="0.35">
      <c r="B241" t="s">
        <v>291</v>
      </c>
      <c r="Q241" t="s">
        <v>460</v>
      </c>
      <c r="R241" t="s">
        <v>291</v>
      </c>
      <c r="W241" t="s">
        <v>30</v>
      </c>
      <c r="X241" t="s">
        <v>291</v>
      </c>
    </row>
    <row r="242" spans="2:24" x14ac:dyDescent="0.35">
      <c r="B242" t="s">
        <v>293</v>
      </c>
      <c r="Q242" t="s">
        <v>460</v>
      </c>
      <c r="R242" t="s">
        <v>293</v>
      </c>
      <c r="W242" t="s">
        <v>30</v>
      </c>
      <c r="X242" t="s">
        <v>293</v>
      </c>
    </row>
    <row r="243" spans="2:24" x14ac:dyDescent="0.35">
      <c r="B243" t="s">
        <v>295</v>
      </c>
      <c r="Q243" t="s">
        <v>460</v>
      </c>
      <c r="R243" t="s">
        <v>295</v>
      </c>
      <c r="W243" t="s">
        <v>30</v>
      </c>
      <c r="X243" t="s">
        <v>295</v>
      </c>
    </row>
    <row r="244" spans="2:24" x14ac:dyDescent="0.35">
      <c r="B244" t="s">
        <v>297</v>
      </c>
      <c r="Q244" t="s">
        <v>460</v>
      </c>
      <c r="R244" t="s">
        <v>297</v>
      </c>
      <c r="W244" t="s">
        <v>30</v>
      </c>
      <c r="X244" t="s">
        <v>297</v>
      </c>
    </row>
    <row r="245" spans="2:24" x14ac:dyDescent="0.35">
      <c r="B245" t="s">
        <v>299</v>
      </c>
      <c r="Q245" t="s">
        <v>460</v>
      </c>
      <c r="R245" t="s">
        <v>299</v>
      </c>
      <c r="W245" t="s">
        <v>30</v>
      </c>
      <c r="X245" t="s">
        <v>299</v>
      </c>
    </row>
    <row r="246" spans="2:24" x14ac:dyDescent="0.35">
      <c r="B246" t="s">
        <v>301</v>
      </c>
      <c r="Q246" t="s">
        <v>460</v>
      </c>
      <c r="R246" t="s">
        <v>301</v>
      </c>
      <c r="W246" t="s">
        <v>30</v>
      </c>
      <c r="X246" t="s">
        <v>301</v>
      </c>
    </row>
    <row r="247" spans="2:24" x14ac:dyDescent="0.35">
      <c r="B247" t="s">
        <v>303</v>
      </c>
      <c r="Q247" t="s">
        <v>460</v>
      </c>
      <c r="R247" t="s">
        <v>303</v>
      </c>
      <c r="W247" t="s">
        <v>30</v>
      </c>
      <c r="X247" t="s">
        <v>303</v>
      </c>
    </row>
    <row r="248" spans="2:24" x14ac:dyDescent="0.35">
      <c r="B248" t="s">
        <v>305</v>
      </c>
      <c r="Q248" t="s">
        <v>460</v>
      </c>
      <c r="R248" t="s">
        <v>305</v>
      </c>
      <c r="W248" t="s">
        <v>30</v>
      </c>
      <c r="X248" t="s">
        <v>305</v>
      </c>
    </row>
    <row r="249" spans="2:24" x14ac:dyDescent="0.35">
      <c r="B249" t="s">
        <v>307</v>
      </c>
      <c r="Q249" t="s">
        <v>460</v>
      </c>
      <c r="R249" t="s">
        <v>307</v>
      </c>
      <c r="W249" t="s">
        <v>30</v>
      </c>
      <c r="X249" t="s">
        <v>307</v>
      </c>
    </row>
    <row r="250" spans="2:24" x14ac:dyDescent="0.35">
      <c r="B250" t="s">
        <v>309</v>
      </c>
      <c r="Q250" t="s">
        <v>460</v>
      </c>
      <c r="R250" t="s">
        <v>309</v>
      </c>
      <c r="W250" t="s">
        <v>30</v>
      </c>
      <c r="X250" t="s">
        <v>309</v>
      </c>
    </row>
    <row r="251" spans="2:24" x14ac:dyDescent="0.35">
      <c r="B251" t="s">
        <v>311</v>
      </c>
      <c r="Q251" t="s">
        <v>460</v>
      </c>
      <c r="R251" t="s">
        <v>311</v>
      </c>
      <c r="W251" t="s">
        <v>30</v>
      </c>
      <c r="X251" t="s">
        <v>311</v>
      </c>
    </row>
    <row r="252" spans="2:24" x14ac:dyDescent="0.35">
      <c r="B252" t="s">
        <v>322</v>
      </c>
      <c r="Q252" t="s">
        <v>460</v>
      </c>
      <c r="R252" t="s">
        <v>322</v>
      </c>
      <c r="W252" t="s">
        <v>30</v>
      </c>
      <c r="X252" t="s">
        <v>322</v>
      </c>
    </row>
    <row r="253" spans="2:24" x14ac:dyDescent="0.35">
      <c r="B253" t="s">
        <v>323</v>
      </c>
      <c r="Q253" t="s">
        <v>460</v>
      </c>
      <c r="R253" t="s">
        <v>323</v>
      </c>
      <c r="W253" t="s">
        <v>30</v>
      </c>
      <c r="X253" t="s">
        <v>323</v>
      </c>
    </row>
    <row r="254" spans="2:24" x14ac:dyDescent="0.35">
      <c r="B254" t="s">
        <v>324</v>
      </c>
      <c r="Q254" t="s">
        <v>460</v>
      </c>
      <c r="R254" t="s">
        <v>324</v>
      </c>
      <c r="W254" t="s">
        <v>30</v>
      </c>
      <c r="X254" t="s">
        <v>324</v>
      </c>
    </row>
    <row r="255" spans="2:24" x14ac:dyDescent="0.35">
      <c r="B255" t="s">
        <v>325</v>
      </c>
      <c r="Q255" t="s">
        <v>460</v>
      </c>
      <c r="R255" t="s">
        <v>325</v>
      </c>
      <c r="W255" t="s">
        <v>30</v>
      </c>
      <c r="X255" t="s">
        <v>325</v>
      </c>
    </row>
    <row r="256" spans="2:24" x14ac:dyDescent="0.35">
      <c r="B256" t="s">
        <v>326</v>
      </c>
      <c r="Q256" t="s">
        <v>460</v>
      </c>
      <c r="R256" t="s">
        <v>326</v>
      </c>
      <c r="W256" t="s">
        <v>30</v>
      </c>
      <c r="X256" t="s">
        <v>326</v>
      </c>
    </row>
    <row r="257" spans="2:24" x14ac:dyDescent="0.35">
      <c r="B257" t="s">
        <v>34</v>
      </c>
      <c r="Q257" t="s">
        <v>462</v>
      </c>
      <c r="R257" t="s">
        <v>34</v>
      </c>
      <c r="W257" t="s">
        <v>34</v>
      </c>
      <c r="X257" t="s">
        <v>34</v>
      </c>
    </row>
    <row r="258" spans="2:24" x14ac:dyDescent="0.35">
      <c r="B258" t="s">
        <v>38</v>
      </c>
      <c r="Q258" t="s">
        <v>464</v>
      </c>
      <c r="R258" t="s">
        <v>38</v>
      </c>
      <c r="W258" t="s">
        <v>38</v>
      </c>
      <c r="X258" t="s">
        <v>38</v>
      </c>
    </row>
    <row r="259" spans="2:24" x14ac:dyDescent="0.35">
      <c r="B259" t="s">
        <v>42</v>
      </c>
      <c r="Q259" t="s">
        <v>562</v>
      </c>
      <c r="R259" t="s">
        <v>42</v>
      </c>
      <c r="W259" t="s">
        <v>42</v>
      </c>
      <c r="X259" t="s">
        <v>42</v>
      </c>
    </row>
    <row r="260" spans="2:24" x14ac:dyDescent="0.35">
      <c r="B260" t="s">
        <v>46</v>
      </c>
      <c r="Q260" t="s">
        <v>466</v>
      </c>
      <c r="R260" t="s">
        <v>46</v>
      </c>
      <c r="W260" t="s">
        <v>46</v>
      </c>
      <c r="X260" t="s">
        <v>46</v>
      </c>
    </row>
    <row r="261" spans="2:24" x14ac:dyDescent="0.35">
      <c r="B261" t="s">
        <v>50</v>
      </c>
      <c r="Q261" t="s">
        <v>468</v>
      </c>
      <c r="R261" t="s">
        <v>50</v>
      </c>
      <c r="W261" t="s">
        <v>50</v>
      </c>
      <c r="X261" t="s">
        <v>50</v>
      </c>
    </row>
    <row r="262" spans="2:24" x14ac:dyDescent="0.35">
      <c r="B262" t="s">
        <v>54</v>
      </c>
      <c r="Q262" t="s">
        <v>470</v>
      </c>
      <c r="R262" t="s">
        <v>54</v>
      </c>
      <c r="W262" t="s">
        <v>54</v>
      </c>
      <c r="X262" t="s">
        <v>54</v>
      </c>
    </row>
    <row r="263" spans="2:24" x14ac:dyDescent="0.35">
      <c r="B263" t="s">
        <v>58</v>
      </c>
      <c r="Q263" t="s">
        <v>471</v>
      </c>
      <c r="R263" t="s">
        <v>58</v>
      </c>
      <c r="W263" t="s">
        <v>58</v>
      </c>
      <c r="X263" t="s">
        <v>58</v>
      </c>
    </row>
    <row r="264" spans="2:24" x14ac:dyDescent="0.35">
      <c r="B264" t="s">
        <v>62</v>
      </c>
      <c r="Q264" t="s">
        <v>473</v>
      </c>
      <c r="R264" t="s">
        <v>62</v>
      </c>
      <c r="W264" t="s">
        <v>62</v>
      </c>
      <c r="X264" t="s">
        <v>62</v>
      </c>
    </row>
    <row r="265" spans="2:24" x14ac:dyDescent="0.35">
      <c r="B265" t="s">
        <v>66</v>
      </c>
      <c r="Q265" t="s">
        <v>563</v>
      </c>
      <c r="R265" t="s">
        <v>66</v>
      </c>
      <c r="W265" t="s">
        <v>66</v>
      </c>
      <c r="X265" t="s">
        <v>66</v>
      </c>
    </row>
    <row r="266" spans="2:24" x14ac:dyDescent="0.35">
      <c r="B266" t="s">
        <v>70</v>
      </c>
      <c r="Q266" t="s">
        <v>564</v>
      </c>
      <c r="R266" t="s">
        <v>70</v>
      </c>
      <c r="W266" t="s">
        <v>70</v>
      </c>
      <c r="X266" t="s">
        <v>70</v>
      </c>
    </row>
    <row r="267" spans="2:24" x14ac:dyDescent="0.35">
      <c r="B267" t="s">
        <v>74</v>
      </c>
      <c r="Q267" t="s">
        <v>475</v>
      </c>
      <c r="R267" t="s">
        <v>74</v>
      </c>
      <c r="W267" t="s">
        <v>74</v>
      </c>
      <c r="X267" t="s">
        <v>74</v>
      </c>
    </row>
    <row r="268" spans="2:24" x14ac:dyDescent="0.35">
      <c r="B268" t="s">
        <v>566</v>
      </c>
      <c r="Q268" t="s">
        <v>565</v>
      </c>
      <c r="R268" t="s">
        <v>566</v>
      </c>
      <c r="W268" t="s">
        <v>566</v>
      </c>
      <c r="X268" t="s">
        <v>566</v>
      </c>
    </row>
    <row r="269" spans="2:24" x14ac:dyDescent="0.35">
      <c r="B269" t="s">
        <v>78</v>
      </c>
      <c r="Q269" t="s">
        <v>477</v>
      </c>
      <c r="R269" t="s">
        <v>78</v>
      </c>
      <c r="W269" t="s">
        <v>78</v>
      </c>
      <c r="X269" t="s">
        <v>78</v>
      </c>
    </row>
    <row r="270" spans="2:24" x14ac:dyDescent="0.35">
      <c r="B270" t="s">
        <v>82</v>
      </c>
      <c r="Q270" t="s">
        <v>478</v>
      </c>
      <c r="R270" t="s">
        <v>82</v>
      </c>
      <c r="W270" t="s">
        <v>82</v>
      </c>
      <c r="X270" t="s">
        <v>82</v>
      </c>
    </row>
    <row r="271" spans="2:24" x14ac:dyDescent="0.35">
      <c r="B271" t="s">
        <v>86</v>
      </c>
      <c r="Q271" t="s">
        <v>479</v>
      </c>
      <c r="R271" t="s">
        <v>86</v>
      </c>
      <c r="W271" t="s">
        <v>86</v>
      </c>
      <c r="X271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FF4F-AA50-4B22-8C15-13E70FB57F6B}">
  <sheetPr>
    <tabColor theme="8" tint="-0.499984740745262"/>
  </sheetPr>
  <dimension ref="A1:S111"/>
  <sheetViews>
    <sheetView showZeros="0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H29" sqref="H29"/>
    </sheetView>
  </sheetViews>
  <sheetFormatPr defaultRowHeight="14.5" x14ac:dyDescent="0.35"/>
  <sheetData>
    <row r="1" spans="1:19" ht="18.5" x14ac:dyDescent="0.45">
      <c r="A1" s="10" t="s">
        <v>567</v>
      </c>
    </row>
    <row r="4" spans="1:19" x14ac:dyDescent="0.35">
      <c r="A4" s="11" t="s">
        <v>568</v>
      </c>
    </row>
    <row r="5" spans="1:19" x14ac:dyDescent="0.35">
      <c r="A5" s="12" t="s">
        <v>569</v>
      </c>
      <c r="C5" s="12" t="s">
        <v>15</v>
      </c>
      <c r="E5" s="12"/>
      <c r="G5" s="12"/>
      <c r="H5" s="12"/>
      <c r="I5" s="12"/>
      <c r="O5" s="12" t="s">
        <v>19</v>
      </c>
      <c r="P5" s="12" t="s">
        <v>23</v>
      </c>
      <c r="Q5" s="12"/>
      <c r="R5" s="12"/>
    </row>
    <row r="6" spans="1:19" x14ac:dyDescent="0.35">
      <c r="C6" s="12" t="s">
        <v>570</v>
      </c>
      <c r="D6" s="12" t="s">
        <v>571</v>
      </c>
      <c r="E6" s="12" t="s">
        <v>572</v>
      </c>
      <c r="F6" s="12" t="s">
        <v>573</v>
      </c>
      <c r="G6" s="12" t="s">
        <v>574</v>
      </c>
      <c r="H6" s="12" t="s">
        <v>575</v>
      </c>
      <c r="I6" s="12" t="s">
        <v>576</v>
      </c>
      <c r="J6" s="12" t="s">
        <v>577</v>
      </c>
      <c r="K6" s="12" t="s">
        <v>580</v>
      </c>
      <c r="L6" s="12" t="s">
        <v>581</v>
      </c>
      <c r="M6" s="12" t="s">
        <v>582</v>
      </c>
      <c r="N6" s="12" t="s">
        <v>583</v>
      </c>
      <c r="O6" s="12" t="s">
        <v>578</v>
      </c>
      <c r="P6" s="12" t="s">
        <v>578</v>
      </c>
      <c r="Q6" s="12" t="s">
        <v>420</v>
      </c>
      <c r="R6" s="12" t="s">
        <v>421</v>
      </c>
      <c r="S6" s="12" t="s">
        <v>579</v>
      </c>
    </row>
    <row r="7" spans="1:19" x14ac:dyDescent="0.35">
      <c r="B7" s="13"/>
      <c r="C7" s="13" t="s">
        <v>95</v>
      </c>
      <c r="D7" s="13" t="s">
        <v>97</v>
      </c>
      <c r="E7" s="13" t="s">
        <v>99</v>
      </c>
      <c r="F7" s="13" t="s">
        <v>101</v>
      </c>
      <c r="G7" s="13" t="s">
        <v>103</v>
      </c>
      <c r="H7" s="13" t="s">
        <v>105</v>
      </c>
      <c r="I7" s="13" t="s">
        <v>107</v>
      </c>
      <c r="J7" s="13" t="s">
        <v>109</v>
      </c>
      <c r="K7" s="13" t="s">
        <v>327</v>
      </c>
      <c r="L7" s="13" t="s">
        <v>328</v>
      </c>
      <c r="M7" s="13" t="s">
        <v>329</v>
      </c>
      <c r="N7" s="13" t="s">
        <v>330</v>
      </c>
      <c r="O7" s="15" t="s">
        <v>18</v>
      </c>
      <c r="P7" s="13" t="s">
        <v>112</v>
      </c>
      <c r="Q7" s="13" t="s">
        <v>114</v>
      </c>
      <c r="R7" s="13" t="s">
        <v>116</v>
      </c>
      <c r="S7" s="13" t="s">
        <v>118</v>
      </c>
    </row>
    <row r="8" spans="1:19" x14ac:dyDescent="0.35">
      <c r="A8" s="12" t="s">
        <v>9</v>
      </c>
      <c r="B8" s="13" t="s">
        <v>443</v>
      </c>
      <c r="C8" s="13">
        <f>SVY!D7</f>
        <v>0.49259772131259782</v>
      </c>
      <c r="D8" s="13">
        <f>SVY!E7</f>
        <v>0.36167419993197292</v>
      </c>
      <c r="E8" s="13">
        <f>SVY!F7</f>
        <v>3.9480441033560611E-2</v>
      </c>
      <c r="F8" s="13">
        <f>SVY!G7</f>
        <v>1.055268481170148E-2</v>
      </c>
      <c r="G8" s="13">
        <f>SVY!H7</f>
        <v>1.0225127728725881E-2</v>
      </c>
      <c r="H8" s="13">
        <f>SVY!I7</f>
        <v>1.83009736389654E-2</v>
      </c>
      <c r="I8" s="13">
        <f>SVY!J7</f>
        <v>4.5167071793214284E-3</v>
      </c>
      <c r="J8" s="13">
        <f>SVY!K7</f>
        <v>5.4580675346179598E-3</v>
      </c>
      <c r="K8" s="13">
        <f>SVY!L7</f>
        <v>2.0208752665116042E-2</v>
      </c>
      <c r="L8" s="13">
        <f>SVY!M7</f>
        <v>2.2175615659631592E-2</v>
      </c>
      <c r="M8" s="13">
        <f>SVY!N7</f>
        <v>6.0515810433374242E-3</v>
      </c>
      <c r="N8" s="13">
        <f>SVY!O7</f>
        <v>8.7581274604515476E-3</v>
      </c>
      <c r="O8" s="15">
        <v>1</v>
      </c>
      <c r="P8" s="13">
        <v>1</v>
      </c>
      <c r="Q8" s="13"/>
      <c r="R8" s="13"/>
      <c r="S8" s="13"/>
    </row>
    <row r="9" spans="1:19" x14ac:dyDescent="0.35">
      <c r="A9" s="12" t="s">
        <v>13</v>
      </c>
      <c r="B9" s="13" t="s">
        <v>440</v>
      </c>
      <c r="C9" s="13">
        <f>SVY!D8</f>
        <v>0.49922868720186503</v>
      </c>
      <c r="D9" s="13">
        <f>SVY!E8</f>
        <v>0.36654277560541793</v>
      </c>
      <c r="E9" s="13">
        <f>SVY!F8</f>
        <v>4.0011895903244499E-2</v>
      </c>
      <c r="F9" s="13">
        <f>SVY!G8</f>
        <v>1.0694736814784491E-2</v>
      </c>
      <c r="G9" s="13">
        <f>SVY!H8</f>
        <v>1.0577163403797187E-2</v>
      </c>
      <c r="H9" s="13">
        <f>SVY!I8</f>
        <v>1.8931048468383511E-2</v>
      </c>
      <c r="I9" s="13">
        <f>SVY!J8</f>
        <v>4.6722105728394239E-3</v>
      </c>
      <c r="J9" s="13">
        <f>SVY!K8</f>
        <v>5.6459805407055065E-3</v>
      </c>
      <c r="K9" s="13">
        <f>SVY!L8</f>
        <v>1.5439213833556759E-2</v>
      </c>
      <c r="L9" s="13">
        <f>SVY!M8</f>
        <v>1.6941870571300598E-2</v>
      </c>
      <c r="M9" s="13">
        <f>SVY!N8</f>
        <v>4.6233261056465363E-3</v>
      </c>
      <c r="N9" s="13">
        <f>SVY!O8</f>
        <v>6.6910909784584872E-3</v>
      </c>
      <c r="O9" s="15">
        <v>1</v>
      </c>
      <c r="P9" s="13">
        <v>1</v>
      </c>
      <c r="Q9" s="13"/>
      <c r="R9" s="13"/>
      <c r="S9" s="13"/>
    </row>
    <row r="10" spans="1:19" x14ac:dyDescent="0.35">
      <c r="A10" s="12" t="s">
        <v>17</v>
      </c>
      <c r="B10" s="13" t="s">
        <v>450</v>
      </c>
      <c r="C10" s="13">
        <f>SVY!D9</f>
        <v>0.52564510770089756</v>
      </c>
      <c r="D10" s="13">
        <f>SVY!E9</f>
        <v>0.38593819165321397</v>
      </c>
      <c r="E10" s="13">
        <f>SVY!F9</f>
        <v>4.2129104097084195E-2</v>
      </c>
      <c r="F10" s="13">
        <f>SVY!G9</f>
        <v>1.1260643125996918E-2</v>
      </c>
      <c r="G10" s="13">
        <f>SVY!H9</f>
        <v>6.8004440198491554E-3</v>
      </c>
      <c r="H10" s="13">
        <f>SVY!I9</f>
        <v>1.2171461329610909E-2</v>
      </c>
      <c r="I10" s="13">
        <f>SVY!J9</f>
        <v>3.0039345367525818E-3</v>
      </c>
      <c r="J10" s="13">
        <f>SVY!K9</f>
        <v>3.6300067549719095E-3</v>
      </c>
      <c r="K10" s="13">
        <f>SVY!L9</f>
        <v>3.3288205237097402E-3</v>
      </c>
      <c r="L10" s="13">
        <f>SVY!M9</f>
        <v>3.6528055816678427E-3</v>
      </c>
      <c r="M10" s="13">
        <f>SVY!N9</f>
        <v>9.968268458610853E-4</v>
      </c>
      <c r="N10" s="13">
        <f>SVY!O9</f>
        <v>1.4426538303842205E-3</v>
      </c>
      <c r="O10" s="15">
        <v>1</v>
      </c>
      <c r="P10" s="13">
        <v>1</v>
      </c>
      <c r="Q10" s="13"/>
      <c r="R10" s="13"/>
      <c r="S10" s="13"/>
    </row>
    <row r="11" spans="1:19" x14ac:dyDescent="0.35">
      <c r="A11" s="12" t="s">
        <v>21</v>
      </c>
      <c r="B11" s="13" t="s">
        <v>446</v>
      </c>
      <c r="C11" s="13">
        <f>SVY!D10</f>
        <v>0.50532882604228602</v>
      </c>
      <c r="D11" s="13">
        <f>SVY!E10</f>
        <v>0.37102160841183912</v>
      </c>
      <c r="E11" s="13">
        <f>SVY!F10</f>
        <v>4.0500806349569811E-2</v>
      </c>
      <c r="F11" s="13">
        <f>SVY!G10</f>
        <v>1.0825417164500787E-2</v>
      </c>
      <c r="G11" s="13">
        <f>SVY!H10</f>
        <v>1.5833766943004826E-2</v>
      </c>
      <c r="H11" s="13">
        <f>SVY!I10</f>
        <v>2.8339338061800504E-2</v>
      </c>
      <c r="I11" s="13">
        <f>SVY!J10</f>
        <v>6.9941902658348159E-3</v>
      </c>
      <c r="J11" s="13">
        <f>SVY!K10</f>
        <v>8.4519011982151972E-3</v>
      </c>
      <c r="K11" s="13">
        <f>SVY!L10</f>
        <v>4.4888378262129894E-3</v>
      </c>
      <c r="L11" s="13">
        <f>SVY!M10</f>
        <v>4.9257242167322964E-3</v>
      </c>
      <c r="M11" s="13">
        <f>SVY!N10</f>
        <v>1.3441980485325773E-3</v>
      </c>
      <c r="N11" s="13">
        <f>SVY!O10</f>
        <v>1.9453854714711002E-3</v>
      </c>
      <c r="O11" s="15">
        <v>1</v>
      </c>
      <c r="P11" s="13">
        <v>1</v>
      </c>
      <c r="Q11" s="13"/>
      <c r="R11" s="13"/>
      <c r="S11" s="13"/>
    </row>
    <row r="12" spans="1:19" x14ac:dyDescent="0.35">
      <c r="A12" s="12" t="s">
        <v>25</v>
      </c>
      <c r="B12" s="13" t="s">
        <v>454</v>
      </c>
      <c r="C12" s="13">
        <f>SVY!D11</f>
        <v>0.53530654500312347</v>
      </c>
      <c r="D12" s="13">
        <f>SVY!E11</f>
        <v>0.39303179451675224</v>
      </c>
      <c r="E12" s="13">
        <f>SVY!F11</f>
        <v>4.2903443460030444E-2</v>
      </c>
      <c r="F12" s="13">
        <f>SVY!G11</f>
        <v>1.1467615465224824E-2</v>
      </c>
      <c r="G12" s="13">
        <f>SVY!H11</f>
        <v>2.6795474767659228E-3</v>
      </c>
      <c r="H12" s="13">
        <f>SVY!I11</f>
        <v>4.7958645640077411E-3</v>
      </c>
      <c r="I12" s="13">
        <f>SVY!J11</f>
        <v>1.1836264198089722E-3</v>
      </c>
      <c r="J12" s="13">
        <f>SVY!K11</f>
        <v>1.4303147577625368E-3</v>
      </c>
      <c r="K12" s="13">
        <f>SVY!L11</f>
        <v>2.5444635980256254E-3</v>
      </c>
      <c r="L12" s="13">
        <f>SVY!M11</f>
        <v>2.7921093273183275E-3</v>
      </c>
      <c r="M12" s="13">
        <f>SVY!N11</f>
        <v>7.6194844533150196E-4</v>
      </c>
      <c r="N12" s="13">
        <f>SVY!O11</f>
        <v>1.1027269658485683E-3</v>
      </c>
      <c r="O12" s="15">
        <v>1</v>
      </c>
      <c r="P12" s="13">
        <v>1</v>
      </c>
      <c r="Q12" s="13"/>
      <c r="R12" s="13"/>
      <c r="S12" s="13"/>
    </row>
    <row r="13" spans="1:19" x14ac:dyDescent="0.35">
      <c r="A13" s="12" t="s">
        <v>29</v>
      </c>
      <c r="B13" s="13" t="s">
        <v>465</v>
      </c>
      <c r="C13" s="13">
        <f>SVY!D12</f>
        <v>0.46720128690519175</v>
      </c>
      <c r="D13" s="13">
        <f>SVY!E12</f>
        <v>0.37726804956028498</v>
      </c>
      <c r="E13" s="13">
        <f>SVY!F12</f>
        <v>2.6879792002394865E-2</v>
      </c>
      <c r="F13" s="13">
        <f>SVY!G12</f>
        <v>1.1946000214748152E-2</v>
      </c>
      <c r="G13" s="13">
        <f>SVY!H12</f>
        <v>2.5108999437826473E-2</v>
      </c>
      <c r="H13" s="13">
        <f>SVY!I12</f>
        <v>2.6689453633740663E-2</v>
      </c>
      <c r="I13" s="13">
        <f>SVY!J12</f>
        <v>3.7589337567898104E-2</v>
      </c>
      <c r="J13" s="13">
        <f>SVY!K12</f>
        <v>7.4107532781317034E-3</v>
      </c>
      <c r="K13" s="13">
        <f>SVY!L12</f>
        <v>7.185604698583193E-3</v>
      </c>
      <c r="L13" s="13">
        <f>SVY!M12</f>
        <v>8.0696645288420108E-3</v>
      </c>
      <c r="M13" s="13">
        <f>SVY!N12</f>
        <v>1.1504668828210577E-3</v>
      </c>
      <c r="N13" s="13">
        <f>SVY!O12</f>
        <v>3.5005912895371125E-3</v>
      </c>
      <c r="O13" s="15">
        <v>1</v>
      </c>
      <c r="P13" s="13">
        <v>1</v>
      </c>
      <c r="Q13" s="13"/>
      <c r="R13" s="13"/>
      <c r="S13" s="13"/>
    </row>
    <row r="14" spans="1:19" x14ac:dyDescent="0.35">
      <c r="A14" s="12" t="s">
        <v>33</v>
      </c>
      <c r="B14" s="13" t="s">
        <v>467</v>
      </c>
      <c r="C14" s="13">
        <f>SVY!D13</f>
        <v>0.50527702074014524</v>
      </c>
      <c r="D14" s="13">
        <f>SVY!E13</f>
        <v>0.40801444997078823</v>
      </c>
      <c r="E14" s="13">
        <f>SVY!F13</f>
        <v>2.9070427675942968E-2</v>
      </c>
      <c r="F14" s="13">
        <f>SVY!G13</f>
        <v>1.2919569289401299E-2</v>
      </c>
      <c r="G14" s="13">
        <f>SVY!H13</f>
        <v>5.590998029182578E-3</v>
      </c>
      <c r="H14" s="13">
        <f>SVY!I13</f>
        <v>5.9429163251086877E-3</v>
      </c>
      <c r="I14" s="13">
        <f>SVY!J13</f>
        <v>8.3699835503516697E-3</v>
      </c>
      <c r="J14" s="13">
        <f>SVY!K13</f>
        <v>1.6501456808499305E-3</v>
      </c>
      <c r="K14" s="13">
        <f>SVY!L13</f>
        <v>8.3617060934860939E-3</v>
      </c>
      <c r="L14" s="13">
        <f>SVY!M13</f>
        <v>9.3904641145248786E-3</v>
      </c>
      <c r="M14" s="13">
        <f>SVY!N13</f>
        <v>1.3387691569417351E-3</v>
      </c>
      <c r="N14" s="13">
        <f>SVY!O13</f>
        <v>4.0735493732765807E-3</v>
      </c>
      <c r="O14" s="15">
        <v>1</v>
      </c>
      <c r="P14" s="13">
        <v>1</v>
      </c>
      <c r="Q14" s="13"/>
      <c r="R14" s="13"/>
      <c r="S14" s="13"/>
    </row>
    <row r="15" spans="1:19" x14ac:dyDescent="0.35">
      <c r="A15" s="12" t="s">
        <v>37</v>
      </c>
      <c r="B15" s="13" t="s">
        <v>463</v>
      </c>
      <c r="C15" s="13">
        <f>SVY!D14</f>
        <v>0.49036260880995053</v>
      </c>
      <c r="D15" s="13">
        <f>SVY!E14</f>
        <v>0.39597096623700945</v>
      </c>
      <c r="E15" s="13">
        <f>SVY!F14</f>
        <v>2.8212347225914116E-2</v>
      </c>
      <c r="F15" s="13">
        <f>SVY!G14</f>
        <v>1.253821852450689E-2</v>
      </c>
      <c r="G15" s="13">
        <f>SVY!H14</f>
        <v>8.2632319147687445E-3</v>
      </c>
      <c r="H15" s="13">
        <f>SVY!I14</f>
        <v>8.7833505910961656E-3</v>
      </c>
      <c r="I15" s="13">
        <f>SVY!J14</f>
        <v>1.2370441706177312E-2</v>
      </c>
      <c r="J15" s="13">
        <f>SVY!K14</f>
        <v>2.4388376427330817E-3</v>
      </c>
      <c r="K15" s="13">
        <f>SVY!L14</f>
        <v>1.4821463745727901E-2</v>
      </c>
      <c r="L15" s="13">
        <f>SVY!M14</f>
        <v>1.6644979131401567E-2</v>
      </c>
      <c r="M15" s="13">
        <f>SVY!N14</f>
        <v>2.3730227182905024E-3</v>
      </c>
      <c r="N15" s="13">
        <f>SVY!O14</f>
        <v>7.2205317524237445E-3</v>
      </c>
      <c r="O15" s="15">
        <v>1</v>
      </c>
      <c r="P15" s="13">
        <v>1</v>
      </c>
      <c r="Q15" s="13"/>
      <c r="R15" s="13"/>
      <c r="S15" s="13"/>
    </row>
    <row r="16" spans="1:19" x14ac:dyDescent="0.35">
      <c r="A16" s="12" t="s">
        <v>41</v>
      </c>
      <c r="B16" s="13" t="s">
        <v>469</v>
      </c>
      <c r="C16" s="13">
        <f>SVY!D15</f>
        <v>0.49775753677167611</v>
      </c>
      <c r="D16" s="13">
        <f>SVY!E15</f>
        <v>0.40194241821489146</v>
      </c>
      <c r="E16" s="13">
        <f>SVY!F15</f>
        <v>2.8637804370522137E-2</v>
      </c>
      <c r="F16" s="13">
        <f>SVY!G15</f>
        <v>1.2727301503288895E-2</v>
      </c>
      <c r="G16" s="13">
        <f>SVY!H15</f>
        <v>7.0264783228933241E-3</v>
      </c>
      <c r="H16" s="13">
        <f>SVY!I15</f>
        <v>7.4687511094061639E-3</v>
      </c>
      <c r="I16" s="13">
        <f>SVY!J15</f>
        <v>1.0518964176440276E-2</v>
      </c>
      <c r="J16" s="13">
        <f>SVY!K15</f>
        <v>2.0738180903639605E-3</v>
      </c>
      <c r="K16" s="13">
        <f>SVY!L15</f>
        <v>1.149581371069546E-2</v>
      </c>
      <c r="L16" s="13">
        <f>SVY!M15</f>
        <v>1.2910167483839743E-2</v>
      </c>
      <c r="M16" s="13">
        <f>SVY!N15</f>
        <v>1.8405622797261732E-3</v>
      </c>
      <c r="N16" s="13">
        <f>SVY!O15</f>
        <v>5.6003839662563826E-3</v>
      </c>
      <c r="O16" s="15">
        <v>1</v>
      </c>
      <c r="P16" s="13">
        <v>1</v>
      </c>
      <c r="Q16" s="13"/>
      <c r="R16" s="13"/>
      <c r="S16" s="13"/>
    </row>
    <row r="17" spans="1:19" x14ac:dyDescent="0.35">
      <c r="A17" s="12" t="s">
        <v>45</v>
      </c>
      <c r="B17" s="13" t="s">
        <v>515</v>
      </c>
      <c r="C17" s="13">
        <f>SVY!D16</f>
        <v>0.47919010688058844</v>
      </c>
      <c r="D17" s="13">
        <f>SVY!E16</f>
        <v>0.35880480360788453</v>
      </c>
      <c r="E17" s="13">
        <f>SVY!F16</f>
        <v>2.9643077514068188E-2</v>
      </c>
      <c r="F17" s="13">
        <f>SVY!G16</f>
        <v>1.1400721737856874E-2</v>
      </c>
      <c r="G17" s="13">
        <f>SVY!H16</f>
        <v>1.0822824850164874E-2</v>
      </c>
      <c r="H17" s="13">
        <f>SVY!I16</f>
        <v>1.6164162233505953E-2</v>
      </c>
      <c r="I17" s="13">
        <f>SVY!J16</f>
        <v>5.4678962816008623E-3</v>
      </c>
      <c r="J17" s="13">
        <f>SVY!K16</f>
        <v>3.6284211997418907E-3</v>
      </c>
      <c r="K17" s="13">
        <f>SVY!L16</f>
        <v>2.590644166501951E-2</v>
      </c>
      <c r="L17" s="13">
        <f>SVY!M16</f>
        <v>2.3818810686723153E-2</v>
      </c>
      <c r="M17" s="13">
        <f>SVY!N16</f>
        <v>6.3988321161883273E-3</v>
      </c>
      <c r="N17" s="13">
        <f>SVY!O16</f>
        <v>2.8753901226657389E-2</v>
      </c>
      <c r="O17" s="15">
        <v>1</v>
      </c>
      <c r="P17" s="13">
        <v>1</v>
      </c>
      <c r="Q17" s="13"/>
      <c r="R17" s="13"/>
      <c r="S17" s="13"/>
    </row>
    <row r="18" spans="1:19" x14ac:dyDescent="0.35">
      <c r="A18" s="12" t="s">
        <v>49</v>
      </c>
      <c r="B18" s="13" t="s">
        <v>516</v>
      </c>
      <c r="C18" s="13">
        <f>SVY!D17</f>
        <v>0.47919010688058844</v>
      </c>
      <c r="D18" s="13">
        <f>SVY!E17</f>
        <v>0.35880480360788453</v>
      </c>
      <c r="E18" s="13">
        <f>SVY!F17</f>
        <v>2.9643077514068188E-2</v>
      </c>
      <c r="F18" s="13">
        <f>SVY!G17</f>
        <v>1.1400721737856874E-2</v>
      </c>
      <c r="G18" s="13">
        <f>SVY!H17</f>
        <v>1.0822824850164874E-2</v>
      </c>
      <c r="H18" s="13">
        <f>SVY!I17</f>
        <v>1.6164162233505953E-2</v>
      </c>
      <c r="I18" s="13">
        <f>SVY!J17</f>
        <v>5.4678962816008623E-3</v>
      </c>
      <c r="J18" s="13">
        <f>SVY!K17</f>
        <v>3.6284211997418907E-3</v>
      </c>
      <c r="K18" s="13">
        <f>SVY!L17</f>
        <v>2.590644166501951E-2</v>
      </c>
      <c r="L18" s="13">
        <f>SVY!M17</f>
        <v>2.3818810686723153E-2</v>
      </c>
      <c r="M18" s="13">
        <f>SVY!N17</f>
        <v>6.3988321161883273E-3</v>
      </c>
      <c r="N18" s="13">
        <f>SVY!O17</f>
        <v>2.8753901226657389E-2</v>
      </c>
      <c r="O18" s="15">
        <v>1</v>
      </c>
      <c r="P18" s="13">
        <v>1</v>
      </c>
      <c r="Q18" s="13"/>
      <c r="R18" s="13"/>
      <c r="S18" s="13"/>
    </row>
    <row r="19" spans="1:19" x14ac:dyDescent="0.35">
      <c r="A19" s="12" t="s">
        <v>53</v>
      </c>
      <c r="B19" s="13" t="s">
        <v>472</v>
      </c>
      <c r="C19" s="13">
        <f>SVY!D18</f>
        <v>0.47666172033676285</v>
      </c>
      <c r="D19" s="13">
        <f>SVY!E18</f>
        <v>0.356911615029331</v>
      </c>
      <c r="E19" s="13">
        <f>SVY!F18</f>
        <v>2.9486669530622851E-2</v>
      </c>
      <c r="F19" s="13">
        <f>SVY!G18</f>
        <v>1.1340567258417507E-2</v>
      </c>
      <c r="G19" s="13">
        <f>SVY!H18</f>
        <v>1.9748059120317782E-2</v>
      </c>
      <c r="H19" s="13">
        <f>SVY!I18</f>
        <v>2.9494225013982429E-2</v>
      </c>
      <c r="I19" s="13">
        <f>SVY!J18</f>
        <v>9.9770938297291788E-3</v>
      </c>
      <c r="J19" s="13">
        <f>SVY!K18</f>
        <v>6.6206630300245182E-3</v>
      </c>
      <c r="K19" s="13">
        <f>SVY!L18</f>
        <v>1.8239747994945651E-2</v>
      </c>
      <c r="L19" s="13">
        <f>SVY!M18</f>
        <v>1.6769925800028684E-2</v>
      </c>
      <c r="M19" s="13">
        <f>SVY!N18</f>
        <v>4.5051762326291673E-3</v>
      </c>
      <c r="N19" s="13">
        <f>SVY!O18</f>
        <v>2.024453682320846E-2</v>
      </c>
      <c r="O19" s="15">
        <v>1</v>
      </c>
      <c r="P19" s="13">
        <v>1</v>
      </c>
      <c r="Q19" s="13"/>
      <c r="R19" s="13"/>
      <c r="S19" s="13"/>
    </row>
    <row r="20" spans="1:19" x14ac:dyDescent="0.35">
      <c r="A20" s="12" t="s">
        <v>57</v>
      </c>
      <c r="B20" s="13" t="s">
        <v>517</v>
      </c>
      <c r="C20" s="13">
        <f>SVY!D19</f>
        <v>0.48729293271020446</v>
      </c>
      <c r="D20" s="13">
        <f>SVY!E19</f>
        <v>0.42211104917565001</v>
      </c>
      <c r="E20" s="13">
        <f>SVY!F19</f>
        <v>3.0421315471056486E-2</v>
      </c>
      <c r="F20" s="13">
        <f>SVY!G19</f>
        <v>1.3642182596143802E-2</v>
      </c>
      <c r="G20" s="13">
        <f>SVY!H19</f>
        <v>6.1847913115946071E-3</v>
      </c>
      <c r="H20" s="13">
        <f>SVY!I19</f>
        <v>1.3732953902464455E-2</v>
      </c>
      <c r="I20" s="13">
        <f>SVY!J19</f>
        <v>1.7763008825698744E-3</v>
      </c>
      <c r="J20" s="13">
        <f>SVY!K19</f>
        <v>1.3790653960485308E-3</v>
      </c>
      <c r="K20" s="13">
        <f>SVY!L19</f>
        <v>8.2535001421561224E-3</v>
      </c>
      <c r="L20" s="13">
        <f>SVY!M19</f>
        <v>1.0362928275162225E-2</v>
      </c>
      <c r="M20" s="13">
        <f>SVY!N19</f>
        <v>9.1788714009110272E-4</v>
      </c>
      <c r="N20" s="13">
        <f>SVY!O19</f>
        <v>3.9250929968581922E-3</v>
      </c>
      <c r="O20" s="15">
        <v>1</v>
      </c>
      <c r="P20" s="13">
        <v>1</v>
      </c>
      <c r="Q20" s="13"/>
      <c r="R20" s="13"/>
      <c r="S20" s="13"/>
    </row>
    <row r="21" spans="1:19" x14ac:dyDescent="0.35">
      <c r="A21" s="12" t="s">
        <v>61</v>
      </c>
      <c r="B21" s="13" t="s">
        <v>518</v>
      </c>
      <c r="C21" s="13">
        <f>SVY!D20</f>
        <v>0.44033074663233163</v>
      </c>
      <c r="D21" s="13">
        <f>SVY!E20</f>
        <v>0.38143067746030235</v>
      </c>
      <c r="E21" s="13">
        <f>SVY!F20</f>
        <v>2.7489503039590232E-2</v>
      </c>
      <c r="F21" s="13">
        <f>SVY!G20</f>
        <v>1.2327436014400473E-2</v>
      </c>
      <c r="G21" s="13">
        <f>SVY!H20</f>
        <v>1.5111945241176677E-2</v>
      </c>
      <c r="H21" s="13">
        <f>SVY!I20</f>
        <v>3.3555157630717064E-2</v>
      </c>
      <c r="I21" s="13">
        <f>SVY!J20</f>
        <v>4.3402210869955436E-3</v>
      </c>
      <c r="J21" s="13">
        <f>SVY!K20</f>
        <v>3.3696142196451588E-3</v>
      </c>
      <c r="K21" s="13">
        <f>SVY!L20</f>
        <v>2.8865004444145321E-2</v>
      </c>
      <c r="L21" s="13">
        <f>SVY!M20</f>
        <v>3.6242317267201743E-2</v>
      </c>
      <c r="M21" s="13">
        <f>SVY!N20</f>
        <v>3.2101309652406555E-3</v>
      </c>
      <c r="N21" s="13">
        <f>SVY!O20</f>
        <v>1.3727245998253267E-2</v>
      </c>
      <c r="O21" s="15">
        <v>1</v>
      </c>
      <c r="P21" s="13">
        <v>1</v>
      </c>
      <c r="Q21" s="13"/>
      <c r="R21" s="13"/>
      <c r="S21" s="13"/>
    </row>
    <row r="22" spans="1:19" x14ac:dyDescent="0.35">
      <c r="A22" s="12" t="s">
        <v>65</v>
      </c>
      <c r="B22" s="13" t="s">
        <v>519</v>
      </c>
      <c r="C22" s="13">
        <f>SVY!D21</f>
        <v>0.42768851449743706</v>
      </c>
      <c r="D22" s="13">
        <f>SVY!E21</f>
        <v>0.37047951130916906</v>
      </c>
      <c r="E22" s="13">
        <f>SVY!F21</f>
        <v>2.6700258406192941E-2</v>
      </c>
      <c r="F22" s="13">
        <f>SVY!G21</f>
        <v>1.1973505908646946E-2</v>
      </c>
      <c r="G22" s="13">
        <f>SVY!H21</f>
        <v>1.0718163005374363E-2</v>
      </c>
      <c r="H22" s="13">
        <f>SVY!I21</f>
        <v>2.379903072816144E-2</v>
      </c>
      <c r="I22" s="13">
        <f>SVY!J21</f>
        <v>3.0783063561550575E-3</v>
      </c>
      <c r="J22" s="13">
        <f>SVY!K21</f>
        <v>2.3899024179214134E-3</v>
      </c>
      <c r="K22" s="13">
        <f>SVY!L21</f>
        <v>4.3334714973489778E-2</v>
      </c>
      <c r="L22" s="13">
        <f>SVY!M21</f>
        <v>5.4410193900785234E-2</v>
      </c>
      <c r="M22" s="13">
        <f>SVY!N21</f>
        <v>4.8193344530904122E-3</v>
      </c>
      <c r="N22" s="13">
        <f>SVY!O21</f>
        <v>2.0608564043576305E-2</v>
      </c>
      <c r="O22" s="15">
        <v>1</v>
      </c>
      <c r="P22" s="13">
        <v>1</v>
      </c>
      <c r="Q22" s="13"/>
      <c r="R22" s="13"/>
      <c r="S22" s="13"/>
    </row>
    <row r="23" spans="1:19" x14ac:dyDescent="0.35">
      <c r="A23" s="12" t="s">
        <v>69</v>
      </c>
      <c r="B23" s="13" t="s">
        <v>480</v>
      </c>
      <c r="C23" s="13">
        <f>SVY!D22</f>
        <v>0.45656547357525518</v>
      </c>
      <c r="D23" s="13">
        <f>SVY!E22</f>
        <v>0.39549379465932211</v>
      </c>
      <c r="E23" s="13">
        <f>SVY!F22</f>
        <v>2.8503024305269766E-2</v>
      </c>
      <c r="F23" s="13">
        <f>SVY!G22</f>
        <v>1.2781941086169311E-2</v>
      </c>
      <c r="G23" s="13">
        <f>SVY!H22</f>
        <v>9.9646378833817759E-3</v>
      </c>
      <c r="H23" s="13">
        <f>SVY!I22</f>
        <v>2.2125873907934784E-2</v>
      </c>
      <c r="I23" s="13">
        <f>SVY!J22</f>
        <v>2.8618904300873912E-3</v>
      </c>
      <c r="J23" s="13">
        <f>SVY!K22</f>
        <v>2.2218837462412368E-3</v>
      </c>
      <c r="K23" s="13">
        <f>SVY!L22</f>
        <v>2.4445007088919602E-2</v>
      </c>
      <c r="L23" s="13">
        <f>SVY!M22</f>
        <v>3.0692657755516661E-2</v>
      </c>
      <c r="M23" s="13">
        <f>SVY!N22</f>
        <v>2.7185748179430654E-3</v>
      </c>
      <c r="N23" s="13">
        <f>SVY!O22</f>
        <v>1.1625240743959295E-2</v>
      </c>
      <c r="O23" s="15">
        <v>1</v>
      </c>
      <c r="P23" s="13">
        <v>1</v>
      </c>
      <c r="Q23" s="13"/>
      <c r="R23" s="13"/>
      <c r="S23" s="13"/>
    </row>
    <row r="24" spans="1:19" x14ac:dyDescent="0.35">
      <c r="A24" s="12" t="s">
        <v>73</v>
      </c>
      <c r="B24" s="13" t="s">
        <v>459</v>
      </c>
      <c r="C24" s="13">
        <f>SVY!D23</f>
        <v>0.5087628487384509</v>
      </c>
      <c r="D24" s="13">
        <f>SVY!E23</f>
        <v>0.38630888473854597</v>
      </c>
      <c r="E24" s="13">
        <f>SVY!F23</f>
        <v>3.1382561167211734E-2</v>
      </c>
      <c r="F24" s="13">
        <f>SVY!G23</f>
        <v>1.3944388581266454E-2</v>
      </c>
      <c r="G24" s="13">
        <f>SVY!H23</f>
        <v>1.0793710408811191E-2</v>
      </c>
      <c r="H24" s="13">
        <f>SVY!I23</f>
        <v>1.3101393545598314E-2</v>
      </c>
      <c r="I24" s="13">
        <f>SVY!J23</f>
        <v>1.7378196911987977E-3</v>
      </c>
      <c r="J24" s="13">
        <f>SVY!K23</f>
        <v>9.9966361712359596E-4</v>
      </c>
      <c r="K24" s="13">
        <f>SVY!L23</f>
        <v>1.3628966698360008E-2</v>
      </c>
      <c r="L24" s="13">
        <f>SVY!M23</f>
        <v>1.243403184217208E-2</v>
      </c>
      <c r="M24" s="13">
        <f>SVY!N23</f>
        <v>1.3635677215222289E-3</v>
      </c>
      <c r="N24" s="13">
        <f>SVY!O23</f>
        <v>5.5421632497387697E-3</v>
      </c>
      <c r="O24" s="15">
        <v>1</v>
      </c>
      <c r="P24" s="13">
        <v>1</v>
      </c>
      <c r="Q24" s="13"/>
      <c r="R24" s="13"/>
      <c r="S24" s="13"/>
    </row>
    <row r="25" spans="1:19" x14ac:dyDescent="0.35">
      <c r="A25" s="12" t="s">
        <v>77</v>
      </c>
      <c r="B25" s="13" t="s">
        <v>520</v>
      </c>
      <c r="C25" s="13">
        <f>SVY!D24</f>
        <v>0.49019411572168603</v>
      </c>
      <c r="D25" s="13">
        <f>SVY!E24</f>
        <v>0.37220945401065109</v>
      </c>
      <c r="E25" s="13">
        <f>SVY!F24</f>
        <v>3.0237166213273534E-2</v>
      </c>
      <c r="F25" s="13">
        <f>SVY!G24</f>
        <v>1.3435448847774487E-2</v>
      </c>
      <c r="G25" s="13">
        <f>SVY!H24</f>
        <v>1.1769890404755895E-2</v>
      </c>
      <c r="H25" s="13">
        <f>SVY!I24</f>
        <v>1.4286279725958676E-2</v>
      </c>
      <c r="I25" s="13">
        <f>SVY!J24</f>
        <v>1.8949875931393793E-3</v>
      </c>
      <c r="J25" s="13">
        <f>SVY!K24</f>
        <v>1.0900729007479897E-3</v>
      </c>
      <c r="K25" s="13">
        <f>SVY!L24</f>
        <v>2.6821858096032169E-2</v>
      </c>
      <c r="L25" s="13">
        <f>SVY!M24</f>
        <v>2.4470221772015625E-2</v>
      </c>
      <c r="M25" s="13">
        <f>SVY!N24</f>
        <v>2.6835064418640089E-3</v>
      </c>
      <c r="N25" s="13">
        <f>SVY!O24</f>
        <v>1.0906998272101228E-2</v>
      </c>
      <c r="O25" s="15">
        <v>1</v>
      </c>
      <c r="P25" s="13">
        <v>1</v>
      </c>
      <c r="Q25" s="13"/>
      <c r="R25" s="13"/>
      <c r="S25" s="13"/>
    </row>
    <row r="26" spans="1:19" x14ac:dyDescent="0.35">
      <c r="A26" s="12" t="s">
        <v>81</v>
      </c>
      <c r="B26" s="13" t="s">
        <v>461</v>
      </c>
      <c r="C26" s="13">
        <f>SVY!D25</f>
        <v>0.53553325843680188</v>
      </c>
      <c r="D26" s="13">
        <f>SVY!E25</f>
        <v>0.40663593326460767</v>
      </c>
      <c r="E26" s="13">
        <f>SVY!F25</f>
        <v>3.3033868887327351E-2</v>
      </c>
      <c r="F26" s="13">
        <f>SVY!G25</f>
        <v>1.4678123358165261E-2</v>
      </c>
      <c r="G26" s="13">
        <f>SVY!H25</f>
        <v>1.8401405963017377E-3</v>
      </c>
      <c r="H26" s="13">
        <f>SVY!I25</f>
        <v>2.2335605846624065E-3</v>
      </c>
      <c r="I26" s="13">
        <f>SVY!J25</f>
        <v>2.962681452169573E-4</v>
      </c>
      <c r="J26" s="13">
        <f>SVY!K25</f>
        <v>1.7042532501273299E-4</v>
      </c>
      <c r="K26" s="13">
        <f>SVY!L25</f>
        <v>2.3060676174606553E-3</v>
      </c>
      <c r="L26" s="13">
        <f>SVY!M25</f>
        <v>2.1038805670541435E-3</v>
      </c>
      <c r="M26" s="13">
        <f>SVY!N25</f>
        <v>2.3072030597854495E-4</v>
      </c>
      <c r="N26" s="13">
        <f>SVY!O25</f>
        <v>9.3775291141044411E-4</v>
      </c>
      <c r="O26" s="15">
        <v>1</v>
      </c>
      <c r="P26" s="13">
        <v>1</v>
      </c>
      <c r="Q26" s="13"/>
      <c r="R26" s="13"/>
      <c r="S26" s="13"/>
    </row>
    <row r="27" spans="1:19" x14ac:dyDescent="0.35">
      <c r="A27" s="12" t="s">
        <v>85</v>
      </c>
      <c r="B27" s="13" t="s">
        <v>482</v>
      </c>
      <c r="C27" s="13">
        <f>SVY!D26</f>
        <v>0.5014451303630858</v>
      </c>
      <c r="D27" s="13">
        <f>SVY!E26</f>
        <v>0.45886274140946598</v>
      </c>
      <c r="E27" s="13">
        <f>SVY!F26</f>
        <v>2.2078290595401246E-2</v>
      </c>
      <c r="F27" s="13">
        <f>SVY!G26</f>
        <v>3.7005319976626165E-3</v>
      </c>
      <c r="G27" s="13">
        <f>SVY!H26</f>
        <v>2.5406411903913686E-3</v>
      </c>
      <c r="H27" s="13">
        <f>SVY!I26</f>
        <v>5.3065677710692934E-3</v>
      </c>
      <c r="I27" s="13">
        <f>SVY!J26</f>
        <v>1.0540726770143815E-4</v>
      </c>
      <c r="J27" s="13">
        <f>SVY!K26</f>
        <v>3.9235304100807564E-4</v>
      </c>
      <c r="K27" s="13">
        <f>SVY!L26</f>
        <v>5.4567393020174037E-3</v>
      </c>
      <c r="L27" s="13">
        <f>SVY!M26</f>
        <v>1.1159706219687354E-4</v>
      </c>
      <c r="M27" s="13">
        <f>SVY!N26</f>
        <v>0</v>
      </c>
      <c r="N27" s="13">
        <f>SVY!O26</f>
        <v>0</v>
      </c>
      <c r="O27" s="15">
        <v>1</v>
      </c>
      <c r="P27" s="13">
        <v>1</v>
      </c>
      <c r="Q27" s="13"/>
      <c r="R27" s="13"/>
      <c r="S27" s="13"/>
    </row>
    <row r="28" spans="1:19" x14ac:dyDescent="0.35">
      <c r="A28" s="12" t="s">
        <v>89</v>
      </c>
      <c r="B28" s="13" t="s">
        <v>481</v>
      </c>
      <c r="C28" s="13">
        <f>SVY!D27</f>
        <v>0.50636115574323282</v>
      </c>
      <c r="D28" s="13">
        <f>SVY!E27</f>
        <v>0.46336130116442736</v>
      </c>
      <c r="E28" s="13">
        <f>SVY!F27</f>
        <v>2.2294739874385495E-2</v>
      </c>
      <c r="F28" s="13">
        <f>SVY!G27</f>
        <v>3.7368109604424184E-3</v>
      </c>
      <c r="G28" s="13">
        <f>SVY!H27</f>
        <v>1.2927001255808883E-3</v>
      </c>
      <c r="H28" s="13">
        <f>SVY!I27</f>
        <v>2.7000273985985659E-3</v>
      </c>
      <c r="I28" s="13">
        <f>SVY!J27</f>
        <v>5.3632125901964721E-5</v>
      </c>
      <c r="J28" s="13">
        <f>SVY!K27</f>
        <v>1.9963260743050963E-4</v>
      </c>
      <c r="K28" s="13">
        <f>SVY!L27</f>
        <v>0</v>
      </c>
      <c r="L28" s="13">
        <f>SVY!M27</f>
        <v>0</v>
      </c>
      <c r="M28" s="13">
        <f>SVY!N27</f>
        <v>0</v>
      </c>
      <c r="N28" s="13">
        <f>SVY!O27</f>
        <v>0</v>
      </c>
      <c r="O28" s="15">
        <v>1</v>
      </c>
      <c r="P28" s="13">
        <v>1</v>
      </c>
      <c r="Q28" s="13"/>
      <c r="R28" s="13"/>
      <c r="S28" s="13"/>
    </row>
    <row r="29" spans="1:19" x14ac:dyDescent="0.35">
      <c r="A29" s="12" t="s">
        <v>91</v>
      </c>
      <c r="B29" s="13" t="s">
        <v>476</v>
      </c>
      <c r="C29" s="13">
        <f>SVY!D28</f>
        <v>0.47435483002409928</v>
      </c>
      <c r="D29" s="13">
        <f>SVY!E28</f>
        <v>0.41292124319892493</v>
      </c>
      <c r="E29" s="13">
        <f>SVY!F28</f>
        <v>1.5001696120432222E-2</v>
      </c>
      <c r="F29" s="13">
        <f>SVY!G28</f>
        <v>1.3018906294144587E-2</v>
      </c>
      <c r="G29" s="13">
        <f>SVY!H28</f>
        <v>1.1577802717855457E-2</v>
      </c>
      <c r="H29" s="13">
        <f>SVY!I28</f>
        <v>4.3419007401076038E-3</v>
      </c>
      <c r="I29" s="13">
        <f>SVY!J28</f>
        <v>1.9413394943861911E-3</v>
      </c>
      <c r="J29" s="13">
        <f>SVY!K28</f>
        <v>5.8423151148165918E-3</v>
      </c>
      <c r="K29" s="13">
        <f>SVY!L28</f>
        <v>9.0356316415167656E-3</v>
      </c>
      <c r="L29" s="13">
        <f>SVY!M28</f>
        <v>5.0113198466359546E-2</v>
      </c>
      <c r="M29" s="13">
        <f>SVY!N28</f>
        <v>9.1472102615688551E-5</v>
      </c>
      <c r="N29" s="13">
        <f>SVY!O28</f>
        <v>1.7596640847409521E-3</v>
      </c>
      <c r="O29" s="15">
        <v>1</v>
      </c>
      <c r="P29" s="13">
        <v>1</v>
      </c>
      <c r="Q29" s="13"/>
      <c r="R29" s="13"/>
      <c r="S29" s="13"/>
    </row>
    <row r="30" spans="1:19" x14ac:dyDescent="0.35">
      <c r="A30" s="12" t="s">
        <v>93</v>
      </c>
      <c r="B30" s="13" t="s">
        <v>474</v>
      </c>
      <c r="C30" s="13">
        <f>SVY!D29</f>
        <v>0.47435483002409928</v>
      </c>
      <c r="D30" s="13">
        <f>SVY!E29</f>
        <v>0.41292124319892493</v>
      </c>
      <c r="E30" s="13">
        <f>SVY!F29</f>
        <v>1.5001696120432222E-2</v>
      </c>
      <c r="F30" s="13">
        <f>SVY!G29</f>
        <v>1.3018906294144587E-2</v>
      </c>
      <c r="G30" s="13">
        <f>SVY!H29</f>
        <v>1.1577802717855457E-2</v>
      </c>
      <c r="H30" s="13">
        <f>SVY!I29</f>
        <v>4.3419007401076038E-3</v>
      </c>
      <c r="I30" s="13">
        <f>SVY!J29</f>
        <v>1.9413394943861911E-3</v>
      </c>
      <c r="J30" s="13">
        <f>SVY!K29</f>
        <v>5.8423151148165918E-3</v>
      </c>
      <c r="K30" s="13">
        <f>SVY!L29</f>
        <v>9.0356316415167656E-3</v>
      </c>
      <c r="L30" s="13">
        <f>SVY!M29</f>
        <v>5.0113198466359546E-2</v>
      </c>
      <c r="M30" s="13">
        <f>SVY!N29</f>
        <v>9.1472102615688551E-5</v>
      </c>
      <c r="N30" s="13">
        <f>SVY!O29</f>
        <v>1.7596640847409521E-3</v>
      </c>
      <c r="O30" s="15">
        <v>1</v>
      </c>
      <c r="P30" s="13">
        <v>1</v>
      </c>
      <c r="Q30" s="13"/>
      <c r="R30" s="13"/>
      <c r="S30" s="13"/>
    </row>
    <row r="31" spans="1:19" x14ac:dyDescent="0.35">
      <c r="A31" s="12" t="s">
        <v>122</v>
      </c>
      <c r="B31" s="13" t="s">
        <v>521</v>
      </c>
      <c r="C31" s="13">
        <f>SVY!D30</f>
        <v>0.4653304827845709</v>
      </c>
      <c r="D31" s="13">
        <f>SVY!E30</f>
        <v>0.40506563713075111</v>
      </c>
      <c r="E31" s="13">
        <f>SVY!F30</f>
        <v>1.4716296865689125E-2</v>
      </c>
      <c r="F31" s="13">
        <f>SVY!G30</f>
        <v>1.2771228556634729E-2</v>
      </c>
      <c r="G31" s="13">
        <f>SVY!H30</f>
        <v>4.6716589782738599E-2</v>
      </c>
      <c r="H31" s="13">
        <f>SVY!I30</f>
        <v>1.751962792043045E-2</v>
      </c>
      <c r="I31" s="13">
        <f>SVY!J30</f>
        <v>7.8333309867511525E-3</v>
      </c>
      <c r="J31" s="13">
        <f>SVY!K30</f>
        <v>2.3573820115232982E-2</v>
      </c>
      <c r="K31" s="13">
        <f>SVY!L30</f>
        <v>9.5881226463867314E-4</v>
      </c>
      <c r="L31" s="13">
        <f>SVY!M30</f>
        <v>5.3177410518864092E-3</v>
      </c>
      <c r="M31" s="13">
        <f>SVY!N30</f>
        <v>9.706523831408307E-6</v>
      </c>
      <c r="N31" s="13">
        <f>SVY!O30</f>
        <v>1.8672601684441742E-4</v>
      </c>
      <c r="O31" s="15">
        <v>1</v>
      </c>
      <c r="P31" s="13">
        <v>1</v>
      </c>
      <c r="Q31" s="13"/>
      <c r="R31" s="13"/>
      <c r="S31" s="13"/>
    </row>
    <row r="32" spans="1:19" x14ac:dyDescent="0.35">
      <c r="A32" s="12" t="s">
        <v>124</v>
      </c>
      <c r="B32" s="13" t="s">
        <v>483</v>
      </c>
      <c r="C32" s="13">
        <f>SVY!D31</f>
        <v>0.47617211830244055</v>
      </c>
      <c r="D32" s="13">
        <f>SVY!E31</f>
        <v>0.41450317488307237</v>
      </c>
      <c r="E32" s="13">
        <f>SVY!F31</f>
        <v>1.5059168722774048E-2</v>
      </c>
      <c r="F32" s="13">
        <f>SVY!G31</f>
        <v>1.3068782682678399E-2</v>
      </c>
      <c r="G32" s="13">
        <f>SVY!H31</f>
        <v>3.2551894346530802E-2</v>
      </c>
      <c r="H32" s="13">
        <f>SVY!I31</f>
        <v>1.2207592200300189E-2</v>
      </c>
      <c r="I32" s="13">
        <f>SVY!J31</f>
        <v>5.4582272346502926E-3</v>
      </c>
      <c r="J32" s="13">
        <f>SVY!K31</f>
        <v>1.6426124109314259E-2</v>
      </c>
      <c r="K32" s="13">
        <f>SVY!L31</f>
        <v>2.1556536829506509E-3</v>
      </c>
      <c r="L32" s="13">
        <f>SVY!M31</f>
        <v>1.1955633554392107E-2</v>
      </c>
      <c r="M32" s="13">
        <f>SVY!N31</f>
        <v>2.1822732788789177E-5</v>
      </c>
      <c r="N32" s="13">
        <f>SVY!O31</f>
        <v>4.1980754810751349E-4</v>
      </c>
      <c r="O32" s="15">
        <v>1</v>
      </c>
      <c r="P32" s="13">
        <v>1</v>
      </c>
      <c r="Q32" s="13"/>
      <c r="R32" s="13"/>
      <c r="S32" s="13"/>
    </row>
    <row r="33" spans="1:19" x14ac:dyDescent="0.35">
      <c r="A33" s="12" t="s">
        <v>126</v>
      </c>
      <c r="B33" s="13" t="s">
        <v>441</v>
      </c>
      <c r="C33" s="13">
        <f>SVY!D32</f>
        <v>0.44064905368687585</v>
      </c>
      <c r="D33" s="13">
        <f>SVY!E32</f>
        <v>0.29085561071656757</v>
      </c>
      <c r="E33" s="13">
        <f>SVY!F32</f>
        <v>2.7823024330345173E-2</v>
      </c>
      <c r="F33" s="13">
        <f>SVY!G32</f>
        <v>1.5604799041342625E-2</v>
      </c>
      <c r="G33" s="13">
        <f>SVY!H32</f>
        <v>1.7860947156772455E-2</v>
      </c>
      <c r="H33" s="13">
        <f>SVY!I32</f>
        <v>2.5417589360508943E-2</v>
      </c>
      <c r="I33" s="13">
        <f>SVY!J32</f>
        <v>2.2653569302983165E-2</v>
      </c>
      <c r="J33" s="13">
        <f>SVY!K32</f>
        <v>1.5675611546229259E-2</v>
      </c>
      <c r="K33" s="13">
        <f>SVY!L32</f>
        <v>6.8493240692999002E-2</v>
      </c>
      <c r="L33" s="13">
        <f>SVY!M32</f>
        <v>2.3932959028527892E-2</v>
      </c>
      <c r="M33" s="13">
        <f>SVY!N32</f>
        <v>2.1546982223798066E-2</v>
      </c>
      <c r="N33" s="13">
        <f>SVY!O32</f>
        <v>2.9486612913050072E-2</v>
      </c>
      <c r="O33" s="15"/>
      <c r="P33" s="13"/>
      <c r="Q33" s="13">
        <v>1</v>
      </c>
      <c r="R33" s="13"/>
      <c r="S33" s="13"/>
    </row>
    <row r="34" spans="1:19" x14ac:dyDescent="0.35">
      <c r="A34" s="12" t="s">
        <v>128</v>
      </c>
      <c r="B34" s="13" t="s">
        <v>455</v>
      </c>
      <c r="C34" s="13">
        <f>SVY!D33</f>
        <v>0.47916601172289786</v>
      </c>
      <c r="D34" s="13">
        <f>SVY!E33</f>
        <v>0.34824835897143525</v>
      </c>
      <c r="E34" s="13">
        <f>SVY!F33</f>
        <v>2.9219210438447503E-2</v>
      </c>
      <c r="F34" s="13">
        <f>SVY!G33</f>
        <v>1.3476399328822955E-2</v>
      </c>
      <c r="G34" s="13">
        <f>SVY!H33</f>
        <v>1.8838164694877955E-2</v>
      </c>
      <c r="H34" s="13">
        <f>SVY!I33</f>
        <v>2.518802142301596E-2</v>
      </c>
      <c r="I34" s="13">
        <f>SVY!J33</f>
        <v>4.7544790277420836E-3</v>
      </c>
      <c r="J34" s="13">
        <f>SVY!K33</f>
        <v>3.855228102335519E-3</v>
      </c>
      <c r="K34" s="13">
        <f>SVY!L33</f>
        <v>1.9568563806111071E-2</v>
      </c>
      <c r="L34" s="13">
        <f>SVY!M33</f>
        <v>3.283098615249979E-2</v>
      </c>
      <c r="M34" s="13">
        <f>SVY!N33</f>
        <v>3.1900614749010934E-3</v>
      </c>
      <c r="N34" s="13">
        <f>SVY!O33</f>
        <v>2.1664514856912984E-2</v>
      </c>
      <c r="O34" s="15"/>
      <c r="P34" s="13"/>
      <c r="Q34" s="13">
        <v>1</v>
      </c>
      <c r="R34" s="13"/>
      <c r="S34" s="13"/>
    </row>
    <row r="35" spans="1:19" x14ac:dyDescent="0.35">
      <c r="A35" s="12" t="s">
        <v>130</v>
      </c>
      <c r="B35" s="13" t="s">
        <v>447</v>
      </c>
      <c r="C35" s="13">
        <f>SVY!D34</f>
        <v>0.46923066275797454</v>
      </c>
      <c r="D35" s="13">
        <f>SVY!E34</f>
        <v>0.25192720444151129</v>
      </c>
      <c r="E35" s="13">
        <f>SVY!F34</f>
        <v>2.5170528187821666E-2</v>
      </c>
      <c r="F35" s="13">
        <f>SVY!G34</f>
        <v>3.6820588189109826E-2</v>
      </c>
      <c r="G35" s="13">
        <f>SVY!H34</f>
        <v>1.6914831185890683E-2</v>
      </c>
      <c r="H35" s="13">
        <f>SVY!I34</f>
        <v>4.1870870669680829E-2</v>
      </c>
      <c r="I35" s="13">
        <f>SVY!J34</f>
        <v>1.2848247797487914E-2</v>
      </c>
      <c r="J35" s="13">
        <f>SVY!K34</f>
        <v>5.1554100958223242E-2</v>
      </c>
      <c r="K35" s="13">
        <f>SVY!L34</f>
        <v>1.6781459004994399E-2</v>
      </c>
      <c r="L35" s="13">
        <f>SVY!M34</f>
        <v>4.8480432461045643E-2</v>
      </c>
      <c r="M35" s="13">
        <f>SVY!N34</f>
        <v>1.1799066517447053E-2</v>
      </c>
      <c r="N35" s="13">
        <f>SVY!O34</f>
        <v>1.6602007828813083E-2</v>
      </c>
      <c r="O35" s="15"/>
      <c r="P35" s="13"/>
      <c r="Q35" s="13">
        <v>1</v>
      </c>
      <c r="R35" s="13"/>
      <c r="S35" s="13"/>
    </row>
    <row r="36" spans="1:19" x14ac:dyDescent="0.35">
      <c r="A36" s="12" t="s">
        <v>132</v>
      </c>
      <c r="B36" s="13" t="s">
        <v>457</v>
      </c>
      <c r="C36" s="13">
        <f>SVY!D35</f>
        <v>0.46424309375190365</v>
      </c>
      <c r="D36" s="13">
        <f>SVY!E35</f>
        <v>0.33740267800216517</v>
      </c>
      <c r="E36" s="13">
        <f>SVY!F35</f>
        <v>2.8309221270012216E-2</v>
      </c>
      <c r="F36" s="13">
        <f>SVY!G35</f>
        <v>1.3056696768941294E-2</v>
      </c>
      <c r="G36" s="13">
        <f>SVY!H35</f>
        <v>1.9186691357804073E-2</v>
      </c>
      <c r="H36" s="13">
        <f>SVY!I35</f>
        <v>2.5654027384555422E-2</v>
      </c>
      <c r="I36" s="13">
        <f>SVY!J35</f>
        <v>4.8424420929520252E-3</v>
      </c>
      <c r="J36" s="13">
        <f>SVY!K35</f>
        <v>3.9265540413051117E-3</v>
      </c>
      <c r="K36" s="13">
        <f>SVY!L35</f>
        <v>2.6185923471624822E-2</v>
      </c>
      <c r="L36" s="13">
        <f>SVY!M35</f>
        <v>4.3933203244014001E-2</v>
      </c>
      <c r="M36" s="13">
        <f>SVY!N35</f>
        <v>4.2688214873209847E-3</v>
      </c>
      <c r="N36" s="13">
        <f>SVY!O35</f>
        <v>2.8990647127401275E-2</v>
      </c>
      <c r="O36" s="15"/>
      <c r="P36" s="13"/>
      <c r="Q36" s="13">
        <v>1</v>
      </c>
      <c r="R36" s="13"/>
      <c r="S36" s="13"/>
    </row>
    <row r="37" spans="1:19" x14ac:dyDescent="0.35">
      <c r="A37" s="12" t="s">
        <v>134</v>
      </c>
      <c r="B37" s="13" t="s">
        <v>444</v>
      </c>
      <c r="C37" s="13">
        <f>SVY!D36</f>
        <v>0.24418869301902429</v>
      </c>
      <c r="D37" s="13">
        <f>SVY!E36</f>
        <v>0.1664700494048055</v>
      </c>
      <c r="E37" s="13">
        <f>SVY!F36</f>
        <v>2.2646827391997585E-2</v>
      </c>
      <c r="F37" s="13">
        <f>SVY!G36</f>
        <v>8.6551801651410139E-3</v>
      </c>
      <c r="G37" s="13">
        <f>SVY!H36</f>
        <v>1.8401586328788671E-2</v>
      </c>
      <c r="H37" s="13">
        <f>SVY!I36</f>
        <v>3.5405889830143589E-2</v>
      </c>
      <c r="I37" s="13">
        <f>SVY!J36</f>
        <v>2.6246360956784114E-2</v>
      </c>
      <c r="J37" s="13">
        <f>SVY!K36</f>
        <v>1.8773569996358076E-2</v>
      </c>
      <c r="K37" s="13">
        <f>SVY!L36</f>
        <v>1.4639833471358502E-2</v>
      </c>
      <c r="L37" s="13">
        <f>SVY!M36</f>
        <v>7.8754759475479191E-2</v>
      </c>
      <c r="M37" s="13">
        <f>SVY!N36</f>
        <v>0.25388554768230331</v>
      </c>
      <c r="N37" s="13">
        <f>SVY!O36</f>
        <v>0.11193170227781618</v>
      </c>
      <c r="O37" s="15"/>
      <c r="P37" s="13"/>
      <c r="Q37" s="13">
        <v>1</v>
      </c>
      <c r="R37" s="13"/>
      <c r="S37" s="13"/>
    </row>
    <row r="38" spans="1:19" x14ac:dyDescent="0.35">
      <c r="A38" s="12" t="s">
        <v>136</v>
      </c>
      <c r="B38" s="13" t="s">
        <v>451</v>
      </c>
      <c r="C38" s="13">
        <f>SVY!D37</f>
        <v>0.29290896872344119</v>
      </c>
      <c r="D38" s="13">
        <f>SVY!E37</f>
        <v>0.30232267339643643</v>
      </c>
      <c r="E38" s="13">
        <f>SVY!F37</f>
        <v>1.3736515522438531E-2</v>
      </c>
      <c r="F38" s="13">
        <f>SVY!G37</f>
        <v>5.9268309787225771E-3</v>
      </c>
      <c r="G38" s="13">
        <f>SVY!H37</f>
        <v>1.832561278166793E-2</v>
      </c>
      <c r="H38" s="13">
        <f>SVY!I37</f>
        <v>9.1038584582034E-3</v>
      </c>
      <c r="I38" s="13">
        <f>SVY!J37</f>
        <v>4.7548965206534516E-3</v>
      </c>
      <c r="J38" s="13">
        <f>SVY!K37</f>
        <v>0.16574322780287185</v>
      </c>
      <c r="K38" s="13">
        <f>SVY!L37</f>
        <v>8.1369039968326382E-2</v>
      </c>
      <c r="L38" s="13">
        <f>SVY!M37</f>
        <v>1.7147724117802739E-2</v>
      </c>
      <c r="M38" s="13">
        <f>SVY!N37</f>
        <v>8.6675452051421867E-2</v>
      </c>
      <c r="N38" s="13">
        <f>SVY!O37</f>
        <v>1.9851996780138052E-3</v>
      </c>
      <c r="O38" s="15"/>
      <c r="P38" s="13"/>
      <c r="Q38" s="13">
        <v>1</v>
      </c>
      <c r="R38" s="13"/>
      <c r="S38" s="13"/>
    </row>
    <row r="39" spans="1:19" x14ac:dyDescent="0.35">
      <c r="A39" s="12" t="s">
        <v>138</v>
      </c>
      <c r="B39" s="13" t="s">
        <v>522</v>
      </c>
      <c r="C39" s="13">
        <f>SVY!D38</f>
        <v>0.46424309375190365</v>
      </c>
      <c r="D39" s="13">
        <f>SVY!E38</f>
        <v>0.33740267800216517</v>
      </c>
      <c r="E39" s="13">
        <f>SVY!F38</f>
        <v>2.8309221270012216E-2</v>
      </c>
      <c r="F39" s="13">
        <f>SVY!G38</f>
        <v>1.3056696768941294E-2</v>
      </c>
      <c r="G39" s="13">
        <f>SVY!H38</f>
        <v>1.9186691357804073E-2</v>
      </c>
      <c r="H39" s="13">
        <f>SVY!I38</f>
        <v>2.5654027384555422E-2</v>
      </c>
      <c r="I39" s="13">
        <f>SVY!J38</f>
        <v>4.8424420929520252E-3</v>
      </c>
      <c r="J39" s="13">
        <f>SVY!K38</f>
        <v>3.9265540413051117E-3</v>
      </c>
      <c r="K39" s="13">
        <f>SVY!L38</f>
        <v>2.6185923471624822E-2</v>
      </c>
      <c r="L39" s="13">
        <f>SVY!M38</f>
        <v>4.3933203244014001E-2</v>
      </c>
      <c r="M39" s="13">
        <f>SVY!N38</f>
        <v>4.2688214873209847E-3</v>
      </c>
      <c r="N39" s="13">
        <f>SVY!O38</f>
        <v>2.8990647127401275E-2</v>
      </c>
      <c r="O39" s="15"/>
      <c r="P39" s="13"/>
      <c r="Q39" s="13">
        <v>1</v>
      </c>
      <c r="R39" s="13"/>
      <c r="S39" s="13"/>
    </row>
    <row r="40" spans="1:19" x14ac:dyDescent="0.35">
      <c r="A40" s="12" t="s">
        <v>140</v>
      </c>
      <c r="B40" s="13" t="s">
        <v>523</v>
      </c>
      <c r="C40" s="13">
        <f>SVY!D39</f>
        <v>0.45475929778977742</v>
      </c>
      <c r="D40" s="13">
        <f>SVY!E39</f>
        <v>0.33051004309103055</v>
      </c>
      <c r="E40" s="13">
        <f>SVY!F39</f>
        <v>2.7730905982213973E-2</v>
      </c>
      <c r="F40" s="13">
        <f>SVY!G39</f>
        <v>1.2789967872458953E-2</v>
      </c>
      <c r="G40" s="13">
        <f>SVY!H39</f>
        <v>4.2360640528737968E-2</v>
      </c>
      <c r="H40" s="13">
        <f>SVY!I39</f>
        <v>5.6639313776709846E-2</v>
      </c>
      <c r="I40" s="13">
        <f>SVY!J39</f>
        <v>1.0691210118274784E-2</v>
      </c>
      <c r="J40" s="13">
        <f>SVY!K39</f>
        <v>8.6690999067296111E-3</v>
      </c>
      <c r="K40" s="13">
        <f>SVY!L39</f>
        <v>1.4146751331190454E-2</v>
      </c>
      <c r="L40" s="13">
        <f>SVY!M39</f>
        <v>2.3734587865468594E-2</v>
      </c>
      <c r="M40" s="13">
        <f>SVY!N39</f>
        <v>2.3061992113362494E-3</v>
      </c>
      <c r="N40" s="13">
        <f>SVY!O39</f>
        <v>1.5661982526071622E-2</v>
      </c>
      <c r="O40" s="15"/>
      <c r="P40" s="13"/>
      <c r="Q40" s="13">
        <v>1</v>
      </c>
      <c r="R40" s="13"/>
      <c r="S40" s="13"/>
    </row>
    <row r="41" spans="1:19" x14ac:dyDescent="0.35">
      <c r="A41" s="12" t="s">
        <v>142</v>
      </c>
      <c r="B41" s="13" t="s">
        <v>524</v>
      </c>
      <c r="C41" s="13">
        <f>SVY!D40</f>
        <v>0.39428799806669668</v>
      </c>
      <c r="D41" s="13">
        <f>SVY!E40</f>
        <v>0.49627498094031552</v>
      </c>
      <c r="E41" s="13">
        <f>SVY!F40</f>
        <v>2.5290127505063265E-2</v>
      </c>
      <c r="F41" s="13">
        <f>SVY!G40</f>
        <v>0</v>
      </c>
      <c r="G41" s="13">
        <f>SVY!H40</f>
        <v>3.5301789210145658E-2</v>
      </c>
      <c r="H41" s="13">
        <f>SVY!I40</f>
        <v>1.2803404371014886E-2</v>
      </c>
      <c r="I41" s="13">
        <f>SVY!J40</f>
        <v>0</v>
      </c>
      <c r="J41" s="13">
        <f>SVY!K40</f>
        <v>0</v>
      </c>
      <c r="K41" s="13">
        <f>SVY!L40</f>
        <v>5.4799674611483605E-3</v>
      </c>
      <c r="L41" s="13">
        <f>SVY!M40</f>
        <v>3.0561732445615726E-2</v>
      </c>
      <c r="M41" s="13">
        <f>SVY!N40</f>
        <v>0</v>
      </c>
      <c r="N41" s="13">
        <f>SVY!O40</f>
        <v>0</v>
      </c>
      <c r="O41" s="15"/>
      <c r="P41" s="13">
        <v>1</v>
      </c>
      <c r="Q41" s="13"/>
      <c r="R41" s="13"/>
      <c r="S41" s="13"/>
    </row>
    <row r="42" spans="1:19" x14ac:dyDescent="0.35">
      <c r="A42" s="12" t="s">
        <v>144</v>
      </c>
      <c r="B42" s="13" t="s">
        <v>525</v>
      </c>
      <c r="C42" s="13">
        <f>SVY!D41</f>
        <v>0.39428799806669668</v>
      </c>
      <c r="D42" s="13">
        <f>SVY!E41</f>
        <v>0.49627498094031552</v>
      </c>
      <c r="E42" s="13">
        <f>SVY!F41</f>
        <v>2.5290127505063265E-2</v>
      </c>
      <c r="F42" s="13">
        <f>SVY!G41</f>
        <v>0</v>
      </c>
      <c r="G42" s="13">
        <f>SVY!H41</f>
        <v>3.5301789210145658E-2</v>
      </c>
      <c r="H42" s="13">
        <f>SVY!I41</f>
        <v>1.2803404371014886E-2</v>
      </c>
      <c r="I42" s="13">
        <f>SVY!J41</f>
        <v>0</v>
      </c>
      <c r="J42" s="13">
        <f>SVY!K41</f>
        <v>0</v>
      </c>
      <c r="K42" s="13">
        <f>SVY!L41</f>
        <v>5.4799674611483605E-3</v>
      </c>
      <c r="L42" s="13">
        <f>SVY!M41</f>
        <v>3.0561732445615726E-2</v>
      </c>
      <c r="M42" s="13">
        <f>SVY!N41</f>
        <v>0</v>
      </c>
      <c r="N42" s="13">
        <f>SVY!O41</f>
        <v>0</v>
      </c>
      <c r="O42" s="15"/>
      <c r="P42" s="13">
        <v>1</v>
      </c>
      <c r="Q42" s="13"/>
      <c r="R42" s="13"/>
      <c r="S42" s="13"/>
    </row>
    <row r="43" spans="1:19" x14ac:dyDescent="0.35">
      <c r="A43" s="12" t="s">
        <v>146</v>
      </c>
      <c r="B43" s="13" t="s">
        <v>485</v>
      </c>
      <c r="C43" s="13">
        <f>SVY!D42</f>
        <v>0.39428799806669668</v>
      </c>
      <c r="D43" s="13">
        <f>SVY!E42</f>
        <v>0.49627498094031552</v>
      </c>
      <c r="E43" s="13">
        <f>SVY!F42</f>
        <v>2.5290127505063265E-2</v>
      </c>
      <c r="F43" s="13">
        <f>SVY!G42</f>
        <v>0</v>
      </c>
      <c r="G43" s="13">
        <f>SVY!H42</f>
        <v>3.5301789210145658E-2</v>
      </c>
      <c r="H43" s="13">
        <f>SVY!I42</f>
        <v>1.2803404371014886E-2</v>
      </c>
      <c r="I43" s="13">
        <f>SVY!J42</f>
        <v>0</v>
      </c>
      <c r="J43" s="13">
        <f>SVY!K42</f>
        <v>0</v>
      </c>
      <c r="K43" s="13">
        <f>SVY!L42</f>
        <v>5.4799674611483605E-3</v>
      </c>
      <c r="L43" s="13">
        <f>SVY!M42</f>
        <v>3.0561732445615726E-2</v>
      </c>
      <c r="M43" s="13">
        <f>SVY!N42</f>
        <v>0</v>
      </c>
      <c r="N43" s="13">
        <f>SVY!O42</f>
        <v>0</v>
      </c>
      <c r="O43" s="15"/>
      <c r="P43" s="13">
        <v>1</v>
      </c>
      <c r="Q43" s="13"/>
      <c r="R43" s="13"/>
      <c r="S43" s="13"/>
    </row>
    <row r="44" spans="1:19" x14ac:dyDescent="0.35">
      <c r="A44" s="12" t="s">
        <v>148</v>
      </c>
      <c r="B44" s="13" t="s">
        <v>484</v>
      </c>
      <c r="C44" s="13">
        <f>SVY!D43</f>
        <v>0.52569482465599271</v>
      </c>
      <c r="D44" s="13">
        <f>SVY!E43</f>
        <v>0.43704433481917754</v>
      </c>
      <c r="E44" s="13">
        <f>SVY!F43</f>
        <v>3.7260840524829808E-2</v>
      </c>
      <c r="F44" s="13">
        <f>SVY!G43</f>
        <v>0</v>
      </c>
      <c r="G44" s="13">
        <f>SVY!H43</f>
        <v>0</v>
      </c>
      <c r="H44" s="13">
        <f>SVY!I43</f>
        <v>0</v>
      </c>
      <c r="I44" s="13">
        <f>SVY!J43</f>
        <v>0</v>
      </c>
      <c r="J44" s="13">
        <f>SVY!K43</f>
        <v>0</v>
      </c>
      <c r="K44" s="13">
        <f>SVY!L43</f>
        <v>0</v>
      </c>
      <c r="L44" s="13">
        <f>SVY!M43</f>
        <v>0</v>
      </c>
      <c r="M44" s="13">
        <f>SVY!N43</f>
        <v>0</v>
      </c>
      <c r="N44" s="13">
        <f>SVY!O43</f>
        <v>0</v>
      </c>
      <c r="O44" s="15"/>
      <c r="P44" s="13">
        <v>1</v>
      </c>
      <c r="Q44" s="13"/>
      <c r="R44" s="13"/>
      <c r="S44" s="13"/>
    </row>
    <row r="45" spans="1:19" x14ac:dyDescent="0.35">
      <c r="A45" s="12" t="s">
        <v>150</v>
      </c>
      <c r="B45" s="13" t="s">
        <v>448</v>
      </c>
      <c r="C45" s="13">
        <f>SVY!D44</f>
        <v>0.35876340980258448</v>
      </c>
      <c r="D45" s="13">
        <f>SVY!E44</f>
        <v>0.56076169156710565</v>
      </c>
      <c r="E45" s="13">
        <f>SVY!F44</f>
        <v>1.5585659848842632E-2</v>
      </c>
      <c r="F45" s="13">
        <f>SVY!G44</f>
        <v>0</v>
      </c>
      <c r="G45" s="13">
        <f>SVY!H44</f>
        <v>0</v>
      </c>
      <c r="H45" s="13">
        <f>SVY!I44</f>
        <v>6.037508558438238E-3</v>
      </c>
      <c r="I45" s="13">
        <f>SVY!J44</f>
        <v>0</v>
      </c>
      <c r="J45" s="13">
        <f>SVY!K44</f>
        <v>0</v>
      </c>
      <c r="K45" s="13">
        <f>SVY!L44</f>
        <v>2.767370974941358E-3</v>
      </c>
      <c r="L45" s="13">
        <f>SVY!M44</f>
        <v>1.8647015178196984E-3</v>
      </c>
      <c r="M45" s="13">
        <f>SVY!N44</f>
        <v>1.5420851111747362E-2</v>
      </c>
      <c r="N45" s="13">
        <f>SVY!O44</f>
        <v>3.8798806618520615E-2</v>
      </c>
      <c r="O45" s="15"/>
      <c r="P45" s="13"/>
      <c r="Q45" s="13"/>
      <c r="R45" s="13">
        <v>1</v>
      </c>
      <c r="S45" s="13"/>
    </row>
    <row r="46" spans="1:19" x14ac:dyDescent="0.35">
      <c r="A46" s="12" t="s">
        <v>152</v>
      </c>
      <c r="B46" s="13" t="s">
        <v>526</v>
      </c>
      <c r="C46" s="13">
        <f>SVY!D45</f>
        <v>0.34721190960222598</v>
      </c>
      <c r="D46" s="13">
        <f>SVY!E45</f>
        <v>0.54270623045958855</v>
      </c>
      <c r="E46" s="13">
        <f>SVY!F45</f>
        <v>1.5083831212065838E-2</v>
      </c>
      <c r="F46" s="13">
        <f>SVY!G45</f>
        <v>0</v>
      </c>
      <c r="G46" s="13">
        <f>SVY!H45</f>
        <v>0</v>
      </c>
      <c r="H46" s="13">
        <f>SVY!I45</f>
        <v>1.2075017116876476E-2</v>
      </c>
      <c r="I46" s="13">
        <f>SVY!J45</f>
        <v>0</v>
      </c>
      <c r="J46" s="13">
        <f>SVY!K45</f>
        <v>0</v>
      </c>
      <c r="K46" s="13">
        <f>SVY!L45</f>
        <v>3.8992691397941016E-3</v>
      </c>
      <c r="L46" s="13">
        <f>SVY!M45</f>
        <v>2.6273937065902937E-3</v>
      </c>
      <c r="M46" s="13">
        <f>SVY!N45</f>
        <v>2.1728221259049028E-2</v>
      </c>
      <c r="N46" s="13">
        <f>SVY!O45</f>
        <v>5.4668127503809776E-2</v>
      </c>
      <c r="O46" s="15"/>
      <c r="P46" s="13"/>
      <c r="Q46" s="13"/>
      <c r="R46" s="13">
        <v>1</v>
      </c>
      <c r="S46" s="13"/>
    </row>
    <row r="47" spans="1:19" x14ac:dyDescent="0.35">
      <c r="A47" s="12" t="s">
        <v>154</v>
      </c>
      <c r="B47" s="13" t="s">
        <v>452</v>
      </c>
      <c r="C47" s="13">
        <f>SVY!D46</f>
        <v>0.37031491000294298</v>
      </c>
      <c r="D47" s="13">
        <f>SVY!E46</f>
        <v>0.57881715267462275</v>
      </c>
      <c r="E47" s="13">
        <f>SVY!F46</f>
        <v>1.6087488485619424E-2</v>
      </c>
      <c r="F47" s="13">
        <f>SVY!G46</f>
        <v>0</v>
      </c>
      <c r="G47" s="13">
        <f>SVY!H46</f>
        <v>0</v>
      </c>
      <c r="H47" s="13">
        <f>SVY!I46</f>
        <v>0</v>
      </c>
      <c r="I47" s="13">
        <f>SVY!J46</f>
        <v>0</v>
      </c>
      <c r="J47" s="13">
        <f>SVY!K46</f>
        <v>0</v>
      </c>
      <c r="K47" s="13">
        <f>SVY!L46</f>
        <v>1.6354728100886151E-3</v>
      </c>
      <c r="L47" s="13">
        <f>SVY!M46</f>
        <v>1.102009329049103E-3</v>
      </c>
      <c r="M47" s="13">
        <f>SVY!N46</f>
        <v>9.1134809644456988E-3</v>
      </c>
      <c r="N47" s="13">
        <f>SVY!O46</f>
        <v>2.2929485733231444E-2</v>
      </c>
      <c r="O47" s="15"/>
      <c r="P47" s="13"/>
      <c r="Q47" s="13"/>
      <c r="R47" s="13">
        <v>1</v>
      </c>
      <c r="S47" s="13"/>
    </row>
    <row r="48" spans="1:19" x14ac:dyDescent="0.35">
      <c r="A48" s="12" t="s">
        <v>156</v>
      </c>
      <c r="B48" s="13" t="s">
        <v>486</v>
      </c>
      <c r="C48" s="13">
        <f>SVY!D47</f>
        <v>0.23432434047667877</v>
      </c>
      <c r="D48" s="13">
        <f>SVY!E47</f>
        <v>0.42270003091251379</v>
      </c>
      <c r="E48" s="13">
        <f>SVY!F47</f>
        <v>8.895950047050652E-2</v>
      </c>
      <c r="F48" s="13">
        <f>SVY!G47</f>
        <v>5.0460745184886524E-2</v>
      </c>
      <c r="G48" s="13">
        <f>SVY!H47</f>
        <v>2.3204384490738732E-2</v>
      </c>
      <c r="H48" s="13">
        <f>SVY!I47</f>
        <v>3.2578796020781176E-2</v>
      </c>
      <c r="I48" s="13">
        <f>SVY!J47</f>
        <v>2.2611435218958868E-2</v>
      </c>
      <c r="J48" s="13">
        <f>SVY!K47</f>
        <v>0</v>
      </c>
      <c r="K48" s="13">
        <f>SVY!L47</f>
        <v>3.3328844749791468E-2</v>
      </c>
      <c r="L48" s="13">
        <f>SVY!M47</f>
        <v>3.1274110654516699E-2</v>
      </c>
      <c r="M48" s="13">
        <f>SVY!N47</f>
        <v>2.9595016606250833E-2</v>
      </c>
      <c r="N48" s="13">
        <f>SVY!O47</f>
        <v>3.0962795214376646E-2</v>
      </c>
      <c r="O48" s="15"/>
      <c r="P48" s="13"/>
      <c r="Q48" s="13"/>
      <c r="R48" s="13"/>
      <c r="S48" s="13">
        <v>1</v>
      </c>
    </row>
    <row r="49" spans="1:19" x14ac:dyDescent="0.35">
      <c r="A49" s="12" t="s">
        <v>158</v>
      </c>
      <c r="B49" s="13" t="s">
        <v>487</v>
      </c>
      <c r="C49" s="13">
        <f>SVY!D48</f>
        <v>0.25170213424142912</v>
      </c>
      <c r="D49" s="13">
        <f>SVY!E48</f>
        <v>0.45404800759563746</v>
      </c>
      <c r="E49" s="13">
        <f>SVY!F48</f>
        <v>9.5556851174436186E-2</v>
      </c>
      <c r="F49" s="13">
        <f>SVY!G48</f>
        <v>5.4202978796873795E-2</v>
      </c>
      <c r="G49" s="13">
        <f>SVY!H48</f>
        <v>1.1977674269859632E-2</v>
      </c>
      <c r="H49" s="13">
        <f>SVY!I48</f>
        <v>1.6816572186901094E-2</v>
      </c>
      <c r="I49" s="13">
        <f>SVY!J48</f>
        <v>1.167160481825387E-2</v>
      </c>
      <c r="J49" s="13">
        <f>SVY!K48</f>
        <v>0</v>
      </c>
      <c r="K49" s="13">
        <f>SVY!L48</f>
        <v>2.7700418586022894E-2</v>
      </c>
      <c r="L49" s="13">
        <f>SVY!M48</f>
        <v>2.5992678790378154E-2</v>
      </c>
      <c r="M49" s="13">
        <f>SVY!N48</f>
        <v>2.4597142631491181E-2</v>
      </c>
      <c r="N49" s="13">
        <f>SVY!O48</f>
        <v>2.5733936908716459E-2</v>
      </c>
      <c r="O49" s="15"/>
      <c r="P49" s="13"/>
      <c r="Q49" s="13"/>
      <c r="R49" s="13"/>
      <c r="S49" s="13">
        <v>1</v>
      </c>
    </row>
    <row r="50" spans="1:19" x14ac:dyDescent="0.35">
      <c r="A50" s="12" t="s">
        <v>160</v>
      </c>
      <c r="B50" s="13" t="s">
        <v>489</v>
      </c>
      <c r="C50" s="13">
        <f>SVY!D49</f>
        <v>0.25158408382358</v>
      </c>
      <c r="D50" s="13">
        <f>SVY!E49</f>
        <v>0.45383505526139623</v>
      </c>
      <c r="E50" s="13">
        <f>SVY!F49</f>
        <v>9.5512034207573815E-2</v>
      </c>
      <c r="F50" s="13">
        <f>SVY!G49</f>
        <v>5.4177557143954877E-2</v>
      </c>
      <c r="G50" s="13">
        <f>SVY!H49</f>
        <v>1.4966547729758223E-2</v>
      </c>
      <c r="H50" s="13">
        <f>SVY!I49</f>
        <v>2.1012929940791365E-2</v>
      </c>
      <c r="I50" s="13">
        <f>SVY!J49</f>
        <v>1.4584102611209154E-2</v>
      </c>
      <c r="J50" s="13">
        <f>SVY!K49</f>
        <v>0</v>
      </c>
      <c r="K50" s="13">
        <f>SVY!L49</f>
        <v>2.5118357624218966E-2</v>
      </c>
      <c r="L50" s="13">
        <f>SVY!M49</f>
        <v>2.356980272484429E-2</v>
      </c>
      <c r="M50" s="13">
        <f>SVY!N49</f>
        <v>2.2304349778435054E-2</v>
      </c>
      <c r="N50" s="13">
        <f>SVY!O49</f>
        <v>2.3335179154237991E-2</v>
      </c>
      <c r="O50" s="15"/>
      <c r="P50" s="13"/>
      <c r="Q50" s="13"/>
      <c r="R50" s="13"/>
      <c r="S50" s="13">
        <v>1</v>
      </c>
    </row>
    <row r="51" spans="1:19" x14ac:dyDescent="0.35">
      <c r="A51" s="12" t="s">
        <v>162</v>
      </c>
      <c r="B51" s="13" t="s">
        <v>490</v>
      </c>
      <c r="C51" s="13">
        <f>SVY!D50</f>
        <v>0.26092101158025077</v>
      </c>
      <c r="D51" s="13">
        <f>SVY!E50</f>
        <v>0.47067803300474093</v>
      </c>
      <c r="E51" s="13">
        <f>SVY!F50</f>
        <v>9.9056729681688688E-2</v>
      </c>
      <c r="F51" s="13">
        <f>SVY!G50</f>
        <v>5.618822462894859E-2</v>
      </c>
      <c r="G51" s="13">
        <f>SVY!H50</f>
        <v>1.0444607874194475E-2</v>
      </c>
      <c r="H51" s="13">
        <f>SVY!I50</f>
        <v>1.4664157525326103E-2</v>
      </c>
      <c r="I51" s="13">
        <f>SVY!J50</f>
        <v>1.0177713372618637E-2</v>
      </c>
      <c r="J51" s="13">
        <f>SVY!K50</f>
        <v>0</v>
      </c>
      <c r="K51" s="13">
        <f>SVY!L50</f>
        <v>2.0735740744439259E-2</v>
      </c>
      <c r="L51" s="13">
        <f>SVY!M50</f>
        <v>1.9457375598025236E-2</v>
      </c>
      <c r="M51" s="13">
        <f>SVY!N50</f>
        <v>1.8412717160814027E-2</v>
      </c>
      <c r="N51" s="13">
        <f>SVY!O50</f>
        <v>1.9263688828953358E-2</v>
      </c>
      <c r="O51" s="15"/>
      <c r="P51" s="13"/>
      <c r="Q51" s="13"/>
      <c r="R51" s="13"/>
      <c r="S51" s="13">
        <v>1</v>
      </c>
    </row>
    <row r="52" spans="1:19" x14ac:dyDescent="0.35">
      <c r="A52" s="12" t="s">
        <v>164</v>
      </c>
      <c r="B52" s="13" t="s">
        <v>488</v>
      </c>
      <c r="C52" s="13">
        <f>SVY!D51</f>
        <v>0.16961094018826509</v>
      </c>
      <c r="D52" s="13">
        <f>SVY!E51</f>
        <v>0.30596287826878837</v>
      </c>
      <c r="E52" s="13">
        <f>SVY!F51</f>
        <v>6.4391537314420433E-2</v>
      </c>
      <c r="F52" s="13">
        <f>SVY!G51</f>
        <v>3.6524991027387023E-2</v>
      </c>
      <c r="G52" s="13">
        <f>SVY!H51</f>
        <v>2.6603864675177013E-2</v>
      </c>
      <c r="H52" s="13">
        <f>SVY!I51</f>
        <v>3.7351642788154171E-2</v>
      </c>
      <c r="I52" s="13">
        <f>SVY!J51</f>
        <v>2.5924047367720651E-2</v>
      </c>
      <c r="J52" s="13">
        <f>SVY!K51</f>
        <v>0</v>
      </c>
      <c r="K52" s="13">
        <f>SVY!L51</f>
        <v>8.8841783243870751E-2</v>
      </c>
      <c r="L52" s="13">
        <f>SVY!M51</f>
        <v>8.3364658474422107E-2</v>
      </c>
      <c r="M52" s="13">
        <f>SVY!N51</f>
        <v>7.8888844488008925E-2</v>
      </c>
      <c r="N52" s="13">
        <f>SVY!O51</f>
        <v>8.2534812163785526E-2</v>
      </c>
      <c r="O52" s="15"/>
      <c r="P52" s="13"/>
      <c r="Q52" s="13"/>
      <c r="R52" s="13"/>
      <c r="S52" s="13">
        <v>1</v>
      </c>
    </row>
    <row r="53" spans="1:19" x14ac:dyDescent="0.35">
      <c r="A53" s="12" t="s">
        <v>166</v>
      </c>
      <c r="B53" s="13" t="s">
        <v>491</v>
      </c>
      <c r="C53" s="13">
        <f>SVY!D52</f>
        <v>0.26514287930896774</v>
      </c>
      <c r="D53" s="13">
        <f>SVY!E52</f>
        <v>0.4782939025973188</v>
      </c>
      <c r="E53" s="13">
        <f>SVY!F52</f>
        <v>0.10065953049800674</v>
      </c>
      <c r="F53" s="13">
        <f>SVY!G52</f>
        <v>5.7097385799442901E-2</v>
      </c>
      <c r="G53" s="13">
        <f>SVY!H52</f>
        <v>1.2558725043202939E-2</v>
      </c>
      <c r="H53" s="13">
        <f>SVY!I52</f>
        <v>1.7632363471088097E-2</v>
      </c>
      <c r="I53" s="13">
        <f>SVY!J52</f>
        <v>1.2237807810004067E-2</v>
      </c>
      <c r="J53" s="13">
        <f>SVY!K52</f>
        <v>0</v>
      </c>
      <c r="K53" s="13">
        <f>SVY!L52</f>
        <v>1.5012642028587198E-2</v>
      </c>
      <c r="L53" s="13">
        <f>SVY!M52</f>
        <v>1.4087107775363915E-2</v>
      </c>
      <c r="M53" s="13">
        <f>SVY!N52</f>
        <v>1.3330776793351569E-2</v>
      </c>
      <c r="N53" s="13">
        <f>SVY!O52</f>
        <v>1.3946878874666E-2</v>
      </c>
      <c r="O53" s="15"/>
      <c r="P53" s="13"/>
      <c r="Q53" s="13"/>
      <c r="R53" s="13"/>
      <c r="S53" s="13">
        <v>1</v>
      </c>
    </row>
    <row r="54" spans="1:19" x14ac:dyDescent="0.35">
      <c r="A54" s="12" t="s">
        <v>168</v>
      </c>
      <c r="B54" s="13" t="s">
        <v>527</v>
      </c>
      <c r="C54" s="13">
        <f>SVY!D53</f>
        <v>0.20919129313976415</v>
      </c>
      <c r="D54" s="13">
        <f>SVY!E53</f>
        <v>0.37736227443092957</v>
      </c>
      <c r="E54" s="13">
        <f>SVY!F53</f>
        <v>7.9417925182829377E-2</v>
      </c>
      <c r="F54" s="13">
        <f>SVY!G53</f>
        <v>4.5048450863230408E-2</v>
      </c>
      <c r="G54" s="13">
        <f>SVY!H53</f>
        <v>2.3955348539719274E-2</v>
      </c>
      <c r="H54" s="13">
        <f>SVY!I53</f>
        <v>3.3633144373802201E-2</v>
      </c>
      <c r="I54" s="13">
        <f>SVY!J53</f>
        <v>2.3343209636507746E-2</v>
      </c>
      <c r="J54" s="13">
        <f>SVY!K53</f>
        <v>0</v>
      </c>
      <c r="K54" s="13">
        <f>SVY!L53</f>
        <v>5.540083717204581E-2</v>
      </c>
      <c r="L54" s="13">
        <f>SVY!M53</f>
        <v>5.1985357580756328E-2</v>
      </c>
      <c r="M54" s="13">
        <f>SVY!N53</f>
        <v>4.9194285262982383E-2</v>
      </c>
      <c r="N54" s="13">
        <f>SVY!O53</f>
        <v>5.1467873817432938E-2</v>
      </c>
      <c r="O54" s="15"/>
      <c r="P54" s="13"/>
      <c r="Q54" s="13"/>
      <c r="R54" s="13"/>
      <c r="S54" s="13">
        <v>1</v>
      </c>
    </row>
    <row r="55" spans="1:19" x14ac:dyDescent="0.35">
      <c r="A55" s="12" t="s">
        <v>170</v>
      </c>
      <c r="B55" s="13" t="s">
        <v>493</v>
      </c>
      <c r="C55" s="13">
        <f>SVY!D54</f>
        <v>0.24847013689220657</v>
      </c>
      <c r="D55" s="13">
        <f>SVY!E54</f>
        <v>0.44821777512108368</v>
      </c>
      <c r="E55" s="13">
        <f>SVY!F54</f>
        <v>9.4329847316774823E-2</v>
      </c>
      <c r="F55" s="13">
        <f>SVY!G54</f>
        <v>5.3506981981751724E-2</v>
      </c>
      <c r="G55" s="13">
        <f>SVY!H54</f>
        <v>1.477993252611828E-2</v>
      </c>
      <c r="H55" s="13">
        <f>SVY!I54</f>
        <v>2.0750923480064565E-2</v>
      </c>
      <c r="I55" s="13">
        <f>SVY!J54</f>
        <v>1.4402256047269416E-2</v>
      </c>
      <c r="J55" s="13">
        <f>SVY!K54</f>
        <v>0</v>
      </c>
      <c r="K55" s="13">
        <f>SVY!L54</f>
        <v>2.8104636123130654E-2</v>
      </c>
      <c r="L55" s="13">
        <f>SVY!M54</f>
        <v>2.6371976185139593E-2</v>
      </c>
      <c r="M55" s="13">
        <f>SVY!N54</f>
        <v>2.4956075706221197E-2</v>
      </c>
      <c r="N55" s="13">
        <f>SVY!O54</f>
        <v>2.6109458620239497E-2</v>
      </c>
      <c r="O55" s="15"/>
      <c r="P55" s="13"/>
      <c r="Q55" s="13"/>
      <c r="R55" s="13"/>
      <c r="S55" s="13">
        <v>1</v>
      </c>
    </row>
    <row r="56" spans="1:19" x14ac:dyDescent="0.35">
      <c r="A56" s="12" t="s">
        <v>172</v>
      </c>
      <c r="B56" s="13" t="s">
        <v>492</v>
      </c>
      <c r="C56" s="13">
        <f>SVY!D55</f>
        <v>0.26600992602945117</v>
      </c>
      <c r="D56" s="13">
        <f>SVY!E55</f>
        <v>0.47985797688343607</v>
      </c>
      <c r="E56" s="13">
        <f>SVY!F55</f>
        <v>0.10098869836414431</v>
      </c>
      <c r="F56" s="13">
        <f>SVY!G55</f>
        <v>5.7284100604813537E-2</v>
      </c>
      <c r="G56" s="13">
        <f>SVY!H55</f>
        <v>1.3789068657829437E-2</v>
      </c>
      <c r="H56" s="13">
        <f>SVY!I55</f>
        <v>1.9359757432879463E-2</v>
      </c>
      <c r="I56" s="13">
        <f>SVY!J55</f>
        <v>1.3436712049428737E-2</v>
      </c>
      <c r="J56" s="13">
        <f>SVY!K55</f>
        <v>0</v>
      </c>
      <c r="K56" s="13">
        <f>SVY!L55</f>
        <v>1.3121024526754786E-2</v>
      </c>
      <c r="L56" s="13">
        <f>SVY!M55</f>
        <v>1.2312109106419727E-2</v>
      </c>
      <c r="M56" s="13">
        <f>SVY!N55</f>
        <v>1.1651077067793114E-2</v>
      </c>
      <c r="N56" s="13">
        <f>SVY!O55</f>
        <v>1.2189549277049683E-2</v>
      </c>
      <c r="O56" s="15"/>
      <c r="P56" s="13"/>
      <c r="Q56" s="13"/>
      <c r="R56" s="13"/>
      <c r="S56" s="13">
        <v>1</v>
      </c>
    </row>
    <row r="57" spans="1:19" x14ac:dyDescent="0.35">
      <c r="A57" s="12" t="s">
        <v>174</v>
      </c>
      <c r="B57" s="13" t="s">
        <v>528</v>
      </c>
      <c r="C57" s="13">
        <f>SVY!D56</f>
        <v>6.6087107242569151E-2</v>
      </c>
      <c r="D57" s="13">
        <f>SVY!E56</f>
        <v>0.20042123417903282</v>
      </c>
      <c r="E57" s="13">
        <f>SVY!F56</f>
        <v>1.7292857683876067E-3</v>
      </c>
      <c r="F57" s="13">
        <f>SVY!G56</f>
        <v>0</v>
      </c>
      <c r="G57" s="13">
        <f>SVY!H56</f>
        <v>1.0752762199499482E-2</v>
      </c>
      <c r="H57" s="13">
        <f>SVY!I56</f>
        <v>1.2219039769952441E-2</v>
      </c>
      <c r="I57" s="13">
        <f>SVY!J56</f>
        <v>7.3289257932515894E-2</v>
      </c>
      <c r="J57" s="13">
        <f>SVY!K56</f>
        <v>0</v>
      </c>
      <c r="K57" s="13">
        <f>SVY!L56</f>
        <v>6.5483149092795651E-2</v>
      </c>
      <c r="L57" s="13">
        <f>SVY!M56</f>
        <v>4.3745094106653587E-2</v>
      </c>
      <c r="M57" s="13">
        <f>SVY!N56</f>
        <v>7.5323513256312771E-2</v>
      </c>
      <c r="N57" s="13">
        <f>SVY!O56</f>
        <v>0.45094955645228063</v>
      </c>
      <c r="O57" s="15"/>
      <c r="P57" s="13"/>
      <c r="Q57" s="13"/>
      <c r="R57" s="13"/>
      <c r="S57" s="13">
        <v>1</v>
      </c>
    </row>
    <row r="58" spans="1:19" x14ac:dyDescent="0.35">
      <c r="A58" s="12" t="s">
        <v>176</v>
      </c>
      <c r="B58" s="13" t="s">
        <v>494</v>
      </c>
      <c r="C58" s="13">
        <f>SVY!D57</f>
        <v>6.6087107242569151E-2</v>
      </c>
      <c r="D58" s="13">
        <f>SVY!E57</f>
        <v>0.20042123417903282</v>
      </c>
      <c r="E58" s="13">
        <f>SVY!F57</f>
        <v>1.7292857683876067E-3</v>
      </c>
      <c r="F58" s="13">
        <f>SVY!G57</f>
        <v>0</v>
      </c>
      <c r="G58" s="13">
        <f>SVY!H57</f>
        <v>1.0752762199499482E-2</v>
      </c>
      <c r="H58" s="13">
        <f>SVY!I57</f>
        <v>1.2219039769952441E-2</v>
      </c>
      <c r="I58" s="13">
        <f>SVY!J57</f>
        <v>7.3289257932515894E-2</v>
      </c>
      <c r="J58" s="13">
        <f>SVY!K57</f>
        <v>0</v>
      </c>
      <c r="K58" s="13">
        <f>SVY!L57</f>
        <v>6.5483149092795651E-2</v>
      </c>
      <c r="L58" s="13">
        <f>SVY!M57</f>
        <v>4.3745094106653587E-2</v>
      </c>
      <c r="M58" s="13">
        <f>SVY!N57</f>
        <v>7.5323513256312771E-2</v>
      </c>
      <c r="N58" s="13">
        <f>SVY!O57</f>
        <v>0.45094955645228063</v>
      </c>
      <c r="O58" s="15"/>
      <c r="P58" s="13"/>
      <c r="Q58" s="13"/>
      <c r="R58" s="13"/>
      <c r="S58" s="13">
        <v>1</v>
      </c>
    </row>
    <row r="59" spans="1:19" x14ac:dyDescent="0.35">
      <c r="A59" s="12" t="s">
        <v>178</v>
      </c>
      <c r="B59" s="13" t="s">
        <v>495</v>
      </c>
      <c r="C59" s="13">
        <f>SVY!D58</f>
        <v>0.22550642948681207</v>
      </c>
      <c r="D59" s="13">
        <f>SVY!E58</f>
        <v>0.6838894725284832</v>
      </c>
      <c r="E59" s="13">
        <f>SVY!F58</f>
        <v>5.9007736223058117E-3</v>
      </c>
      <c r="F59" s="13">
        <f>SVY!G58</f>
        <v>0</v>
      </c>
      <c r="G59" s="13">
        <f>SVY!H58</f>
        <v>2.6477640375598198E-3</v>
      </c>
      <c r="H59" s="13">
        <f>SVY!I58</f>
        <v>3.0088207547172628E-3</v>
      </c>
      <c r="I59" s="13">
        <f>SVY!J58</f>
        <v>1.804677327488876E-2</v>
      </c>
      <c r="J59" s="13">
        <f>SVY!K58</f>
        <v>0</v>
      </c>
      <c r="K59" s="13">
        <f>SVY!L58</f>
        <v>6.2855415188485227E-3</v>
      </c>
      <c r="L59" s="13">
        <f>SVY!M58</f>
        <v>4.1989673536265192E-3</v>
      </c>
      <c r="M59" s="13">
        <f>SVY!N58</f>
        <v>7.2300901297090957E-3</v>
      </c>
      <c r="N59" s="13">
        <f>SVY!O58</f>
        <v>4.3285367293048813E-2</v>
      </c>
      <c r="O59" s="15"/>
      <c r="P59" s="13"/>
      <c r="Q59" s="13"/>
      <c r="R59" s="13"/>
      <c r="S59" s="13">
        <v>1</v>
      </c>
    </row>
    <row r="60" spans="1:19" x14ac:dyDescent="0.35">
      <c r="A60" s="12" t="s">
        <v>180</v>
      </c>
      <c r="B60" s="13" t="s">
        <v>496</v>
      </c>
      <c r="C60" s="13">
        <f>SVY!D59</f>
        <v>0.13600282327795363</v>
      </c>
      <c r="D60" s="13">
        <f>SVY!E59</f>
        <v>0.24397651554906577</v>
      </c>
      <c r="E60" s="13">
        <f>SVY!F59</f>
        <v>0</v>
      </c>
      <c r="F60" s="13">
        <f>SVY!G59</f>
        <v>0</v>
      </c>
      <c r="G60" s="13">
        <f>SVY!H59</f>
        <v>0</v>
      </c>
      <c r="H60" s="13">
        <f>SVY!I59</f>
        <v>5.5002121291176286E-2</v>
      </c>
      <c r="I60" s="13">
        <f>SVY!J59</f>
        <v>2.8781100341034056E-2</v>
      </c>
      <c r="J60" s="13">
        <f>SVY!K59</f>
        <v>0</v>
      </c>
      <c r="K60" s="13">
        <f>SVY!L59</f>
        <v>0.16738078559536748</v>
      </c>
      <c r="L60" s="13">
        <f>SVY!M59</f>
        <v>0.10841998859511032</v>
      </c>
      <c r="M60" s="13">
        <f>SVY!N59</f>
        <v>0.12920699748931683</v>
      </c>
      <c r="N60" s="13">
        <f>SVY!O59</f>
        <v>0.13122966786097567</v>
      </c>
      <c r="O60" s="15"/>
      <c r="P60" s="13"/>
      <c r="Q60" s="13"/>
      <c r="R60" s="13"/>
      <c r="S60" s="13">
        <v>1</v>
      </c>
    </row>
    <row r="61" spans="1:19" x14ac:dyDescent="0.35">
      <c r="A61" s="12" t="s">
        <v>182</v>
      </c>
      <c r="B61" s="13" t="s">
        <v>497</v>
      </c>
      <c r="C61" s="13">
        <f>SVY!D60</f>
        <v>0.32282205081421556</v>
      </c>
      <c r="D61" s="13">
        <f>SVY!E60</f>
        <v>0.25802627813154722</v>
      </c>
      <c r="E61" s="13">
        <f>SVY!F60</f>
        <v>1.2132418740711276E-2</v>
      </c>
      <c r="F61" s="13">
        <f>SVY!G60</f>
        <v>0</v>
      </c>
      <c r="G61" s="13">
        <f>SVY!H60</f>
        <v>0</v>
      </c>
      <c r="H61" s="13">
        <f>SVY!I60</f>
        <v>0</v>
      </c>
      <c r="I61" s="13">
        <f>SVY!J60</f>
        <v>2.6693841996055796E-2</v>
      </c>
      <c r="J61" s="13">
        <f>SVY!K60</f>
        <v>0</v>
      </c>
      <c r="K61" s="13">
        <f>SVY!L60</f>
        <v>7.5339899637603533E-3</v>
      </c>
      <c r="L61" s="13">
        <f>SVY!M60</f>
        <v>2.088355795277437E-2</v>
      </c>
      <c r="M61" s="13">
        <f>SVY!N60</f>
        <v>0.24358914357077549</v>
      </c>
      <c r="N61" s="13">
        <f>SVY!O60</f>
        <v>0.10831871883015995</v>
      </c>
      <c r="O61" s="15"/>
      <c r="P61" s="13"/>
      <c r="Q61" s="13"/>
      <c r="R61" s="13"/>
      <c r="S61" s="13">
        <v>1</v>
      </c>
    </row>
    <row r="62" spans="1:19" x14ac:dyDescent="0.35">
      <c r="A62" s="12" t="s">
        <v>184</v>
      </c>
      <c r="B62" s="13" t="s">
        <v>529</v>
      </c>
      <c r="C62" s="13">
        <f>SVY!D61</f>
        <v>2.115505017868205E-2</v>
      </c>
      <c r="D62" s="13">
        <f>SVY!E61</f>
        <v>1.6908878583491986E-2</v>
      </c>
      <c r="E62" s="13">
        <f>SVY!F61</f>
        <v>7.9505698759171418E-4</v>
      </c>
      <c r="F62" s="13">
        <f>SVY!G61</f>
        <v>0</v>
      </c>
      <c r="G62" s="13">
        <f>SVY!H61</f>
        <v>0</v>
      </c>
      <c r="H62" s="13">
        <f>SVY!I61</f>
        <v>0</v>
      </c>
      <c r="I62" s="13">
        <f>SVY!J61</f>
        <v>0</v>
      </c>
      <c r="J62" s="13">
        <f>SVY!K61</f>
        <v>0</v>
      </c>
      <c r="K62" s="13">
        <f>SVY!L61</f>
        <v>1.9039555492953313E-2</v>
      </c>
      <c r="L62" s="13">
        <f>SVY!M61</f>
        <v>5.277597427720726E-2</v>
      </c>
      <c r="M62" s="13">
        <f>SVY!N61</f>
        <v>0.6155873632438349</v>
      </c>
      <c r="N62" s="13">
        <f>SVY!O61</f>
        <v>0.2737381212362387</v>
      </c>
      <c r="O62" s="15"/>
      <c r="P62" s="13"/>
      <c r="Q62" s="13"/>
      <c r="R62" s="13"/>
      <c r="S62" s="13">
        <v>1</v>
      </c>
    </row>
    <row r="63" spans="1:19" x14ac:dyDescent="0.35">
      <c r="A63" s="12" t="s">
        <v>186</v>
      </c>
      <c r="B63" s="13" t="s">
        <v>498</v>
      </c>
      <c r="C63" s="13">
        <f>SVY!D62</f>
        <v>6.4986994487239186E-2</v>
      </c>
      <c r="D63" s="13">
        <f>SVY!E62</f>
        <v>7.2591893440648217E-2</v>
      </c>
      <c r="E63" s="13">
        <f>SVY!F62</f>
        <v>1.2672425988630245E-2</v>
      </c>
      <c r="F63" s="13">
        <f>SVY!G62</f>
        <v>0</v>
      </c>
      <c r="G63" s="13">
        <f>SVY!H62</f>
        <v>1.3139630828499789E-3</v>
      </c>
      <c r="H63" s="13">
        <f>SVY!I62</f>
        <v>7.9025843976392278E-3</v>
      </c>
      <c r="I63" s="13">
        <f>SVY!J62</f>
        <v>0</v>
      </c>
      <c r="J63" s="13">
        <f>SVY!K62</f>
        <v>0</v>
      </c>
      <c r="K63" s="13">
        <f>SVY!L62</f>
        <v>2.9086706428002932E-2</v>
      </c>
      <c r="L63" s="13">
        <f>SVY!M62</f>
        <v>3.2923063063436987E-2</v>
      </c>
      <c r="M63" s="13">
        <f>SVY!N62</f>
        <v>0.18947810162932027</v>
      </c>
      <c r="N63" s="13">
        <f>SVY!O62</f>
        <v>0.58904426748223304</v>
      </c>
      <c r="O63" s="15"/>
      <c r="P63" s="13"/>
      <c r="Q63" s="13"/>
      <c r="R63" s="13"/>
      <c r="S63" s="13">
        <v>1</v>
      </c>
    </row>
    <row r="64" spans="1:19" x14ac:dyDescent="0.35">
      <c r="A64" s="12" t="s">
        <v>188</v>
      </c>
      <c r="B64" s="13" t="s">
        <v>499</v>
      </c>
      <c r="C64" s="13">
        <f>SVY!D63</f>
        <v>6.4986994487239186E-2</v>
      </c>
      <c r="D64" s="13">
        <f>SVY!E63</f>
        <v>7.2591893440648217E-2</v>
      </c>
      <c r="E64" s="13">
        <f>SVY!F63</f>
        <v>1.2672425988630245E-2</v>
      </c>
      <c r="F64" s="13">
        <f>SVY!G63</f>
        <v>0</v>
      </c>
      <c r="G64" s="13">
        <f>SVY!H63</f>
        <v>1.3139630828499789E-3</v>
      </c>
      <c r="H64" s="13">
        <f>SVY!I63</f>
        <v>7.9025843976392278E-3</v>
      </c>
      <c r="I64" s="13">
        <f>SVY!J63</f>
        <v>0</v>
      </c>
      <c r="J64" s="13">
        <f>SVY!K63</f>
        <v>0</v>
      </c>
      <c r="K64" s="13">
        <f>SVY!L63</f>
        <v>2.9086706428002932E-2</v>
      </c>
      <c r="L64" s="13">
        <f>SVY!M63</f>
        <v>3.2923063063436987E-2</v>
      </c>
      <c r="M64" s="13">
        <f>SVY!N63</f>
        <v>0.18947810162932027</v>
      </c>
      <c r="N64" s="13">
        <f>SVY!O63</f>
        <v>0.58904426748223304</v>
      </c>
      <c r="O64" s="15"/>
      <c r="P64" s="13"/>
      <c r="Q64" s="13"/>
      <c r="R64" s="13"/>
      <c r="S64" s="13">
        <v>1</v>
      </c>
    </row>
    <row r="65" spans="1:19" x14ac:dyDescent="0.35">
      <c r="A65" s="12" t="s">
        <v>190</v>
      </c>
      <c r="B65" s="13" t="s">
        <v>530</v>
      </c>
      <c r="C65" s="13">
        <f>SVY!D64</f>
        <v>6.4986994487239186E-2</v>
      </c>
      <c r="D65" s="13">
        <f>SVY!E64</f>
        <v>7.2591893440648217E-2</v>
      </c>
      <c r="E65" s="13">
        <f>SVY!F64</f>
        <v>1.2672425988630245E-2</v>
      </c>
      <c r="F65" s="13">
        <f>SVY!G64</f>
        <v>0</v>
      </c>
      <c r="G65" s="13">
        <f>SVY!H64</f>
        <v>1.3139630828499789E-3</v>
      </c>
      <c r="H65" s="13">
        <f>SVY!I64</f>
        <v>7.9025843976392278E-3</v>
      </c>
      <c r="I65" s="13">
        <f>SVY!J64</f>
        <v>0</v>
      </c>
      <c r="J65" s="13">
        <f>SVY!K64</f>
        <v>0</v>
      </c>
      <c r="K65" s="13">
        <f>SVY!L64</f>
        <v>2.9086706428002932E-2</v>
      </c>
      <c r="L65" s="13">
        <f>SVY!M64</f>
        <v>3.2923063063436987E-2</v>
      </c>
      <c r="M65" s="13">
        <f>SVY!N64</f>
        <v>0.18947810162932027</v>
      </c>
      <c r="N65" s="13">
        <f>SVY!O64</f>
        <v>0.58904426748223304</v>
      </c>
      <c r="O65" s="15"/>
      <c r="P65" s="13"/>
      <c r="Q65" s="13"/>
      <c r="R65" s="13"/>
      <c r="S65" s="13">
        <v>1</v>
      </c>
    </row>
    <row r="66" spans="1:19" x14ac:dyDescent="0.35">
      <c r="A66" s="12" t="s">
        <v>192</v>
      </c>
      <c r="B66" s="13" t="s">
        <v>531</v>
      </c>
      <c r="C66" s="13">
        <f>SVY!D65</f>
        <v>6.4986994487239186E-2</v>
      </c>
      <c r="D66" s="13">
        <f>SVY!E65</f>
        <v>7.2591893440648217E-2</v>
      </c>
      <c r="E66" s="13">
        <f>SVY!F65</f>
        <v>1.2672425988630245E-2</v>
      </c>
      <c r="F66" s="13">
        <f>SVY!G65</f>
        <v>0</v>
      </c>
      <c r="G66" s="13">
        <f>SVY!H65</f>
        <v>1.3139630828499789E-3</v>
      </c>
      <c r="H66" s="13">
        <f>SVY!I65</f>
        <v>7.9025843976392278E-3</v>
      </c>
      <c r="I66" s="13">
        <f>SVY!J65</f>
        <v>0</v>
      </c>
      <c r="J66" s="13">
        <f>SVY!K65</f>
        <v>0</v>
      </c>
      <c r="K66" s="13">
        <f>SVY!L65</f>
        <v>2.9086706428002932E-2</v>
      </c>
      <c r="L66" s="13">
        <f>SVY!M65</f>
        <v>3.2923063063436987E-2</v>
      </c>
      <c r="M66" s="13">
        <f>SVY!N65</f>
        <v>0.18947810162932027</v>
      </c>
      <c r="N66" s="13">
        <f>SVY!O65</f>
        <v>0.58904426748223304</v>
      </c>
      <c r="O66" s="15"/>
      <c r="P66" s="13"/>
      <c r="Q66" s="13"/>
      <c r="R66" s="13"/>
      <c r="S66" s="13">
        <v>1</v>
      </c>
    </row>
    <row r="67" spans="1:19" x14ac:dyDescent="0.35">
      <c r="A67" s="12" t="s">
        <v>194</v>
      </c>
      <c r="B67" s="13" t="s">
        <v>500</v>
      </c>
      <c r="C67" s="13">
        <f>SVY!D66</f>
        <v>0.38217581667150008</v>
      </c>
      <c r="D67" s="13">
        <f>SVY!E66</f>
        <v>0.42689874148369511</v>
      </c>
      <c r="E67" s="13">
        <f>SVY!F66</f>
        <v>7.4524061154495988E-2</v>
      </c>
      <c r="F67" s="13">
        <f>SVY!G66</f>
        <v>0</v>
      </c>
      <c r="G67" s="13">
        <f>SVY!H66</f>
        <v>9.1977415799498526E-3</v>
      </c>
      <c r="H67" s="13">
        <f>SVY!I66</f>
        <v>5.5318090783474584E-2</v>
      </c>
      <c r="I67" s="13">
        <f>SVY!J66</f>
        <v>0</v>
      </c>
      <c r="J67" s="13">
        <f>SVY!K66</f>
        <v>0</v>
      </c>
      <c r="K67" s="13">
        <f>SVY!L66</f>
        <v>1.7955050648609089E-3</v>
      </c>
      <c r="L67" s="13">
        <f>SVY!M66</f>
        <v>2.0323210751776719E-3</v>
      </c>
      <c r="M67" s="13">
        <f>SVY!N66</f>
        <v>1.1696370367603459E-2</v>
      </c>
      <c r="N67" s="13">
        <f>SVY!O66</f>
        <v>3.6361351819242382E-2</v>
      </c>
      <c r="O67" s="15"/>
      <c r="P67" s="13"/>
      <c r="Q67" s="13"/>
      <c r="R67" s="13"/>
      <c r="S67" s="13">
        <v>1</v>
      </c>
    </row>
    <row r="68" spans="1:19" x14ac:dyDescent="0.35">
      <c r="A68" s="12" t="s">
        <v>196</v>
      </c>
      <c r="B68" s="13" t="s">
        <v>532</v>
      </c>
      <c r="C68" s="13">
        <f>SVY!D67</f>
        <v>0.38217581667150008</v>
      </c>
      <c r="D68" s="13">
        <f>SVY!E67</f>
        <v>0.42689874148369511</v>
      </c>
      <c r="E68" s="13">
        <f>SVY!F67</f>
        <v>7.4524061154495988E-2</v>
      </c>
      <c r="F68" s="13">
        <f>SVY!G67</f>
        <v>0</v>
      </c>
      <c r="G68" s="13">
        <f>SVY!H67</f>
        <v>9.1977415799498526E-3</v>
      </c>
      <c r="H68" s="13">
        <f>SVY!I67</f>
        <v>5.5318090783474584E-2</v>
      </c>
      <c r="I68" s="13">
        <f>SVY!J67</f>
        <v>0</v>
      </c>
      <c r="J68" s="13">
        <f>SVY!K67</f>
        <v>0</v>
      </c>
      <c r="K68" s="13">
        <f>SVY!L67</f>
        <v>1.7955050648609089E-3</v>
      </c>
      <c r="L68" s="13">
        <f>SVY!M67</f>
        <v>2.0323210751776719E-3</v>
      </c>
      <c r="M68" s="13">
        <f>SVY!N67</f>
        <v>1.1696370367603459E-2</v>
      </c>
      <c r="N68" s="13">
        <f>SVY!O67</f>
        <v>3.6361351819242382E-2</v>
      </c>
      <c r="O68" s="15"/>
      <c r="P68" s="13"/>
      <c r="Q68" s="13"/>
      <c r="R68" s="13"/>
      <c r="S68" s="13">
        <v>1</v>
      </c>
    </row>
    <row r="69" spans="1:19" x14ac:dyDescent="0.35">
      <c r="A69" s="12" t="s">
        <v>198</v>
      </c>
      <c r="B69" s="13" t="s">
        <v>533</v>
      </c>
      <c r="C69" s="13">
        <f>SVY!D68</f>
        <v>0.38217581667150008</v>
      </c>
      <c r="D69" s="13">
        <f>SVY!E68</f>
        <v>0.42689874148369511</v>
      </c>
      <c r="E69" s="13">
        <f>SVY!F68</f>
        <v>7.4524061154495988E-2</v>
      </c>
      <c r="F69" s="13">
        <f>SVY!G68</f>
        <v>0</v>
      </c>
      <c r="G69" s="13">
        <f>SVY!H68</f>
        <v>9.1977415799498526E-3</v>
      </c>
      <c r="H69" s="13">
        <f>SVY!I68</f>
        <v>5.5318090783474584E-2</v>
      </c>
      <c r="I69" s="13">
        <f>SVY!J68</f>
        <v>0</v>
      </c>
      <c r="J69" s="13">
        <f>SVY!K68</f>
        <v>0</v>
      </c>
      <c r="K69" s="13">
        <f>SVY!L68</f>
        <v>1.7955050648609089E-3</v>
      </c>
      <c r="L69" s="13">
        <f>SVY!M68</f>
        <v>2.0323210751776719E-3</v>
      </c>
      <c r="M69" s="13">
        <f>SVY!N68</f>
        <v>1.1696370367603459E-2</v>
      </c>
      <c r="N69" s="13">
        <f>SVY!O68</f>
        <v>3.6361351819242382E-2</v>
      </c>
      <c r="O69" s="15"/>
      <c r="P69" s="13"/>
      <c r="Q69" s="13"/>
      <c r="R69" s="13"/>
      <c r="S69" s="13">
        <v>1</v>
      </c>
    </row>
    <row r="70" spans="1:19" x14ac:dyDescent="0.35">
      <c r="A70" s="12" t="s">
        <v>200</v>
      </c>
      <c r="B70" s="13" t="s">
        <v>501</v>
      </c>
      <c r="C70" s="13">
        <f>SVY!D69</f>
        <v>0.21088731918919801</v>
      </c>
      <c r="D70" s="13">
        <f>SVY!E69</f>
        <v>0.27558524616622299</v>
      </c>
      <c r="E70" s="13">
        <f>SVY!F69</f>
        <v>1.5419161896574496E-2</v>
      </c>
      <c r="F70" s="13">
        <f>SVY!G69</f>
        <v>0</v>
      </c>
      <c r="G70" s="13">
        <f>SVY!H69</f>
        <v>9.190731173618201E-2</v>
      </c>
      <c r="H70" s="13">
        <f>SVY!I69</f>
        <v>0</v>
      </c>
      <c r="I70" s="13">
        <f>SVY!J69</f>
        <v>0</v>
      </c>
      <c r="J70" s="13">
        <f>SVY!K69</f>
        <v>0</v>
      </c>
      <c r="K70" s="13">
        <f>SVY!L69</f>
        <v>9.5654489374477847E-2</v>
      </c>
      <c r="L70" s="13">
        <f>SVY!M69</f>
        <v>8.0085190046968527E-2</v>
      </c>
      <c r="M70" s="13">
        <f>SVY!N69</f>
        <v>0.16520516417746253</v>
      </c>
      <c r="N70" s="13">
        <f>SVY!O69</f>
        <v>6.5256117412913733E-2</v>
      </c>
      <c r="O70" s="15"/>
      <c r="P70" s="13"/>
      <c r="Q70" s="13"/>
      <c r="R70" s="13"/>
      <c r="S70" s="13">
        <v>1</v>
      </c>
    </row>
    <row r="71" spans="1:19" x14ac:dyDescent="0.35">
      <c r="A71" s="12" t="s">
        <v>202</v>
      </c>
      <c r="B71" s="13" t="s">
        <v>502</v>
      </c>
      <c r="C71" s="13">
        <f>SVY!D70</f>
        <v>0.20943512651083879</v>
      </c>
      <c r="D71" s="13">
        <f>SVY!E70</f>
        <v>0.27368753662975071</v>
      </c>
      <c r="E71" s="13">
        <f>SVY!F70</f>
        <v>1.5312983895456501E-2</v>
      </c>
      <c r="F71" s="13">
        <f>SVY!G70</f>
        <v>0</v>
      </c>
      <c r="G71" s="13">
        <f>SVY!H70</f>
        <v>1.8884947882367321E-2</v>
      </c>
      <c r="H71" s="13">
        <f>SVY!I70</f>
        <v>0</v>
      </c>
      <c r="I71" s="13">
        <f>SVY!J70</f>
        <v>0</v>
      </c>
      <c r="J71" s="13">
        <f>SVY!K70</f>
        <v>0</v>
      </c>
      <c r="K71" s="13">
        <f>SVY!L70</f>
        <v>0.11366406398854416</v>
      </c>
      <c r="L71" s="13">
        <f>SVY!M70</f>
        <v>9.5163418105727968E-2</v>
      </c>
      <c r="M71" s="13">
        <f>SVY!N70</f>
        <v>0.19630955614421258</v>
      </c>
      <c r="N71" s="13">
        <f>SVY!O70</f>
        <v>7.7542366843102131E-2</v>
      </c>
      <c r="O71" s="15"/>
      <c r="P71" s="13"/>
      <c r="Q71" s="13"/>
      <c r="R71" s="13"/>
      <c r="S71" s="13">
        <v>1</v>
      </c>
    </row>
    <row r="72" spans="1:19" x14ac:dyDescent="0.35">
      <c r="A72" s="12" t="s">
        <v>204</v>
      </c>
      <c r="B72" s="13" t="s">
        <v>503</v>
      </c>
      <c r="C72" s="13">
        <f>SVY!D71</f>
        <v>0.20943512651083879</v>
      </c>
      <c r="D72" s="13">
        <f>SVY!E71</f>
        <v>0.27368753662975071</v>
      </c>
      <c r="E72" s="13">
        <f>SVY!F71</f>
        <v>1.5312983895456501E-2</v>
      </c>
      <c r="F72" s="13">
        <f>SVY!G71</f>
        <v>0</v>
      </c>
      <c r="G72" s="13">
        <f>SVY!H71</f>
        <v>1.8884947882367321E-2</v>
      </c>
      <c r="H72" s="13">
        <f>SVY!I71</f>
        <v>0</v>
      </c>
      <c r="I72" s="13">
        <f>SVY!J71</f>
        <v>0</v>
      </c>
      <c r="J72" s="13">
        <f>SVY!K71</f>
        <v>0</v>
      </c>
      <c r="K72" s="13">
        <f>SVY!L71</f>
        <v>0.11366406398854416</v>
      </c>
      <c r="L72" s="13">
        <f>SVY!M71</f>
        <v>9.5163418105727968E-2</v>
      </c>
      <c r="M72" s="13">
        <f>SVY!N71</f>
        <v>0.19630955614421258</v>
      </c>
      <c r="N72" s="13">
        <f>SVY!O71</f>
        <v>7.7542366843102131E-2</v>
      </c>
      <c r="O72" s="15"/>
      <c r="P72" s="13"/>
      <c r="Q72" s="13"/>
      <c r="R72" s="13"/>
      <c r="S72" s="13">
        <v>1</v>
      </c>
    </row>
    <row r="73" spans="1:19" x14ac:dyDescent="0.35">
      <c r="A73" s="12" t="s">
        <v>206</v>
      </c>
      <c r="B73" s="13" t="s">
        <v>534</v>
      </c>
      <c r="C73" s="13">
        <f>SVY!D72</f>
        <v>8.7456316653139604E-2</v>
      </c>
      <c r="D73" s="13">
        <f>SVY!E72</f>
        <v>0.52371157235206856</v>
      </c>
      <c r="E73" s="13">
        <f>SVY!F72</f>
        <v>0</v>
      </c>
      <c r="F73" s="13">
        <f>SVY!G72</f>
        <v>0</v>
      </c>
      <c r="G73" s="13">
        <f>SVY!H72</f>
        <v>0</v>
      </c>
      <c r="H73" s="13">
        <f>SVY!I72</f>
        <v>2.4068446484223096E-2</v>
      </c>
      <c r="I73" s="13">
        <f>SVY!J72</f>
        <v>5.147134504524617E-2</v>
      </c>
      <c r="J73" s="13">
        <f>SVY!K72</f>
        <v>0</v>
      </c>
      <c r="K73" s="13">
        <f>SVY!L72</f>
        <v>9.1935024030810525E-2</v>
      </c>
      <c r="L73" s="13">
        <f>SVY!M72</f>
        <v>8.9240835387933162E-2</v>
      </c>
      <c r="M73" s="13">
        <f>SVY!N72</f>
        <v>6.495496835517546E-2</v>
      </c>
      <c r="N73" s="13">
        <f>SVY!O72</f>
        <v>6.7161491691403438E-2</v>
      </c>
      <c r="O73" s="15"/>
      <c r="P73" s="13"/>
      <c r="Q73" s="13"/>
      <c r="R73" s="13"/>
      <c r="S73" s="13">
        <v>1</v>
      </c>
    </row>
    <row r="74" spans="1:19" x14ac:dyDescent="0.35">
      <c r="A74" s="12" t="s">
        <v>208</v>
      </c>
      <c r="B74" s="13" t="s">
        <v>504</v>
      </c>
      <c r="C74" s="13">
        <f>SVY!D73</f>
        <v>7.3435277107721977E-2</v>
      </c>
      <c r="D74" s="13">
        <f>SVY!E73</f>
        <v>0.43974987641803781</v>
      </c>
      <c r="E74" s="13">
        <f>SVY!F73</f>
        <v>0</v>
      </c>
      <c r="F74" s="13">
        <f>SVY!G73</f>
        <v>0</v>
      </c>
      <c r="G74" s="13">
        <f>SVY!H73</f>
        <v>0</v>
      </c>
      <c r="H74" s="13">
        <f>SVY!I73</f>
        <v>1.203422324211155E-2</v>
      </c>
      <c r="I74" s="13">
        <f>SVY!J73</f>
        <v>2.5735672522623088E-2</v>
      </c>
      <c r="J74" s="13">
        <f>SVY!K73</f>
        <v>0</v>
      </c>
      <c r="K74" s="13">
        <f>SVY!L73</f>
        <v>0.13177137059998059</v>
      </c>
      <c r="L74" s="13">
        <f>SVY!M73</f>
        <v>0.12790976362408127</v>
      </c>
      <c r="M74" s="13">
        <f>SVY!N73</f>
        <v>9.3100592485529335E-2</v>
      </c>
      <c r="N74" s="13">
        <f>SVY!O73</f>
        <v>9.6263223999914535E-2</v>
      </c>
      <c r="O74" s="15"/>
      <c r="P74" s="13"/>
      <c r="Q74" s="13"/>
      <c r="R74" s="13"/>
      <c r="S74" s="13">
        <v>1</v>
      </c>
    </row>
    <row r="75" spans="1:19" x14ac:dyDescent="0.35">
      <c r="A75" s="12" t="s">
        <v>210</v>
      </c>
      <c r="B75" s="13" t="s">
        <v>535</v>
      </c>
      <c r="C75" s="13">
        <f>SVY!D74</f>
        <v>7.2461631990917333E-2</v>
      </c>
      <c r="D75" s="13">
        <f>SVY!E74</f>
        <v>0.43391943175093606</v>
      </c>
      <c r="E75" s="13">
        <f>SVY!F74</f>
        <v>0</v>
      </c>
      <c r="F75" s="13">
        <f>SVY!G74</f>
        <v>0</v>
      </c>
      <c r="G75" s="13">
        <f>SVY!H74</f>
        <v>0</v>
      </c>
      <c r="H75" s="13">
        <f>SVY!I74</f>
        <v>1.2034223242111548E-2</v>
      </c>
      <c r="I75" s="13">
        <f>SVY!J74</f>
        <v>2.5735672522623085E-2</v>
      </c>
      <c r="J75" s="13">
        <f>SVY!K74</f>
        <v>0</v>
      </c>
      <c r="K75" s="13">
        <f>SVY!L74</f>
        <v>0.1337680175617024</v>
      </c>
      <c r="L75" s="13">
        <f>SVY!M74</f>
        <v>0.12984789813502801</v>
      </c>
      <c r="M75" s="13">
        <f>SVY!N74</f>
        <v>9.4511285978921292E-2</v>
      </c>
      <c r="N75" s="13">
        <f>SVY!O74</f>
        <v>9.7721838817760281E-2</v>
      </c>
      <c r="O75" s="15"/>
      <c r="P75" s="13"/>
      <c r="Q75" s="13"/>
      <c r="R75" s="13"/>
      <c r="S75" s="13">
        <v>1</v>
      </c>
    </row>
    <row r="76" spans="1:19" x14ac:dyDescent="0.35">
      <c r="A76" s="12" t="s">
        <v>212</v>
      </c>
      <c r="B76" s="13" t="s">
        <v>505</v>
      </c>
      <c r="C76" s="13">
        <f>SVY!D75</f>
        <v>4.0804995429442485E-2</v>
      </c>
      <c r="D76" s="13">
        <f>SVY!E75</f>
        <v>4.9623721851534332E-2</v>
      </c>
      <c r="E76" s="13">
        <f>SVY!F75</f>
        <v>6.7158176712944231E-2</v>
      </c>
      <c r="F76" s="13">
        <f>SVY!G75</f>
        <v>8.1261230152744321E-2</v>
      </c>
      <c r="G76" s="13">
        <f>SVY!H75</f>
        <v>2.6977754156448191E-2</v>
      </c>
      <c r="H76" s="13">
        <f>SVY!I75</f>
        <v>2.6514109791829363E-2</v>
      </c>
      <c r="I76" s="13">
        <f>SVY!J75</f>
        <v>1.5947768216610089E-2</v>
      </c>
      <c r="J76" s="13">
        <f>SVY!K75</f>
        <v>2.2479701450311335E-2</v>
      </c>
      <c r="K76" s="13">
        <f>SVY!L75</f>
        <v>5.7468977427701982E-2</v>
      </c>
      <c r="L76" s="13">
        <f>SVY!M75</f>
        <v>1.0150397509662186E-2</v>
      </c>
      <c r="M76" s="13">
        <f>SVY!N75</f>
        <v>6.5329570225337294E-2</v>
      </c>
      <c r="N76" s="13">
        <f>SVY!O75</f>
        <v>0.53628359707543427</v>
      </c>
      <c r="O76" s="15"/>
      <c r="P76" s="13"/>
      <c r="Q76" s="13"/>
      <c r="R76" s="13"/>
      <c r="S76" s="13">
        <v>1</v>
      </c>
    </row>
    <row r="77" spans="1:19" x14ac:dyDescent="0.35">
      <c r="A77" s="12" t="s">
        <v>214</v>
      </c>
      <c r="B77" s="13" t="s">
        <v>506</v>
      </c>
      <c r="C77" s="13">
        <f>SVY!D76</f>
        <v>5.4206115966403401E-2</v>
      </c>
      <c r="D77" s="13">
        <f>SVY!E76</f>
        <v>6.5921076403991849E-2</v>
      </c>
      <c r="E77" s="13">
        <f>SVY!F76</f>
        <v>8.9214172840401312E-2</v>
      </c>
      <c r="F77" s="13">
        <f>SVY!G76</f>
        <v>0.10794893171471771</v>
      </c>
      <c r="G77" s="13">
        <f>SVY!H76</f>
        <v>4.4685863238237977E-2</v>
      </c>
      <c r="H77" s="13">
        <f>SVY!I76</f>
        <v>4.3917884237896151E-2</v>
      </c>
      <c r="I77" s="13">
        <f>SVY!J76</f>
        <v>2.6415830811929261E-2</v>
      </c>
      <c r="J77" s="13">
        <f>SVY!K76</f>
        <v>3.723530353266756E-2</v>
      </c>
      <c r="K77" s="13">
        <f>SVY!L76</f>
        <v>4.5551724139260737E-2</v>
      </c>
      <c r="L77" s="13">
        <f>SVY!M76</f>
        <v>8.0455252200310433E-3</v>
      </c>
      <c r="M77" s="13">
        <f>SVY!N76</f>
        <v>5.1782277921767143E-2</v>
      </c>
      <c r="N77" s="13">
        <f>SVY!O76</f>
        <v>0.42507529397269583</v>
      </c>
      <c r="O77" s="15"/>
      <c r="P77" s="13"/>
      <c r="Q77" s="13"/>
      <c r="R77" s="13"/>
      <c r="S77" s="13">
        <v>1</v>
      </c>
    </row>
    <row r="78" spans="1:19" x14ac:dyDescent="0.35">
      <c r="A78" s="12" t="s">
        <v>216</v>
      </c>
      <c r="B78" s="13" t="s">
        <v>536</v>
      </c>
      <c r="C78" s="13">
        <f>SVY!D77</f>
        <v>1.2860246648279255E-2</v>
      </c>
      <c r="D78" s="13">
        <f>SVY!E77</f>
        <v>1.5639587650973442E-2</v>
      </c>
      <c r="E78" s="13">
        <f>SVY!F77</f>
        <v>2.1165808447904229E-2</v>
      </c>
      <c r="F78" s="13">
        <f>SVY!G77</f>
        <v>2.5610576639173942E-2</v>
      </c>
      <c r="G78" s="13">
        <f>SVY!H77</f>
        <v>0.17776990918407928</v>
      </c>
      <c r="H78" s="13">
        <f>SVY!I77</f>
        <v>0.1747147246748714</v>
      </c>
      <c r="I78" s="13">
        <f>SVY!J77</f>
        <v>0.10508781758165348</v>
      </c>
      <c r="J78" s="13">
        <f>SVY!K77</f>
        <v>0.14812999118208256</v>
      </c>
      <c r="K78" s="13">
        <f>SVY!L77</f>
        <v>2.7395305689476245E-2</v>
      </c>
      <c r="L78" s="13">
        <f>SVY!M77</f>
        <v>4.8386669659595044E-3</v>
      </c>
      <c r="M78" s="13">
        <f>SVY!N77</f>
        <v>3.1142428958941488E-2</v>
      </c>
      <c r="N78" s="13">
        <f>SVY!O77</f>
        <v>0.25564493637660518</v>
      </c>
      <c r="O78" s="15"/>
      <c r="P78" s="13"/>
      <c r="Q78" s="13"/>
      <c r="R78" s="13"/>
      <c r="S78" s="13">
        <v>1</v>
      </c>
    </row>
    <row r="79" spans="1:19" x14ac:dyDescent="0.35">
      <c r="A79" s="12" t="s">
        <v>218</v>
      </c>
      <c r="B79" s="13" t="s">
        <v>507</v>
      </c>
      <c r="C79" s="13">
        <f>SVY!D78</f>
        <v>0.2132998120027543</v>
      </c>
      <c r="D79" s="13">
        <f>SVY!E78</f>
        <v>0.39684497604278529</v>
      </c>
      <c r="E79" s="13">
        <f>SVY!F78</f>
        <v>6.1214440511489679E-2</v>
      </c>
      <c r="F79" s="13">
        <f>SVY!G78</f>
        <v>1.4487097097305139E-2</v>
      </c>
      <c r="G79" s="13">
        <f>SVY!H78</f>
        <v>2.5745291843753616E-2</v>
      </c>
      <c r="H79" s="13">
        <f>SVY!I78</f>
        <v>4.652704976239979E-2</v>
      </c>
      <c r="I79" s="13">
        <f>SVY!J78</f>
        <v>1.3538618456955427E-2</v>
      </c>
      <c r="J79" s="13">
        <f>SVY!K78</f>
        <v>7.4402726244904879E-4</v>
      </c>
      <c r="K79" s="13">
        <f>SVY!L78</f>
        <v>4.0313673351551699E-2</v>
      </c>
      <c r="L79" s="13">
        <f>SVY!M78</f>
        <v>7.8539413602789529E-2</v>
      </c>
      <c r="M79" s="13">
        <f>SVY!N78</f>
        <v>4.5103964792429466E-2</v>
      </c>
      <c r="N79" s="13">
        <f>SVY!O78</f>
        <v>6.3641635273337091E-2</v>
      </c>
      <c r="O79" s="15"/>
      <c r="P79" s="13"/>
      <c r="Q79" s="13"/>
      <c r="R79" s="13"/>
      <c r="S79" s="13">
        <v>1</v>
      </c>
    </row>
    <row r="80" spans="1:19" x14ac:dyDescent="0.35">
      <c r="A80" s="12" t="s">
        <v>220</v>
      </c>
      <c r="B80" s="13" t="s">
        <v>537</v>
      </c>
      <c r="C80" s="13">
        <f>SVY!D79</f>
        <v>0.2132998120027543</v>
      </c>
      <c r="D80" s="13">
        <f>SVY!E79</f>
        <v>0.39684497604278529</v>
      </c>
      <c r="E80" s="13">
        <f>SVY!F79</f>
        <v>6.1214440511489679E-2</v>
      </c>
      <c r="F80" s="13">
        <f>SVY!G79</f>
        <v>1.4487097097305139E-2</v>
      </c>
      <c r="G80" s="13">
        <f>SVY!H79</f>
        <v>2.5745291843753616E-2</v>
      </c>
      <c r="H80" s="13">
        <f>SVY!I79</f>
        <v>4.652704976239979E-2</v>
      </c>
      <c r="I80" s="13">
        <f>SVY!J79</f>
        <v>1.3538618456955427E-2</v>
      </c>
      <c r="J80" s="13">
        <f>SVY!K79</f>
        <v>7.4402726244904879E-4</v>
      </c>
      <c r="K80" s="13">
        <f>SVY!L79</f>
        <v>4.0313673351551699E-2</v>
      </c>
      <c r="L80" s="13">
        <f>SVY!M79</f>
        <v>7.8539413602789529E-2</v>
      </c>
      <c r="M80" s="13">
        <f>SVY!N79</f>
        <v>4.5103964792429466E-2</v>
      </c>
      <c r="N80" s="13">
        <f>SVY!O79</f>
        <v>6.3641635273337091E-2</v>
      </c>
      <c r="O80" s="15"/>
      <c r="P80" s="13"/>
      <c r="Q80" s="13"/>
      <c r="R80" s="13"/>
      <c r="S80" s="13">
        <v>1</v>
      </c>
    </row>
    <row r="81" spans="1:19" x14ac:dyDescent="0.35">
      <c r="A81" s="12" t="s">
        <v>222</v>
      </c>
      <c r="B81" s="13" t="s">
        <v>538</v>
      </c>
      <c r="C81" s="13">
        <f>SVY!D80</f>
        <v>4.5474606654759178E-2</v>
      </c>
      <c r="D81" s="13">
        <f>SVY!E80</f>
        <v>4.1764207285926384E-2</v>
      </c>
      <c r="E81" s="13">
        <f>SVY!F80</f>
        <v>1.9091503966873008E-2</v>
      </c>
      <c r="F81" s="13">
        <f>SVY!G80</f>
        <v>6.5192830700575698E-3</v>
      </c>
      <c r="G81" s="13">
        <f>SVY!H80</f>
        <v>3.4111042275488386E-3</v>
      </c>
      <c r="H81" s="13">
        <f>SVY!I80</f>
        <v>3.3414846489401395E-3</v>
      </c>
      <c r="I81" s="13">
        <f>SVY!J80</f>
        <v>2.3534830102893436E-3</v>
      </c>
      <c r="J81" s="13">
        <f>SVY!K80</f>
        <v>8.0260207201921022E-3</v>
      </c>
      <c r="K81" s="13">
        <f>SVY!L80</f>
        <v>5.5758083644428413E-2</v>
      </c>
      <c r="L81" s="13">
        <f>SVY!M80</f>
        <v>0.11279232237021691</v>
      </c>
      <c r="M81" s="13">
        <f>SVY!N80</f>
        <v>0.2022098690299422</v>
      </c>
      <c r="N81" s="13">
        <f>SVY!O80</f>
        <v>0.49925803137082597</v>
      </c>
      <c r="O81" s="15"/>
      <c r="P81" s="13"/>
      <c r="Q81" s="13"/>
      <c r="R81" s="13"/>
      <c r="S81" s="13">
        <v>1</v>
      </c>
    </row>
    <row r="82" spans="1:19" x14ac:dyDescent="0.35">
      <c r="A82" s="12" t="s">
        <v>224</v>
      </c>
      <c r="B82" s="13" t="s">
        <v>539</v>
      </c>
      <c r="C82" s="13">
        <f>SVY!D81</f>
        <v>4.5474606654759178E-2</v>
      </c>
      <c r="D82" s="13">
        <f>SVY!E81</f>
        <v>4.1764207285926384E-2</v>
      </c>
      <c r="E82" s="13">
        <f>SVY!F81</f>
        <v>1.9091503966873008E-2</v>
      </c>
      <c r="F82" s="13">
        <f>SVY!G81</f>
        <v>6.5192830700575698E-3</v>
      </c>
      <c r="G82" s="13">
        <f>SVY!H81</f>
        <v>3.4111042275488386E-3</v>
      </c>
      <c r="H82" s="13">
        <f>SVY!I81</f>
        <v>3.3414846489401395E-3</v>
      </c>
      <c r="I82" s="13">
        <f>SVY!J81</f>
        <v>2.3534830102893436E-3</v>
      </c>
      <c r="J82" s="13">
        <f>SVY!K81</f>
        <v>8.0260207201921022E-3</v>
      </c>
      <c r="K82" s="13">
        <f>SVY!L81</f>
        <v>5.5758083644428413E-2</v>
      </c>
      <c r="L82" s="13">
        <f>SVY!M81</f>
        <v>0.11279232237021691</v>
      </c>
      <c r="M82" s="13">
        <f>SVY!N81</f>
        <v>0.2022098690299422</v>
      </c>
      <c r="N82" s="13">
        <f>SVY!O81</f>
        <v>0.49925803137082597</v>
      </c>
      <c r="O82" s="15"/>
      <c r="P82" s="13"/>
      <c r="Q82" s="13"/>
      <c r="R82" s="13"/>
      <c r="S82" s="13">
        <v>1</v>
      </c>
    </row>
    <row r="83" spans="1:19" x14ac:dyDescent="0.35">
      <c r="A83" s="12" t="s">
        <v>226</v>
      </c>
      <c r="B83" s="13" t="s">
        <v>540</v>
      </c>
      <c r="C83" s="13">
        <f>SVY!D82</f>
        <v>7.965414231976975E-2</v>
      </c>
      <c r="D83" s="13">
        <f>SVY!E82</f>
        <v>7.3154939772907032E-2</v>
      </c>
      <c r="E83" s="13">
        <f>SVY!F82</f>
        <v>3.3441023154327815E-2</v>
      </c>
      <c r="F83" s="13">
        <f>SVY!G82</f>
        <v>1.1419293968337924E-2</v>
      </c>
      <c r="G83" s="13">
        <f>SVY!H82</f>
        <v>1.8532130153442412E-2</v>
      </c>
      <c r="H83" s="13">
        <f>SVY!I82</f>
        <v>1.8153895128671167E-2</v>
      </c>
      <c r="I83" s="13">
        <f>SVY!J82</f>
        <v>1.2786197826601915E-2</v>
      </c>
      <c r="J83" s="13">
        <f>SVY!K82</f>
        <v>4.3604431491589796E-2</v>
      </c>
      <c r="K83" s="13">
        <f>SVY!L82</f>
        <v>4.5454952573843237E-2</v>
      </c>
      <c r="L83" s="13">
        <f>SVY!M82</f>
        <v>9.1950248805657372E-2</v>
      </c>
      <c r="M83" s="13">
        <f>SVY!N82</f>
        <v>0.16484497683480778</v>
      </c>
      <c r="N83" s="13">
        <f>SVY!O82</f>
        <v>0.40700376797004378</v>
      </c>
      <c r="O83" s="15"/>
      <c r="P83" s="13"/>
      <c r="Q83" s="13"/>
      <c r="R83" s="13"/>
      <c r="S83" s="13">
        <v>1</v>
      </c>
    </row>
    <row r="84" spans="1:19" x14ac:dyDescent="0.35">
      <c r="A84" s="12" t="s">
        <v>228</v>
      </c>
      <c r="B84" s="13" t="s">
        <v>541</v>
      </c>
      <c r="C84" s="13">
        <f>SVY!D83</f>
        <v>0.12112624674977508</v>
      </c>
      <c r="D84" s="13">
        <f>SVY!E83</f>
        <v>0.11124322009928693</v>
      </c>
      <c r="E84" s="13">
        <f>SVY!F83</f>
        <v>5.0852165426564608E-2</v>
      </c>
      <c r="F84" s="13">
        <f>SVY!G83</f>
        <v>1.7364774494267831E-2</v>
      </c>
      <c r="G84" s="13">
        <f>SVY!H83</f>
        <v>4.2962719568352348E-2</v>
      </c>
      <c r="H84" s="13">
        <f>SVY!I83</f>
        <v>4.2085863795938219E-2</v>
      </c>
      <c r="I84" s="13">
        <f>SVY!J83</f>
        <v>2.9642023179280028E-2</v>
      </c>
      <c r="J84" s="13">
        <f>SVY!K83</f>
        <v>0.10108740585132463</v>
      </c>
      <c r="K84" s="13">
        <f>SVY!L83</f>
        <v>3.099543190158513E-2</v>
      </c>
      <c r="L84" s="13">
        <f>SVY!M83</f>
        <v>6.270026727141717E-2</v>
      </c>
      <c r="M84" s="13">
        <f>SVY!N83</f>
        <v>0.11240670079902049</v>
      </c>
      <c r="N84" s="13">
        <f>SVY!O83</f>
        <v>0.27753318086318757</v>
      </c>
      <c r="O84" s="15"/>
      <c r="P84" s="13"/>
      <c r="Q84" s="13"/>
      <c r="R84" s="13"/>
      <c r="S84" s="13">
        <v>1</v>
      </c>
    </row>
    <row r="85" spans="1:19" x14ac:dyDescent="0.35">
      <c r="A85" s="12" t="s">
        <v>230</v>
      </c>
      <c r="B85" s="13" t="s">
        <v>542</v>
      </c>
      <c r="C85" s="13">
        <f>SVY!D84</f>
        <v>0.10265696952321264</v>
      </c>
      <c r="D85" s="13">
        <f>SVY!E84</f>
        <v>0.11176399399140505</v>
      </c>
      <c r="E85" s="13">
        <f>SVY!F84</f>
        <v>2.5795044754078157E-2</v>
      </c>
      <c r="F85" s="13">
        <f>SVY!G84</f>
        <v>5.9438814090541782E-2</v>
      </c>
      <c r="G85" s="13">
        <f>SVY!H84</f>
        <v>3.5128239511919859E-2</v>
      </c>
      <c r="H85" s="13">
        <f>SVY!I84</f>
        <v>8.2246059380114533E-2</v>
      </c>
      <c r="I85" s="13">
        <f>SVY!J84</f>
        <v>8.0380699043551898E-2</v>
      </c>
      <c r="J85" s="13">
        <f>SVY!K84</f>
        <v>3.7975820308815966E-2</v>
      </c>
      <c r="K85" s="13">
        <f>SVY!L84</f>
        <v>5.7756672656026228E-2</v>
      </c>
      <c r="L85" s="13">
        <f>SVY!M84</f>
        <v>5.3894752023274109E-2</v>
      </c>
      <c r="M85" s="13">
        <f>SVY!N84</f>
        <v>9.5324042102300721E-2</v>
      </c>
      <c r="N85" s="13">
        <f>SVY!O84</f>
        <v>0.25763889261475914</v>
      </c>
      <c r="O85" s="15"/>
      <c r="P85" s="13"/>
      <c r="Q85" s="13"/>
      <c r="R85" s="13"/>
      <c r="S85" s="13">
        <v>1</v>
      </c>
    </row>
    <row r="86" spans="1:19" x14ac:dyDescent="0.35">
      <c r="A86" s="12" t="s">
        <v>232</v>
      </c>
      <c r="B86" s="13" t="s">
        <v>543</v>
      </c>
      <c r="C86" s="13">
        <f>SVY!D85</f>
        <v>5.1430583810827352E-2</v>
      </c>
      <c r="D86" s="13">
        <f>SVY!E85</f>
        <v>5.5993153574517042E-2</v>
      </c>
      <c r="E86" s="13">
        <f>SVY!F85</f>
        <v>1.2923177230832613E-2</v>
      </c>
      <c r="F86" s="13">
        <f>SVY!G85</f>
        <v>2.9778522821176368E-2</v>
      </c>
      <c r="G86" s="13">
        <f>SVY!H85</f>
        <v>1.756411975595993E-2</v>
      </c>
      <c r="H86" s="13">
        <f>SVY!I85</f>
        <v>4.1123029690057267E-2</v>
      </c>
      <c r="I86" s="13">
        <f>SVY!J85</f>
        <v>4.0190349521775949E-2</v>
      </c>
      <c r="J86" s="13">
        <f>SVY!K85</f>
        <v>1.8987910154407983E-2</v>
      </c>
      <c r="K86" s="13">
        <f>SVY!L85</f>
        <v>9.0996785186329518E-2</v>
      </c>
      <c r="L86" s="13">
        <f>SVY!M85</f>
        <v>8.4912252506995356E-2</v>
      </c>
      <c r="M86" s="13">
        <f>SVY!N85</f>
        <v>0.15018492207706222</v>
      </c>
      <c r="N86" s="13">
        <f>SVY!O85</f>
        <v>0.40591519367005846</v>
      </c>
      <c r="O86" s="15"/>
      <c r="P86" s="13"/>
      <c r="Q86" s="13"/>
      <c r="R86" s="13"/>
      <c r="S86" s="13">
        <v>1</v>
      </c>
    </row>
    <row r="87" spans="1:19" x14ac:dyDescent="0.35">
      <c r="A87" s="12" t="s">
        <v>234</v>
      </c>
      <c r="B87" s="13" t="s">
        <v>544</v>
      </c>
      <c r="C87" s="13">
        <f>SVY!D86</f>
        <v>9.4414310587599345E-2</v>
      </c>
      <c r="D87" s="13">
        <f>SVY!E86</f>
        <v>0.10279010271026044</v>
      </c>
      <c r="E87" s="13">
        <f>SVY!F86</f>
        <v>2.3723877476062319E-2</v>
      </c>
      <c r="F87" s="13">
        <f>SVY!G86</f>
        <v>5.4666280142178163E-2</v>
      </c>
      <c r="G87" s="13">
        <f>SVY!H86</f>
        <v>1.7123397366285424E-2</v>
      </c>
      <c r="H87" s="13">
        <f>SVY!I86</f>
        <v>4.0091162442083862E-2</v>
      </c>
      <c r="I87" s="13">
        <f>SVY!J86</f>
        <v>3.9181885270267974E-2</v>
      </c>
      <c r="J87" s="13">
        <f>SVY!K86</f>
        <v>1.851146173259989E-2</v>
      </c>
      <c r="K87" s="13">
        <f>SVY!L86</f>
        <v>7.576724258866506E-2</v>
      </c>
      <c r="L87" s="13">
        <f>SVY!M86</f>
        <v>7.0701038737509353E-2</v>
      </c>
      <c r="M87" s="13">
        <f>SVY!N86</f>
        <v>0.12504944433885362</v>
      </c>
      <c r="N87" s="13">
        <f>SVY!O86</f>
        <v>0.33797979660763472</v>
      </c>
      <c r="O87" s="15"/>
      <c r="P87" s="13"/>
      <c r="Q87" s="13"/>
      <c r="R87" s="13"/>
      <c r="S87" s="13">
        <v>1</v>
      </c>
    </row>
    <row r="88" spans="1:19" x14ac:dyDescent="0.35">
      <c r="A88" s="12" t="s">
        <v>236</v>
      </c>
      <c r="B88" s="13" t="s">
        <v>545</v>
      </c>
      <c r="C88" s="13">
        <f>SVY!D87</f>
        <v>5.132848476160632E-2</v>
      </c>
      <c r="D88" s="13">
        <f>SVY!E87</f>
        <v>5.5881996995702524E-2</v>
      </c>
      <c r="E88" s="13">
        <f>SVY!F87</f>
        <v>1.2897522377039079E-2</v>
      </c>
      <c r="F88" s="13">
        <f>SVY!G87</f>
        <v>2.9719407045270891E-2</v>
      </c>
      <c r="G88" s="13">
        <f>SVY!H87</f>
        <v>2.9645543852088431E-2</v>
      </c>
      <c r="H88" s="13">
        <f>SVY!I87</f>
        <v>6.9409375302946913E-2</v>
      </c>
      <c r="I88" s="13">
        <f>SVY!J87</f>
        <v>6.7835154037496112E-2</v>
      </c>
      <c r="J88" s="13">
        <f>SVY!K87</f>
        <v>3.2048683962713778E-2</v>
      </c>
      <c r="K88" s="13">
        <f>SVY!L87</f>
        <v>8.0955524678318E-2</v>
      </c>
      <c r="L88" s="13">
        <f>SVY!M87</f>
        <v>7.5542404484354606E-2</v>
      </c>
      <c r="M88" s="13">
        <f>SVY!N87</f>
        <v>0.13361240334617253</v>
      </c>
      <c r="N88" s="13">
        <f>SVY!O87</f>
        <v>0.36112349915629083</v>
      </c>
      <c r="O88" s="15"/>
      <c r="P88" s="13"/>
      <c r="Q88" s="13"/>
      <c r="R88" s="13"/>
      <c r="S88" s="13">
        <v>1</v>
      </c>
    </row>
    <row r="89" spans="1:19" x14ac:dyDescent="0.35">
      <c r="A89" s="12" t="s">
        <v>238</v>
      </c>
      <c r="B89" s="13" t="s">
        <v>508</v>
      </c>
      <c r="C89" s="13">
        <f>SVY!D88</f>
        <v>3.3440543407997146E-2</v>
      </c>
      <c r="D89" s="13">
        <f>SVY!E88</f>
        <v>0.10847304798868118</v>
      </c>
      <c r="E89" s="13">
        <f>SVY!F88</f>
        <v>3.5782178860830814E-2</v>
      </c>
      <c r="F89" s="13">
        <f>SVY!G88</f>
        <v>2.189068827913491E-3</v>
      </c>
      <c r="G89" s="13">
        <f>SVY!H88</f>
        <v>1.7953080140809399E-2</v>
      </c>
      <c r="H89" s="13">
        <f>SVY!I88</f>
        <v>7.0987844944082848E-2</v>
      </c>
      <c r="I89" s="13">
        <f>SVY!J88</f>
        <v>2.06301137745015E-2</v>
      </c>
      <c r="J89" s="13">
        <f>SVY!K88</f>
        <v>8.6738012190078123E-2</v>
      </c>
      <c r="K89" s="13">
        <f>SVY!L88</f>
        <v>5.5354296841113079E-2</v>
      </c>
      <c r="L89" s="13">
        <f>SVY!M88</f>
        <v>4.8908805058858501E-2</v>
      </c>
      <c r="M89" s="13">
        <f>SVY!N88</f>
        <v>0.19476060153530256</v>
      </c>
      <c r="N89" s="13">
        <f>SVY!O88</f>
        <v>0.32478240642983136</v>
      </c>
      <c r="O89" s="15"/>
      <c r="P89" s="13"/>
      <c r="Q89" s="13"/>
      <c r="R89" s="13"/>
      <c r="S89" s="13">
        <v>1</v>
      </c>
    </row>
    <row r="90" spans="1:19" x14ac:dyDescent="0.35">
      <c r="A90" s="12" t="s">
        <v>240</v>
      </c>
      <c r="B90" s="13" t="s">
        <v>546</v>
      </c>
      <c r="C90" s="13">
        <f>SVY!D89</f>
        <v>5.1841750063537587E-3</v>
      </c>
      <c r="D90" s="13">
        <f>SVY!E89</f>
        <v>6.151120834834994E-3</v>
      </c>
      <c r="E90" s="13">
        <f>SVY!F89</f>
        <v>0</v>
      </c>
      <c r="F90" s="13">
        <f>SVY!G89</f>
        <v>4.6048280310505722E-2</v>
      </c>
      <c r="G90" s="13">
        <f>SVY!H89</f>
        <v>0</v>
      </c>
      <c r="H90" s="13">
        <f>SVY!I89</f>
        <v>0</v>
      </c>
      <c r="I90" s="13">
        <f>SVY!J89</f>
        <v>2.8181130110605E-2</v>
      </c>
      <c r="J90" s="13">
        <f>SVY!K89</f>
        <v>0.10400279994060312</v>
      </c>
      <c r="K90" s="13">
        <f>SVY!L89</f>
        <v>4.2818251388418976E-3</v>
      </c>
      <c r="L90" s="13">
        <f>SVY!M89</f>
        <v>3.8808094083494704E-3</v>
      </c>
      <c r="M90" s="13">
        <f>SVY!N89</f>
        <v>5.7340136463289414E-2</v>
      </c>
      <c r="N90" s="13">
        <f>SVY!O89</f>
        <v>0.74492972278661673</v>
      </c>
      <c r="O90" s="15"/>
      <c r="P90" s="13"/>
      <c r="Q90" s="13"/>
      <c r="R90" s="13"/>
      <c r="S90" s="13">
        <v>1</v>
      </c>
    </row>
    <row r="91" spans="1:19" x14ac:dyDescent="0.35">
      <c r="A91" s="12" t="s">
        <v>242</v>
      </c>
      <c r="B91" s="13" t="s">
        <v>509</v>
      </c>
      <c r="C91" s="13">
        <f>SVY!D90</f>
        <v>6.2470795612087583E-3</v>
      </c>
      <c r="D91" s="13">
        <f>SVY!E90</f>
        <v>7.4122770158660204E-3</v>
      </c>
      <c r="E91" s="13">
        <f>SVY!F90</f>
        <v>0</v>
      </c>
      <c r="F91" s="13">
        <f>SVY!G90</f>
        <v>5.548949840697992E-2</v>
      </c>
      <c r="G91" s="13">
        <f>SVY!H90</f>
        <v>0</v>
      </c>
      <c r="H91" s="13">
        <f>SVY!I90</f>
        <v>0</v>
      </c>
      <c r="I91" s="13">
        <f>SVY!J90</f>
        <v>5.6362260221209985E-2</v>
      </c>
      <c r="J91" s="13">
        <f>SVY!K90</f>
        <v>0.20800559988120618</v>
      </c>
      <c r="K91" s="13">
        <f>SVY!L90</f>
        <v>3.5212863573497745E-3</v>
      </c>
      <c r="L91" s="13">
        <f>SVY!M90</f>
        <v>3.1914991345937407E-3</v>
      </c>
      <c r="M91" s="13">
        <f>SVY!N90</f>
        <v>4.715536802872948E-2</v>
      </c>
      <c r="N91" s="13">
        <f>SVY!O90</f>
        <v>0.61261513139285606</v>
      </c>
      <c r="O91" s="15"/>
      <c r="P91" s="13"/>
      <c r="Q91" s="13"/>
      <c r="R91" s="13"/>
      <c r="S91" s="13">
        <v>1</v>
      </c>
    </row>
    <row r="92" spans="1:19" x14ac:dyDescent="0.35">
      <c r="A92" s="12" t="s">
        <v>244</v>
      </c>
      <c r="B92" s="13" t="s">
        <v>547</v>
      </c>
      <c r="C92" s="13">
        <f>SVY!D91</f>
        <v>4.5043389980242493E-3</v>
      </c>
      <c r="D92" s="13">
        <f>SVY!E91</f>
        <v>5.344482665795269E-3</v>
      </c>
      <c r="E92" s="13">
        <f>SVY!F91</f>
        <v>0</v>
      </c>
      <c r="F92" s="13">
        <f>SVY!G91</f>
        <v>4.0009657185637329E-2</v>
      </c>
      <c r="G92" s="13">
        <f>SVY!H91</f>
        <v>0</v>
      </c>
      <c r="H92" s="13">
        <f>SVY!I91</f>
        <v>0</v>
      </c>
      <c r="I92" s="13">
        <f>SVY!J91</f>
        <v>2.8181130110605E-2</v>
      </c>
      <c r="J92" s="13">
        <f>SVY!K91</f>
        <v>0.10400279994060312</v>
      </c>
      <c r="K92" s="13">
        <f>SVY!L91</f>
        <v>4.3215831088734141E-3</v>
      </c>
      <c r="L92" s="13">
        <f>SVY!M91</f>
        <v>3.9168438327250813E-3</v>
      </c>
      <c r="M92" s="13">
        <f>SVY!N91</f>
        <v>5.7872556016444532E-2</v>
      </c>
      <c r="N92" s="13">
        <f>SVY!O91</f>
        <v>0.75184660814129201</v>
      </c>
      <c r="O92" s="15"/>
      <c r="P92" s="13"/>
      <c r="Q92" s="13"/>
      <c r="R92" s="13"/>
      <c r="S92" s="13">
        <v>1</v>
      </c>
    </row>
    <row r="93" spans="1:19" x14ac:dyDescent="0.35">
      <c r="A93" s="12" t="s">
        <v>246</v>
      </c>
      <c r="B93" s="13" t="s">
        <v>548</v>
      </c>
      <c r="C93" s="13">
        <f>SVY!D92</f>
        <v>2.0512572122122997E-3</v>
      </c>
      <c r="D93" s="13">
        <f>SVY!E92</f>
        <v>5.4460921592890729E-3</v>
      </c>
      <c r="E93" s="13">
        <f>SVY!F92</f>
        <v>1.9936523464393879E-2</v>
      </c>
      <c r="F93" s="13">
        <f>SVY!G92</f>
        <v>8.0661934563693444E-2</v>
      </c>
      <c r="G93" s="13">
        <f>SVY!H92</f>
        <v>1.2062500698449071E-3</v>
      </c>
      <c r="H93" s="13">
        <f>SVY!I92</f>
        <v>8.085934239710935E-4</v>
      </c>
      <c r="I93" s="13">
        <f>SVY!J92</f>
        <v>1.6674482719825395E-3</v>
      </c>
      <c r="J93" s="13">
        <f>SVY!K92</f>
        <v>0.13369773115974723</v>
      </c>
      <c r="K93" s="13">
        <f>SVY!L92</f>
        <v>1.6703277737070885E-3</v>
      </c>
      <c r="L93" s="13">
        <f>SVY!M92</f>
        <v>1.4057345985484396E-2</v>
      </c>
      <c r="M93" s="13">
        <f>SVY!N92</f>
        <v>1.4694344760889285E-2</v>
      </c>
      <c r="N93" s="13">
        <f>SVY!O92</f>
        <v>0.72410215115478482</v>
      </c>
      <c r="O93" s="15"/>
      <c r="P93" s="13"/>
      <c r="Q93" s="13"/>
      <c r="R93" s="13"/>
      <c r="S93" s="13">
        <v>1</v>
      </c>
    </row>
    <row r="94" spans="1:19" x14ac:dyDescent="0.35">
      <c r="A94" s="12" t="s">
        <v>248</v>
      </c>
      <c r="B94" s="13" t="s">
        <v>549</v>
      </c>
      <c r="C94" s="13">
        <f>SVY!D93</f>
        <v>1.2285950633763596E-3</v>
      </c>
      <c r="D94" s="13">
        <f>SVY!E93</f>
        <v>3.2619224452982692E-3</v>
      </c>
      <c r="E94" s="13">
        <f>SVY!F93</f>
        <v>1.1940927819005387E-2</v>
      </c>
      <c r="F94" s="13">
        <f>SVY!G93</f>
        <v>4.8312251636380386E-2</v>
      </c>
      <c r="G94" s="13">
        <f>SVY!H93</f>
        <v>2.5333212221364172E-3</v>
      </c>
      <c r="H94" s="13">
        <f>SVY!I93</f>
        <v>1.6981776268740827E-3</v>
      </c>
      <c r="I94" s="13">
        <f>SVY!J93</f>
        <v>3.501912414207102E-3</v>
      </c>
      <c r="J94" s="13">
        <f>SVY!K93</f>
        <v>0.28078696794772007</v>
      </c>
      <c r="K94" s="13">
        <f>SVY!L93</f>
        <v>1.4317115597297714E-3</v>
      </c>
      <c r="L94" s="13">
        <f>SVY!M93</f>
        <v>1.2049170865351514E-2</v>
      </c>
      <c r="M94" s="13">
        <f>SVY!N93</f>
        <v>1.259517059345088E-2</v>
      </c>
      <c r="N94" s="13">
        <f>SVY!O93</f>
        <v>0.62065987080646967</v>
      </c>
      <c r="O94" s="15"/>
      <c r="P94" s="13"/>
      <c r="Q94" s="13"/>
      <c r="R94" s="13"/>
      <c r="S94" s="13">
        <v>1</v>
      </c>
    </row>
    <row r="95" spans="1:19" x14ac:dyDescent="0.35">
      <c r="A95" s="12" t="s">
        <v>250</v>
      </c>
      <c r="B95" s="13" t="s">
        <v>550</v>
      </c>
      <c r="C95" s="13">
        <f>SVY!D94</f>
        <v>1.9732065397070299E-3</v>
      </c>
      <c r="D95" s="13">
        <f>SVY!E94</f>
        <v>5.2388674616609563E-3</v>
      </c>
      <c r="E95" s="13">
        <f>SVY!F94</f>
        <v>1.9177935485007909E-2</v>
      </c>
      <c r="F95" s="13">
        <f>SVY!G94</f>
        <v>7.75927347574525E-2</v>
      </c>
      <c r="G95" s="13">
        <f>SVY!H94</f>
        <v>1.2465237639937747E-3</v>
      </c>
      <c r="H95" s="13">
        <f>SVY!I94</f>
        <v>8.3559035028172538E-4</v>
      </c>
      <c r="I95" s="13">
        <f>SVY!J94</f>
        <v>1.7231202287298806E-3</v>
      </c>
      <c r="J95" s="13">
        <f>SVY!K94</f>
        <v>0.13816156636915577</v>
      </c>
      <c r="K95" s="13">
        <f>SVY!L94</f>
        <v>1.669279088010155E-3</v>
      </c>
      <c r="L95" s="13">
        <f>SVY!M94</f>
        <v>1.4048520329883218E-2</v>
      </c>
      <c r="M95" s="13">
        <f>SVY!N94</f>
        <v>1.4685119176893665E-2</v>
      </c>
      <c r="N95" s="13">
        <f>SVY!O94</f>
        <v>0.72364753644922342</v>
      </c>
      <c r="O95" s="15"/>
      <c r="P95" s="13"/>
      <c r="Q95" s="13"/>
      <c r="R95" s="13"/>
      <c r="S95" s="13">
        <v>1</v>
      </c>
    </row>
    <row r="96" spans="1:19" x14ac:dyDescent="0.35">
      <c r="A96" s="12" t="s">
        <v>252</v>
      </c>
      <c r="B96" s="13" t="s">
        <v>551</v>
      </c>
      <c r="C96" s="13">
        <f>SVY!D95</f>
        <v>0</v>
      </c>
      <c r="D96" s="13">
        <f>SVY!E95</f>
        <v>0</v>
      </c>
      <c r="E96" s="13">
        <f>SVY!F95</f>
        <v>0</v>
      </c>
      <c r="F96" s="13">
        <f>SVY!G95</f>
        <v>0</v>
      </c>
      <c r="G96" s="13">
        <f>SVY!H95</f>
        <v>0</v>
      </c>
      <c r="H96" s="13">
        <f>SVY!I95</f>
        <v>0</v>
      </c>
      <c r="I96" s="13">
        <f>SVY!J95</f>
        <v>0</v>
      </c>
      <c r="J96" s="13">
        <f>SVY!K95</f>
        <v>0</v>
      </c>
      <c r="K96" s="13">
        <f>SVY!L95</f>
        <v>9.3660663342116351E-3</v>
      </c>
      <c r="L96" s="13">
        <f>SVY!M95</f>
        <v>4.7767911044244812E-2</v>
      </c>
      <c r="M96" s="13">
        <f>SVY!N95</f>
        <v>0</v>
      </c>
      <c r="N96" s="13">
        <f>SVY!O95</f>
        <v>0.94286602262154351</v>
      </c>
      <c r="O96" s="15"/>
      <c r="P96" s="13"/>
      <c r="Q96" s="13"/>
      <c r="R96" s="13"/>
      <c r="S96" s="13">
        <v>1</v>
      </c>
    </row>
    <row r="97" spans="1:19" x14ac:dyDescent="0.35">
      <c r="A97" s="12" t="s">
        <v>254</v>
      </c>
      <c r="B97" s="13" t="s">
        <v>510</v>
      </c>
      <c r="C97" s="13">
        <f>SVY!D96</f>
        <v>0</v>
      </c>
      <c r="D97" s="13">
        <f>SVY!E96</f>
        <v>0</v>
      </c>
      <c r="E97" s="13">
        <f>SVY!F96</f>
        <v>0</v>
      </c>
      <c r="F97" s="13">
        <f>SVY!G96</f>
        <v>0</v>
      </c>
      <c r="G97" s="13">
        <f>SVY!H96</f>
        <v>0</v>
      </c>
      <c r="H97" s="13">
        <f>SVY!I96</f>
        <v>0</v>
      </c>
      <c r="I97" s="13">
        <f>SVY!J96</f>
        <v>0</v>
      </c>
      <c r="J97" s="13">
        <f>SVY!K96</f>
        <v>0</v>
      </c>
      <c r="K97" s="13">
        <f>SVY!L96</f>
        <v>9.3660663342116351E-3</v>
      </c>
      <c r="L97" s="13">
        <f>SVY!M96</f>
        <v>4.7767911044244812E-2</v>
      </c>
      <c r="M97" s="13">
        <f>SVY!N96</f>
        <v>0</v>
      </c>
      <c r="N97" s="13">
        <f>SVY!O96</f>
        <v>0.94286602262154351</v>
      </c>
      <c r="O97" s="15"/>
      <c r="P97" s="13"/>
      <c r="Q97" s="13"/>
      <c r="R97" s="13"/>
      <c r="S97" s="13">
        <v>1</v>
      </c>
    </row>
    <row r="98" spans="1:19" x14ac:dyDescent="0.35">
      <c r="A98" s="12" t="s">
        <v>256</v>
      </c>
      <c r="B98" s="13" t="s">
        <v>552</v>
      </c>
      <c r="C98" s="13">
        <f>SVY!D97</f>
        <v>1.1317685966637377E-2</v>
      </c>
      <c r="D98" s="13">
        <f>SVY!E97</f>
        <v>1.3036074988113534E-2</v>
      </c>
      <c r="E98" s="13">
        <f>SVY!F97</f>
        <v>1.4321181645717837E-2</v>
      </c>
      <c r="F98" s="13">
        <f>SVY!G97</f>
        <v>8.7689208645770587E-3</v>
      </c>
      <c r="G98" s="13">
        <f>SVY!H97</f>
        <v>2.6282420989513751E-3</v>
      </c>
      <c r="H98" s="13">
        <f>SVY!I97</f>
        <v>1.0550685916043792E-2</v>
      </c>
      <c r="I98" s="13">
        <f>SVY!J97</f>
        <v>1.2089216349727358E-2</v>
      </c>
      <c r="J98" s="13">
        <f>SVY!K97</f>
        <v>3.8598723854372019E-2</v>
      </c>
      <c r="K98" s="13">
        <f>SVY!L97</f>
        <v>2.8137503921067952E-2</v>
      </c>
      <c r="L98" s="13">
        <f>SVY!M97</f>
        <v>3.3238879601592247E-2</v>
      </c>
      <c r="M98" s="13">
        <f>SVY!N97</f>
        <v>7.9330540719014978E-2</v>
      </c>
      <c r="N98" s="13">
        <f>SVY!O97</f>
        <v>0.7479823440741844</v>
      </c>
      <c r="O98" s="15"/>
      <c r="P98" s="13"/>
      <c r="Q98" s="13"/>
      <c r="R98" s="13"/>
      <c r="S98" s="13">
        <v>1</v>
      </c>
    </row>
    <row r="99" spans="1:19" x14ac:dyDescent="0.35">
      <c r="A99" s="12" t="s">
        <v>258</v>
      </c>
      <c r="B99" s="13" t="s">
        <v>553</v>
      </c>
      <c r="C99" s="13">
        <f>SVY!D98</f>
        <v>1.1317685966637377E-2</v>
      </c>
      <c r="D99" s="13">
        <f>SVY!E98</f>
        <v>1.3036074988113534E-2</v>
      </c>
      <c r="E99" s="13">
        <f>SVY!F98</f>
        <v>1.4321181645717837E-2</v>
      </c>
      <c r="F99" s="13">
        <f>SVY!G98</f>
        <v>8.7689208645770587E-3</v>
      </c>
      <c r="G99" s="13">
        <f>SVY!H98</f>
        <v>2.6282420989513751E-3</v>
      </c>
      <c r="H99" s="13">
        <f>SVY!I98</f>
        <v>1.0550685916043792E-2</v>
      </c>
      <c r="I99" s="13">
        <f>SVY!J98</f>
        <v>1.2089216349727358E-2</v>
      </c>
      <c r="J99" s="13">
        <f>SVY!K98</f>
        <v>3.8598723854372019E-2</v>
      </c>
      <c r="K99" s="13">
        <f>SVY!L98</f>
        <v>2.8137503921067952E-2</v>
      </c>
      <c r="L99" s="13">
        <f>SVY!M98</f>
        <v>3.3238879601592247E-2</v>
      </c>
      <c r="M99" s="13">
        <f>SVY!N98</f>
        <v>7.9330540719014978E-2</v>
      </c>
      <c r="N99" s="13">
        <f>SVY!O98</f>
        <v>0.7479823440741844</v>
      </c>
      <c r="O99" s="15"/>
      <c r="P99" s="13"/>
      <c r="Q99" s="13"/>
      <c r="R99" s="13"/>
      <c r="S99" s="13">
        <v>1</v>
      </c>
    </row>
    <row r="100" spans="1:19" x14ac:dyDescent="0.35">
      <c r="A100" s="12" t="s">
        <v>260</v>
      </c>
      <c r="B100" s="13" t="s">
        <v>554</v>
      </c>
      <c r="C100" s="13">
        <f>SVY!D99</f>
        <v>1.8869357630261159E-2</v>
      </c>
      <c r="D100" s="13">
        <f>SVY!E99</f>
        <v>2.1734333482191604E-2</v>
      </c>
      <c r="E100" s="13">
        <f>SVY!F99</f>
        <v>2.3876921391667756E-2</v>
      </c>
      <c r="F100" s="13">
        <f>SVY!G99</f>
        <v>1.4619941241780609E-2</v>
      </c>
      <c r="G100" s="13">
        <f>SVY!H99</f>
        <v>2.3719900658569198E-3</v>
      </c>
      <c r="H100" s="13">
        <f>SVY!I99</f>
        <v>9.5220003479958709E-3</v>
      </c>
      <c r="I100" s="13">
        <f>SVY!J99</f>
        <v>1.0910524984357186E-2</v>
      </c>
      <c r="J100" s="13">
        <f>SVY!K99</f>
        <v>3.4835371358618063E-2</v>
      </c>
      <c r="K100" s="13">
        <f>SVY!L99</f>
        <v>2.7332353507863748E-2</v>
      </c>
      <c r="L100" s="13">
        <f>SVY!M99</f>
        <v>3.2287754095906271E-2</v>
      </c>
      <c r="M100" s="13">
        <f>SVY!N99</f>
        <v>7.7060509311154282E-2</v>
      </c>
      <c r="N100" s="13">
        <f>SVY!O99</f>
        <v>0.72657894258234657</v>
      </c>
      <c r="O100" s="15"/>
      <c r="P100" s="13"/>
      <c r="Q100" s="13"/>
      <c r="R100" s="13"/>
      <c r="S100" s="13">
        <v>1</v>
      </c>
    </row>
    <row r="101" spans="1:19" x14ac:dyDescent="0.35">
      <c r="A101" s="12" t="s">
        <v>262</v>
      </c>
      <c r="B101" s="13" t="s">
        <v>555</v>
      </c>
      <c r="C101" s="13">
        <f>SVY!D100</f>
        <v>1.1226430365116509E-2</v>
      </c>
      <c r="D101" s="13">
        <f>SVY!E100</f>
        <v>1.2930963848962102E-2</v>
      </c>
      <c r="E101" s="13">
        <f>SVY!F100</f>
        <v>1.4205708566731366E-2</v>
      </c>
      <c r="F101" s="13">
        <f>SVY!G100</f>
        <v>8.6982162036998486E-3</v>
      </c>
      <c r="G101" s="13">
        <f>SVY!H100</f>
        <v>2.1037823808099175E-2</v>
      </c>
      <c r="H101" s="13">
        <f>SVY!I100</f>
        <v>8.4453205983148358E-2</v>
      </c>
      <c r="I101" s="13">
        <f>SVY!J100</f>
        <v>9.6768407919890526E-2</v>
      </c>
      <c r="J101" s="13">
        <f>SVY!K100</f>
        <v>0.30896436518909004</v>
      </c>
      <c r="K101" s="13">
        <f>SVY!L100</f>
        <v>1.3985489144609306E-2</v>
      </c>
      <c r="L101" s="13">
        <f>SVY!M100</f>
        <v>1.6521081299573935E-2</v>
      </c>
      <c r="M101" s="13">
        <f>SVY!N100</f>
        <v>3.9430520175993654E-2</v>
      </c>
      <c r="N101" s="13">
        <f>SVY!O100</f>
        <v>0.37177778749508522</v>
      </c>
      <c r="O101" s="15"/>
      <c r="P101" s="13"/>
      <c r="Q101" s="13"/>
      <c r="R101" s="13"/>
      <c r="S101" s="13">
        <v>1</v>
      </c>
    </row>
    <row r="102" spans="1:19" x14ac:dyDescent="0.35">
      <c r="A102" s="12" t="s">
        <v>264</v>
      </c>
      <c r="B102" s="13" t="s">
        <v>556</v>
      </c>
      <c r="C102" s="13">
        <f>SVY!D101</f>
        <v>6.727574409490665E-2</v>
      </c>
      <c r="D102" s="13">
        <f>SVY!E101</f>
        <v>7.7490367508660452E-2</v>
      </c>
      <c r="E102" s="13">
        <f>SVY!F101</f>
        <v>8.5129429670882231E-2</v>
      </c>
      <c r="F102" s="13">
        <f>SVY!G101</f>
        <v>5.2125114428232443E-2</v>
      </c>
      <c r="G102" s="13">
        <f>SVY!H101</f>
        <v>7.4459365392046386E-3</v>
      </c>
      <c r="H102" s="13">
        <f>SVY!I101</f>
        <v>2.9890601709517649E-2</v>
      </c>
      <c r="I102" s="13">
        <f>SVY!J101</f>
        <v>3.4249332580396516E-2</v>
      </c>
      <c r="J102" s="13">
        <f>SVY!K101</f>
        <v>0.10935204501465355</v>
      </c>
      <c r="K102" s="13">
        <f>SVY!L101</f>
        <v>1.7003699535524035E-2</v>
      </c>
      <c r="L102" s="13">
        <f>SVY!M101</f>
        <v>2.0086498192178021E-2</v>
      </c>
      <c r="M102" s="13">
        <f>SVY!N101</f>
        <v>4.7940026313662717E-2</v>
      </c>
      <c r="N102" s="13">
        <f>SVY!O101</f>
        <v>0.45201120441218096</v>
      </c>
      <c r="O102" s="15"/>
      <c r="P102" s="13"/>
      <c r="Q102" s="13"/>
      <c r="R102" s="13"/>
      <c r="S102" s="13">
        <v>1</v>
      </c>
    </row>
    <row r="103" spans="1:19" x14ac:dyDescent="0.35">
      <c r="A103" s="12" t="s">
        <v>266</v>
      </c>
      <c r="B103" s="13" t="s">
        <v>511</v>
      </c>
      <c r="C103" s="13">
        <f>SVY!D102</f>
        <v>2.3386372306378526E-2</v>
      </c>
      <c r="D103" s="13">
        <f>SVY!E102</f>
        <v>2.1741423278227184E-2</v>
      </c>
      <c r="E103" s="13">
        <f>SVY!F102</f>
        <v>4.5815481783745879E-2</v>
      </c>
      <c r="F103" s="13">
        <f>SVY!G102</f>
        <v>8.7662000438309143E-2</v>
      </c>
      <c r="G103" s="13">
        <f>SVY!H102</f>
        <v>2.0079660210268305E-2</v>
      </c>
      <c r="H103" s="13">
        <f>SVY!I102</f>
        <v>4.3601688965949639E-2</v>
      </c>
      <c r="I103" s="13">
        <f>SVY!J102</f>
        <v>1.3606231466481246E-2</v>
      </c>
      <c r="J103" s="13">
        <f>SVY!K102</f>
        <v>0.18881240024797397</v>
      </c>
      <c r="K103" s="13">
        <f>SVY!L102</f>
        <v>9.9074839408272788E-3</v>
      </c>
      <c r="L103" s="13">
        <f>SVY!M102</f>
        <v>8.5360959280246142E-3</v>
      </c>
      <c r="M103" s="13">
        <f>SVY!N102</f>
        <v>2.5532731658118139E-2</v>
      </c>
      <c r="N103" s="13">
        <f>SVY!O102</f>
        <v>0.51131842977569608</v>
      </c>
      <c r="O103" s="15"/>
      <c r="P103" s="13"/>
      <c r="Q103" s="13"/>
      <c r="R103" s="13"/>
      <c r="S103" s="13">
        <v>1</v>
      </c>
    </row>
    <row r="104" spans="1:19" x14ac:dyDescent="0.35">
      <c r="A104" s="12" t="s">
        <v>268</v>
      </c>
      <c r="B104" s="13" t="s">
        <v>512</v>
      </c>
      <c r="C104" s="13">
        <f>SVY!D103</f>
        <v>9.3046397089878944E-3</v>
      </c>
      <c r="D104" s="13">
        <f>SVY!E103</f>
        <v>1.9408912516315008E-2</v>
      </c>
      <c r="E104" s="13">
        <f>SVY!F103</f>
        <v>0.12811312070372169</v>
      </c>
      <c r="F104" s="13">
        <f>SVY!G103</f>
        <v>0.32969345378855569</v>
      </c>
      <c r="G104" s="13">
        <f>SVY!H103</f>
        <v>2.6405627624856697E-4</v>
      </c>
      <c r="H104" s="13">
        <f>SVY!I103</f>
        <v>1.3740409911208091E-3</v>
      </c>
      <c r="I104" s="13">
        <f>SVY!J103</f>
        <v>3.1080631355394604E-2</v>
      </c>
      <c r="J104" s="13">
        <f>SVY!K103</f>
        <v>0.14864479293709307</v>
      </c>
      <c r="K104" s="13">
        <f>SVY!L103</f>
        <v>4.0857836784207865E-3</v>
      </c>
      <c r="L104" s="13">
        <f>SVY!M103</f>
        <v>2.5758817583550709E-3</v>
      </c>
      <c r="M104" s="13">
        <f>SVY!N103</f>
        <v>4.4713154634714453E-2</v>
      </c>
      <c r="N104" s="13">
        <f>SVY!O103</f>
        <v>0.28074153165107218</v>
      </c>
      <c r="O104" s="15"/>
      <c r="P104" s="13"/>
      <c r="Q104" s="13"/>
      <c r="R104" s="13"/>
      <c r="S104" s="13">
        <v>1</v>
      </c>
    </row>
    <row r="105" spans="1:19" x14ac:dyDescent="0.35">
      <c r="A105" s="12" t="s">
        <v>270</v>
      </c>
      <c r="B105" s="13" t="s">
        <v>513</v>
      </c>
      <c r="C105" s="13">
        <f>SVY!D104</f>
        <v>1.037965186144434E-2</v>
      </c>
      <c r="D105" s="13">
        <f>SVY!E104</f>
        <v>3.6285829018417987E-3</v>
      </c>
      <c r="E105" s="13">
        <f>SVY!F104</f>
        <v>5.7593136990243529E-2</v>
      </c>
      <c r="F105" s="13">
        <f>SVY!G104</f>
        <v>0.2068644298742385</v>
      </c>
      <c r="G105" s="13">
        <f>SVY!H104</f>
        <v>1.7992093821439077E-2</v>
      </c>
      <c r="H105" s="13">
        <f>SVY!I104</f>
        <v>0</v>
      </c>
      <c r="I105" s="13">
        <f>SVY!J104</f>
        <v>1.077804692115342E-2</v>
      </c>
      <c r="J105" s="13">
        <f>SVY!K104</f>
        <v>0.37918758663598673</v>
      </c>
      <c r="K105" s="13">
        <f>SVY!L104</f>
        <v>3.1107529875727701E-3</v>
      </c>
      <c r="L105" s="13">
        <f>SVY!M104</f>
        <v>8.2210598873016013E-3</v>
      </c>
      <c r="M105" s="13">
        <f>SVY!N104</f>
        <v>1.6993960305432824E-2</v>
      </c>
      <c r="N105" s="13">
        <f>SVY!O104</f>
        <v>0.28525069781334533</v>
      </c>
      <c r="O105" s="15"/>
      <c r="P105" s="13"/>
      <c r="Q105" s="13"/>
      <c r="R105" s="13"/>
      <c r="S105" s="13">
        <v>1</v>
      </c>
    </row>
    <row r="106" spans="1:19" x14ac:dyDescent="0.35">
      <c r="A106" s="12" t="s">
        <v>272</v>
      </c>
      <c r="B106" s="13" t="s">
        <v>557</v>
      </c>
      <c r="C106" s="13">
        <f>SVY!D105</f>
        <v>4.1783687679963451E-4</v>
      </c>
      <c r="D106" s="13">
        <f>SVY!E105</f>
        <v>1.4606999995307718E-4</v>
      </c>
      <c r="E106" s="13">
        <f>SVY!F105</f>
        <v>2.3184338748860746E-3</v>
      </c>
      <c r="F106" s="13">
        <f>SVY!G105</f>
        <v>8.3274071667718951E-3</v>
      </c>
      <c r="G106" s="13">
        <f>SVY!H105</f>
        <v>1.4837165467412101E-2</v>
      </c>
      <c r="H106" s="13">
        <f>SVY!I105</f>
        <v>0</v>
      </c>
      <c r="I106" s="13">
        <f>SVY!J105</f>
        <v>8.8881075861294168E-3</v>
      </c>
      <c r="J106" s="13">
        <f>SVY!K105</f>
        <v>0.31269673346205362</v>
      </c>
      <c r="K106" s="13">
        <f>SVY!L105</f>
        <v>6.4716477689204591E-3</v>
      </c>
      <c r="L106" s="13">
        <f>SVY!M105</f>
        <v>1.7103191442831428E-2</v>
      </c>
      <c r="M106" s="13">
        <f>SVY!N105</f>
        <v>3.5354438534700418E-2</v>
      </c>
      <c r="N106" s="13">
        <f>SVY!O105</f>
        <v>0.59343896781954186</v>
      </c>
      <c r="O106" s="15"/>
      <c r="P106" s="13"/>
      <c r="Q106" s="13"/>
      <c r="R106" s="13"/>
      <c r="S106" s="13">
        <v>1</v>
      </c>
    </row>
    <row r="107" spans="1:19" x14ac:dyDescent="0.35">
      <c r="A107" s="12" t="s">
        <v>274</v>
      </c>
      <c r="B107" s="13" t="s">
        <v>558</v>
      </c>
      <c r="C107" s="13">
        <f>SVY!D106</f>
        <v>3.5782403294584854E-2</v>
      </c>
      <c r="D107" s="13">
        <f>SVY!E106</f>
        <v>4.6203080275138718E-2</v>
      </c>
      <c r="E107" s="13">
        <f>SVY!F106</f>
        <v>2.066230873935123E-2</v>
      </c>
      <c r="F107" s="13">
        <f>SVY!G106</f>
        <v>0.11097403761635767</v>
      </c>
      <c r="G107" s="13">
        <f>SVY!H106</f>
        <v>1.1778224400864419E-3</v>
      </c>
      <c r="H107" s="13">
        <f>SVY!I106</f>
        <v>1.1475117750015084E-3</v>
      </c>
      <c r="I107" s="13">
        <f>SVY!J106</f>
        <v>3.2396123107204878E-3</v>
      </c>
      <c r="J107" s="13">
        <f>SVY!K106</f>
        <v>4.5124619133174573E-2</v>
      </c>
      <c r="K107" s="13">
        <f>SVY!L106</f>
        <v>2.7246703200731238E-2</v>
      </c>
      <c r="L107" s="13">
        <f>SVY!M106</f>
        <v>2.0607480322189977E-2</v>
      </c>
      <c r="M107" s="13">
        <f>SVY!N106</f>
        <v>5.1276838376960635E-2</v>
      </c>
      <c r="N107" s="13">
        <f>SVY!O106</f>
        <v>0.63655758251570282</v>
      </c>
      <c r="O107" s="15"/>
      <c r="P107" s="13"/>
      <c r="Q107" s="13"/>
      <c r="R107" s="13"/>
      <c r="S107" s="13">
        <v>1</v>
      </c>
    </row>
    <row r="108" spans="1:19" x14ac:dyDescent="0.35">
      <c r="A108" s="12" t="s">
        <v>276</v>
      </c>
      <c r="B108" s="13" t="s">
        <v>559</v>
      </c>
      <c r="C108" s="13">
        <f>SVY!D107</f>
        <v>1.5106035916705566E-3</v>
      </c>
      <c r="D108" s="13">
        <f>SVY!E107</f>
        <v>1.9505268675016581E-3</v>
      </c>
      <c r="E108" s="13">
        <f>SVY!F107</f>
        <v>8.7228791025876877E-4</v>
      </c>
      <c r="F108" s="13">
        <f>SVY!G107</f>
        <v>4.6849223185303187E-3</v>
      </c>
      <c r="G108" s="13">
        <f>SVY!H107</f>
        <v>5.1605982127566072E-3</v>
      </c>
      <c r="H108" s="13">
        <f>SVY!I107</f>
        <v>5.0277928265276845E-3</v>
      </c>
      <c r="I108" s="13">
        <f>SVY!J107</f>
        <v>1.4194276600385936E-2</v>
      </c>
      <c r="J108" s="13">
        <f>SVY!K107</f>
        <v>0.19771233840042363</v>
      </c>
      <c r="K108" s="13">
        <f>SVY!L107</f>
        <v>2.8476214407787605E-2</v>
      </c>
      <c r="L108" s="13">
        <f>SVY!M107</f>
        <v>2.1537395689148805E-2</v>
      </c>
      <c r="M108" s="13">
        <f>SVY!N107</f>
        <v>5.3590712719203973E-2</v>
      </c>
      <c r="N108" s="13">
        <f>SVY!O107</f>
        <v>0.66528233045580454</v>
      </c>
      <c r="O108" s="15"/>
      <c r="P108" s="13"/>
      <c r="Q108" s="13"/>
      <c r="R108" s="13"/>
      <c r="S108" s="13">
        <v>1</v>
      </c>
    </row>
    <row r="109" spans="1:19" x14ac:dyDescent="0.35">
      <c r="A109" s="12" t="s">
        <v>278</v>
      </c>
      <c r="B109" s="13" t="s">
        <v>514</v>
      </c>
      <c r="C109" s="13">
        <f>SVY!D108</f>
        <v>3.4239280710781611E-2</v>
      </c>
      <c r="D109" s="13">
        <f>SVY!E108</f>
        <v>4.421056412056755E-2</v>
      </c>
      <c r="E109" s="13">
        <f>SVY!F108</f>
        <v>1.9771242955236242E-2</v>
      </c>
      <c r="F109" s="13">
        <f>SVY!G108</f>
        <v>0.10618826226606007</v>
      </c>
      <c r="G109" s="13">
        <f>SVY!H108</f>
        <v>3.9620919885644239E-3</v>
      </c>
      <c r="H109" s="13">
        <f>SVY!I108</f>
        <v>3.8601295541483669E-3</v>
      </c>
      <c r="I109" s="13">
        <f>SVY!J108</f>
        <v>1.0897773336207027E-2</v>
      </c>
      <c r="J109" s="13">
        <f>SVY!K108</f>
        <v>0.15179528413590967</v>
      </c>
      <c r="K109" s="13">
        <f>SVY!L108</f>
        <v>2.3150070570162974E-2</v>
      </c>
      <c r="L109" s="13">
        <f>SVY!M108</f>
        <v>1.7509076977765867E-2</v>
      </c>
      <c r="M109" s="13">
        <f>SVY!N108</f>
        <v>4.3567194838075744E-2</v>
      </c>
      <c r="N109" s="13">
        <f>SVY!O108</f>
        <v>0.5408490285465205</v>
      </c>
      <c r="O109" s="15"/>
      <c r="P109" s="13"/>
      <c r="Q109" s="13"/>
      <c r="R109" s="13"/>
      <c r="S109" s="13">
        <v>1</v>
      </c>
    </row>
    <row r="110" spans="1:19" x14ac:dyDescent="0.35">
      <c r="A110" s="12" t="s">
        <v>280</v>
      </c>
      <c r="B110" s="13" t="s">
        <v>560</v>
      </c>
      <c r="C110" s="13">
        <f>SVY!D109</f>
        <v>0.10630652467691311</v>
      </c>
      <c r="D110" s="13">
        <f>SVY!E109</f>
        <v>0.14466145793007387</v>
      </c>
      <c r="E110" s="13">
        <f>SVY!F109</f>
        <v>6.2456115679487886E-3</v>
      </c>
      <c r="F110" s="13">
        <f>SVY!G109</f>
        <v>2.5009732906445415E-3</v>
      </c>
      <c r="G110" s="13">
        <f>SVY!H109</f>
        <v>4.9969384343448109E-2</v>
      </c>
      <c r="H110" s="13">
        <f>SVY!I109</f>
        <v>6.6139433542331358E-2</v>
      </c>
      <c r="I110" s="13">
        <f>SVY!J109</f>
        <v>1.5509985506693509E-2</v>
      </c>
      <c r="J110" s="13">
        <f>SVY!K109</f>
        <v>0</v>
      </c>
      <c r="K110" s="13">
        <f>SVY!L109</f>
        <v>0.20868293437543062</v>
      </c>
      <c r="L110" s="13">
        <f>SVY!M109</f>
        <v>0.31996717090411964</v>
      </c>
      <c r="M110" s="13">
        <f>SVY!N109</f>
        <v>6.9137625988544796E-2</v>
      </c>
      <c r="N110" s="13">
        <f>SVY!O109</f>
        <v>1.0878897873851769E-2</v>
      </c>
      <c r="O110" s="15"/>
      <c r="P110" s="13"/>
      <c r="Q110" s="13"/>
      <c r="R110" s="13"/>
      <c r="S110" s="13">
        <v>1</v>
      </c>
    </row>
    <row r="111" spans="1:19" x14ac:dyDescent="0.35">
      <c r="A111" s="12" t="s">
        <v>282</v>
      </c>
      <c r="B111" s="13" t="s">
        <v>561</v>
      </c>
      <c r="C111" s="13">
        <f>SVY!D110</f>
        <v>0</v>
      </c>
      <c r="D111" s="13">
        <f>SVY!E110</f>
        <v>0</v>
      </c>
      <c r="E111" s="13">
        <f>SVY!F110</f>
        <v>0</v>
      </c>
      <c r="F111" s="13">
        <f>SVY!G110</f>
        <v>0</v>
      </c>
      <c r="G111" s="13">
        <f>SVY!H110</f>
        <v>0</v>
      </c>
      <c r="H111" s="13">
        <f>SVY!I110</f>
        <v>0</v>
      </c>
      <c r="I111" s="13">
        <f>SVY!J110</f>
        <v>0</v>
      </c>
      <c r="J111" s="13">
        <f>SVY!K110</f>
        <v>0</v>
      </c>
      <c r="K111" s="13">
        <f>SVY!L110</f>
        <v>0</v>
      </c>
      <c r="L111" s="13">
        <f>SVY!M110</f>
        <v>0</v>
      </c>
      <c r="M111" s="13">
        <f>SVY!N110</f>
        <v>0</v>
      </c>
      <c r="N111" s="13">
        <f>SVY!O110</f>
        <v>0</v>
      </c>
      <c r="O111" s="15"/>
      <c r="P111" s="13"/>
      <c r="Q111" s="13"/>
      <c r="R111" s="13"/>
      <c r="S111" s="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0D47-23AC-42C9-9A3C-4AE4FD96A0E4}">
  <sheetPr>
    <tabColor theme="8" tint="-0.499984740745262"/>
  </sheetPr>
  <dimension ref="A1:H24"/>
  <sheetViews>
    <sheetView showZeros="0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H22" sqref="H22"/>
    </sheetView>
  </sheetViews>
  <sheetFormatPr defaultRowHeight="14.5" x14ac:dyDescent="0.35"/>
  <sheetData>
    <row r="1" spans="1:8" ht="18.5" x14ac:dyDescent="0.45">
      <c r="A1" s="10" t="s">
        <v>584</v>
      </c>
    </row>
    <row r="3" spans="1:8" x14ac:dyDescent="0.35">
      <c r="A3" s="11" t="s">
        <v>585</v>
      </c>
    </row>
    <row r="4" spans="1:8" x14ac:dyDescent="0.35">
      <c r="A4" s="12" t="s">
        <v>586</v>
      </c>
      <c r="C4" s="12" t="s">
        <v>587</v>
      </c>
      <c r="D4" s="12"/>
      <c r="E4" s="12"/>
      <c r="F4" s="12"/>
      <c r="G4" s="12" t="s">
        <v>588</v>
      </c>
      <c r="H4" s="12"/>
    </row>
    <row r="5" spans="1:8" x14ac:dyDescent="0.35">
      <c r="C5" s="12" t="s">
        <v>31</v>
      </c>
      <c r="D5" s="12" t="s">
        <v>35</v>
      </c>
      <c r="E5" s="12" t="s">
        <v>589</v>
      </c>
      <c r="F5" s="12" t="s">
        <v>83</v>
      </c>
      <c r="G5" s="12" t="s">
        <v>35</v>
      </c>
      <c r="H5" s="12" t="s">
        <v>83</v>
      </c>
    </row>
    <row r="6" spans="1:8" x14ac:dyDescent="0.35">
      <c r="C6" t="s">
        <v>590</v>
      </c>
      <c r="D6" t="s">
        <v>590</v>
      </c>
      <c r="E6" t="s">
        <v>590</v>
      </c>
      <c r="F6" t="s">
        <v>590</v>
      </c>
      <c r="G6" s="16" t="s">
        <v>591</v>
      </c>
      <c r="H6" t="s">
        <v>591</v>
      </c>
    </row>
    <row r="7" spans="1:8" x14ac:dyDescent="0.35">
      <c r="C7" t="s">
        <v>30</v>
      </c>
      <c r="D7" t="s">
        <v>34</v>
      </c>
      <c r="E7" t="s">
        <v>54</v>
      </c>
      <c r="F7" t="s">
        <v>82</v>
      </c>
      <c r="G7" s="16" t="s">
        <v>34</v>
      </c>
      <c r="H7" t="s">
        <v>82</v>
      </c>
    </row>
    <row r="8" spans="1:8" x14ac:dyDescent="0.35">
      <c r="A8" s="12" t="s">
        <v>96</v>
      </c>
      <c r="B8" t="s">
        <v>95</v>
      </c>
      <c r="C8" s="13">
        <f>SVY!D505</f>
        <v>0.98354242615307297</v>
      </c>
      <c r="D8" s="13">
        <f>SVY!E505</f>
        <v>0</v>
      </c>
      <c r="E8" s="13">
        <f>SVY!F505</f>
        <v>0</v>
      </c>
      <c r="F8" s="13">
        <f>SVY!G505</f>
        <v>1.645757384692708E-2</v>
      </c>
      <c r="G8" s="14">
        <f>SVY!H505</f>
        <v>0</v>
      </c>
      <c r="H8" s="13">
        <f>SVY!I505</f>
        <v>1.6453086960640663E-3</v>
      </c>
    </row>
    <row r="9" spans="1:8" x14ac:dyDescent="0.35">
      <c r="A9" s="12" t="s">
        <v>98</v>
      </c>
      <c r="B9" t="s">
        <v>97</v>
      </c>
      <c r="C9" s="13">
        <f>SVY!D506</f>
        <v>0.98354242615307297</v>
      </c>
      <c r="D9" s="13">
        <f>SVY!E506</f>
        <v>0</v>
      </c>
      <c r="E9" s="13">
        <f>SVY!F506</f>
        <v>0</v>
      </c>
      <c r="F9" s="13">
        <f>SVY!G506</f>
        <v>1.645757384692708E-2</v>
      </c>
      <c r="G9" s="14">
        <f>SVY!H506</f>
        <v>0</v>
      </c>
      <c r="H9" s="13">
        <f>SVY!I506</f>
        <v>1.6453086960640663E-3</v>
      </c>
    </row>
    <row r="10" spans="1:8" x14ac:dyDescent="0.35">
      <c r="A10" s="12" t="s">
        <v>100</v>
      </c>
      <c r="B10" t="s">
        <v>99</v>
      </c>
      <c r="C10" s="13">
        <f>SVY!D507</f>
        <v>0.98354242615307297</v>
      </c>
      <c r="D10" s="13">
        <f>SVY!E507</f>
        <v>0</v>
      </c>
      <c r="E10" s="13">
        <f>SVY!F507</f>
        <v>0</v>
      </c>
      <c r="F10" s="13">
        <f>SVY!G507</f>
        <v>1.645757384692708E-2</v>
      </c>
      <c r="G10" s="14">
        <f>SVY!H507</f>
        <v>0</v>
      </c>
      <c r="H10" s="13">
        <f>SVY!I507</f>
        <v>1.6453086960640663E-3</v>
      </c>
    </row>
    <row r="11" spans="1:8" x14ac:dyDescent="0.35">
      <c r="A11" s="12" t="s">
        <v>102</v>
      </c>
      <c r="B11" t="s">
        <v>101</v>
      </c>
      <c r="C11" s="13">
        <f>SVY!D508</f>
        <v>0.98354242615307297</v>
      </c>
      <c r="D11" s="13">
        <f>SVY!E508</f>
        <v>0</v>
      </c>
      <c r="E11" s="13">
        <f>SVY!F508</f>
        <v>0</v>
      </c>
      <c r="F11" s="13">
        <f>SVY!G508</f>
        <v>1.645757384692708E-2</v>
      </c>
      <c r="G11" s="14">
        <f>SVY!H508</f>
        <v>0</v>
      </c>
      <c r="H11" s="13">
        <f>SVY!I508</f>
        <v>1.6453086960640663E-3</v>
      </c>
    </row>
    <row r="12" spans="1:8" x14ac:dyDescent="0.35">
      <c r="A12" s="12" t="s">
        <v>104</v>
      </c>
      <c r="B12" t="s">
        <v>103</v>
      </c>
      <c r="C12" s="13">
        <f>SVY!D509</f>
        <v>0.98354242615307297</v>
      </c>
      <c r="D12" s="13">
        <f>SVY!E509</f>
        <v>0</v>
      </c>
      <c r="E12" s="13">
        <f>SVY!F509</f>
        <v>0</v>
      </c>
      <c r="F12" s="13">
        <f>SVY!G509</f>
        <v>1.645757384692708E-2</v>
      </c>
      <c r="G12" s="14">
        <f>SVY!H509</f>
        <v>0</v>
      </c>
      <c r="H12" s="13">
        <f>SVY!I509</f>
        <v>1.6453086960640663E-3</v>
      </c>
    </row>
    <row r="13" spans="1:8" x14ac:dyDescent="0.35">
      <c r="A13" s="12" t="s">
        <v>106</v>
      </c>
      <c r="B13" t="s">
        <v>105</v>
      </c>
      <c r="C13" s="13">
        <f>SVY!D510</f>
        <v>0.98354242615307297</v>
      </c>
      <c r="D13" s="13">
        <f>SVY!E510</f>
        <v>0</v>
      </c>
      <c r="E13" s="13">
        <f>SVY!F510</f>
        <v>0</v>
      </c>
      <c r="F13" s="13">
        <f>SVY!G510</f>
        <v>1.645757384692708E-2</v>
      </c>
      <c r="G13" s="14">
        <f>SVY!H510</f>
        <v>0</v>
      </c>
      <c r="H13" s="13">
        <f>SVY!I510</f>
        <v>1.6453086960640663E-3</v>
      </c>
    </row>
    <row r="14" spans="1:8" x14ac:dyDescent="0.35">
      <c r="A14" s="12" t="s">
        <v>108</v>
      </c>
      <c r="B14" t="s">
        <v>107</v>
      </c>
      <c r="C14" s="13">
        <f>SVY!D511</f>
        <v>0.98354242615307297</v>
      </c>
      <c r="D14" s="13">
        <f>SVY!E511</f>
        <v>0</v>
      </c>
      <c r="E14" s="13">
        <f>SVY!F511</f>
        <v>0</v>
      </c>
      <c r="F14" s="13">
        <f>SVY!G511</f>
        <v>1.645757384692708E-2</v>
      </c>
      <c r="G14" s="14">
        <f>SVY!H511</f>
        <v>0</v>
      </c>
      <c r="H14" s="13">
        <f>SVY!I511</f>
        <v>1.6453086960640663E-3</v>
      </c>
    </row>
    <row r="15" spans="1:8" x14ac:dyDescent="0.35">
      <c r="A15" s="12" t="s">
        <v>110</v>
      </c>
      <c r="B15" t="s">
        <v>109</v>
      </c>
      <c r="C15" s="13">
        <f>SVY!D512</f>
        <v>0.98354242615307297</v>
      </c>
      <c r="D15" s="13">
        <f>SVY!E512</f>
        <v>0</v>
      </c>
      <c r="E15" s="13">
        <f>SVY!F512</f>
        <v>0</v>
      </c>
      <c r="F15" s="13">
        <f>SVY!G512</f>
        <v>1.645757384692708E-2</v>
      </c>
      <c r="G15" s="14">
        <f>SVY!H512</f>
        <v>0</v>
      </c>
      <c r="H15" s="13">
        <f>SVY!I512</f>
        <v>1.6453086960640663E-3</v>
      </c>
    </row>
    <row r="16" spans="1:8" x14ac:dyDescent="0.35">
      <c r="A16" s="12" t="s">
        <v>313</v>
      </c>
      <c r="B16" t="s">
        <v>327</v>
      </c>
      <c r="C16" s="13">
        <f>SVY!D513</f>
        <v>0.98354242615307297</v>
      </c>
      <c r="D16" s="13">
        <f>SVY!E513</f>
        <v>0</v>
      </c>
      <c r="E16" s="13">
        <f>SVY!F513</f>
        <v>0</v>
      </c>
      <c r="F16" s="13">
        <f>SVY!G513</f>
        <v>1.645757384692708E-2</v>
      </c>
      <c r="G16" s="14">
        <f>SVY!H513</f>
        <v>0</v>
      </c>
      <c r="H16" s="13">
        <f>SVY!I513</f>
        <v>1.6453086960640663E-3</v>
      </c>
    </row>
    <row r="17" spans="1:8" x14ac:dyDescent="0.35">
      <c r="A17" s="12" t="s">
        <v>314</v>
      </c>
      <c r="B17" t="s">
        <v>328</v>
      </c>
      <c r="C17" s="13">
        <f>SVY!D514</f>
        <v>0.98354242615307297</v>
      </c>
      <c r="D17" s="13">
        <f>SVY!E514</f>
        <v>0</v>
      </c>
      <c r="E17" s="13">
        <f>SVY!F514</f>
        <v>0</v>
      </c>
      <c r="F17" s="13">
        <f>SVY!G514</f>
        <v>1.645757384692708E-2</v>
      </c>
      <c r="G17" s="14">
        <f>SVY!H514</f>
        <v>0</v>
      </c>
      <c r="H17" s="13">
        <f>SVY!I514</f>
        <v>1.6453086960640663E-3</v>
      </c>
    </row>
    <row r="18" spans="1:8" x14ac:dyDescent="0.35">
      <c r="A18" s="12" t="s">
        <v>315</v>
      </c>
      <c r="B18" t="s">
        <v>329</v>
      </c>
      <c r="C18" s="13">
        <f>SVY!D515</f>
        <v>0.98354242615307297</v>
      </c>
      <c r="D18" s="13">
        <f>SVY!E515</f>
        <v>0</v>
      </c>
      <c r="E18" s="13">
        <f>SVY!F515</f>
        <v>0</v>
      </c>
      <c r="F18" s="13">
        <f>SVY!G515</f>
        <v>1.645757384692708E-2</v>
      </c>
      <c r="G18" s="14">
        <f>SVY!H515</f>
        <v>0</v>
      </c>
      <c r="H18" s="13">
        <f>SVY!I515</f>
        <v>1.6453086960640663E-3</v>
      </c>
    </row>
    <row r="19" spans="1:8" x14ac:dyDescent="0.35">
      <c r="A19" s="12" t="s">
        <v>316</v>
      </c>
      <c r="B19" t="s">
        <v>330</v>
      </c>
      <c r="C19" s="13">
        <f>SVY!D516</f>
        <v>0.98354242615307297</v>
      </c>
      <c r="D19" s="13">
        <f>SVY!E516</f>
        <v>0</v>
      </c>
      <c r="E19" s="13">
        <f>SVY!F516</f>
        <v>0</v>
      </c>
      <c r="F19" s="13">
        <f>SVY!G516</f>
        <v>1.645757384692708E-2</v>
      </c>
      <c r="G19" s="14">
        <f>SVY!H516</f>
        <v>0</v>
      </c>
      <c r="H19" s="13">
        <f>SVY!I516</f>
        <v>1.6453086960640663E-3</v>
      </c>
    </row>
    <row r="20" spans="1:8" x14ac:dyDescent="0.35">
      <c r="A20" s="12" t="s">
        <v>111</v>
      </c>
      <c r="B20" t="s">
        <v>18</v>
      </c>
      <c r="C20" s="13">
        <f>SVY!D517</f>
        <v>1</v>
      </c>
      <c r="D20" s="13">
        <f>SVY!E517</f>
        <v>0</v>
      </c>
      <c r="E20" s="13">
        <f>SVY!F517</f>
        <v>0</v>
      </c>
      <c r="F20" s="13">
        <f>SVY!G517</f>
        <v>0</v>
      </c>
      <c r="G20" s="14">
        <f>SVY!H517</f>
        <v>0</v>
      </c>
      <c r="H20" s="13">
        <f>SVY!I517</f>
        <v>0</v>
      </c>
    </row>
    <row r="21" spans="1:8" x14ac:dyDescent="0.35">
      <c r="A21" s="12" t="s">
        <v>113</v>
      </c>
      <c r="B21" t="s">
        <v>112</v>
      </c>
      <c r="C21" s="13">
        <f>SVY!D518</f>
        <v>0.92203985730814897</v>
      </c>
      <c r="D21" s="13">
        <f>SVY!E518</f>
        <v>4.5503843980373288E-4</v>
      </c>
      <c r="E21" s="13">
        <f>SVY!F518</f>
        <v>0</v>
      </c>
      <c r="F21" s="13">
        <f>SVY!G518</f>
        <v>7.7505104252047347E-2</v>
      </c>
      <c r="G21" s="14">
        <f>SVY!H518</f>
        <v>0</v>
      </c>
      <c r="H21" s="13">
        <f>SVY!I518</f>
        <v>3.9541628028049369E-3</v>
      </c>
    </row>
    <row r="22" spans="1:8" x14ac:dyDescent="0.35">
      <c r="A22" s="12" t="s">
        <v>115</v>
      </c>
      <c r="B22" t="s">
        <v>114</v>
      </c>
      <c r="C22" s="13">
        <f>SVY!D519</f>
        <v>0.92203985730814897</v>
      </c>
      <c r="D22" s="13">
        <f>SVY!E519</f>
        <v>4.5503843980373288E-4</v>
      </c>
      <c r="E22" s="13">
        <f>SVY!F519</f>
        <v>0</v>
      </c>
      <c r="F22" s="13">
        <f>SVY!G519</f>
        <v>7.7505104252047347E-2</v>
      </c>
      <c r="G22" s="14">
        <f>SVY!H519</f>
        <v>0</v>
      </c>
      <c r="H22" s="13">
        <f>SVY!I519</f>
        <v>3.9541628028049369E-3</v>
      </c>
    </row>
    <row r="23" spans="1:8" x14ac:dyDescent="0.35">
      <c r="A23" s="12" t="s">
        <v>117</v>
      </c>
      <c r="B23" t="s">
        <v>116</v>
      </c>
      <c r="C23" s="13">
        <f>SVY!D520</f>
        <v>0.92203985730814897</v>
      </c>
      <c r="D23" s="13">
        <f>SVY!E520</f>
        <v>4.5503843980373288E-4</v>
      </c>
      <c r="E23" s="13">
        <f>SVY!F520</f>
        <v>0</v>
      </c>
      <c r="F23" s="13">
        <f>SVY!G520</f>
        <v>7.7505104252047347E-2</v>
      </c>
      <c r="G23" s="14">
        <f>SVY!H520</f>
        <v>0</v>
      </c>
      <c r="H23" s="17">
        <f>SVY!I520</f>
        <v>3.9541628028049369E-3</v>
      </c>
    </row>
    <row r="24" spans="1:8" x14ac:dyDescent="0.35">
      <c r="A24" s="12" t="s">
        <v>119</v>
      </c>
      <c r="B24" t="s">
        <v>118</v>
      </c>
      <c r="C24" s="13">
        <f>SVY!D521</f>
        <v>0.92203985730814897</v>
      </c>
      <c r="D24" s="13">
        <f>SVY!E521</f>
        <v>4.5503843980373288E-4</v>
      </c>
      <c r="E24" s="13">
        <f>SVY!F521</f>
        <v>0</v>
      </c>
      <c r="F24" s="13">
        <f>SVY!G521</f>
        <v>7.7505104252047347E-2</v>
      </c>
      <c r="G24" s="14">
        <f>SVY!H521</f>
        <v>0</v>
      </c>
      <c r="H24" s="17">
        <f>SVY!I521</f>
        <v>3.9541628028049369E-3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6975-C308-4ECC-A643-2C9230B9014F}">
  <sheetPr>
    <tabColor theme="8" tint="-0.499984740745262"/>
  </sheetPr>
  <dimension ref="A1:Q27"/>
  <sheetViews>
    <sheetView showZeros="0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RowHeight="14.5" x14ac:dyDescent="0.35"/>
  <sheetData>
    <row r="1" spans="1:17" ht="18.5" x14ac:dyDescent="0.45">
      <c r="A1" s="10" t="s">
        <v>592</v>
      </c>
    </row>
    <row r="4" spans="1:17" x14ac:dyDescent="0.35">
      <c r="A4" s="11" t="s">
        <v>593</v>
      </c>
    </row>
    <row r="5" spans="1:17" x14ac:dyDescent="0.35">
      <c r="A5" s="12" t="s">
        <v>594</v>
      </c>
      <c r="C5" s="12" t="s">
        <v>15</v>
      </c>
      <c r="D5" s="12"/>
      <c r="E5" s="12"/>
      <c r="F5" s="12"/>
      <c r="G5" s="12"/>
      <c r="H5" s="12"/>
      <c r="J5" s="12"/>
      <c r="K5" s="12"/>
      <c r="L5" s="12"/>
      <c r="M5" s="12"/>
      <c r="N5" s="12"/>
      <c r="O5" s="12" t="s">
        <v>19</v>
      </c>
      <c r="P5" s="12" t="s">
        <v>23</v>
      </c>
    </row>
    <row r="6" spans="1:17" x14ac:dyDescent="0.35">
      <c r="C6" s="12" t="s">
        <v>96</v>
      </c>
      <c r="D6" s="12" t="s">
        <v>98</v>
      </c>
      <c r="E6" s="12" t="s">
        <v>100</v>
      </c>
      <c r="F6" s="12" t="s">
        <v>102</v>
      </c>
      <c r="G6" s="12" t="s">
        <v>104</v>
      </c>
      <c r="H6" s="12" t="s">
        <v>106</v>
      </c>
      <c r="I6" s="12" t="s">
        <v>108</v>
      </c>
      <c r="J6" s="12" t="s">
        <v>110</v>
      </c>
      <c r="K6" s="12" t="s">
        <v>313</v>
      </c>
      <c r="L6" s="12" t="s">
        <v>314</v>
      </c>
      <c r="M6" s="12" t="s">
        <v>315</v>
      </c>
      <c r="N6" s="12" t="s">
        <v>316</v>
      </c>
      <c r="O6" s="12" t="s">
        <v>111</v>
      </c>
      <c r="P6" s="12" t="s">
        <v>578</v>
      </c>
      <c r="Q6" s="12" t="s">
        <v>420</v>
      </c>
    </row>
    <row r="7" spans="1:17" x14ac:dyDescent="0.35">
      <c r="B7" s="13"/>
      <c r="C7" s="13" t="s">
        <v>95</v>
      </c>
      <c r="D7" s="13" t="s">
        <v>97</v>
      </c>
      <c r="E7" s="13" t="s">
        <v>99</v>
      </c>
      <c r="F7" s="13" t="s">
        <v>101</v>
      </c>
      <c r="G7" s="13" t="s">
        <v>103</v>
      </c>
      <c r="H7" s="13" t="s">
        <v>105</v>
      </c>
      <c r="I7" s="13" t="s">
        <v>107</v>
      </c>
      <c r="J7" s="13" t="s">
        <v>109</v>
      </c>
      <c r="K7" s="13" t="s">
        <v>327</v>
      </c>
      <c r="L7" s="13" t="s">
        <v>328</v>
      </c>
      <c r="M7" s="13" t="s">
        <v>329</v>
      </c>
      <c r="N7" s="13" t="s">
        <v>330</v>
      </c>
      <c r="O7" s="13" t="s">
        <v>18</v>
      </c>
      <c r="P7" s="13" t="s">
        <v>112</v>
      </c>
      <c r="Q7" s="13" t="s">
        <v>114</v>
      </c>
    </row>
    <row r="8" spans="1:17" x14ac:dyDescent="0.35">
      <c r="A8" s="12" t="s">
        <v>284</v>
      </c>
      <c r="B8" s="13" t="s">
        <v>283</v>
      </c>
      <c r="C8" s="13">
        <f>SVY!D452</f>
        <v>0.19998698121319894</v>
      </c>
      <c r="D8" s="13">
        <f>SVY!E452</f>
        <v>0.1232734719196683</v>
      </c>
      <c r="E8" s="13">
        <f>SVY!F452</f>
        <v>2.2663474333032049E-2</v>
      </c>
      <c r="F8" s="13">
        <f>SVY!G452</f>
        <v>9.0909863287358568E-4</v>
      </c>
      <c r="G8" s="13">
        <f>SVY!H452</f>
        <v>0</v>
      </c>
      <c r="H8" s="13">
        <f>SVY!I452</f>
        <v>0</v>
      </c>
      <c r="I8" s="13">
        <f>SVY!J452</f>
        <v>0</v>
      </c>
      <c r="J8" s="13">
        <f>SVY!K452</f>
        <v>0</v>
      </c>
      <c r="K8" s="13">
        <f>SVY!L452</f>
        <v>0</v>
      </c>
      <c r="L8" s="13">
        <f>SVY!M452</f>
        <v>0</v>
      </c>
      <c r="M8" s="13">
        <f>SVY!N452</f>
        <v>0</v>
      </c>
      <c r="N8" s="13">
        <f>SVY!O452</f>
        <v>0</v>
      </c>
      <c r="O8" s="13">
        <f>SVY!P452</f>
        <v>0.14850162122644553</v>
      </c>
      <c r="P8" s="13">
        <f>SVY!Q452</f>
        <v>0.14850162122644553</v>
      </c>
      <c r="Q8" s="13">
        <f>SVY!R452</f>
        <v>0.10079254292980076</v>
      </c>
    </row>
    <row r="9" spans="1:17" x14ac:dyDescent="0.35">
      <c r="A9" s="12" t="s">
        <v>286</v>
      </c>
      <c r="B9" s="13" t="s">
        <v>285</v>
      </c>
      <c r="C9" s="13">
        <f>SVY!D453</f>
        <v>0.16962728774693253</v>
      </c>
      <c r="D9" s="13">
        <f>SVY!E453</f>
        <v>0.14654409668561216</v>
      </c>
      <c r="E9" s="13">
        <f>SVY!F453</f>
        <v>6.2567708598471022E-2</v>
      </c>
      <c r="F9" s="13">
        <f>SVY!G453</f>
        <v>6.394534647710599E-3</v>
      </c>
      <c r="G9" s="13">
        <f>SVY!H453</f>
        <v>0</v>
      </c>
      <c r="H9" s="13">
        <f>SVY!I453</f>
        <v>0</v>
      </c>
      <c r="I9" s="13">
        <f>SVY!J453</f>
        <v>0</v>
      </c>
      <c r="J9" s="13">
        <f>SVY!K453</f>
        <v>0</v>
      </c>
      <c r="K9" s="13">
        <f>SVY!L453</f>
        <v>0</v>
      </c>
      <c r="L9" s="13">
        <f>SVY!M453</f>
        <v>0</v>
      </c>
      <c r="M9" s="13">
        <f>SVY!N453</f>
        <v>0</v>
      </c>
      <c r="N9" s="13">
        <f>SVY!O453</f>
        <v>0</v>
      </c>
      <c r="O9" s="13">
        <f>SVY!P453</f>
        <v>0.15142837620787714</v>
      </c>
      <c r="P9" s="13">
        <f>SVY!Q453</f>
        <v>0.15142837620787714</v>
      </c>
      <c r="Q9" s="13">
        <f>SVY!R453</f>
        <v>0.1138312344903424</v>
      </c>
    </row>
    <row r="10" spans="1:17" x14ac:dyDescent="0.35">
      <c r="A10" s="12" t="s">
        <v>288</v>
      </c>
      <c r="B10" s="13" t="s">
        <v>287</v>
      </c>
      <c r="C10" s="13">
        <f>SVY!D454</f>
        <v>0.22046458930163282</v>
      </c>
      <c r="D10" s="13">
        <f>SVY!E454</f>
        <v>0.20923346923983749</v>
      </c>
      <c r="E10" s="13">
        <f>SVY!F454</f>
        <v>9.9784581518176263E-2</v>
      </c>
      <c r="F10" s="13">
        <f>SVY!G454</f>
        <v>5.4874271028866614E-3</v>
      </c>
      <c r="G10" s="13">
        <f>SVY!H454</f>
        <v>0</v>
      </c>
      <c r="H10" s="13">
        <f>SVY!I454</f>
        <v>0</v>
      </c>
      <c r="I10" s="13">
        <f>SVY!J454</f>
        <v>0</v>
      </c>
      <c r="J10" s="13">
        <f>SVY!K454</f>
        <v>0</v>
      </c>
      <c r="K10" s="13">
        <f>SVY!L454</f>
        <v>0</v>
      </c>
      <c r="L10" s="13">
        <f>SVY!M454</f>
        <v>0</v>
      </c>
      <c r="M10" s="13">
        <f>SVY!N454</f>
        <v>0</v>
      </c>
      <c r="N10" s="13">
        <f>SVY!O454</f>
        <v>0</v>
      </c>
      <c r="O10" s="13">
        <f>SVY!P454</f>
        <v>0.22351755432471337</v>
      </c>
      <c r="P10" s="13">
        <f>SVY!Q454</f>
        <v>0.22351755432471337</v>
      </c>
      <c r="Q10" s="13">
        <f>SVY!R454</f>
        <v>0.15986296670706826</v>
      </c>
    </row>
    <row r="11" spans="1:17" x14ac:dyDescent="0.35">
      <c r="A11" s="12" t="s">
        <v>290</v>
      </c>
      <c r="B11" s="13" t="s">
        <v>289</v>
      </c>
      <c r="C11" s="13">
        <f>SVY!D455</f>
        <v>0.20649287121394647</v>
      </c>
      <c r="D11" s="13">
        <f>SVY!E455</f>
        <v>0.22545432092293244</v>
      </c>
      <c r="E11" s="13">
        <f>SVY!F455</f>
        <v>0.18535615334788125</v>
      </c>
      <c r="F11" s="13">
        <f>SVY!G455</f>
        <v>0.12605772223163683</v>
      </c>
      <c r="G11" s="13">
        <f>SVY!H455</f>
        <v>0</v>
      </c>
      <c r="H11" s="13">
        <f>SVY!I455</f>
        <v>0</v>
      </c>
      <c r="I11" s="13">
        <f>SVY!J455</f>
        <v>0</v>
      </c>
      <c r="J11" s="13">
        <f>SVY!K455</f>
        <v>0</v>
      </c>
      <c r="K11" s="13">
        <f>SVY!L455</f>
        <v>0</v>
      </c>
      <c r="L11" s="13">
        <f>SVY!M455</f>
        <v>0</v>
      </c>
      <c r="M11" s="13">
        <f>SVY!N455</f>
        <v>0</v>
      </c>
      <c r="N11" s="13">
        <f>SVY!O455</f>
        <v>0</v>
      </c>
      <c r="O11" s="13">
        <f>SVY!P455</f>
        <v>0.21904331567094742</v>
      </c>
      <c r="P11" s="13">
        <f>SVY!Q455</f>
        <v>0.21904331567094742</v>
      </c>
      <c r="Q11" s="13">
        <f>SVY!R455</f>
        <v>0.19494254274879474</v>
      </c>
    </row>
    <row r="12" spans="1:17" x14ac:dyDescent="0.35">
      <c r="A12" s="12" t="s">
        <v>292</v>
      </c>
      <c r="B12" s="13" t="s">
        <v>291</v>
      </c>
      <c r="C12" s="13">
        <f>SVY!D456</f>
        <v>0.10377800129927792</v>
      </c>
      <c r="D12" s="13">
        <f>SVY!E456</f>
        <v>0.17284773884269805</v>
      </c>
      <c r="E12" s="13">
        <f>SVY!F456</f>
        <v>0.32959945104571492</v>
      </c>
      <c r="F12" s="13">
        <f>SVY!G456</f>
        <v>0.38031866548894594</v>
      </c>
      <c r="G12" s="13">
        <f>SVY!H456</f>
        <v>0</v>
      </c>
      <c r="H12" s="13">
        <f>SVY!I456</f>
        <v>0</v>
      </c>
      <c r="I12" s="13">
        <f>SVY!J456</f>
        <v>0</v>
      </c>
      <c r="J12" s="13">
        <f>SVY!K456</f>
        <v>0</v>
      </c>
      <c r="K12" s="13">
        <f>SVY!L456</f>
        <v>0</v>
      </c>
      <c r="L12" s="13">
        <f>SVY!M456</f>
        <v>0</v>
      </c>
      <c r="M12" s="13">
        <f>SVY!N456</f>
        <v>0</v>
      </c>
      <c r="N12" s="13">
        <f>SVY!O456</f>
        <v>0</v>
      </c>
      <c r="O12" s="13">
        <f>SVY!P456</f>
        <v>0.12660097514077387</v>
      </c>
      <c r="P12" s="13">
        <f>SVY!Q456</f>
        <v>0.12660097514077387</v>
      </c>
      <c r="Q12" s="13">
        <f>SVY!R456</f>
        <v>0.12893034711881973</v>
      </c>
    </row>
    <row r="13" spans="1:17" x14ac:dyDescent="0.35">
      <c r="A13" s="12" t="s">
        <v>294</v>
      </c>
      <c r="B13" s="13" t="s">
        <v>293</v>
      </c>
      <c r="C13" s="13">
        <f>SVY!D457</f>
        <v>9.2585833496006738E-3</v>
      </c>
      <c r="D13" s="13">
        <f>SVY!E457</f>
        <v>3.3831981836435852E-3</v>
      </c>
      <c r="E13" s="13">
        <f>SVY!F457</f>
        <v>0</v>
      </c>
      <c r="F13" s="13">
        <f>SVY!G457</f>
        <v>0</v>
      </c>
      <c r="G13" s="13">
        <f>SVY!H457</f>
        <v>0</v>
      </c>
      <c r="H13" s="13">
        <f>SVY!I457</f>
        <v>0</v>
      </c>
      <c r="I13" s="13">
        <f>SVY!J457</f>
        <v>0</v>
      </c>
      <c r="J13" s="13">
        <f>SVY!K457</f>
        <v>0</v>
      </c>
      <c r="K13" s="13">
        <f>SVY!L457</f>
        <v>0</v>
      </c>
      <c r="L13" s="13">
        <f>SVY!M457</f>
        <v>0</v>
      </c>
      <c r="M13" s="13">
        <f>SVY!N457</f>
        <v>0</v>
      </c>
      <c r="N13" s="13">
        <f>SVY!O457</f>
        <v>0</v>
      </c>
      <c r="O13" s="13">
        <f>SVY!P457</f>
        <v>0</v>
      </c>
      <c r="P13" s="13">
        <f>SVY!Q457</f>
        <v>0</v>
      </c>
      <c r="Q13" s="13">
        <f>SVY!R457</f>
        <v>0</v>
      </c>
    </row>
    <row r="14" spans="1:17" x14ac:dyDescent="0.35">
      <c r="A14" s="12" t="s">
        <v>296</v>
      </c>
      <c r="B14" s="13" t="s">
        <v>295</v>
      </c>
      <c r="C14" s="13">
        <f>SVY!D458</f>
        <v>3.1128254557691616E-3</v>
      </c>
      <c r="D14" s="13">
        <f>SVY!E458</f>
        <v>3.7687681710203524E-3</v>
      </c>
      <c r="E14" s="13">
        <f>SVY!F458</f>
        <v>1.9443243066954092E-3</v>
      </c>
      <c r="F14" s="13">
        <f>SVY!G458</f>
        <v>0</v>
      </c>
      <c r="G14" s="13">
        <f>SVY!H458</f>
        <v>0</v>
      </c>
      <c r="H14" s="13">
        <f>SVY!I458</f>
        <v>0</v>
      </c>
      <c r="I14" s="13">
        <f>SVY!J458</f>
        <v>0</v>
      </c>
      <c r="J14" s="13">
        <f>SVY!K458</f>
        <v>0</v>
      </c>
      <c r="K14" s="13">
        <f>SVY!L458</f>
        <v>0</v>
      </c>
      <c r="L14" s="13">
        <f>SVY!M458</f>
        <v>0</v>
      </c>
      <c r="M14" s="13">
        <f>SVY!N458</f>
        <v>0</v>
      </c>
      <c r="N14" s="13">
        <f>SVY!O458</f>
        <v>0</v>
      </c>
      <c r="O14" s="13">
        <f>SVY!P458</f>
        <v>0</v>
      </c>
      <c r="P14" s="13">
        <f>SVY!Q458</f>
        <v>0</v>
      </c>
      <c r="Q14" s="13">
        <f>SVY!R458</f>
        <v>0</v>
      </c>
    </row>
    <row r="15" spans="1:17" x14ac:dyDescent="0.35">
      <c r="A15" s="12" t="s">
        <v>298</v>
      </c>
      <c r="B15" s="13" t="s">
        <v>297</v>
      </c>
      <c r="C15" s="13">
        <f>SVY!D459</f>
        <v>1.0525273519579751E-2</v>
      </c>
      <c r="D15" s="13">
        <f>SVY!E459</f>
        <v>9.9784499272309712E-3</v>
      </c>
      <c r="E15" s="13">
        <f>SVY!F459</f>
        <v>1.2743830622920414E-2</v>
      </c>
      <c r="F15" s="13">
        <f>SVY!G459</f>
        <v>0</v>
      </c>
      <c r="G15" s="13">
        <f>SVY!H459</f>
        <v>0</v>
      </c>
      <c r="H15" s="13">
        <f>SVY!I459</f>
        <v>0</v>
      </c>
      <c r="I15" s="13">
        <f>SVY!J459</f>
        <v>0</v>
      </c>
      <c r="J15" s="13">
        <f>SVY!K459</f>
        <v>0</v>
      </c>
      <c r="K15" s="13">
        <f>SVY!L459</f>
        <v>0</v>
      </c>
      <c r="L15" s="13">
        <f>SVY!M459</f>
        <v>0</v>
      </c>
      <c r="M15" s="13">
        <f>SVY!N459</f>
        <v>0</v>
      </c>
      <c r="N15" s="13">
        <f>SVY!O459</f>
        <v>0</v>
      </c>
      <c r="O15" s="13">
        <f>SVY!P459</f>
        <v>0</v>
      </c>
      <c r="P15" s="13">
        <f>SVY!Q459</f>
        <v>0</v>
      </c>
      <c r="Q15" s="13">
        <f>SVY!R459</f>
        <v>0</v>
      </c>
    </row>
    <row r="16" spans="1:17" x14ac:dyDescent="0.35">
      <c r="A16" s="12" t="s">
        <v>300</v>
      </c>
      <c r="B16" s="13" t="s">
        <v>299</v>
      </c>
      <c r="C16" s="13">
        <f>SVY!D460</f>
        <v>6.0890531482528251E-2</v>
      </c>
      <c r="D16" s="13">
        <f>SVY!E460</f>
        <v>6.2007004590638147E-2</v>
      </c>
      <c r="E16" s="13">
        <f>SVY!F460</f>
        <v>0.10484692164106461</v>
      </c>
      <c r="F16" s="13">
        <f>SVY!G460</f>
        <v>6.8621996346284644E-2</v>
      </c>
      <c r="G16" s="13">
        <f>SVY!H460</f>
        <v>0</v>
      </c>
      <c r="H16" s="13">
        <f>SVY!I460</f>
        <v>0</v>
      </c>
      <c r="I16" s="13">
        <f>SVY!J460</f>
        <v>0</v>
      </c>
      <c r="J16" s="13">
        <f>SVY!K460</f>
        <v>0</v>
      </c>
      <c r="K16" s="13">
        <f>SVY!L460</f>
        <v>0</v>
      </c>
      <c r="L16" s="13">
        <f>SVY!M460</f>
        <v>0</v>
      </c>
      <c r="M16" s="13">
        <f>SVY!N460</f>
        <v>0</v>
      </c>
      <c r="N16" s="13">
        <f>SVY!O460</f>
        <v>0</v>
      </c>
      <c r="O16" s="13">
        <f>SVY!P460</f>
        <v>0</v>
      </c>
      <c r="P16" s="13">
        <f>SVY!Q460</f>
        <v>0</v>
      </c>
      <c r="Q16" s="13">
        <f>SVY!R460</f>
        <v>0</v>
      </c>
    </row>
    <row r="17" spans="1:17" x14ac:dyDescent="0.35">
      <c r="A17" s="12" t="s">
        <v>302</v>
      </c>
      <c r="B17" s="13" t="s">
        <v>301</v>
      </c>
      <c r="C17" s="13">
        <f>SVY!D461</f>
        <v>1.5863055417533248E-2</v>
      </c>
      <c r="D17" s="13">
        <f>SVY!E461</f>
        <v>4.3509481516718414E-2</v>
      </c>
      <c r="E17" s="13">
        <f>SVY!F461</f>
        <v>0.18049355458604416</v>
      </c>
      <c r="F17" s="13">
        <f>SVY!G461</f>
        <v>0.41221055554966157</v>
      </c>
      <c r="G17" s="13">
        <f>SVY!H461</f>
        <v>0</v>
      </c>
      <c r="H17" s="13">
        <f>SVY!I461</f>
        <v>0</v>
      </c>
      <c r="I17" s="13">
        <f>SVY!J461</f>
        <v>0</v>
      </c>
      <c r="J17" s="13">
        <f>SVY!K461</f>
        <v>0</v>
      </c>
      <c r="K17" s="13">
        <f>SVY!L461</f>
        <v>0</v>
      </c>
      <c r="L17" s="13">
        <f>SVY!M461</f>
        <v>0</v>
      </c>
      <c r="M17" s="13">
        <f>SVY!N461</f>
        <v>0</v>
      </c>
      <c r="N17" s="13">
        <f>SVY!O461</f>
        <v>0</v>
      </c>
      <c r="O17" s="13">
        <f>SVY!P461</f>
        <v>0</v>
      </c>
      <c r="P17" s="13">
        <f>SVY!Q461</f>
        <v>0</v>
      </c>
      <c r="Q17" s="13">
        <f>SVY!R461</f>
        <v>0</v>
      </c>
    </row>
    <row r="18" spans="1:17" x14ac:dyDescent="0.35">
      <c r="A18" s="12" t="s">
        <v>304</v>
      </c>
      <c r="B18" s="13" t="s">
        <v>303</v>
      </c>
      <c r="C18" s="13">
        <f>SVY!D462</f>
        <v>0</v>
      </c>
      <c r="D18" s="13">
        <f>SVY!E462</f>
        <v>0</v>
      </c>
      <c r="E18" s="13">
        <f>SVY!F462</f>
        <v>0</v>
      </c>
      <c r="F18" s="13">
        <f>SVY!G462</f>
        <v>0</v>
      </c>
      <c r="G18" s="13">
        <f>SVY!H462</f>
        <v>0.15180033996701942</v>
      </c>
      <c r="H18" s="13">
        <f>SVY!I462</f>
        <v>5.8134351107532088E-2</v>
      </c>
      <c r="I18" s="13">
        <f>SVY!J462</f>
        <v>6.1220309451348459E-3</v>
      </c>
      <c r="J18" s="13">
        <f>SVY!K462</f>
        <v>1.7944513159867635E-3</v>
      </c>
      <c r="K18" s="13">
        <f>SVY!L462</f>
        <v>0</v>
      </c>
      <c r="L18" s="13">
        <f>SVY!M462</f>
        <v>0</v>
      </c>
      <c r="M18" s="13">
        <f>SVY!N462</f>
        <v>0</v>
      </c>
      <c r="N18" s="13">
        <f>SVY!O462</f>
        <v>0</v>
      </c>
      <c r="O18" s="13">
        <f>SVY!P462</f>
        <v>6.4778837750633454E-3</v>
      </c>
      <c r="P18" s="13">
        <f>SVY!Q462</f>
        <v>6.4778837750633454E-3</v>
      </c>
      <c r="Q18" s="13">
        <f>SVY!R462</f>
        <v>5.6056851675149923E-3</v>
      </c>
    </row>
    <row r="19" spans="1:17" x14ac:dyDescent="0.35">
      <c r="A19" s="12" t="s">
        <v>306</v>
      </c>
      <c r="B19" s="13" t="s">
        <v>305</v>
      </c>
      <c r="C19" s="13">
        <f>SVY!D463</f>
        <v>0</v>
      </c>
      <c r="D19" s="13">
        <f>SVY!E463</f>
        <v>0</v>
      </c>
      <c r="E19" s="13">
        <f>SVY!F463</f>
        <v>0</v>
      </c>
      <c r="F19" s="13">
        <f>SVY!G463</f>
        <v>0</v>
      </c>
      <c r="G19" s="13">
        <f>SVY!H463</f>
        <v>0.15009388118089237</v>
      </c>
      <c r="H19" s="13">
        <f>SVY!I463</f>
        <v>7.9049771700914886E-2</v>
      </c>
      <c r="I19" s="13">
        <f>SVY!J463</f>
        <v>1.2260127053967552E-2</v>
      </c>
      <c r="J19" s="13">
        <f>SVY!K463</f>
        <v>3.5936115520030926E-3</v>
      </c>
      <c r="K19" s="13">
        <f>SVY!L463</f>
        <v>0</v>
      </c>
      <c r="L19" s="13">
        <f>SVY!M463</f>
        <v>0</v>
      </c>
      <c r="M19" s="13">
        <f>SVY!N463</f>
        <v>0</v>
      </c>
      <c r="N19" s="13">
        <f>SVY!O463</f>
        <v>0</v>
      </c>
      <c r="O19" s="13">
        <f>SVY!P463</f>
        <v>5.999391885715845E-3</v>
      </c>
      <c r="P19" s="13">
        <f>SVY!Q463</f>
        <v>5.999391885715845E-3</v>
      </c>
      <c r="Q19" s="13">
        <f>SVY!R463</f>
        <v>6.2917267356026813E-3</v>
      </c>
    </row>
    <row r="20" spans="1:17" x14ac:dyDescent="0.35">
      <c r="A20" s="12" t="s">
        <v>308</v>
      </c>
      <c r="B20" s="13" t="s">
        <v>307</v>
      </c>
      <c r="C20" s="13">
        <f>SVY!D464</f>
        <v>0</v>
      </c>
      <c r="D20" s="13">
        <f>SVY!E464</f>
        <v>0</v>
      </c>
      <c r="E20" s="13">
        <f>SVY!F464</f>
        <v>0</v>
      </c>
      <c r="F20" s="13">
        <f>SVY!G464</f>
        <v>0</v>
      </c>
      <c r="G20" s="13">
        <f>SVY!H464</f>
        <v>0.22611182819539405</v>
      </c>
      <c r="H20" s="13">
        <f>SVY!I464</f>
        <v>0.2020320843450806</v>
      </c>
      <c r="I20" s="13">
        <f>SVY!J464</f>
        <v>2.949646205480955E-2</v>
      </c>
      <c r="J20" s="13">
        <f>SVY!K464</f>
        <v>8.6458179688343219E-3</v>
      </c>
      <c r="K20" s="13">
        <f>SVY!L464</f>
        <v>0</v>
      </c>
      <c r="L20" s="13">
        <f>SVY!M464</f>
        <v>0</v>
      </c>
      <c r="M20" s="13">
        <f>SVY!N464</f>
        <v>0</v>
      </c>
      <c r="N20" s="13">
        <f>SVY!O464</f>
        <v>0</v>
      </c>
      <c r="O20" s="13">
        <f>SVY!P464</f>
        <v>1.0350099732184993E-2</v>
      </c>
      <c r="P20" s="13">
        <f>SVY!Q464</f>
        <v>1.0350099732184993E-2</v>
      </c>
      <c r="Q20" s="13">
        <f>SVY!R464</f>
        <v>1.3155655243554778E-2</v>
      </c>
    </row>
    <row r="21" spans="1:17" x14ac:dyDescent="0.35">
      <c r="A21" s="12" t="s">
        <v>310</v>
      </c>
      <c r="B21" s="13" t="s">
        <v>309</v>
      </c>
      <c r="C21" s="13">
        <f>SVY!D465</f>
        <v>0</v>
      </c>
      <c r="D21" s="13">
        <f>SVY!E465</f>
        <v>0</v>
      </c>
      <c r="E21" s="13">
        <f>SVY!F465</f>
        <v>0</v>
      </c>
      <c r="F21" s="13">
        <f>SVY!G465</f>
        <v>0</v>
      </c>
      <c r="G21" s="13">
        <f>SVY!H465</f>
        <v>0.13424539340097949</v>
      </c>
      <c r="H21" s="13">
        <f>SVY!I465</f>
        <v>0.19721027450442297</v>
      </c>
      <c r="I21" s="13">
        <f>SVY!J465</f>
        <v>0.11478338931334393</v>
      </c>
      <c r="J21" s="13">
        <f>SVY!K465</f>
        <v>3.3556900472192473E-2</v>
      </c>
      <c r="K21" s="13">
        <f>SVY!L465</f>
        <v>0</v>
      </c>
      <c r="L21" s="13">
        <f>SVY!M465</f>
        <v>0</v>
      </c>
      <c r="M21" s="13">
        <f>SVY!N465</f>
        <v>0</v>
      </c>
      <c r="N21" s="13">
        <f>SVY!O465</f>
        <v>0</v>
      </c>
      <c r="O21" s="13">
        <f>SVY!P465</f>
        <v>1.1669350028112471E-2</v>
      </c>
      <c r="P21" s="13">
        <f>SVY!Q465</f>
        <v>1.1669350028112471E-2</v>
      </c>
      <c r="Q21" s="13">
        <f>SVY!R465</f>
        <v>2.0548676173799775E-2</v>
      </c>
    </row>
    <row r="22" spans="1:17" x14ac:dyDescent="0.35">
      <c r="A22" s="12" t="s">
        <v>312</v>
      </c>
      <c r="B22" s="13" t="s">
        <v>311</v>
      </c>
      <c r="C22" s="13">
        <f>SVY!D466</f>
        <v>0</v>
      </c>
      <c r="D22" s="13">
        <f>SVY!E466</f>
        <v>0</v>
      </c>
      <c r="E22" s="13">
        <f>SVY!F466</f>
        <v>0</v>
      </c>
      <c r="F22" s="13">
        <f>SVY!G466</f>
        <v>0</v>
      </c>
      <c r="G22" s="13">
        <f>SVY!H466</f>
        <v>0.33774855725571468</v>
      </c>
      <c r="H22" s="13">
        <f>SVY!I466</f>
        <v>0.46357351834204952</v>
      </c>
      <c r="I22" s="13">
        <f>SVY!J466</f>
        <v>0.83733799063274406</v>
      </c>
      <c r="J22" s="13">
        <f>SVY!K466</f>
        <v>0.95240921869098338</v>
      </c>
      <c r="K22" s="13">
        <f>SVY!L466</f>
        <v>0</v>
      </c>
      <c r="L22" s="13">
        <f>SVY!M466</f>
        <v>0</v>
      </c>
      <c r="M22" s="13">
        <f>SVY!N466</f>
        <v>0</v>
      </c>
      <c r="N22" s="13">
        <f>SVY!O466</f>
        <v>0</v>
      </c>
      <c r="O22" s="13">
        <f>SVY!P466</f>
        <v>2.4735801255584864E-2</v>
      </c>
      <c r="P22" s="13">
        <f>SVY!Q466</f>
        <v>2.4735801255584864E-2</v>
      </c>
      <c r="Q22" s="13">
        <f>SVY!R466</f>
        <v>5.3967790186212929E-2</v>
      </c>
    </row>
    <row r="23" spans="1:17" x14ac:dyDescent="0.35">
      <c r="A23" s="12" t="s">
        <v>317</v>
      </c>
      <c r="B23" s="13" t="s">
        <v>322</v>
      </c>
      <c r="C23" s="13">
        <f>SVY!D467</f>
        <v>0</v>
      </c>
      <c r="D23" s="13">
        <f>SVY!E467</f>
        <v>0</v>
      </c>
      <c r="E23" s="13">
        <f>SVY!F467</f>
        <v>0</v>
      </c>
      <c r="F23" s="13">
        <f>SVY!G467</f>
        <v>0</v>
      </c>
      <c r="G23" s="13">
        <f>SVY!H467</f>
        <v>0</v>
      </c>
      <c r="H23" s="13">
        <f>SVY!I467</f>
        <v>0</v>
      </c>
      <c r="I23" s="13">
        <f>SVY!J467</f>
        <v>0</v>
      </c>
      <c r="J23" s="13">
        <f>SVY!K467</f>
        <v>0</v>
      </c>
      <c r="K23" s="13">
        <f>SVY!L467</f>
        <v>6.087258101762838E-2</v>
      </c>
      <c r="L23" s="13">
        <f>SVY!M467</f>
        <v>7.8495858231610836E-3</v>
      </c>
      <c r="M23" s="13">
        <f>SVY!N467</f>
        <v>0</v>
      </c>
      <c r="N23" s="13">
        <f>SVY!O467</f>
        <v>0</v>
      </c>
      <c r="O23" s="13">
        <f>SVY!P467</f>
        <v>2.2486598131798209E-3</v>
      </c>
      <c r="P23" s="13">
        <f>SVY!Q467</f>
        <v>2.2486598131798209E-3</v>
      </c>
      <c r="Q23" s="13">
        <f>SVY!R467</f>
        <v>6.510638358332609E-4</v>
      </c>
    </row>
    <row r="24" spans="1:17" x14ac:dyDescent="0.35">
      <c r="A24" s="12" t="s">
        <v>318</v>
      </c>
      <c r="B24" s="13" t="s">
        <v>323</v>
      </c>
      <c r="C24" s="13">
        <f>SVY!D468</f>
        <v>0</v>
      </c>
      <c r="D24" s="13">
        <f>SVY!E468</f>
        <v>0</v>
      </c>
      <c r="E24" s="13">
        <f>SVY!F468</f>
        <v>0</v>
      </c>
      <c r="F24" s="13">
        <f>SVY!G468</f>
        <v>0</v>
      </c>
      <c r="G24" s="13">
        <f>SVY!H468</f>
        <v>0</v>
      </c>
      <c r="H24" s="13">
        <f>SVY!I468</f>
        <v>0</v>
      </c>
      <c r="I24" s="13">
        <f>SVY!J468</f>
        <v>0</v>
      </c>
      <c r="J24" s="13">
        <f>SVY!K468</f>
        <v>0</v>
      </c>
      <c r="K24" s="13">
        <f>SVY!L468</f>
        <v>9.2296623116925353E-2</v>
      </c>
      <c r="L24" s="13">
        <f>SVY!M468</f>
        <v>4.9579710892771439E-2</v>
      </c>
      <c r="M24" s="13">
        <f>SVY!N468</f>
        <v>1.789961727426918E-2</v>
      </c>
      <c r="N24" s="13">
        <f>SVY!O468</f>
        <v>2.438873584547036E-3</v>
      </c>
      <c r="O24" s="13">
        <f>SVY!P468</f>
        <v>3.8892969175744322E-3</v>
      </c>
      <c r="P24" s="13">
        <f>SVY!Q468</f>
        <v>3.8892969175744322E-3</v>
      </c>
      <c r="Q24" s="13">
        <f>SVY!R468</f>
        <v>6.7138225838702312E-3</v>
      </c>
    </row>
    <row r="25" spans="1:17" x14ac:dyDescent="0.35">
      <c r="A25" s="12" t="s">
        <v>319</v>
      </c>
      <c r="B25" s="13" t="s">
        <v>324</v>
      </c>
      <c r="C25" s="13">
        <f>SVY!D469</f>
        <v>0</v>
      </c>
      <c r="D25" s="13">
        <f>SVY!E469</f>
        <v>0</v>
      </c>
      <c r="E25" s="13">
        <f>SVY!F469</f>
        <v>0</v>
      </c>
      <c r="F25" s="13">
        <f>SVY!G469</f>
        <v>0</v>
      </c>
      <c r="G25" s="13">
        <f>SVY!H469</f>
        <v>0</v>
      </c>
      <c r="H25" s="13">
        <f>SVY!I469</f>
        <v>0</v>
      </c>
      <c r="I25" s="13">
        <f>SVY!J469</f>
        <v>0</v>
      </c>
      <c r="J25" s="13">
        <f>SVY!K469</f>
        <v>0</v>
      </c>
      <c r="K25" s="13">
        <f>SVY!L469</f>
        <v>0.12545825166274197</v>
      </c>
      <c r="L25" s="13">
        <f>SVY!M469</f>
        <v>8.5298960927775697E-2</v>
      </c>
      <c r="M25" s="13">
        <f>SVY!N469</f>
        <v>1.8310634098889143E-2</v>
      </c>
      <c r="N25" s="13">
        <f>SVY!O469</f>
        <v>2.4948757918015455E-3</v>
      </c>
      <c r="O25" s="13">
        <f>SVY!P469</f>
        <v>1.199568961752579E-2</v>
      </c>
      <c r="P25" s="13">
        <f>SVY!Q469</f>
        <v>1.199568961752579E-2</v>
      </c>
      <c r="Q25" s="13">
        <f>SVY!R469</f>
        <v>1.0784635116917393E-2</v>
      </c>
    </row>
    <row r="26" spans="1:17" x14ac:dyDescent="0.35">
      <c r="A26" s="12" t="s">
        <v>320</v>
      </c>
      <c r="B26" s="13" t="s">
        <v>325</v>
      </c>
      <c r="C26" s="13">
        <f>SVY!D470</f>
        <v>0</v>
      </c>
      <c r="D26" s="13">
        <f>SVY!E470</f>
        <v>0</v>
      </c>
      <c r="E26" s="13">
        <f>SVY!F470</f>
        <v>0</v>
      </c>
      <c r="F26" s="13">
        <f>SVY!G470</f>
        <v>0</v>
      </c>
      <c r="G26" s="13">
        <f>SVY!H470</f>
        <v>0</v>
      </c>
      <c r="H26" s="13">
        <f>SVY!I470</f>
        <v>0</v>
      </c>
      <c r="I26" s="13">
        <f>SVY!J470</f>
        <v>0</v>
      </c>
      <c r="J26" s="13">
        <f>SVY!K470</f>
        <v>0</v>
      </c>
      <c r="K26" s="13">
        <f>SVY!L470</f>
        <v>0.22608939081518581</v>
      </c>
      <c r="L26" s="13">
        <f>SVY!M470</f>
        <v>0.19139115516663627</v>
      </c>
      <c r="M26" s="13">
        <f>SVY!N470</f>
        <v>5.7062492019943102E-2</v>
      </c>
      <c r="N26" s="13">
        <f>SVY!O470</f>
        <v>7.7749262636984135E-3</v>
      </c>
      <c r="O26" s="13">
        <f>SVY!P470</f>
        <v>2.000691361789057E-2</v>
      </c>
      <c r="P26" s="13">
        <f>SVY!Q470</f>
        <v>2.000691361789057E-2</v>
      </c>
      <c r="Q26" s="13">
        <f>SVY!R470</f>
        <v>7.6436349045485408E-2</v>
      </c>
    </row>
    <row r="27" spans="1:17" x14ac:dyDescent="0.35">
      <c r="A27" s="12" t="s">
        <v>321</v>
      </c>
      <c r="B27" s="13" t="s">
        <v>326</v>
      </c>
      <c r="C27" s="13">
        <f>SVY!D471</f>
        <v>0</v>
      </c>
      <c r="D27" s="13">
        <f>SVY!E471</f>
        <v>0</v>
      </c>
      <c r="E27" s="13">
        <f>SVY!F471</f>
        <v>0</v>
      </c>
      <c r="F27" s="13">
        <f>SVY!G471</f>
        <v>0</v>
      </c>
      <c r="G27" s="13">
        <f>SVY!H471</f>
        <v>0</v>
      </c>
      <c r="H27" s="13">
        <f>SVY!I471</f>
        <v>0</v>
      </c>
      <c r="I27" s="13">
        <f>SVY!J471</f>
        <v>0</v>
      </c>
      <c r="J27" s="13">
        <f>SVY!K471</f>
        <v>0</v>
      </c>
      <c r="K27" s="13">
        <f>SVY!L471</f>
        <v>0.49528315338751833</v>
      </c>
      <c r="L27" s="13">
        <f>SVY!M471</f>
        <v>0.66588058718965548</v>
      </c>
      <c r="M27" s="13">
        <f>SVY!N471</f>
        <v>0.90672725660689868</v>
      </c>
      <c r="N27" s="13">
        <f>SVY!O471</f>
        <v>0.98729132435995293</v>
      </c>
      <c r="O27" s="13">
        <f>SVY!P471</f>
        <v>3.3535070786410659E-2</v>
      </c>
      <c r="P27" s="13">
        <f>SVY!Q471</f>
        <v>3.3535070786410659E-2</v>
      </c>
      <c r="Q27" s="13">
        <f>SVY!R471</f>
        <v>0.10748496191638268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432E-D318-46A2-92AA-791D47704823}">
  <sheetPr>
    <tabColor theme="8" tint="-0.499984740745262"/>
  </sheetPr>
  <dimension ref="A1:Z111"/>
  <sheetViews>
    <sheetView showZeros="0" zoomScale="85" zoomScaleNormal="85" workbookViewId="0">
      <pane xSplit="6" ySplit="7" topLeftCell="G50" activePane="bottomRight" state="frozen"/>
      <selection pane="topRight" activeCell="G1" sqref="G1"/>
      <selection pane="bottomLeft" activeCell="A8" sqref="A8"/>
      <selection pane="bottomRight" activeCell="H60" sqref="H60"/>
    </sheetView>
  </sheetViews>
  <sheetFormatPr defaultRowHeight="14.5" x14ac:dyDescent="0.35"/>
  <sheetData>
    <row r="1" spans="1:26" ht="18.5" x14ac:dyDescent="0.45">
      <c r="A1" s="10" t="s">
        <v>595</v>
      </c>
    </row>
    <row r="4" spans="1:26" x14ac:dyDescent="0.35">
      <c r="F4" s="11" t="s">
        <v>596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6" x14ac:dyDescent="0.35">
      <c r="B5" s="11" t="s">
        <v>598</v>
      </c>
      <c r="C5" s="12"/>
      <c r="F5" s="12" t="s">
        <v>597</v>
      </c>
      <c r="G5" s="12" t="s">
        <v>31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6" x14ac:dyDescent="0.35">
      <c r="B6" s="11" t="s">
        <v>600</v>
      </c>
      <c r="C6" s="12"/>
      <c r="G6" s="12" t="s">
        <v>284</v>
      </c>
      <c r="H6" s="12" t="s">
        <v>286</v>
      </c>
      <c r="I6" s="12" t="s">
        <v>288</v>
      </c>
      <c r="J6" s="12" t="s">
        <v>290</v>
      </c>
      <c r="K6" s="12" t="s">
        <v>292</v>
      </c>
      <c r="L6" s="12" t="s">
        <v>294</v>
      </c>
      <c r="M6" s="12" t="s">
        <v>296</v>
      </c>
      <c r="N6" s="12" t="s">
        <v>298</v>
      </c>
      <c r="O6" s="12" t="s">
        <v>300</v>
      </c>
      <c r="P6" s="12" t="s">
        <v>302</v>
      </c>
      <c r="Q6" s="12" t="s">
        <v>304</v>
      </c>
      <c r="R6" s="12" t="s">
        <v>306</v>
      </c>
      <c r="S6" s="12" t="s">
        <v>308</v>
      </c>
      <c r="T6" s="12" t="s">
        <v>310</v>
      </c>
      <c r="U6" s="12" t="s">
        <v>312</v>
      </c>
      <c r="V6" s="12" t="s">
        <v>317</v>
      </c>
      <c r="W6" s="12" t="s">
        <v>318</v>
      </c>
      <c r="X6" s="12" t="s">
        <v>319</v>
      </c>
      <c r="Y6" s="12" t="s">
        <v>320</v>
      </c>
      <c r="Z6" s="12" t="s">
        <v>321</v>
      </c>
    </row>
    <row r="7" spans="1:26" x14ac:dyDescent="0.35">
      <c r="B7" s="12" t="s">
        <v>601</v>
      </c>
      <c r="C7" s="12"/>
      <c r="F7" s="13"/>
      <c r="G7" s="13" t="s">
        <v>283</v>
      </c>
      <c r="H7" s="13" t="s">
        <v>285</v>
      </c>
      <c r="I7" s="13" t="s">
        <v>287</v>
      </c>
      <c r="J7" s="13" t="s">
        <v>289</v>
      </c>
      <c r="K7" s="13" t="s">
        <v>291</v>
      </c>
      <c r="L7" s="13" t="s">
        <v>293</v>
      </c>
      <c r="M7" s="13" t="s">
        <v>295</v>
      </c>
      <c r="N7" s="13" t="s">
        <v>297</v>
      </c>
      <c r="O7" s="13" t="s">
        <v>299</v>
      </c>
      <c r="P7" s="13" t="s">
        <v>301</v>
      </c>
      <c r="Q7" s="13" t="s">
        <v>303</v>
      </c>
      <c r="R7" s="13" t="s">
        <v>305</v>
      </c>
      <c r="S7" s="13" t="s">
        <v>307</v>
      </c>
      <c r="T7" s="13" t="s">
        <v>309</v>
      </c>
      <c r="U7" s="13" t="s">
        <v>311</v>
      </c>
      <c r="V7" s="13" t="s">
        <v>322</v>
      </c>
      <c r="W7" s="13" t="s">
        <v>323</v>
      </c>
      <c r="X7" s="13" t="s">
        <v>324</v>
      </c>
      <c r="Y7" s="13" t="s">
        <v>325</v>
      </c>
      <c r="Z7" s="13" t="s">
        <v>326</v>
      </c>
    </row>
    <row r="8" spans="1:26" x14ac:dyDescent="0.35">
      <c r="A8" s="12" t="s">
        <v>9</v>
      </c>
      <c r="B8" s="13" t="s">
        <v>443</v>
      </c>
      <c r="C8" s="120">
        <f>SVY!D117</f>
        <v>9.0826841313857206E-3</v>
      </c>
      <c r="F8" s="13" t="s">
        <v>443</v>
      </c>
      <c r="G8" s="120">
        <f>SVY!D229</f>
        <v>0.10115022590552726</v>
      </c>
      <c r="H8" s="120">
        <f>SVY!E229</f>
        <v>0.28651565435837018</v>
      </c>
      <c r="I8" s="120">
        <f>SVY!F229</f>
        <v>0.13900144577975393</v>
      </c>
      <c r="J8" s="120">
        <f>SVY!G229</f>
        <v>4.7965076485006523E-2</v>
      </c>
      <c r="K8" s="120">
        <f>SVY!H229</f>
        <v>0.11535926258523545</v>
      </c>
      <c r="L8" s="120">
        <f>SVY!I229</f>
        <v>0</v>
      </c>
      <c r="M8" s="120">
        <f>SVY!J229</f>
        <v>0</v>
      </c>
      <c r="N8" s="120">
        <f>SVY!K229</f>
        <v>0</v>
      </c>
      <c r="O8" s="120">
        <f>SVY!L229</f>
        <v>0</v>
      </c>
      <c r="P8" s="120">
        <f>SVY!M229</f>
        <v>0</v>
      </c>
      <c r="Q8" s="120">
        <f>SVY!N229</f>
        <v>7.5357207943799491E-3</v>
      </c>
      <c r="R8" s="120">
        <f>SVY!O229</f>
        <v>2.1753952982820662E-2</v>
      </c>
      <c r="S8" s="120">
        <f>SVY!P229</f>
        <v>0</v>
      </c>
      <c r="T8" s="120">
        <f>SVY!Q229</f>
        <v>8.5190794480128146E-2</v>
      </c>
      <c r="U8" s="120">
        <f>SVY!R229</f>
        <v>0.13480576935897368</v>
      </c>
      <c r="V8" s="120">
        <f>SVY!S229</f>
        <v>0</v>
      </c>
      <c r="W8" s="120">
        <f>SVY!T229</f>
        <v>4.7052216114735874E-2</v>
      </c>
      <c r="X8" s="120">
        <f>SVY!U229</f>
        <v>3.9038159521583042E-3</v>
      </c>
      <c r="Y8" s="120">
        <f>SVY!V229</f>
        <v>2.0177279969479317E-3</v>
      </c>
      <c r="Z8" s="120">
        <f>SVY!W229</f>
        <v>7.7483372059624139E-3</v>
      </c>
    </row>
    <row r="9" spans="1:26" x14ac:dyDescent="0.35">
      <c r="A9" s="12" t="s">
        <v>13</v>
      </c>
      <c r="B9" s="13" t="s">
        <v>440</v>
      </c>
      <c r="C9" s="120">
        <f>SVY!D118</f>
        <v>0.37819606366943431</v>
      </c>
      <c r="F9" s="13" t="s">
        <v>440</v>
      </c>
      <c r="G9" s="120">
        <f>SVY!D230</f>
        <v>0.11365219897012915</v>
      </c>
      <c r="H9" s="120">
        <f>SVY!E230</f>
        <v>0.21170351208655666</v>
      </c>
      <c r="I9" s="120">
        <f>SVY!F230</f>
        <v>0.22793791930208582</v>
      </c>
      <c r="J9" s="120">
        <f>SVY!G230</f>
        <v>0.28953884061688795</v>
      </c>
      <c r="K9" s="120">
        <f>SVY!H230</f>
        <v>0.13328287149808396</v>
      </c>
      <c r="L9" s="120">
        <f>SVY!I230</f>
        <v>0</v>
      </c>
      <c r="M9" s="120">
        <f>SVY!J230</f>
        <v>0</v>
      </c>
      <c r="N9" s="120">
        <f>SVY!K230</f>
        <v>0</v>
      </c>
      <c r="O9" s="120">
        <f>SVY!L230</f>
        <v>0</v>
      </c>
      <c r="P9" s="120">
        <f>SVY!M230</f>
        <v>0</v>
      </c>
      <c r="Q9" s="120">
        <f>SVY!N230</f>
        <v>1.1725031096285806E-3</v>
      </c>
      <c r="R9" s="120">
        <f>SVY!O230</f>
        <v>3.2783353065899299E-3</v>
      </c>
      <c r="S9" s="120">
        <f>SVY!P230</f>
        <v>3.1121340569923613E-3</v>
      </c>
      <c r="T9" s="120">
        <f>SVY!Q230</f>
        <v>1.6599095654330446E-3</v>
      </c>
      <c r="U9" s="120">
        <f>SVY!R230</f>
        <v>4.2716531406793703E-3</v>
      </c>
      <c r="V9" s="120">
        <f>SVY!S230</f>
        <v>2.3058107126034109E-5</v>
      </c>
      <c r="W9" s="120">
        <f>SVY!T230</f>
        <v>0</v>
      </c>
      <c r="X9" s="120">
        <f>SVY!U230</f>
        <v>1.0466465066908668E-3</v>
      </c>
      <c r="Y9" s="120">
        <f>SVY!V230</f>
        <v>4.6891106256636969E-3</v>
      </c>
      <c r="Z9" s="120">
        <f>SVY!W230</f>
        <v>4.6313071074523694E-3</v>
      </c>
    </row>
    <row r="10" spans="1:26" x14ac:dyDescent="0.35">
      <c r="A10" s="12" t="s">
        <v>17</v>
      </c>
      <c r="B10" s="13" t="s">
        <v>450</v>
      </c>
      <c r="C10" s="120">
        <f>SVY!D119</f>
        <v>5.4519829179715318E-2</v>
      </c>
      <c r="F10" s="13" t="s">
        <v>450</v>
      </c>
      <c r="G10" s="120">
        <f>SVY!D231</f>
        <v>0.42169484129532708</v>
      </c>
      <c r="H10" s="120">
        <f>SVY!E231</f>
        <v>0.43043721580891997</v>
      </c>
      <c r="I10" s="120">
        <f>SVY!F231</f>
        <v>3.7551380874096138E-2</v>
      </c>
      <c r="J10" s="120">
        <f>SVY!G231</f>
        <v>6.7828857412983265E-2</v>
      </c>
      <c r="K10" s="120">
        <f>SVY!H231</f>
        <v>4.248770460867355E-2</v>
      </c>
      <c r="L10" s="120">
        <f>SVY!I231</f>
        <v>0</v>
      </c>
      <c r="M10" s="120">
        <f>SVY!J231</f>
        <v>0</v>
      </c>
      <c r="N10" s="120">
        <f>SVY!K231</f>
        <v>0</v>
      </c>
      <c r="O10" s="120">
        <f>SVY!L231</f>
        <v>0</v>
      </c>
      <c r="P10" s="120">
        <f>SVY!M231</f>
        <v>0</v>
      </c>
      <c r="Q10" s="120">
        <f>SVY!N231</f>
        <v>0</v>
      </c>
      <c r="R10" s="120">
        <f>SVY!O231</f>
        <v>0</v>
      </c>
      <c r="S10" s="120">
        <f>SVY!P231</f>
        <v>0</v>
      </c>
      <c r="T10" s="120">
        <f>SVY!Q231</f>
        <v>0</v>
      </c>
      <c r="U10" s="120">
        <f>SVY!R231</f>
        <v>0</v>
      </c>
      <c r="V10" s="120">
        <f>SVY!S231</f>
        <v>0</v>
      </c>
      <c r="W10" s="120">
        <f>SVY!T231</f>
        <v>0</v>
      </c>
      <c r="X10" s="120">
        <f>SVY!U231</f>
        <v>0</v>
      </c>
      <c r="Y10" s="120">
        <f>SVY!V231</f>
        <v>0</v>
      </c>
      <c r="Z10" s="120">
        <f>SVY!W231</f>
        <v>0</v>
      </c>
    </row>
    <row r="11" spans="1:26" x14ac:dyDescent="0.35">
      <c r="A11" s="12" t="s">
        <v>21</v>
      </c>
      <c r="B11" s="13" t="s">
        <v>446</v>
      </c>
      <c r="C11" s="120">
        <f>SVY!D120</f>
        <v>4.8623734188154626E-2</v>
      </c>
      <c r="F11" s="13" t="s">
        <v>446</v>
      </c>
      <c r="G11" s="120">
        <f>SVY!D232</f>
        <v>4.2879805747432748E-2</v>
      </c>
      <c r="H11" s="120">
        <f>SVY!E232</f>
        <v>0.11070648354130397</v>
      </c>
      <c r="I11" s="120">
        <f>SVY!F232</f>
        <v>0.17345243152930284</v>
      </c>
      <c r="J11" s="120">
        <f>SVY!G232</f>
        <v>0.35188980445508017</v>
      </c>
      <c r="K11" s="120">
        <f>SVY!H232</f>
        <v>0.26399988174250155</v>
      </c>
      <c r="L11" s="120">
        <f>SVY!I232</f>
        <v>0</v>
      </c>
      <c r="M11" s="120">
        <f>SVY!J232</f>
        <v>0</v>
      </c>
      <c r="N11" s="120">
        <f>SVY!K232</f>
        <v>0</v>
      </c>
      <c r="O11" s="120">
        <f>SVY!L232</f>
        <v>0</v>
      </c>
      <c r="P11" s="120">
        <f>SVY!M232</f>
        <v>0</v>
      </c>
      <c r="Q11" s="120">
        <f>SVY!N232</f>
        <v>0</v>
      </c>
      <c r="R11" s="120">
        <f>SVY!O232</f>
        <v>0</v>
      </c>
      <c r="S11" s="120">
        <f>SVY!P232</f>
        <v>0</v>
      </c>
      <c r="T11" s="120">
        <f>SVY!Q232</f>
        <v>6.4965617897730088E-3</v>
      </c>
      <c r="U11" s="120">
        <f>SVY!R232</f>
        <v>1.252044280366639E-2</v>
      </c>
      <c r="V11" s="120">
        <f>SVY!S232</f>
        <v>0</v>
      </c>
      <c r="W11" s="120">
        <f>SVY!T232</f>
        <v>0</v>
      </c>
      <c r="X11" s="120">
        <f>SVY!U232</f>
        <v>1.8574709881291559E-2</v>
      </c>
      <c r="Y11" s="120">
        <f>SVY!V232</f>
        <v>1.9479878509647882E-2</v>
      </c>
      <c r="Z11" s="120">
        <f>SVY!W232</f>
        <v>0</v>
      </c>
    </row>
    <row r="12" spans="1:26" x14ac:dyDescent="0.35">
      <c r="A12" s="12" t="s">
        <v>25</v>
      </c>
      <c r="B12" s="13" t="s">
        <v>454</v>
      </c>
      <c r="C12" s="120">
        <f>SVY!D121</f>
        <v>0</v>
      </c>
      <c r="F12" s="13" t="s">
        <v>454</v>
      </c>
      <c r="G12" s="120">
        <f>SVY!D233</f>
        <v>0</v>
      </c>
      <c r="H12" s="120">
        <f>SVY!E233</f>
        <v>0</v>
      </c>
      <c r="I12" s="120">
        <f>SVY!F233</f>
        <v>0</v>
      </c>
      <c r="J12" s="120">
        <f>SVY!G233</f>
        <v>0</v>
      </c>
      <c r="K12" s="120">
        <f>SVY!H233</f>
        <v>0</v>
      </c>
      <c r="L12" s="120">
        <f>SVY!I233</f>
        <v>0</v>
      </c>
      <c r="M12" s="120">
        <f>SVY!J233</f>
        <v>0</v>
      </c>
      <c r="N12" s="120">
        <f>SVY!K233</f>
        <v>0</v>
      </c>
      <c r="O12" s="120">
        <f>SVY!L233</f>
        <v>0</v>
      </c>
      <c r="P12" s="120">
        <f>SVY!M233</f>
        <v>0</v>
      </c>
      <c r="Q12" s="120">
        <f>SVY!N233</f>
        <v>0</v>
      </c>
      <c r="R12" s="120">
        <f>SVY!O233</f>
        <v>0</v>
      </c>
      <c r="S12" s="120">
        <f>SVY!P233</f>
        <v>0</v>
      </c>
      <c r="T12" s="120">
        <f>SVY!Q233</f>
        <v>0</v>
      </c>
      <c r="U12" s="120">
        <f>SVY!R233</f>
        <v>0</v>
      </c>
      <c r="V12" s="120">
        <f>SVY!S233</f>
        <v>0</v>
      </c>
      <c r="W12" s="120">
        <f>SVY!T233</f>
        <v>0</v>
      </c>
      <c r="X12" s="120">
        <f>SVY!U233</f>
        <v>0</v>
      </c>
      <c r="Y12" s="120">
        <f>SVY!V233</f>
        <v>0</v>
      </c>
      <c r="Z12" s="120">
        <f>SVY!W233</f>
        <v>0</v>
      </c>
    </row>
    <row r="13" spans="1:26" x14ac:dyDescent="0.35">
      <c r="A13" s="12" t="s">
        <v>29</v>
      </c>
      <c r="B13" s="13" t="s">
        <v>465</v>
      </c>
      <c r="C13" s="120">
        <f>SVY!D122</f>
        <v>0.74961991952961859</v>
      </c>
      <c r="F13" s="13" t="s">
        <v>465</v>
      </c>
      <c r="G13" s="120">
        <f>SVY!D234</f>
        <v>6.8822372634669754E-2</v>
      </c>
      <c r="H13" s="120">
        <f>SVY!E234</f>
        <v>0.15511119200397711</v>
      </c>
      <c r="I13" s="120">
        <f>SVY!F234</f>
        <v>0.21288179311837804</v>
      </c>
      <c r="J13" s="120">
        <f>SVY!G234</f>
        <v>0.31738814185528036</v>
      </c>
      <c r="K13" s="120">
        <f>SVY!H234</f>
        <v>0.22016747810656473</v>
      </c>
      <c r="L13" s="120">
        <f>SVY!I234</f>
        <v>0</v>
      </c>
      <c r="M13" s="120">
        <f>SVY!J234</f>
        <v>0</v>
      </c>
      <c r="N13" s="120">
        <f>SVY!K234</f>
        <v>0</v>
      </c>
      <c r="O13" s="120">
        <f>SVY!L234</f>
        <v>0</v>
      </c>
      <c r="P13" s="120">
        <f>SVY!M234</f>
        <v>0</v>
      </c>
      <c r="Q13" s="120">
        <f>SVY!N234</f>
        <v>9.7386508605128142E-4</v>
      </c>
      <c r="R13" s="120">
        <f>SVY!O234</f>
        <v>4.0900380536179979E-3</v>
      </c>
      <c r="S13" s="120">
        <f>SVY!P234</f>
        <v>4.0632230713035233E-3</v>
      </c>
      <c r="T13" s="120">
        <f>SVY!Q234</f>
        <v>2.3878916860971423E-3</v>
      </c>
      <c r="U13" s="120">
        <f>SVY!R234</f>
        <v>7.1687912331356166E-3</v>
      </c>
      <c r="V13" s="120">
        <f>SVY!S234</f>
        <v>6.6336200730758002E-4</v>
      </c>
      <c r="W13" s="120">
        <f>SVY!T234</f>
        <v>4.4851731523503693E-5</v>
      </c>
      <c r="X13" s="120">
        <f>SVY!U234</f>
        <v>9.4575725506285179E-4</v>
      </c>
      <c r="Y13" s="120">
        <f>SVY!V234</f>
        <v>3.0721823877764036E-3</v>
      </c>
      <c r="Z13" s="120">
        <f>SVY!W234</f>
        <v>2.2190597692540517E-3</v>
      </c>
    </row>
    <row r="14" spans="1:26" x14ac:dyDescent="0.35">
      <c r="A14" s="12" t="s">
        <v>33</v>
      </c>
      <c r="B14" s="13" t="s">
        <v>467</v>
      </c>
      <c r="C14" s="120">
        <f>SVY!D123</f>
        <v>0.91713353122992858</v>
      </c>
      <c r="F14" s="13" t="s">
        <v>467</v>
      </c>
      <c r="G14" s="120">
        <f>SVY!D235</f>
        <v>0.10126146926580218</v>
      </c>
      <c r="H14" s="120">
        <f>SVY!E235</f>
        <v>0.20386100947693775</v>
      </c>
      <c r="I14" s="120">
        <f>SVY!F235</f>
        <v>0.26130221845006357</v>
      </c>
      <c r="J14" s="120">
        <f>SVY!G235</f>
        <v>0.27309641110423943</v>
      </c>
      <c r="K14" s="120">
        <f>SVY!H235</f>
        <v>0.11945565837784165</v>
      </c>
      <c r="L14" s="120">
        <f>SVY!I235</f>
        <v>0</v>
      </c>
      <c r="M14" s="120">
        <f>SVY!J235</f>
        <v>0</v>
      </c>
      <c r="N14" s="120">
        <f>SVY!K235</f>
        <v>0</v>
      </c>
      <c r="O14" s="120">
        <f>SVY!L235</f>
        <v>0</v>
      </c>
      <c r="P14" s="120">
        <f>SVY!M235</f>
        <v>0</v>
      </c>
      <c r="Q14" s="120">
        <f>SVY!N235</f>
        <v>6.1619525033927149E-4</v>
      </c>
      <c r="R14" s="120">
        <f>SVY!O235</f>
        <v>4.5630730072849885E-3</v>
      </c>
      <c r="S14" s="120">
        <f>SVY!P235</f>
        <v>5.0662476692636699E-3</v>
      </c>
      <c r="T14" s="120">
        <f>SVY!Q235</f>
        <v>3.6731337062170157E-3</v>
      </c>
      <c r="U14" s="120">
        <f>SVY!R235</f>
        <v>5.486200297556359E-3</v>
      </c>
      <c r="V14" s="120">
        <f>SVY!S235</f>
        <v>3.82578087092399E-4</v>
      </c>
      <c r="W14" s="120">
        <f>SVY!T235</f>
        <v>2.0023885846217173E-3</v>
      </c>
      <c r="X14" s="120">
        <f>SVY!U235</f>
        <v>3.4813253004376547E-3</v>
      </c>
      <c r="Y14" s="120">
        <f>SVY!V235</f>
        <v>5.6558498342417461E-3</v>
      </c>
      <c r="Z14" s="120">
        <f>SVY!W235</f>
        <v>1.0096241588060464E-2</v>
      </c>
    </row>
    <row r="15" spans="1:26" x14ac:dyDescent="0.35">
      <c r="A15" s="12" t="s">
        <v>37</v>
      </c>
      <c r="B15" s="13" t="s">
        <v>463</v>
      </c>
      <c r="C15" s="120">
        <f>SVY!D124</f>
        <v>0.23666939311323137</v>
      </c>
      <c r="F15" s="13" t="s">
        <v>463</v>
      </c>
      <c r="G15" s="120">
        <f>SVY!D236</f>
        <v>0.10113465897257998</v>
      </c>
      <c r="H15" s="120">
        <f>SVY!E236</f>
        <v>0.15450756857747427</v>
      </c>
      <c r="I15" s="120">
        <f>SVY!F236</f>
        <v>0.25943372863366904</v>
      </c>
      <c r="J15" s="120">
        <f>SVY!G236</f>
        <v>0.30141685347623565</v>
      </c>
      <c r="K15" s="120">
        <f>SVY!H236</f>
        <v>0.13318655784655734</v>
      </c>
      <c r="L15" s="120">
        <f>SVY!I236</f>
        <v>0</v>
      </c>
      <c r="M15" s="120">
        <f>SVY!J236</f>
        <v>0</v>
      </c>
      <c r="N15" s="120">
        <f>SVY!K236</f>
        <v>0</v>
      </c>
      <c r="O15" s="120">
        <f>SVY!L236</f>
        <v>0</v>
      </c>
      <c r="P15" s="120">
        <f>SVY!M236</f>
        <v>0</v>
      </c>
      <c r="Q15" s="120">
        <f>SVY!N236</f>
        <v>4.3866650175187355E-4</v>
      </c>
      <c r="R15" s="120">
        <f>SVY!O236</f>
        <v>4.1454068376040433E-3</v>
      </c>
      <c r="S15" s="120">
        <f>SVY!P236</f>
        <v>1.4670142121267669E-3</v>
      </c>
      <c r="T15" s="120">
        <f>SVY!Q236</f>
        <v>4.9284806678857171E-3</v>
      </c>
      <c r="U15" s="120">
        <f>SVY!R236</f>
        <v>5.290431171598377E-3</v>
      </c>
      <c r="V15" s="120">
        <f>SVY!S236</f>
        <v>1.301652449417022E-3</v>
      </c>
      <c r="W15" s="120">
        <f>SVY!T236</f>
        <v>3.2637398569239787E-3</v>
      </c>
      <c r="X15" s="120">
        <f>SVY!U236</f>
        <v>6.5172414524532433E-3</v>
      </c>
      <c r="Y15" s="120">
        <f>SVY!V236</f>
        <v>7.3553884449243673E-3</v>
      </c>
      <c r="Z15" s="120">
        <f>SVY!W236</f>
        <v>1.56126108987983E-2</v>
      </c>
    </row>
    <row r="16" spans="1:26" x14ac:dyDescent="0.35">
      <c r="A16" s="12" t="s">
        <v>41</v>
      </c>
      <c r="B16" s="13" t="s">
        <v>469</v>
      </c>
      <c r="C16" s="120">
        <f>SVY!D125</f>
        <v>0.63020242290399686</v>
      </c>
      <c r="F16" s="13" t="s">
        <v>469</v>
      </c>
      <c r="G16" s="120">
        <f>SVY!D237</f>
        <v>7.6354835603056406E-2</v>
      </c>
      <c r="H16" s="120">
        <f>SVY!E237</f>
        <v>0.15917166450330239</v>
      </c>
      <c r="I16" s="120">
        <f>SVY!F237</f>
        <v>0.25811780879858209</v>
      </c>
      <c r="J16" s="120">
        <f>SVY!G237</f>
        <v>0.30856709546374167</v>
      </c>
      <c r="K16" s="120">
        <f>SVY!H237</f>
        <v>0.1516194631383431</v>
      </c>
      <c r="L16" s="120">
        <f>SVY!I237</f>
        <v>0</v>
      </c>
      <c r="M16" s="120">
        <f>SVY!J237</f>
        <v>0</v>
      </c>
      <c r="N16" s="120">
        <f>SVY!K237</f>
        <v>0</v>
      </c>
      <c r="O16" s="120">
        <f>SVY!L237</f>
        <v>0</v>
      </c>
      <c r="P16" s="120">
        <f>SVY!M237</f>
        <v>0</v>
      </c>
      <c r="Q16" s="120">
        <f>SVY!N237</f>
        <v>7.1098201871914069E-4</v>
      </c>
      <c r="R16" s="120">
        <f>SVY!O237</f>
        <v>2.5641260166738645E-3</v>
      </c>
      <c r="S16" s="120">
        <f>SVY!P237</f>
        <v>1.6461955265029879E-3</v>
      </c>
      <c r="T16" s="120">
        <f>SVY!Q237</f>
        <v>4.3004298421445613E-3</v>
      </c>
      <c r="U16" s="120">
        <f>SVY!R237</f>
        <v>5.9036063128218002E-3</v>
      </c>
      <c r="V16" s="120">
        <f>SVY!S237</f>
        <v>3.2234661265900994E-3</v>
      </c>
      <c r="W16" s="120">
        <f>SVY!T237</f>
        <v>5.201794599174977E-3</v>
      </c>
      <c r="X16" s="120">
        <f>SVY!U237</f>
        <v>2.7627816503362451E-3</v>
      </c>
      <c r="Y16" s="120">
        <f>SVY!V237</f>
        <v>5.8999549167088241E-3</v>
      </c>
      <c r="Z16" s="120">
        <f>SVY!W237</f>
        <v>1.3955795483301748E-2</v>
      </c>
    </row>
    <row r="17" spans="1:26" x14ac:dyDescent="0.35">
      <c r="A17" s="12" t="s">
        <v>45</v>
      </c>
      <c r="B17" s="13" t="s">
        <v>515</v>
      </c>
      <c r="C17" s="120">
        <f>SVY!D126</f>
        <v>0.40271013707955805</v>
      </c>
      <c r="F17" s="13" t="s">
        <v>515</v>
      </c>
      <c r="G17" s="120">
        <f>SVY!D238</f>
        <v>0.10365239613308817</v>
      </c>
      <c r="H17" s="120">
        <f>SVY!E238</f>
        <v>0.17727513357327726</v>
      </c>
      <c r="I17" s="120">
        <f>SVY!F238</f>
        <v>0.22625054562320945</v>
      </c>
      <c r="J17" s="120">
        <f>SVY!G238</f>
        <v>0.27725910163489637</v>
      </c>
      <c r="K17" s="120">
        <f>SVY!H238</f>
        <v>0.1539181454238932</v>
      </c>
      <c r="L17" s="120">
        <f>SVY!I238</f>
        <v>0</v>
      </c>
      <c r="M17" s="120">
        <f>SVY!J238</f>
        <v>0</v>
      </c>
      <c r="N17" s="120">
        <f>SVY!K238</f>
        <v>0</v>
      </c>
      <c r="O17" s="120">
        <f>SVY!L238</f>
        <v>0</v>
      </c>
      <c r="P17" s="120">
        <f>SVY!M238</f>
        <v>0</v>
      </c>
      <c r="Q17" s="120">
        <f>SVY!N238</f>
        <v>1.8191659706956395E-3</v>
      </c>
      <c r="R17" s="120">
        <f>SVY!O238</f>
        <v>2.6951056311352471E-3</v>
      </c>
      <c r="S17" s="120">
        <f>SVY!P238</f>
        <v>4.6052977804156622E-3</v>
      </c>
      <c r="T17" s="120">
        <f>SVY!Q238</f>
        <v>6.0387307448376438E-3</v>
      </c>
      <c r="U17" s="120">
        <f>SVY!R238</f>
        <v>1.1067969811807672E-2</v>
      </c>
      <c r="V17" s="120">
        <f>SVY!S238</f>
        <v>6.4562212256033362E-4</v>
      </c>
      <c r="W17" s="120">
        <f>SVY!T238</f>
        <v>2.1429362008534461E-3</v>
      </c>
      <c r="X17" s="120">
        <f>SVY!U238</f>
        <v>3.9723607752135586E-3</v>
      </c>
      <c r="Y17" s="120">
        <f>SVY!V238</f>
        <v>8.068844315774237E-3</v>
      </c>
      <c r="Z17" s="120">
        <f>SVY!W238</f>
        <v>2.0588644258342101E-2</v>
      </c>
    </row>
    <row r="18" spans="1:26" x14ac:dyDescent="0.35">
      <c r="A18" s="12" t="s">
        <v>49</v>
      </c>
      <c r="B18" s="13" t="s">
        <v>516</v>
      </c>
      <c r="C18" s="120">
        <f>SVY!D127</f>
        <v>6.6835422263405483E-2</v>
      </c>
      <c r="F18" s="13" t="s">
        <v>516</v>
      </c>
      <c r="G18" s="120">
        <f>SVY!D239</f>
        <v>5.6417716229022613E-2</v>
      </c>
      <c r="H18" s="120">
        <f>SVY!E239</f>
        <v>9.9033795358576482E-2</v>
      </c>
      <c r="I18" s="120">
        <f>SVY!F239</f>
        <v>0.21664892892695808</v>
      </c>
      <c r="J18" s="120">
        <f>SVY!G239</f>
        <v>0.32256826151182277</v>
      </c>
      <c r="K18" s="120">
        <f>SVY!H239</f>
        <v>0.29421510263793504</v>
      </c>
      <c r="L18" s="120">
        <f>SVY!I239</f>
        <v>0</v>
      </c>
      <c r="M18" s="120">
        <f>SVY!J239</f>
        <v>0</v>
      </c>
      <c r="N18" s="120">
        <f>SVY!K239</f>
        <v>0</v>
      </c>
      <c r="O18" s="120">
        <f>SVY!L239</f>
        <v>0</v>
      </c>
      <c r="P18" s="120">
        <f>SVY!M239</f>
        <v>0</v>
      </c>
      <c r="Q18" s="120">
        <f>SVY!N239</f>
        <v>0</v>
      </c>
      <c r="R18" s="120">
        <f>SVY!O239</f>
        <v>0</v>
      </c>
      <c r="S18" s="120">
        <f>SVY!P239</f>
        <v>0</v>
      </c>
      <c r="T18" s="120">
        <f>SVY!Q239</f>
        <v>5.3975923480818234E-3</v>
      </c>
      <c r="U18" s="120">
        <f>SVY!R239</f>
        <v>0</v>
      </c>
      <c r="V18" s="120">
        <f>SVY!S239</f>
        <v>8.8345542371498905E-7</v>
      </c>
      <c r="W18" s="120">
        <f>SVY!T239</f>
        <v>0</v>
      </c>
      <c r="X18" s="120">
        <f>SVY!U239</f>
        <v>8.7094369484120671E-4</v>
      </c>
      <c r="Y18" s="120">
        <f>SVY!V239</f>
        <v>1.676415368598913E-3</v>
      </c>
      <c r="Z18" s="120">
        <f>SVY!W239</f>
        <v>3.170360468739363E-3</v>
      </c>
    </row>
    <row r="19" spans="1:26" x14ac:dyDescent="0.35">
      <c r="A19" s="12" t="s">
        <v>53</v>
      </c>
      <c r="B19" s="13" t="s">
        <v>472</v>
      </c>
      <c r="C19" s="120">
        <f>SVY!D128</f>
        <v>0.10262336190012965</v>
      </c>
      <c r="F19" s="13" t="s">
        <v>472</v>
      </c>
      <c r="G19" s="120">
        <f>SVY!D240</f>
        <v>0.16266407463745111</v>
      </c>
      <c r="H19" s="120">
        <f>SVY!E240</f>
        <v>0.18662736118328607</v>
      </c>
      <c r="I19" s="120">
        <f>SVY!F240</f>
        <v>0.21966371832678094</v>
      </c>
      <c r="J19" s="120">
        <f>SVY!G240</f>
        <v>0.21845125026967632</v>
      </c>
      <c r="K19" s="120">
        <f>SVY!H240</f>
        <v>0.12270147953302962</v>
      </c>
      <c r="L19" s="120">
        <f>SVY!I240</f>
        <v>0</v>
      </c>
      <c r="M19" s="120">
        <f>SVY!J240</f>
        <v>0</v>
      </c>
      <c r="N19" s="120">
        <f>SVY!K240</f>
        <v>0</v>
      </c>
      <c r="O19" s="120">
        <f>SVY!L240</f>
        <v>0</v>
      </c>
      <c r="P19" s="120">
        <f>SVY!M240</f>
        <v>0</v>
      </c>
      <c r="Q19" s="120">
        <f>SVY!N240</f>
        <v>7.4630540623434327E-3</v>
      </c>
      <c r="R19" s="120">
        <f>SVY!O240</f>
        <v>9.7913763420756101E-3</v>
      </c>
      <c r="S19" s="120">
        <f>SVY!P240</f>
        <v>1.1878040870759056E-2</v>
      </c>
      <c r="T19" s="120">
        <f>SVY!Q240</f>
        <v>1.2757368750053275E-2</v>
      </c>
      <c r="U19" s="120">
        <f>SVY!R240</f>
        <v>1.9616062550307893E-2</v>
      </c>
      <c r="V19" s="120">
        <f>SVY!S240</f>
        <v>1.7168815606760184E-3</v>
      </c>
      <c r="W19" s="120">
        <f>SVY!T240</f>
        <v>1.8473676680237205E-3</v>
      </c>
      <c r="X19" s="120">
        <f>SVY!U240</f>
        <v>4.0320797254649703E-3</v>
      </c>
      <c r="Y19" s="120">
        <f>SVY!V240</f>
        <v>6.2035065849376262E-3</v>
      </c>
      <c r="Z19" s="120">
        <f>SVY!W240</f>
        <v>1.4586377935134143E-2</v>
      </c>
    </row>
    <row r="20" spans="1:26" x14ac:dyDescent="0.35">
      <c r="A20" s="12" t="s">
        <v>57</v>
      </c>
      <c r="B20" s="13" t="s">
        <v>517</v>
      </c>
      <c r="C20" s="120">
        <f>SVY!D129</f>
        <v>0.52453872572127658</v>
      </c>
      <c r="F20" s="13" t="s">
        <v>517</v>
      </c>
      <c r="G20" s="120">
        <f>SVY!D241</f>
        <v>0.25148006235237119</v>
      </c>
      <c r="H20" s="120">
        <f>SVY!E241</f>
        <v>0.22224594333506723</v>
      </c>
      <c r="I20" s="120">
        <f>SVY!F241</f>
        <v>0.23138605206735799</v>
      </c>
      <c r="J20" s="120">
        <f>SVY!G241</f>
        <v>0.174579554968671</v>
      </c>
      <c r="K20" s="120">
        <f>SVY!H241</f>
        <v>6.4534187298876527E-2</v>
      </c>
      <c r="L20" s="120">
        <f>SVY!I241</f>
        <v>0</v>
      </c>
      <c r="M20" s="120">
        <f>SVY!J241</f>
        <v>0</v>
      </c>
      <c r="N20" s="120">
        <f>SVY!K241</f>
        <v>0</v>
      </c>
      <c r="O20" s="120">
        <f>SVY!L241</f>
        <v>0</v>
      </c>
      <c r="P20" s="120">
        <f>SVY!M241</f>
        <v>0</v>
      </c>
      <c r="Q20" s="120">
        <f>SVY!N241</f>
        <v>2.6762771952873322E-3</v>
      </c>
      <c r="R20" s="120">
        <f>SVY!O241</f>
        <v>5.482666061648515E-3</v>
      </c>
      <c r="S20" s="120">
        <f>SVY!P241</f>
        <v>8.5843308341757001E-3</v>
      </c>
      <c r="T20" s="120">
        <f>SVY!Q241</f>
        <v>4.0826701724642938E-3</v>
      </c>
      <c r="U20" s="120">
        <f>SVY!R241</f>
        <v>9.4205252919577083E-4</v>
      </c>
      <c r="V20" s="120">
        <f>SVY!S241</f>
        <v>1.069901405783465E-3</v>
      </c>
      <c r="W20" s="120">
        <f>SVY!T241</f>
        <v>0</v>
      </c>
      <c r="X20" s="120">
        <f>SVY!U241</f>
        <v>3.5784227252021001E-3</v>
      </c>
      <c r="Y20" s="120">
        <f>SVY!V241</f>
        <v>2.1904305161129997E-2</v>
      </c>
      <c r="Z20" s="120">
        <f>SVY!W241</f>
        <v>7.4535738927687398E-3</v>
      </c>
    </row>
    <row r="21" spans="1:26" x14ac:dyDescent="0.35">
      <c r="A21" s="12" t="s">
        <v>61</v>
      </c>
      <c r="B21" s="13" t="s">
        <v>518</v>
      </c>
      <c r="C21" s="120">
        <f>SVY!D130</f>
        <v>0.97304340399574618</v>
      </c>
      <c r="F21" s="13" t="s">
        <v>518</v>
      </c>
      <c r="G21" s="120">
        <f>SVY!D242</f>
        <v>5.2318789589412371E-2</v>
      </c>
      <c r="H21" s="120">
        <f>SVY!E242</f>
        <v>0.10955467100741201</v>
      </c>
      <c r="I21" s="120">
        <f>SVY!F242</f>
        <v>0.18793901004734731</v>
      </c>
      <c r="J21" s="120">
        <f>SVY!G242</f>
        <v>0.31372169887411466</v>
      </c>
      <c r="K21" s="120">
        <f>SVY!H242</f>
        <v>0.24656746491617615</v>
      </c>
      <c r="L21" s="120">
        <f>SVY!I242</f>
        <v>0</v>
      </c>
      <c r="M21" s="120">
        <f>SVY!J242</f>
        <v>0</v>
      </c>
      <c r="N21" s="120">
        <f>SVY!K242</f>
        <v>0</v>
      </c>
      <c r="O21" s="120">
        <f>SVY!L242</f>
        <v>0</v>
      </c>
      <c r="P21" s="120">
        <f>SVY!M242</f>
        <v>0</v>
      </c>
      <c r="Q21" s="120">
        <f>SVY!N242</f>
        <v>1.1143662026654262E-3</v>
      </c>
      <c r="R21" s="120">
        <f>SVY!O242</f>
        <v>1.5692168457424815E-3</v>
      </c>
      <c r="S21" s="120">
        <f>SVY!P242</f>
        <v>1.0011305771539832E-2</v>
      </c>
      <c r="T21" s="120">
        <f>SVY!Q242</f>
        <v>9.8715462303579516E-3</v>
      </c>
      <c r="U21" s="120">
        <f>SVY!R242</f>
        <v>2.6537552540116444E-2</v>
      </c>
      <c r="V21" s="120">
        <f>SVY!S242</f>
        <v>6.0874108424668007E-5</v>
      </c>
      <c r="W21" s="120">
        <f>SVY!T242</f>
        <v>1.6123256855086186E-3</v>
      </c>
      <c r="X21" s="120">
        <f>SVY!U242</f>
        <v>3.7413976832908285E-3</v>
      </c>
      <c r="Y21" s="120">
        <f>SVY!V242</f>
        <v>8.6495561373698005E-3</v>
      </c>
      <c r="Z21" s="120">
        <f>SVY!W242</f>
        <v>2.6730224360521429E-2</v>
      </c>
    </row>
    <row r="22" spans="1:26" x14ac:dyDescent="0.35">
      <c r="A22" s="12" t="s">
        <v>65</v>
      </c>
      <c r="B22" s="13" t="s">
        <v>519</v>
      </c>
      <c r="C22" s="120">
        <f>SVY!D131</f>
        <v>7.9270381622426458E-2</v>
      </c>
      <c r="F22" s="13" t="s">
        <v>519</v>
      </c>
      <c r="G22" s="120">
        <f>SVY!D243</f>
        <v>3.2978282149140815E-2</v>
      </c>
      <c r="H22" s="120">
        <f>SVY!E243</f>
        <v>0.15696554457004222</v>
      </c>
      <c r="I22" s="120">
        <f>SVY!F243</f>
        <v>0.14625698721244842</v>
      </c>
      <c r="J22" s="120">
        <f>SVY!G243</f>
        <v>0.29450541839322208</v>
      </c>
      <c r="K22" s="120">
        <f>SVY!H243</f>
        <v>0.23901550147639974</v>
      </c>
      <c r="L22" s="120">
        <f>SVY!I243</f>
        <v>0</v>
      </c>
      <c r="M22" s="120">
        <f>SVY!J243</f>
        <v>0</v>
      </c>
      <c r="N22" s="120">
        <f>SVY!K243</f>
        <v>0</v>
      </c>
      <c r="O22" s="120">
        <f>SVY!L243</f>
        <v>0</v>
      </c>
      <c r="P22" s="120">
        <f>SVY!M243</f>
        <v>0</v>
      </c>
      <c r="Q22" s="120">
        <f>SVY!N243</f>
        <v>0</v>
      </c>
      <c r="R22" s="120">
        <f>SVY!O243</f>
        <v>6.5165362488198934E-3</v>
      </c>
      <c r="S22" s="120">
        <f>SVY!P243</f>
        <v>6.6755757128596962E-3</v>
      </c>
      <c r="T22" s="120">
        <f>SVY!Q243</f>
        <v>2.2331587093064121E-3</v>
      </c>
      <c r="U22" s="120">
        <f>SVY!R243</f>
        <v>3.1662669636288991E-2</v>
      </c>
      <c r="V22" s="120">
        <f>SVY!S243</f>
        <v>0</v>
      </c>
      <c r="W22" s="120">
        <f>SVY!T243</f>
        <v>3.2086761252671258E-3</v>
      </c>
      <c r="X22" s="120">
        <f>SVY!U243</f>
        <v>1.6265476504575065E-3</v>
      </c>
      <c r="Y22" s="120">
        <f>SVY!V243</f>
        <v>1.5272648995070566E-2</v>
      </c>
      <c r="Z22" s="120">
        <f>SVY!W243</f>
        <v>6.3082453120676396E-2</v>
      </c>
    </row>
    <row r="23" spans="1:26" x14ac:dyDescent="0.35">
      <c r="A23" s="12" t="s">
        <v>69</v>
      </c>
      <c r="B23" s="13" t="s">
        <v>480</v>
      </c>
      <c r="C23" s="120">
        <f>SVY!D132</f>
        <v>0.12341458432753645</v>
      </c>
      <c r="F23" s="13" t="s">
        <v>480</v>
      </c>
      <c r="G23" s="120">
        <f>SVY!D244</f>
        <v>8.8186997802579645E-2</v>
      </c>
      <c r="H23" s="120">
        <f>SVY!E244</f>
        <v>0.14584943766616368</v>
      </c>
      <c r="I23" s="120">
        <f>SVY!F244</f>
        <v>0.19728685317202677</v>
      </c>
      <c r="J23" s="120">
        <f>SVY!G244</f>
        <v>0.23873384586463775</v>
      </c>
      <c r="K23" s="120">
        <f>SVY!H244</f>
        <v>0.19585583758227992</v>
      </c>
      <c r="L23" s="120">
        <f>SVY!I244</f>
        <v>0</v>
      </c>
      <c r="M23" s="120">
        <f>SVY!J244</f>
        <v>0</v>
      </c>
      <c r="N23" s="120">
        <f>SVY!K244</f>
        <v>0</v>
      </c>
      <c r="O23" s="120">
        <f>SVY!L244</f>
        <v>0</v>
      </c>
      <c r="P23" s="120">
        <f>SVY!M244</f>
        <v>0</v>
      </c>
      <c r="Q23" s="120">
        <f>SVY!N244</f>
        <v>9.5967448741651209E-4</v>
      </c>
      <c r="R23" s="120">
        <f>SVY!O244</f>
        <v>5.2726557310061907E-3</v>
      </c>
      <c r="S23" s="120">
        <f>SVY!P244</f>
        <v>9.6965161780671553E-3</v>
      </c>
      <c r="T23" s="120">
        <f>SVY!Q244</f>
        <v>8.7286126660946709E-3</v>
      </c>
      <c r="U23" s="120">
        <f>SVY!R244</f>
        <v>3.5374932668829191E-2</v>
      </c>
      <c r="V23" s="120">
        <f>SVY!S244</f>
        <v>9.0148046224674335E-4</v>
      </c>
      <c r="W23" s="120">
        <f>SVY!T244</f>
        <v>1.2034117636669131E-3</v>
      </c>
      <c r="X23" s="120">
        <f>SVY!U244</f>
        <v>7.5459451998941022E-3</v>
      </c>
      <c r="Y23" s="120">
        <f>SVY!V244</f>
        <v>9.8822062546145926E-3</v>
      </c>
      <c r="Z23" s="120">
        <f>SVY!W244</f>
        <v>5.4521592500476466E-2</v>
      </c>
    </row>
    <row r="24" spans="1:26" x14ac:dyDescent="0.35">
      <c r="A24" s="12" t="s">
        <v>73</v>
      </c>
      <c r="B24" s="13" t="s">
        <v>459</v>
      </c>
      <c r="C24" s="120">
        <f>SVY!D133</f>
        <v>9.2939331011588855E-2</v>
      </c>
      <c r="F24" s="13" t="s">
        <v>459</v>
      </c>
      <c r="G24" s="120">
        <f>SVY!D245</f>
        <v>3.2615891858655412E-2</v>
      </c>
      <c r="H24" s="120">
        <f>SVY!E245</f>
        <v>0.12202033136319172</v>
      </c>
      <c r="I24" s="120">
        <f>SVY!F245</f>
        <v>9.3938201646088071E-2</v>
      </c>
      <c r="J24" s="120">
        <f>SVY!G245</f>
        <v>0.44333297295973118</v>
      </c>
      <c r="K24" s="120">
        <f>SVY!H245</f>
        <v>0.24482759043177968</v>
      </c>
      <c r="L24" s="120">
        <f>SVY!I245</f>
        <v>0</v>
      </c>
      <c r="M24" s="120">
        <f>SVY!J245</f>
        <v>0</v>
      </c>
      <c r="N24" s="120">
        <f>SVY!K245</f>
        <v>0</v>
      </c>
      <c r="O24" s="120">
        <f>SVY!L245</f>
        <v>0</v>
      </c>
      <c r="P24" s="120">
        <f>SVY!M245</f>
        <v>0</v>
      </c>
      <c r="Q24" s="120">
        <f>SVY!N245</f>
        <v>0</v>
      </c>
      <c r="R24" s="120">
        <f>SVY!O245</f>
        <v>0</v>
      </c>
      <c r="S24" s="120">
        <f>SVY!P245</f>
        <v>0</v>
      </c>
      <c r="T24" s="120">
        <f>SVY!Q245</f>
        <v>3.843336976273916E-3</v>
      </c>
      <c r="U24" s="120">
        <f>SVY!R245</f>
        <v>0</v>
      </c>
      <c r="V24" s="120">
        <f>SVY!S245</f>
        <v>0</v>
      </c>
      <c r="W24" s="120">
        <f>SVY!T245</f>
        <v>0</v>
      </c>
      <c r="X24" s="120">
        <f>SVY!U245</f>
        <v>0</v>
      </c>
      <c r="Y24" s="120">
        <f>SVY!V245</f>
        <v>0</v>
      </c>
      <c r="Z24" s="120">
        <f>SVY!W245</f>
        <v>5.942167476427998E-2</v>
      </c>
    </row>
    <row r="25" spans="1:26" x14ac:dyDescent="0.35">
      <c r="A25" s="12" t="s">
        <v>77</v>
      </c>
      <c r="B25" s="13" t="s">
        <v>520</v>
      </c>
      <c r="C25" s="120">
        <f>SVY!D134</f>
        <v>0.20635572023537674</v>
      </c>
      <c r="F25" s="13" t="s">
        <v>520</v>
      </c>
      <c r="G25" s="120">
        <f>SVY!D246</f>
        <v>0.23304250999716358</v>
      </c>
      <c r="H25" s="120">
        <f>SVY!E246</f>
        <v>0.19455713382498863</v>
      </c>
      <c r="I25" s="120">
        <f>SVY!F246</f>
        <v>0.2531398739309132</v>
      </c>
      <c r="J25" s="120">
        <f>SVY!G246</f>
        <v>0.22767691435470871</v>
      </c>
      <c r="K25" s="120">
        <f>SVY!H246</f>
        <v>7.2875338222294861E-2</v>
      </c>
      <c r="L25" s="120">
        <f>SVY!I246</f>
        <v>0</v>
      </c>
      <c r="M25" s="120">
        <f>SVY!J246</f>
        <v>0</v>
      </c>
      <c r="N25" s="120">
        <f>SVY!K246</f>
        <v>0</v>
      </c>
      <c r="O25" s="120">
        <f>SVY!L246</f>
        <v>0</v>
      </c>
      <c r="P25" s="120">
        <f>SVY!M246</f>
        <v>0</v>
      </c>
      <c r="Q25" s="120">
        <f>SVY!N246</f>
        <v>7.3606094467683026E-3</v>
      </c>
      <c r="R25" s="120">
        <f>SVY!O246</f>
        <v>2.9513540996623702E-3</v>
      </c>
      <c r="S25" s="120">
        <f>SVY!P246</f>
        <v>0</v>
      </c>
      <c r="T25" s="120">
        <f>SVY!Q246</f>
        <v>0</v>
      </c>
      <c r="U25" s="120">
        <f>SVY!R246</f>
        <v>8.3962661235004472E-3</v>
      </c>
      <c r="V25" s="120">
        <f>SVY!S246</f>
        <v>0</v>
      </c>
      <c r="W25" s="120">
        <f>SVY!T246</f>
        <v>0</v>
      </c>
      <c r="X25" s="120">
        <f>SVY!U246</f>
        <v>0</v>
      </c>
      <c r="Y25" s="120">
        <f>SVY!V246</f>
        <v>0</v>
      </c>
      <c r="Z25" s="120">
        <f>SVY!W246</f>
        <v>0</v>
      </c>
    </row>
    <row r="26" spans="1:26" x14ac:dyDescent="0.35">
      <c r="A26" s="12" t="s">
        <v>81</v>
      </c>
      <c r="B26" s="13" t="s">
        <v>461</v>
      </c>
      <c r="C26" s="120">
        <f>SVY!D135</f>
        <v>0</v>
      </c>
      <c r="F26" s="13" t="s">
        <v>461</v>
      </c>
      <c r="G26" s="120">
        <f>SVY!D247</f>
        <v>0</v>
      </c>
      <c r="H26" s="120">
        <f>SVY!E247</f>
        <v>0</v>
      </c>
      <c r="I26" s="120">
        <f>SVY!F247</f>
        <v>0</v>
      </c>
      <c r="J26" s="120">
        <f>SVY!G247</f>
        <v>0</v>
      </c>
      <c r="K26" s="120">
        <f>SVY!H247</f>
        <v>0</v>
      </c>
      <c r="L26" s="120">
        <f>SVY!I247</f>
        <v>0</v>
      </c>
      <c r="M26" s="120">
        <f>SVY!J247</f>
        <v>0</v>
      </c>
      <c r="N26" s="120">
        <f>SVY!K247</f>
        <v>0</v>
      </c>
      <c r="O26" s="120">
        <f>SVY!L247</f>
        <v>0</v>
      </c>
      <c r="P26" s="120">
        <f>SVY!M247</f>
        <v>0</v>
      </c>
      <c r="Q26" s="120">
        <f>SVY!N247</f>
        <v>0</v>
      </c>
      <c r="R26" s="120">
        <f>SVY!O247</f>
        <v>0</v>
      </c>
      <c r="S26" s="120">
        <f>SVY!P247</f>
        <v>0</v>
      </c>
      <c r="T26" s="120">
        <f>SVY!Q247</f>
        <v>0</v>
      </c>
      <c r="U26" s="120">
        <f>SVY!R247</f>
        <v>0</v>
      </c>
      <c r="V26" s="120">
        <f>SVY!S247</f>
        <v>0</v>
      </c>
      <c r="W26" s="120">
        <f>SVY!T247</f>
        <v>0</v>
      </c>
      <c r="X26" s="120">
        <f>SVY!U247</f>
        <v>0</v>
      </c>
      <c r="Y26" s="120">
        <f>SVY!V247</f>
        <v>0</v>
      </c>
      <c r="Z26" s="120">
        <f>SVY!W247</f>
        <v>0</v>
      </c>
    </row>
    <row r="27" spans="1:26" x14ac:dyDescent="0.35">
      <c r="A27" s="12" t="s">
        <v>85</v>
      </c>
      <c r="B27" s="13" t="s">
        <v>482</v>
      </c>
      <c r="C27" s="120">
        <f>SVY!D136</f>
        <v>0</v>
      </c>
      <c r="F27" s="13" t="s">
        <v>482</v>
      </c>
      <c r="G27" s="120">
        <f>SVY!D248</f>
        <v>0</v>
      </c>
      <c r="H27" s="120">
        <f>SVY!E248</f>
        <v>0</v>
      </c>
      <c r="I27" s="120">
        <f>SVY!F248</f>
        <v>0</v>
      </c>
      <c r="J27" s="120">
        <f>SVY!G248</f>
        <v>0</v>
      </c>
      <c r="K27" s="120">
        <f>SVY!H248</f>
        <v>0</v>
      </c>
      <c r="L27" s="120">
        <f>SVY!I248</f>
        <v>0</v>
      </c>
      <c r="M27" s="120">
        <f>SVY!J248</f>
        <v>0</v>
      </c>
      <c r="N27" s="120">
        <f>SVY!K248</f>
        <v>0</v>
      </c>
      <c r="O27" s="120">
        <f>SVY!L248</f>
        <v>0</v>
      </c>
      <c r="P27" s="120">
        <f>SVY!M248</f>
        <v>0</v>
      </c>
      <c r="Q27" s="120">
        <f>SVY!N248</f>
        <v>0</v>
      </c>
      <c r="R27" s="120">
        <f>SVY!O248</f>
        <v>0</v>
      </c>
      <c r="S27" s="120">
        <f>SVY!P248</f>
        <v>0</v>
      </c>
      <c r="T27" s="120">
        <f>SVY!Q248</f>
        <v>0</v>
      </c>
      <c r="U27" s="120">
        <f>SVY!R248</f>
        <v>0</v>
      </c>
      <c r="V27" s="120">
        <f>SVY!S248</f>
        <v>0</v>
      </c>
      <c r="W27" s="120">
        <f>SVY!T248</f>
        <v>0</v>
      </c>
      <c r="X27" s="120">
        <f>SVY!U248</f>
        <v>0</v>
      </c>
      <c r="Y27" s="120">
        <f>SVY!V248</f>
        <v>0</v>
      </c>
      <c r="Z27" s="120">
        <f>SVY!W248</f>
        <v>0</v>
      </c>
    </row>
    <row r="28" spans="1:26" x14ac:dyDescent="0.35">
      <c r="A28" s="12" t="s">
        <v>89</v>
      </c>
      <c r="B28" s="13" t="s">
        <v>481</v>
      </c>
      <c r="C28" s="120">
        <f>SVY!D137</f>
        <v>0</v>
      </c>
      <c r="F28" s="13" t="s">
        <v>481</v>
      </c>
      <c r="G28" s="120">
        <f>SVY!D249</f>
        <v>0</v>
      </c>
      <c r="H28" s="120">
        <f>SVY!E249</f>
        <v>0</v>
      </c>
      <c r="I28" s="120">
        <f>SVY!F249</f>
        <v>0</v>
      </c>
      <c r="J28" s="120">
        <f>SVY!G249</f>
        <v>0</v>
      </c>
      <c r="K28" s="120">
        <f>SVY!H249</f>
        <v>0</v>
      </c>
      <c r="L28" s="120">
        <f>SVY!I249</f>
        <v>0</v>
      </c>
      <c r="M28" s="120">
        <f>SVY!J249</f>
        <v>0</v>
      </c>
      <c r="N28" s="120">
        <f>SVY!K249</f>
        <v>0</v>
      </c>
      <c r="O28" s="120">
        <f>SVY!L249</f>
        <v>0</v>
      </c>
      <c r="P28" s="120">
        <f>SVY!M249</f>
        <v>0</v>
      </c>
      <c r="Q28" s="120">
        <f>SVY!N249</f>
        <v>0</v>
      </c>
      <c r="R28" s="120">
        <f>SVY!O249</f>
        <v>0</v>
      </c>
      <c r="S28" s="120">
        <f>SVY!P249</f>
        <v>0</v>
      </c>
      <c r="T28" s="120">
        <f>SVY!Q249</f>
        <v>0</v>
      </c>
      <c r="U28" s="120">
        <f>SVY!R249</f>
        <v>0</v>
      </c>
      <c r="V28" s="120">
        <f>SVY!S249</f>
        <v>0</v>
      </c>
      <c r="W28" s="120">
        <f>SVY!T249</f>
        <v>0</v>
      </c>
      <c r="X28" s="120">
        <f>SVY!U249</f>
        <v>0</v>
      </c>
      <c r="Y28" s="120">
        <f>SVY!V249</f>
        <v>0</v>
      </c>
      <c r="Z28" s="120">
        <f>SVY!W249</f>
        <v>0</v>
      </c>
    </row>
    <row r="29" spans="1:26" x14ac:dyDescent="0.35">
      <c r="A29" s="12" t="s">
        <v>91</v>
      </c>
      <c r="B29" s="13" t="s">
        <v>476</v>
      </c>
      <c r="C29" s="120">
        <f>SVY!D138</f>
        <v>0</v>
      </c>
      <c r="F29" s="13" t="s">
        <v>476</v>
      </c>
      <c r="G29" s="120">
        <f>SVY!D250</f>
        <v>0</v>
      </c>
      <c r="H29" s="120">
        <f>SVY!E250</f>
        <v>0</v>
      </c>
      <c r="I29" s="120">
        <f>SVY!F250</f>
        <v>0</v>
      </c>
      <c r="J29" s="120">
        <f>SVY!G250</f>
        <v>0</v>
      </c>
      <c r="K29" s="120">
        <f>SVY!H250</f>
        <v>0</v>
      </c>
      <c r="L29" s="120">
        <f>SVY!I250</f>
        <v>0</v>
      </c>
      <c r="M29" s="120">
        <f>SVY!J250</f>
        <v>0</v>
      </c>
      <c r="N29" s="120">
        <f>SVY!K250</f>
        <v>0</v>
      </c>
      <c r="O29" s="120">
        <f>SVY!L250</f>
        <v>0</v>
      </c>
      <c r="P29" s="120">
        <f>SVY!M250</f>
        <v>0</v>
      </c>
      <c r="Q29" s="120">
        <f>SVY!N250</f>
        <v>0</v>
      </c>
      <c r="R29" s="120">
        <f>SVY!O250</f>
        <v>0</v>
      </c>
      <c r="S29" s="120">
        <f>SVY!P250</f>
        <v>0</v>
      </c>
      <c r="T29" s="120">
        <f>SVY!Q250</f>
        <v>0</v>
      </c>
      <c r="U29" s="120">
        <f>SVY!R250</f>
        <v>0</v>
      </c>
      <c r="V29" s="120">
        <f>SVY!S250</f>
        <v>0</v>
      </c>
      <c r="W29" s="120">
        <f>SVY!T250</f>
        <v>0</v>
      </c>
      <c r="X29" s="120">
        <f>SVY!U250</f>
        <v>0</v>
      </c>
      <c r="Y29" s="120">
        <f>SVY!V250</f>
        <v>0</v>
      </c>
      <c r="Z29" s="120">
        <f>SVY!W250</f>
        <v>0</v>
      </c>
    </row>
    <row r="30" spans="1:26" x14ac:dyDescent="0.35">
      <c r="A30" s="12" t="s">
        <v>93</v>
      </c>
      <c r="B30" s="13" t="s">
        <v>474</v>
      </c>
      <c r="C30" s="120">
        <f>SVY!D139</f>
        <v>5.8432554424623709E-2</v>
      </c>
      <c r="F30" s="13" t="s">
        <v>474</v>
      </c>
      <c r="G30" s="120">
        <f>SVY!D251</f>
        <v>0</v>
      </c>
      <c r="H30" s="120">
        <f>SVY!E251</f>
        <v>6.0097345187594686E-2</v>
      </c>
      <c r="I30" s="120">
        <f>SVY!F251</f>
        <v>0.11338672231675541</v>
      </c>
      <c r="J30" s="120">
        <f>SVY!G251</f>
        <v>0.59000115342789716</v>
      </c>
      <c r="K30" s="120">
        <f>SVY!H251</f>
        <v>0.23651477906775278</v>
      </c>
      <c r="L30" s="120">
        <f>SVY!I251</f>
        <v>0</v>
      </c>
      <c r="M30" s="120">
        <f>SVY!J251</f>
        <v>0</v>
      </c>
      <c r="N30" s="120">
        <f>SVY!K251</f>
        <v>0</v>
      </c>
      <c r="O30" s="120">
        <f>SVY!L251</f>
        <v>0</v>
      </c>
      <c r="P30" s="120">
        <f>SVY!M251</f>
        <v>0</v>
      </c>
      <c r="Q30" s="120">
        <f>SVY!N251</f>
        <v>0</v>
      </c>
      <c r="R30" s="120">
        <f>SVY!O251</f>
        <v>0</v>
      </c>
      <c r="S30" s="120">
        <f>SVY!P251</f>
        <v>0</v>
      </c>
      <c r="T30" s="120">
        <f>SVY!Q251</f>
        <v>0</v>
      </c>
      <c r="U30" s="120">
        <f>SVY!R251</f>
        <v>0</v>
      </c>
      <c r="V30" s="120">
        <f>SVY!S251</f>
        <v>0</v>
      </c>
      <c r="W30" s="120">
        <f>SVY!T251</f>
        <v>0</v>
      </c>
      <c r="X30" s="120">
        <f>SVY!U251</f>
        <v>0</v>
      </c>
      <c r="Y30" s="120">
        <f>SVY!V251</f>
        <v>0</v>
      </c>
      <c r="Z30" s="120">
        <f>SVY!W251</f>
        <v>0</v>
      </c>
    </row>
    <row r="31" spans="1:26" x14ac:dyDescent="0.35">
      <c r="A31" s="12" t="s">
        <v>122</v>
      </c>
      <c r="B31" s="13" t="s">
        <v>521</v>
      </c>
      <c r="C31" s="120">
        <f>SVY!D140</f>
        <v>0</v>
      </c>
      <c r="F31" s="13" t="s">
        <v>521</v>
      </c>
      <c r="G31" s="120">
        <f>SVY!D252</f>
        <v>0</v>
      </c>
      <c r="H31" s="120">
        <f>SVY!E252</f>
        <v>0</v>
      </c>
      <c r="I31" s="120">
        <f>SVY!F252</f>
        <v>0</v>
      </c>
      <c r="J31" s="120">
        <f>SVY!G252</f>
        <v>0</v>
      </c>
      <c r="K31" s="120">
        <f>SVY!H252</f>
        <v>0</v>
      </c>
      <c r="L31" s="120">
        <f>SVY!I252</f>
        <v>0</v>
      </c>
      <c r="M31" s="120">
        <f>SVY!J252</f>
        <v>0</v>
      </c>
      <c r="N31" s="120">
        <f>SVY!K252</f>
        <v>0</v>
      </c>
      <c r="O31" s="120">
        <f>SVY!L252</f>
        <v>0</v>
      </c>
      <c r="P31" s="120">
        <f>SVY!M252</f>
        <v>0</v>
      </c>
      <c r="Q31" s="120">
        <f>SVY!N252</f>
        <v>0</v>
      </c>
      <c r="R31" s="120">
        <f>SVY!O252</f>
        <v>0</v>
      </c>
      <c r="S31" s="120">
        <f>SVY!P252</f>
        <v>0</v>
      </c>
      <c r="T31" s="120">
        <f>SVY!Q252</f>
        <v>0</v>
      </c>
      <c r="U31" s="120">
        <f>SVY!R252</f>
        <v>0</v>
      </c>
      <c r="V31" s="120">
        <f>SVY!S252</f>
        <v>0</v>
      </c>
      <c r="W31" s="120">
        <f>SVY!T252</f>
        <v>0</v>
      </c>
      <c r="X31" s="120">
        <f>SVY!U252</f>
        <v>0</v>
      </c>
      <c r="Y31" s="120">
        <f>SVY!V252</f>
        <v>0</v>
      </c>
      <c r="Z31" s="120">
        <f>SVY!W252</f>
        <v>0</v>
      </c>
    </row>
    <row r="32" spans="1:26" x14ac:dyDescent="0.35">
      <c r="A32" s="12" t="s">
        <v>124</v>
      </c>
      <c r="B32" s="13" t="s">
        <v>483</v>
      </c>
      <c r="C32" s="120">
        <f>SVY!D141</f>
        <v>4.7178261484819781E-2</v>
      </c>
      <c r="F32" s="13" t="s">
        <v>483</v>
      </c>
      <c r="G32" s="120">
        <f>SVY!D253</f>
        <v>1.3575808488270046E-2</v>
      </c>
      <c r="H32" s="120">
        <f>SVY!E253</f>
        <v>3.2188619437820566E-2</v>
      </c>
      <c r="I32" s="120">
        <f>SVY!F253</f>
        <v>2.9237911971487327E-4</v>
      </c>
      <c r="J32" s="120">
        <f>SVY!G253</f>
        <v>0.48388608356627799</v>
      </c>
      <c r="K32" s="120">
        <f>SVY!H253</f>
        <v>0.37666828739676861</v>
      </c>
      <c r="L32" s="120">
        <f>SVY!I253</f>
        <v>0</v>
      </c>
      <c r="M32" s="120">
        <f>SVY!J253</f>
        <v>0</v>
      </c>
      <c r="N32" s="120">
        <f>SVY!K253</f>
        <v>0</v>
      </c>
      <c r="O32" s="120">
        <f>SVY!L253</f>
        <v>0</v>
      </c>
      <c r="P32" s="120">
        <f>SVY!M253</f>
        <v>0</v>
      </c>
      <c r="Q32" s="120">
        <f>SVY!N253</f>
        <v>0</v>
      </c>
      <c r="R32" s="120">
        <f>SVY!O253</f>
        <v>0</v>
      </c>
      <c r="S32" s="120">
        <f>SVY!P253</f>
        <v>0</v>
      </c>
      <c r="T32" s="120">
        <f>SVY!Q253</f>
        <v>0</v>
      </c>
      <c r="U32" s="120">
        <f>SVY!R253</f>
        <v>9.338882199114798E-2</v>
      </c>
      <c r="V32" s="120">
        <f>SVY!S253</f>
        <v>0</v>
      </c>
      <c r="W32" s="120">
        <f>SVY!T253</f>
        <v>0</v>
      </c>
      <c r="X32" s="120">
        <f>SVY!U253</f>
        <v>0</v>
      </c>
      <c r="Y32" s="120">
        <f>SVY!V253</f>
        <v>0</v>
      </c>
      <c r="Z32" s="120">
        <f>SVY!W253</f>
        <v>0</v>
      </c>
    </row>
    <row r="33" spans="1:26" x14ac:dyDescent="0.35">
      <c r="A33" s="12" t="s">
        <v>126</v>
      </c>
      <c r="B33" s="13" t="s">
        <v>441</v>
      </c>
      <c r="C33" s="120">
        <f>SVY!D142</f>
        <v>0</v>
      </c>
      <c r="F33" s="13" t="s">
        <v>441</v>
      </c>
      <c r="G33" s="120">
        <f>SVY!D254</f>
        <v>0</v>
      </c>
      <c r="H33" s="120">
        <f>SVY!E254</f>
        <v>0</v>
      </c>
      <c r="I33" s="120">
        <f>SVY!F254</f>
        <v>0</v>
      </c>
      <c r="J33" s="120">
        <f>SVY!G254</f>
        <v>0</v>
      </c>
      <c r="K33" s="120">
        <f>SVY!H254</f>
        <v>0</v>
      </c>
      <c r="L33" s="120">
        <f>SVY!I254</f>
        <v>0</v>
      </c>
      <c r="M33" s="120">
        <f>SVY!J254</f>
        <v>0</v>
      </c>
      <c r="N33" s="120">
        <f>SVY!K254</f>
        <v>0</v>
      </c>
      <c r="O33" s="120">
        <f>SVY!L254</f>
        <v>0</v>
      </c>
      <c r="P33" s="120">
        <f>SVY!M254</f>
        <v>0</v>
      </c>
      <c r="Q33" s="120">
        <f>SVY!N254</f>
        <v>0</v>
      </c>
      <c r="R33" s="120">
        <f>SVY!O254</f>
        <v>0</v>
      </c>
      <c r="S33" s="120">
        <f>SVY!P254</f>
        <v>0</v>
      </c>
      <c r="T33" s="120">
        <f>SVY!Q254</f>
        <v>0</v>
      </c>
      <c r="U33" s="120">
        <f>SVY!R254</f>
        <v>0</v>
      </c>
      <c r="V33" s="120">
        <f>SVY!S254</f>
        <v>0</v>
      </c>
      <c r="W33" s="120">
        <f>SVY!T254</f>
        <v>0</v>
      </c>
      <c r="X33" s="120">
        <f>SVY!U254</f>
        <v>0</v>
      </c>
      <c r="Y33" s="120">
        <f>SVY!V254</f>
        <v>0</v>
      </c>
      <c r="Z33" s="120">
        <f>SVY!W254</f>
        <v>0</v>
      </c>
    </row>
    <row r="34" spans="1:26" x14ac:dyDescent="0.35">
      <c r="A34" s="12" t="s">
        <v>128</v>
      </c>
      <c r="B34" s="13" t="s">
        <v>455</v>
      </c>
      <c r="C34" s="120">
        <f>SVY!D143</f>
        <v>5.5822748098136449E-2</v>
      </c>
      <c r="F34" s="13" t="s">
        <v>455</v>
      </c>
      <c r="G34" s="120">
        <f>SVY!D255</f>
        <v>0</v>
      </c>
      <c r="H34" s="120">
        <f>SVY!E255</f>
        <v>1.2298619119903253E-3</v>
      </c>
      <c r="I34" s="120">
        <f>SVY!F255</f>
        <v>6.0568781723609591E-2</v>
      </c>
      <c r="J34" s="120">
        <f>SVY!G255</f>
        <v>0.50622516856657784</v>
      </c>
      <c r="K34" s="120">
        <f>SVY!H255</f>
        <v>0.31089392684558254</v>
      </c>
      <c r="L34" s="120">
        <f>SVY!I255</f>
        <v>0</v>
      </c>
      <c r="M34" s="120">
        <f>SVY!J255</f>
        <v>0</v>
      </c>
      <c r="N34" s="120">
        <f>SVY!K255</f>
        <v>0</v>
      </c>
      <c r="O34" s="120">
        <f>SVY!L255</f>
        <v>0</v>
      </c>
      <c r="P34" s="120">
        <f>SVY!M255</f>
        <v>0</v>
      </c>
      <c r="Q34" s="120">
        <f>SVY!N255</f>
        <v>0</v>
      </c>
      <c r="R34" s="120">
        <f>SVY!O255</f>
        <v>0</v>
      </c>
      <c r="S34" s="120">
        <f>SVY!P255</f>
        <v>0</v>
      </c>
      <c r="T34" s="120">
        <f>SVY!Q255</f>
        <v>0</v>
      </c>
      <c r="U34" s="120">
        <f>SVY!R255</f>
        <v>8.0272612858769951E-2</v>
      </c>
      <c r="V34" s="120">
        <f>SVY!S255</f>
        <v>0</v>
      </c>
      <c r="W34" s="120">
        <f>SVY!T255</f>
        <v>0</v>
      </c>
      <c r="X34" s="120">
        <f>SVY!U255</f>
        <v>0</v>
      </c>
      <c r="Y34" s="120">
        <f>SVY!V255</f>
        <v>1.70046295846276E-2</v>
      </c>
      <c r="Z34" s="120">
        <f>SVY!W255</f>
        <v>2.3805018508842243E-2</v>
      </c>
    </row>
    <row r="35" spans="1:26" x14ac:dyDescent="0.35">
      <c r="A35" s="12" t="s">
        <v>130</v>
      </c>
      <c r="B35" s="13" t="s">
        <v>447</v>
      </c>
      <c r="C35" s="120">
        <f>SVY!D144</f>
        <v>0.41977354950515239</v>
      </c>
      <c r="F35" s="13" t="s">
        <v>447</v>
      </c>
      <c r="G35" s="120">
        <f>SVY!D256</f>
        <v>2.5120298443124692E-2</v>
      </c>
      <c r="H35" s="120">
        <f>SVY!E256</f>
        <v>8.5839497704700937E-2</v>
      </c>
      <c r="I35" s="120">
        <f>SVY!F256</f>
        <v>8.368602756549709E-2</v>
      </c>
      <c r="J35" s="120">
        <f>SVY!G256</f>
        <v>0.15338956127419545</v>
      </c>
      <c r="K35" s="120">
        <f>SVY!H256</f>
        <v>0.2953197231002756</v>
      </c>
      <c r="L35" s="120">
        <f>SVY!I256</f>
        <v>0</v>
      </c>
      <c r="M35" s="120">
        <f>SVY!J256</f>
        <v>0</v>
      </c>
      <c r="N35" s="120">
        <f>SVY!K256</f>
        <v>0</v>
      </c>
      <c r="O35" s="120">
        <f>SVY!L256</f>
        <v>0</v>
      </c>
      <c r="P35" s="120">
        <f>SVY!M256</f>
        <v>0</v>
      </c>
      <c r="Q35" s="120">
        <f>SVY!N256</f>
        <v>0</v>
      </c>
      <c r="R35" s="120">
        <f>SVY!O256</f>
        <v>0</v>
      </c>
      <c r="S35" s="120">
        <f>SVY!P256</f>
        <v>0</v>
      </c>
      <c r="T35" s="120">
        <f>SVY!Q256</f>
        <v>0</v>
      </c>
      <c r="U35" s="120">
        <f>SVY!R256</f>
        <v>9.0688671712055399E-2</v>
      </c>
      <c r="V35" s="120">
        <f>SVY!S256</f>
        <v>0</v>
      </c>
      <c r="W35" s="120">
        <f>SVY!T256</f>
        <v>0</v>
      </c>
      <c r="X35" s="120">
        <f>SVY!U256</f>
        <v>0</v>
      </c>
      <c r="Y35" s="120">
        <f>SVY!V256</f>
        <v>0</v>
      </c>
      <c r="Z35" s="120">
        <f>SVY!W256</f>
        <v>0.26595622020015075</v>
      </c>
    </row>
    <row r="36" spans="1:26" x14ac:dyDescent="0.35">
      <c r="A36" s="12" t="s">
        <v>132</v>
      </c>
      <c r="B36" s="13" t="s">
        <v>457</v>
      </c>
      <c r="C36" s="120">
        <f>SVY!D145</f>
        <v>0.40932719935182704</v>
      </c>
      <c r="F36" s="13" t="s">
        <v>457</v>
      </c>
      <c r="G36" s="120">
        <f>SVY!D257</f>
        <v>8.190695012522424E-2</v>
      </c>
      <c r="H36" s="120">
        <f>SVY!E257</f>
        <v>0.1301331411685604</v>
      </c>
      <c r="I36" s="120">
        <f>SVY!F257</f>
        <v>0.32681582852022778</v>
      </c>
      <c r="J36" s="120">
        <f>SVY!G257</f>
        <v>0.1587213695496095</v>
      </c>
      <c r="K36" s="120">
        <f>SVY!H257</f>
        <v>0.28235215170725625</v>
      </c>
      <c r="L36" s="120">
        <f>SVY!I257</f>
        <v>0</v>
      </c>
      <c r="M36" s="120">
        <f>SVY!J257</f>
        <v>0</v>
      </c>
      <c r="N36" s="120">
        <f>SVY!K257</f>
        <v>0</v>
      </c>
      <c r="O36" s="120">
        <f>SVY!L257</f>
        <v>0</v>
      </c>
      <c r="P36" s="120">
        <f>SVY!M257</f>
        <v>0</v>
      </c>
      <c r="Q36" s="120">
        <f>SVY!N257</f>
        <v>0</v>
      </c>
      <c r="R36" s="120">
        <f>SVY!O257</f>
        <v>1.5468512946555124E-3</v>
      </c>
      <c r="S36" s="120">
        <f>SVY!P257</f>
        <v>0</v>
      </c>
      <c r="T36" s="120">
        <f>SVY!Q257</f>
        <v>0</v>
      </c>
      <c r="U36" s="120">
        <f>SVY!R257</f>
        <v>0</v>
      </c>
      <c r="V36" s="120">
        <f>SVY!S257</f>
        <v>0</v>
      </c>
      <c r="W36" s="120">
        <f>SVY!T257</f>
        <v>0</v>
      </c>
      <c r="X36" s="120">
        <f>SVY!U257</f>
        <v>0</v>
      </c>
      <c r="Y36" s="120">
        <f>SVY!V257</f>
        <v>0</v>
      </c>
      <c r="Z36" s="120">
        <f>SVY!W257</f>
        <v>1.8523707634466445E-2</v>
      </c>
    </row>
    <row r="37" spans="1:26" x14ac:dyDescent="0.35">
      <c r="A37" s="12" t="s">
        <v>134</v>
      </c>
      <c r="B37" s="13" t="s">
        <v>444</v>
      </c>
      <c r="C37" s="120">
        <f>SVY!D146</f>
        <v>0.29864375395369769</v>
      </c>
      <c r="F37" s="13" t="s">
        <v>444</v>
      </c>
      <c r="G37" s="120">
        <f>SVY!D258</f>
        <v>9.9317290717805973E-3</v>
      </c>
      <c r="H37" s="120">
        <f>SVY!E258</f>
        <v>6.3475450891561758E-2</v>
      </c>
      <c r="I37" s="120">
        <f>SVY!F258</f>
        <v>0.12181252134377835</v>
      </c>
      <c r="J37" s="120">
        <f>SVY!G258</f>
        <v>0.30660868200358243</v>
      </c>
      <c r="K37" s="120">
        <f>SVY!H258</f>
        <v>0.3402851789947452</v>
      </c>
      <c r="L37" s="120">
        <f>SVY!I258</f>
        <v>0</v>
      </c>
      <c r="M37" s="120">
        <f>SVY!J258</f>
        <v>0</v>
      </c>
      <c r="N37" s="120">
        <f>SVY!K258</f>
        <v>2.0859927764082853E-4</v>
      </c>
      <c r="O37" s="120">
        <f>SVY!L258</f>
        <v>4.007599123303846E-3</v>
      </c>
      <c r="P37" s="120">
        <f>SVY!M258</f>
        <v>0</v>
      </c>
      <c r="Q37" s="120">
        <f>SVY!N258</f>
        <v>4.6213709502627732E-4</v>
      </c>
      <c r="R37" s="120">
        <f>SVY!O258</f>
        <v>1.0248605771806727E-3</v>
      </c>
      <c r="S37" s="120">
        <f>SVY!P258</f>
        <v>8.1723381269783492E-3</v>
      </c>
      <c r="T37" s="120">
        <f>SVY!Q258</f>
        <v>2.0452996190121437E-2</v>
      </c>
      <c r="U37" s="120">
        <f>SVY!R258</f>
        <v>5.8987713460724664E-2</v>
      </c>
      <c r="V37" s="120">
        <f>SVY!S258</f>
        <v>0</v>
      </c>
      <c r="W37" s="120">
        <f>SVY!T258</f>
        <v>4.1955497963071589E-3</v>
      </c>
      <c r="X37" s="120">
        <f>SVY!U258</f>
        <v>1.4554903020142973E-3</v>
      </c>
      <c r="Y37" s="120">
        <f>SVY!V258</f>
        <v>7.825677833524369E-3</v>
      </c>
      <c r="Z37" s="120">
        <f>SVY!W258</f>
        <v>5.1093475911729934E-2</v>
      </c>
    </row>
    <row r="38" spans="1:26" x14ac:dyDescent="0.35">
      <c r="A38" s="12" t="s">
        <v>136</v>
      </c>
      <c r="B38" s="13" t="s">
        <v>451</v>
      </c>
      <c r="C38" s="120">
        <f>SVY!D147</f>
        <v>0.14363029721603282</v>
      </c>
      <c r="F38" s="13" t="s">
        <v>451</v>
      </c>
      <c r="G38" s="120">
        <f>SVY!D259</f>
        <v>3.1253876946478694E-2</v>
      </c>
      <c r="H38" s="120">
        <f>SVY!E259</f>
        <v>3.8916052882672268E-2</v>
      </c>
      <c r="I38" s="120">
        <f>SVY!F259</f>
        <v>9.4073771476195889E-2</v>
      </c>
      <c r="J38" s="120">
        <f>SVY!G259</f>
        <v>0.26683026240172836</v>
      </c>
      <c r="K38" s="120">
        <f>SVY!H259</f>
        <v>0.34673670275573226</v>
      </c>
      <c r="L38" s="120">
        <f>SVY!I259</f>
        <v>0</v>
      </c>
      <c r="M38" s="120">
        <f>SVY!J259</f>
        <v>0</v>
      </c>
      <c r="N38" s="120">
        <f>SVY!K259</f>
        <v>0</v>
      </c>
      <c r="O38" s="120">
        <f>SVY!L259</f>
        <v>0</v>
      </c>
      <c r="P38" s="120">
        <f>SVY!M259</f>
        <v>0</v>
      </c>
      <c r="Q38" s="120">
        <f>SVY!N259</f>
        <v>0</v>
      </c>
      <c r="R38" s="120">
        <f>SVY!O259</f>
        <v>6.4808937947550211E-3</v>
      </c>
      <c r="S38" s="120">
        <f>SVY!P259</f>
        <v>4.9625409002503418E-3</v>
      </c>
      <c r="T38" s="120">
        <f>SVY!Q259</f>
        <v>9.8902529446460753E-3</v>
      </c>
      <c r="U38" s="120">
        <f>SVY!R259</f>
        <v>0.10533343546825606</v>
      </c>
      <c r="V38" s="120">
        <f>SVY!S259</f>
        <v>1.9996200745413121E-3</v>
      </c>
      <c r="W38" s="120">
        <f>SVY!T259</f>
        <v>0</v>
      </c>
      <c r="X38" s="120">
        <f>SVY!U259</f>
        <v>0</v>
      </c>
      <c r="Y38" s="120">
        <f>SVY!V259</f>
        <v>0</v>
      </c>
      <c r="Z38" s="120">
        <f>SVY!W259</f>
        <v>9.3522590354743793E-2</v>
      </c>
    </row>
    <row r="39" spans="1:26" x14ac:dyDescent="0.35">
      <c r="A39" s="12" t="s">
        <v>138</v>
      </c>
      <c r="B39" s="13" t="s">
        <v>522</v>
      </c>
      <c r="C39" s="120">
        <f>SVY!D148</f>
        <v>3.5951172973254881E-3</v>
      </c>
      <c r="F39" s="13" t="s">
        <v>522</v>
      </c>
      <c r="G39" s="120">
        <f>SVY!D260</f>
        <v>2.1794957756858562E-2</v>
      </c>
      <c r="H39" s="120">
        <f>SVY!E260</f>
        <v>0.19024823858511347</v>
      </c>
      <c r="I39" s="120">
        <f>SVY!F260</f>
        <v>0.30867861199559821</v>
      </c>
      <c r="J39" s="120">
        <f>SVY!G260</f>
        <v>0.22553086057670582</v>
      </c>
      <c r="K39" s="120">
        <f>SVY!H260</f>
        <v>0.19255213737728208</v>
      </c>
      <c r="L39" s="120">
        <f>SVY!I260</f>
        <v>0</v>
      </c>
      <c r="M39" s="120">
        <f>SVY!J260</f>
        <v>0</v>
      </c>
      <c r="N39" s="120">
        <f>SVY!K260</f>
        <v>0</v>
      </c>
      <c r="O39" s="120">
        <f>SVY!L260</f>
        <v>0</v>
      </c>
      <c r="P39" s="120">
        <f>SVY!M260</f>
        <v>0</v>
      </c>
      <c r="Q39" s="120">
        <f>SVY!N260</f>
        <v>0</v>
      </c>
      <c r="R39" s="120">
        <f>SVY!O260</f>
        <v>0</v>
      </c>
      <c r="S39" s="120">
        <f>SVY!P260</f>
        <v>4.3031700493963862E-2</v>
      </c>
      <c r="T39" s="120">
        <f>SVY!Q260</f>
        <v>0</v>
      </c>
      <c r="U39" s="120">
        <f>SVY!R260</f>
        <v>0</v>
      </c>
      <c r="V39" s="120">
        <f>SVY!S260</f>
        <v>0</v>
      </c>
      <c r="W39" s="120">
        <f>SVY!T260</f>
        <v>9.6080134602407972E-3</v>
      </c>
      <c r="X39" s="120">
        <f>SVY!U260</f>
        <v>0</v>
      </c>
      <c r="Y39" s="120">
        <f>SVY!V260</f>
        <v>0</v>
      </c>
      <c r="Z39" s="120">
        <f>SVY!W260</f>
        <v>8.555479754237226E-3</v>
      </c>
    </row>
    <row r="40" spans="1:26" x14ac:dyDescent="0.35">
      <c r="A40" s="12" t="s">
        <v>140</v>
      </c>
      <c r="B40" s="13" t="s">
        <v>523</v>
      </c>
      <c r="C40" s="120">
        <f>SVY!D149</f>
        <v>0</v>
      </c>
      <c r="F40" s="13" t="s">
        <v>523</v>
      </c>
      <c r="G40" s="120">
        <f>SVY!D261</f>
        <v>0</v>
      </c>
      <c r="H40" s="120">
        <f>SVY!E261</f>
        <v>0</v>
      </c>
      <c r="I40" s="120">
        <f>SVY!F261</f>
        <v>0</v>
      </c>
      <c r="J40" s="120">
        <f>SVY!G261</f>
        <v>0</v>
      </c>
      <c r="K40" s="120">
        <f>SVY!H261</f>
        <v>0</v>
      </c>
      <c r="L40" s="120">
        <f>SVY!I261</f>
        <v>0</v>
      </c>
      <c r="M40" s="120">
        <f>SVY!J261</f>
        <v>0</v>
      </c>
      <c r="N40" s="120">
        <f>SVY!K261</f>
        <v>0</v>
      </c>
      <c r="O40" s="120">
        <f>SVY!L261</f>
        <v>0</v>
      </c>
      <c r="P40" s="120">
        <f>SVY!M261</f>
        <v>0</v>
      </c>
      <c r="Q40" s="120">
        <f>SVY!N261</f>
        <v>0</v>
      </c>
      <c r="R40" s="120">
        <f>SVY!O261</f>
        <v>0</v>
      </c>
      <c r="S40" s="120">
        <f>SVY!P261</f>
        <v>0</v>
      </c>
      <c r="T40" s="120">
        <f>SVY!Q261</f>
        <v>0</v>
      </c>
      <c r="U40" s="120">
        <f>SVY!R261</f>
        <v>0</v>
      </c>
      <c r="V40" s="120">
        <f>SVY!S261</f>
        <v>0</v>
      </c>
      <c r="W40" s="120">
        <f>SVY!T261</f>
        <v>0</v>
      </c>
      <c r="X40" s="120">
        <f>SVY!U261</f>
        <v>0</v>
      </c>
      <c r="Y40" s="120">
        <f>SVY!V261</f>
        <v>0</v>
      </c>
      <c r="Z40" s="120">
        <f>SVY!W261</f>
        <v>0</v>
      </c>
    </row>
    <row r="41" spans="1:26" x14ac:dyDescent="0.35">
      <c r="A41" s="12" t="s">
        <v>142</v>
      </c>
      <c r="B41" s="13" t="s">
        <v>524</v>
      </c>
      <c r="C41" s="120">
        <f>SVY!D150</f>
        <v>0.87399610984965048</v>
      </c>
      <c r="F41" s="13" t="s">
        <v>524</v>
      </c>
      <c r="G41" s="120">
        <f>SVY!D262</f>
        <v>0.16817390426839662</v>
      </c>
      <c r="H41" s="120">
        <f>SVY!E262</f>
        <v>0.19680955435849531</v>
      </c>
      <c r="I41" s="120">
        <f>SVY!F262</f>
        <v>0.21064746919811125</v>
      </c>
      <c r="J41" s="120">
        <f>SVY!G262</f>
        <v>0.21357931805939423</v>
      </c>
      <c r="K41" s="120">
        <f>SVY!H262</f>
        <v>0.11953671064289331</v>
      </c>
      <c r="L41" s="120">
        <f>SVY!I262</f>
        <v>5.1530548198818632E-4</v>
      </c>
      <c r="M41" s="120">
        <f>SVY!J262</f>
        <v>3.5418579610318074E-4</v>
      </c>
      <c r="N41" s="120">
        <f>SVY!K262</f>
        <v>6.7744784753896996E-4</v>
      </c>
      <c r="O41" s="120">
        <f>SVY!L262</f>
        <v>1.2202031490650791E-3</v>
      </c>
      <c r="P41" s="120">
        <f>SVY!M262</f>
        <v>5.4564045578367308E-4</v>
      </c>
      <c r="Q41" s="120">
        <f>SVY!N262</f>
        <v>8.1416510460631652E-3</v>
      </c>
      <c r="R41" s="120">
        <f>SVY!O262</f>
        <v>1.1560460024522335E-2</v>
      </c>
      <c r="S41" s="120">
        <f>SVY!P262</f>
        <v>1.6883615350913456E-2</v>
      </c>
      <c r="T41" s="120">
        <f>SVY!Q262</f>
        <v>2.1925597188923746E-2</v>
      </c>
      <c r="U41" s="120">
        <f>SVY!R262</f>
        <v>8.0511673461850473E-3</v>
      </c>
      <c r="V41" s="120">
        <f>SVY!S262</f>
        <v>2.3394754549803764E-3</v>
      </c>
      <c r="W41" s="120">
        <f>SVY!T262</f>
        <v>2.8151082223308865E-3</v>
      </c>
      <c r="X41" s="120">
        <f>SVY!U262</f>
        <v>4.2202541544391001E-3</v>
      </c>
      <c r="Y41" s="120">
        <f>SVY!V262</f>
        <v>5.3893714012033115E-3</v>
      </c>
      <c r="Z41" s="120">
        <f>SVY!W262</f>
        <v>6.6135605526692152E-3</v>
      </c>
    </row>
    <row r="42" spans="1:26" x14ac:dyDescent="0.35">
      <c r="A42" s="12" t="s">
        <v>144</v>
      </c>
      <c r="B42" s="13" t="s">
        <v>525</v>
      </c>
      <c r="C42" s="120">
        <f>SVY!D151</f>
        <v>1</v>
      </c>
      <c r="F42" s="13" t="s">
        <v>525</v>
      </c>
      <c r="G42" s="120">
        <f>SVY!D263</f>
        <v>2.9343560128132041E-2</v>
      </c>
      <c r="H42" s="120">
        <f>SVY!E263</f>
        <v>2.6270923908358099E-2</v>
      </c>
      <c r="I42" s="120">
        <f>SVY!F263</f>
        <v>5.0679347008973251E-3</v>
      </c>
      <c r="J42" s="120">
        <f>SVY!G263</f>
        <v>4.9087321257879207E-2</v>
      </c>
      <c r="K42" s="120">
        <f>SVY!H263</f>
        <v>0.11426262985403735</v>
      </c>
      <c r="L42" s="120">
        <f>SVY!I263</f>
        <v>0</v>
      </c>
      <c r="M42" s="120">
        <f>SVY!J263</f>
        <v>0</v>
      </c>
      <c r="N42" s="120">
        <f>SVY!K263</f>
        <v>0</v>
      </c>
      <c r="O42" s="120">
        <f>SVY!L263</f>
        <v>0</v>
      </c>
      <c r="P42" s="120">
        <f>SVY!M263</f>
        <v>0</v>
      </c>
      <c r="Q42" s="120">
        <f>SVY!N263</f>
        <v>2.3361152086122081E-2</v>
      </c>
      <c r="R42" s="120">
        <f>SVY!O263</f>
        <v>2.4536505285113412E-2</v>
      </c>
      <c r="S42" s="120">
        <f>SVY!P263</f>
        <v>1.1050278482513693E-3</v>
      </c>
      <c r="T42" s="120">
        <f>SVY!Q263</f>
        <v>0</v>
      </c>
      <c r="U42" s="120">
        <f>SVY!R263</f>
        <v>0.68771524222835001</v>
      </c>
      <c r="V42" s="120">
        <f>SVY!S263</f>
        <v>3.1493916898981248E-3</v>
      </c>
      <c r="W42" s="120">
        <f>SVY!T263</f>
        <v>0</v>
      </c>
      <c r="X42" s="120">
        <f>SVY!U263</f>
        <v>4.2030632435942445E-3</v>
      </c>
      <c r="Y42" s="120">
        <f>SVY!V263</f>
        <v>1.8461225674268805E-2</v>
      </c>
      <c r="Z42" s="120">
        <f>SVY!W263</f>
        <v>1.343602209509789E-2</v>
      </c>
    </row>
    <row r="43" spans="1:26" x14ac:dyDescent="0.35">
      <c r="A43" s="12" t="s">
        <v>146</v>
      </c>
      <c r="B43" s="13" t="s">
        <v>485</v>
      </c>
      <c r="C43" s="120">
        <f>SVY!D152</f>
        <v>0</v>
      </c>
      <c r="F43" s="13" t="s">
        <v>485</v>
      </c>
      <c r="G43" s="120">
        <f>SVY!D264</f>
        <v>0</v>
      </c>
      <c r="H43" s="120">
        <f>SVY!E264</f>
        <v>0</v>
      </c>
      <c r="I43" s="120">
        <f>SVY!F264</f>
        <v>0</v>
      </c>
      <c r="J43" s="120">
        <f>SVY!G264</f>
        <v>0</v>
      </c>
      <c r="K43" s="120">
        <f>SVY!H264</f>
        <v>0</v>
      </c>
      <c r="L43" s="120">
        <f>SVY!I264</f>
        <v>0</v>
      </c>
      <c r="M43" s="120">
        <f>SVY!J264</f>
        <v>0</v>
      </c>
      <c r="N43" s="120">
        <f>SVY!K264</f>
        <v>0</v>
      </c>
      <c r="O43" s="120">
        <f>SVY!L264</f>
        <v>0</v>
      </c>
      <c r="P43" s="120">
        <f>SVY!M264</f>
        <v>0</v>
      </c>
      <c r="Q43" s="120">
        <f>SVY!N264</f>
        <v>0</v>
      </c>
      <c r="R43" s="120">
        <f>SVY!O264</f>
        <v>0</v>
      </c>
      <c r="S43" s="120">
        <f>SVY!P264</f>
        <v>0</v>
      </c>
      <c r="T43" s="120">
        <f>SVY!Q264</f>
        <v>0</v>
      </c>
      <c r="U43" s="120">
        <f>SVY!R264</f>
        <v>0</v>
      </c>
      <c r="V43" s="120">
        <f>SVY!S264</f>
        <v>0</v>
      </c>
      <c r="W43" s="120">
        <f>SVY!T264</f>
        <v>0</v>
      </c>
      <c r="X43" s="120">
        <f>SVY!U264</f>
        <v>0</v>
      </c>
      <c r="Y43" s="120">
        <f>SVY!V264</f>
        <v>0</v>
      </c>
      <c r="Z43" s="120">
        <f>SVY!W264</f>
        <v>0</v>
      </c>
    </row>
    <row r="44" spans="1:26" x14ac:dyDescent="0.35">
      <c r="A44" s="12" t="s">
        <v>148</v>
      </c>
      <c r="B44" s="13" t="s">
        <v>484</v>
      </c>
      <c r="C44" s="120">
        <f>SVY!D153</f>
        <v>2.7141766128908347E-2</v>
      </c>
      <c r="F44" s="13" t="s">
        <v>484</v>
      </c>
      <c r="G44" s="120">
        <f>SVY!D265</f>
        <v>6.647520302629692E-2</v>
      </c>
      <c r="H44" s="120">
        <f>SVY!E265</f>
        <v>0.16915763434584302</v>
      </c>
      <c r="I44" s="120">
        <f>SVY!F265</f>
        <v>0.30014009818825993</v>
      </c>
      <c r="J44" s="120">
        <f>SVY!G265</f>
        <v>0.20015555054333303</v>
      </c>
      <c r="K44" s="120">
        <f>SVY!H265</f>
        <v>0.2640715138962671</v>
      </c>
      <c r="L44" s="120">
        <f>SVY!I265</f>
        <v>0</v>
      </c>
      <c r="M44" s="120">
        <f>SVY!J265</f>
        <v>0</v>
      </c>
      <c r="N44" s="120">
        <f>SVY!K265</f>
        <v>0</v>
      </c>
      <c r="O44" s="120">
        <f>SVY!L265</f>
        <v>0</v>
      </c>
      <c r="P44" s="120">
        <f>SVY!M265</f>
        <v>0</v>
      </c>
      <c r="Q44" s="120">
        <f>SVY!N265</f>
        <v>0</v>
      </c>
      <c r="R44" s="120">
        <f>SVY!O265</f>
        <v>0</v>
      </c>
      <c r="S44" s="120">
        <f>SVY!P265</f>
        <v>0</v>
      </c>
      <c r="T44" s="120">
        <f>SVY!Q265</f>
        <v>0</v>
      </c>
      <c r="U44" s="120">
        <f>SVY!R265</f>
        <v>0</v>
      </c>
      <c r="V44" s="120">
        <f>SVY!S265</f>
        <v>0</v>
      </c>
      <c r="W44" s="120">
        <f>SVY!T265</f>
        <v>0</v>
      </c>
      <c r="X44" s="120">
        <f>SVY!U265</f>
        <v>0</v>
      </c>
      <c r="Y44" s="120">
        <f>SVY!V265</f>
        <v>0</v>
      </c>
      <c r="Z44" s="120">
        <f>SVY!W265</f>
        <v>0</v>
      </c>
    </row>
    <row r="45" spans="1:26" x14ac:dyDescent="0.35">
      <c r="A45" s="12" t="s">
        <v>150</v>
      </c>
      <c r="B45" s="13" t="s">
        <v>448</v>
      </c>
      <c r="C45" s="120">
        <f>SVY!D154</f>
        <v>0</v>
      </c>
      <c r="F45" s="13" t="s">
        <v>448</v>
      </c>
      <c r="G45" s="120">
        <f>SVY!D266</f>
        <v>0</v>
      </c>
      <c r="H45" s="120">
        <f>SVY!E266</f>
        <v>0</v>
      </c>
      <c r="I45" s="120">
        <f>SVY!F266</f>
        <v>0</v>
      </c>
      <c r="J45" s="120">
        <f>SVY!G266</f>
        <v>0</v>
      </c>
      <c r="K45" s="120">
        <f>SVY!H266</f>
        <v>0</v>
      </c>
      <c r="L45" s="120">
        <f>SVY!I266</f>
        <v>0</v>
      </c>
      <c r="M45" s="120">
        <f>SVY!J266</f>
        <v>0</v>
      </c>
      <c r="N45" s="120">
        <f>SVY!K266</f>
        <v>0</v>
      </c>
      <c r="O45" s="120">
        <f>SVY!L266</f>
        <v>0</v>
      </c>
      <c r="P45" s="120">
        <f>SVY!M266</f>
        <v>0</v>
      </c>
      <c r="Q45" s="120">
        <f>SVY!N266</f>
        <v>0</v>
      </c>
      <c r="R45" s="120">
        <f>SVY!O266</f>
        <v>0</v>
      </c>
      <c r="S45" s="120">
        <f>SVY!P266</f>
        <v>0</v>
      </c>
      <c r="T45" s="120">
        <f>SVY!Q266</f>
        <v>0</v>
      </c>
      <c r="U45" s="120">
        <f>SVY!R266</f>
        <v>0</v>
      </c>
      <c r="V45" s="120">
        <f>SVY!S266</f>
        <v>0</v>
      </c>
      <c r="W45" s="120">
        <f>SVY!T266</f>
        <v>0</v>
      </c>
      <c r="X45" s="120">
        <f>SVY!U266</f>
        <v>0</v>
      </c>
      <c r="Y45" s="120">
        <f>SVY!V266</f>
        <v>0</v>
      </c>
      <c r="Z45" s="120">
        <f>SVY!W266</f>
        <v>0</v>
      </c>
    </row>
    <row r="46" spans="1:26" x14ac:dyDescent="0.35">
      <c r="A46" s="12" t="s">
        <v>152</v>
      </c>
      <c r="B46" s="13" t="s">
        <v>526</v>
      </c>
      <c r="C46" s="120">
        <f>SVY!D155</f>
        <v>0</v>
      </c>
      <c r="F46" s="13" t="s">
        <v>526</v>
      </c>
      <c r="G46" s="120">
        <f>SVY!D267</f>
        <v>0</v>
      </c>
      <c r="H46" s="120">
        <f>SVY!E267</f>
        <v>0</v>
      </c>
      <c r="I46" s="120">
        <f>SVY!F267</f>
        <v>0</v>
      </c>
      <c r="J46" s="120">
        <f>SVY!G267</f>
        <v>0</v>
      </c>
      <c r="K46" s="120">
        <f>SVY!H267</f>
        <v>0</v>
      </c>
      <c r="L46" s="120">
        <f>SVY!I267</f>
        <v>0</v>
      </c>
      <c r="M46" s="120">
        <f>SVY!J267</f>
        <v>0</v>
      </c>
      <c r="N46" s="120">
        <f>SVY!K267</f>
        <v>0</v>
      </c>
      <c r="O46" s="120">
        <f>SVY!L267</f>
        <v>0</v>
      </c>
      <c r="P46" s="120">
        <f>SVY!M267</f>
        <v>0</v>
      </c>
      <c r="Q46" s="120">
        <f>SVY!N267</f>
        <v>0</v>
      </c>
      <c r="R46" s="120">
        <f>SVY!O267</f>
        <v>0</v>
      </c>
      <c r="S46" s="120">
        <f>SVY!P267</f>
        <v>0</v>
      </c>
      <c r="T46" s="120">
        <f>SVY!Q267</f>
        <v>0</v>
      </c>
      <c r="U46" s="120">
        <f>SVY!R267</f>
        <v>0</v>
      </c>
      <c r="V46" s="120">
        <f>SVY!S267</f>
        <v>0</v>
      </c>
      <c r="W46" s="120">
        <f>SVY!T267</f>
        <v>0</v>
      </c>
      <c r="X46" s="120">
        <f>SVY!U267</f>
        <v>0</v>
      </c>
      <c r="Y46" s="120">
        <f>SVY!V267</f>
        <v>0</v>
      </c>
      <c r="Z46" s="120">
        <f>SVY!W267</f>
        <v>0</v>
      </c>
    </row>
    <row r="47" spans="1:26" x14ac:dyDescent="0.35">
      <c r="A47" s="12" t="s">
        <v>154</v>
      </c>
      <c r="B47" s="13" t="s">
        <v>452</v>
      </c>
      <c r="C47" s="120">
        <f>SVY!D156</f>
        <v>0</v>
      </c>
      <c r="F47" s="13" t="s">
        <v>452</v>
      </c>
      <c r="G47" s="120">
        <f>SVY!D268</f>
        <v>0</v>
      </c>
      <c r="H47" s="120">
        <f>SVY!E268</f>
        <v>0</v>
      </c>
      <c r="I47" s="120">
        <f>SVY!F268</f>
        <v>0</v>
      </c>
      <c r="J47" s="120">
        <f>SVY!G268</f>
        <v>0</v>
      </c>
      <c r="K47" s="120">
        <f>SVY!H268</f>
        <v>0</v>
      </c>
      <c r="L47" s="120">
        <f>SVY!I268</f>
        <v>0</v>
      </c>
      <c r="M47" s="120">
        <f>SVY!J268</f>
        <v>0</v>
      </c>
      <c r="N47" s="120">
        <f>SVY!K268</f>
        <v>0</v>
      </c>
      <c r="O47" s="120">
        <f>SVY!L268</f>
        <v>0</v>
      </c>
      <c r="P47" s="120">
        <f>SVY!M268</f>
        <v>0</v>
      </c>
      <c r="Q47" s="120">
        <f>SVY!N268</f>
        <v>0</v>
      </c>
      <c r="R47" s="120">
        <f>SVY!O268</f>
        <v>0</v>
      </c>
      <c r="S47" s="120">
        <f>SVY!P268</f>
        <v>0</v>
      </c>
      <c r="T47" s="120">
        <f>SVY!Q268</f>
        <v>0</v>
      </c>
      <c r="U47" s="120">
        <f>SVY!R268</f>
        <v>0</v>
      </c>
      <c r="V47" s="120">
        <f>SVY!S268</f>
        <v>0</v>
      </c>
      <c r="W47" s="120">
        <f>SVY!T268</f>
        <v>0</v>
      </c>
      <c r="X47" s="120">
        <f>SVY!U268</f>
        <v>0</v>
      </c>
      <c r="Y47" s="120">
        <f>SVY!V268</f>
        <v>0</v>
      </c>
      <c r="Z47" s="120">
        <f>SVY!W268</f>
        <v>0</v>
      </c>
    </row>
    <row r="48" spans="1:26" x14ac:dyDescent="0.35">
      <c r="A48" s="12" t="s">
        <v>156</v>
      </c>
      <c r="B48" s="13" t="s">
        <v>486</v>
      </c>
      <c r="C48" s="120">
        <f>SVY!D157</f>
        <v>1.8015518898344322E-3</v>
      </c>
      <c r="F48" s="13" t="s">
        <v>486</v>
      </c>
      <c r="G48" s="120">
        <f>SVY!D269</f>
        <v>0.20771240844689626</v>
      </c>
      <c r="H48" s="120">
        <f>SVY!E269</f>
        <v>0.11924103932805478</v>
      </c>
      <c r="I48" s="120">
        <f>SVY!F269</f>
        <v>0</v>
      </c>
      <c r="J48" s="120">
        <f>SVY!G269</f>
        <v>0.6083020957653873</v>
      </c>
      <c r="K48" s="120">
        <f>SVY!H269</f>
        <v>6.46078225495655E-2</v>
      </c>
      <c r="L48" s="120">
        <f>SVY!I269</f>
        <v>0</v>
      </c>
      <c r="M48" s="120">
        <f>SVY!J269</f>
        <v>0</v>
      </c>
      <c r="N48" s="120">
        <f>SVY!K269</f>
        <v>0</v>
      </c>
      <c r="O48" s="120">
        <f>SVY!L269</f>
        <v>0</v>
      </c>
      <c r="P48" s="120">
        <f>SVY!M269</f>
        <v>0</v>
      </c>
      <c r="Q48" s="120">
        <f>SVY!N269</f>
        <v>0</v>
      </c>
      <c r="R48" s="120">
        <f>SVY!O269</f>
        <v>0</v>
      </c>
      <c r="S48" s="120">
        <f>SVY!P269</f>
        <v>0</v>
      </c>
      <c r="T48" s="120">
        <f>SVY!Q269</f>
        <v>0</v>
      </c>
      <c r="U48" s="120">
        <f>SVY!R269</f>
        <v>1.366339100961327E-4</v>
      </c>
      <c r="V48" s="120">
        <f>SVY!S269</f>
        <v>0</v>
      </c>
      <c r="W48" s="120">
        <f>SVY!T269</f>
        <v>0</v>
      </c>
      <c r="X48" s="120">
        <f>SVY!U269</f>
        <v>0</v>
      </c>
      <c r="Y48" s="120">
        <f>SVY!V269</f>
        <v>0</v>
      </c>
      <c r="Z48" s="120">
        <f>SVY!W269</f>
        <v>0</v>
      </c>
    </row>
    <row r="49" spans="1:26" x14ac:dyDescent="0.35">
      <c r="A49" s="12" t="s">
        <v>158</v>
      </c>
      <c r="B49" s="13" t="s">
        <v>487</v>
      </c>
      <c r="C49" s="120">
        <f>SVY!D158</f>
        <v>0</v>
      </c>
      <c r="F49" s="13" t="s">
        <v>487</v>
      </c>
      <c r="G49" s="120">
        <f>SVY!D270</f>
        <v>0</v>
      </c>
      <c r="H49" s="120">
        <f>SVY!E270</f>
        <v>0</v>
      </c>
      <c r="I49" s="120">
        <f>SVY!F270</f>
        <v>0</v>
      </c>
      <c r="J49" s="120">
        <f>SVY!G270</f>
        <v>0</v>
      </c>
      <c r="K49" s="120">
        <f>SVY!H270</f>
        <v>0</v>
      </c>
      <c r="L49" s="120">
        <f>SVY!I270</f>
        <v>0</v>
      </c>
      <c r="M49" s="120">
        <f>SVY!J270</f>
        <v>0</v>
      </c>
      <c r="N49" s="120">
        <f>SVY!K270</f>
        <v>0</v>
      </c>
      <c r="O49" s="120">
        <f>SVY!L270</f>
        <v>0</v>
      </c>
      <c r="P49" s="120">
        <f>SVY!M270</f>
        <v>0</v>
      </c>
      <c r="Q49" s="120">
        <f>SVY!N270</f>
        <v>0</v>
      </c>
      <c r="R49" s="120">
        <f>SVY!O270</f>
        <v>0</v>
      </c>
      <c r="S49" s="120">
        <f>SVY!P270</f>
        <v>0</v>
      </c>
      <c r="T49" s="120">
        <f>SVY!Q270</f>
        <v>0</v>
      </c>
      <c r="U49" s="120">
        <f>SVY!R270</f>
        <v>0</v>
      </c>
      <c r="V49" s="120">
        <f>SVY!S270</f>
        <v>0</v>
      </c>
      <c r="W49" s="120">
        <f>SVY!T270</f>
        <v>0</v>
      </c>
      <c r="X49" s="120">
        <f>SVY!U270</f>
        <v>0</v>
      </c>
      <c r="Y49" s="120">
        <f>SVY!V270</f>
        <v>0</v>
      </c>
      <c r="Z49" s="120">
        <f>SVY!W270</f>
        <v>0</v>
      </c>
    </row>
    <row r="50" spans="1:26" x14ac:dyDescent="0.35">
      <c r="A50" s="12" t="s">
        <v>160</v>
      </c>
      <c r="B50" s="13" t="s">
        <v>489</v>
      </c>
      <c r="C50" s="120">
        <f>SVY!D159</f>
        <v>0</v>
      </c>
      <c r="F50" s="13" t="s">
        <v>489</v>
      </c>
      <c r="G50" s="120">
        <f>SVY!D271</f>
        <v>0</v>
      </c>
      <c r="H50" s="120">
        <f>SVY!E271</f>
        <v>0</v>
      </c>
      <c r="I50" s="120">
        <f>SVY!F271</f>
        <v>0</v>
      </c>
      <c r="J50" s="120">
        <f>SVY!G271</f>
        <v>0</v>
      </c>
      <c r="K50" s="120">
        <f>SVY!H271</f>
        <v>0</v>
      </c>
      <c r="L50" s="120">
        <f>SVY!I271</f>
        <v>0</v>
      </c>
      <c r="M50" s="120">
        <f>SVY!J271</f>
        <v>0</v>
      </c>
      <c r="N50" s="120">
        <f>SVY!K271</f>
        <v>0</v>
      </c>
      <c r="O50" s="120">
        <f>SVY!L271</f>
        <v>0</v>
      </c>
      <c r="P50" s="120">
        <f>SVY!M271</f>
        <v>0</v>
      </c>
      <c r="Q50" s="120">
        <f>SVY!N271</f>
        <v>0</v>
      </c>
      <c r="R50" s="120">
        <f>SVY!O271</f>
        <v>0</v>
      </c>
      <c r="S50" s="120">
        <f>SVY!P271</f>
        <v>0</v>
      </c>
      <c r="T50" s="120">
        <f>SVY!Q271</f>
        <v>0</v>
      </c>
      <c r="U50" s="120">
        <f>SVY!R271</f>
        <v>0</v>
      </c>
      <c r="V50" s="120">
        <f>SVY!S271</f>
        <v>0</v>
      </c>
      <c r="W50" s="120">
        <f>SVY!T271</f>
        <v>0</v>
      </c>
      <c r="X50" s="120">
        <f>SVY!U271</f>
        <v>0</v>
      </c>
      <c r="Y50" s="120">
        <f>SVY!V271</f>
        <v>0</v>
      </c>
      <c r="Z50" s="120">
        <f>SVY!W271</f>
        <v>0</v>
      </c>
    </row>
    <row r="51" spans="1:26" x14ac:dyDescent="0.35">
      <c r="A51" s="12" t="s">
        <v>162</v>
      </c>
      <c r="B51" s="13" t="s">
        <v>490</v>
      </c>
      <c r="C51" s="120">
        <f>SVY!D160</f>
        <v>2.6347834096707304E-3</v>
      </c>
      <c r="F51" s="13" t="s">
        <v>490</v>
      </c>
      <c r="G51" s="120">
        <f>SVY!D272</f>
        <v>0</v>
      </c>
      <c r="H51" s="120">
        <f>SVY!E272</f>
        <v>1.7070378956071525E-2</v>
      </c>
      <c r="I51" s="120">
        <f>SVY!F272</f>
        <v>6.958815879118338E-2</v>
      </c>
      <c r="J51" s="120">
        <f>SVY!G272</f>
        <v>0.52331405323604063</v>
      </c>
      <c r="K51" s="120">
        <f>SVY!H272</f>
        <v>0.32410316667801403</v>
      </c>
      <c r="L51" s="120">
        <f>SVY!I272</f>
        <v>0</v>
      </c>
      <c r="M51" s="120">
        <f>SVY!J272</f>
        <v>0</v>
      </c>
      <c r="N51" s="120">
        <f>SVY!K272</f>
        <v>0</v>
      </c>
      <c r="O51" s="120">
        <f>SVY!L272</f>
        <v>0</v>
      </c>
      <c r="P51" s="120">
        <f>SVY!M272</f>
        <v>0</v>
      </c>
      <c r="Q51" s="120">
        <f>SVY!N272</f>
        <v>0</v>
      </c>
      <c r="R51" s="120">
        <f>SVY!O272</f>
        <v>0</v>
      </c>
      <c r="S51" s="120">
        <f>SVY!P272</f>
        <v>0</v>
      </c>
      <c r="T51" s="120">
        <f>SVY!Q272</f>
        <v>5.1570240692573009E-2</v>
      </c>
      <c r="U51" s="120">
        <f>SVY!R272</f>
        <v>0</v>
      </c>
      <c r="V51" s="120">
        <f>SVY!S272</f>
        <v>0</v>
      </c>
      <c r="W51" s="120">
        <f>SVY!T272</f>
        <v>0</v>
      </c>
      <c r="X51" s="120">
        <f>SVY!U272</f>
        <v>0</v>
      </c>
      <c r="Y51" s="120">
        <f>SVY!V272</f>
        <v>2.0920871049694982E-3</v>
      </c>
      <c r="Z51" s="120">
        <f>SVY!W272</f>
        <v>1.2261914541147986E-2</v>
      </c>
    </row>
    <row r="52" spans="1:26" x14ac:dyDescent="0.35">
      <c r="A52" s="12" t="s">
        <v>164</v>
      </c>
      <c r="B52" s="13" t="s">
        <v>488</v>
      </c>
      <c r="C52" s="120">
        <f>SVY!D161</f>
        <v>0.18880620606095758</v>
      </c>
      <c r="F52" s="13" t="s">
        <v>488</v>
      </c>
      <c r="G52" s="120">
        <f>SVY!D273</f>
        <v>2.5438923508280181E-2</v>
      </c>
      <c r="H52" s="120">
        <f>SVY!E273</f>
        <v>0.10469601669114019</v>
      </c>
      <c r="I52" s="120">
        <f>SVY!F273</f>
        <v>0.16503415517454911</v>
      </c>
      <c r="J52" s="120">
        <f>SVY!G273</f>
        <v>0.35064829658436375</v>
      </c>
      <c r="K52" s="120">
        <f>SVY!H273</f>
        <v>0.29174754897917826</v>
      </c>
      <c r="L52" s="120">
        <f>SVY!I273</f>
        <v>0</v>
      </c>
      <c r="M52" s="120">
        <f>SVY!J273</f>
        <v>0</v>
      </c>
      <c r="N52" s="120">
        <f>SVY!K273</f>
        <v>0</v>
      </c>
      <c r="O52" s="120">
        <f>SVY!L273</f>
        <v>0</v>
      </c>
      <c r="P52" s="120">
        <f>SVY!M273</f>
        <v>0</v>
      </c>
      <c r="Q52" s="120">
        <f>SVY!N273</f>
        <v>3.357359969399073E-3</v>
      </c>
      <c r="R52" s="120">
        <f>SVY!O273</f>
        <v>0</v>
      </c>
      <c r="S52" s="120">
        <f>SVY!P273</f>
        <v>1.5987059495605985E-2</v>
      </c>
      <c r="T52" s="120">
        <f>SVY!Q273</f>
        <v>9.4469435245681382E-3</v>
      </c>
      <c r="U52" s="120">
        <f>SVY!R273</f>
        <v>5.8468370895793809E-3</v>
      </c>
      <c r="V52" s="120">
        <f>SVY!S273</f>
        <v>0</v>
      </c>
      <c r="W52" s="120">
        <f>SVY!T273</f>
        <v>0</v>
      </c>
      <c r="X52" s="120">
        <f>SVY!U273</f>
        <v>0</v>
      </c>
      <c r="Y52" s="120">
        <f>SVY!V273</f>
        <v>1.4940235492019992E-2</v>
      </c>
      <c r="Z52" s="120">
        <f>SVY!W273</f>
        <v>1.2856623491315944E-2</v>
      </c>
    </row>
    <row r="53" spans="1:26" x14ac:dyDescent="0.35">
      <c r="A53" s="12" t="s">
        <v>166</v>
      </c>
      <c r="B53" s="13" t="s">
        <v>491</v>
      </c>
      <c r="C53" s="120">
        <f>SVY!D162</f>
        <v>0.12041189222691046</v>
      </c>
      <c r="F53" s="13" t="s">
        <v>491</v>
      </c>
      <c r="G53" s="120">
        <f>SVY!D274</f>
        <v>5.8418618949518955E-2</v>
      </c>
      <c r="H53" s="120">
        <f>SVY!E274</f>
        <v>0.14694845774770746</v>
      </c>
      <c r="I53" s="120">
        <f>SVY!F274</f>
        <v>0.22057460477803467</v>
      </c>
      <c r="J53" s="120">
        <f>SVY!G274</f>
        <v>0.29137090706878893</v>
      </c>
      <c r="K53" s="120">
        <f>SVY!H274</f>
        <v>0.233151437475136</v>
      </c>
      <c r="L53" s="120">
        <f>SVY!I274</f>
        <v>0</v>
      </c>
      <c r="M53" s="120">
        <f>SVY!J274</f>
        <v>2.0486717926234768E-5</v>
      </c>
      <c r="N53" s="120">
        <f>SVY!K274</f>
        <v>0</v>
      </c>
      <c r="O53" s="120">
        <f>SVY!L274</f>
        <v>2.0066987288328139E-4</v>
      </c>
      <c r="P53" s="120">
        <f>SVY!M274</f>
        <v>9.4641558086232722E-5</v>
      </c>
      <c r="Q53" s="120">
        <f>SVY!N274</f>
        <v>6.227726291809639E-4</v>
      </c>
      <c r="R53" s="120">
        <f>SVY!O274</f>
        <v>5.68880234390951E-4</v>
      </c>
      <c r="S53" s="120">
        <f>SVY!P274</f>
        <v>3.666109275935363E-3</v>
      </c>
      <c r="T53" s="120">
        <f>SVY!Q274</f>
        <v>9.3739898109668676E-3</v>
      </c>
      <c r="U53" s="120">
        <f>SVY!R274</f>
        <v>8.7373816850961523E-3</v>
      </c>
      <c r="V53" s="120">
        <f>SVY!S274</f>
        <v>1.447366771238881E-3</v>
      </c>
      <c r="W53" s="120">
        <f>SVY!T274</f>
        <v>1.9683075990769333E-3</v>
      </c>
      <c r="X53" s="120">
        <f>SVY!U274</f>
        <v>3.5259890077484388E-3</v>
      </c>
      <c r="Y53" s="120">
        <f>SVY!V274</f>
        <v>7.8617880722525475E-3</v>
      </c>
      <c r="Z53" s="120">
        <f>SVY!W274</f>
        <v>1.1447590746030951E-2</v>
      </c>
    </row>
    <row r="54" spans="1:26" x14ac:dyDescent="0.35">
      <c r="A54" s="12" t="s">
        <v>168</v>
      </c>
      <c r="B54" s="13" t="s">
        <v>527</v>
      </c>
      <c r="C54" s="120">
        <f>SVY!D163</f>
        <v>0</v>
      </c>
      <c r="F54" s="13" t="s">
        <v>527</v>
      </c>
      <c r="G54" s="120">
        <f>SVY!D275</f>
        <v>0</v>
      </c>
      <c r="H54" s="120">
        <f>SVY!E275</f>
        <v>0</v>
      </c>
      <c r="I54" s="120">
        <f>SVY!F275</f>
        <v>0</v>
      </c>
      <c r="J54" s="120">
        <f>SVY!G275</f>
        <v>0</v>
      </c>
      <c r="K54" s="120">
        <f>SVY!H275</f>
        <v>0</v>
      </c>
      <c r="L54" s="120">
        <f>SVY!I275</f>
        <v>0</v>
      </c>
      <c r="M54" s="120">
        <f>SVY!J275</f>
        <v>0</v>
      </c>
      <c r="N54" s="120">
        <f>SVY!K275</f>
        <v>0</v>
      </c>
      <c r="O54" s="120">
        <f>SVY!L275</f>
        <v>0</v>
      </c>
      <c r="P54" s="120">
        <f>SVY!M275</f>
        <v>0</v>
      </c>
      <c r="Q54" s="120">
        <f>SVY!N275</f>
        <v>0</v>
      </c>
      <c r="R54" s="120">
        <f>SVY!O275</f>
        <v>0</v>
      </c>
      <c r="S54" s="120">
        <f>SVY!P275</f>
        <v>0</v>
      </c>
      <c r="T54" s="120">
        <f>SVY!Q275</f>
        <v>0</v>
      </c>
      <c r="U54" s="120">
        <f>SVY!R275</f>
        <v>0</v>
      </c>
      <c r="V54" s="120">
        <f>SVY!S275</f>
        <v>0</v>
      </c>
      <c r="W54" s="120">
        <f>SVY!T275</f>
        <v>0</v>
      </c>
      <c r="X54" s="120">
        <f>SVY!U275</f>
        <v>0</v>
      </c>
      <c r="Y54" s="120">
        <f>SVY!V275</f>
        <v>0</v>
      </c>
      <c r="Z54" s="120">
        <f>SVY!W275</f>
        <v>0</v>
      </c>
    </row>
    <row r="55" spans="1:26" x14ac:dyDescent="0.35">
      <c r="A55" s="12" t="s">
        <v>170</v>
      </c>
      <c r="B55" s="13" t="s">
        <v>493</v>
      </c>
      <c r="C55" s="120">
        <f>SVY!D164</f>
        <v>0</v>
      </c>
      <c r="F55" s="13" t="s">
        <v>493</v>
      </c>
      <c r="G55" s="120">
        <f>SVY!D276</f>
        <v>0</v>
      </c>
      <c r="H55" s="120">
        <f>SVY!E276</f>
        <v>0</v>
      </c>
      <c r="I55" s="120">
        <f>SVY!F276</f>
        <v>0</v>
      </c>
      <c r="J55" s="120">
        <f>SVY!G276</f>
        <v>0</v>
      </c>
      <c r="K55" s="120">
        <f>SVY!H276</f>
        <v>0</v>
      </c>
      <c r="L55" s="120">
        <f>SVY!I276</f>
        <v>0</v>
      </c>
      <c r="M55" s="120">
        <f>SVY!J276</f>
        <v>0</v>
      </c>
      <c r="N55" s="120">
        <f>SVY!K276</f>
        <v>0</v>
      </c>
      <c r="O55" s="120">
        <f>SVY!L276</f>
        <v>0</v>
      </c>
      <c r="P55" s="120">
        <f>SVY!M276</f>
        <v>0</v>
      </c>
      <c r="Q55" s="120">
        <f>SVY!N276</f>
        <v>0</v>
      </c>
      <c r="R55" s="120">
        <f>SVY!O276</f>
        <v>0</v>
      </c>
      <c r="S55" s="120">
        <f>SVY!P276</f>
        <v>0</v>
      </c>
      <c r="T55" s="120">
        <f>SVY!Q276</f>
        <v>0</v>
      </c>
      <c r="U55" s="120">
        <f>SVY!R276</f>
        <v>0</v>
      </c>
      <c r="V55" s="120">
        <f>SVY!S276</f>
        <v>0</v>
      </c>
      <c r="W55" s="120">
        <f>SVY!T276</f>
        <v>0</v>
      </c>
      <c r="X55" s="120">
        <f>SVY!U276</f>
        <v>0</v>
      </c>
      <c r="Y55" s="120">
        <f>SVY!V276</f>
        <v>0</v>
      </c>
      <c r="Z55" s="120">
        <f>SVY!W276</f>
        <v>0</v>
      </c>
    </row>
    <row r="56" spans="1:26" x14ac:dyDescent="0.35">
      <c r="A56" s="12" t="s">
        <v>172</v>
      </c>
      <c r="B56" s="13" t="s">
        <v>492</v>
      </c>
      <c r="C56" s="120">
        <f>SVY!D165</f>
        <v>4.2985001395141303E-2</v>
      </c>
      <c r="F56" s="13" t="s">
        <v>492</v>
      </c>
      <c r="G56" s="120">
        <f>SVY!D277</f>
        <v>5.9371643801568459E-2</v>
      </c>
      <c r="H56" s="120">
        <f>SVY!E277</f>
        <v>9.1152210621178745E-2</v>
      </c>
      <c r="I56" s="120">
        <f>SVY!F277</f>
        <v>0.23377908727026867</v>
      </c>
      <c r="J56" s="120">
        <f>SVY!G277</f>
        <v>0.30200805989839141</v>
      </c>
      <c r="K56" s="120">
        <f>SVY!H277</f>
        <v>0.26829430178964453</v>
      </c>
      <c r="L56" s="120">
        <f>SVY!I277</f>
        <v>0</v>
      </c>
      <c r="M56" s="120">
        <f>SVY!J277</f>
        <v>0</v>
      </c>
      <c r="N56" s="120">
        <f>SVY!K277</f>
        <v>0</v>
      </c>
      <c r="O56" s="120">
        <f>SVY!L277</f>
        <v>0</v>
      </c>
      <c r="P56" s="120">
        <f>SVY!M277</f>
        <v>0</v>
      </c>
      <c r="Q56" s="120">
        <f>SVY!N277</f>
        <v>9.5003740471734898E-7</v>
      </c>
      <c r="R56" s="120">
        <f>SVY!O277</f>
        <v>2.435802223390984E-3</v>
      </c>
      <c r="S56" s="120">
        <f>SVY!P277</f>
        <v>2.3988256459901453E-3</v>
      </c>
      <c r="T56" s="120">
        <f>SVY!Q277</f>
        <v>4.4626591645818645E-3</v>
      </c>
      <c r="U56" s="120">
        <f>SVY!R277</f>
        <v>9.0734695879113505E-3</v>
      </c>
      <c r="V56" s="120">
        <f>SVY!S277</f>
        <v>0</v>
      </c>
      <c r="W56" s="120">
        <f>SVY!T277</f>
        <v>5.8886687469453323E-4</v>
      </c>
      <c r="X56" s="120">
        <f>SVY!U277</f>
        <v>3.3651715068916056E-3</v>
      </c>
      <c r="Y56" s="120">
        <f>SVY!V277</f>
        <v>1.7071327732826054E-3</v>
      </c>
      <c r="Z56" s="120">
        <f>SVY!W277</f>
        <v>2.1361818804800228E-2</v>
      </c>
    </row>
    <row r="57" spans="1:26" x14ac:dyDescent="0.35">
      <c r="A57" s="12" t="s">
        <v>174</v>
      </c>
      <c r="B57" s="13" t="s">
        <v>528</v>
      </c>
      <c r="C57" s="120">
        <f>SVY!D166</f>
        <v>0.1131674893308497</v>
      </c>
      <c r="F57" s="13" t="s">
        <v>528</v>
      </c>
      <c r="G57" s="120">
        <f>SVY!D278</f>
        <v>2.6239822685358499E-2</v>
      </c>
      <c r="H57" s="120">
        <f>SVY!E278</f>
        <v>5.4123582372288058E-2</v>
      </c>
      <c r="I57" s="120">
        <f>SVY!F278</f>
        <v>5.6127224081274414E-2</v>
      </c>
      <c r="J57" s="120">
        <f>SVY!G278</f>
        <v>0.24558547886413784</v>
      </c>
      <c r="K57" s="120">
        <f>SVY!H278</f>
        <v>0.59732881669562288</v>
      </c>
      <c r="L57" s="120">
        <f>SVY!I278</f>
        <v>0</v>
      </c>
      <c r="M57" s="120">
        <f>SVY!J278</f>
        <v>2.6496201223154259E-4</v>
      </c>
      <c r="N57" s="120">
        <f>SVY!K278</f>
        <v>1.432765580693014E-3</v>
      </c>
      <c r="O57" s="120">
        <f>SVY!L278</f>
        <v>0</v>
      </c>
      <c r="P57" s="120">
        <f>SVY!M278</f>
        <v>0</v>
      </c>
      <c r="Q57" s="120">
        <f>SVY!N278</f>
        <v>0</v>
      </c>
      <c r="R57" s="120">
        <f>SVY!O278</f>
        <v>0</v>
      </c>
      <c r="S57" s="120">
        <f>SVY!P278</f>
        <v>0</v>
      </c>
      <c r="T57" s="120">
        <f>SVY!Q278</f>
        <v>6.9046264977836386E-3</v>
      </c>
      <c r="U57" s="120">
        <f>SVY!R278</f>
        <v>3.4789497497172269E-3</v>
      </c>
      <c r="V57" s="120">
        <f>SVY!S278</f>
        <v>0</v>
      </c>
      <c r="W57" s="120">
        <f>SVY!T278</f>
        <v>0</v>
      </c>
      <c r="X57" s="120">
        <f>SVY!U278</f>
        <v>0</v>
      </c>
      <c r="Y57" s="120">
        <f>SVY!V278</f>
        <v>0</v>
      </c>
      <c r="Z57" s="120">
        <f>SVY!W278</f>
        <v>8.5137714608928914E-3</v>
      </c>
    </row>
    <row r="58" spans="1:26" x14ac:dyDescent="0.35">
      <c r="A58" s="12" t="s">
        <v>176</v>
      </c>
      <c r="B58" s="13" t="s">
        <v>494</v>
      </c>
      <c r="C58" s="120">
        <f>SVY!D167</f>
        <v>0.30347219865406444</v>
      </c>
      <c r="F58" s="13" t="s">
        <v>494</v>
      </c>
      <c r="G58" s="120">
        <f>SVY!D279</f>
        <v>2.5082610544475713E-2</v>
      </c>
      <c r="H58" s="120">
        <f>SVY!E279</f>
        <v>6.1387313969979054E-2</v>
      </c>
      <c r="I58" s="120">
        <f>SVY!F279</f>
        <v>0.15848337977130109</v>
      </c>
      <c r="J58" s="120">
        <f>SVY!G279</f>
        <v>0.34760807539325872</v>
      </c>
      <c r="K58" s="120">
        <f>SVY!H279</f>
        <v>0.29058362344637978</v>
      </c>
      <c r="L58" s="120">
        <f>SVY!I279</f>
        <v>0</v>
      </c>
      <c r="M58" s="120">
        <f>SVY!J279</f>
        <v>0</v>
      </c>
      <c r="N58" s="120">
        <f>SVY!K279</f>
        <v>0</v>
      </c>
      <c r="O58" s="120">
        <f>SVY!L279</f>
        <v>0</v>
      </c>
      <c r="P58" s="120">
        <f>SVY!M279</f>
        <v>0</v>
      </c>
      <c r="Q58" s="120">
        <f>SVY!N279</f>
        <v>0</v>
      </c>
      <c r="R58" s="120">
        <f>SVY!O279</f>
        <v>7.317383768708682E-3</v>
      </c>
      <c r="S58" s="120">
        <f>SVY!P279</f>
        <v>1.6497356598599968E-3</v>
      </c>
      <c r="T58" s="120">
        <f>SVY!Q279</f>
        <v>7.0768548802085636E-3</v>
      </c>
      <c r="U58" s="120">
        <f>SVY!R279</f>
        <v>6.0323324895361553E-2</v>
      </c>
      <c r="V58" s="120">
        <f>SVY!S279</f>
        <v>0</v>
      </c>
      <c r="W58" s="120">
        <f>SVY!T279</f>
        <v>1.77824814480066E-3</v>
      </c>
      <c r="X58" s="120">
        <f>SVY!U279</f>
        <v>5.0257151183705183E-3</v>
      </c>
      <c r="Y58" s="120">
        <f>SVY!V279</f>
        <v>2.4273387016105355E-3</v>
      </c>
      <c r="Z58" s="120">
        <f>SVY!W279</f>
        <v>3.1256395705685162E-2</v>
      </c>
    </row>
    <row r="59" spans="1:26" x14ac:dyDescent="0.35">
      <c r="A59" s="12" t="s">
        <v>178</v>
      </c>
      <c r="B59" s="13" t="s">
        <v>495</v>
      </c>
      <c r="C59" s="120">
        <f>SVY!D168</f>
        <v>0.32680625821082537</v>
      </c>
      <c r="F59" s="13" t="s">
        <v>495</v>
      </c>
      <c r="G59" s="120">
        <f>SVY!D280</f>
        <v>0.18525607979466491</v>
      </c>
      <c r="H59" s="120">
        <f>SVY!E280</f>
        <v>0.10349583990524228</v>
      </c>
      <c r="I59" s="120">
        <f>SVY!F280</f>
        <v>0.113200461157605</v>
      </c>
      <c r="J59" s="120">
        <f>SVY!G280</f>
        <v>0.10415764634482673</v>
      </c>
      <c r="K59" s="120">
        <f>SVY!H280</f>
        <v>0.39480562393294144</v>
      </c>
      <c r="L59" s="120">
        <f>SVY!I280</f>
        <v>0</v>
      </c>
      <c r="M59" s="120">
        <f>SVY!J280</f>
        <v>0</v>
      </c>
      <c r="N59" s="120">
        <f>SVY!K280</f>
        <v>0</v>
      </c>
      <c r="O59" s="120">
        <f>SVY!L280</f>
        <v>0</v>
      </c>
      <c r="P59" s="120">
        <f>SVY!M280</f>
        <v>0</v>
      </c>
      <c r="Q59" s="120">
        <f>SVY!N280</f>
        <v>0</v>
      </c>
      <c r="R59" s="120">
        <f>SVY!O280</f>
        <v>5.3864270575703175E-3</v>
      </c>
      <c r="S59" s="120">
        <f>SVY!P280</f>
        <v>0</v>
      </c>
      <c r="T59" s="120">
        <f>SVY!Q280</f>
        <v>5.4700886237085349E-2</v>
      </c>
      <c r="U59" s="120">
        <f>SVY!R280</f>
        <v>3.0815754961451509E-2</v>
      </c>
      <c r="V59" s="120">
        <f>SVY!S280</f>
        <v>0</v>
      </c>
      <c r="W59" s="120">
        <f>SVY!T280</f>
        <v>0</v>
      </c>
      <c r="X59" s="120">
        <f>SVY!U280</f>
        <v>3.7805584985306311E-4</v>
      </c>
      <c r="Y59" s="120">
        <f>SVY!V280</f>
        <v>0</v>
      </c>
      <c r="Z59" s="120">
        <f>SVY!W280</f>
        <v>7.8032247587593671E-3</v>
      </c>
    </row>
    <row r="60" spans="1:26" x14ac:dyDescent="0.35">
      <c r="A60" s="12" t="s">
        <v>180</v>
      </c>
      <c r="B60" s="13" t="s">
        <v>496</v>
      </c>
      <c r="C60" s="120">
        <f>SVY!D169</f>
        <v>0</v>
      </c>
      <c r="F60" s="13" t="s">
        <v>496</v>
      </c>
      <c r="G60" s="120">
        <f>SVY!D281</f>
        <v>0</v>
      </c>
      <c r="H60" s="120">
        <f>SVY!E281</f>
        <v>0</v>
      </c>
      <c r="I60" s="120">
        <f>SVY!F281</f>
        <v>0</v>
      </c>
      <c r="J60" s="120">
        <f>SVY!G281</f>
        <v>0</v>
      </c>
      <c r="K60" s="120">
        <f>SVY!H281</f>
        <v>0</v>
      </c>
      <c r="L60" s="120">
        <f>SVY!I281</f>
        <v>0</v>
      </c>
      <c r="M60" s="120">
        <f>SVY!J281</f>
        <v>0</v>
      </c>
      <c r="N60" s="120">
        <f>SVY!K281</f>
        <v>0</v>
      </c>
      <c r="O60" s="120">
        <f>SVY!L281</f>
        <v>0</v>
      </c>
      <c r="P60" s="120">
        <f>SVY!M281</f>
        <v>0</v>
      </c>
      <c r="Q60" s="120">
        <f>SVY!N281</f>
        <v>0</v>
      </c>
      <c r="R60" s="120">
        <f>SVY!O281</f>
        <v>0</v>
      </c>
      <c r="S60" s="120">
        <f>SVY!P281</f>
        <v>0</v>
      </c>
      <c r="T60" s="120">
        <f>SVY!Q281</f>
        <v>0</v>
      </c>
      <c r="U60" s="120">
        <f>SVY!R281</f>
        <v>0</v>
      </c>
      <c r="V60" s="120">
        <f>SVY!S281</f>
        <v>0</v>
      </c>
      <c r="W60" s="120">
        <f>SVY!T281</f>
        <v>0</v>
      </c>
      <c r="X60" s="120">
        <f>SVY!U281</f>
        <v>0</v>
      </c>
      <c r="Y60" s="120">
        <f>SVY!V281</f>
        <v>0</v>
      </c>
      <c r="Z60" s="120">
        <f>SVY!W281</f>
        <v>0</v>
      </c>
    </row>
    <row r="61" spans="1:26" x14ac:dyDescent="0.35">
      <c r="A61" s="12" t="s">
        <v>182</v>
      </c>
      <c r="B61" s="13" t="s">
        <v>497</v>
      </c>
      <c r="C61" s="120">
        <f>SVY!D170</f>
        <v>0</v>
      </c>
      <c r="F61" s="13" t="s">
        <v>497</v>
      </c>
      <c r="G61" s="120">
        <f>SVY!D282</f>
        <v>0</v>
      </c>
      <c r="H61" s="120">
        <f>SVY!E282</f>
        <v>0</v>
      </c>
      <c r="I61" s="120">
        <f>SVY!F282</f>
        <v>0</v>
      </c>
      <c r="J61" s="120">
        <f>SVY!G282</f>
        <v>0</v>
      </c>
      <c r="K61" s="120">
        <f>SVY!H282</f>
        <v>0</v>
      </c>
      <c r="L61" s="120">
        <f>SVY!I282</f>
        <v>0</v>
      </c>
      <c r="M61" s="120">
        <f>SVY!J282</f>
        <v>0</v>
      </c>
      <c r="N61" s="120">
        <f>SVY!K282</f>
        <v>0</v>
      </c>
      <c r="O61" s="120">
        <f>SVY!L282</f>
        <v>0</v>
      </c>
      <c r="P61" s="120">
        <f>SVY!M282</f>
        <v>0</v>
      </c>
      <c r="Q61" s="120">
        <f>SVY!N282</f>
        <v>0</v>
      </c>
      <c r="R61" s="120">
        <f>SVY!O282</f>
        <v>0</v>
      </c>
      <c r="S61" s="120">
        <f>SVY!P282</f>
        <v>0</v>
      </c>
      <c r="T61" s="120">
        <f>SVY!Q282</f>
        <v>0</v>
      </c>
      <c r="U61" s="120">
        <f>SVY!R282</f>
        <v>0</v>
      </c>
      <c r="V61" s="120">
        <f>SVY!S282</f>
        <v>0</v>
      </c>
      <c r="W61" s="120">
        <f>SVY!T282</f>
        <v>0</v>
      </c>
      <c r="X61" s="120">
        <f>SVY!U282</f>
        <v>0</v>
      </c>
      <c r="Y61" s="120">
        <f>SVY!V282</f>
        <v>0</v>
      </c>
      <c r="Z61" s="120">
        <f>SVY!W282</f>
        <v>0</v>
      </c>
    </row>
    <row r="62" spans="1:26" x14ac:dyDescent="0.35">
      <c r="A62" s="12" t="s">
        <v>184</v>
      </c>
      <c r="B62" s="13" t="s">
        <v>529</v>
      </c>
      <c r="C62" s="120">
        <f>SVY!D171</f>
        <v>0</v>
      </c>
      <c r="F62" s="13" t="s">
        <v>529</v>
      </c>
      <c r="G62" s="120">
        <f>SVY!D283</f>
        <v>0</v>
      </c>
      <c r="H62" s="120">
        <f>SVY!E283</f>
        <v>0</v>
      </c>
      <c r="I62" s="120">
        <f>SVY!F283</f>
        <v>0</v>
      </c>
      <c r="J62" s="120">
        <f>SVY!G283</f>
        <v>0</v>
      </c>
      <c r="K62" s="120">
        <f>SVY!H283</f>
        <v>0</v>
      </c>
      <c r="L62" s="120">
        <f>SVY!I283</f>
        <v>0</v>
      </c>
      <c r="M62" s="120">
        <f>SVY!J283</f>
        <v>0</v>
      </c>
      <c r="N62" s="120">
        <f>SVY!K283</f>
        <v>0</v>
      </c>
      <c r="O62" s="120">
        <f>SVY!L283</f>
        <v>0</v>
      </c>
      <c r="P62" s="120">
        <f>SVY!M283</f>
        <v>0</v>
      </c>
      <c r="Q62" s="120">
        <f>SVY!N283</f>
        <v>0</v>
      </c>
      <c r="R62" s="120">
        <f>SVY!O283</f>
        <v>0</v>
      </c>
      <c r="S62" s="120">
        <f>SVY!P283</f>
        <v>0</v>
      </c>
      <c r="T62" s="120">
        <f>SVY!Q283</f>
        <v>0</v>
      </c>
      <c r="U62" s="120">
        <f>SVY!R283</f>
        <v>0</v>
      </c>
      <c r="V62" s="120">
        <f>SVY!S283</f>
        <v>0</v>
      </c>
      <c r="W62" s="120">
        <f>SVY!T283</f>
        <v>0</v>
      </c>
      <c r="X62" s="120">
        <f>SVY!U283</f>
        <v>0</v>
      </c>
      <c r="Y62" s="120">
        <f>SVY!V283</f>
        <v>0</v>
      </c>
      <c r="Z62" s="120">
        <f>SVY!W283</f>
        <v>0</v>
      </c>
    </row>
    <row r="63" spans="1:26" x14ac:dyDescent="0.35">
      <c r="A63" s="12" t="s">
        <v>186</v>
      </c>
      <c r="B63" s="13" t="s">
        <v>498</v>
      </c>
      <c r="C63" s="120">
        <f>SVY!D172</f>
        <v>0</v>
      </c>
      <c r="F63" s="13" t="s">
        <v>498</v>
      </c>
      <c r="G63" s="120">
        <f>SVY!D284</f>
        <v>0</v>
      </c>
      <c r="H63" s="120">
        <f>SVY!E284</f>
        <v>0</v>
      </c>
      <c r="I63" s="120">
        <f>SVY!F284</f>
        <v>0</v>
      </c>
      <c r="J63" s="120">
        <f>SVY!G284</f>
        <v>0</v>
      </c>
      <c r="K63" s="120">
        <f>SVY!H284</f>
        <v>0</v>
      </c>
      <c r="L63" s="120">
        <f>SVY!I284</f>
        <v>0</v>
      </c>
      <c r="M63" s="120">
        <f>SVY!J284</f>
        <v>0</v>
      </c>
      <c r="N63" s="120">
        <f>SVY!K284</f>
        <v>0</v>
      </c>
      <c r="O63" s="120">
        <f>SVY!L284</f>
        <v>0</v>
      </c>
      <c r="P63" s="120">
        <f>SVY!M284</f>
        <v>0</v>
      </c>
      <c r="Q63" s="120">
        <f>SVY!N284</f>
        <v>0</v>
      </c>
      <c r="R63" s="120">
        <f>SVY!O284</f>
        <v>0</v>
      </c>
      <c r="S63" s="120">
        <f>SVY!P284</f>
        <v>0</v>
      </c>
      <c r="T63" s="120">
        <f>SVY!Q284</f>
        <v>0</v>
      </c>
      <c r="U63" s="120">
        <f>SVY!R284</f>
        <v>0</v>
      </c>
      <c r="V63" s="120">
        <f>SVY!S284</f>
        <v>0</v>
      </c>
      <c r="W63" s="120">
        <f>SVY!T284</f>
        <v>0</v>
      </c>
      <c r="X63" s="120">
        <f>SVY!U284</f>
        <v>0</v>
      </c>
      <c r="Y63" s="120">
        <f>SVY!V284</f>
        <v>0</v>
      </c>
      <c r="Z63" s="120">
        <f>SVY!W284</f>
        <v>0</v>
      </c>
    </row>
    <row r="64" spans="1:26" x14ac:dyDescent="0.35">
      <c r="A64" s="12" t="s">
        <v>188</v>
      </c>
      <c r="B64" s="13" t="s">
        <v>499</v>
      </c>
      <c r="C64" s="120">
        <f>SVY!D173</f>
        <v>0</v>
      </c>
      <c r="F64" s="13" t="s">
        <v>499</v>
      </c>
      <c r="G64" s="120">
        <f>SVY!D285</f>
        <v>0</v>
      </c>
      <c r="H64" s="120">
        <f>SVY!E285</f>
        <v>0</v>
      </c>
      <c r="I64" s="120">
        <f>SVY!F285</f>
        <v>0</v>
      </c>
      <c r="J64" s="120">
        <f>SVY!G285</f>
        <v>0</v>
      </c>
      <c r="K64" s="120">
        <f>SVY!H285</f>
        <v>0</v>
      </c>
      <c r="L64" s="120">
        <f>SVY!I285</f>
        <v>0</v>
      </c>
      <c r="M64" s="120">
        <f>SVY!J285</f>
        <v>0</v>
      </c>
      <c r="N64" s="120">
        <f>SVY!K285</f>
        <v>0</v>
      </c>
      <c r="O64" s="120">
        <f>SVY!L285</f>
        <v>0</v>
      </c>
      <c r="P64" s="120">
        <f>SVY!M285</f>
        <v>0</v>
      </c>
      <c r="Q64" s="120">
        <f>SVY!N285</f>
        <v>0</v>
      </c>
      <c r="R64" s="120">
        <f>SVY!O285</f>
        <v>0</v>
      </c>
      <c r="S64" s="120">
        <f>SVY!P285</f>
        <v>0</v>
      </c>
      <c r="T64" s="120">
        <f>SVY!Q285</f>
        <v>0</v>
      </c>
      <c r="U64" s="120">
        <f>SVY!R285</f>
        <v>0</v>
      </c>
      <c r="V64" s="120">
        <f>SVY!S285</f>
        <v>0</v>
      </c>
      <c r="W64" s="120">
        <f>SVY!T285</f>
        <v>0</v>
      </c>
      <c r="X64" s="120">
        <f>SVY!U285</f>
        <v>0</v>
      </c>
      <c r="Y64" s="120">
        <f>SVY!V285</f>
        <v>0</v>
      </c>
      <c r="Z64" s="120">
        <f>SVY!W285</f>
        <v>0</v>
      </c>
    </row>
    <row r="65" spans="1:26" x14ac:dyDescent="0.35">
      <c r="A65" s="12" t="s">
        <v>190</v>
      </c>
      <c r="B65" s="13" t="s">
        <v>530</v>
      </c>
      <c r="C65" s="120">
        <f>SVY!D174</f>
        <v>0</v>
      </c>
      <c r="F65" s="13" t="s">
        <v>530</v>
      </c>
      <c r="G65" s="120">
        <f>SVY!D286</f>
        <v>0</v>
      </c>
      <c r="H65" s="120">
        <f>SVY!E286</f>
        <v>0</v>
      </c>
      <c r="I65" s="120">
        <f>SVY!F286</f>
        <v>0</v>
      </c>
      <c r="J65" s="120">
        <f>SVY!G286</f>
        <v>0</v>
      </c>
      <c r="K65" s="120">
        <f>SVY!H286</f>
        <v>0</v>
      </c>
      <c r="L65" s="120">
        <f>SVY!I286</f>
        <v>0</v>
      </c>
      <c r="M65" s="120">
        <f>SVY!J286</f>
        <v>0</v>
      </c>
      <c r="N65" s="120">
        <f>SVY!K286</f>
        <v>0</v>
      </c>
      <c r="O65" s="120">
        <f>SVY!L286</f>
        <v>0</v>
      </c>
      <c r="P65" s="120">
        <f>SVY!M286</f>
        <v>0</v>
      </c>
      <c r="Q65" s="120">
        <f>SVY!N286</f>
        <v>0</v>
      </c>
      <c r="R65" s="120">
        <f>SVY!O286</f>
        <v>0</v>
      </c>
      <c r="S65" s="120">
        <f>SVY!P286</f>
        <v>0</v>
      </c>
      <c r="T65" s="120">
        <f>SVY!Q286</f>
        <v>0</v>
      </c>
      <c r="U65" s="120">
        <f>SVY!R286</f>
        <v>0</v>
      </c>
      <c r="V65" s="120">
        <f>SVY!S286</f>
        <v>0</v>
      </c>
      <c r="W65" s="120">
        <f>SVY!T286</f>
        <v>0</v>
      </c>
      <c r="X65" s="120">
        <f>SVY!U286</f>
        <v>0</v>
      </c>
      <c r="Y65" s="120">
        <f>SVY!V286</f>
        <v>0</v>
      </c>
      <c r="Z65" s="120">
        <f>SVY!W286</f>
        <v>0</v>
      </c>
    </row>
    <row r="66" spans="1:26" x14ac:dyDescent="0.35">
      <c r="A66" s="12" t="s">
        <v>192</v>
      </c>
      <c r="B66" s="13" t="s">
        <v>531</v>
      </c>
      <c r="C66" s="120">
        <f>SVY!D175</f>
        <v>0</v>
      </c>
      <c r="F66" s="13" t="s">
        <v>531</v>
      </c>
      <c r="G66" s="120">
        <f>SVY!D287</f>
        <v>0</v>
      </c>
      <c r="H66" s="120">
        <f>SVY!E287</f>
        <v>0</v>
      </c>
      <c r="I66" s="120">
        <f>SVY!F287</f>
        <v>0</v>
      </c>
      <c r="J66" s="120">
        <f>SVY!G287</f>
        <v>0</v>
      </c>
      <c r="K66" s="120">
        <f>SVY!H287</f>
        <v>0</v>
      </c>
      <c r="L66" s="120">
        <f>SVY!I287</f>
        <v>0</v>
      </c>
      <c r="M66" s="120">
        <f>SVY!J287</f>
        <v>0</v>
      </c>
      <c r="N66" s="120">
        <f>SVY!K287</f>
        <v>0</v>
      </c>
      <c r="O66" s="120">
        <f>SVY!L287</f>
        <v>0</v>
      </c>
      <c r="P66" s="120">
        <f>SVY!M287</f>
        <v>0</v>
      </c>
      <c r="Q66" s="120">
        <f>SVY!N287</f>
        <v>0</v>
      </c>
      <c r="R66" s="120">
        <f>SVY!O287</f>
        <v>0</v>
      </c>
      <c r="S66" s="120">
        <f>SVY!P287</f>
        <v>0</v>
      </c>
      <c r="T66" s="120">
        <f>SVY!Q287</f>
        <v>0</v>
      </c>
      <c r="U66" s="120">
        <f>SVY!R287</f>
        <v>0</v>
      </c>
      <c r="V66" s="120">
        <f>SVY!S287</f>
        <v>0</v>
      </c>
      <c r="W66" s="120">
        <f>SVY!T287</f>
        <v>0</v>
      </c>
      <c r="X66" s="120">
        <f>SVY!U287</f>
        <v>0</v>
      </c>
      <c r="Y66" s="120">
        <f>SVY!V287</f>
        <v>0</v>
      </c>
      <c r="Z66" s="120">
        <f>SVY!W287</f>
        <v>0</v>
      </c>
    </row>
    <row r="67" spans="1:26" x14ac:dyDescent="0.35">
      <c r="A67" s="12" t="s">
        <v>194</v>
      </c>
      <c r="B67" s="13" t="s">
        <v>500</v>
      </c>
      <c r="C67" s="120">
        <f>SVY!D176</f>
        <v>0</v>
      </c>
      <c r="F67" s="13" t="s">
        <v>500</v>
      </c>
      <c r="G67" s="120">
        <f>SVY!D288</f>
        <v>0</v>
      </c>
      <c r="H67" s="120">
        <f>SVY!E288</f>
        <v>0</v>
      </c>
      <c r="I67" s="120">
        <f>SVY!F288</f>
        <v>0</v>
      </c>
      <c r="J67" s="120">
        <f>SVY!G288</f>
        <v>0</v>
      </c>
      <c r="K67" s="120">
        <f>SVY!H288</f>
        <v>0</v>
      </c>
      <c r="L67" s="120">
        <f>SVY!I288</f>
        <v>0</v>
      </c>
      <c r="M67" s="120">
        <f>SVY!J288</f>
        <v>0</v>
      </c>
      <c r="N67" s="120">
        <f>SVY!K288</f>
        <v>0</v>
      </c>
      <c r="O67" s="120">
        <f>SVY!L288</f>
        <v>0</v>
      </c>
      <c r="P67" s="120">
        <f>SVY!M288</f>
        <v>0</v>
      </c>
      <c r="Q67" s="120">
        <f>SVY!N288</f>
        <v>0</v>
      </c>
      <c r="R67" s="120">
        <f>SVY!O288</f>
        <v>0</v>
      </c>
      <c r="S67" s="120">
        <f>SVY!P288</f>
        <v>0</v>
      </c>
      <c r="T67" s="120">
        <f>SVY!Q288</f>
        <v>0</v>
      </c>
      <c r="U67" s="120">
        <f>SVY!R288</f>
        <v>0</v>
      </c>
      <c r="V67" s="120">
        <f>SVY!S288</f>
        <v>0</v>
      </c>
      <c r="W67" s="120">
        <f>SVY!T288</f>
        <v>0</v>
      </c>
      <c r="X67" s="120">
        <f>SVY!U288</f>
        <v>0</v>
      </c>
      <c r="Y67" s="120">
        <f>SVY!V288</f>
        <v>0</v>
      </c>
      <c r="Z67" s="120">
        <f>SVY!W288</f>
        <v>0</v>
      </c>
    </row>
    <row r="68" spans="1:26" x14ac:dyDescent="0.35">
      <c r="A68" s="12" t="s">
        <v>196</v>
      </c>
      <c r="B68" s="13" t="s">
        <v>532</v>
      </c>
      <c r="C68" s="120">
        <f>SVY!D177</f>
        <v>0</v>
      </c>
      <c r="F68" s="13" t="s">
        <v>532</v>
      </c>
      <c r="G68" s="120">
        <f>SVY!D289</f>
        <v>0</v>
      </c>
      <c r="H68" s="120">
        <f>SVY!E289</f>
        <v>0</v>
      </c>
      <c r="I68" s="120">
        <f>SVY!F289</f>
        <v>0</v>
      </c>
      <c r="J68" s="120">
        <f>SVY!G289</f>
        <v>0</v>
      </c>
      <c r="K68" s="120">
        <f>SVY!H289</f>
        <v>0</v>
      </c>
      <c r="L68" s="120">
        <f>SVY!I289</f>
        <v>0</v>
      </c>
      <c r="M68" s="120">
        <f>SVY!J289</f>
        <v>0</v>
      </c>
      <c r="N68" s="120">
        <f>SVY!K289</f>
        <v>0</v>
      </c>
      <c r="O68" s="120">
        <f>SVY!L289</f>
        <v>0</v>
      </c>
      <c r="P68" s="120">
        <f>SVY!M289</f>
        <v>0</v>
      </c>
      <c r="Q68" s="120">
        <f>SVY!N289</f>
        <v>0</v>
      </c>
      <c r="R68" s="120">
        <f>SVY!O289</f>
        <v>0</v>
      </c>
      <c r="S68" s="120">
        <f>SVY!P289</f>
        <v>0</v>
      </c>
      <c r="T68" s="120">
        <f>SVY!Q289</f>
        <v>0</v>
      </c>
      <c r="U68" s="120">
        <f>SVY!R289</f>
        <v>0</v>
      </c>
      <c r="V68" s="120">
        <f>SVY!S289</f>
        <v>0</v>
      </c>
      <c r="W68" s="120">
        <f>SVY!T289</f>
        <v>0</v>
      </c>
      <c r="X68" s="120">
        <f>SVY!U289</f>
        <v>0</v>
      </c>
      <c r="Y68" s="120">
        <f>SVY!V289</f>
        <v>0</v>
      </c>
      <c r="Z68" s="120">
        <f>SVY!W289</f>
        <v>0</v>
      </c>
    </row>
    <row r="69" spans="1:26" x14ac:dyDescent="0.35">
      <c r="A69" s="12" t="s">
        <v>198</v>
      </c>
      <c r="B69" s="13" t="s">
        <v>533</v>
      </c>
      <c r="C69" s="120">
        <f>SVY!D178</f>
        <v>0</v>
      </c>
      <c r="F69" s="13" t="s">
        <v>533</v>
      </c>
      <c r="G69" s="120">
        <f>SVY!D290</f>
        <v>0</v>
      </c>
      <c r="H69" s="120">
        <f>SVY!E290</f>
        <v>0</v>
      </c>
      <c r="I69" s="120">
        <f>SVY!F290</f>
        <v>0</v>
      </c>
      <c r="J69" s="120">
        <f>SVY!G290</f>
        <v>0</v>
      </c>
      <c r="K69" s="120">
        <f>SVY!H290</f>
        <v>0</v>
      </c>
      <c r="L69" s="120">
        <f>SVY!I290</f>
        <v>0</v>
      </c>
      <c r="M69" s="120">
        <f>SVY!J290</f>
        <v>0</v>
      </c>
      <c r="N69" s="120">
        <f>SVY!K290</f>
        <v>0</v>
      </c>
      <c r="O69" s="120">
        <f>SVY!L290</f>
        <v>0</v>
      </c>
      <c r="P69" s="120">
        <f>SVY!M290</f>
        <v>0</v>
      </c>
      <c r="Q69" s="120">
        <f>SVY!N290</f>
        <v>0</v>
      </c>
      <c r="R69" s="120">
        <f>SVY!O290</f>
        <v>0</v>
      </c>
      <c r="S69" s="120">
        <f>SVY!P290</f>
        <v>0</v>
      </c>
      <c r="T69" s="120">
        <f>SVY!Q290</f>
        <v>0</v>
      </c>
      <c r="U69" s="120">
        <f>SVY!R290</f>
        <v>0</v>
      </c>
      <c r="V69" s="120">
        <f>SVY!S290</f>
        <v>0</v>
      </c>
      <c r="W69" s="120">
        <f>SVY!T290</f>
        <v>0</v>
      </c>
      <c r="X69" s="120">
        <f>SVY!U290</f>
        <v>0</v>
      </c>
      <c r="Y69" s="120">
        <f>SVY!V290</f>
        <v>0</v>
      </c>
      <c r="Z69" s="120">
        <f>SVY!W290</f>
        <v>0</v>
      </c>
    </row>
    <row r="70" spans="1:26" x14ac:dyDescent="0.35">
      <c r="A70" s="12" t="s">
        <v>200</v>
      </c>
      <c r="B70" s="13" t="s">
        <v>501</v>
      </c>
      <c r="C70" s="120">
        <f>SVY!D179</f>
        <v>0</v>
      </c>
      <c r="F70" s="13" t="s">
        <v>501</v>
      </c>
      <c r="G70" s="120">
        <f>SVY!D291</f>
        <v>0</v>
      </c>
      <c r="H70" s="120">
        <f>SVY!E291</f>
        <v>0</v>
      </c>
      <c r="I70" s="120">
        <f>SVY!F291</f>
        <v>0</v>
      </c>
      <c r="J70" s="120">
        <f>SVY!G291</f>
        <v>0</v>
      </c>
      <c r="K70" s="120">
        <f>SVY!H291</f>
        <v>0</v>
      </c>
      <c r="L70" s="120">
        <f>SVY!I291</f>
        <v>0</v>
      </c>
      <c r="M70" s="120">
        <f>SVY!J291</f>
        <v>0</v>
      </c>
      <c r="N70" s="120">
        <f>SVY!K291</f>
        <v>0</v>
      </c>
      <c r="O70" s="120">
        <f>SVY!L291</f>
        <v>0</v>
      </c>
      <c r="P70" s="120">
        <f>SVY!M291</f>
        <v>0</v>
      </c>
      <c r="Q70" s="120">
        <f>SVY!N291</f>
        <v>0</v>
      </c>
      <c r="R70" s="120">
        <f>SVY!O291</f>
        <v>0</v>
      </c>
      <c r="S70" s="120">
        <f>SVY!P291</f>
        <v>0</v>
      </c>
      <c r="T70" s="120">
        <f>SVY!Q291</f>
        <v>0</v>
      </c>
      <c r="U70" s="120">
        <f>SVY!R291</f>
        <v>0</v>
      </c>
      <c r="V70" s="120">
        <f>SVY!S291</f>
        <v>0</v>
      </c>
      <c r="W70" s="120">
        <f>SVY!T291</f>
        <v>0</v>
      </c>
      <c r="X70" s="120">
        <f>SVY!U291</f>
        <v>0</v>
      </c>
      <c r="Y70" s="120">
        <f>SVY!V291</f>
        <v>0</v>
      </c>
      <c r="Z70" s="120">
        <f>SVY!W291</f>
        <v>0</v>
      </c>
    </row>
    <row r="71" spans="1:26" x14ac:dyDescent="0.35">
      <c r="A71" s="12" t="s">
        <v>202</v>
      </c>
      <c r="B71" s="13" t="s">
        <v>502</v>
      </c>
      <c r="C71" s="120">
        <f>SVY!D180</f>
        <v>0</v>
      </c>
      <c r="F71" s="13" t="s">
        <v>502</v>
      </c>
      <c r="G71" s="120">
        <f>SVY!D292</f>
        <v>0</v>
      </c>
      <c r="H71" s="120">
        <f>SVY!E292</f>
        <v>0</v>
      </c>
      <c r="I71" s="120">
        <f>SVY!F292</f>
        <v>0</v>
      </c>
      <c r="J71" s="120">
        <f>SVY!G292</f>
        <v>0</v>
      </c>
      <c r="K71" s="120">
        <f>SVY!H292</f>
        <v>0</v>
      </c>
      <c r="L71" s="120">
        <f>SVY!I292</f>
        <v>0</v>
      </c>
      <c r="M71" s="120">
        <f>SVY!J292</f>
        <v>0</v>
      </c>
      <c r="N71" s="120">
        <f>SVY!K292</f>
        <v>0</v>
      </c>
      <c r="O71" s="120">
        <f>SVY!L292</f>
        <v>0</v>
      </c>
      <c r="P71" s="120">
        <f>SVY!M292</f>
        <v>0</v>
      </c>
      <c r="Q71" s="120">
        <f>SVY!N292</f>
        <v>0</v>
      </c>
      <c r="R71" s="120">
        <f>SVY!O292</f>
        <v>0</v>
      </c>
      <c r="S71" s="120">
        <f>SVY!P292</f>
        <v>0</v>
      </c>
      <c r="T71" s="120">
        <f>SVY!Q292</f>
        <v>0</v>
      </c>
      <c r="U71" s="120">
        <f>SVY!R292</f>
        <v>0</v>
      </c>
      <c r="V71" s="120">
        <f>SVY!S292</f>
        <v>0</v>
      </c>
      <c r="W71" s="120">
        <f>SVY!T292</f>
        <v>0</v>
      </c>
      <c r="X71" s="120">
        <f>SVY!U292</f>
        <v>0</v>
      </c>
      <c r="Y71" s="120">
        <f>SVY!V292</f>
        <v>0</v>
      </c>
      <c r="Z71" s="120">
        <f>SVY!W292</f>
        <v>0</v>
      </c>
    </row>
    <row r="72" spans="1:26" x14ac:dyDescent="0.35">
      <c r="A72" s="12" t="s">
        <v>204</v>
      </c>
      <c r="B72" s="13" t="s">
        <v>503</v>
      </c>
      <c r="C72" s="120">
        <f>SVY!D181</f>
        <v>0</v>
      </c>
      <c r="F72" s="13" t="s">
        <v>503</v>
      </c>
      <c r="G72" s="120">
        <f>SVY!D293</f>
        <v>0</v>
      </c>
      <c r="H72" s="120">
        <f>SVY!E293</f>
        <v>0</v>
      </c>
      <c r="I72" s="120">
        <f>SVY!F293</f>
        <v>0</v>
      </c>
      <c r="J72" s="120">
        <f>SVY!G293</f>
        <v>0</v>
      </c>
      <c r="K72" s="120">
        <f>SVY!H293</f>
        <v>0</v>
      </c>
      <c r="L72" s="120">
        <f>SVY!I293</f>
        <v>0</v>
      </c>
      <c r="M72" s="120">
        <f>SVY!J293</f>
        <v>0</v>
      </c>
      <c r="N72" s="120">
        <f>SVY!K293</f>
        <v>0</v>
      </c>
      <c r="O72" s="120">
        <f>SVY!L293</f>
        <v>0</v>
      </c>
      <c r="P72" s="120">
        <f>SVY!M293</f>
        <v>0</v>
      </c>
      <c r="Q72" s="120">
        <f>SVY!N293</f>
        <v>0</v>
      </c>
      <c r="R72" s="120">
        <f>SVY!O293</f>
        <v>0</v>
      </c>
      <c r="S72" s="120">
        <f>SVY!P293</f>
        <v>0</v>
      </c>
      <c r="T72" s="120">
        <f>SVY!Q293</f>
        <v>0</v>
      </c>
      <c r="U72" s="120">
        <f>SVY!R293</f>
        <v>0</v>
      </c>
      <c r="V72" s="120">
        <f>SVY!S293</f>
        <v>0</v>
      </c>
      <c r="W72" s="120">
        <f>SVY!T293</f>
        <v>0</v>
      </c>
      <c r="X72" s="120">
        <f>SVY!U293</f>
        <v>0</v>
      </c>
      <c r="Y72" s="120">
        <f>SVY!V293</f>
        <v>0</v>
      </c>
      <c r="Z72" s="120">
        <f>SVY!W293</f>
        <v>0</v>
      </c>
    </row>
    <row r="73" spans="1:26" x14ac:dyDescent="0.35">
      <c r="A73" s="12" t="s">
        <v>206</v>
      </c>
      <c r="B73" s="13" t="s">
        <v>534</v>
      </c>
      <c r="C73" s="120">
        <f>SVY!D182</f>
        <v>0</v>
      </c>
      <c r="F73" s="13" t="s">
        <v>534</v>
      </c>
      <c r="G73" s="120">
        <f>SVY!D294</f>
        <v>0</v>
      </c>
      <c r="H73" s="120">
        <f>SVY!E294</f>
        <v>0</v>
      </c>
      <c r="I73" s="120">
        <f>SVY!F294</f>
        <v>0</v>
      </c>
      <c r="J73" s="120">
        <f>SVY!G294</f>
        <v>0</v>
      </c>
      <c r="K73" s="120">
        <f>SVY!H294</f>
        <v>0</v>
      </c>
      <c r="L73" s="120">
        <f>SVY!I294</f>
        <v>0</v>
      </c>
      <c r="M73" s="120">
        <f>SVY!J294</f>
        <v>0</v>
      </c>
      <c r="N73" s="120">
        <f>SVY!K294</f>
        <v>0</v>
      </c>
      <c r="O73" s="120">
        <f>SVY!L294</f>
        <v>0</v>
      </c>
      <c r="P73" s="120">
        <f>SVY!M294</f>
        <v>0</v>
      </c>
      <c r="Q73" s="120">
        <f>SVY!N294</f>
        <v>0</v>
      </c>
      <c r="R73" s="120">
        <f>SVY!O294</f>
        <v>0</v>
      </c>
      <c r="S73" s="120">
        <f>SVY!P294</f>
        <v>0</v>
      </c>
      <c r="T73" s="120">
        <f>SVY!Q294</f>
        <v>0</v>
      </c>
      <c r="U73" s="120">
        <f>SVY!R294</f>
        <v>0</v>
      </c>
      <c r="V73" s="120">
        <f>SVY!S294</f>
        <v>0</v>
      </c>
      <c r="W73" s="120">
        <f>SVY!T294</f>
        <v>0</v>
      </c>
      <c r="X73" s="120">
        <f>SVY!U294</f>
        <v>0</v>
      </c>
      <c r="Y73" s="120">
        <f>SVY!V294</f>
        <v>0</v>
      </c>
      <c r="Z73" s="120">
        <f>SVY!W294</f>
        <v>0</v>
      </c>
    </row>
    <row r="74" spans="1:26" x14ac:dyDescent="0.35">
      <c r="A74" s="12" t="s">
        <v>208</v>
      </c>
      <c r="B74" s="13" t="s">
        <v>504</v>
      </c>
      <c r="C74" s="120">
        <f>SVY!D183</f>
        <v>0</v>
      </c>
      <c r="F74" s="13" t="s">
        <v>504</v>
      </c>
      <c r="G74" s="120">
        <f>SVY!D295</f>
        <v>0</v>
      </c>
      <c r="H74" s="120">
        <f>SVY!E295</f>
        <v>0</v>
      </c>
      <c r="I74" s="120">
        <f>SVY!F295</f>
        <v>0</v>
      </c>
      <c r="J74" s="120">
        <f>SVY!G295</f>
        <v>0</v>
      </c>
      <c r="K74" s="120">
        <f>SVY!H295</f>
        <v>0</v>
      </c>
      <c r="L74" s="120">
        <f>SVY!I295</f>
        <v>0</v>
      </c>
      <c r="M74" s="120">
        <f>SVY!J295</f>
        <v>0</v>
      </c>
      <c r="N74" s="120">
        <f>SVY!K295</f>
        <v>0</v>
      </c>
      <c r="O74" s="120">
        <f>SVY!L295</f>
        <v>0</v>
      </c>
      <c r="P74" s="120">
        <f>SVY!M295</f>
        <v>0</v>
      </c>
      <c r="Q74" s="120">
        <f>SVY!N295</f>
        <v>0</v>
      </c>
      <c r="R74" s="120">
        <f>SVY!O295</f>
        <v>0</v>
      </c>
      <c r="S74" s="120">
        <f>SVY!P295</f>
        <v>0</v>
      </c>
      <c r="T74" s="120">
        <f>SVY!Q295</f>
        <v>0</v>
      </c>
      <c r="U74" s="120">
        <f>SVY!R295</f>
        <v>0</v>
      </c>
      <c r="V74" s="120">
        <f>SVY!S295</f>
        <v>0</v>
      </c>
      <c r="W74" s="120">
        <f>SVY!T295</f>
        <v>0</v>
      </c>
      <c r="X74" s="120">
        <f>SVY!U295</f>
        <v>0</v>
      </c>
      <c r="Y74" s="120">
        <f>SVY!V295</f>
        <v>0</v>
      </c>
      <c r="Z74" s="120">
        <f>SVY!W295</f>
        <v>0</v>
      </c>
    </row>
    <row r="75" spans="1:26" x14ac:dyDescent="0.35">
      <c r="A75" s="12" t="s">
        <v>210</v>
      </c>
      <c r="B75" s="13" t="s">
        <v>535</v>
      </c>
      <c r="C75" s="120">
        <f>SVY!D184</f>
        <v>0</v>
      </c>
      <c r="F75" s="13" t="s">
        <v>535</v>
      </c>
      <c r="G75" s="120">
        <f>SVY!D296</f>
        <v>0</v>
      </c>
      <c r="H75" s="120">
        <f>SVY!E296</f>
        <v>0</v>
      </c>
      <c r="I75" s="120">
        <f>SVY!F296</f>
        <v>0</v>
      </c>
      <c r="J75" s="120">
        <f>SVY!G296</f>
        <v>0</v>
      </c>
      <c r="K75" s="120">
        <f>SVY!H296</f>
        <v>0</v>
      </c>
      <c r="L75" s="120">
        <f>SVY!I296</f>
        <v>0</v>
      </c>
      <c r="M75" s="120">
        <f>SVY!J296</f>
        <v>0</v>
      </c>
      <c r="N75" s="120">
        <f>SVY!K296</f>
        <v>0</v>
      </c>
      <c r="O75" s="120">
        <f>SVY!L296</f>
        <v>0</v>
      </c>
      <c r="P75" s="120">
        <f>SVY!M296</f>
        <v>0</v>
      </c>
      <c r="Q75" s="120">
        <f>SVY!N296</f>
        <v>0</v>
      </c>
      <c r="R75" s="120">
        <f>SVY!O296</f>
        <v>0</v>
      </c>
      <c r="S75" s="120">
        <f>SVY!P296</f>
        <v>0</v>
      </c>
      <c r="T75" s="120">
        <f>SVY!Q296</f>
        <v>0</v>
      </c>
      <c r="U75" s="120">
        <f>SVY!R296</f>
        <v>0</v>
      </c>
      <c r="V75" s="120">
        <f>SVY!S296</f>
        <v>0</v>
      </c>
      <c r="W75" s="120">
        <f>SVY!T296</f>
        <v>0</v>
      </c>
      <c r="X75" s="120">
        <f>SVY!U296</f>
        <v>0</v>
      </c>
      <c r="Y75" s="120">
        <f>SVY!V296</f>
        <v>0</v>
      </c>
      <c r="Z75" s="120">
        <f>SVY!W296</f>
        <v>0</v>
      </c>
    </row>
    <row r="76" spans="1:26" x14ac:dyDescent="0.35">
      <c r="A76" s="12" t="s">
        <v>212</v>
      </c>
      <c r="B76" s="13" t="s">
        <v>505</v>
      </c>
      <c r="C76" s="120">
        <f>SVY!D185</f>
        <v>0</v>
      </c>
      <c r="F76" s="13" t="s">
        <v>505</v>
      </c>
      <c r="G76" s="120">
        <f>SVY!D297</f>
        <v>0</v>
      </c>
      <c r="H76" s="120">
        <f>SVY!E297</f>
        <v>0</v>
      </c>
      <c r="I76" s="120">
        <f>SVY!F297</f>
        <v>0</v>
      </c>
      <c r="J76" s="120">
        <f>SVY!G297</f>
        <v>0</v>
      </c>
      <c r="K76" s="120">
        <f>SVY!H297</f>
        <v>0</v>
      </c>
      <c r="L76" s="120">
        <f>SVY!I297</f>
        <v>0</v>
      </c>
      <c r="M76" s="120">
        <f>SVY!J297</f>
        <v>0</v>
      </c>
      <c r="N76" s="120">
        <f>SVY!K297</f>
        <v>0</v>
      </c>
      <c r="O76" s="120">
        <f>SVY!L297</f>
        <v>0</v>
      </c>
      <c r="P76" s="120">
        <f>SVY!M297</f>
        <v>0</v>
      </c>
      <c r="Q76" s="120">
        <f>SVY!N297</f>
        <v>0</v>
      </c>
      <c r="R76" s="120">
        <f>SVY!O297</f>
        <v>0</v>
      </c>
      <c r="S76" s="120">
        <f>SVY!P297</f>
        <v>0</v>
      </c>
      <c r="T76" s="120">
        <f>SVY!Q297</f>
        <v>0</v>
      </c>
      <c r="U76" s="120">
        <f>SVY!R297</f>
        <v>0</v>
      </c>
      <c r="V76" s="120">
        <f>SVY!S297</f>
        <v>0</v>
      </c>
      <c r="W76" s="120">
        <f>SVY!T297</f>
        <v>0</v>
      </c>
      <c r="X76" s="120">
        <f>SVY!U297</f>
        <v>0</v>
      </c>
      <c r="Y76" s="120">
        <f>SVY!V297</f>
        <v>0</v>
      </c>
      <c r="Z76" s="120">
        <f>SVY!W297</f>
        <v>0</v>
      </c>
    </row>
    <row r="77" spans="1:26" x14ac:dyDescent="0.35">
      <c r="A77" s="12" t="s">
        <v>214</v>
      </c>
      <c r="B77" s="13" t="s">
        <v>506</v>
      </c>
      <c r="C77" s="120">
        <f>SVY!D186</f>
        <v>0</v>
      </c>
      <c r="F77" s="13" t="s">
        <v>506</v>
      </c>
      <c r="G77" s="120">
        <f>SVY!D298</f>
        <v>0</v>
      </c>
      <c r="H77" s="120">
        <f>SVY!E298</f>
        <v>0</v>
      </c>
      <c r="I77" s="120">
        <f>SVY!F298</f>
        <v>0</v>
      </c>
      <c r="J77" s="120">
        <f>SVY!G298</f>
        <v>0</v>
      </c>
      <c r="K77" s="120">
        <f>SVY!H298</f>
        <v>0</v>
      </c>
      <c r="L77" s="120">
        <f>SVY!I298</f>
        <v>0</v>
      </c>
      <c r="M77" s="120">
        <f>SVY!J298</f>
        <v>0</v>
      </c>
      <c r="N77" s="120">
        <f>SVY!K298</f>
        <v>0</v>
      </c>
      <c r="O77" s="120">
        <f>SVY!L298</f>
        <v>0</v>
      </c>
      <c r="P77" s="120">
        <f>SVY!M298</f>
        <v>0</v>
      </c>
      <c r="Q77" s="120">
        <f>SVY!N298</f>
        <v>0</v>
      </c>
      <c r="R77" s="120">
        <f>SVY!O298</f>
        <v>0</v>
      </c>
      <c r="S77" s="120">
        <f>SVY!P298</f>
        <v>0</v>
      </c>
      <c r="T77" s="120">
        <f>SVY!Q298</f>
        <v>0</v>
      </c>
      <c r="U77" s="120">
        <f>SVY!R298</f>
        <v>0</v>
      </c>
      <c r="V77" s="120">
        <f>SVY!S298</f>
        <v>0</v>
      </c>
      <c r="W77" s="120">
        <f>SVY!T298</f>
        <v>0</v>
      </c>
      <c r="X77" s="120">
        <f>SVY!U298</f>
        <v>0</v>
      </c>
      <c r="Y77" s="120">
        <f>SVY!V298</f>
        <v>0</v>
      </c>
      <c r="Z77" s="120">
        <f>SVY!W298</f>
        <v>0</v>
      </c>
    </row>
    <row r="78" spans="1:26" x14ac:dyDescent="0.35">
      <c r="A78" s="12" t="s">
        <v>216</v>
      </c>
      <c r="B78" s="13" t="s">
        <v>536</v>
      </c>
      <c r="C78" s="120">
        <f>SVY!D187</f>
        <v>0</v>
      </c>
      <c r="F78" s="13" t="s">
        <v>536</v>
      </c>
      <c r="G78" s="120">
        <f>SVY!D299</f>
        <v>0</v>
      </c>
      <c r="H78" s="120">
        <f>SVY!E299</f>
        <v>0</v>
      </c>
      <c r="I78" s="120">
        <f>SVY!F299</f>
        <v>0</v>
      </c>
      <c r="J78" s="120">
        <f>SVY!G299</f>
        <v>0</v>
      </c>
      <c r="K78" s="120">
        <f>SVY!H299</f>
        <v>0</v>
      </c>
      <c r="L78" s="120">
        <f>SVY!I299</f>
        <v>0</v>
      </c>
      <c r="M78" s="120">
        <f>SVY!J299</f>
        <v>0</v>
      </c>
      <c r="N78" s="120">
        <f>SVY!K299</f>
        <v>0</v>
      </c>
      <c r="O78" s="120">
        <f>SVY!L299</f>
        <v>0</v>
      </c>
      <c r="P78" s="120">
        <f>SVY!M299</f>
        <v>0</v>
      </c>
      <c r="Q78" s="120">
        <f>SVY!N299</f>
        <v>0</v>
      </c>
      <c r="R78" s="120">
        <f>SVY!O299</f>
        <v>0</v>
      </c>
      <c r="S78" s="120">
        <f>SVY!P299</f>
        <v>0</v>
      </c>
      <c r="T78" s="120">
        <f>SVY!Q299</f>
        <v>0</v>
      </c>
      <c r="U78" s="120">
        <f>SVY!R299</f>
        <v>0</v>
      </c>
      <c r="V78" s="120">
        <f>SVY!S299</f>
        <v>0</v>
      </c>
      <c r="W78" s="120">
        <f>SVY!T299</f>
        <v>0</v>
      </c>
      <c r="X78" s="120">
        <f>SVY!U299</f>
        <v>0</v>
      </c>
      <c r="Y78" s="120">
        <f>SVY!V299</f>
        <v>0</v>
      </c>
      <c r="Z78" s="120">
        <f>SVY!W299</f>
        <v>0</v>
      </c>
    </row>
    <row r="79" spans="1:26" x14ac:dyDescent="0.35">
      <c r="A79" s="12" t="s">
        <v>218</v>
      </c>
      <c r="B79" s="13" t="s">
        <v>507</v>
      </c>
      <c r="C79" s="120">
        <f>SVY!D188</f>
        <v>0</v>
      </c>
      <c r="F79" s="13" t="s">
        <v>507</v>
      </c>
      <c r="G79" s="120">
        <f>SVY!D300</f>
        <v>0</v>
      </c>
      <c r="H79" s="120">
        <f>SVY!E300</f>
        <v>0</v>
      </c>
      <c r="I79" s="120">
        <f>SVY!F300</f>
        <v>0</v>
      </c>
      <c r="J79" s="120">
        <f>SVY!G300</f>
        <v>0</v>
      </c>
      <c r="K79" s="120">
        <f>SVY!H300</f>
        <v>0</v>
      </c>
      <c r="L79" s="120">
        <f>SVY!I300</f>
        <v>0</v>
      </c>
      <c r="M79" s="120">
        <f>SVY!J300</f>
        <v>0</v>
      </c>
      <c r="N79" s="120">
        <f>SVY!K300</f>
        <v>0</v>
      </c>
      <c r="O79" s="120">
        <f>SVY!L300</f>
        <v>0</v>
      </c>
      <c r="P79" s="120">
        <f>SVY!M300</f>
        <v>0</v>
      </c>
      <c r="Q79" s="120">
        <f>SVY!N300</f>
        <v>0</v>
      </c>
      <c r="R79" s="120">
        <f>SVY!O300</f>
        <v>0</v>
      </c>
      <c r="S79" s="120">
        <f>SVY!P300</f>
        <v>0</v>
      </c>
      <c r="T79" s="120">
        <f>SVY!Q300</f>
        <v>0</v>
      </c>
      <c r="U79" s="120">
        <f>SVY!R300</f>
        <v>0</v>
      </c>
      <c r="V79" s="120">
        <f>SVY!S300</f>
        <v>0</v>
      </c>
      <c r="W79" s="120">
        <f>SVY!T300</f>
        <v>0</v>
      </c>
      <c r="X79" s="120">
        <f>SVY!U300</f>
        <v>0</v>
      </c>
      <c r="Y79" s="120">
        <f>SVY!V300</f>
        <v>0</v>
      </c>
      <c r="Z79" s="120">
        <f>SVY!W300</f>
        <v>0</v>
      </c>
    </row>
    <row r="80" spans="1:26" x14ac:dyDescent="0.35">
      <c r="A80" s="12" t="s">
        <v>220</v>
      </c>
      <c r="B80" s="13" t="s">
        <v>537</v>
      </c>
      <c r="C80" s="120">
        <f>SVY!D189</f>
        <v>0</v>
      </c>
      <c r="F80" s="13" t="s">
        <v>537</v>
      </c>
      <c r="G80" s="120">
        <f>SVY!D301</f>
        <v>0</v>
      </c>
      <c r="H80" s="120">
        <f>SVY!E301</f>
        <v>0</v>
      </c>
      <c r="I80" s="120">
        <f>SVY!F301</f>
        <v>0</v>
      </c>
      <c r="J80" s="120">
        <f>SVY!G301</f>
        <v>0</v>
      </c>
      <c r="K80" s="120">
        <f>SVY!H301</f>
        <v>0</v>
      </c>
      <c r="L80" s="120">
        <f>SVY!I301</f>
        <v>0</v>
      </c>
      <c r="M80" s="120">
        <f>SVY!J301</f>
        <v>0</v>
      </c>
      <c r="N80" s="120">
        <f>SVY!K301</f>
        <v>0</v>
      </c>
      <c r="O80" s="120">
        <f>SVY!L301</f>
        <v>0</v>
      </c>
      <c r="P80" s="120">
        <f>SVY!M301</f>
        <v>0</v>
      </c>
      <c r="Q80" s="120">
        <f>SVY!N301</f>
        <v>0</v>
      </c>
      <c r="R80" s="120">
        <f>SVY!O301</f>
        <v>0</v>
      </c>
      <c r="S80" s="120">
        <f>SVY!P301</f>
        <v>0</v>
      </c>
      <c r="T80" s="120">
        <f>SVY!Q301</f>
        <v>0</v>
      </c>
      <c r="U80" s="120">
        <f>SVY!R301</f>
        <v>0</v>
      </c>
      <c r="V80" s="120">
        <f>SVY!S301</f>
        <v>0</v>
      </c>
      <c r="W80" s="120">
        <f>SVY!T301</f>
        <v>0</v>
      </c>
      <c r="X80" s="120">
        <f>SVY!U301</f>
        <v>0</v>
      </c>
      <c r="Y80" s="120">
        <f>SVY!V301</f>
        <v>0</v>
      </c>
      <c r="Z80" s="120">
        <f>SVY!W301</f>
        <v>0</v>
      </c>
    </row>
    <row r="81" spans="1:26" x14ac:dyDescent="0.35">
      <c r="A81" s="12" t="s">
        <v>222</v>
      </c>
      <c r="B81" s="13" t="s">
        <v>538</v>
      </c>
      <c r="C81" s="120">
        <f>SVY!D190</f>
        <v>0</v>
      </c>
      <c r="F81" s="13" t="s">
        <v>538</v>
      </c>
      <c r="G81" s="120">
        <f>SVY!D302</f>
        <v>0</v>
      </c>
      <c r="H81" s="120">
        <f>SVY!E302</f>
        <v>0</v>
      </c>
      <c r="I81" s="120">
        <f>SVY!F302</f>
        <v>0</v>
      </c>
      <c r="J81" s="120">
        <f>SVY!G302</f>
        <v>0</v>
      </c>
      <c r="K81" s="120">
        <f>SVY!H302</f>
        <v>0</v>
      </c>
      <c r="L81" s="120">
        <f>SVY!I302</f>
        <v>0</v>
      </c>
      <c r="M81" s="120">
        <f>SVY!J302</f>
        <v>0</v>
      </c>
      <c r="N81" s="120">
        <f>SVY!K302</f>
        <v>0</v>
      </c>
      <c r="O81" s="120">
        <f>SVY!L302</f>
        <v>0</v>
      </c>
      <c r="P81" s="120">
        <f>SVY!M302</f>
        <v>0</v>
      </c>
      <c r="Q81" s="120">
        <f>SVY!N302</f>
        <v>0</v>
      </c>
      <c r="R81" s="120">
        <f>SVY!O302</f>
        <v>0</v>
      </c>
      <c r="S81" s="120">
        <f>SVY!P302</f>
        <v>0</v>
      </c>
      <c r="T81" s="120">
        <f>SVY!Q302</f>
        <v>0</v>
      </c>
      <c r="U81" s="120">
        <f>SVY!R302</f>
        <v>0</v>
      </c>
      <c r="V81" s="120">
        <f>SVY!S302</f>
        <v>0</v>
      </c>
      <c r="W81" s="120">
        <f>SVY!T302</f>
        <v>0</v>
      </c>
      <c r="X81" s="120">
        <f>SVY!U302</f>
        <v>0</v>
      </c>
      <c r="Y81" s="120">
        <f>SVY!V302</f>
        <v>0</v>
      </c>
      <c r="Z81" s="120">
        <f>SVY!W302</f>
        <v>0</v>
      </c>
    </row>
    <row r="82" spans="1:26" x14ac:dyDescent="0.35">
      <c r="A82" s="12" t="s">
        <v>224</v>
      </c>
      <c r="B82" s="13" t="s">
        <v>539</v>
      </c>
      <c r="C82" s="120">
        <f>SVY!D191</f>
        <v>0</v>
      </c>
      <c r="F82" s="13" t="s">
        <v>539</v>
      </c>
      <c r="G82" s="120">
        <f>SVY!D303</f>
        <v>0</v>
      </c>
      <c r="H82" s="120">
        <f>SVY!E303</f>
        <v>0</v>
      </c>
      <c r="I82" s="120">
        <f>SVY!F303</f>
        <v>0</v>
      </c>
      <c r="J82" s="120">
        <f>SVY!G303</f>
        <v>0</v>
      </c>
      <c r="K82" s="120">
        <f>SVY!H303</f>
        <v>0</v>
      </c>
      <c r="L82" s="120">
        <f>SVY!I303</f>
        <v>0</v>
      </c>
      <c r="M82" s="120">
        <f>SVY!J303</f>
        <v>0</v>
      </c>
      <c r="N82" s="120">
        <f>SVY!K303</f>
        <v>0</v>
      </c>
      <c r="O82" s="120">
        <f>SVY!L303</f>
        <v>0</v>
      </c>
      <c r="P82" s="120">
        <f>SVY!M303</f>
        <v>0</v>
      </c>
      <c r="Q82" s="120">
        <f>SVY!N303</f>
        <v>0</v>
      </c>
      <c r="R82" s="120">
        <f>SVY!O303</f>
        <v>0</v>
      </c>
      <c r="S82" s="120">
        <f>SVY!P303</f>
        <v>0</v>
      </c>
      <c r="T82" s="120">
        <f>SVY!Q303</f>
        <v>0</v>
      </c>
      <c r="U82" s="120">
        <f>SVY!R303</f>
        <v>0</v>
      </c>
      <c r="V82" s="120">
        <f>SVY!S303</f>
        <v>0</v>
      </c>
      <c r="W82" s="120">
        <f>SVY!T303</f>
        <v>0</v>
      </c>
      <c r="X82" s="120">
        <f>SVY!U303</f>
        <v>0</v>
      </c>
      <c r="Y82" s="120">
        <f>SVY!V303</f>
        <v>0</v>
      </c>
      <c r="Z82" s="120">
        <f>SVY!W303</f>
        <v>0</v>
      </c>
    </row>
    <row r="83" spans="1:26" x14ac:dyDescent="0.35">
      <c r="A83" s="12" t="s">
        <v>226</v>
      </c>
      <c r="B83" s="13" t="s">
        <v>540</v>
      </c>
      <c r="C83" s="120">
        <f>SVY!D192</f>
        <v>0</v>
      </c>
      <c r="F83" s="13" t="s">
        <v>540</v>
      </c>
      <c r="G83" s="120">
        <f>SVY!D304</f>
        <v>0</v>
      </c>
      <c r="H83" s="120">
        <f>SVY!E304</f>
        <v>0</v>
      </c>
      <c r="I83" s="120">
        <f>SVY!F304</f>
        <v>0</v>
      </c>
      <c r="J83" s="120">
        <f>SVY!G304</f>
        <v>0</v>
      </c>
      <c r="K83" s="120">
        <f>SVY!H304</f>
        <v>0</v>
      </c>
      <c r="L83" s="120">
        <f>SVY!I304</f>
        <v>0</v>
      </c>
      <c r="M83" s="120">
        <f>SVY!J304</f>
        <v>0</v>
      </c>
      <c r="N83" s="120">
        <f>SVY!K304</f>
        <v>0</v>
      </c>
      <c r="O83" s="120">
        <f>SVY!L304</f>
        <v>0</v>
      </c>
      <c r="P83" s="120">
        <f>SVY!M304</f>
        <v>0</v>
      </c>
      <c r="Q83" s="120">
        <f>SVY!N304</f>
        <v>0</v>
      </c>
      <c r="R83" s="120">
        <f>SVY!O304</f>
        <v>0</v>
      </c>
      <c r="S83" s="120">
        <f>SVY!P304</f>
        <v>0</v>
      </c>
      <c r="T83" s="120">
        <f>SVY!Q304</f>
        <v>0</v>
      </c>
      <c r="U83" s="120">
        <f>SVY!R304</f>
        <v>0</v>
      </c>
      <c r="V83" s="120">
        <f>SVY!S304</f>
        <v>0</v>
      </c>
      <c r="W83" s="120">
        <f>SVY!T304</f>
        <v>0</v>
      </c>
      <c r="X83" s="120">
        <f>SVY!U304</f>
        <v>0</v>
      </c>
      <c r="Y83" s="120">
        <f>SVY!V304</f>
        <v>0</v>
      </c>
      <c r="Z83" s="120">
        <f>SVY!W304</f>
        <v>0</v>
      </c>
    </row>
    <row r="84" spans="1:26" x14ac:dyDescent="0.35">
      <c r="A84" s="12" t="s">
        <v>228</v>
      </c>
      <c r="B84" s="13" t="s">
        <v>541</v>
      </c>
      <c r="C84" s="120">
        <f>SVY!D193</f>
        <v>0</v>
      </c>
      <c r="F84" s="13" t="s">
        <v>541</v>
      </c>
      <c r="G84" s="120">
        <f>SVY!D305</f>
        <v>0</v>
      </c>
      <c r="H84" s="120">
        <f>SVY!E305</f>
        <v>0</v>
      </c>
      <c r="I84" s="120">
        <f>SVY!F305</f>
        <v>0</v>
      </c>
      <c r="J84" s="120">
        <f>SVY!G305</f>
        <v>0</v>
      </c>
      <c r="K84" s="120">
        <f>SVY!H305</f>
        <v>0</v>
      </c>
      <c r="L84" s="120">
        <f>SVY!I305</f>
        <v>0</v>
      </c>
      <c r="M84" s="120">
        <f>SVY!J305</f>
        <v>0</v>
      </c>
      <c r="N84" s="120">
        <f>SVY!K305</f>
        <v>0</v>
      </c>
      <c r="O84" s="120">
        <f>SVY!L305</f>
        <v>0</v>
      </c>
      <c r="P84" s="120">
        <f>SVY!M305</f>
        <v>0</v>
      </c>
      <c r="Q84" s="120">
        <f>SVY!N305</f>
        <v>0</v>
      </c>
      <c r="R84" s="120">
        <f>SVY!O305</f>
        <v>0</v>
      </c>
      <c r="S84" s="120">
        <f>SVY!P305</f>
        <v>0</v>
      </c>
      <c r="T84" s="120">
        <f>SVY!Q305</f>
        <v>0</v>
      </c>
      <c r="U84" s="120">
        <f>SVY!R305</f>
        <v>0</v>
      </c>
      <c r="V84" s="120">
        <f>SVY!S305</f>
        <v>0</v>
      </c>
      <c r="W84" s="120">
        <f>SVY!T305</f>
        <v>0</v>
      </c>
      <c r="X84" s="120">
        <f>SVY!U305</f>
        <v>0</v>
      </c>
      <c r="Y84" s="120">
        <f>SVY!V305</f>
        <v>0</v>
      </c>
      <c r="Z84" s="120">
        <f>SVY!W305</f>
        <v>0</v>
      </c>
    </row>
    <row r="85" spans="1:26" x14ac:dyDescent="0.35">
      <c r="A85" s="12" t="s">
        <v>230</v>
      </c>
      <c r="B85" s="13" t="s">
        <v>542</v>
      </c>
      <c r="C85" s="120">
        <f>SVY!D194</f>
        <v>0</v>
      </c>
      <c r="F85" s="13" t="s">
        <v>542</v>
      </c>
      <c r="G85" s="120">
        <f>SVY!D306</f>
        <v>0</v>
      </c>
      <c r="H85" s="120">
        <f>SVY!E306</f>
        <v>0</v>
      </c>
      <c r="I85" s="120">
        <f>SVY!F306</f>
        <v>0</v>
      </c>
      <c r="J85" s="120">
        <f>SVY!G306</f>
        <v>0</v>
      </c>
      <c r="K85" s="120">
        <f>SVY!H306</f>
        <v>0</v>
      </c>
      <c r="L85" s="120">
        <f>SVY!I306</f>
        <v>0</v>
      </c>
      <c r="M85" s="120">
        <f>SVY!J306</f>
        <v>0</v>
      </c>
      <c r="N85" s="120">
        <f>SVY!K306</f>
        <v>0</v>
      </c>
      <c r="O85" s="120">
        <f>SVY!L306</f>
        <v>0</v>
      </c>
      <c r="P85" s="120">
        <f>SVY!M306</f>
        <v>0</v>
      </c>
      <c r="Q85" s="120">
        <f>SVY!N306</f>
        <v>0</v>
      </c>
      <c r="R85" s="120">
        <f>SVY!O306</f>
        <v>0</v>
      </c>
      <c r="S85" s="120">
        <f>SVY!P306</f>
        <v>0</v>
      </c>
      <c r="T85" s="120">
        <f>SVY!Q306</f>
        <v>0</v>
      </c>
      <c r="U85" s="120">
        <f>SVY!R306</f>
        <v>0</v>
      </c>
      <c r="V85" s="120">
        <f>SVY!S306</f>
        <v>0</v>
      </c>
      <c r="W85" s="120">
        <f>SVY!T306</f>
        <v>0</v>
      </c>
      <c r="X85" s="120">
        <f>SVY!U306</f>
        <v>0</v>
      </c>
      <c r="Y85" s="120">
        <f>SVY!V306</f>
        <v>0</v>
      </c>
      <c r="Z85" s="120">
        <f>SVY!W306</f>
        <v>0</v>
      </c>
    </row>
    <row r="86" spans="1:26" x14ac:dyDescent="0.35">
      <c r="A86" s="12" t="s">
        <v>232</v>
      </c>
      <c r="B86" s="13" t="s">
        <v>543</v>
      </c>
      <c r="C86" s="120">
        <f>SVY!D195</f>
        <v>0</v>
      </c>
      <c r="F86" s="13" t="s">
        <v>543</v>
      </c>
      <c r="G86" s="120">
        <f>SVY!D307</f>
        <v>0</v>
      </c>
      <c r="H86" s="120">
        <f>SVY!E307</f>
        <v>0</v>
      </c>
      <c r="I86" s="120">
        <f>SVY!F307</f>
        <v>0</v>
      </c>
      <c r="J86" s="120">
        <f>SVY!G307</f>
        <v>0</v>
      </c>
      <c r="K86" s="120">
        <f>SVY!H307</f>
        <v>0</v>
      </c>
      <c r="L86" s="120">
        <f>SVY!I307</f>
        <v>0</v>
      </c>
      <c r="M86" s="120">
        <f>SVY!J307</f>
        <v>0</v>
      </c>
      <c r="N86" s="120">
        <f>SVY!K307</f>
        <v>0</v>
      </c>
      <c r="O86" s="120">
        <f>SVY!L307</f>
        <v>0</v>
      </c>
      <c r="P86" s="120">
        <f>SVY!M307</f>
        <v>0</v>
      </c>
      <c r="Q86" s="120">
        <f>SVY!N307</f>
        <v>0</v>
      </c>
      <c r="R86" s="120">
        <f>SVY!O307</f>
        <v>0</v>
      </c>
      <c r="S86" s="120">
        <f>SVY!P307</f>
        <v>0</v>
      </c>
      <c r="T86" s="120">
        <f>SVY!Q307</f>
        <v>0</v>
      </c>
      <c r="U86" s="120">
        <f>SVY!R307</f>
        <v>0</v>
      </c>
      <c r="V86" s="120">
        <f>SVY!S307</f>
        <v>0</v>
      </c>
      <c r="W86" s="120">
        <f>SVY!T307</f>
        <v>0</v>
      </c>
      <c r="X86" s="120">
        <f>SVY!U307</f>
        <v>0</v>
      </c>
      <c r="Y86" s="120">
        <f>SVY!V307</f>
        <v>0</v>
      </c>
      <c r="Z86" s="120">
        <f>SVY!W307</f>
        <v>0</v>
      </c>
    </row>
    <row r="87" spans="1:26" x14ac:dyDescent="0.35">
      <c r="A87" s="12" t="s">
        <v>234</v>
      </c>
      <c r="B87" s="13" t="s">
        <v>544</v>
      </c>
      <c r="C87" s="120">
        <f>SVY!D196</f>
        <v>0</v>
      </c>
      <c r="F87" s="13" t="s">
        <v>544</v>
      </c>
      <c r="G87" s="120">
        <f>SVY!D308</f>
        <v>0</v>
      </c>
      <c r="H87" s="120">
        <f>SVY!E308</f>
        <v>0</v>
      </c>
      <c r="I87" s="120">
        <f>SVY!F308</f>
        <v>0</v>
      </c>
      <c r="J87" s="120">
        <f>SVY!G308</f>
        <v>0</v>
      </c>
      <c r="K87" s="120">
        <f>SVY!H308</f>
        <v>0</v>
      </c>
      <c r="L87" s="120">
        <f>SVY!I308</f>
        <v>0</v>
      </c>
      <c r="M87" s="120">
        <f>SVY!J308</f>
        <v>0</v>
      </c>
      <c r="N87" s="120">
        <f>SVY!K308</f>
        <v>0</v>
      </c>
      <c r="O87" s="120">
        <f>SVY!L308</f>
        <v>0</v>
      </c>
      <c r="P87" s="120">
        <f>SVY!M308</f>
        <v>0</v>
      </c>
      <c r="Q87" s="120">
        <f>SVY!N308</f>
        <v>0</v>
      </c>
      <c r="R87" s="120">
        <f>SVY!O308</f>
        <v>0</v>
      </c>
      <c r="S87" s="120">
        <f>SVY!P308</f>
        <v>0</v>
      </c>
      <c r="T87" s="120">
        <f>SVY!Q308</f>
        <v>0</v>
      </c>
      <c r="U87" s="120">
        <f>SVY!R308</f>
        <v>0</v>
      </c>
      <c r="V87" s="120">
        <f>SVY!S308</f>
        <v>0</v>
      </c>
      <c r="W87" s="120">
        <f>SVY!T308</f>
        <v>0</v>
      </c>
      <c r="X87" s="120">
        <f>SVY!U308</f>
        <v>0</v>
      </c>
      <c r="Y87" s="120">
        <f>SVY!V308</f>
        <v>0</v>
      </c>
      <c r="Z87" s="120">
        <f>SVY!W308</f>
        <v>0</v>
      </c>
    </row>
    <row r="88" spans="1:26" x14ac:dyDescent="0.35">
      <c r="A88" s="12" t="s">
        <v>236</v>
      </c>
      <c r="B88" s="13" t="s">
        <v>545</v>
      </c>
      <c r="C88" s="120">
        <f>SVY!D197</f>
        <v>0</v>
      </c>
      <c r="F88" s="13" t="s">
        <v>545</v>
      </c>
      <c r="G88" s="120">
        <f>SVY!D309</f>
        <v>0</v>
      </c>
      <c r="H88" s="120">
        <f>SVY!E309</f>
        <v>0</v>
      </c>
      <c r="I88" s="120">
        <f>SVY!F309</f>
        <v>0</v>
      </c>
      <c r="J88" s="120">
        <f>SVY!G309</f>
        <v>0</v>
      </c>
      <c r="K88" s="120">
        <f>SVY!H309</f>
        <v>0</v>
      </c>
      <c r="L88" s="120">
        <f>SVY!I309</f>
        <v>0</v>
      </c>
      <c r="M88" s="120">
        <f>SVY!J309</f>
        <v>0</v>
      </c>
      <c r="N88" s="120">
        <f>SVY!K309</f>
        <v>0</v>
      </c>
      <c r="O88" s="120">
        <f>SVY!L309</f>
        <v>0</v>
      </c>
      <c r="P88" s="120">
        <f>SVY!M309</f>
        <v>0</v>
      </c>
      <c r="Q88" s="120">
        <f>SVY!N309</f>
        <v>0</v>
      </c>
      <c r="R88" s="120">
        <f>SVY!O309</f>
        <v>0</v>
      </c>
      <c r="S88" s="120">
        <f>SVY!P309</f>
        <v>0</v>
      </c>
      <c r="T88" s="120">
        <f>SVY!Q309</f>
        <v>0</v>
      </c>
      <c r="U88" s="120">
        <f>SVY!R309</f>
        <v>0</v>
      </c>
      <c r="V88" s="120">
        <f>SVY!S309</f>
        <v>0</v>
      </c>
      <c r="W88" s="120">
        <f>SVY!T309</f>
        <v>0</v>
      </c>
      <c r="X88" s="120">
        <f>SVY!U309</f>
        <v>0</v>
      </c>
      <c r="Y88" s="120">
        <f>SVY!V309</f>
        <v>0</v>
      </c>
      <c r="Z88" s="120">
        <f>SVY!W309</f>
        <v>0</v>
      </c>
    </row>
    <row r="89" spans="1:26" x14ac:dyDescent="0.35">
      <c r="A89" s="12" t="s">
        <v>238</v>
      </c>
      <c r="B89" s="13" t="s">
        <v>508</v>
      </c>
      <c r="C89" s="120">
        <f>SVY!D198</f>
        <v>0</v>
      </c>
      <c r="F89" s="13" t="s">
        <v>508</v>
      </c>
      <c r="G89" s="120">
        <f>SVY!D310</f>
        <v>0</v>
      </c>
      <c r="H89" s="120">
        <f>SVY!E310</f>
        <v>0</v>
      </c>
      <c r="I89" s="120">
        <f>SVY!F310</f>
        <v>0</v>
      </c>
      <c r="J89" s="120">
        <f>SVY!G310</f>
        <v>0</v>
      </c>
      <c r="K89" s="120">
        <f>SVY!H310</f>
        <v>0</v>
      </c>
      <c r="L89" s="120">
        <f>SVY!I310</f>
        <v>0</v>
      </c>
      <c r="M89" s="120">
        <f>SVY!J310</f>
        <v>0</v>
      </c>
      <c r="N89" s="120">
        <f>SVY!K310</f>
        <v>0</v>
      </c>
      <c r="O89" s="120">
        <f>SVY!L310</f>
        <v>0</v>
      </c>
      <c r="P89" s="120">
        <f>SVY!M310</f>
        <v>0</v>
      </c>
      <c r="Q89" s="120">
        <f>SVY!N310</f>
        <v>0</v>
      </c>
      <c r="R89" s="120">
        <f>SVY!O310</f>
        <v>0</v>
      </c>
      <c r="S89" s="120">
        <f>SVY!P310</f>
        <v>0</v>
      </c>
      <c r="T89" s="120">
        <f>SVY!Q310</f>
        <v>0</v>
      </c>
      <c r="U89" s="120">
        <f>SVY!R310</f>
        <v>0</v>
      </c>
      <c r="V89" s="120">
        <f>SVY!S310</f>
        <v>0</v>
      </c>
      <c r="W89" s="120">
        <f>SVY!T310</f>
        <v>0</v>
      </c>
      <c r="X89" s="120">
        <f>SVY!U310</f>
        <v>0</v>
      </c>
      <c r="Y89" s="120">
        <f>SVY!V310</f>
        <v>0</v>
      </c>
      <c r="Z89" s="120">
        <f>SVY!W310</f>
        <v>0</v>
      </c>
    </row>
    <row r="90" spans="1:26" x14ac:dyDescent="0.35">
      <c r="A90" s="12" t="s">
        <v>240</v>
      </c>
      <c r="B90" s="13" t="s">
        <v>546</v>
      </c>
      <c r="C90" s="120">
        <f>SVY!D199</f>
        <v>0</v>
      </c>
      <c r="F90" s="13" t="s">
        <v>546</v>
      </c>
      <c r="G90" s="120">
        <f>SVY!D311</f>
        <v>0</v>
      </c>
      <c r="H90" s="120">
        <f>SVY!E311</f>
        <v>0</v>
      </c>
      <c r="I90" s="120">
        <f>SVY!F311</f>
        <v>0</v>
      </c>
      <c r="J90" s="120">
        <f>SVY!G311</f>
        <v>0</v>
      </c>
      <c r="K90" s="120">
        <f>SVY!H311</f>
        <v>0</v>
      </c>
      <c r="L90" s="120">
        <f>SVY!I311</f>
        <v>0</v>
      </c>
      <c r="M90" s="120">
        <f>SVY!J311</f>
        <v>0</v>
      </c>
      <c r="N90" s="120">
        <f>SVY!K311</f>
        <v>0</v>
      </c>
      <c r="O90" s="120">
        <f>SVY!L311</f>
        <v>0</v>
      </c>
      <c r="P90" s="120">
        <f>SVY!M311</f>
        <v>0</v>
      </c>
      <c r="Q90" s="120">
        <f>SVY!N311</f>
        <v>0</v>
      </c>
      <c r="R90" s="120">
        <f>SVY!O311</f>
        <v>0</v>
      </c>
      <c r="S90" s="120">
        <f>SVY!P311</f>
        <v>0</v>
      </c>
      <c r="T90" s="120">
        <f>SVY!Q311</f>
        <v>0</v>
      </c>
      <c r="U90" s="120">
        <f>SVY!R311</f>
        <v>0</v>
      </c>
      <c r="V90" s="120">
        <f>SVY!S311</f>
        <v>0</v>
      </c>
      <c r="W90" s="120">
        <f>SVY!T311</f>
        <v>0</v>
      </c>
      <c r="X90" s="120">
        <f>SVY!U311</f>
        <v>0</v>
      </c>
      <c r="Y90" s="120">
        <f>SVY!V311</f>
        <v>0</v>
      </c>
      <c r="Z90" s="120">
        <f>SVY!W311</f>
        <v>0</v>
      </c>
    </row>
    <row r="91" spans="1:26" x14ac:dyDescent="0.35">
      <c r="A91" s="12" t="s">
        <v>242</v>
      </c>
      <c r="B91" s="13" t="s">
        <v>509</v>
      </c>
      <c r="C91" s="120">
        <f>SVY!D200</f>
        <v>0</v>
      </c>
      <c r="F91" s="13" t="s">
        <v>509</v>
      </c>
      <c r="G91" s="120">
        <f>SVY!D312</f>
        <v>0</v>
      </c>
      <c r="H91" s="120">
        <f>SVY!E312</f>
        <v>0</v>
      </c>
      <c r="I91" s="120">
        <f>SVY!F312</f>
        <v>0</v>
      </c>
      <c r="J91" s="120">
        <f>SVY!G312</f>
        <v>0</v>
      </c>
      <c r="K91" s="120">
        <f>SVY!H312</f>
        <v>0</v>
      </c>
      <c r="L91" s="120">
        <f>SVY!I312</f>
        <v>0</v>
      </c>
      <c r="M91" s="120">
        <f>SVY!J312</f>
        <v>0</v>
      </c>
      <c r="N91" s="120">
        <f>SVY!K312</f>
        <v>0</v>
      </c>
      <c r="O91" s="120">
        <f>SVY!L312</f>
        <v>0</v>
      </c>
      <c r="P91" s="120">
        <f>SVY!M312</f>
        <v>0</v>
      </c>
      <c r="Q91" s="120">
        <f>SVY!N312</f>
        <v>0</v>
      </c>
      <c r="R91" s="120">
        <f>SVY!O312</f>
        <v>0</v>
      </c>
      <c r="S91" s="120">
        <f>SVY!P312</f>
        <v>0</v>
      </c>
      <c r="T91" s="120">
        <f>SVY!Q312</f>
        <v>0</v>
      </c>
      <c r="U91" s="120">
        <f>SVY!R312</f>
        <v>0</v>
      </c>
      <c r="V91" s="120">
        <f>SVY!S312</f>
        <v>0</v>
      </c>
      <c r="W91" s="120">
        <f>SVY!T312</f>
        <v>0</v>
      </c>
      <c r="X91" s="120">
        <f>SVY!U312</f>
        <v>0</v>
      </c>
      <c r="Y91" s="120">
        <f>SVY!V312</f>
        <v>0</v>
      </c>
      <c r="Z91" s="120">
        <f>SVY!W312</f>
        <v>0</v>
      </c>
    </row>
    <row r="92" spans="1:26" x14ac:dyDescent="0.35">
      <c r="A92" s="12" t="s">
        <v>244</v>
      </c>
      <c r="B92" s="13" t="s">
        <v>547</v>
      </c>
      <c r="C92" s="120">
        <f>SVY!D201</f>
        <v>0</v>
      </c>
      <c r="F92" s="13" t="s">
        <v>547</v>
      </c>
      <c r="G92" s="120">
        <f>SVY!D313</f>
        <v>0</v>
      </c>
      <c r="H92" s="120">
        <f>SVY!E313</f>
        <v>0</v>
      </c>
      <c r="I92" s="120">
        <f>SVY!F313</f>
        <v>0</v>
      </c>
      <c r="J92" s="120">
        <f>SVY!G313</f>
        <v>0</v>
      </c>
      <c r="K92" s="120">
        <f>SVY!H313</f>
        <v>0</v>
      </c>
      <c r="L92" s="120">
        <f>SVY!I313</f>
        <v>0</v>
      </c>
      <c r="M92" s="120">
        <f>SVY!J313</f>
        <v>0</v>
      </c>
      <c r="N92" s="120">
        <f>SVY!K313</f>
        <v>0</v>
      </c>
      <c r="O92" s="120">
        <f>SVY!L313</f>
        <v>0</v>
      </c>
      <c r="P92" s="120">
        <f>SVY!M313</f>
        <v>0</v>
      </c>
      <c r="Q92" s="120">
        <f>SVY!N313</f>
        <v>0</v>
      </c>
      <c r="R92" s="120">
        <f>SVY!O313</f>
        <v>0</v>
      </c>
      <c r="S92" s="120">
        <f>SVY!P313</f>
        <v>0</v>
      </c>
      <c r="T92" s="120">
        <f>SVY!Q313</f>
        <v>0</v>
      </c>
      <c r="U92" s="120">
        <f>SVY!R313</f>
        <v>0</v>
      </c>
      <c r="V92" s="120">
        <f>SVY!S313</f>
        <v>0</v>
      </c>
      <c r="W92" s="120">
        <f>SVY!T313</f>
        <v>0</v>
      </c>
      <c r="X92" s="120">
        <f>SVY!U313</f>
        <v>0</v>
      </c>
      <c r="Y92" s="120">
        <f>SVY!V313</f>
        <v>0</v>
      </c>
      <c r="Z92" s="120">
        <f>SVY!W313</f>
        <v>0</v>
      </c>
    </row>
    <row r="93" spans="1:26" x14ac:dyDescent="0.35">
      <c r="A93" s="12" t="s">
        <v>246</v>
      </c>
      <c r="B93" s="13" t="s">
        <v>548</v>
      </c>
      <c r="C93" s="120">
        <f>SVY!D202</f>
        <v>0</v>
      </c>
      <c r="F93" s="13" t="s">
        <v>548</v>
      </c>
      <c r="G93" s="120">
        <f>SVY!D314</f>
        <v>0</v>
      </c>
      <c r="H93" s="120">
        <f>SVY!E314</f>
        <v>0</v>
      </c>
      <c r="I93" s="120">
        <f>SVY!F314</f>
        <v>0</v>
      </c>
      <c r="J93" s="120">
        <f>SVY!G314</f>
        <v>0</v>
      </c>
      <c r="K93" s="120">
        <f>SVY!H314</f>
        <v>0</v>
      </c>
      <c r="L93" s="120">
        <f>SVY!I314</f>
        <v>0</v>
      </c>
      <c r="M93" s="120">
        <f>SVY!J314</f>
        <v>0</v>
      </c>
      <c r="N93" s="120">
        <f>SVY!K314</f>
        <v>0</v>
      </c>
      <c r="O93" s="120">
        <f>SVY!L314</f>
        <v>0</v>
      </c>
      <c r="P93" s="120">
        <f>SVY!M314</f>
        <v>0</v>
      </c>
      <c r="Q93" s="120">
        <f>SVY!N314</f>
        <v>0</v>
      </c>
      <c r="R93" s="120">
        <f>SVY!O314</f>
        <v>0</v>
      </c>
      <c r="S93" s="120">
        <f>SVY!P314</f>
        <v>0</v>
      </c>
      <c r="T93" s="120">
        <f>SVY!Q314</f>
        <v>0</v>
      </c>
      <c r="U93" s="120">
        <f>SVY!R314</f>
        <v>0</v>
      </c>
      <c r="V93" s="120">
        <f>SVY!S314</f>
        <v>0</v>
      </c>
      <c r="W93" s="120">
        <f>SVY!T314</f>
        <v>0</v>
      </c>
      <c r="X93" s="120">
        <f>SVY!U314</f>
        <v>0</v>
      </c>
      <c r="Y93" s="120">
        <f>SVY!V314</f>
        <v>0</v>
      </c>
      <c r="Z93" s="120">
        <f>SVY!W314</f>
        <v>0</v>
      </c>
    </row>
    <row r="94" spans="1:26" x14ac:dyDescent="0.35">
      <c r="A94" s="12" t="s">
        <v>248</v>
      </c>
      <c r="B94" s="13" t="s">
        <v>549</v>
      </c>
      <c r="C94" s="120">
        <f>SVY!D203</f>
        <v>0</v>
      </c>
      <c r="F94" s="13" t="s">
        <v>549</v>
      </c>
      <c r="G94" s="120">
        <f>SVY!D315</f>
        <v>0</v>
      </c>
      <c r="H94" s="120">
        <f>SVY!E315</f>
        <v>0</v>
      </c>
      <c r="I94" s="120">
        <f>SVY!F315</f>
        <v>0</v>
      </c>
      <c r="J94" s="120">
        <f>SVY!G315</f>
        <v>0</v>
      </c>
      <c r="K94" s="120">
        <f>SVY!H315</f>
        <v>0</v>
      </c>
      <c r="L94" s="120">
        <f>SVY!I315</f>
        <v>0</v>
      </c>
      <c r="M94" s="120">
        <f>SVY!J315</f>
        <v>0</v>
      </c>
      <c r="N94" s="120">
        <f>SVY!K315</f>
        <v>0</v>
      </c>
      <c r="O94" s="120">
        <f>SVY!L315</f>
        <v>0</v>
      </c>
      <c r="P94" s="120">
        <f>SVY!M315</f>
        <v>0</v>
      </c>
      <c r="Q94" s="120">
        <f>SVY!N315</f>
        <v>0</v>
      </c>
      <c r="R94" s="120">
        <f>SVY!O315</f>
        <v>0</v>
      </c>
      <c r="S94" s="120">
        <f>SVY!P315</f>
        <v>0</v>
      </c>
      <c r="T94" s="120">
        <f>SVY!Q315</f>
        <v>0</v>
      </c>
      <c r="U94" s="120">
        <f>SVY!R315</f>
        <v>0</v>
      </c>
      <c r="V94" s="120">
        <f>SVY!S315</f>
        <v>0</v>
      </c>
      <c r="W94" s="120">
        <f>SVY!T315</f>
        <v>0</v>
      </c>
      <c r="X94" s="120">
        <f>SVY!U315</f>
        <v>0</v>
      </c>
      <c r="Y94" s="120">
        <f>SVY!V315</f>
        <v>0</v>
      </c>
      <c r="Z94" s="120">
        <f>SVY!W315</f>
        <v>0</v>
      </c>
    </row>
    <row r="95" spans="1:26" x14ac:dyDescent="0.35">
      <c r="A95" s="12" t="s">
        <v>250</v>
      </c>
      <c r="B95" s="13" t="s">
        <v>550</v>
      </c>
      <c r="C95" s="120">
        <f>SVY!D204</f>
        <v>0</v>
      </c>
      <c r="F95" s="13" t="s">
        <v>550</v>
      </c>
      <c r="G95" s="120">
        <f>SVY!D316</f>
        <v>0</v>
      </c>
      <c r="H95" s="120">
        <f>SVY!E316</f>
        <v>0</v>
      </c>
      <c r="I95" s="120">
        <f>SVY!F316</f>
        <v>0</v>
      </c>
      <c r="J95" s="120">
        <f>SVY!G316</f>
        <v>0</v>
      </c>
      <c r="K95" s="120">
        <f>SVY!H316</f>
        <v>0</v>
      </c>
      <c r="L95" s="120">
        <f>SVY!I316</f>
        <v>0</v>
      </c>
      <c r="M95" s="120">
        <f>SVY!J316</f>
        <v>0</v>
      </c>
      <c r="N95" s="120">
        <f>SVY!K316</f>
        <v>0</v>
      </c>
      <c r="O95" s="120">
        <f>SVY!L316</f>
        <v>0</v>
      </c>
      <c r="P95" s="120">
        <f>SVY!M316</f>
        <v>0</v>
      </c>
      <c r="Q95" s="120">
        <f>SVY!N316</f>
        <v>0</v>
      </c>
      <c r="R95" s="120">
        <f>SVY!O316</f>
        <v>0</v>
      </c>
      <c r="S95" s="120">
        <f>SVY!P316</f>
        <v>0</v>
      </c>
      <c r="T95" s="120">
        <f>SVY!Q316</f>
        <v>0</v>
      </c>
      <c r="U95" s="120">
        <f>SVY!R316</f>
        <v>0</v>
      </c>
      <c r="V95" s="120">
        <f>SVY!S316</f>
        <v>0</v>
      </c>
      <c r="W95" s="120">
        <f>SVY!T316</f>
        <v>0</v>
      </c>
      <c r="X95" s="120">
        <f>SVY!U316</f>
        <v>0</v>
      </c>
      <c r="Y95" s="120">
        <f>SVY!V316</f>
        <v>0</v>
      </c>
      <c r="Z95" s="120">
        <f>SVY!W316</f>
        <v>0</v>
      </c>
    </row>
    <row r="96" spans="1:26" x14ac:dyDescent="0.35">
      <c r="A96" s="12" t="s">
        <v>252</v>
      </c>
      <c r="B96" s="13" t="s">
        <v>551</v>
      </c>
      <c r="C96" s="120">
        <f>SVY!D205</f>
        <v>0</v>
      </c>
      <c r="F96" s="13" t="s">
        <v>551</v>
      </c>
      <c r="G96" s="120">
        <f>SVY!D317</f>
        <v>0</v>
      </c>
      <c r="H96" s="120">
        <f>SVY!E317</f>
        <v>0</v>
      </c>
      <c r="I96" s="120">
        <f>SVY!F317</f>
        <v>0</v>
      </c>
      <c r="J96" s="120">
        <f>SVY!G317</f>
        <v>0</v>
      </c>
      <c r="K96" s="120">
        <f>SVY!H317</f>
        <v>0</v>
      </c>
      <c r="L96" s="120">
        <f>SVY!I317</f>
        <v>0</v>
      </c>
      <c r="M96" s="120">
        <f>SVY!J317</f>
        <v>0</v>
      </c>
      <c r="N96" s="120">
        <f>SVY!K317</f>
        <v>0</v>
      </c>
      <c r="O96" s="120">
        <f>SVY!L317</f>
        <v>0</v>
      </c>
      <c r="P96" s="120">
        <f>SVY!M317</f>
        <v>0</v>
      </c>
      <c r="Q96" s="120">
        <f>SVY!N317</f>
        <v>0</v>
      </c>
      <c r="R96" s="120">
        <f>SVY!O317</f>
        <v>0</v>
      </c>
      <c r="S96" s="120">
        <f>SVY!P317</f>
        <v>0</v>
      </c>
      <c r="T96" s="120">
        <f>SVY!Q317</f>
        <v>0</v>
      </c>
      <c r="U96" s="120">
        <f>SVY!R317</f>
        <v>0</v>
      </c>
      <c r="V96" s="120">
        <f>SVY!S317</f>
        <v>0</v>
      </c>
      <c r="W96" s="120">
        <f>SVY!T317</f>
        <v>0</v>
      </c>
      <c r="X96" s="120">
        <f>SVY!U317</f>
        <v>0</v>
      </c>
      <c r="Y96" s="120">
        <f>SVY!V317</f>
        <v>0</v>
      </c>
      <c r="Z96" s="120">
        <f>SVY!W317</f>
        <v>0</v>
      </c>
    </row>
    <row r="97" spans="1:26" x14ac:dyDescent="0.35">
      <c r="A97" s="12" t="s">
        <v>254</v>
      </c>
      <c r="B97" s="13" t="s">
        <v>510</v>
      </c>
      <c r="C97" s="120">
        <f>SVY!D206</f>
        <v>0</v>
      </c>
      <c r="F97" s="13" t="s">
        <v>510</v>
      </c>
      <c r="G97" s="120">
        <f>SVY!D318</f>
        <v>0</v>
      </c>
      <c r="H97" s="120">
        <f>SVY!E318</f>
        <v>0</v>
      </c>
      <c r="I97" s="120">
        <f>SVY!F318</f>
        <v>0</v>
      </c>
      <c r="J97" s="120">
        <f>SVY!G318</f>
        <v>0</v>
      </c>
      <c r="K97" s="120">
        <f>SVY!H318</f>
        <v>0</v>
      </c>
      <c r="L97" s="120">
        <f>SVY!I318</f>
        <v>0</v>
      </c>
      <c r="M97" s="120">
        <f>SVY!J318</f>
        <v>0</v>
      </c>
      <c r="N97" s="120">
        <f>SVY!K318</f>
        <v>0</v>
      </c>
      <c r="O97" s="120">
        <f>SVY!L318</f>
        <v>0</v>
      </c>
      <c r="P97" s="120">
        <f>SVY!M318</f>
        <v>0</v>
      </c>
      <c r="Q97" s="120">
        <f>SVY!N318</f>
        <v>0</v>
      </c>
      <c r="R97" s="120">
        <f>SVY!O318</f>
        <v>0</v>
      </c>
      <c r="S97" s="120">
        <f>SVY!P318</f>
        <v>0</v>
      </c>
      <c r="T97" s="120">
        <f>SVY!Q318</f>
        <v>0</v>
      </c>
      <c r="U97" s="120">
        <f>SVY!R318</f>
        <v>0</v>
      </c>
      <c r="V97" s="120">
        <f>SVY!S318</f>
        <v>0</v>
      </c>
      <c r="W97" s="120">
        <f>SVY!T318</f>
        <v>0</v>
      </c>
      <c r="X97" s="120">
        <f>SVY!U318</f>
        <v>0</v>
      </c>
      <c r="Y97" s="120">
        <f>SVY!V318</f>
        <v>0</v>
      </c>
      <c r="Z97" s="120">
        <f>SVY!W318</f>
        <v>0</v>
      </c>
    </row>
    <row r="98" spans="1:26" x14ac:dyDescent="0.35">
      <c r="A98" s="12" t="s">
        <v>256</v>
      </c>
      <c r="B98" s="13" t="s">
        <v>552</v>
      </c>
      <c r="C98" s="120">
        <f>SVY!D207</f>
        <v>0</v>
      </c>
      <c r="F98" s="13" t="s">
        <v>552</v>
      </c>
      <c r="G98" s="120">
        <f>SVY!D319</f>
        <v>0</v>
      </c>
      <c r="H98" s="120">
        <f>SVY!E319</f>
        <v>0</v>
      </c>
      <c r="I98" s="120">
        <f>SVY!F319</f>
        <v>0</v>
      </c>
      <c r="J98" s="120">
        <f>SVY!G319</f>
        <v>0</v>
      </c>
      <c r="K98" s="120">
        <f>SVY!H319</f>
        <v>0</v>
      </c>
      <c r="L98" s="120">
        <f>SVY!I319</f>
        <v>0</v>
      </c>
      <c r="M98" s="120">
        <f>SVY!J319</f>
        <v>0</v>
      </c>
      <c r="N98" s="120">
        <f>SVY!K319</f>
        <v>0</v>
      </c>
      <c r="O98" s="120">
        <f>SVY!L319</f>
        <v>0</v>
      </c>
      <c r="P98" s="120">
        <f>SVY!M319</f>
        <v>0</v>
      </c>
      <c r="Q98" s="120">
        <f>SVY!N319</f>
        <v>0</v>
      </c>
      <c r="R98" s="120">
        <f>SVY!O319</f>
        <v>0</v>
      </c>
      <c r="S98" s="120">
        <f>SVY!P319</f>
        <v>0</v>
      </c>
      <c r="T98" s="120">
        <f>SVY!Q319</f>
        <v>0</v>
      </c>
      <c r="U98" s="120">
        <f>SVY!R319</f>
        <v>0</v>
      </c>
      <c r="V98" s="120">
        <f>SVY!S319</f>
        <v>0</v>
      </c>
      <c r="W98" s="120">
        <f>SVY!T319</f>
        <v>0</v>
      </c>
      <c r="X98" s="120">
        <f>SVY!U319</f>
        <v>0</v>
      </c>
      <c r="Y98" s="120">
        <f>SVY!V319</f>
        <v>0</v>
      </c>
      <c r="Z98" s="120">
        <f>SVY!W319</f>
        <v>0</v>
      </c>
    </row>
    <row r="99" spans="1:26" x14ac:dyDescent="0.35">
      <c r="A99" s="12" t="s">
        <v>258</v>
      </c>
      <c r="B99" s="13" t="s">
        <v>553</v>
      </c>
      <c r="C99" s="120">
        <f>SVY!D208</f>
        <v>0</v>
      </c>
      <c r="F99" s="13" t="s">
        <v>553</v>
      </c>
      <c r="G99" s="120">
        <f>SVY!D320</f>
        <v>0</v>
      </c>
      <c r="H99" s="120">
        <f>SVY!E320</f>
        <v>0</v>
      </c>
      <c r="I99" s="120">
        <f>SVY!F320</f>
        <v>0</v>
      </c>
      <c r="J99" s="120">
        <f>SVY!G320</f>
        <v>0</v>
      </c>
      <c r="K99" s="120">
        <f>SVY!H320</f>
        <v>0</v>
      </c>
      <c r="L99" s="120">
        <f>SVY!I320</f>
        <v>0</v>
      </c>
      <c r="M99" s="120">
        <f>SVY!J320</f>
        <v>0</v>
      </c>
      <c r="N99" s="120">
        <f>SVY!K320</f>
        <v>0</v>
      </c>
      <c r="O99" s="120">
        <f>SVY!L320</f>
        <v>0</v>
      </c>
      <c r="P99" s="120">
        <f>SVY!M320</f>
        <v>0</v>
      </c>
      <c r="Q99" s="120">
        <f>SVY!N320</f>
        <v>0</v>
      </c>
      <c r="R99" s="120">
        <f>SVY!O320</f>
        <v>0</v>
      </c>
      <c r="S99" s="120">
        <f>SVY!P320</f>
        <v>0</v>
      </c>
      <c r="T99" s="120">
        <f>SVY!Q320</f>
        <v>0</v>
      </c>
      <c r="U99" s="120">
        <f>SVY!R320</f>
        <v>0</v>
      </c>
      <c r="V99" s="120">
        <f>SVY!S320</f>
        <v>0</v>
      </c>
      <c r="W99" s="120">
        <f>SVY!T320</f>
        <v>0</v>
      </c>
      <c r="X99" s="120">
        <f>SVY!U320</f>
        <v>0</v>
      </c>
      <c r="Y99" s="120">
        <f>SVY!V320</f>
        <v>0</v>
      </c>
      <c r="Z99" s="120">
        <f>SVY!W320</f>
        <v>0</v>
      </c>
    </row>
    <row r="100" spans="1:26" x14ac:dyDescent="0.35">
      <c r="A100" s="12" t="s">
        <v>260</v>
      </c>
      <c r="B100" s="13" t="s">
        <v>554</v>
      </c>
      <c r="C100" s="120">
        <f>SVY!D209</f>
        <v>0</v>
      </c>
      <c r="F100" s="13" t="s">
        <v>554</v>
      </c>
      <c r="G100" s="120">
        <f>SVY!D321</f>
        <v>0</v>
      </c>
      <c r="H100" s="120">
        <f>SVY!E321</f>
        <v>0</v>
      </c>
      <c r="I100" s="120">
        <f>SVY!F321</f>
        <v>0</v>
      </c>
      <c r="J100" s="120">
        <f>SVY!G321</f>
        <v>0</v>
      </c>
      <c r="K100" s="120">
        <f>SVY!H321</f>
        <v>0</v>
      </c>
      <c r="L100" s="120">
        <f>SVY!I321</f>
        <v>0</v>
      </c>
      <c r="M100" s="120">
        <f>SVY!J321</f>
        <v>0</v>
      </c>
      <c r="N100" s="120">
        <f>SVY!K321</f>
        <v>0</v>
      </c>
      <c r="O100" s="120">
        <f>SVY!L321</f>
        <v>0</v>
      </c>
      <c r="P100" s="120">
        <f>SVY!M321</f>
        <v>0</v>
      </c>
      <c r="Q100" s="120">
        <f>SVY!N321</f>
        <v>0</v>
      </c>
      <c r="R100" s="120">
        <f>SVY!O321</f>
        <v>0</v>
      </c>
      <c r="S100" s="120">
        <f>SVY!P321</f>
        <v>0</v>
      </c>
      <c r="T100" s="120">
        <f>SVY!Q321</f>
        <v>0</v>
      </c>
      <c r="U100" s="120">
        <f>SVY!R321</f>
        <v>0</v>
      </c>
      <c r="V100" s="120">
        <f>SVY!S321</f>
        <v>0</v>
      </c>
      <c r="W100" s="120">
        <f>SVY!T321</f>
        <v>0</v>
      </c>
      <c r="X100" s="120">
        <f>SVY!U321</f>
        <v>0</v>
      </c>
      <c r="Y100" s="120">
        <f>SVY!V321</f>
        <v>0</v>
      </c>
      <c r="Z100" s="120">
        <f>SVY!W321</f>
        <v>0</v>
      </c>
    </row>
    <row r="101" spans="1:26" x14ac:dyDescent="0.35">
      <c r="A101" s="12" t="s">
        <v>262</v>
      </c>
      <c r="B101" s="13" t="s">
        <v>555</v>
      </c>
      <c r="C101" s="120">
        <f>SVY!D210</f>
        <v>0</v>
      </c>
      <c r="F101" s="13" t="s">
        <v>555</v>
      </c>
      <c r="G101" s="120">
        <f>SVY!D322</f>
        <v>0</v>
      </c>
      <c r="H101" s="120">
        <f>SVY!E322</f>
        <v>0</v>
      </c>
      <c r="I101" s="120">
        <f>SVY!F322</f>
        <v>0</v>
      </c>
      <c r="J101" s="120">
        <f>SVY!G322</f>
        <v>0</v>
      </c>
      <c r="K101" s="120">
        <f>SVY!H322</f>
        <v>0</v>
      </c>
      <c r="L101" s="120">
        <f>SVY!I322</f>
        <v>0</v>
      </c>
      <c r="M101" s="120">
        <f>SVY!J322</f>
        <v>0</v>
      </c>
      <c r="N101" s="120">
        <f>SVY!K322</f>
        <v>0</v>
      </c>
      <c r="O101" s="120">
        <f>SVY!L322</f>
        <v>0</v>
      </c>
      <c r="P101" s="120">
        <f>SVY!M322</f>
        <v>0</v>
      </c>
      <c r="Q101" s="120">
        <f>SVY!N322</f>
        <v>0</v>
      </c>
      <c r="R101" s="120">
        <f>SVY!O322</f>
        <v>0</v>
      </c>
      <c r="S101" s="120">
        <f>SVY!P322</f>
        <v>0</v>
      </c>
      <c r="T101" s="120">
        <f>SVY!Q322</f>
        <v>0</v>
      </c>
      <c r="U101" s="120">
        <f>SVY!R322</f>
        <v>0</v>
      </c>
      <c r="V101" s="120">
        <f>SVY!S322</f>
        <v>0</v>
      </c>
      <c r="W101" s="120">
        <f>SVY!T322</f>
        <v>0</v>
      </c>
      <c r="X101" s="120">
        <f>SVY!U322</f>
        <v>0</v>
      </c>
      <c r="Y101" s="120">
        <f>SVY!V322</f>
        <v>0</v>
      </c>
      <c r="Z101" s="120">
        <f>SVY!W322</f>
        <v>0</v>
      </c>
    </row>
    <row r="102" spans="1:26" x14ac:dyDescent="0.35">
      <c r="A102" s="12" t="s">
        <v>264</v>
      </c>
      <c r="B102" s="13" t="s">
        <v>556</v>
      </c>
      <c r="C102" s="120">
        <f>SVY!D211</f>
        <v>0</v>
      </c>
      <c r="F102" s="13" t="s">
        <v>556</v>
      </c>
      <c r="G102" s="120">
        <f>SVY!D323</f>
        <v>0</v>
      </c>
      <c r="H102" s="120">
        <f>SVY!E323</f>
        <v>0</v>
      </c>
      <c r="I102" s="120">
        <f>SVY!F323</f>
        <v>0</v>
      </c>
      <c r="J102" s="120">
        <f>SVY!G323</f>
        <v>0</v>
      </c>
      <c r="K102" s="120">
        <f>SVY!H323</f>
        <v>0</v>
      </c>
      <c r="L102" s="120">
        <f>SVY!I323</f>
        <v>0</v>
      </c>
      <c r="M102" s="120">
        <f>SVY!J323</f>
        <v>0</v>
      </c>
      <c r="N102" s="120">
        <f>SVY!K323</f>
        <v>0</v>
      </c>
      <c r="O102" s="120">
        <f>SVY!L323</f>
        <v>0</v>
      </c>
      <c r="P102" s="120">
        <f>SVY!M323</f>
        <v>0</v>
      </c>
      <c r="Q102" s="120">
        <f>SVY!N323</f>
        <v>0</v>
      </c>
      <c r="R102" s="120">
        <f>SVY!O323</f>
        <v>0</v>
      </c>
      <c r="S102" s="120">
        <f>SVY!P323</f>
        <v>0</v>
      </c>
      <c r="T102" s="120">
        <f>SVY!Q323</f>
        <v>0</v>
      </c>
      <c r="U102" s="120">
        <f>SVY!R323</f>
        <v>0</v>
      </c>
      <c r="V102" s="120">
        <f>SVY!S323</f>
        <v>0</v>
      </c>
      <c r="W102" s="120">
        <f>SVY!T323</f>
        <v>0</v>
      </c>
      <c r="X102" s="120">
        <f>SVY!U323</f>
        <v>0</v>
      </c>
      <c r="Y102" s="120">
        <f>SVY!V323</f>
        <v>0</v>
      </c>
      <c r="Z102" s="120">
        <f>SVY!W323</f>
        <v>0</v>
      </c>
    </row>
    <row r="103" spans="1:26" x14ac:dyDescent="0.35">
      <c r="A103" s="12" t="s">
        <v>266</v>
      </c>
      <c r="B103" s="13" t="s">
        <v>511</v>
      </c>
      <c r="C103" s="120">
        <f>SVY!D212</f>
        <v>0</v>
      </c>
      <c r="F103" s="13" t="s">
        <v>511</v>
      </c>
      <c r="G103" s="120">
        <f>SVY!D324</f>
        <v>0</v>
      </c>
      <c r="H103" s="120">
        <f>SVY!E324</f>
        <v>0</v>
      </c>
      <c r="I103" s="120">
        <f>SVY!F324</f>
        <v>0</v>
      </c>
      <c r="J103" s="120">
        <f>SVY!G324</f>
        <v>0</v>
      </c>
      <c r="K103" s="120">
        <f>SVY!H324</f>
        <v>0</v>
      </c>
      <c r="L103" s="120">
        <f>SVY!I324</f>
        <v>0</v>
      </c>
      <c r="M103" s="120">
        <f>SVY!J324</f>
        <v>0</v>
      </c>
      <c r="N103" s="120">
        <f>SVY!K324</f>
        <v>0</v>
      </c>
      <c r="O103" s="120">
        <f>SVY!L324</f>
        <v>0</v>
      </c>
      <c r="P103" s="120">
        <f>SVY!M324</f>
        <v>0</v>
      </c>
      <c r="Q103" s="120">
        <f>SVY!N324</f>
        <v>0</v>
      </c>
      <c r="R103" s="120">
        <f>SVY!O324</f>
        <v>0</v>
      </c>
      <c r="S103" s="120">
        <f>SVY!P324</f>
        <v>0</v>
      </c>
      <c r="T103" s="120">
        <f>SVY!Q324</f>
        <v>0</v>
      </c>
      <c r="U103" s="120">
        <f>SVY!R324</f>
        <v>0</v>
      </c>
      <c r="V103" s="120">
        <f>SVY!S324</f>
        <v>0</v>
      </c>
      <c r="W103" s="120">
        <f>SVY!T324</f>
        <v>0</v>
      </c>
      <c r="X103" s="120">
        <f>SVY!U324</f>
        <v>0</v>
      </c>
      <c r="Y103" s="120">
        <f>SVY!V324</f>
        <v>0</v>
      </c>
      <c r="Z103" s="120">
        <f>SVY!W324</f>
        <v>0</v>
      </c>
    </row>
    <row r="104" spans="1:26" x14ac:dyDescent="0.35">
      <c r="A104" s="12" t="s">
        <v>268</v>
      </c>
      <c r="B104" s="13" t="s">
        <v>512</v>
      </c>
      <c r="C104" s="120">
        <f>SVY!D213</f>
        <v>0</v>
      </c>
      <c r="F104" s="13" t="s">
        <v>512</v>
      </c>
      <c r="G104" s="120">
        <f>SVY!D325</f>
        <v>0</v>
      </c>
      <c r="H104" s="120">
        <f>SVY!E325</f>
        <v>0</v>
      </c>
      <c r="I104" s="120">
        <f>SVY!F325</f>
        <v>0</v>
      </c>
      <c r="J104" s="120">
        <f>SVY!G325</f>
        <v>0</v>
      </c>
      <c r="K104" s="120">
        <f>SVY!H325</f>
        <v>0</v>
      </c>
      <c r="L104" s="120">
        <f>SVY!I325</f>
        <v>0</v>
      </c>
      <c r="M104" s="120">
        <f>SVY!J325</f>
        <v>0</v>
      </c>
      <c r="N104" s="120">
        <f>SVY!K325</f>
        <v>0</v>
      </c>
      <c r="O104" s="120">
        <f>SVY!L325</f>
        <v>0</v>
      </c>
      <c r="P104" s="120">
        <f>SVY!M325</f>
        <v>0</v>
      </c>
      <c r="Q104" s="120">
        <f>SVY!N325</f>
        <v>0</v>
      </c>
      <c r="R104" s="120">
        <f>SVY!O325</f>
        <v>0</v>
      </c>
      <c r="S104" s="120">
        <f>SVY!P325</f>
        <v>0</v>
      </c>
      <c r="T104" s="120">
        <f>SVY!Q325</f>
        <v>0</v>
      </c>
      <c r="U104" s="120">
        <f>SVY!R325</f>
        <v>0</v>
      </c>
      <c r="V104" s="120">
        <f>SVY!S325</f>
        <v>0</v>
      </c>
      <c r="W104" s="120">
        <f>SVY!T325</f>
        <v>0</v>
      </c>
      <c r="X104" s="120">
        <f>SVY!U325</f>
        <v>0</v>
      </c>
      <c r="Y104" s="120">
        <f>SVY!V325</f>
        <v>0</v>
      </c>
      <c r="Z104" s="120">
        <f>SVY!W325</f>
        <v>0</v>
      </c>
    </row>
    <row r="105" spans="1:26" x14ac:dyDescent="0.35">
      <c r="A105" s="12" t="s">
        <v>270</v>
      </c>
      <c r="B105" s="13" t="s">
        <v>513</v>
      </c>
      <c r="C105" s="120">
        <f>SVY!D214</f>
        <v>0</v>
      </c>
      <c r="F105" s="13" t="s">
        <v>513</v>
      </c>
      <c r="G105" s="120">
        <f>SVY!D326</f>
        <v>0</v>
      </c>
      <c r="H105" s="120">
        <f>SVY!E326</f>
        <v>0</v>
      </c>
      <c r="I105" s="120">
        <f>SVY!F326</f>
        <v>0</v>
      </c>
      <c r="J105" s="120">
        <f>SVY!G326</f>
        <v>0</v>
      </c>
      <c r="K105" s="120">
        <f>SVY!H326</f>
        <v>0</v>
      </c>
      <c r="L105" s="120">
        <f>SVY!I326</f>
        <v>0</v>
      </c>
      <c r="M105" s="120">
        <f>SVY!J326</f>
        <v>0</v>
      </c>
      <c r="N105" s="120">
        <f>SVY!K326</f>
        <v>0</v>
      </c>
      <c r="O105" s="120">
        <f>SVY!L326</f>
        <v>0</v>
      </c>
      <c r="P105" s="120">
        <f>SVY!M326</f>
        <v>0</v>
      </c>
      <c r="Q105" s="120">
        <f>SVY!N326</f>
        <v>0</v>
      </c>
      <c r="R105" s="120">
        <f>SVY!O326</f>
        <v>0</v>
      </c>
      <c r="S105" s="120">
        <f>SVY!P326</f>
        <v>0</v>
      </c>
      <c r="T105" s="120">
        <f>SVY!Q326</f>
        <v>0</v>
      </c>
      <c r="U105" s="120">
        <f>SVY!R326</f>
        <v>0</v>
      </c>
      <c r="V105" s="120">
        <f>SVY!S326</f>
        <v>0</v>
      </c>
      <c r="W105" s="120">
        <f>SVY!T326</f>
        <v>0</v>
      </c>
      <c r="X105" s="120">
        <f>SVY!U326</f>
        <v>0</v>
      </c>
      <c r="Y105" s="120">
        <f>SVY!V326</f>
        <v>0</v>
      </c>
      <c r="Z105" s="120">
        <f>SVY!W326</f>
        <v>0</v>
      </c>
    </row>
    <row r="106" spans="1:26" x14ac:dyDescent="0.35">
      <c r="A106" s="12" t="s">
        <v>272</v>
      </c>
      <c r="B106" s="13" t="s">
        <v>557</v>
      </c>
      <c r="C106" s="120">
        <f>SVY!D215</f>
        <v>0</v>
      </c>
      <c r="F106" s="13" t="s">
        <v>557</v>
      </c>
      <c r="G106" s="120">
        <f>SVY!D327</f>
        <v>0</v>
      </c>
      <c r="H106" s="120">
        <f>SVY!E327</f>
        <v>0</v>
      </c>
      <c r="I106" s="120">
        <f>SVY!F327</f>
        <v>0</v>
      </c>
      <c r="J106" s="120">
        <f>SVY!G327</f>
        <v>0</v>
      </c>
      <c r="K106" s="120">
        <f>SVY!H327</f>
        <v>0</v>
      </c>
      <c r="L106" s="120">
        <f>SVY!I327</f>
        <v>0</v>
      </c>
      <c r="M106" s="120">
        <f>SVY!J327</f>
        <v>0</v>
      </c>
      <c r="N106" s="120">
        <f>SVY!K327</f>
        <v>0</v>
      </c>
      <c r="O106" s="120">
        <f>SVY!L327</f>
        <v>0</v>
      </c>
      <c r="P106" s="120">
        <f>SVY!M327</f>
        <v>0</v>
      </c>
      <c r="Q106" s="120">
        <f>SVY!N327</f>
        <v>0</v>
      </c>
      <c r="R106" s="120">
        <f>SVY!O327</f>
        <v>0</v>
      </c>
      <c r="S106" s="120">
        <f>SVY!P327</f>
        <v>0</v>
      </c>
      <c r="T106" s="120">
        <f>SVY!Q327</f>
        <v>0</v>
      </c>
      <c r="U106" s="120">
        <f>SVY!R327</f>
        <v>0</v>
      </c>
      <c r="V106" s="120">
        <f>SVY!S327</f>
        <v>0</v>
      </c>
      <c r="W106" s="120">
        <f>SVY!T327</f>
        <v>0</v>
      </c>
      <c r="X106" s="120">
        <f>SVY!U327</f>
        <v>0</v>
      </c>
      <c r="Y106" s="120">
        <f>SVY!V327</f>
        <v>0</v>
      </c>
      <c r="Z106" s="120">
        <f>SVY!W327</f>
        <v>0</v>
      </c>
    </row>
    <row r="107" spans="1:26" x14ac:dyDescent="0.35">
      <c r="A107" s="12" t="s">
        <v>274</v>
      </c>
      <c r="B107" s="13" t="s">
        <v>558</v>
      </c>
      <c r="C107" s="120">
        <f>SVY!D216</f>
        <v>0</v>
      </c>
      <c r="F107" s="13" t="s">
        <v>558</v>
      </c>
      <c r="G107" s="120">
        <f>SVY!D328</f>
        <v>0</v>
      </c>
      <c r="H107" s="120">
        <f>SVY!E328</f>
        <v>0</v>
      </c>
      <c r="I107" s="120">
        <f>SVY!F328</f>
        <v>0</v>
      </c>
      <c r="J107" s="120">
        <f>SVY!G328</f>
        <v>0</v>
      </c>
      <c r="K107" s="120">
        <f>SVY!H328</f>
        <v>0</v>
      </c>
      <c r="L107" s="120">
        <f>SVY!I328</f>
        <v>0</v>
      </c>
      <c r="M107" s="120">
        <f>SVY!J328</f>
        <v>0</v>
      </c>
      <c r="N107" s="120">
        <f>SVY!K328</f>
        <v>0</v>
      </c>
      <c r="O107" s="120">
        <f>SVY!L328</f>
        <v>0</v>
      </c>
      <c r="P107" s="120">
        <f>SVY!M328</f>
        <v>0</v>
      </c>
      <c r="Q107" s="120">
        <f>SVY!N328</f>
        <v>0</v>
      </c>
      <c r="R107" s="120">
        <f>SVY!O328</f>
        <v>0</v>
      </c>
      <c r="S107" s="120">
        <f>SVY!P328</f>
        <v>0</v>
      </c>
      <c r="T107" s="120">
        <f>SVY!Q328</f>
        <v>0</v>
      </c>
      <c r="U107" s="120">
        <f>SVY!R328</f>
        <v>0</v>
      </c>
      <c r="V107" s="120">
        <f>SVY!S328</f>
        <v>0</v>
      </c>
      <c r="W107" s="120">
        <f>SVY!T328</f>
        <v>0</v>
      </c>
      <c r="X107" s="120">
        <f>SVY!U328</f>
        <v>0</v>
      </c>
      <c r="Y107" s="120">
        <f>SVY!V328</f>
        <v>0</v>
      </c>
      <c r="Z107" s="120">
        <f>SVY!W328</f>
        <v>0</v>
      </c>
    </row>
    <row r="108" spans="1:26" x14ac:dyDescent="0.35">
      <c r="A108" s="12" t="s">
        <v>276</v>
      </c>
      <c r="B108" s="13" t="s">
        <v>559</v>
      </c>
      <c r="C108" s="120">
        <f>SVY!D217</f>
        <v>0</v>
      </c>
      <c r="F108" s="13" t="s">
        <v>559</v>
      </c>
      <c r="G108" s="120">
        <f>SVY!D329</f>
        <v>0</v>
      </c>
      <c r="H108" s="120">
        <f>SVY!E329</f>
        <v>0</v>
      </c>
      <c r="I108" s="120">
        <f>SVY!F329</f>
        <v>0</v>
      </c>
      <c r="J108" s="120">
        <f>SVY!G329</f>
        <v>0</v>
      </c>
      <c r="K108" s="120">
        <f>SVY!H329</f>
        <v>0</v>
      </c>
      <c r="L108" s="120">
        <f>SVY!I329</f>
        <v>0</v>
      </c>
      <c r="M108" s="120">
        <f>SVY!J329</f>
        <v>0</v>
      </c>
      <c r="N108" s="120">
        <f>SVY!K329</f>
        <v>0</v>
      </c>
      <c r="O108" s="120">
        <f>SVY!L329</f>
        <v>0</v>
      </c>
      <c r="P108" s="120">
        <f>SVY!M329</f>
        <v>0</v>
      </c>
      <c r="Q108" s="120">
        <f>SVY!N329</f>
        <v>0</v>
      </c>
      <c r="R108" s="120">
        <f>SVY!O329</f>
        <v>0</v>
      </c>
      <c r="S108" s="120">
        <f>SVY!P329</f>
        <v>0</v>
      </c>
      <c r="T108" s="120">
        <f>SVY!Q329</f>
        <v>0</v>
      </c>
      <c r="U108" s="120">
        <f>SVY!R329</f>
        <v>0</v>
      </c>
      <c r="V108" s="120">
        <f>SVY!S329</f>
        <v>0</v>
      </c>
      <c r="W108" s="120">
        <f>SVY!T329</f>
        <v>0</v>
      </c>
      <c r="X108" s="120">
        <f>SVY!U329</f>
        <v>0</v>
      </c>
      <c r="Y108" s="120">
        <f>SVY!V329</f>
        <v>0</v>
      </c>
      <c r="Z108" s="120">
        <f>SVY!W329</f>
        <v>0</v>
      </c>
    </row>
    <row r="109" spans="1:26" x14ac:dyDescent="0.35">
      <c r="A109" s="12" t="s">
        <v>278</v>
      </c>
      <c r="B109" s="13" t="s">
        <v>514</v>
      </c>
      <c r="C109" s="120">
        <f>SVY!D218</f>
        <v>0</v>
      </c>
      <c r="F109" s="13" t="s">
        <v>514</v>
      </c>
      <c r="G109" s="120">
        <f>SVY!D330</f>
        <v>0</v>
      </c>
      <c r="H109" s="120">
        <f>SVY!E330</f>
        <v>0</v>
      </c>
      <c r="I109" s="120">
        <f>SVY!F330</f>
        <v>0</v>
      </c>
      <c r="J109" s="120">
        <f>SVY!G330</f>
        <v>0</v>
      </c>
      <c r="K109" s="120">
        <f>SVY!H330</f>
        <v>0</v>
      </c>
      <c r="L109" s="120">
        <f>SVY!I330</f>
        <v>0</v>
      </c>
      <c r="M109" s="120">
        <f>SVY!J330</f>
        <v>0</v>
      </c>
      <c r="N109" s="120">
        <f>SVY!K330</f>
        <v>0</v>
      </c>
      <c r="O109" s="120">
        <f>SVY!L330</f>
        <v>0</v>
      </c>
      <c r="P109" s="120">
        <f>SVY!M330</f>
        <v>0</v>
      </c>
      <c r="Q109" s="120">
        <f>SVY!N330</f>
        <v>0</v>
      </c>
      <c r="R109" s="120">
        <f>SVY!O330</f>
        <v>0</v>
      </c>
      <c r="S109" s="120">
        <f>SVY!P330</f>
        <v>0</v>
      </c>
      <c r="T109" s="120">
        <f>SVY!Q330</f>
        <v>0</v>
      </c>
      <c r="U109" s="120">
        <f>SVY!R330</f>
        <v>0</v>
      </c>
      <c r="V109" s="120">
        <f>SVY!S330</f>
        <v>0</v>
      </c>
      <c r="W109" s="120">
        <f>SVY!T330</f>
        <v>0</v>
      </c>
      <c r="X109" s="120">
        <f>SVY!U330</f>
        <v>0</v>
      </c>
      <c r="Y109" s="120">
        <f>SVY!V330</f>
        <v>0</v>
      </c>
      <c r="Z109" s="120">
        <f>SVY!W330</f>
        <v>0</v>
      </c>
    </row>
    <row r="110" spans="1:26" x14ac:dyDescent="0.35">
      <c r="A110" s="12" t="s">
        <v>280</v>
      </c>
      <c r="B110" s="13" t="s">
        <v>560</v>
      </c>
      <c r="C110" s="120">
        <f>SVY!D219</f>
        <v>0</v>
      </c>
      <c r="F110" s="13" t="s">
        <v>560</v>
      </c>
      <c r="G110" s="120">
        <f>SVY!D331</f>
        <v>0</v>
      </c>
      <c r="H110" s="120">
        <f>SVY!E331</f>
        <v>0</v>
      </c>
      <c r="I110" s="120">
        <f>SVY!F331</f>
        <v>0</v>
      </c>
      <c r="J110" s="120">
        <f>SVY!G331</f>
        <v>0</v>
      </c>
      <c r="K110" s="120">
        <f>SVY!H331</f>
        <v>0</v>
      </c>
      <c r="L110" s="120">
        <f>SVY!I331</f>
        <v>0</v>
      </c>
      <c r="M110" s="120">
        <f>SVY!J331</f>
        <v>0</v>
      </c>
      <c r="N110" s="120">
        <f>SVY!K331</f>
        <v>0</v>
      </c>
      <c r="O110" s="120">
        <f>SVY!L331</f>
        <v>0</v>
      </c>
      <c r="P110" s="120">
        <f>SVY!M331</f>
        <v>0</v>
      </c>
      <c r="Q110" s="120">
        <f>SVY!N331</f>
        <v>0</v>
      </c>
      <c r="R110" s="120">
        <f>SVY!O331</f>
        <v>0</v>
      </c>
      <c r="S110" s="120">
        <f>SVY!P331</f>
        <v>0</v>
      </c>
      <c r="T110" s="120">
        <f>SVY!Q331</f>
        <v>0</v>
      </c>
      <c r="U110" s="120">
        <f>SVY!R331</f>
        <v>0</v>
      </c>
      <c r="V110" s="120">
        <f>SVY!S331</f>
        <v>0</v>
      </c>
      <c r="W110" s="120">
        <f>SVY!T331</f>
        <v>0</v>
      </c>
      <c r="X110" s="120">
        <f>SVY!U331</f>
        <v>0</v>
      </c>
      <c r="Y110" s="120">
        <f>SVY!V331</f>
        <v>0</v>
      </c>
      <c r="Z110" s="120">
        <f>SVY!W331</f>
        <v>0</v>
      </c>
    </row>
    <row r="111" spans="1:26" x14ac:dyDescent="0.35">
      <c r="A111" s="12" t="s">
        <v>282</v>
      </c>
      <c r="B111" s="13" t="s">
        <v>561</v>
      </c>
      <c r="C111" s="120">
        <f>SVY!D220</f>
        <v>0</v>
      </c>
      <c r="F111" s="13" t="s">
        <v>561</v>
      </c>
      <c r="G111" s="120">
        <f>SVY!D332</f>
        <v>0</v>
      </c>
      <c r="H111" s="120">
        <f>SVY!E332</f>
        <v>0</v>
      </c>
      <c r="I111" s="120">
        <f>SVY!F332</f>
        <v>0</v>
      </c>
      <c r="J111" s="120">
        <f>SVY!G332</f>
        <v>0</v>
      </c>
      <c r="K111" s="120">
        <f>SVY!H332</f>
        <v>0</v>
      </c>
      <c r="L111" s="120">
        <f>SVY!I332</f>
        <v>0</v>
      </c>
      <c r="M111" s="120">
        <f>SVY!J332</f>
        <v>0</v>
      </c>
      <c r="N111" s="120">
        <f>SVY!K332</f>
        <v>0</v>
      </c>
      <c r="O111" s="120">
        <f>SVY!L332</f>
        <v>0</v>
      </c>
      <c r="P111" s="120">
        <f>SVY!M332</f>
        <v>0</v>
      </c>
      <c r="Q111" s="120">
        <f>SVY!N332</f>
        <v>0</v>
      </c>
      <c r="R111" s="120">
        <f>SVY!O332</f>
        <v>0</v>
      </c>
      <c r="S111" s="120">
        <f>SVY!P332</f>
        <v>0</v>
      </c>
      <c r="T111" s="120">
        <f>SVY!Q332</f>
        <v>0</v>
      </c>
      <c r="U111" s="120">
        <f>SVY!R332</f>
        <v>0</v>
      </c>
      <c r="V111" s="120">
        <f>SVY!S332</f>
        <v>0</v>
      </c>
      <c r="W111" s="120">
        <f>SVY!T332</f>
        <v>0</v>
      </c>
      <c r="X111" s="120">
        <f>SVY!U332</f>
        <v>0</v>
      </c>
      <c r="Y111" s="120">
        <f>SVY!V332</f>
        <v>0</v>
      </c>
      <c r="Z111" s="120">
        <f>SVY!W332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D787-F43E-4CF6-B617-3549240E1753}">
  <sheetPr>
    <tabColor theme="8" tint="-0.499984740745262"/>
  </sheetPr>
  <dimension ref="A1:V111"/>
  <sheetViews>
    <sheetView showZero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:V8"/>
    </sheetView>
  </sheetViews>
  <sheetFormatPr defaultRowHeight="14.5" x14ac:dyDescent="0.35"/>
  <sheetData>
    <row r="1" spans="1:22" ht="18.5" x14ac:dyDescent="0.45">
      <c r="A1" s="10" t="s">
        <v>602</v>
      </c>
    </row>
    <row r="4" spans="1:22" x14ac:dyDescent="0.35">
      <c r="A4" s="11" t="s">
        <v>603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22" x14ac:dyDescent="0.35">
      <c r="A5" s="12" t="s">
        <v>604</v>
      </c>
      <c r="C5" s="12" t="s">
        <v>31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22" x14ac:dyDescent="0.35">
      <c r="C6" s="12" t="s">
        <v>284</v>
      </c>
      <c r="D6" s="12" t="s">
        <v>286</v>
      </c>
      <c r="E6" s="12" t="s">
        <v>288</v>
      </c>
      <c r="F6" s="12" t="s">
        <v>290</v>
      </c>
      <c r="G6" s="12" t="s">
        <v>292</v>
      </c>
      <c r="H6" s="12" t="s">
        <v>294</v>
      </c>
      <c r="I6" s="12" t="s">
        <v>296</v>
      </c>
      <c r="J6" s="12" t="s">
        <v>298</v>
      </c>
      <c r="K6" s="12" t="s">
        <v>300</v>
      </c>
      <c r="L6" s="12" t="s">
        <v>302</v>
      </c>
      <c r="M6" s="12" t="s">
        <v>304</v>
      </c>
      <c r="N6" s="12" t="s">
        <v>306</v>
      </c>
      <c r="O6" s="12" t="s">
        <v>308</v>
      </c>
      <c r="P6" s="12" t="s">
        <v>310</v>
      </c>
      <c r="Q6" s="12" t="s">
        <v>312</v>
      </c>
      <c r="R6" s="12" t="s">
        <v>317</v>
      </c>
      <c r="S6" s="12" t="s">
        <v>318</v>
      </c>
      <c r="T6" s="12" t="s">
        <v>319</v>
      </c>
      <c r="U6" s="12" t="s">
        <v>320</v>
      </c>
      <c r="V6" s="12" t="s">
        <v>321</v>
      </c>
    </row>
    <row r="7" spans="1:22" x14ac:dyDescent="0.35">
      <c r="B7" s="13"/>
      <c r="C7" s="13" t="s">
        <v>283</v>
      </c>
      <c r="D7" s="13" t="s">
        <v>285</v>
      </c>
      <c r="E7" s="13" t="s">
        <v>287</v>
      </c>
      <c r="F7" s="13" t="s">
        <v>289</v>
      </c>
      <c r="G7" s="13" t="s">
        <v>291</v>
      </c>
      <c r="H7" s="13" t="s">
        <v>293</v>
      </c>
      <c r="I7" s="13" t="s">
        <v>295</v>
      </c>
      <c r="J7" s="13" t="s">
        <v>297</v>
      </c>
      <c r="K7" s="13" t="s">
        <v>299</v>
      </c>
      <c r="L7" s="13" t="s">
        <v>301</v>
      </c>
      <c r="M7" s="13" t="s">
        <v>303</v>
      </c>
      <c r="N7" s="13" t="s">
        <v>305</v>
      </c>
      <c r="O7" s="13" t="s">
        <v>307</v>
      </c>
      <c r="P7" s="13" t="s">
        <v>309</v>
      </c>
      <c r="Q7" s="13" t="s">
        <v>311</v>
      </c>
      <c r="R7" s="13" t="s">
        <v>322</v>
      </c>
      <c r="S7" s="13" t="s">
        <v>323</v>
      </c>
      <c r="T7" s="13" t="s">
        <v>324</v>
      </c>
      <c r="U7" s="13" t="s">
        <v>325</v>
      </c>
      <c r="V7" s="13" t="s">
        <v>326</v>
      </c>
    </row>
    <row r="8" spans="1:22" x14ac:dyDescent="0.35">
      <c r="A8" s="12" t="s">
        <v>9</v>
      </c>
      <c r="B8" s="13" t="s">
        <v>8</v>
      </c>
      <c r="C8" s="120">
        <f>SVY!D339</f>
        <v>7.7741862809004247E-2</v>
      </c>
      <c r="D8" s="120">
        <f>SVY!E339</f>
        <v>0.12811140791108031</v>
      </c>
      <c r="E8" s="120">
        <f>SVY!F339</f>
        <v>0.21020467934257911</v>
      </c>
      <c r="F8" s="120">
        <f>SVY!G339</f>
        <v>0.22813236276241416</v>
      </c>
      <c r="G8" s="120">
        <f>SVY!H339</f>
        <v>0.20098425772546444</v>
      </c>
      <c r="H8" s="120">
        <f>SVY!I339</f>
        <v>2.1867699028813056E-3</v>
      </c>
      <c r="I8" s="120">
        <f>SVY!J339</f>
        <v>0</v>
      </c>
      <c r="J8" s="120">
        <f>SVY!K339</f>
        <v>6.7208422143492106E-4</v>
      </c>
      <c r="K8" s="120">
        <f>SVY!L339</f>
        <v>2.7781462995637883E-3</v>
      </c>
      <c r="L8" s="120">
        <f>SVY!M339</f>
        <v>2.9290280079663088E-3</v>
      </c>
      <c r="M8" s="120">
        <f>SVY!N339</f>
        <v>2.9087221468810215E-3</v>
      </c>
      <c r="N8" s="120">
        <f>SVY!O339</f>
        <v>1.0597360869830741E-2</v>
      </c>
      <c r="O8" s="120">
        <f>SVY!P339</f>
        <v>6.6770081878234563E-3</v>
      </c>
      <c r="P8" s="120">
        <f>SVY!Q339</f>
        <v>1.6124982678799381E-2</v>
      </c>
      <c r="Q8" s="120">
        <f>SVY!R339</f>
        <v>6.5660333490200035E-2</v>
      </c>
      <c r="R8" s="120">
        <f>SVY!S339</f>
        <v>4.0467995012642336E-4</v>
      </c>
      <c r="S8" s="120">
        <f>SVY!T339</f>
        <v>1.7084320108343768E-3</v>
      </c>
      <c r="T8" s="120">
        <f>SVY!U339</f>
        <v>4.9244215316040837E-3</v>
      </c>
      <c r="U8" s="120">
        <f>SVY!V339</f>
        <v>1.3480335116999774E-2</v>
      </c>
      <c r="V8" s="120">
        <f>SVY!W339</f>
        <v>2.377312503451201E-2</v>
      </c>
    </row>
    <row r="9" spans="1:22" x14ac:dyDescent="0.35">
      <c r="A9" s="12" t="s">
        <v>13</v>
      </c>
      <c r="B9" s="13" t="s">
        <v>12</v>
      </c>
      <c r="C9" s="120">
        <f>SVY!D340</f>
        <v>0.17060048132170319</v>
      </c>
      <c r="D9" s="120">
        <f>SVY!E340</f>
        <v>0.217545722798374</v>
      </c>
      <c r="E9" s="120">
        <f>SVY!F340</f>
        <v>0.22751140128172537</v>
      </c>
      <c r="F9" s="120">
        <f>SVY!G340</f>
        <v>0.20681814511010951</v>
      </c>
      <c r="G9" s="120">
        <f>SVY!H340</f>
        <v>9.180382228511394E-2</v>
      </c>
      <c r="H9" s="120">
        <f>SVY!I340</f>
        <v>4.9287001384219927E-4</v>
      </c>
      <c r="I9" s="120">
        <f>SVY!J340</f>
        <v>1.5037411234612713E-4</v>
      </c>
      <c r="J9" s="120">
        <f>SVY!K340</f>
        <v>1.1701525666013937E-3</v>
      </c>
      <c r="K9" s="120">
        <f>SVY!L340</f>
        <v>3.5218527296486169E-3</v>
      </c>
      <c r="L9" s="120">
        <f>SVY!M340</f>
        <v>7.8386018548795983E-3</v>
      </c>
      <c r="M9" s="120">
        <f>SVY!N340</f>
        <v>4.8162146254476616E-3</v>
      </c>
      <c r="N9" s="120">
        <f>SVY!O340</f>
        <v>6.6450124573071527E-3</v>
      </c>
      <c r="O9" s="120">
        <f>SVY!P340</f>
        <v>6.7817248896742278E-3</v>
      </c>
      <c r="P9" s="120">
        <f>SVY!Q340</f>
        <v>7.7968054133652582E-3</v>
      </c>
      <c r="Q9" s="120">
        <f>SVY!R340</f>
        <v>2.1889893692909199E-2</v>
      </c>
      <c r="R9" s="120">
        <f>SVY!S340</f>
        <v>4.8734176594596922E-4</v>
      </c>
      <c r="S9" s="120">
        <f>SVY!T340</f>
        <v>9.3625873146490094E-4</v>
      </c>
      <c r="T9" s="120">
        <f>SVY!U340</f>
        <v>1.1699744739794983E-3</v>
      </c>
      <c r="U9" s="120">
        <f>SVY!V340</f>
        <v>6.443720373453094E-3</v>
      </c>
      <c r="V9" s="120">
        <f>SVY!W340</f>
        <v>1.5579629502109237E-2</v>
      </c>
    </row>
    <row r="10" spans="1:22" x14ac:dyDescent="0.35">
      <c r="A10" s="12" t="s">
        <v>17</v>
      </c>
      <c r="B10" s="13" t="s">
        <v>16</v>
      </c>
      <c r="C10" s="120">
        <f>SVY!D341</f>
        <v>6.8464787727088625E-2</v>
      </c>
      <c r="D10" s="120">
        <f>SVY!E341</f>
        <v>9.8109474577582012E-2</v>
      </c>
      <c r="E10" s="120">
        <f>SVY!F341</f>
        <v>0.19578451104582908</v>
      </c>
      <c r="F10" s="120">
        <f>SVY!G341</f>
        <v>0.19386283046498315</v>
      </c>
      <c r="G10" s="120">
        <f>SVY!H341</f>
        <v>0.20407485887034546</v>
      </c>
      <c r="H10" s="120">
        <f>SVY!I341</f>
        <v>0</v>
      </c>
      <c r="I10" s="120">
        <f>SVY!J341</f>
        <v>0</v>
      </c>
      <c r="J10" s="120">
        <f>SVY!K341</f>
        <v>0</v>
      </c>
      <c r="K10" s="120">
        <f>SVY!L341</f>
        <v>0</v>
      </c>
      <c r="L10" s="120">
        <f>SVY!M341</f>
        <v>1.2261307583017821E-2</v>
      </c>
      <c r="M10" s="120">
        <f>SVY!N341</f>
        <v>1.1853676110356853E-3</v>
      </c>
      <c r="N10" s="120">
        <f>SVY!O341</f>
        <v>7.2409926326137018E-3</v>
      </c>
      <c r="O10" s="120">
        <f>SVY!P341</f>
        <v>1.162844073678285E-2</v>
      </c>
      <c r="P10" s="120">
        <f>SVY!Q341</f>
        <v>3.6385433854980102E-2</v>
      </c>
      <c r="Q10" s="120">
        <f>SVY!R341</f>
        <v>0.11629210899653002</v>
      </c>
      <c r="R10" s="120">
        <f>SVY!S341</f>
        <v>0</v>
      </c>
      <c r="S10" s="120">
        <f>SVY!T341</f>
        <v>0</v>
      </c>
      <c r="T10" s="120">
        <f>SVY!U341</f>
        <v>0</v>
      </c>
      <c r="U10" s="120">
        <f>SVY!V341</f>
        <v>0</v>
      </c>
      <c r="V10" s="120">
        <f>SVY!W341</f>
        <v>5.47098858992114E-2</v>
      </c>
    </row>
    <row r="11" spans="1:22" x14ac:dyDescent="0.35">
      <c r="A11" s="12" t="s">
        <v>21</v>
      </c>
      <c r="B11" s="13" t="s">
        <v>20</v>
      </c>
      <c r="C11" s="120">
        <f>SVY!D342</f>
        <v>5.6059242317933161E-2</v>
      </c>
      <c r="D11" s="120">
        <f>SVY!E342</f>
        <v>0.10462677849948339</v>
      </c>
      <c r="E11" s="120">
        <f>SVY!F342</f>
        <v>0.15515737684298894</v>
      </c>
      <c r="F11" s="120">
        <f>SVY!G342</f>
        <v>0.23357403447185787</v>
      </c>
      <c r="G11" s="120">
        <f>SVY!H342</f>
        <v>0.18380854301286542</v>
      </c>
      <c r="H11" s="120">
        <f>SVY!I342</f>
        <v>4.6554919240934177E-4</v>
      </c>
      <c r="I11" s="120">
        <f>SVY!J342</f>
        <v>4.5526678581511254E-4</v>
      </c>
      <c r="J11" s="120">
        <f>SVY!K342</f>
        <v>1.9178108798566438E-3</v>
      </c>
      <c r="K11" s="120">
        <f>SVY!L342</f>
        <v>3.5811590211797333E-3</v>
      </c>
      <c r="L11" s="120">
        <f>SVY!M342</f>
        <v>1.1907383378550318E-2</v>
      </c>
      <c r="M11" s="120">
        <f>SVY!N342</f>
        <v>5.1162988711694387E-3</v>
      </c>
      <c r="N11" s="120">
        <f>SVY!O342</f>
        <v>9.8723355513646305E-3</v>
      </c>
      <c r="O11" s="120">
        <f>SVY!P342</f>
        <v>1.7424226596364674E-2</v>
      </c>
      <c r="P11" s="120">
        <f>SVY!Q342</f>
        <v>2.2471149827298444E-2</v>
      </c>
      <c r="Q11" s="120">
        <f>SVY!R342</f>
        <v>7.3007333582297093E-2</v>
      </c>
      <c r="R11" s="120">
        <f>SVY!S342</f>
        <v>2.3283407243795758E-3</v>
      </c>
      <c r="S11" s="120">
        <f>SVY!T342</f>
        <v>8.1777364028039184E-3</v>
      </c>
      <c r="T11" s="120">
        <f>SVY!U342</f>
        <v>1.0100343177341119E-2</v>
      </c>
      <c r="U11" s="120">
        <f>SVY!V342</f>
        <v>2.9431233978031903E-2</v>
      </c>
      <c r="V11" s="120">
        <f>SVY!W342</f>
        <v>7.05178568860092E-2</v>
      </c>
    </row>
    <row r="12" spans="1:22" x14ac:dyDescent="0.35">
      <c r="A12" s="12" t="s">
        <v>25</v>
      </c>
      <c r="B12" s="13" t="s">
        <v>24</v>
      </c>
      <c r="C12" s="120">
        <f>SVY!D343</f>
        <v>5.0302062809192737E-3</v>
      </c>
      <c r="D12" s="120">
        <f>SVY!E343</f>
        <v>2.7685586323647721E-2</v>
      </c>
      <c r="E12" s="120">
        <f>SVY!F343</f>
        <v>0.13193012172681157</v>
      </c>
      <c r="F12" s="120">
        <f>SVY!G343</f>
        <v>0.23138418668031857</v>
      </c>
      <c r="G12" s="120">
        <f>SVY!H343</f>
        <v>0.2499862481315239</v>
      </c>
      <c r="H12" s="120">
        <f>SVY!I343</f>
        <v>0</v>
      </c>
      <c r="I12" s="120">
        <f>SVY!J343</f>
        <v>0</v>
      </c>
      <c r="J12" s="120">
        <f>SVY!K343</f>
        <v>0</v>
      </c>
      <c r="K12" s="120">
        <f>SVY!L343</f>
        <v>0</v>
      </c>
      <c r="L12" s="120">
        <f>SVY!M343</f>
        <v>1.993969002120647E-2</v>
      </c>
      <c r="M12" s="120">
        <f>SVY!N343</f>
        <v>2.6044060412553072E-2</v>
      </c>
      <c r="N12" s="120">
        <f>SVY!O343</f>
        <v>1.8805636868649611E-2</v>
      </c>
      <c r="O12" s="120">
        <f>SVY!P343</f>
        <v>3.5010480231811213E-2</v>
      </c>
      <c r="P12" s="120">
        <f>SVY!Q343</f>
        <v>4.4768406462402308E-2</v>
      </c>
      <c r="Q12" s="120">
        <f>SVY!R343</f>
        <v>7.3258360420669008E-2</v>
      </c>
      <c r="R12" s="120">
        <f>SVY!S343</f>
        <v>0</v>
      </c>
      <c r="S12" s="120">
        <f>SVY!T343</f>
        <v>0</v>
      </c>
      <c r="T12" s="120">
        <f>SVY!U343</f>
        <v>0</v>
      </c>
      <c r="U12" s="120">
        <f>SVY!V343</f>
        <v>0</v>
      </c>
      <c r="V12" s="120">
        <f>SVY!W343</f>
        <v>0.1361570164394873</v>
      </c>
    </row>
    <row r="13" spans="1:22" x14ac:dyDescent="0.35">
      <c r="A13" s="12" t="s">
        <v>29</v>
      </c>
      <c r="B13" s="13" t="s">
        <v>28</v>
      </c>
      <c r="C13" s="120">
        <f>SVY!D344</f>
        <v>0.17219314686800413</v>
      </c>
      <c r="D13" s="120">
        <f>SVY!E344</f>
        <v>0.17695376425245682</v>
      </c>
      <c r="E13" s="120">
        <f>SVY!F344</f>
        <v>0.18602357503542463</v>
      </c>
      <c r="F13" s="120">
        <f>SVY!G344</f>
        <v>0.18228436197751699</v>
      </c>
      <c r="G13" s="120">
        <f>SVY!H344</f>
        <v>9.4836318221598617E-2</v>
      </c>
      <c r="H13" s="120">
        <f>SVY!I344</f>
        <v>2.4600232777829658E-4</v>
      </c>
      <c r="I13" s="120">
        <f>SVY!J344</f>
        <v>0</v>
      </c>
      <c r="J13" s="120">
        <f>SVY!K344</f>
        <v>5.4400046581052491E-4</v>
      </c>
      <c r="K13" s="120">
        <f>SVY!L344</f>
        <v>3.9106676269797967E-3</v>
      </c>
      <c r="L13" s="120">
        <f>SVY!M344</f>
        <v>7.4471532018576701E-3</v>
      </c>
      <c r="M13" s="120">
        <f>SVY!N344</f>
        <v>8.0840177451745321E-3</v>
      </c>
      <c r="N13" s="120">
        <f>SVY!O344</f>
        <v>1.3044499951028098E-2</v>
      </c>
      <c r="O13" s="120">
        <f>SVY!P344</f>
        <v>1.0576741384273855E-2</v>
      </c>
      <c r="P13" s="120">
        <f>SVY!Q344</f>
        <v>1.3575301771435349E-2</v>
      </c>
      <c r="Q13" s="120">
        <f>SVY!R344</f>
        <v>3.7662152801560767E-2</v>
      </c>
      <c r="R13" s="120">
        <f>SVY!S344</f>
        <v>1.4524928741091383E-3</v>
      </c>
      <c r="S13" s="120">
        <f>SVY!T344</f>
        <v>5.987090363034118E-3</v>
      </c>
      <c r="T13" s="120">
        <f>SVY!U344</f>
        <v>6.3381658537322062E-3</v>
      </c>
      <c r="U13" s="120">
        <f>SVY!V344</f>
        <v>2.0081199624563371E-2</v>
      </c>
      <c r="V13" s="120">
        <f>SVY!W344</f>
        <v>5.8759347653661094E-2</v>
      </c>
    </row>
    <row r="14" spans="1:22" x14ac:dyDescent="0.35">
      <c r="A14" s="12" t="s">
        <v>33</v>
      </c>
      <c r="B14" s="13" t="s">
        <v>32</v>
      </c>
      <c r="C14" s="120">
        <f>SVY!D345</f>
        <v>0.14163004469424667</v>
      </c>
      <c r="D14" s="120">
        <f>SVY!E345</f>
        <v>0.17597503372058357</v>
      </c>
      <c r="E14" s="120">
        <f>SVY!F345</f>
        <v>0.20096087483309685</v>
      </c>
      <c r="F14" s="120">
        <f>SVY!G345</f>
        <v>0.20865495598407366</v>
      </c>
      <c r="G14" s="120">
        <f>SVY!H345</f>
        <v>0.10287793243652206</v>
      </c>
      <c r="H14" s="120">
        <f>SVY!I345</f>
        <v>2.9258777198456977E-4</v>
      </c>
      <c r="I14" s="120">
        <f>SVY!J345</f>
        <v>1.7971324322283309E-3</v>
      </c>
      <c r="J14" s="120">
        <f>SVY!K345</f>
        <v>1.5210907678644579E-3</v>
      </c>
      <c r="K14" s="120">
        <f>SVY!L345</f>
        <v>2.3915933806518317E-3</v>
      </c>
      <c r="L14" s="120">
        <f>SVY!M345</f>
        <v>1.3218515108635611E-2</v>
      </c>
      <c r="M14" s="120">
        <f>SVY!N345</f>
        <v>2.8026093640446306E-3</v>
      </c>
      <c r="N14" s="120">
        <f>SVY!O345</f>
        <v>4.9191937050215425E-3</v>
      </c>
      <c r="O14" s="120">
        <f>SVY!P345</f>
        <v>9.151270291754587E-3</v>
      </c>
      <c r="P14" s="120">
        <f>SVY!Q345</f>
        <v>9.6020082652765789E-3</v>
      </c>
      <c r="Q14" s="120">
        <f>SVY!R345</f>
        <v>3.652954710390683E-2</v>
      </c>
      <c r="R14" s="120">
        <f>SVY!S345</f>
        <v>1.805607523654523E-3</v>
      </c>
      <c r="S14" s="120">
        <f>SVY!T345</f>
        <v>3.3976877247167097E-3</v>
      </c>
      <c r="T14" s="120">
        <f>SVY!U345</f>
        <v>4.3729633579077257E-3</v>
      </c>
      <c r="U14" s="120">
        <f>SVY!V345</f>
        <v>1.2943490931007134E-2</v>
      </c>
      <c r="V14" s="120">
        <f>SVY!W345</f>
        <v>6.5155860602822052E-2</v>
      </c>
    </row>
    <row r="15" spans="1:22" x14ac:dyDescent="0.35">
      <c r="A15" s="12" t="s">
        <v>37</v>
      </c>
      <c r="B15" s="13" t="s">
        <v>36</v>
      </c>
      <c r="C15" s="120">
        <f>SVY!D346</f>
        <v>0.11846543325290837</v>
      </c>
      <c r="D15" s="120">
        <f>SVY!E346</f>
        <v>0.15521951799393291</v>
      </c>
      <c r="E15" s="120">
        <f>SVY!F346</f>
        <v>0.15617267437508495</v>
      </c>
      <c r="F15" s="120">
        <f>SVY!G346</f>
        <v>0.17627424251211304</v>
      </c>
      <c r="G15" s="120">
        <f>SVY!H346</f>
        <v>0.11146069779087335</v>
      </c>
      <c r="H15" s="120">
        <f>SVY!I346</f>
        <v>3.8209720419761826E-4</v>
      </c>
      <c r="I15" s="120">
        <f>SVY!J346</f>
        <v>1.5627298942788359E-4</v>
      </c>
      <c r="J15" s="120">
        <f>SVY!K346</f>
        <v>1.1793542994463667E-3</v>
      </c>
      <c r="K15" s="120">
        <f>SVY!L346</f>
        <v>1.8189646009665261E-3</v>
      </c>
      <c r="L15" s="120">
        <f>SVY!M346</f>
        <v>7.3220686799794132E-3</v>
      </c>
      <c r="M15" s="120">
        <f>SVY!N346</f>
        <v>1.1662000660842671E-2</v>
      </c>
      <c r="N15" s="120">
        <f>SVY!O346</f>
        <v>1.6850848503715269E-2</v>
      </c>
      <c r="O15" s="120">
        <f>SVY!P346</f>
        <v>2.3744638349267454E-2</v>
      </c>
      <c r="P15" s="120">
        <f>SVY!Q346</f>
        <v>1.6974428806544102E-2</v>
      </c>
      <c r="Q15" s="120">
        <f>SVY!R346</f>
        <v>4.078566066643164E-2</v>
      </c>
      <c r="R15" s="120">
        <f>SVY!S346</f>
        <v>7.3196985870924445E-3</v>
      </c>
      <c r="S15" s="120">
        <f>SVY!T346</f>
        <v>1.3179415599023405E-2</v>
      </c>
      <c r="T15" s="120">
        <f>SVY!U346</f>
        <v>1.5606266546810705E-2</v>
      </c>
      <c r="U15" s="120">
        <f>SVY!V346</f>
        <v>3.3010786611754425E-2</v>
      </c>
      <c r="V15" s="120">
        <f>SVY!W346</f>
        <v>9.2414931969587333E-2</v>
      </c>
    </row>
    <row r="16" spans="1:22" x14ac:dyDescent="0.35">
      <c r="A16" s="12" t="s">
        <v>41</v>
      </c>
      <c r="B16" s="13" t="s">
        <v>40</v>
      </c>
      <c r="C16" s="120">
        <f>SVY!D347</f>
        <v>0.13982377561627379</v>
      </c>
      <c r="D16" s="120">
        <f>SVY!E347</f>
        <v>0.1313162065477779</v>
      </c>
      <c r="E16" s="120">
        <f>SVY!F347</f>
        <v>0.18823388494144591</v>
      </c>
      <c r="F16" s="120">
        <f>SVY!G347</f>
        <v>0.22084367498542898</v>
      </c>
      <c r="G16" s="120">
        <f>SVY!H347</f>
        <v>0.12941564705998834</v>
      </c>
      <c r="H16" s="120">
        <f>SVY!I347</f>
        <v>0</v>
      </c>
      <c r="I16" s="120">
        <f>SVY!J347</f>
        <v>0</v>
      </c>
      <c r="J16" s="120">
        <f>SVY!K347</f>
        <v>0</v>
      </c>
      <c r="K16" s="120">
        <f>SVY!L347</f>
        <v>1.9083969934299584E-3</v>
      </c>
      <c r="L16" s="120">
        <f>SVY!M347</f>
        <v>2.3529367174636518E-4</v>
      </c>
      <c r="M16" s="120">
        <f>SVY!N347</f>
        <v>1.3628905947614281E-2</v>
      </c>
      <c r="N16" s="120">
        <f>SVY!O347</f>
        <v>2.6189492672763007E-2</v>
      </c>
      <c r="O16" s="120">
        <f>SVY!P347</f>
        <v>1.8164222367224685E-2</v>
      </c>
      <c r="P16" s="120">
        <f>SVY!Q347</f>
        <v>3.5611404510067307E-2</v>
      </c>
      <c r="Q16" s="120">
        <f>SVY!R347</f>
        <v>5.3299489365096625E-2</v>
      </c>
      <c r="R16" s="120">
        <f>SVY!S347</f>
        <v>4.6230692943454244E-3</v>
      </c>
      <c r="S16" s="120">
        <f>SVY!T347</f>
        <v>4.9222024040828597E-4</v>
      </c>
      <c r="T16" s="120">
        <f>SVY!U347</f>
        <v>6.3187123788930625E-3</v>
      </c>
      <c r="U16" s="120">
        <f>SVY!V347</f>
        <v>2.4733891698649705E-3</v>
      </c>
      <c r="V16" s="120">
        <f>SVY!W347</f>
        <v>2.742221423763103E-2</v>
      </c>
    </row>
    <row r="17" spans="1:22" x14ac:dyDescent="0.35">
      <c r="A17" s="12" t="s">
        <v>45</v>
      </c>
      <c r="B17" s="13" t="s">
        <v>44</v>
      </c>
      <c r="C17" s="120">
        <f>SVY!D348</f>
        <v>0.13270662266402741</v>
      </c>
      <c r="D17" s="120">
        <f>SVY!E348</f>
        <v>0.16695993839534262</v>
      </c>
      <c r="E17" s="120">
        <f>SVY!F348</f>
        <v>0.19413235659469066</v>
      </c>
      <c r="F17" s="120">
        <f>SVY!G348</f>
        <v>0.1652846754568231</v>
      </c>
      <c r="G17" s="120">
        <f>SVY!H348</f>
        <v>0.10126751360312082</v>
      </c>
      <c r="H17" s="120">
        <f>SVY!I348</f>
        <v>3.4794324391993647E-4</v>
      </c>
      <c r="I17" s="120">
        <f>SVY!J348</f>
        <v>4.5396527032596487E-4</v>
      </c>
      <c r="J17" s="120">
        <f>SVY!K348</f>
        <v>1.6795315289067636E-3</v>
      </c>
      <c r="K17" s="120">
        <f>SVY!L348</f>
        <v>3.3324299268297003E-3</v>
      </c>
      <c r="L17" s="120">
        <f>SVY!M348</f>
        <v>8.0222431039191945E-3</v>
      </c>
      <c r="M17" s="120">
        <f>SVY!N348</f>
        <v>7.2911216017271709E-3</v>
      </c>
      <c r="N17" s="120">
        <f>SVY!O348</f>
        <v>1.3254462873874856E-2</v>
      </c>
      <c r="O17" s="120">
        <f>SVY!P348</f>
        <v>1.6869865736395488E-2</v>
      </c>
      <c r="P17" s="120">
        <f>SVY!Q348</f>
        <v>2.0618265077328456E-2</v>
      </c>
      <c r="Q17" s="120">
        <f>SVY!R348</f>
        <v>5.2132737819999081E-2</v>
      </c>
      <c r="R17" s="120">
        <f>SVY!S348</f>
        <v>2.8605539100492149E-3</v>
      </c>
      <c r="S17" s="120">
        <f>SVY!T348</f>
        <v>5.7867732360097415E-3</v>
      </c>
      <c r="T17" s="120">
        <f>SVY!U348</f>
        <v>1.0041468592833837E-2</v>
      </c>
      <c r="U17" s="120">
        <f>SVY!V348</f>
        <v>2.0349778993035219E-2</v>
      </c>
      <c r="V17" s="120">
        <f>SVY!W348</f>
        <v>7.6607752370840748E-2</v>
      </c>
    </row>
    <row r="18" spans="1:22" x14ac:dyDescent="0.35">
      <c r="A18" s="12" t="s">
        <v>49</v>
      </c>
      <c r="B18" s="13" t="s">
        <v>48</v>
      </c>
      <c r="C18" s="120">
        <f>SVY!D349</f>
        <v>4.0115535002270518E-2</v>
      </c>
      <c r="D18" s="120">
        <f>SVY!E349</f>
        <v>7.6599112248562945E-2</v>
      </c>
      <c r="E18" s="120">
        <f>SVY!F349</f>
        <v>0.11137275836791857</v>
      </c>
      <c r="F18" s="120">
        <f>SVY!G349</f>
        <v>0.17619194374321165</v>
      </c>
      <c r="G18" s="120">
        <f>SVY!H349</f>
        <v>0.17325636984821058</v>
      </c>
      <c r="H18" s="120">
        <f>SVY!I349</f>
        <v>2.0371017917659079E-4</v>
      </c>
      <c r="I18" s="120">
        <f>SVY!J349</f>
        <v>3.0084079950776048E-4</v>
      </c>
      <c r="J18" s="120">
        <f>SVY!K349</f>
        <v>1.4509771077178394E-3</v>
      </c>
      <c r="K18" s="120">
        <f>SVY!L349</f>
        <v>3.2226642865537162E-3</v>
      </c>
      <c r="L18" s="120">
        <f>SVY!M349</f>
        <v>1.7406074194387822E-2</v>
      </c>
      <c r="M18" s="120">
        <f>SVY!N349</f>
        <v>5.6691440836648737E-3</v>
      </c>
      <c r="N18" s="120">
        <f>SVY!O349</f>
        <v>9.112272928490402E-3</v>
      </c>
      <c r="O18" s="120">
        <f>SVY!P349</f>
        <v>1.4383351450040816E-2</v>
      </c>
      <c r="P18" s="120">
        <f>SVY!Q349</f>
        <v>2.22143749063884E-2</v>
      </c>
      <c r="Q18" s="120">
        <f>SVY!R349</f>
        <v>8.7246885397180604E-2</v>
      </c>
      <c r="R18" s="120">
        <f>SVY!S349</f>
        <v>2.2256361080426595E-3</v>
      </c>
      <c r="S18" s="120">
        <f>SVY!T349</f>
        <v>7.0298304236440191E-3</v>
      </c>
      <c r="T18" s="120">
        <f>SVY!U349</f>
        <v>1.1601530463262561E-2</v>
      </c>
      <c r="U18" s="120">
        <f>SVY!V349</f>
        <v>3.254583000923203E-2</v>
      </c>
      <c r="V18" s="120">
        <f>SVY!W349</f>
        <v>0.20785115845253588</v>
      </c>
    </row>
    <row r="19" spans="1:22" x14ac:dyDescent="0.35">
      <c r="A19" s="12" t="s">
        <v>53</v>
      </c>
      <c r="B19" s="13" t="s">
        <v>52</v>
      </c>
      <c r="C19" s="120">
        <f>SVY!D350</f>
        <v>0.10924466457681802</v>
      </c>
      <c r="D19" s="120">
        <f>SVY!E350</f>
        <v>0.13271509968834994</v>
      </c>
      <c r="E19" s="120">
        <f>SVY!F350</f>
        <v>0.14412990617680271</v>
      </c>
      <c r="F19" s="120">
        <f>SVY!G350</f>
        <v>0.1490008950518418</v>
      </c>
      <c r="G19" s="120">
        <f>SVY!H350</f>
        <v>0.11880746154530379</v>
      </c>
      <c r="H19" s="120">
        <f>SVY!I350</f>
        <v>6.3747654045310425E-4</v>
      </c>
      <c r="I19" s="120">
        <f>SVY!J350</f>
        <v>4.9546065731155239E-4</v>
      </c>
      <c r="J19" s="120">
        <f>SVY!K350</f>
        <v>1.5606889795477179E-3</v>
      </c>
      <c r="K19" s="120">
        <f>SVY!L350</f>
        <v>3.5765604479195178E-3</v>
      </c>
      <c r="L19" s="120">
        <f>SVY!M350</f>
        <v>1.1722594822026497E-2</v>
      </c>
      <c r="M19" s="120">
        <f>SVY!N350</f>
        <v>6.0759155363736611E-3</v>
      </c>
      <c r="N19" s="120">
        <f>SVY!O350</f>
        <v>1.1780694847232461E-2</v>
      </c>
      <c r="O19" s="120">
        <f>SVY!P350</f>
        <v>1.4955853628308974E-2</v>
      </c>
      <c r="P19" s="120">
        <f>SVY!Q350</f>
        <v>2.0614063660956E-2</v>
      </c>
      <c r="Q19" s="120">
        <f>SVY!R350</f>
        <v>7.2873403101373038E-2</v>
      </c>
      <c r="R19" s="120">
        <f>SVY!S350</f>
        <v>2.1969513573472477E-3</v>
      </c>
      <c r="S19" s="120">
        <f>SVY!T350</f>
        <v>6.9316533231836954E-3</v>
      </c>
      <c r="T19" s="120">
        <f>SVY!U350</f>
        <v>9.401138617681163E-3</v>
      </c>
      <c r="U19" s="120">
        <f>SVY!V350</f>
        <v>2.6016049290658583E-2</v>
      </c>
      <c r="V19" s="120">
        <f>SVY!W350</f>
        <v>0.1572634681505107</v>
      </c>
    </row>
    <row r="20" spans="1:22" x14ac:dyDescent="0.35">
      <c r="A20" s="12" t="s">
        <v>57</v>
      </c>
      <c r="B20" s="13" t="s">
        <v>56</v>
      </c>
      <c r="C20" s="120">
        <f>SVY!D351</f>
        <v>2.642511188853533E-2</v>
      </c>
      <c r="D20" s="120">
        <f>SVY!E351</f>
        <v>4.0047485402416386E-2</v>
      </c>
      <c r="E20" s="120">
        <f>SVY!F351</f>
        <v>6.3066687779334704E-2</v>
      </c>
      <c r="F20" s="120">
        <f>SVY!G351</f>
        <v>8.7625981835772124E-2</v>
      </c>
      <c r="G20" s="120">
        <f>SVY!H351</f>
        <v>0.10285169546080757</v>
      </c>
      <c r="H20" s="120">
        <f>SVY!I351</f>
        <v>0</v>
      </c>
      <c r="I20" s="120">
        <f>SVY!J351</f>
        <v>1.681682919443942E-4</v>
      </c>
      <c r="J20" s="120">
        <f>SVY!K351</f>
        <v>6.6299770569968296E-4</v>
      </c>
      <c r="K20" s="120">
        <f>SVY!L351</f>
        <v>4.2544719238854015E-3</v>
      </c>
      <c r="L20" s="120">
        <f>SVY!M351</f>
        <v>1.9550297340183421E-2</v>
      </c>
      <c r="M20" s="120">
        <f>SVY!N351</f>
        <v>2.7013468378059564E-3</v>
      </c>
      <c r="N20" s="120">
        <f>SVY!O351</f>
        <v>3.3395389926290293E-3</v>
      </c>
      <c r="O20" s="120">
        <f>SVY!P351</f>
        <v>9.9995661403955629E-3</v>
      </c>
      <c r="P20" s="120">
        <f>SVY!Q351</f>
        <v>2.1013431310641425E-2</v>
      </c>
      <c r="Q20" s="120">
        <f>SVY!R351</f>
        <v>0.16715640424737357</v>
      </c>
      <c r="R20" s="120">
        <f>SVY!S351</f>
        <v>0</v>
      </c>
      <c r="S20" s="120">
        <f>SVY!T351</f>
        <v>1.196441649611187E-3</v>
      </c>
      <c r="T20" s="120">
        <f>SVY!U351</f>
        <v>2.9414270703596508E-3</v>
      </c>
      <c r="U20" s="120">
        <f>SVY!V351</f>
        <v>1.3345591313104392E-2</v>
      </c>
      <c r="V20" s="120">
        <f>SVY!W351</f>
        <v>0.43365335480950012</v>
      </c>
    </row>
    <row r="21" spans="1:22" x14ac:dyDescent="0.35">
      <c r="A21" s="12" t="s">
        <v>61</v>
      </c>
      <c r="B21" s="13" t="s">
        <v>60</v>
      </c>
      <c r="C21" s="120">
        <f>SVY!D352</f>
        <v>1.4288364738839543E-2</v>
      </c>
      <c r="D21" s="120">
        <f>SVY!E352</f>
        <v>2.9853502586719628E-2</v>
      </c>
      <c r="E21" s="120">
        <f>SVY!F352</f>
        <v>5.0491577804733179E-2</v>
      </c>
      <c r="F21" s="120">
        <f>SVY!G352</f>
        <v>9.0010794591820584E-2</v>
      </c>
      <c r="G21" s="120">
        <f>SVY!H352</f>
        <v>0.14994339268681403</v>
      </c>
      <c r="H21" s="120">
        <f>SVY!I352</f>
        <v>0</v>
      </c>
      <c r="I21" s="120">
        <f>SVY!J352</f>
        <v>0</v>
      </c>
      <c r="J21" s="120">
        <f>SVY!K352</f>
        <v>0</v>
      </c>
      <c r="K21" s="120">
        <f>SVY!L352</f>
        <v>5.3221706082630148E-3</v>
      </c>
      <c r="L21" s="120">
        <f>SVY!M352</f>
        <v>2.9585759292417989E-2</v>
      </c>
      <c r="M21" s="120">
        <f>SVY!N352</f>
        <v>1.0003042454434116E-2</v>
      </c>
      <c r="N21" s="120">
        <f>SVY!O352</f>
        <v>4.0636010072291097E-3</v>
      </c>
      <c r="O21" s="120">
        <f>SVY!P352</f>
        <v>5.8735881218387907E-3</v>
      </c>
      <c r="P21" s="120">
        <f>SVY!Q352</f>
        <v>2.0084409438926358E-2</v>
      </c>
      <c r="Q21" s="120">
        <f>SVY!R352</f>
        <v>0.21195381256565277</v>
      </c>
      <c r="R21" s="120">
        <f>SVY!S352</f>
        <v>2.5092595878057761E-3</v>
      </c>
      <c r="S21" s="120">
        <f>SVY!T352</f>
        <v>4.3455111007627327E-4</v>
      </c>
      <c r="T21" s="120">
        <f>SVY!U352</f>
        <v>8.2276569639980104E-4</v>
      </c>
      <c r="U21" s="120">
        <f>SVY!V352</f>
        <v>6.9951211132926756E-3</v>
      </c>
      <c r="V21" s="120">
        <f>SVY!W352</f>
        <v>0.36776428659473637</v>
      </c>
    </row>
    <row r="22" spans="1:22" x14ac:dyDescent="0.35">
      <c r="A22" s="12" t="s">
        <v>65</v>
      </c>
      <c r="B22" s="13" t="s">
        <v>64</v>
      </c>
      <c r="C22" s="120">
        <f>SVY!D353</f>
        <v>4.4815148722504347E-2</v>
      </c>
      <c r="D22" s="120">
        <f>SVY!E353</f>
        <v>8.3909752744025415E-2</v>
      </c>
      <c r="E22" s="120">
        <f>SVY!F353</f>
        <v>0.1173190910110901</v>
      </c>
      <c r="F22" s="120">
        <f>SVY!G353</f>
        <v>0.1747541932129954</v>
      </c>
      <c r="G22" s="120">
        <f>SVY!H353</f>
        <v>0.15288378723228152</v>
      </c>
      <c r="H22" s="120">
        <f>SVY!I353</f>
        <v>1.3470095955695678E-4</v>
      </c>
      <c r="I22" s="120">
        <f>SVY!J353</f>
        <v>4.4282387767141565E-4</v>
      </c>
      <c r="J22" s="120">
        <f>SVY!K353</f>
        <v>1.689374865081826E-3</v>
      </c>
      <c r="K22" s="120">
        <f>SVY!L353</f>
        <v>2.6011782945638308E-3</v>
      </c>
      <c r="L22" s="120">
        <f>SVY!M353</f>
        <v>1.8993549593586182E-2</v>
      </c>
      <c r="M22" s="120">
        <f>SVY!N353</f>
        <v>3.631937250002582E-3</v>
      </c>
      <c r="N22" s="120">
        <f>SVY!O353</f>
        <v>5.5009396110183044E-3</v>
      </c>
      <c r="O22" s="120">
        <f>SVY!P353</f>
        <v>1.012457488868458E-2</v>
      </c>
      <c r="P22" s="120">
        <f>SVY!Q353</f>
        <v>2.1101344491550503E-2</v>
      </c>
      <c r="Q22" s="120">
        <f>SVY!R353</f>
        <v>9.2288121414267371E-2</v>
      </c>
      <c r="R22" s="120">
        <f>SVY!S353</f>
        <v>1.9693313850111835E-3</v>
      </c>
      <c r="S22" s="120">
        <f>SVY!T353</f>
        <v>4.8376680531410452E-3</v>
      </c>
      <c r="T22" s="120">
        <f>SVY!U353</f>
        <v>7.1554186139787448E-3</v>
      </c>
      <c r="U22" s="120">
        <f>SVY!V353</f>
        <v>2.9960757722412797E-2</v>
      </c>
      <c r="V22" s="120">
        <f>SVY!W353</f>
        <v>0.22588630605657603</v>
      </c>
    </row>
    <row r="23" spans="1:22" x14ac:dyDescent="0.35">
      <c r="A23" s="12" t="s">
        <v>69</v>
      </c>
      <c r="B23" s="13" t="s">
        <v>68</v>
      </c>
      <c r="C23" s="120">
        <f>SVY!D354</f>
        <v>6.4075292320933563E-2</v>
      </c>
      <c r="D23" s="120">
        <f>SVY!E354</f>
        <v>9.4867943756376361E-2</v>
      </c>
      <c r="E23" s="120">
        <f>SVY!F354</f>
        <v>0.12391018252308246</v>
      </c>
      <c r="F23" s="120">
        <f>SVY!G354</f>
        <v>0.15736356750148864</v>
      </c>
      <c r="G23" s="120">
        <f>SVY!H354</f>
        <v>0.1526966765816751</v>
      </c>
      <c r="H23" s="120">
        <f>SVY!I354</f>
        <v>1.5270496235592971E-4</v>
      </c>
      <c r="I23" s="120">
        <f>SVY!J354</f>
        <v>2.5158324942316652E-4</v>
      </c>
      <c r="J23" s="120">
        <f>SVY!K354</f>
        <v>1.2232059958979101E-3</v>
      </c>
      <c r="K23" s="120">
        <f>SVY!L354</f>
        <v>3.1967317080026461E-3</v>
      </c>
      <c r="L23" s="120">
        <f>SVY!M354</f>
        <v>2.3432083877095066E-2</v>
      </c>
      <c r="M23" s="120">
        <f>SVY!N354</f>
        <v>5.0723967118335165E-3</v>
      </c>
      <c r="N23" s="120">
        <f>SVY!O354</f>
        <v>8.9781749801827182E-3</v>
      </c>
      <c r="O23" s="120">
        <f>SVY!P354</f>
        <v>1.328969904228894E-2</v>
      </c>
      <c r="P23" s="120">
        <f>SVY!Q354</f>
        <v>1.89532086037725E-2</v>
      </c>
      <c r="Q23" s="120">
        <f>SVY!R354</f>
        <v>9.5511676986870173E-2</v>
      </c>
      <c r="R23" s="120">
        <f>SVY!S354</f>
        <v>1.7655670641320246E-3</v>
      </c>
      <c r="S23" s="120">
        <f>SVY!T354</f>
        <v>4.0698694559708924E-3</v>
      </c>
      <c r="T23" s="120">
        <f>SVY!U354</f>
        <v>6.2112778117096824E-3</v>
      </c>
      <c r="U23" s="120">
        <f>SVY!V354</f>
        <v>1.9160952964480008E-2</v>
      </c>
      <c r="V23" s="120">
        <f>SVY!W354</f>
        <v>0.20581720390242877</v>
      </c>
    </row>
    <row r="24" spans="1:22" x14ac:dyDescent="0.35">
      <c r="A24" s="12" t="s">
        <v>73</v>
      </c>
      <c r="B24" s="13" t="s">
        <v>72</v>
      </c>
      <c r="C24" s="120">
        <f>SVY!D355</f>
        <v>4.3128269366517653E-3</v>
      </c>
      <c r="D24" s="120">
        <f>SVY!E355</f>
        <v>1.2230655184965012E-2</v>
      </c>
      <c r="E24" s="120">
        <f>SVY!F355</f>
        <v>2.2726640139056824E-2</v>
      </c>
      <c r="F24" s="120">
        <f>SVY!G355</f>
        <v>5.3778250260059189E-2</v>
      </c>
      <c r="G24" s="120">
        <f>SVY!H355</f>
        <v>0.11843158190119833</v>
      </c>
      <c r="H24" s="120">
        <f>SVY!I355</f>
        <v>0</v>
      </c>
      <c r="I24" s="120">
        <f>SVY!J355</f>
        <v>1.39527064749746E-4</v>
      </c>
      <c r="J24" s="120">
        <f>SVY!K355</f>
        <v>0</v>
      </c>
      <c r="K24" s="120">
        <f>SVY!L355</f>
        <v>3.6184595857476754E-4</v>
      </c>
      <c r="L24" s="120">
        <f>SVY!M355</f>
        <v>1.5391710724747204E-2</v>
      </c>
      <c r="M24" s="120">
        <f>SVY!N355</f>
        <v>2.8508155502598729E-3</v>
      </c>
      <c r="N24" s="120">
        <f>SVY!O355</f>
        <v>4.7696231895940008E-3</v>
      </c>
      <c r="O24" s="120">
        <f>SVY!P355</f>
        <v>1.0155548504760937E-2</v>
      </c>
      <c r="P24" s="120">
        <f>SVY!Q355</f>
        <v>1.3953003135854994E-2</v>
      </c>
      <c r="Q24" s="120">
        <f>SVY!R355</f>
        <v>0.19385088160448205</v>
      </c>
      <c r="R24" s="120">
        <f>SVY!S355</f>
        <v>3.6895026309709521E-4</v>
      </c>
      <c r="S24" s="120">
        <f>SVY!T355</f>
        <v>4.4742140734020421E-3</v>
      </c>
      <c r="T24" s="120">
        <f>SVY!U355</f>
        <v>1.1509642622059627E-2</v>
      </c>
      <c r="U24" s="120">
        <f>SVY!V355</f>
        <v>3.1775079180710035E-2</v>
      </c>
      <c r="V24" s="120">
        <f>SVY!W355</f>
        <v>0.49891920370577642</v>
      </c>
    </row>
    <row r="25" spans="1:22" x14ac:dyDescent="0.35">
      <c r="A25" s="12" t="s">
        <v>77</v>
      </c>
      <c r="B25" s="13" t="s">
        <v>76</v>
      </c>
      <c r="C25" s="120">
        <f>SVY!D356</f>
        <v>3.927396316059522E-2</v>
      </c>
      <c r="D25" s="120">
        <f>SVY!E356</f>
        <v>1.6202859752054131E-2</v>
      </c>
      <c r="E25" s="120">
        <f>SVY!F356</f>
        <v>5.6482206401989407E-2</v>
      </c>
      <c r="F25" s="120">
        <f>SVY!G356</f>
        <v>9.24420693704502E-2</v>
      </c>
      <c r="G25" s="120">
        <f>SVY!H356</f>
        <v>0.13264599937926555</v>
      </c>
      <c r="H25" s="120">
        <f>SVY!I356</f>
        <v>0</v>
      </c>
      <c r="I25" s="120">
        <f>SVY!J356</f>
        <v>0</v>
      </c>
      <c r="J25" s="120">
        <f>SVY!K356</f>
        <v>0</v>
      </c>
      <c r="K25" s="120">
        <f>SVY!L356</f>
        <v>4.7350043137512482E-4</v>
      </c>
      <c r="L25" s="120">
        <f>SVY!M356</f>
        <v>1.6336194487483267E-2</v>
      </c>
      <c r="M25" s="120">
        <f>SVY!N356</f>
        <v>6.7720365762670345E-4</v>
      </c>
      <c r="N25" s="120">
        <f>SVY!O356</f>
        <v>0</v>
      </c>
      <c r="O25" s="120">
        <f>SVY!P356</f>
        <v>2.0440261510938844E-3</v>
      </c>
      <c r="P25" s="120">
        <f>SVY!Q356</f>
        <v>1.3589673573838768E-2</v>
      </c>
      <c r="Q25" s="120">
        <f>SVY!R356</f>
        <v>0.12752278462364422</v>
      </c>
      <c r="R25" s="120">
        <f>SVY!S356</f>
        <v>1.2379532055625012E-3</v>
      </c>
      <c r="S25" s="120">
        <f>SVY!T356</f>
        <v>3.7975688575610141E-4</v>
      </c>
      <c r="T25" s="120">
        <f>SVY!U356</f>
        <v>2.0383778344037775E-3</v>
      </c>
      <c r="U25" s="120">
        <f>SVY!V356</f>
        <v>1.6702936319693312E-2</v>
      </c>
      <c r="V25" s="120">
        <f>SVY!W356</f>
        <v>0.48195049476516788</v>
      </c>
    </row>
    <row r="26" spans="1:22" x14ac:dyDescent="0.35">
      <c r="A26" s="12" t="s">
        <v>81</v>
      </c>
      <c r="B26" s="13" t="s">
        <v>80</v>
      </c>
      <c r="C26" s="120">
        <f>SVY!D357</f>
        <v>0</v>
      </c>
      <c r="D26" s="120">
        <f>SVY!E357</f>
        <v>0</v>
      </c>
      <c r="E26" s="120">
        <f>SVY!F357</f>
        <v>0</v>
      </c>
      <c r="F26" s="120">
        <f>SVY!G357</f>
        <v>0</v>
      </c>
      <c r="G26" s="120">
        <f>SVY!H357</f>
        <v>0</v>
      </c>
      <c r="H26" s="120">
        <f>SVY!I357</f>
        <v>0</v>
      </c>
      <c r="I26" s="120">
        <f>SVY!J357</f>
        <v>0</v>
      </c>
      <c r="J26" s="120">
        <f>SVY!K357</f>
        <v>0</v>
      </c>
      <c r="K26" s="120">
        <f>SVY!L357</f>
        <v>0</v>
      </c>
      <c r="L26" s="120">
        <f>SVY!M357</f>
        <v>0</v>
      </c>
      <c r="M26" s="120">
        <f>SVY!N357</f>
        <v>0</v>
      </c>
      <c r="N26" s="120">
        <f>SVY!O357</f>
        <v>0</v>
      </c>
      <c r="O26" s="120">
        <f>SVY!P357</f>
        <v>0</v>
      </c>
      <c r="P26" s="120">
        <f>SVY!Q357</f>
        <v>0</v>
      </c>
      <c r="Q26" s="120">
        <f>SVY!R357</f>
        <v>0</v>
      </c>
      <c r="R26" s="120">
        <f>SVY!S357</f>
        <v>0</v>
      </c>
      <c r="S26" s="120">
        <f>SVY!T357</f>
        <v>0</v>
      </c>
      <c r="T26" s="120">
        <f>SVY!U357</f>
        <v>0</v>
      </c>
      <c r="U26" s="120">
        <f>SVY!V357</f>
        <v>0</v>
      </c>
      <c r="V26" s="120">
        <f>SVY!W357</f>
        <v>0</v>
      </c>
    </row>
    <row r="27" spans="1:22" x14ac:dyDescent="0.35">
      <c r="A27" s="12" t="s">
        <v>85</v>
      </c>
      <c r="B27" s="13" t="s">
        <v>84</v>
      </c>
      <c r="C27" s="120">
        <f>SVY!D358</f>
        <v>0</v>
      </c>
      <c r="D27" s="120">
        <f>SVY!E358</f>
        <v>0</v>
      </c>
      <c r="E27" s="120">
        <f>SVY!F358</f>
        <v>0</v>
      </c>
      <c r="F27" s="120">
        <f>SVY!G358</f>
        <v>0</v>
      </c>
      <c r="G27" s="120">
        <f>SVY!H358</f>
        <v>0</v>
      </c>
      <c r="H27" s="120">
        <f>SVY!I358</f>
        <v>0</v>
      </c>
      <c r="I27" s="120">
        <f>SVY!J358</f>
        <v>0</v>
      </c>
      <c r="J27" s="120">
        <f>SVY!K358</f>
        <v>0</v>
      </c>
      <c r="K27" s="120">
        <f>SVY!L358</f>
        <v>0</v>
      </c>
      <c r="L27" s="120">
        <f>SVY!M358</f>
        <v>0</v>
      </c>
      <c r="M27" s="120">
        <f>SVY!N358</f>
        <v>0</v>
      </c>
      <c r="N27" s="120">
        <f>SVY!O358</f>
        <v>0</v>
      </c>
      <c r="O27" s="120">
        <f>SVY!P358</f>
        <v>0</v>
      </c>
      <c r="P27" s="120">
        <f>SVY!Q358</f>
        <v>0</v>
      </c>
      <c r="Q27" s="120">
        <f>SVY!R358</f>
        <v>0</v>
      </c>
      <c r="R27" s="120">
        <f>SVY!S358</f>
        <v>0</v>
      </c>
      <c r="S27" s="120">
        <f>SVY!T358</f>
        <v>0</v>
      </c>
      <c r="T27" s="120">
        <f>SVY!U358</f>
        <v>0</v>
      </c>
      <c r="U27" s="120">
        <f>SVY!V358</f>
        <v>0</v>
      </c>
      <c r="V27" s="120">
        <f>SVY!W358</f>
        <v>0</v>
      </c>
    </row>
    <row r="28" spans="1:22" x14ac:dyDescent="0.35">
      <c r="A28" s="12" t="s">
        <v>89</v>
      </c>
      <c r="B28" s="13" t="s">
        <v>88</v>
      </c>
      <c r="C28" s="120">
        <f>SVY!D359</f>
        <v>5.5641968537033938E-2</v>
      </c>
      <c r="D28" s="120">
        <f>SVY!E359</f>
        <v>8.4033672760090147E-2</v>
      </c>
      <c r="E28" s="120">
        <f>SVY!F359</f>
        <v>0.10950644039771301</v>
      </c>
      <c r="F28" s="120">
        <f>SVY!G359</f>
        <v>0.14968958151533665</v>
      </c>
      <c r="G28" s="120">
        <f>SVY!H359</f>
        <v>0.16888673381315231</v>
      </c>
      <c r="H28" s="120">
        <f>SVY!I359</f>
        <v>2.3185146798896229E-4</v>
      </c>
      <c r="I28" s="120">
        <f>SVY!J359</f>
        <v>1.7929092154894908E-4</v>
      </c>
      <c r="J28" s="120">
        <f>SVY!K359</f>
        <v>8.6187953903250989E-4</v>
      </c>
      <c r="K28" s="120">
        <f>SVY!L359</f>
        <v>2.1573694415472459E-3</v>
      </c>
      <c r="L28" s="120">
        <f>SVY!M359</f>
        <v>2.1915832034756038E-2</v>
      </c>
      <c r="M28" s="120">
        <f>SVY!N359</f>
        <v>3.2290765381541037E-3</v>
      </c>
      <c r="N28" s="120">
        <f>SVY!O359</f>
        <v>5.3405570022325424E-3</v>
      </c>
      <c r="O28" s="120">
        <f>SVY!P359</f>
        <v>8.9378660746687218E-3</v>
      </c>
      <c r="P28" s="120">
        <f>SVY!Q359</f>
        <v>1.4497039618027993E-2</v>
      </c>
      <c r="Q28" s="120">
        <f>SVY!R359</f>
        <v>0.1055553607132823</v>
      </c>
      <c r="R28" s="120">
        <f>SVY!S359</f>
        <v>1.1124278791080225E-3</v>
      </c>
      <c r="S28" s="120">
        <f>SVY!T359</f>
        <v>2.4403022093037996E-3</v>
      </c>
      <c r="T28" s="120">
        <f>SVY!U359</f>
        <v>4.9267189866225988E-3</v>
      </c>
      <c r="U28" s="120">
        <f>SVY!V359</f>
        <v>1.469862346973381E-2</v>
      </c>
      <c r="V28" s="120">
        <f>SVY!W359</f>
        <v>0.24615740708066638</v>
      </c>
    </row>
    <row r="29" spans="1:22" x14ac:dyDescent="0.35">
      <c r="A29" s="12" t="s">
        <v>91</v>
      </c>
      <c r="B29" s="13" t="s">
        <v>90</v>
      </c>
      <c r="C29" s="120">
        <f>SVY!D360</f>
        <v>0.14632934688767044</v>
      </c>
      <c r="D29" s="120">
        <f>SVY!E360</f>
        <v>0.20130398939714619</v>
      </c>
      <c r="E29" s="120">
        <f>SVY!F360</f>
        <v>0.22281032903580059</v>
      </c>
      <c r="F29" s="120">
        <f>SVY!G360</f>
        <v>0.21584176611485081</v>
      </c>
      <c r="G29" s="120">
        <f>SVY!H360</f>
        <v>0.11598107813365231</v>
      </c>
      <c r="H29" s="120">
        <f>SVY!I360</f>
        <v>0</v>
      </c>
      <c r="I29" s="120">
        <f>SVY!J360</f>
        <v>3.9135259020364873E-4</v>
      </c>
      <c r="J29" s="120">
        <f>SVY!K360</f>
        <v>1.5618337862498058E-3</v>
      </c>
      <c r="K29" s="120">
        <f>SVY!L360</f>
        <v>1.1889210877559697E-3</v>
      </c>
      <c r="L29" s="120">
        <f>SVY!M360</f>
        <v>0</v>
      </c>
      <c r="M29" s="120">
        <f>SVY!N360</f>
        <v>4.0748706190452486E-3</v>
      </c>
      <c r="N29" s="120">
        <f>SVY!O360</f>
        <v>3.7497637369365141E-3</v>
      </c>
      <c r="O29" s="120">
        <f>SVY!P360</f>
        <v>7.2096487413517317E-3</v>
      </c>
      <c r="P29" s="120">
        <f>SVY!Q360</f>
        <v>1.1068131743520873E-2</v>
      </c>
      <c r="Q29" s="120">
        <f>SVY!R360</f>
        <v>9.2712082405421135E-3</v>
      </c>
      <c r="R29" s="120">
        <f>SVY!S360</f>
        <v>1.9877978513341233E-3</v>
      </c>
      <c r="S29" s="120">
        <f>SVY!T360</f>
        <v>4.2236009046225324E-3</v>
      </c>
      <c r="T29" s="120">
        <f>SVY!U360</f>
        <v>7.3255856672411928E-3</v>
      </c>
      <c r="U29" s="120">
        <f>SVY!V360</f>
        <v>3.7684165860535017E-2</v>
      </c>
      <c r="V29" s="120">
        <f>SVY!W360</f>
        <v>7.9966096015408328E-3</v>
      </c>
    </row>
    <row r="30" spans="1:22" x14ac:dyDescent="0.35">
      <c r="A30" s="12" t="s">
        <v>93</v>
      </c>
      <c r="B30" s="13" t="s">
        <v>92</v>
      </c>
      <c r="C30" s="120">
        <f>SVY!D361</f>
        <v>5.5660291708265778E-3</v>
      </c>
      <c r="D30" s="120">
        <f>SVY!E361</f>
        <v>1.1208154615641931E-2</v>
      </c>
      <c r="E30" s="120">
        <f>SVY!F361</f>
        <v>3.9352139392731723E-2</v>
      </c>
      <c r="F30" s="120">
        <f>SVY!G361</f>
        <v>0.10542758473798984</v>
      </c>
      <c r="G30" s="120">
        <f>SVY!H361</f>
        <v>0.19817016119200434</v>
      </c>
      <c r="H30" s="120">
        <f>SVY!I361</f>
        <v>0</v>
      </c>
      <c r="I30" s="120">
        <f>SVY!J361</f>
        <v>7.48286656714951E-4</v>
      </c>
      <c r="J30" s="120">
        <f>SVY!K361</f>
        <v>0</v>
      </c>
      <c r="K30" s="120">
        <f>SVY!L361</f>
        <v>5.2928916651975681E-3</v>
      </c>
      <c r="L30" s="120">
        <f>SVY!M361</f>
        <v>4.7356896985332166E-2</v>
      </c>
      <c r="M30" s="120">
        <f>SVY!N361</f>
        <v>0</v>
      </c>
      <c r="N30" s="120">
        <f>SVY!O361</f>
        <v>5.5947689989361833E-4</v>
      </c>
      <c r="O30" s="120">
        <f>SVY!P361</f>
        <v>7.7232042892043176E-3</v>
      </c>
      <c r="P30" s="120">
        <f>SVY!Q361</f>
        <v>1.4064442423573988E-2</v>
      </c>
      <c r="Q30" s="120">
        <f>SVY!R361</f>
        <v>0.1764787941160442</v>
      </c>
      <c r="R30" s="120">
        <f>SVY!S361</f>
        <v>0</v>
      </c>
      <c r="S30" s="120">
        <f>SVY!T361</f>
        <v>6.3416019296621987E-4</v>
      </c>
      <c r="T30" s="120">
        <f>SVY!U361</f>
        <v>0</v>
      </c>
      <c r="U30" s="120">
        <f>SVY!V361</f>
        <v>2.7742500292257371E-3</v>
      </c>
      <c r="V30" s="120">
        <f>SVY!W361</f>
        <v>0.38464352763265275</v>
      </c>
    </row>
    <row r="31" spans="1:22" x14ac:dyDescent="0.35">
      <c r="A31" s="12" t="s">
        <v>122</v>
      </c>
      <c r="B31" s="13" t="s">
        <v>121</v>
      </c>
      <c r="C31" s="120">
        <f>SVY!D362</f>
        <v>0</v>
      </c>
      <c r="D31" s="120">
        <f>SVY!E362</f>
        <v>0</v>
      </c>
      <c r="E31" s="120">
        <f>SVY!F362</f>
        <v>0</v>
      </c>
      <c r="F31" s="120">
        <f>SVY!G362</f>
        <v>0</v>
      </c>
      <c r="G31" s="120">
        <f>SVY!H362</f>
        <v>0</v>
      </c>
      <c r="H31" s="120">
        <f>SVY!I362</f>
        <v>0</v>
      </c>
      <c r="I31" s="120">
        <f>SVY!J362</f>
        <v>0</v>
      </c>
      <c r="J31" s="120">
        <f>SVY!K362</f>
        <v>0</v>
      </c>
      <c r="K31" s="120">
        <f>SVY!L362</f>
        <v>0</v>
      </c>
      <c r="L31" s="120">
        <f>SVY!M362</f>
        <v>0</v>
      </c>
      <c r="M31" s="120">
        <f>SVY!N362</f>
        <v>0</v>
      </c>
      <c r="N31" s="120">
        <f>SVY!O362</f>
        <v>0</v>
      </c>
      <c r="O31" s="120">
        <f>SVY!P362</f>
        <v>0</v>
      </c>
      <c r="P31" s="120">
        <f>SVY!Q362</f>
        <v>0</v>
      </c>
      <c r="Q31" s="120">
        <f>SVY!R362</f>
        <v>0</v>
      </c>
      <c r="R31" s="120">
        <f>SVY!S362</f>
        <v>0</v>
      </c>
      <c r="S31" s="120">
        <f>SVY!T362</f>
        <v>0</v>
      </c>
      <c r="T31" s="120">
        <f>SVY!U362</f>
        <v>0</v>
      </c>
      <c r="U31" s="120">
        <f>SVY!V362</f>
        <v>0</v>
      </c>
      <c r="V31" s="120">
        <f>SVY!W362</f>
        <v>0</v>
      </c>
    </row>
    <row r="32" spans="1:22" x14ac:dyDescent="0.35">
      <c r="A32" s="12" t="s">
        <v>124</v>
      </c>
      <c r="B32" s="13" t="s">
        <v>123</v>
      </c>
      <c r="C32" s="120">
        <f>SVY!D363</f>
        <v>5.7450328390567422E-3</v>
      </c>
      <c r="D32" s="120">
        <f>SVY!E363</f>
        <v>7.5715343782275226E-3</v>
      </c>
      <c r="E32" s="120">
        <f>SVY!F363</f>
        <v>6.9702572583394407E-3</v>
      </c>
      <c r="F32" s="120">
        <f>SVY!G363</f>
        <v>1.1133050438951516E-2</v>
      </c>
      <c r="G32" s="120">
        <f>SVY!H363</f>
        <v>3.4924919748755841E-2</v>
      </c>
      <c r="H32" s="120">
        <f>SVY!I363</f>
        <v>1.2033467732769942E-3</v>
      </c>
      <c r="I32" s="120">
        <f>SVY!J363</f>
        <v>0</v>
      </c>
      <c r="J32" s="120">
        <f>SVY!K363</f>
        <v>0</v>
      </c>
      <c r="K32" s="120">
        <f>SVY!L363</f>
        <v>0</v>
      </c>
      <c r="L32" s="120">
        <f>SVY!M363</f>
        <v>1.2463385767259487E-3</v>
      </c>
      <c r="M32" s="120">
        <f>SVY!N363</f>
        <v>0</v>
      </c>
      <c r="N32" s="120">
        <f>SVY!O363</f>
        <v>0</v>
      </c>
      <c r="O32" s="120">
        <f>SVY!P363</f>
        <v>4.7356713094500943E-3</v>
      </c>
      <c r="P32" s="120">
        <f>SVY!Q363</f>
        <v>7.8595194805122521E-3</v>
      </c>
      <c r="Q32" s="120">
        <f>SVY!R363</f>
        <v>9.4176881462765497E-2</v>
      </c>
      <c r="R32" s="120">
        <f>SVY!S363</f>
        <v>0</v>
      </c>
      <c r="S32" s="120">
        <f>SVY!T363</f>
        <v>0</v>
      </c>
      <c r="T32" s="120">
        <f>SVY!U363</f>
        <v>0</v>
      </c>
      <c r="U32" s="120">
        <f>SVY!V363</f>
        <v>5.006754375459198E-3</v>
      </c>
      <c r="V32" s="120">
        <f>SVY!W363</f>
        <v>0.81942669335847884</v>
      </c>
    </row>
    <row r="33" spans="1:22" x14ac:dyDescent="0.35">
      <c r="A33" s="12" t="s">
        <v>126</v>
      </c>
      <c r="B33" s="13" t="s">
        <v>125</v>
      </c>
      <c r="C33" s="120">
        <f>SVY!D364</f>
        <v>0</v>
      </c>
      <c r="D33" s="120">
        <f>SVY!E364</f>
        <v>0</v>
      </c>
      <c r="E33" s="120">
        <f>SVY!F364</f>
        <v>0</v>
      </c>
      <c r="F33" s="120">
        <f>SVY!G364</f>
        <v>0</v>
      </c>
      <c r="G33" s="120">
        <f>SVY!H364</f>
        <v>0</v>
      </c>
      <c r="H33" s="120">
        <f>SVY!I364</f>
        <v>0</v>
      </c>
      <c r="I33" s="120">
        <f>SVY!J364</f>
        <v>0</v>
      </c>
      <c r="J33" s="120">
        <f>SVY!K364</f>
        <v>0</v>
      </c>
      <c r="K33" s="120">
        <f>SVY!L364</f>
        <v>0</v>
      </c>
      <c r="L33" s="120">
        <f>SVY!M364</f>
        <v>0</v>
      </c>
      <c r="M33" s="120">
        <f>SVY!N364</f>
        <v>0</v>
      </c>
      <c r="N33" s="120">
        <f>SVY!O364</f>
        <v>0</v>
      </c>
      <c r="O33" s="120">
        <f>SVY!P364</f>
        <v>0</v>
      </c>
      <c r="P33" s="120">
        <f>SVY!Q364</f>
        <v>0</v>
      </c>
      <c r="Q33" s="120">
        <f>SVY!R364</f>
        <v>0</v>
      </c>
      <c r="R33" s="120">
        <f>SVY!S364</f>
        <v>0</v>
      </c>
      <c r="S33" s="120">
        <f>SVY!T364</f>
        <v>0</v>
      </c>
      <c r="T33" s="120">
        <f>SVY!U364</f>
        <v>0</v>
      </c>
      <c r="U33" s="120">
        <f>SVY!V364</f>
        <v>0</v>
      </c>
      <c r="V33" s="120">
        <f>SVY!W364</f>
        <v>0</v>
      </c>
    </row>
    <row r="34" spans="1:22" x14ac:dyDescent="0.35">
      <c r="A34" s="12" t="s">
        <v>128</v>
      </c>
      <c r="B34" s="13" t="s">
        <v>127</v>
      </c>
      <c r="C34" s="120">
        <f>SVY!D365</f>
        <v>3.2463587077369079E-2</v>
      </c>
      <c r="D34" s="120">
        <f>SVY!E365</f>
        <v>8.9487374086742122E-2</v>
      </c>
      <c r="E34" s="120">
        <f>SVY!F365</f>
        <v>0.12227312865328513</v>
      </c>
      <c r="F34" s="120">
        <f>SVY!G365</f>
        <v>0.27333727441257893</v>
      </c>
      <c r="G34" s="120">
        <f>SVY!H365</f>
        <v>0.31165441606285899</v>
      </c>
      <c r="H34" s="120">
        <f>SVY!I365</f>
        <v>6.608924800663242E-4</v>
      </c>
      <c r="I34" s="120">
        <f>SVY!J365</f>
        <v>0</v>
      </c>
      <c r="J34" s="120">
        <f>SVY!K365</f>
        <v>4.0872075709821404E-4</v>
      </c>
      <c r="K34" s="120">
        <f>SVY!L365</f>
        <v>1.5248001793045324E-3</v>
      </c>
      <c r="L34" s="120">
        <f>SVY!M365</f>
        <v>1.7034641346468388E-2</v>
      </c>
      <c r="M34" s="120">
        <f>SVY!N365</f>
        <v>2.2084353081566598E-3</v>
      </c>
      <c r="N34" s="120">
        <f>SVY!O365</f>
        <v>2.4929593465699662E-3</v>
      </c>
      <c r="O34" s="120">
        <f>SVY!P365</f>
        <v>9.2451735223174798E-3</v>
      </c>
      <c r="P34" s="120">
        <f>SVY!Q365</f>
        <v>1.1487353985923326E-2</v>
      </c>
      <c r="Q34" s="120">
        <f>SVY!R365</f>
        <v>6.0770312461363191E-2</v>
      </c>
      <c r="R34" s="120">
        <f>SVY!S365</f>
        <v>0</v>
      </c>
      <c r="S34" s="120">
        <f>SVY!T365</f>
        <v>9.8551380420811951E-4</v>
      </c>
      <c r="T34" s="120">
        <f>SVY!U365</f>
        <v>3.5076323795039483E-3</v>
      </c>
      <c r="U34" s="120">
        <f>SVY!V365</f>
        <v>6.8654768781608779E-3</v>
      </c>
      <c r="V34" s="120">
        <f>SVY!W365</f>
        <v>5.3592307258024677E-2</v>
      </c>
    </row>
    <row r="35" spans="1:22" x14ac:dyDescent="0.35">
      <c r="A35" s="12" t="s">
        <v>130</v>
      </c>
      <c r="B35" s="13" t="s">
        <v>129</v>
      </c>
      <c r="C35" s="120">
        <f>SVY!D366</f>
        <v>6.6410041181257803E-2</v>
      </c>
      <c r="D35" s="120">
        <f>SVY!E366</f>
        <v>3.3325422209265328E-2</v>
      </c>
      <c r="E35" s="120">
        <f>SVY!F366</f>
        <v>6.4584961955774858E-2</v>
      </c>
      <c r="F35" s="120">
        <f>SVY!G366</f>
        <v>2.9572955597501848E-2</v>
      </c>
      <c r="G35" s="120">
        <f>SVY!H366</f>
        <v>0.19607009093461905</v>
      </c>
      <c r="H35" s="120">
        <f>SVY!I366</f>
        <v>0</v>
      </c>
      <c r="I35" s="120">
        <f>SVY!J366</f>
        <v>0</v>
      </c>
      <c r="J35" s="120">
        <f>SVY!K366</f>
        <v>1.9107169308263148E-2</v>
      </c>
      <c r="K35" s="120">
        <f>SVY!L366</f>
        <v>0</v>
      </c>
      <c r="L35" s="120">
        <f>SVY!M366</f>
        <v>1.3276781237320342E-2</v>
      </c>
      <c r="M35" s="120">
        <f>SVY!N366</f>
        <v>3.5643808928083158E-3</v>
      </c>
      <c r="N35" s="120">
        <f>SVY!O366</f>
        <v>6.9134374002131965E-3</v>
      </c>
      <c r="O35" s="120">
        <f>SVY!P366</f>
        <v>2.4052143385221263E-2</v>
      </c>
      <c r="P35" s="120">
        <f>SVY!Q366</f>
        <v>2.7537124008200121E-2</v>
      </c>
      <c r="Q35" s="120">
        <f>SVY!R366</f>
        <v>0.14935120945057537</v>
      </c>
      <c r="R35" s="120">
        <f>SVY!S366</f>
        <v>0</v>
      </c>
      <c r="S35" s="120">
        <f>SVY!T366</f>
        <v>2.1956006096990658E-3</v>
      </c>
      <c r="T35" s="120">
        <f>SVY!U366</f>
        <v>0</v>
      </c>
      <c r="U35" s="120">
        <f>SVY!V366</f>
        <v>0</v>
      </c>
      <c r="V35" s="120">
        <f>SVY!W366</f>
        <v>0.36403868182928045</v>
      </c>
    </row>
    <row r="36" spans="1:22" x14ac:dyDescent="0.35">
      <c r="A36" s="12" t="s">
        <v>132</v>
      </c>
      <c r="B36" s="13" t="s">
        <v>131</v>
      </c>
      <c r="C36" s="120">
        <f>SVY!D367</f>
        <v>4.9184867876397302E-2</v>
      </c>
      <c r="D36" s="120">
        <f>SVY!E367</f>
        <v>0</v>
      </c>
      <c r="E36" s="120">
        <f>SVY!F367</f>
        <v>0.13514395671380805</v>
      </c>
      <c r="F36" s="120">
        <f>SVY!G367</f>
        <v>0.1725250533747191</v>
      </c>
      <c r="G36" s="120">
        <f>SVY!H367</f>
        <v>0.24428971538547364</v>
      </c>
      <c r="H36" s="120">
        <f>SVY!I367</f>
        <v>0</v>
      </c>
      <c r="I36" s="120">
        <f>SVY!J367</f>
        <v>0</v>
      </c>
      <c r="J36" s="120">
        <f>SVY!K367</f>
        <v>0</v>
      </c>
      <c r="K36" s="120">
        <f>SVY!L367</f>
        <v>0</v>
      </c>
      <c r="L36" s="120">
        <f>SVY!M367</f>
        <v>5.1549291798667865E-2</v>
      </c>
      <c r="M36" s="120">
        <f>SVY!N367</f>
        <v>0</v>
      </c>
      <c r="N36" s="120">
        <f>SVY!O367</f>
        <v>0</v>
      </c>
      <c r="O36" s="120">
        <f>SVY!P367</f>
        <v>2.1806391702301933E-2</v>
      </c>
      <c r="P36" s="120">
        <f>SVY!Q367</f>
        <v>0</v>
      </c>
      <c r="Q36" s="120">
        <f>SVY!R367</f>
        <v>0.12428540361270944</v>
      </c>
      <c r="R36" s="120">
        <f>SVY!S367</f>
        <v>0</v>
      </c>
      <c r="S36" s="120">
        <f>SVY!T367</f>
        <v>0</v>
      </c>
      <c r="T36" s="120">
        <f>SVY!U367</f>
        <v>1.5736556860399167E-3</v>
      </c>
      <c r="U36" s="120">
        <f>SVY!V367</f>
        <v>8.5485978457925479E-2</v>
      </c>
      <c r="V36" s="120">
        <f>SVY!W367</f>
        <v>0.11415568539195749</v>
      </c>
    </row>
    <row r="37" spans="1:22" x14ac:dyDescent="0.35">
      <c r="A37" s="12" t="s">
        <v>134</v>
      </c>
      <c r="B37" s="13" t="s">
        <v>133</v>
      </c>
      <c r="C37" s="120">
        <f>SVY!D368</f>
        <v>9.1716062566795566E-3</v>
      </c>
      <c r="D37" s="120">
        <f>SVY!E368</f>
        <v>2.4022598812742834E-2</v>
      </c>
      <c r="E37" s="120">
        <f>SVY!F368</f>
        <v>3.6852015441316541E-2</v>
      </c>
      <c r="F37" s="120">
        <f>SVY!G368</f>
        <v>9.511023566488562E-2</v>
      </c>
      <c r="G37" s="120">
        <f>SVY!H368</f>
        <v>0.16057940453785055</v>
      </c>
      <c r="H37" s="120">
        <f>SVY!I368</f>
        <v>0</v>
      </c>
      <c r="I37" s="120">
        <f>SVY!J368</f>
        <v>1.4187299229076149E-4</v>
      </c>
      <c r="J37" s="120">
        <f>SVY!K368</f>
        <v>4.50132678140692E-3</v>
      </c>
      <c r="K37" s="120">
        <f>SVY!L368</f>
        <v>4.0021754558986211E-3</v>
      </c>
      <c r="L37" s="120">
        <f>SVY!M368</f>
        <v>2.8162053850371134E-2</v>
      </c>
      <c r="M37" s="120">
        <f>SVY!N368</f>
        <v>9.7473837059734063E-4</v>
      </c>
      <c r="N37" s="120">
        <f>SVY!O368</f>
        <v>2.6742289125321374E-3</v>
      </c>
      <c r="O37" s="120">
        <f>SVY!P368</f>
        <v>8.0130067576574156E-3</v>
      </c>
      <c r="P37" s="120">
        <f>SVY!Q368</f>
        <v>2.254257424449907E-2</v>
      </c>
      <c r="Q37" s="120">
        <f>SVY!R368</f>
        <v>0.14194270256660096</v>
      </c>
      <c r="R37" s="120">
        <f>SVY!S368</f>
        <v>2.6304931636939803E-4</v>
      </c>
      <c r="S37" s="120">
        <f>SVY!T368</f>
        <v>2.1265327488133893E-3</v>
      </c>
      <c r="T37" s="120">
        <f>SVY!U368</f>
        <v>4.0583188981077002E-3</v>
      </c>
      <c r="U37" s="120">
        <f>SVY!V368</f>
        <v>1.2787682429133133E-2</v>
      </c>
      <c r="V37" s="120">
        <f>SVY!W368</f>
        <v>0.44207387596224695</v>
      </c>
    </row>
    <row r="38" spans="1:22" x14ac:dyDescent="0.35">
      <c r="A38" s="12" t="s">
        <v>136</v>
      </c>
      <c r="B38" s="13" t="s">
        <v>135</v>
      </c>
      <c r="C38" s="120">
        <f>SVY!D369</f>
        <v>5.7749528890858213E-3</v>
      </c>
      <c r="D38" s="120">
        <f>SVY!E369</f>
        <v>1.262289496999279E-2</v>
      </c>
      <c r="E38" s="120">
        <f>SVY!F369</f>
        <v>3.0866956505680568E-2</v>
      </c>
      <c r="F38" s="120">
        <f>SVY!G369</f>
        <v>5.8620704005857539E-2</v>
      </c>
      <c r="G38" s="120">
        <f>SVY!H369</f>
        <v>0.14670011956034182</v>
      </c>
      <c r="H38" s="120">
        <f>SVY!I369</f>
        <v>0</v>
      </c>
      <c r="I38" s="120">
        <f>SVY!J369</f>
        <v>8.4457600310095085E-5</v>
      </c>
      <c r="J38" s="120">
        <f>SVY!K369</f>
        <v>1.3437462781032484E-3</v>
      </c>
      <c r="K38" s="120">
        <f>SVY!L369</f>
        <v>3.1262074485214945E-3</v>
      </c>
      <c r="L38" s="120">
        <f>SVY!M369</f>
        <v>4.6025299442039737E-2</v>
      </c>
      <c r="M38" s="120">
        <f>SVY!N369</f>
        <v>5.2835173139940701E-4</v>
      </c>
      <c r="N38" s="120">
        <f>SVY!O369</f>
        <v>4.7882641087142594E-3</v>
      </c>
      <c r="O38" s="120">
        <f>SVY!P369</f>
        <v>6.360617058662834E-3</v>
      </c>
      <c r="P38" s="120">
        <f>SVY!Q369</f>
        <v>1.1736961948895461E-2</v>
      </c>
      <c r="Q38" s="120">
        <f>SVY!R369</f>
        <v>0.1816778987108254</v>
      </c>
      <c r="R38" s="120">
        <f>SVY!S369</f>
        <v>1.6530267410750537E-4</v>
      </c>
      <c r="S38" s="120">
        <f>SVY!T369</f>
        <v>6.8466663256396834E-4</v>
      </c>
      <c r="T38" s="120">
        <f>SVY!U369</f>
        <v>1.5836946455294835E-3</v>
      </c>
      <c r="U38" s="120">
        <f>SVY!V369</f>
        <v>1.4046867175893036E-2</v>
      </c>
      <c r="V38" s="120">
        <f>SVY!W369</f>
        <v>0.47326203661347555</v>
      </c>
    </row>
    <row r="39" spans="1:22" x14ac:dyDescent="0.35">
      <c r="A39" s="12" t="s">
        <v>138</v>
      </c>
      <c r="B39" s="13" t="s">
        <v>137</v>
      </c>
      <c r="C39" s="120">
        <f>SVY!D370</f>
        <v>5.9024234626647396E-2</v>
      </c>
      <c r="D39" s="120">
        <f>SVY!E370</f>
        <v>9.8019489716612992E-2</v>
      </c>
      <c r="E39" s="120">
        <f>SVY!F370</f>
        <v>0.16851989522710525</v>
      </c>
      <c r="F39" s="120">
        <f>SVY!G370</f>
        <v>0.23329829281204698</v>
      </c>
      <c r="G39" s="120">
        <f>SVY!H370</f>
        <v>0.18533955769426302</v>
      </c>
      <c r="H39" s="120">
        <f>SVY!I370</f>
        <v>0</v>
      </c>
      <c r="I39" s="120">
        <f>SVY!J370</f>
        <v>2.9647740757500539E-4</v>
      </c>
      <c r="J39" s="120">
        <f>SVY!K370</f>
        <v>1.165691723405315E-3</v>
      </c>
      <c r="K39" s="120">
        <f>SVY!L370</f>
        <v>2.7314744266043211E-3</v>
      </c>
      <c r="L39" s="120">
        <f>SVY!M370</f>
        <v>1.3798035514686635E-2</v>
      </c>
      <c r="M39" s="120">
        <f>SVY!N370</f>
        <v>3.7924909324094534E-3</v>
      </c>
      <c r="N39" s="120">
        <f>SVY!O370</f>
        <v>5.7702206258806099E-3</v>
      </c>
      <c r="O39" s="120">
        <f>SVY!P370</f>
        <v>1.0633980292693589E-2</v>
      </c>
      <c r="P39" s="120">
        <f>SVY!Q370</f>
        <v>1.2991526423862027E-2</v>
      </c>
      <c r="Q39" s="120">
        <f>SVY!R370</f>
        <v>6.6459986704730273E-2</v>
      </c>
      <c r="R39" s="120">
        <f>SVY!S370</f>
        <v>1.5668389894083791E-3</v>
      </c>
      <c r="S39" s="120">
        <f>SVY!T370</f>
        <v>3.769909630608075E-3</v>
      </c>
      <c r="T39" s="120">
        <f>SVY!U370</f>
        <v>6.2186873968597817E-3</v>
      </c>
      <c r="U39" s="120">
        <f>SVY!V370</f>
        <v>1.8366259995779149E-2</v>
      </c>
      <c r="V39" s="120">
        <f>SVY!W370</f>
        <v>0.10823694985882198</v>
      </c>
    </row>
    <row r="40" spans="1:22" x14ac:dyDescent="0.35">
      <c r="A40" s="12" t="s">
        <v>140</v>
      </c>
      <c r="B40" s="13" t="s">
        <v>139</v>
      </c>
      <c r="C40" s="120">
        <f>SVY!D371</f>
        <v>0</v>
      </c>
      <c r="D40" s="120">
        <f>SVY!E371</f>
        <v>0</v>
      </c>
      <c r="E40" s="120">
        <f>SVY!F371</f>
        <v>0</v>
      </c>
      <c r="F40" s="120">
        <f>SVY!G371</f>
        <v>0</v>
      </c>
      <c r="G40" s="120">
        <f>SVY!H371</f>
        <v>0</v>
      </c>
      <c r="H40" s="120">
        <f>SVY!I371</f>
        <v>0</v>
      </c>
      <c r="I40" s="120">
        <f>SVY!J371</f>
        <v>0</v>
      </c>
      <c r="J40" s="120">
        <f>SVY!K371</f>
        <v>0</v>
      </c>
      <c r="K40" s="120">
        <f>SVY!L371</f>
        <v>0</v>
      </c>
      <c r="L40" s="120">
        <f>SVY!M371</f>
        <v>0</v>
      </c>
      <c r="M40" s="120">
        <f>SVY!N371</f>
        <v>0</v>
      </c>
      <c r="N40" s="120">
        <f>SVY!O371</f>
        <v>0</v>
      </c>
      <c r="O40" s="120">
        <f>SVY!P371</f>
        <v>0</v>
      </c>
      <c r="P40" s="120">
        <f>SVY!Q371</f>
        <v>0</v>
      </c>
      <c r="Q40" s="120">
        <f>SVY!R371</f>
        <v>0</v>
      </c>
      <c r="R40" s="120">
        <f>SVY!S371</f>
        <v>0</v>
      </c>
      <c r="S40" s="120">
        <f>SVY!T371</f>
        <v>0</v>
      </c>
      <c r="T40" s="120">
        <f>SVY!U371</f>
        <v>0</v>
      </c>
      <c r="U40" s="120">
        <f>SVY!V371</f>
        <v>0</v>
      </c>
      <c r="V40" s="120">
        <f>SVY!W371</f>
        <v>0</v>
      </c>
    </row>
    <row r="41" spans="1:22" x14ac:dyDescent="0.35">
      <c r="A41" s="12" t="s">
        <v>142</v>
      </c>
      <c r="B41" s="13" t="s">
        <v>141</v>
      </c>
      <c r="C41" s="120">
        <f>SVY!D372</f>
        <v>5.0403216339452456E-3</v>
      </c>
      <c r="D41" s="120">
        <f>SVY!E372</f>
        <v>1.399656267082598E-2</v>
      </c>
      <c r="E41" s="120">
        <f>SVY!F372</f>
        <v>2.9960114159540377E-2</v>
      </c>
      <c r="F41" s="120">
        <f>SVY!G372</f>
        <v>6.1543443708235578E-2</v>
      </c>
      <c r="G41" s="120">
        <f>SVY!H372</f>
        <v>9.2651419842470148E-2</v>
      </c>
      <c r="H41" s="120">
        <f>SVY!I372</f>
        <v>3.01362361494546E-4</v>
      </c>
      <c r="I41" s="120">
        <f>SVY!J372</f>
        <v>2.1847863283946771E-4</v>
      </c>
      <c r="J41" s="120">
        <f>SVY!K372</f>
        <v>1.4645822228139063E-3</v>
      </c>
      <c r="K41" s="120">
        <f>SVY!L372</f>
        <v>3.6214368066719667E-3</v>
      </c>
      <c r="L41" s="120">
        <f>SVY!M372</f>
        <v>2.022767601450701E-2</v>
      </c>
      <c r="M41" s="120">
        <f>SVY!N372</f>
        <v>2.8974481652554113E-3</v>
      </c>
      <c r="N41" s="120">
        <f>SVY!O372</f>
        <v>8.0240036921945534E-3</v>
      </c>
      <c r="O41" s="120">
        <f>SVY!P372</f>
        <v>1.1628137249927109E-2</v>
      </c>
      <c r="P41" s="120">
        <f>SVY!Q372</f>
        <v>3.0042630421775976E-2</v>
      </c>
      <c r="Q41" s="120">
        <f>SVY!R372</f>
        <v>0.11010462208858285</v>
      </c>
      <c r="R41" s="120">
        <f>SVY!S372</f>
        <v>1.0006971979660457E-3</v>
      </c>
      <c r="S41" s="120">
        <f>SVY!T372</f>
        <v>1.1398904495442798E-2</v>
      </c>
      <c r="T41" s="120">
        <f>SVY!U372</f>
        <v>1.9321239068203946E-2</v>
      </c>
      <c r="U41" s="120">
        <f>SVY!V372</f>
        <v>7.402592606125924E-2</v>
      </c>
      <c r="V41" s="120">
        <f>SVY!W372</f>
        <v>0.50253099350604802</v>
      </c>
    </row>
    <row r="42" spans="1:22" x14ac:dyDescent="0.35">
      <c r="A42" s="12" t="s">
        <v>144</v>
      </c>
      <c r="B42" s="13" t="s">
        <v>143</v>
      </c>
      <c r="C42" s="120">
        <f>SVY!D373</f>
        <v>0</v>
      </c>
      <c r="D42" s="120">
        <f>SVY!E373</f>
        <v>0</v>
      </c>
      <c r="E42" s="120">
        <f>SVY!F373</f>
        <v>0</v>
      </c>
      <c r="F42" s="120">
        <f>SVY!G373</f>
        <v>0</v>
      </c>
      <c r="G42" s="120">
        <f>SVY!H373</f>
        <v>0</v>
      </c>
      <c r="H42" s="120">
        <f>SVY!I373</f>
        <v>0</v>
      </c>
      <c r="I42" s="120">
        <f>SVY!J373</f>
        <v>0</v>
      </c>
      <c r="J42" s="120">
        <f>SVY!K373</f>
        <v>0</v>
      </c>
      <c r="K42" s="120">
        <f>SVY!L373</f>
        <v>0</v>
      </c>
      <c r="L42" s="120">
        <f>SVY!M373</f>
        <v>0</v>
      </c>
      <c r="M42" s="120">
        <f>SVY!N373</f>
        <v>0</v>
      </c>
      <c r="N42" s="120">
        <f>SVY!O373</f>
        <v>0</v>
      </c>
      <c r="O42" s="120">
        <f>SVY!P373</f>
        <v>0</v>
      </c>
      <c r="P42" s="120">
        <f>SVY!Q373</f>
        <v>0</v>
      </c>
      <c r="Q42" s="120">
        <f>SVY!R373</f>
        <v>0</v>
      </c>
      <c r="R42" s="120">
        <f>SVY!S373</f>
        <v>0</v>
      </c>
      <c r="S42" s="120">
        <f>SVY!T373</f>
        <v>0</v>
      </c>
      <c r="T42" s="120">
        <f>SVY!U373</f>
        <v>0</v>
      </c>
      <c r="U42" s="120">
        <f>SVY!V373</f>
        <v>0</v>
      </c>
      <c r="V42" s="120">
        <f>SVY!W373</f>
        <v>0</v>
      </c>
    </row>
    <row r="43" spans="1:22" x14ac:dyDescent="0.35">
      <c r="A43" s="12" t="s">
        <v>146</v>
      </c>
      <c r="B43" s="13" t="s">
        <v>145</v>
      </c>
      <c r="C43" s="120">
        <f>SVY!D374</f>
        <v>0</v>
      </c>
      <c r="D43" s="120">
        <f>SVY!E374</f>
        <v>0</v>
      </c>
      <c r="E43" s="120">
        <f>SVY!F374</f>
        <v>0</v>
      </c>
      <c r="F43" s="120">
        <f>SVY!G374</f>
        <v>0</v>
      </c>
      <c r="G43" s="120">
        <f>SVY!H374</f>
        <v>0</v>
      </c>
      <c r="H43" s="120">
        <f>SVY!I374</f>
        <v>0</v>
      </c>
      <c r="I43" s="120">
        <f>SVY!J374</f>
        <v>0</v>
      </c>
      <c r="J43" s="120">
        <f>SVY!K374</f>
        <v>0</v>
      </c>
      <c r="K43" s="120">
        <f>SVY!L374</f>
        <v>0</v>
      </c>
      <c r="L43" s="120">
        <f>SVY!M374</f>
        <v>0</v>
      </c>
      <c r="M43" s="120">
        <f>SVY!N374</f>
        <v>0</v>
      </c>
      <c r="N43" s="120">
        <f>SVY!O374</f>
        <v>0</v>
      </c>
      <c r="O43" s="120">
        <f>SVY!P374</f>
        <v>0</v>
      </c>
      <c r="P43" s="120">
        <f>SVY!Q374</f>
        <v>0</v>
      </c>
      <c r="Q43" s="120">
        <f>SVY!R374</f>
        <v>0</v>
      </c>
      <c r="R43" s="120">
        <f>SVY!S374</f>
        <v>0</v>
      </c>
      <c r="S43" s="120">
        <f>SVY!T374</f>
        <v>0</v>
      </c>
      <c r="T43" s="120">
        <f>SVY!U374</f>
        <v>0</v>
      </c>
      <c r="U43" s="120">
        <f>SVY!V374</f>
        <v>0</v>
      </c>
      <c r="V43" s="120">
        <f>SVY!W374</f>
        <v>0</v>
      </c>
    </row>
    <row r="44" spans="1:22" x14ac:dyDescent="0.35">
      <c r="A44" s="12" t="s">
        <v>148</v>
      </c>
      <c r="B44" s="13" t="s">
        <v>147</v>
      </c>
      <c r="C44" s="120">
        <f>SVY!D375</f>
        <v>4.1130767269357875E-2</v>
      </c>
      <c r="D44" s="120">
        <f>SVY!E375</f>
        <v>5.1212729131032274E-2</v>
      </c>
      <c r="E44" s="120">
        <f>SVY!F375</f>
        <v>8.142897548367839E-2</v>
      </c>
      <c r="F44" s="120">
        <f>SVY!G375</f>
        <v>0.14903772587377154</v>
      </c>
      <c r="G44" s="120">
        <f>SVY!H375</f>
        <v>0.1676409790825385</v>
      </c>
      <c r="H44" s="120">
        <f>SVY!I375</f>
        <v>9.0531060952135731E-4</v>
      </c>
      <c r="I44" s="120">
        <f>SVY!J375</f>
        <v>0</v>
      </c>
      <c r="J44" s="120">
        <f>SVY!K375</f>
        <v>3.653361036793976E-4</v>
      </c>
      <c r="K44" s="120">
        <f>SVY!L375</f>
        <v>2.7570607779926139E-3</v>
      </c>
      <c r="L44" s="120">
        <f>SVY!M375</f>
        <v>1.5323441003569332E-2</v>
      </c>
      <c r="M44" s="120">
        <f>SVY!N375</f>
        <v>1.292731613119357E-3</v>
      </c>
      <c r="N44" s="120">
        <f>SVY!O375</f>
        <v>4.6573996645124204E-3</v>
      </c>
      <c r="O44" s="120">
        <f>SVY!P375</f>
        <v>1.0730624046615851E-2</v>
      </c>
      <c r="P44" s="120">
        <f>SVY!Q375</f>
        <v>3.293391837253435E-2</v>
      </c>
      <c r="Q44" s="120">
        <f>SVY!R375</f>
        <v>0.15891799167563858</v>
      </c>
      <c r="R44" s="120">
        <f>SVY!S375</f>
        <v>7.8484073361792799E-5</v>
      </c>
      <c r="S44" s="120">
        <f>SVY!T375</f>
        <v>1.7902228781248707E-3</v>
      </c>
      <c r="T44" s="120">
        <f>SVY!U375</f>
        <v>4.4332285913318984E-4</v>
      </c>
      <c r="U44" s="120">
        <f>SVY!V375</f>
        <v>1.1917234687597112E-2</v>
      </c>
      <c r="V44" s="120">
        <f>SVY!W375</f>
        <v>0.26743574479422105</v>
      </c>
    </row>
    <row r="45" spans="1:22" x14ac:dyDescent="0.35">
      <c r="A45" s="12" t="s">
        <v>150</v>
      </c>
      <c r="B45" s="13" t="s">
        <v>149</v>
      </c>
      <c r="C45" s="120">
        <f>SVY!D376</f>
        <v>0</v>
      </c>
      <c r="D45" s="120">
        <f>SVY!E376</f>
        <v>0</v>
      </c>
      <c r="E45" s="120">
        <f>SVY!F376</f>
        <v>0</v>
      </c>
      <c r="F45" s="120">
        <f>SVY!G376</f>
        <v>0</v>
      </c>
      <c r="G45" s="120">
        <f>SVY!H376</f>
        <v>0</v>
      </c>
      <c r="H45" s="120">
        <f>SVY!I376</f>
        <v>0</v>
      </c>
      <c r="I45" s="120">
        <f>SVY!J376</f>
        <v>0</v>
      </c>
      <c r="J45" s="120">
        <f>SVY!K376</f>
        <v>0</v>
      </c>
      <c r="K45" s="120">
        <f>SVY!L376</f>
        <v>0</v>
      </c>
      <c r="L45" s="120">
        <f>SVY!M376</f>
        <v>0</v>
      </c>
      <c r="M45" s="120">
        <f>SVY!N376</f>
        <v>0</v>
      </c>
      <c r="N45" s="120">
        <f>SVY!O376</f>
        <v>0</v>
      </c>
      <c r="O45" s="120">
        <f>SVY!P376</f>
        <v>0</v>
      </c>
      <c r="P45" s="120">
        <f>SVY!Q376</f>
        <v>0</v>
      </c>
      <c r="Q45" s="120">
        <f>SVY!R376</f>
        <v>0</v>
      </c>
      <c r="R45" s="120">
        <f>SVY!S376</f>
        <v>0</v>
      </c>
      <c r="S45" s="120">
        <f>SVY!T376</f>
        <v>0</v>
      </c>
      <c r="T45" s="120">
        <f>SVY!U376</f>
        <v>0</v>
      </c>
      <c r="U45" s="120">
        <f>SVY!V376</f>
        <v>0</v>
      </c>
      <c r="V45" s="120">
        <f>SVY!W376</f>
        <v>0</v>
      </c>
    </row>
    <row r="46" spans="1:22" x14ac:dyDescent="0.35">
      <c r="A46" s="12" t="s">
        <v>152</v>
      </c>
      <c r="B46" s="13" t="s">
        <v>151</v>
      </c>
      <c r="C46" s="120">
        <f>SVY!D377</f>
        <v>3.8540769425612964E-2</v>
      </c>
      <c r="D46" s="120">
        <f>SVY!E377</f>
        <v>5.9524164639458865E-2</v>
      </c>
      <c r="E46" s="120">
        <f>SVY!F377</f>
        <v>9.2392696965032037E-2</v>
      </c>
      <c r="F46" s="120">
        <f>SVY!G377</f>
        <v>0.14358912181333655</v>
      </c>
      <c r="G46" s="120">
        <f>SVY!H377</f>
        <v>0.18332913680060178</v>
      </c>
      <c r="H46" s="120">
        <f>SVY!I377</f>
        <v>0</v>
      </c>
      <c r="I46" s="120">
        <f>SVY!J377</f>
        <v>7.063207033816697E-5</v>
      </c>
      <c r="J46" s="120">
        <f>SVY!K377</f>
        <v>1.9955169724044167E-3</v>
      </c>
      <c r="K46" s="120">
        <f>SVY!L377</f>
        <v>2.554271542209708E-3</v>
      </c>
      <c r="L46" s="120">
        <f>SVY!M377</f>
        <v>1.9631719709110391E-2</v>
      </c>
      <c r="M46" s="120">
        <f>SVY!N377</f>
        <v>2.3727993830919961E-3</v>
      </c>
      <c r="N46" s="120">
        <f>SVY!O377</f>
        <v>2.9491428878015208E-3</v>
      </c>
      <c r="O46" s="120">
        <f>SVY!P377</f>
        <v>8.3244925938255505E-3</v>
      </c>
      <c r="P46" s="120">
        <f>SVY!Q377</f>
        <v>1.4250287507360291E-2</v>
      </c>
      <c r="Q46" s="120">
        <f>SVY!R377</f>
        <v>0.10452980322402132</v>
      </c>
      <c r="R46" s="120">
        <f>SVY!S377</f>
        <v>5.169052130995184E-4</v>
      </c>
      <c r="S46" s="120">
        <f>SVY!T377</f>
        <v>3.1129413628985607E-3</v>
      </c>
      <c r="T46" s="120">
        <f>SVY!U377</f>
        <v>4.6997789589370955E-3</v>
      </c>
      <c r="U46" s="120">
        <f>SVY!V377</f>
        <v>1.6056136260934609E-2</v>
      </c>
      <c r="V46" s="120">
        <f>SVY!W377</f>
        <v>0.30155968266992472</v>
      </c>
    </row>
    <row r="47" spans="1:22" x14ac:dyDescent="0.35">
      <c r="A47" s="12" t="s">
        <v>154</v>
      </c>
      <c r="B47" s="13" t="s">
        <v>153</v>
      </c>
      <c r="C47" s="120">
        <f>SVY!D378</f>
        <v>3.8540769425612964E-2</v>
      </c>
      <c r="D47" s="120">
        <f>SVY!E378</f>
        <v>5.9524164639458865E-2</v>
      </c>
      <c r="E47" s="120">
        <f>SVY!F378</f>
        <v>9.2392696965032037E-2</v>
      </c>
      <c r="F47" s="120">
        <f>SVY!G378</f>
        <v>0.14358912181333655</v>
      </c>
      <c r="G47" s="120">
        <f>SVY!H378</f>
        <v>0.18332913680060178</v>
      </c>
      <c r="H47" s="120">
        <f>SVY!I378</f>
        <v>0</v>
      </c>
      <c r="I47" s="120">
        <f>SVY!J378</f>
        <v>7.063207033816697E-5</v>
      </c>
      <c r="J47" s="120">
        <f>SVY!K378</f>
        <v>1.9955169724044167E-3</v>
      </c>
      <c r="K47" s="120">
        <f>SVY!L378</f>
        <v>2.554271542209708E-3</v>
      </c>
      <c r="L47" s="120">
        <f>SVY!M378</f>
        <v>1.9631719709110391E-2</v>
      </c>
      <c r="M47" s="120">
        <f>SVY!N378</f>
        <v>2.3727993830919961E-3</v>
      </c>
      <c r="N47" s="120">
        <f>SVY!O378</f>
        <v>2.9491428878015208E-3</v>
      </c>
      <c r="O47" s="120">
        <f>SVY!P378</f>
        <v>8.3244925938255505E-3</v>
      </c>
      <c r="P47" s="120">
        <f>SVY!Q378</f>
        <v>1.4250287507360291E-2</v>
      </c>
      <c r="Q47" s="120">
        <f>SVY!R378</f>
        <v>0.10452980322402132</v>
      </c>
      <c r="R47" s="120">
        <f>SVY!S378</f>
        <v>5.169052130995184E-4</v>
      </c>
      <c r="S47" s="120">
        <f>SVY!T378</f>
        <v>3.1129413628985607E-3</v>
      </c>
      <c r="T47" s="120">
        <f>SVY!U378</f>
        <v>4.6997789589370955E-3</v>
      </c>
      <c r="U47" s="120">
        <f>SVY!V378</f>
        <v>1.6056136260934609E-2</v>
      </c>
      <c r="V47" s="120">
        <f>SVY!W378</f>
        <v>0.30155968266992472</v>
      </c>
    </row>
    <row r="48" spans="1:22" x14ac:dyDescent="0.35">
      <c r="A48" s="12" t="s">
        <v>156</v>
      </c>
      <c r="B48" s="13" t="s">
        <v>155</v>
      </c>
      <c r="C48" s="120">
        <f>SVY!D379</f>
        <v>8.7923503401402692E-3</v>
      </c>
      <c r="D48" s="120">
        <f>SVY!E379</f>
        <v>3.1597771307426033E-2</v>
      </c>
      <c r="E48" s="120">
        <f>SVY!F379</f>
        <v>5.4286843433863238E-2</v>
      </c>
      <c r="F48" s="120">
        <f>SVY!G379</f>
        <v>0.12904080641933741</v>
      </c>
      <c r="G48" s="120">
        <f>SVY!H379</f>
        <v>0.22263057880341033</v>
      </c>
      <c r="H48" s="120">
        <f>SVY!I379</f>
        <v>6.475712404537551E-5</v>
      </c>
      <c r="I48" s="120">
        <f>SVY!J379</f>
        <v>1.3031615813443388E-4</v>
      </c>
      <c r="J48" s="120">
        <f>SVY!K379</f>
        <v>2.4089846336824674E-4</v>
      </c>
      <c r="K48" s="120">
        <f>SVY!L379</f>
        <v>2.6237253108973278E-3</v>
      </c>
      <c r="L48" s="120">
        <f>SVY!M379</f>
        <v>1.8198200444942043E-2</v>
      </c>
      <c r="M48" s="120">
        <f>SVY!N379</f>
        <v>1.0320494692438325E-3</v>
      </c>
      <c r="N48" s="120">
        <f>SVY!O379</f>
        <v>3.1953030971363637E-3</v>
      </c>
      <c r="O48" s="120">
        <f>SVY!P379</f>
        <v>7.2977724135911961E-3</v>
      </c>
      <c r="P48" s="120">
        <f>SVY!Q379</f>
        <v>1.861070010495245E-2</v>
      </c>
      <c r="Q48" s="120">
        <f>SVY!R379</f>
        <v>0.15021811821313166</v>
      </c>
      <c r="R48" s="120">
        <f>SVY!S379</f>
        <v>5.9471790953452672E-4</v>
      </c>
      <c r="S48" s="120">
        <f>SVY!T379</f>
        <v>3.0431071512147731E-3</v>
      </c>
      <c r="T48" s="120">
        <f>SVY!U379</f>
        <v>7.0885698918405227E-3</v>
      </c>
      <c r="U48" s="120">
        <f>SVY!V379</f>
        <v>1.774062242958287E-2</v>
      </c>
      <c r="V48" s="120">
        <f>SVY!W379</f>
        <v>0.32357279151420687</v>
      </c>
    </row>
    <row r="49" spans="1:22" x14ac:dyDescent="0.35">
      <c r="A49" s="12" t="s">
        <v>158</v>
      </c>
      <c r="B49" s="13" t="s">
        <v>157</v>
      </c>
      <c r="C49" s="120">
        <f>SVY!D380</f>
        <v>6.8655655879948235E-2</v>
      </c>
      <c r="D49" s="120">
        <f>SVY!E380</f>
        <v>0.10283003829956312</v>
      </c>
      <c r="E49" s="120">
        <f>SVY!F380</f>
        <v>0.13887593655044075</v>
      </c>
      <c r="F49" s="120">
        <f>SVY!G380</f>
        <v>0.18855509586487026</v>
      </c>
      <c r="G49" s="120">
        <f>SVY!H380</f>
        <v>0.17115180911969072</v>
      </c>
      <c r="H49" s="120">
        <f>SVY!I380</f>
        <v>5.4345037469400198E-5</v>
      </c>
      <c r="I49" s="120">
        <f>SVY!J380</f>
        <v>4.2466545139212839E-4</v>
      </c>
      <c r="J49" s="120">
        <f>SVY!K380</f>
        <v>1.34560601581783E-3</v>
      </c>
      <c r="K49" s="120">
        <f>SVY!L380</f>
        <v>1.4924454076263236E-3</v>
      </c>
      <c r="L49" s="120">
        <f>SVY!M380</f>
        <v>1.0089149141090829E-2</v>
      </c>
      <c r="M49" s="120">
        <f>SVY!N380</f>
        <v>6.9548166113143559E-3</v>
      </c>
      <c r="N49" s="120">
        <f>SVY!O380</f>
        <v>1.0861519295777123E-2</v>
      </c>
      <c r="O49" s="120">
        <f>SVY!P380</f>
        <v>1.7602010385641246E-2</v>
      </c>
      <c r="P49" s="120">
        <f>SVY!Q380</f>
        <v>2.7828547483360208E-2</v>
      </c>
      <c r="Q49" s="120">
        <f>SVY!R380</f>
        <v>7.1270992619917248E-2</v>
      </c>
      <c r="R49" s="120">
        <f>SVY!S380</f>
        <v>2.1212198971849302E-3</v>
      </c>
      <c r="S49" s="120">
        <f>SVY!T380</f>
        <v>5.5304245508124893E-3</v>
      </c>
      <c r="T49" s="120">
        <f>SVY!U380</f>
        <v>8.1175390371797107E-3</v>
      </c>
      <c r="U49" s="120">
        <f>SVY!V380</f>
        <v>2.8673879271058546E-2</v>
      </c>
      <c r="V49" s="120">
        <f>SVY!W380</f>
        <v>0.13756430407984466</v>
      </c>
    </row>
    <row r="50" spans="1:22" x14ac:dyDescent="0.35">
      <c r="A50" s="12" t="s">
        <v>160</v>
      </c>
      <c r="B50" s="13" t="s">
        <v>159</v>
      </c>
      <c r="C50" s="120">
        <f>SVY!D381</f>
        <v>5.6928343670334272E-4</v>
      </c>
      <c r="D50" s="120">
        <f>SVY!E381</f>
        <v>3.9714816090794932E-3</v>
      </c>
      <c r="E50" s="120">
        <f>SVY!F381</f>
        <v>9.33585983833299E-3</v>
      </c>
      <c r="F50" s="120">
        <f>SVY!G381</f>
        <v>3.1087923126405622E-2</v>
      </c>
      <c r="G50" s="120">
        <f>SVY!H381</f>
        <v>7.1378203233785659E-2</v>
      </c>
      <c r="H50" s="120">
        <f>SVY!I381</f>
        <v>0</v>
      </c>
      <c r="I50" s="120">
        <f>SVY!J381</f>
        <v>0</v>
      </c>
      <c r="J50" s="120">
        <f>SVY!K381</f>
        <v>1.6778635535941719E-4</v>
      </c>
      <c r="K50" s="120">
        <f>SVY!L381</f>
        <v>6.1648683804539487E-4</v>
      </c>
      <c r="L50" s="120">
        <f>SVY!M381</f>
        <v>2.2089874586602963E-2</v>
      </c>
      <c r="M50" s="120">
        <f>SVY!N381</f>
        <v>0</v>
      </c>
      <c r="N50" s="120">
        <f>SVY!O381</f>
        <v>3.8802132522564129E-4</v>
      </c>
      <c r="O50" s="120">
        <f>SVY!P381</f>
        <v>2.2373491034338691E-3</v>
      </c>
      <c r="P50" s="120">
        <f>SVY!Q381</f>
        <v>6.8774989105492741E-3</v>
      </c>
      <c r="Q50" s="120">
        <f>SVY!R381</f>
        <v>0.25216689793177532</v>
      </c>
      <c r="R50" s="120">
        <f>SVY!S381</f>
        <v>3.7564045983796464E-4</v>
      </c>
      <c r="S50" s="120">
        <f>SVY!T381</f>
        <v>2.9758378449754898E-4</v>
      </c>
      <c r="T50" s="120">
        <f>SVY!U381</f>
        <v>2.3841926201622734E-3</v>
      </c>
      <c r="U50" s="120">
        <f>SVY!V381</f>
        <v>1.0080997421275001E-2</v>
      </c>
      <c r="V50" s="120">
        <f>SVY!W381</f>
        <v>0.58597491941892821</v>
      </c>
    </row>
    <row r="51" spans="1:22" x14ac:dyDescent="0.35">
      <c r="A51" s="12" t="s">
        <v>162</v>
      </c>
      <c r="B51" s="13" t="s">
        <v>161</v>
      </c>
      <c r="C51" s="120">
        <f>SVY!D382</f>
        <v>4.920501101795087E-2</v>
      </c>
      <c r="D51" s="120">
        <f>SVY!E382</f>
        <v>8.6647021545176853E-2</v>
      </c>
      <c r="E51" s="120">
        <f>SVY!F382</f>
        <v>0.12415891390480271</v>
      </c>
      <c r="F51" s="120">
        <f>SVY!G382</f>
        <v>0.18378202222705647</v>
      </c>
      <c r="G51" s="120">
        <f>SVY!H382</f>
        <v>0.17975846355140934</v>
      </c>
      <c r="H51" s="120">
        <f>SVY!I382</f>
        <v>1.8661710106776289E-4</v>
      </c>
      <c r="I51" s="120">
        <f>SVY!J382</f>
        <v>1.7788564821342483E-4</v>
      </c>
      <c r="J51" s="120">
        <f>SVY!K382</f>
        <v>1.1850403870930569E-3</v>
      </c>
      <c r="K51" s="120">
        <f>SVY!L382</f>
        <v>2.8192712414664102E-3</v>
      </c>
      <c r="L51" s="120">
        <f>SVY!M382</f>
        <v>1.6143147542685411E-2</v>
      </c>
      <c r="M51" s="120">
        <f>SVY!N382</f>
        <v>4.2705041006808522E-3</v>
      </c>
      <c r="N51" s="120">
        <f>SVY!O382</f>
        <v>7.9349856649535751E-3</v>
      </c>
      <c r="O51" s="120">
        <f>SVY!P382</f>
        <v>1.3770754848246218E-2</v>
      </c>
      <c r="P51" s="120">
        <f>SVY!Q382</f>
        <v>2.0576161333715141E-2</v>
      </c>
      <c r="Q51" s="120">
        <f>SVY!R382</f>
        <v>9.2090394243732124E-2</v>
      </c>
      <c r="R51" s="120">
        <f>SVY!S382</f>
        <v>1.5147840106753694E-3</v>
      </c>
      <c r="S51" s="120">
        <f>SVY!T382</f>
        <v>5.1565293230818408E-3</v>
      </c>
      <c r="T51" s="120">
        <f>SVY!U382</f>
        <v>9.1197879295916648E-3</v>
      </c>
      <c r="U51" s="120">
        <f>SVY!V382</f>
        <v>2.2807350966425277E-2</v>
      </c>
      <c r="V51" s="120">
        <f>SVY!W382</f>
        <v>0.17869535341197559</v>
      </c>
    </row>
    <row r="52" spans="1:22" x14ac:dyDescent="0.35">
      <c r="A52" s="12" t="s">
        <v>164</v>
      </c>
      <c r="B52" s="13" t="s">
        <v>163</v>
      </c>
      <c r="C52" s="120">
        <f>SVY!D383</f>
        <v>1.6449911829513063E-2</v>
      </c>
      <c r="D52" s="120">
        <f>SVY!E383</f>
        <v>4.8786685385358776E-2</v>
      </c>
      <c r="E52" s="120">
        <f>SVY!F383</f>
        <v>8.3255932965686882E-2</v>
      </c>
      <c r="F52" s="120">
        <f>SVY!G383</f>
        <v>0.17179714317523809</v>
      </c>
      <c r="G52" s="120">
        <f>SVY!H383</f>
        <v>0.19800805604496502</v>
      </c>
      <c r="H52" s="120">
        <f>SVY!I383</f>
        <v>0</v>
      </c>
      <c r="I52" s="120">
        <f>SVY!J383</f>
        <v>2.7619077435733091E-4</v>
      </c>
      <c r="J52" s="120">
        <f>SVY!K383</f>
        <v>9.0986724449386045E-4</v>
      </c>
      <c r="K52" s="120">
        <f>SVY!L383</f>
        <v>2.7522901526658098E-3</v>
      </c>
      <c r="L52" s="120">
        <f>SVY!M383</f>
        <v>3.4953666985524406E-2</v>
      </c>
      <c r="M52" s="120">
        <f>SVY!N383</f>
        <v>1.0700271609745979E-3</v>
      </c>
      <c r="N52" s="120">
        <f>SVY!O383</f>
        <v>2.3024047869781897E-3</v>
      </c>
      <c r="O52" s="120">
        <f>SVY!P383</f>
        <v>6.908964301048595E-3</v>
      </c>
      <c r="P52" s="120">
        <f>SVY!Q383</f>
        <v>8.0352452484873486E-3</v>
      </c>
      <c r="Q52" s="120">
        <f>SVY!R383</f>
        <v>0.12902144586025505</v>
      </c>
      <c r="R52" s="120">
        <f>SVY!S383</f>
        <v>0</v>
      </c>
      <c r="S52" s="120">
        <f>SVY!T383</f>
        <v>6.7916591769271437E-4</v>
      </c>
      <c r="T52" s="120">
        <f>SVY!U383</f>
        <v>1.9668269088245023E-3</v>
      </c>
      <c r="U52" s="120">
        <f>SVY!V383</f>
        <v>9.4085030485683407E-3</v>
      </c>
      <c r="V52" s="120">
        <f>SVY!W383</f>
        <v>0.28341767220936731</v>
      </c>
    </row>
    <row r="53" spans="1:22" x14ac:dyDescent="0.35">
      <c r="A53" s="12" t="s">
        <v>166</v>
      </c>
      <c r="B53" s="13" t="s">
        <v>165</v>
      </c>
      <c r="C53" s="120">
        <f>SVY!D384</f>
        <v>6.6341837844441948E-2</v>
      </c>
      <c r="D53" s="120">
        <f>SVY!E384</f>
        <v>9.0471073921465889E-2</v>
      </c>
      <c r="E53" s="120">
        <f>SVY!F384</f>
        <v>0.11551571300820838</v>
      </c>
      <c r="F53" s="120">
        <f>SVY!G384</f>
        <v>0.1724616013867665</v>
      </c>
      <c r="G53" s="120">
        <f>SVY!H384</f>
        <v>0.17133730047371923</v>
      </c>
      <c r="H53" s="120">
        <f>SVY!I384</f>
        <v>3.2886351588300476E-4</v>
      </c>
      <c r="I53" s="120">
        <f>SVY!J384</f>
        <v>4.1572967984929772E-4</v>
      </c>
      <c r="J53" s="120">
        <f>SVY!K384</f>
        <v>1.8738153354697672E-3</v>
      </c>
      <c r="K53" s="120">
        <f>SVY!L384</f>
        <v>2.5158114667348714E-3</v>
      </c>
      <c r="L53" s="120">
        <f>SVY!M384</f>
        <v>1.3185354004432824E-2</v>
      </c>
      <c r="M53" s="120">
        <f>SVY!N384</f>
        <v>5.6301826977443329E-3</v>
      </c>
      <c r="N53" s="120">
        <f>SVY!O384</f>
        <v>8.4229017181757723E-3</v>
      </c>
      <c r="O53" s="120">
        <f>SVY!P384</f>
        <v>1.2871921453595376E-2</v>
      </c>
      <c r="P53" s="120">
        <f>SVY!Q384</f>
        <v>2.1278298156445611E-2</v>
      </c>
      <c r="Q53" s="120">
        <f>SVY!R384</f>
        <v>8.4415691296109291E-2</v>
      </c>
      <c r="R53" s="120">
        <f>SVY!S384</f>
        <v>1.8847132760001837E-3</v>
      </c>
      <c r="S53" s="120">
        <f>SVY!T384</f>
        <v>6.9193252805220687E-3</v>
      </c>
      <c r="T53" s="120">
        <f>SVY!U384</f>
        <v>1.1062973587532691E-2</v>
      </c>
      <c r="U53" s="120">
        <f>SVY!V384</f>
        <v>2.861655614182727E-2</v>
      </c>
      <c r="V53" s="120">
        <f>SVY!W384</f>
        <v>0.18445033575507572</v>
      </c>
    </row>
    <row r="54" spans="1:22" x14ac:dyDescent="0.35">
      <c r="A54" s="12" t="s">
        <v>168</v>
      </c>
      <c r="B54" s="13" t="s">
        <v>167</v>
      </c>
      <c r="C54" s="120">
        <f>SVY!D385</f>
        <v>3.2235757187212534E-2</v>
      </c>
      <c r="D54" s="120">
        <f>SVY!E385</f>
        <v>5.9751148754358469E-2</v>
      </c>
      <c r="E54" s="120">
        <f>SVY!F385</f>
        <v>9.8461277869450081E-2</v>
      </c>
      <c r="F54" s="120">
        <f>SVY!G385</f>
        <v>0.14593688429735607</v>
      </c>
      <c r="G54" s="120">
        <f>SVY!H385</f>
        <v>0.16913812025994879</v>
      </c>
      <c r="H54" s="120">
        <f>SVY!I385</f>
        <v>2.1653862689778402E-4</v>
      </c>
      <c r="I54" s="120">
        <f>SVY!J385</f>
        <v>4.0248813403616856E-4</v>
      </c>
      <c r="J54" s="120">
        <f>SVY!K385</f>
        <v>1.1265398465525314E-3</v>
      </c>
      <c r="K54" s="120">
        <f>SVY!L385</f>
        <v>3.6021472736917212E-3</v>
      </c>
      <c r="L54" s="120">
        <f>SVY!M385</f>
        <v>2.256364428786474E-2</v>
      </c>
      <c r="M54" s="120">
        <f>SVY!N385</f>
        <v>2.0204405281297323E-3</v>
      </c>
      <c r="N54" s="120">
        <f>SVY!O385</f>
        <v>3.9684538779079653E-3</v>
      </c>
      <c r="O54" s="120">
        <f>SVY!P385</f>
        <v>8.6661352565771642E-3</v>
      </c>
      <c r="P54" s="120">
        <f>SVY!Q385</f>
        <v>1.4392595371272065E-2</v>
      </c>
      <c r="Q54" s="120">
        <f>SVY!R385</f>
        <v>0.11534234141327966</v>
      </c>
      <c r="R54" s="120">
        <f>SVY!S385</f>
        <v>5.3979895427552749E-4</v>
      </c>
      <c r="S54" s="120">
        <f>SVY!T385</f>
        <v>2.4927152881539707E-3</v>
      </c>
      <c r="T54" s="120">
        <f>SVY!U385</f>
        <v>5.0245055378961229E-3</v>
      </c>
      <c r="U54" s="120">
        <f>SVY!V385</f>
        <v>1.6793709289709774E-2</v>
      </c>
      <c r="V54" s="120">
        <f>SVY!W385</f>
        <v>0.29732475794542917</v>
      </c>
    </row>
    <row r="55" spans="1:22" x14ac:dyDescent="0.35">
      <c r="A55" s="12" t="s">
        <v>170</v>
      </c>
      <c r="B55" s="13" t="s">
        <v>169</v>
      </c>
      <c r="C55" s="120">
        <f>SVY!D386</f>
        <v>0</v>
      </c>
      <c r="D55" s="120">
        <f>SVY!E386</f>
        <v>0</v>
      </c>
      <c r="E55" s="120">
        <f>SVY!F386</f>
        <v>0</v>
      </c>
      <c r="F55" s="120">
        <f>SVY!G386</f>
        <v>0</v>
      </c>
      <c r="G55" s="120">
        <f>SVY!H386</f>
        <v>0</v>
      </c>
      <c r="H55" s="120">
        <f>SVY!I386</f>
        <v>0</v>
      </c>
      <c r="I55" s="120">
        <f>SVY!J386</f>
        <v>0</v>
      </c>
      <c r="J55" s="120">
        <f>SVY!K386</f>
        <v>0</v>
      </c>
      <c r="K55" s="120">
        <f>SVY!L386</f>
        <v>0</v>
      </c>
      <c r="L55" s="120">
        <f>SVY!M386</f>
        <v>0</v>
      </c>
      <c r="M55" s="120">
        <f>SVY!N386</f>
        <v>0</v>
      </c>
      <c r="N55" s="120">
        <f>SVY!O386</f>
        <v>0</v>
      </c>
      <c r="O55" s="120">
        <f>SVY!P386</f>
        <v>0</v>
      </c>
      <c r="P55" s="120">
        <f>SVY!Q386</f>
        <v>0</v>
      </c>
      <c r="Q55" s="120">
        <f>SVY!R386</f>
        <v>0</v>
      </c>
      <c r="R55" s="120">
        <f>SVY!S386</f>
        <v>0</v>
      </c>
      <c r="S55" s="120">
        <f>SVY!T386</f>
        <v>0</v>
      </c>
      <c r="T55" s="120">
        <f>SVY!U386</f>
        <v>0</v>
      </c>
      <c r="U55" s="120">
        <f>SVY!V386</f>
        <v>0</v>
      </c>
      <c r="V55" s="120">
        <f>SVY!W386</f>
        <v>0</v>
      </c>
    </row>
    <row r="56" spans="1:22" x14ac:dyDescent="0.35">
      <c r="A56" s="12" t="s">
        <v>172</v>
      </c>
      <c r="B56" s="13" t="s">
        <v>171</v>
      </c>
      <c r="C56" s="120">
        <f>SVY!D387</f>
        <v>5.5641968537033931E-2</v>
      </c>
      <c r="D56" s="120">
        <f>SVY!E387</f>
        <v>8.4033672760090133E-2</v>
      </c>
      <c r="E56" s="120">
        <f>SVY!F387</f>
        <v>0.109506440397713</v>
      </c>
      <c r="F56" s="120">
        <f>SVY!G387</f>
        <v>0.14968958151533665</v>
      </c>
      <c r="G56" s="120">
        <f>SVY!H387</f>
        <v>0.16888673381315228</v>
      </c>
      <c r="H56" s="120">
        <f>SVY!I387</f>
        <v>2.3185146798896227E-4</v>
      </c>
      <c r="I56" s="120">
        <f>SVY!J387</f>
        <v>1.7929092154894905E-4</v>
      </c>
      <c r="J56" s="120">
        <f>SVY!K387</f>
        <v>8.6187953903250978E-4</v>
      </c>
      <c r="K56" s="120">
        <f>SVY!L387</f>
        <v>2.1573694415472455E-3</v>
      </c>
      <c r="L56" s="120">
        <f>SVY!M387</f>
        <v>2.1915832034756038E-2</v>
      </c>
      <c r="M56" s="120">
        <f>SVY!N387</f>
        <v>3.2290765381541033E-3</v>
      </c>
      <c r="N56" s="120">
        <f>SVY!O387</f>
        <v>5.3405570022325424E-3</v>
      </c>
      <c r="O56" s="120">
        <f>SVY!P387</f>
        <v>8.9378660746687218E-3</v>
      </c>
      <c r="P56" s="120">
        <f>SVY!Q387</f>
        <v>1.4497039618027991E-2</v>
      </c>
      <c r="Q56" s="120">
        <f>SVY!R387</f>
        <v>0.1055553607132823</v>
      </c>
      <c r="R56" s="120">
        <f>SVY!S387</f>
        <v>1.1124278791080225E-3</v>
      </c>
      <c r="S56" s="120">
        <f>SVY!T387</f>
        <v>2.4403022093037992E-3</v>
      </c>
      <c r="T56" s="120">
        <f>SVY!U387</f>
        <v>4.9267189866225979E-3</v>
      </c>
      <c r="U56" s="120">
        <f>SVY!V387</f>
        <v>1.4698623469733808E-2</v>
      </c>
      <c r="V56" s="120">
        <f>SVY!W387</f>
        <v>0.24615740708066636</v>
      </c>
    </row>
    <row r="57" spans="1:22" x14ac:dyDescent="0.35">
      <c r="A57" s="12" t="s">
        <v>174</v>
      </c>
      <c r="B57" s="13" t="s">
        <v>173</v>
      </c>
      <c r="C57" s="120">
        <f>SVY!D388</f>
        <v>1.8064648069269589E-2</v>
      </c>
      <c r="D57" s="120">
        <f>SVY!E388</f>
        <v>3.7547108706740717E-2</v>
      </c>
      <c r="E57" s="120">
        <f>SVY!F388</f>
        <v>6.0290866170857452E-2</v>
      </c>
      <c r="F57" s="120">
        <f>SVY!G388</f>
        <v>0.11435336104214389</v>
      </c>
      <c r="G57" s="120">
        <f>SVY!H388</f>
        <v>0.17907173158998488</v>
      </c>
      <c r="H57" s="120">
        <f>SVY!I388</f>
        <v>0</v>
      </c>
      <c r="I57" s="120">
        <f>SVY!J388</f>
        <v>1.0616590152513568E-4</v>
      </c>
      <c r="J57" s="120">
        <f>SVY!K388</f>
        <v>2.1305547796037814E-4</v>
      </c>
      <c r="K57" s="120">
        <f>SVY!L388</f>
        <v>0</v>
      </c>
      <c r="L57" s="120">
        <f>SVY!M388</f>
        <v>2.3957684684233784E-2</v>
      </c>
      <c r="M57" s="120">
        <f>SVY!N388</f>
        <v>1.6476500751582115E-3</v>
      </c>
      <c r="N57" s="120">
        <f>SVY!O388</f>
        <v>2.8040175848714263E-3</v>
      </c>
      <c r="O57" s="120">
        <f>SVY!P388</f>
        <v>1.2346938415398998E-2</v>
      </c>
      <c r="P57" s="120">
        <f>SVY!Q388</f>
        <v>3.2304075173231986E-2</v>
      </c>
      <c r="Q57" s="120">
        <f>SVY!R388</f>
        <v>0.21914010293159913</v>
      </c>
      <c r="R57" s="120">
        <f>SVY!S388</f>
        <v>5.6672320318944909E-4</v>
      </c>
      <c r="S57" s="120">
        <f>SVY!T388</f>
        <v>0</v>
      </c>
      <c r="T57" s="120">
        <f>SVY!U388</f>
        <v>4.9468008357514276E-3</v>
      </c>
      <c r="U57" s="120">
        <f>SVY!V388</f>
        <v>3.8923649878489699E-3</v>
      </c>
      <c r="V57" s="120">
        <f>SVY!W388</f>
        <v>0.28874670515023471</v>
      </c>
    </row>
    <row r="58" spans="1:22" x14ac:dyDescent="0.35">
      <c r="A58" s="12" t="s">
        <v>176</v>
      </c>
      <c r="B58" s="13" t="s">
        <v>175</v>
      </c>
      <c r="C58" s="120">
        <f>SVY!D389</f>
        <v>1.9678451326735649E-2</v>
      </c>
      <c r="D58" s="120">
        <f>SVY!E389</f>
        <v>3.9750191314119658E-2</v>
      </c>
      <c r="E58" s="120">
        <f>SVY!F389</f>
        <v>7.4527179025570531E-2</v>
      </c>
      <c r="F58" s="120">
        <f>SVY!G389</f>
        <v>0.14087160613028163</v>
      </c>
      <c r="G58" s="120">
        <f>SVY!H389</f>
        <v>0.1927593110641474</v>
      </c>
      <c r="H58" s="120">
        <f>SVY!I389</f>
        <v>7.3224360920548428E-5</v>
      </c>
      <c r="I58" s="120">
        <f>SVY!J389</f>
        <v>0</v>
      </c>
      <c r="J58" s="120">
        <f>SVY!K389</f>
        <v>1.577901487783095E-3</v>
      </c>
      <c r="K58" s="120">
        <f>SVY!L389</f>
        <v>1.2768579050015827E-3</v>
      </c>
      <c r="L58" s="120">
        <f>SVY!M389</f>
        <v>2.5223163978175558E-2</v>
      </c>
      <c r="M58" s="120">
        <f>SVY!N389</f>
        <v>1.6964159089496215E-3</v>
      </c>
      <c r="N58" s="120">
        <f>SVY!O389</f>
        <v>7.5903792623036748E-3</v>
      </c>
      <c r="O58" s="120">
        <f>SVY!P389</f>
        <v>9.9692795341250334E-3</v>
      </c>
      <c r="P58" s="120">
        <f>SVY!Q389</f>
        <v>1.933266673356893E-2</v>
      </c>
      <c r="Q58" s="120">
        <f>SVY!R389</f>
        <v>0.14610246712220606</v>
      </c>
      <c r="R58" s="120">
        <f>SVY!S389</f>
        <v>1.2892905934679881E-4</v>
      </c>
      <c r="S58" s="120">
        <f>SVY!T389</f>
        <v>7.4334783634555509E-4</v>
      </c>
      <c r="T58" s="120">
        <f>SVY!U389</f>
        <v>3.2919563714372889E-3</v>
      </c>
      <c r="U58" s="120">
        <f>SVY!V389</f>
        <v>9.465803376119717E-3</v>
      </c>
      <c r="V58" s="120">
        <f>SVY!W389</f>
        <v>0.3059408682028617</v>
      </c>
    </row>
    <row r="59" spans="1:22" x14ac:dyDescent="0.35">
      <c r="A59" s="12" t="s">
        <v>178</v>
      </c>
      <c r="B59" s="13" t="s">
        <v>177</v>
      </c>
      <c r="C59" s="120">
        <f>SVY!D390</f>
        <v>4.9061838981178295E-2</v>
      </c>
      <c r="D59" s="120">
        <f>SVY!E390</f>
        <v>8.7382633431332124E-2</v>
      </c>
      <c r="E59" s="120">
        <f>SVY!F390</f>
        <v>0.12336002114444246</v>
      </c>
      <c r="F59" s="120">
        <f>SVY!G390</f>
        <v>0.16365486198987475</v>
      </c>
      <c r="G59" s="120">
        <f>SVY!H390</f>
        <v>0.10534060003444912</v>
      </c>
      <c r="H59" s="120">
        <f>SVY!I390</f>
        <v>0</v>
      </c>
      <c r="I59" s="120">
        <f>SVY!J390</f>
        <v>0</v>
      </c>
      <c r="J59" s="120">
        <f>SVY!K390</f>
        <v>0</v>
      </c>
      <c r="K59" s="120">
        <f>SVY!L390</f>
        <v>8.4450573873170543E-4</v>
      </c>
      <c r="L59" s="120">
        <f>SVY!M390</f>
        <v>5.2967208345234612E-3</v>
      </c>
      <c r="M59" s="120">
        <f>SVY!N390</f>
        <v>1.9097717525296916E-3</v>
      </c>
      <c r="N59" s="120">
        <f>SVY!O390</f>
        <v>1.1427583688561128E-2</v>
      </c>
      <c r="O59" s="120">
        <f>SVY!P390</f>
        <v>9.2342764789548944E-3</v>
      </c>
      <c r="P59" s="120">
        <f>SVY!Q390</f>
        <v>7.1852253817246206E-3</v>
      </c>
      <c r="Q59" s="120">
        <f>SVY!R390</f>
        <v>4.352657333189347E-2</v>
      </c>
      <c r="R59" s="120">
        <f>SVY!S390</f>
        <v>1.285570068922216E-2</v>
      </c>
      <c r="S59" s="120">
        <f>SVY!T390</f>
        <v>6.110682489809738E-3</v>
      </c>
      <c r="T59" s="120">
        <f>SVY!U390</f>
        <v>3.7530508490739058E-2</v>
      </c>
      <c r="U59" s="120">
        <f>SVY!V390</f>
        <v>5.0561202288860074E-2</v>
      </c>
      <c r="V59" s="120">
        <f>SVY!W390</f>
        <v>0.28471729325317324</v>
      </c>
    </row>
    <row r="60" spans="1:22" x14ac:dyDescent="0.35">
      <c r="A60" s="12" t="s">
        <v>180</v>
      </c>
      <c r="B60" s="13" t="s">
        <v>179</v>
      </c>
      <c r="C60" s="120">
        <f>SVY!D391</f>
        <v>4.3889061854906181E-2</v>
      </c>
      <c r="D60" s="120">
        <f>SVY!E391</f>
        <v>7.3212717723651718E-2</v>
      </c>
      <c r="E60" s="120">
        <f>SVY!F391</f>
        <v>0.10490333922423788</v>
      </c>
      <c r="F60" s="120">
        <f>SVY!G391</f>
        <v>0.14971087438975131</v>
      </c>
      <c r="G60" s="120">
        <f>SVY!H391</f>
        <v>0.1606983538783531</v>
      </c>
      <c r="H60" s="120">
        <f>SVY!I391</f>
        <v>1.417877955696355E-4</v>
      </c>
      <c r="I60" s="120">
        <f>SVY!J391</f>
        <v>1.666263717257269E-4</v>
      </c>
      <c r="J60" s="120">
        <f>SVY!K391</f>
        <v>5.4403722690814845E-4</v>
      </c>
      <c r="K60" s="120">
        <f>SVY!L391</f>
        <v>2.4126426406763722E-3</v>
      </c>
      <c r="L60" s="120">
        <f>SVY!M391</f>
        <v>1.8094191695035032E-2</v>
      </c>
      <c r="M60" s="120">
        <f>SVY!N391</f>
        <v>2.5357409162112521E-3</v>
      </c>
      <c r="N60" s="120">
        <f>SVY!O391</f>
        <v>4.1435233545034835E-3</v>
      </c>
      <c r="O60" s="120">
        <f>SVY!P391</f>
        <v>7.7737721239492354E-3</v>
      </c>
      <c r="P60" s="120">
        <f>SVY!Q391</f>
        <v>1.4393939003268637E-2</v>
      </c>
      <c r="Q60" s="120">
        <f>SVY!R391</f>
        <v>9.1132414804264428E-2</v>
      </c>
      <c r="R60" s="120">
        <f>SVY!S391</f>
        <v>7.6085227246894315E-4</v>
      </c>
      <c r="S60" s="120">
        <f>SVY!T391</f>
        <v>3.0936148426579345E-3</v>
      </c>
      <c r="T60" s="120">
        <f>SVY!U391</f>
        <v>6.5664324184599426E-3</v>
      </c>
      <c r="U60" s="120">
        <f>SVY!V391</f>
        <v>1.7793651628091673E-2</v>
      </c>
      <c r="V60" s="120">
        <f>SVY!W391</f>
        <v>0.29803242583530937</v>
      </c>
    </row>
    <row r="61" spans="1:22" x14ac:dyDescent="0.35">
      <c r="A61" s="12" t="s">
        <v>182</v>
      </c>
      <c r="B61" s="13" t="s">
        <v>181</v>
      </c>
      <c r="C61" s="120">
        <f>SVY!D392</f>
        <v>1.5225015635915957E-2</v>
      </c>
      <c r="D61" s="120">
        <f>SVY!E392</f>
        <v>3.396985724684435E-2</v>
      </c>
      <c r="E61" s="120">
        <f>SVY!F392</f>
        <v>6.0917177056113742E-2</v>
      </c>
      <c r="F61" s="120">
        <f>SVY!G392</f>
        <v>0.10307378160288348</v>
      </c>
      <c r="G61" s="120">
        <f>SVY!H392</f>
        <v>0.13501103051786634</v>
      </c>
      <c r="H61" s="120">
        <f>SVY!I392</f>
        <v>0</v>
      </c>
      <c r="I61" s="120">
        <f>SVY!J392</f>
        <v>2.5511798216597986E-4</v>
      </c>
      <c r="J61" s="120">
        <f>SVY!K392</f>
        <v>5.4147876238131235E-4</v>
      </c>
      <c r="K61" s="120">
        <f>SVY!L392</f>
        <v>1.7455859726298853E-3</v>
      </c>
      <c r="L61" s="120">
        <f>SVY!M392</f>
        <v>2.575975595207225E-2</v>
      </c>
      <c r="M61" s="120">
        <f>SVY!N392</f>
        <v>2.270032093735662E-3</v>
      </c>
      <c r="N61" s="120">
        <f>SVY!O392</f>
        <v>2.9863176226233149E-3</v>
      </c>
      <c r="O61" s="120">
        <f>SVY!P392</f>
        <v>6.6507621091204221E-3</v>
      </c>
      <c r="P61" s="120">
        <f>SVY!Q392</f>
        <v>1.6064005697576652E-2</v>
      </c>
      <c r="Q61" s="120">
        <f>SVY!R392</f>
        <v>0.14607024868131008</v>
      </c>
      <c r="R61" s="120">
        <f>SVY!S392</f>
        <v>1.5383479100572011E-3</v>
      </c>
      <c r="S61" s="120">
        <f>SVY!T392</f>
        <v>3.6167820675048735E-3</v>
      </c>
      <c r="T61" s="120">
        <f>SVY!U392</f>
        <v>5.0837161051693336E-3</v>
      </c>
      <c r="U61" s="120">
        <f>SVY!V392</f>
        <v>2.6679101381662088E-2</v>
      </c>
      <c r="V61" s="120">
        <f>SVY!W392</f>
        <v>0.41254188560236704</v>
      </c>
    </row>
    <row r="62" spans="1:22" x14ac:dyDescent="0.35">
      <c r="A62" s="12" t="s">
        <v>184</v>
      </c>
      <c r="B62" s="13" t="s">
        <v>183</v>
      </c>
      <c r="C62" s="120">
        <f>SVY!D393</f>
        <v>9.6869203683312803E-3</v>
      </c>
      <c r="D62" s="120">
        <f>SVY!E393</f>
        <v>1.4597290182815329E-2</v>
      </c>
      <c r="E62" s="120">
        <f>SVY!F393</f>
        <v>9.652400547229395E-2</v>
      </c>
      <c r="F62" s="120">
        <f>SVY!G393</f>
        <v>9.3620111250130381E-2</v>
      </c>
      <c r="G62" s="120">
        <f>SVY!H393</f>
        <v>0.16179302106339707</v>
      </c>
      <c r="H62" s="120">
        <f>SVY!I393</f>
        <v>0</v>
      </c>
      <c r="I62" s="120">
        <f>SVY!J393</f>
        <v>0</v>
      </c>
      <c r="J62" s="120">
        <f>SVY!K393</f>
        <v>0</v>
      </c>
      <c r="K62" s="120">
        <f>SVY!L393</f>
        <v>9.3585951926396086E-5</v>
      </c>
      <c r="L62" s="120">
        <f>SVY!M393</f>
        <v>1.2640620379244622E-2</v>
      </c>
      <c r="M62" s="120">
        <f>SVY!N393</f>
        <v>0</v>
      </c>
      <c r="N62" s="120">
        <f>SVY!O393</f>
        <v>4.9018981263455701E-4</v>
      </c>
      <c r="O62" s="120">
        <f>SVY!P393</f>
        <v>9.9472302419002724E-4</v>
      </c>
      <c r="P62" s="120">
        <f>SVY!Q393</f>
        <v>2.4301593558359656E-3</v>
      </c>
      <c r="Q62" s="120">
        <f>SVY!R393</f>
        <v>6.2283657756481849E-2</v>
      </c>
      <c r="R62" s="120">
        <f>SVY!S393</f>
        <v>0</v>
      </c>
      <c r="S62" s="120">
        <f>SVY!T393</f>
        <v>0</v>
      </c>
      <c r="T62" s="120">
        <f>SVY!U393</f>
        <v>5.3122320568557025E-3</v>
      </c>
      <c r="U62" s="120">
        <f>SVY!V393</f>
        <v>2.0788762130306736E-2</v>
      </c>
      <c r="V62" s="120">
        <f>SVY!W393</f>
        <v>0.51874472119555615</v>
      </c>
    </row>
    <row r="63" spans="1:22" x14ac:dyDescent="0.35">
      <c r="A63" s="12" t="s">
        <v>186</v>
      </c>
      <c r="B63" s="13" t="s">
        <v>185</v>
      </c>
      <c r="C63" s="120">
        <f>SVY!D394</f>
        <v>4.5304707593793077E-3</v>
      </c>
      <c r="D63" s="120">
        <f>SVY!E394</f>
        <v>5.8937036463258784E-3</v>
      </c>
      <c r="E63" s="120">
        <f>SVY!F394</f>
        <v>9.6773080225577048E-3</v>
      </c>
      <c r="F63" s="120">
        <f>SVY!G394</f>
        <v>2.6382111278107748E-2</v>
      </c>
      <c r="G63" s="120">
        <f>SVY!H394</f>
        <v>8.4468291905607132E-2</v>
      </c>
      <c r="H63" s="120">
        <f>SVY!I394</f>
        <v>1.6234176179829864E-5</v>
      </c>
      <c r="I63" s="120">
        <f>SVY!J394</f>
        <v>1.2726590833279296E-4</v>
      </c>
      <c r="J63" s="120">
        <f>SVY!K394</f>
        <v>1.1477230527150509E-4</v>
      </c>
      <c r="K63" s="120">
        <f>SVY!L394</f>
        <v>1.2329485126597289E-4</v>
      </c>
      <c r="L63" s="120">
        <f>SVY!M394</f>
        <v>3.2286101895173912E-2</v>
      </c>
      <c r="M63" s="120">
        <f>SVY!N394</f>
        <v>6.8291938634114011E-4</v>
      </c>
      <c r="N63" s="120">
        <f>SVY!O394</f>
        <v>7.8937741822706253E-4</v>
      </c>
      <c r="O63" s="120">
        <f>SVY!P394</f>
        <v>1.0331624710704524E-3</v>
      </c>
      <c r="P63" s="120">
        <f>SVY!Q394</f>
        <v>1.0114570362343652E-3</v>
      </c>
      <c r="Q63" s="120">
        <f>SVY!R394</f>
        <v>6.1418171568790467E-2</v>
      </c>
      <c r="R63" s="120">
        <f>SVY!S394</f>
        <v>2.7559859288997415E-4</v>
      </c>
      <c r="S63" s="120">
        <f>SVY!T394</f>
        <v>2.3245297433699546E-4</v>
      </c>
      <c r="T63" s="120">
        <f>SVY!U394</f>
        <v>8.0417347442888218E-4</v>
      </c>
      <c r="U63" s="120">
        <f>SVY!V394</f>
        <v>6.7212651104410536E-4</v>
      </c>
      <c r="V63" s="120">
        <f>SVY!W394</f>
        <v>0.7694610058184348</v>
      </c>
    </row>
    <row r="64" spans="1:22" x14ac:dyDescent="0.35">
      <c r="A64" s="12" t="s">
        <v>188</v>
      </c>
      <c r="B64" s="13" t="s">
        <v>187</v>
      </c>
      <c r="C64" s="120">
        <f>SVY!D395</f>
        <v>7.141235039409656E-2</v>
      </c>
      <c r="D64" s="120">
        <f>SVY!E395</f>
        <v>0.11406252747252613</v>
      </c>
      <c r="E64" s="120">
        <f>SVY!F395</f>
        <v>0.14229823916617523</v>
      </c>
      <c r="F64" s="120">
        <f>SVY!G395</f>
        <v>0.17883588353869143</v>
      </c>
      <c r="G64" s="120">
        <f>SVY!H395</f>
        <v>0.13719165497180716</v>
      </c>
      <c r="H64" s="120">
        <f>SVY!I395</f>
        <v>1.9238544768729961E-4</v>
      </c>
      <c r="I64" s="120">
        <f>SVY!J395</f>
        <v>2.7466335319599846E-4</v>
      </c>
      <c r="J64" s="120">
        <f>SVY!K395</f>
        <v>1.3333636277827641E-3</v>
      </c>
      <c r="K64" s="120">
        <f>SVY!L395</f>
        <v>2.3081824559052664E-3</v>
      </c>
      <c r="L64" s="120">
        <f>SVY!M395</f>
        <v>1.184039773778576E-2</v>
      </c>
      <c r="M64" s="120">
        <f>SVY!N395</f>
        <v>4.4371454354781414E-3</v>
      </c>
      <c r="N64" s="120">
        <f>SVY!O395</f>
        <v>7.3516276866901209E-3</v>
      </c>
      <c r="O64" s="120">
        <f>SVY!P395</f>
        <v>1.0911668301780657E-2</v>
      </c>
      <c r="P64" s="120">
        <f>SVY!Q395</f>
        <v>1.3267970114662388E-2</v>
      </c>
      <c r="Q64" s="120">
        <f>SVY!R395</f>
        <v>5.601468949920245E-2</v>
      </c>
      <c r="R64" s="120">
        <f>SVY!S395</f>
        <v>2.7799597456688433E-3</v>
      </c>
      <c r="S64" s="120">
        <f>SVY!T395</f>
        <v>7.2817128743574329E-3</v>
      </c>
      <c r="T64" s="120">
        <f>SVY!U395</f>
        <v>1.1169311376051431E-2</v>
      </c>
      <c r="U64" s="120">
        <f>SVY!V395</f>
        <v>2.5854113269366867E-2</v>
      </c>
      <c r="V64" s="120">
        <f>SVY!W395</f>
        <v>0.20118215353108793</v>
      </c>
    </row>
    <row r="65" spans="1:22" x14ac:dyDescent="0.35">
      <c r="A65" s="12" t="s">
        <v>190</v>
      </c>
      <c r="B65" s="13" t="s">
        <v>189</v>
      </c>
      <c r="C65" s="120">
        <f>SVY!D396</f>
        <v>6.0255865219834503E-2</v>
      </c>
      <c r="D65" s="120">
        <f>SVY!E396</f>
        <v>8.8517702453714042E-2</v>
      </c>
      <c r="E65" s="120">
        <f>SVY!F396</f>
        <v>0.10224313079225898</v>
      </c>
      <c r="F65" s="120">
        <f>SVY!G396</f>
        <v>0.11231892851002392</v>
      </c>
      <c r="G65" s="120">
        <f>SVY!H396</f>
        <v>0.137844320253562</v>
      </c>
      <c r="H65" s="120">
        <f>SVY!I396</f>
        <v>0</v>
      </c>
      <c r="I65" s="120">
        <f>SVY!J396</f>
        <v>3.6912807787156242E-4</v>
      </c>
      <c r="J65" s="120">
        <f>SVY!K396</f>
        <v>1.4178706959513342E-3</v>
      </c>
      <c r="K65" s="120">
        <f>SVY!L396</f>
        <v>2.3987207984938739E-3</v>
      </c>
      <c r="L65" s="120">
        <f>SVY!M396</f>
        <v>1.3473786690702812E-2</v>
      </c>
      <c r="M65" s="120">
        <f>SVY!N396</f>
        <v>7.4091068841187603E-3</v>
      </c>
      <c r="N65" s="120">
        <f>SVY!O396</f>
        <v>1.0793256094123464E-2</v>
      </c>
      <c r="O65" s="120">
        <f>SVY!P396</f>
        <v>1.6990986188997602E-2</v>
      </c>
      <c r="P65" s="120">
        <f>SVY!Q396</f>
        <v>2.08346197499692E-2</v>
      </c>
      <c r="Q65" s="120">
        <f>SVY!R396</f>
        <v>5.674271140719634E-2</v>
      </c>
      <c r="R65" s="120">
        <f>SVY!S396</f>
        <v>2.7031822146714219E-3</v>
      </c>
      <c r="S65" s="120">
        <f>SVY!T396</f>
        <v>7.3928256378414849E-3</v>
      </c>
      <c r="T65" s="120">
        <f>SVY!U396</f>
        <v>1.9016573047582096E-2</v>
      </c>
      <c r="U65" s="120">
        <f>SVY!V396</f>
        <v>3.6768844701555843E-2</v>
      </c>
      <c r="V65" s="120">
        <f>SVY!W396</f>
        <v>0.30250844058153081</v>
      </c>
    </row>
    <row r="66" spans="1:22" x14ac:dyDescent="0.35">
      <c r="A66" s="12" t="s">
        <v>192</v>
      </c>
      <c r="B66" s="13" t="s">
        <v>191</v>
      </c>
      <c r="C66" s="120">
        <f>SVY!D397</f>
        <v>0</v>
      </c>
      <c r="D66" s="120">
        <f>SVY!E397</f>
        <v>0</v>
      </c>
      <c r="E66" s="120">
        <f>SVY!F397</f>
        <v>0</v>
      </c>
      <c r="F66" s="120">
        <f>SVY!G397</f>
        <v>0</v>
      </c>
      <c r="G66" s="120">
        <f>SVY!H397</f>
        <v>0</v>
      </c>
      <c r="H66" s="120">
        <f>SVY!I397</f>
        <v>0</v>
      </c>
      <c r="I66" s="120">
        <f>SVY!J397</f>
        <v>0</v>
      </c>
      <c r="J66" s="120">
        <f>SVY!K397</f>
        <v>0</v>
      </c>
      <c r="K66" s="120">
        <f>SVY!L397</f>
        <v>0</v>
      </c>
      <c r="L66" s="120">
        <f>SVY!M397</f>
        <v>0</v>
      </c>
      <c r="M66" s="120">
        <f>SVY!N397</f>
        <v>0</v>
      </c>
      <c r="N66" s="120">
        <f>SVY!O397</f>
        <v>0</v>
      </c>
      <c r="O66" s="120">
        <f>SVY!P397</f>
        <v>0</v>
      </c>
      <c r="P66" s="120">
        <f>SVY!Q397</f>
        <v>0</v>
      </c>
      <c r="Q66" s="120">
        <f>SVY!R397</f>
        <v>0</v>
      </c>
      <c r="R66" s="120">
        <f>SVY!S397</f>
        <v>0</v>
      </c>
      <c r="S66" s="120">
        <f>SVY!T397</f>
        <v>0</v>
      </c>
      <c r="T66" s="120">
        <f>SVY!U397</f>
        <v>0</v>
      </c>
      <c r="U66" s="120">
        <f>SVY!V397</f>
        <v>0</v>
      </c>
      <c r="V66" s="120">
        <f>SVY!W397</f>
        <v>0</v>
      </c>
    </row>
    <row r="67" spans="1:22" x14ac:dyDescent="0.35">
      <c r="A67" s="12" t="s">
        <v>194</v>
      </c>
      <c r="B67" s="13" t="s">
        <v>193</v>
      </c>
      <c r="C67" s="120">
        <f>SVY!D398</f>
        <v>3.8540769425612964E-2</v>
      </c>
      <c r="D67" s="120">
        <f>SVY!E398</f>
        <v>5.9524164639458865E-2</v>
      </c>
      <c r="E67" s="120">
        <f>SVY!F398</f>
        <v>9.2392696965032023E-2</v>
      </c>
      <c r="F67" s="120">
        <f>SVY!G398</f>
        <v>0.14358912181333655</v>
      </c>
      <c r="G67" s="120">
        <f>SVY!H398</f>
        <v>0.18332913680060176</v>
      </c>
      <c r="H67" s="120">
        <f>SVY!I398</f>
        <v>0</v>
      </c>
      <c r="I67" s="120">
        <f>SVY!J398</f>
        <v>7.063207033816697E-5</v>
      </c>
      <c r="J67" s="120">
        <f>SVY!K398</f>
        <v>1.9955169724044167E-3</v>
      </c>
      <c r="K67" s="120">
        <f>SVY!L398</f>
        <v>2.554271542209708E-3</v>
      </c>
      <c r="L67" s="120">
        <f>SVY!M398</f>
        <v>1.9631719709110387E-2</v>
      </c>
      <c r="M67" s="120">
        <f>SVY!N398</f>
        <v>2.3727993830919961E-3</v>
      </c>
      <c r="N67" s="120">
        <f>SVY!O398</f>
        <v>2.9491428878015203E-3</v>
      </c>
      <c r="O67" s="120">
        <f>SVY!P398</f>
        <v>8.3244925938255488E-3</v>
      </c>
      <c r="P67" s="120">
        <f>SVY!Q398</f>
        <v>1.425028750736029E-2</v>
      </c>
      <c r="Q67" s="120">
        <f>SVY!R398</f>
        <v>0.10452980322402131</v>
      </c>
      <c r="R67" s="120">
        <f>SVY!S398</f>
        <v>5.169052130995183E-4</v>
      </c>
      <c r="S67" s="120">
        <f>SVY!T398</f>
        <v>3.1129413628985607E-3</v>
      </c>
      <c r="T67" s="120">
        <f>SVY!U398</f>
        <v>4.6997789589370946E-3</v>
      </c>
      <c r="U67" s="120">
        <f>SVY!V398</f>
        <v>1.6056136260934609E-2</v>
      </c>
      <c r="V67" s="120">
        <f>SVY!W398</f>
        <v>0.30155968266992472</v>
      </c>
    </row>
    <row r="68" spans="1:22" x14ac:dyDescent="0.35">
      <c r="A68" s="12" t="s">
        <v>196</v>
      </c>
      <c r="B68" s="13" t="s">
        <v>195</v>
      </c>
      <c r="C68" s="120">
        <f>SVY!D399</f>
        <v>0</v>
      </c>
      <c r="D68" s="120">
        <f>SVY!E399</f>
        <v>0</v>
      </c>
      <c r="E68" s="120">
        <f>SVY!F399</f>
        <v>0</v>
      </c>
      <c r="F68" s="120">
        <f>SVY!G399</f>
        <v>0</v>
      </c>
      <c r="G68" s="120">
        <f>SVY!H399</f>
        <v>0</v>
      </c>
      <c r="H68" s="120">
        <f>SVY!I399</f>
        <v>0</v>
      </c>
      <c r="I68" s="120">
        <f>SVY!J399</f>
        <v>0</v>
      </c>
      <c r="J68" s="120">
        <f>SVY!K399</f>
        <v>0</v>
      </c>
      <c r="K68" s="120">
        <f>SVY!L399</f>
        <v>0</v>
      </c>
      <c r="L68" s="120">
        <f>SVY!M399</f>
        <v>0</v>
      </c>
      <c r="M68" s="120">
        <f>SVY!N399</f>
        <v>0</v>
      </c>
      <c r="N68" s="120">
        <f>SVY!O399</f>
        <v>0</v>
      </c>
      <c r="O68" s="120">
        <f>SVY!P399</f>
        <v>0</v>
      </c>
      <c r="P68" s="120">
        <f>SVY!Q399</f>
        <v>0</v>
      </c>
      <c r="Q68" s="120">
        <f>SVY!R399</f>
        <v>0</v>
      </c>
      <c r="R68" s="120">
        <f>SVY!S399</f>
        <v>0</v>
      </c>
      <c r="S68" s="120">
        <f>SVY!T399</f>
        <v>0</v>
      </c>
      <c r="T68" s="120">
        <f>SVY!U399</f>
        <v>0</v>
      </c>
      <c r="U68" s="120">
        <f>SVY!V399</f>
        <v>0</v>
      </c>
      <c r="V68" s="120">
        <f>SVY!W399</f>
        <v>0</v>
      </c>
    </row>
    <row r="69" spans="1:22" x14ac:dyDescent="0.35">
      <c r="A69" s="12" t="s">
        <v>198</v>
      </c>
      <c r="B69" s="13" t="s">
        <v>197</v>
      </c>
      <c r="C69" s="120">
        <f>SVY!D400</f>
        <v>0</v>
      </c>
      <c r="D69" s="120">
        <f>SVY!E400</f>
        <v>0</v>
      </c>
      <c r="E69" s="120">
        <f>SVY!F400</f>
        <v>0</v>
      </c>
      <c r="F69" s="120">
        <f>SVY!G400</f>
        <v>0</v>
      </c>
      <c r="G69" s="120">
        <f>SVY!H400</f>
        <v>0</v>
      </c>
      <c r="H69" s="120">
        <f>SVY!I400</f>
        <v>0</v>
      </c>
      <c r="I69" s="120">
        <f>SVY!J400</f>
        <v>0</v>
      </c>
      <c r="J69" s="120">
        <f>SVY!K400</f>
        <v>0</v>
      </c>
      <c r="K69" s="120">
        <f>SVY!L400</f>
        <v>0</v>
      </c>
      <c r="L69" s="120">
        <f>SVY!M400</f>
        <v>0</v>
      </c>
      <c r="M69" s="120">
        <f>SVY!N400</f>
        <v>0</v>
      </c>
      <c r="N69" s="120">
        <f>SVY!O400</f>
        <v>0</v>
      </c>
      <c r="O69" s="120">
        <f>SVY!P400</f>
        <v>0</v>
      </c>
      <c r="P69" s="120">
        <f>SVY!Q400</f>
        <v>0</v>
      </c>
      <c r="Q69" s="120">
        <f>SVY!R400</f>
        <v>0</v>
      </c>
      <c r="R69" s="120">
        <f>SVY!S400</f>
        <v>0</v>
      </c>
      <c r="S69" s="120">
        <f>SVY!T400</f>
        <v>0</v>
      </c>
      <c r="T69" s="120">
        <f>SVY!U400</f>
        <v>0</v>
      </c>
      <c r="U69" s="120">
        <f>SVY!V400</f>
        <v>0</v>
      </c>
      <c r="V69" s="120">
        <f>SVY!W400</f>
        <v>0</v>
      </c>
    </row>
    <row r="70" spans="1:22" x14ac:dyDescent="0.35">
      <c r="A70" s="12" t="s">
        <v>200</v>
      </c>
      <c r="B70" s="13" t="s">
        <v>199</v>
      </c>
      <c r="C70" s="120">
        <f>SVY!D401</f>
        <v>4.6698666552927481E-2</v>
      </c>
      <c r="D70" s="120">
        <f>SVY!E401</f>
        <v>7.919816403875965E-2</v>
      </c>
      <c r="E70" s="120">
        <f>SVY!F401</f>
        <v>0.11053539754393284</v>
      </c>
      <c r="F70" s="120">
        <f>SVY!G401</f>
        <v>0.15771423006970009</v>
      </c>
      <c r="G70" s="120">
        <f>SVY!H401</f>
        <v>0.16753919309222884</v>
      </c>
      <c r="H70" s="120">
        <f>SVY!I401</f>
        <v>0</v>
      </c>
      <c r="I70" s="120">
        <f>SVY!J401</f>
        <v>1.6467993428158557E-4</v>
      </c>
      <c r="J70" s="120">
        <f>SVY!K401</f>
        <v>9.0317221166801779E-4</v>
      </c>
      <c r="K70" s="120">
        <f>SVY!L401</f>
        <v>2.4221716719324406E-3</v>
      </c>
      <c r="L70" s="120">
        <f>SVY!M401</f>
        <v>1.9161107253642354E-2</v>
      </c>
      <c r="M70" s="120">
        <f>SVY!N401</f>
        <v>2.3693632953866095E-3</v>
      </c>
      <c r="N70" s="120">
        <f>SVY!O401</f>
        <v>2.9990180098987494E-3</v>
      </c>
      <c r="O70" s="120">
        <f>SVY!P401</f>
        <v>6.8804456660830141E-3</v>
      </c>
      <c r="P70" s="120">
        <f>SVY!Q401</f>
        <v>1.297929208602217E-2</v>
      </c>
      <c r="Q70" s="120">
        <f>SVY!R401</f>
        <v>9.199855545731489E-2</v>
      </c>
      <c r="R70" s="120">
        <f>SVY!S401</f>
        <v>5.9401661272531813E-4</v>
      </c>
      <c r="S70" s="120">
        <f>SVY!T401</f>
        <v>2.5571092035147794E-3</v>
      </c>
      <c r="T70" s="120">
        <f>SVY!U401</f>
        <v>4.2894489324412288E-3</v>
      </c>
      <c r="U70" s="120">
        <f>SVY!V401</f>
        <v>2.6787599777129668E-2</v>
      </c>
      <c r="V70" s="120">
        <f>SVY!W401</f>
        <v>0.26420836859041036</v>
      </c>
    </row>
    <row r="71" spans="1:22" x14ac:dyDescent="0.35">
      <c r="A71" s="12" t="s">
        <v>202</v>
      </c>
      <c r="B71" s="13" t="s">
        <v>201</v>
      </c>
      <c r="C71" s="120">
        <f>SVY!D402</f>
        <v>2.8620619452210942E-2</v>
      </c>
      <c r="D71" s="120">
        <f>SVY!E402</f>
        <v>5.0413996424791295E-2</v>
      </c>
      <c r="E71" s="120">
        <f>SVY!F402</f>
        <v>8.1425741899259454E-2</v>
      </c>
      <c r="F71" s="120">
        <f>SVY!G402</f>
        <v>0.12552214131270648</v>
      </c>
      <c r="G71" s="120">
        <f>SVY!H402</f>
        <v>0.18175868249167254</v>
      </c>
      <c r="H71" s="120">
        <f>SVY!I402</f>
        <v>4.777132519008467E-4</v>
      </c>
      <c r="I71" s="120">
        <f>SVY!J402</f>
        <v>1.3052761272575858E-4</v>
      </c>
      <c r="J71" s="120">
        <f>SVY!K402</f>
        <v>3.2451456386513967E-4</v>
      </c>
      <c r="K71" s="120">
        <f>SVY!L402</f>
        <v>1.4550160228466709E-3</v>
      </c>
      <c r="L71" s="120">
        <f>SVY!M402</f>
        <v>2.389188805524271E-2</v>
      </c>
      <c r="M71" s="120">
        <f>SVY!N402</f>
        <v>1.9578284992577384E-3</v>
      </c>
      <c r="N71" s="120">
        <f>SVY!O402</f>
        <v>1.7867797689116102E-3</v>
      </c>
      <c r="O71" s="120">
        <f>SVY!P402</f>
        <v>5.0269346026017795E-3</v>
      </c>
      <c r="P71" s="120">
        <f>SVY!Q402</f>
        <v>1.1631964773432965E-2</v>
      </c>
      <c r="Q71" s="120">
        <f>SVY!R402</f>
        <v>0.14165890035562922</v>
      </c>
      <c r="R71" s="120">
        <f>SVY!S402</f>
        <v>4.3818029791604788E-4</v>
      </c>
      <c r="S71" s="120">
        <f>SVY!T402</f>
        <v>7.1652007416966705E-4</v>
      </c>
      <c r="T71" s="120">
        <f>SVY!U402</f>
        <v>2.7457190801822525E-3</v>
      </c>
      <c r="U71" s="120">
        <f>SVY!V402</f>
        <v>6.5634715619582442E-3</v>
      </c>
      <c r="V71" s="120">
        <f>SVY!W402</f>
        <v>0.33345285989871865</v>
      </c>
    </row>
    <row r="72" spans="1:22" x14ac:dyDescent="0.35">
      <c r="A72" s="12" t="s">
        <v>204</v>
      </c>
      <c r="B72" s="13" t="s">
        <v>203</v>
      </c>
      <c r="C72" s="120">
        <f>SVY!D403</f>
        <v>4.386003536640439E-3</v>
      </c>
      <c r="D72" s="120">
        <f>SVY!E403</f>
        <v>1.1099488854227547E-2</v>
      </c>
      <c r="E72" s="120">
        <f>SVY!F403</f>
        <v>2.9021804205474854E-2</v>
      </c>
      <c r="F72" s="120">
        <f>SVY!G403</f>
        <v>8.8148647680114323E-2</v>
      </c>
      <c r="G72" s="120">
        <f>SVY!H403</f>
        <v>0.18180371461708358</v>
      </c>
      <c r="H72" s="120">
        <f>SVY!I403</f>
        <v>0</v>
      </c>
      <c r="I72" s="120">
        <f>SVY!J403</f>
        <v>3.1794203415773992E-5</v>
      </c>
      <c r="J72" s="120">
        <f>SVY!K403</f>
        <v>1.4143922270414268E-4</v>
      </c>
      <c r="K72" s="120">
        <f>SVY!L403</f>
        <v>1.2668404059077208E-3</v>
      </c>
      <c r="L72" s="120">
        <f>SVY!M403</f>
        <v>4.2828895929490067E-2</v>
      </c>
      <c r="M72" s="120">
        <f>SVY!N403</f>
        <v>3.2840559854453223E-4</v>
      </c>
      <c r="N72" s="120">
        <f>SVY!O403</f>
        <v>1.1851974400921411E-3</v>
      </c>
      <c r="O72" s="120">
        <f>SVY!P403</f>
        <v>1.6224763577874978E-3</v>
      </c>
      <c r="P72" s="120">
        <f>SVY!Q403</f>
        <v>4.9756113751891762E-3</v>
      </c>
      <c r="Q72" s="120">
        <f>SVY!R403</f>
        <v>0.1248943788244157</v>
      </c>
      <c r="R72" s="120">
        <f>SVY!S403</f>
        <v>2.8574893752882378E-4</v>
      </c>
      <c r="S72" s="120">
        <f>SVY!T403</f>
        <v>1.1715146429931616E-3</v>
      </c>
      <c r="T72" s="120">
        <f>SVY!U403</f>
        <v>3.2075458239798006E-3</v>
      </c>
      <c r="U72" s="120">
        <f>SVY!V403</f>
        <v>6.6870873784950604E-3</v>
      </c>
      <c r="V72" s="120">
        <f>SVY!W403</f>
        <v>0.49691340496591574</v>
      </c>
    </row>
    <row r="73" spans="1:22" x14ac:dyDescent="0.35">
      <c r="A73" s="12" t="s">
        <v>206</v>
      </c>
      <c r="B73" s="13" t="s">
        <v>205</v>
      </c>
      <c r="C73" s="120">
        <f>SVY!D404</f>
        <v>3.3864811462847318E-2</v>
      </c>
      <c r="D73" s="120">
        <f>SVY!E404</f>
        <v>6.0742307876448867E-2</v>
      </c>
      <c r="E73" s="120">
        <f>SVY!F404</f>
        <v>8.6238402574411455E-2</v>
      </c>
      <c r="F73" s="120">
        <f>SVY!G404</f>
        <v>0.15024608532213105</v>
      </c>
      <c r="G73" s="120">
        <f>SVY!H404</f>
        <v>0.16489946301139999</v>
      </c>
      <c r="H73" s="120">
        <f>SVY!I404</f>
        <v>1.0736657787485562E-3</v>
      </c>
      <c r="I73" s="120">
        <f>SVY!J404</f>
        <v>3.7329404832739881E-4</v>
      </c>
      <c r="J73" s="120">
        <f>SVY!K404</f>
        <v>8.3801868732524105E-4</v>
      </c>
      <c r="K73" s="120">
        <f>SVY!L404</f>
        <v>1.7842727739529973E-3</v>
      </c>
      <c r="L73" s="120">
        <f>SVY!M404</f>
        <v>2.8816698926647608E-2</v>
      </c>
      <c r="M73" s="120">
        <f>SVY!N404</f>
        <v>2.2561773865394695E-3</v>
      </c>
      <c r="N73" s="120">
        <f>SVY!O404</f>
        <v>3.4666312781874817E-3</v>
      </c>
      <c r="O73" s="120">
        <f>SVY!P404</f>
        <v>9.3379566344317846E-3</v>
      </c>
      <c r="P73" s="120">
        <f>SVY!Q404</f>
        <v>1.5121177417182729E-2</v>
      </c>
      <c r="Q73" s="120">
        <f>SVY!R404</f>
        <v>9.6874806901020252E-2</v>
      </c>
      <c r="R73" s="120">
        <f>SVY!S404</f>
        <v>4.7311596601744082E-4</v>
      </c>
      <c r="S73" s="120">
        <f>SVY!T404</f>
        <v>7.7649090485652501E-4</v>
      </c>
      <c r="T73" s="120">
        <f>SVY!U404</f>
        <v>7.2875058545770347E-3</v>
      </c>
      <c r="U73" s="120">
        <f>SVY!V404</f>
        <v>1.6144735320465554E-2</v>
      </c>
      <c r="V73" s="120">
        <f>SVY!W404</f>
        <v>0.31938438187448132</v>
      </c>
    </row>
    <row r="74" spans="1:22" x14ac:dyDescent="0.35">
      <c r="A74" s="12" t="s">
        <v>208</v>
      </c>
      <c r="B74" s="13" t="s">
        <v>207</v>
      </c>
      <c r="C74" s="120">
        <f>SVY!D405</f>
        <v>3.0498076361788747E-2</v>
      </c>
      <c r="D74" s="120">
        <f>SVY!E405</f>
        <v>4.8907939482870533E-2</v>
      </c>
      <c r="E74" s="120">
        <f>SVY!F405</f>
        <v>7.0527868075225125E-2</v>
      </c>
      <c r="F74" s="120">
        <f>SVY!G405</f>
        <v>0.11143595790621018</v>
      </c>
      <c r="G74" s="120">
        <f>SVY!H405</f>
        <v>0.15075891679493345</v>
      </c>
      <c r="H74" s="120">
        <f>SVY!I405</f>
        <v>8.434482522944785E-5</v>
      </c>
      <c r="I74" s="120">
        <f>SVY!J405</f>
        <v>2.0392148869662237E-4</v>
      </c>
      <c r="J74" s="120">
        <f>SVY!K405</f>
        <v>7.7374132944994713E-4</v>
      </c>
      <c r="K74" s="120">
        <f>SVY!L405</f>
        <v>2.2414184262471073E-3</v>
      </c>
      <c r="L74" s="120">
        <f>SVY!M405</f>
        <v>2.3434566979850587E-2</v>
      </c>
      <c r="M74" s="120">
        <f>SVY!N405</f>
        <v>1.9876050804943069E-3</v>
      </c>
      <c r="N74" s="120">
        <f>SVY!O405</f>
        <v>3.4125315308216565E-3</v>
      </c>
      <c r="O74" s="120">
        <f>SVY!P405</f>
        <v>6.509657546260819E-3</v>
      </c>
      <c r="P74" s="120">
        <f>SVY!Q405</f>
        <v>1.4355045786594776E-2</v>
      </c>
      <c r="Q74" s="120">
        <f>SVY!R405</f>
        <v>0.13202378027332778</v>
      </c>
      <c r="R74" s="120">
        <f>SVY!S405</f>
        <v>5.1793516716978016E-4</v>
      </c>
      <c r="S74" s="120">
        <f>SVY!T405</f>
        <v>2.1243110116383776E-3</v>
      </c>
      <c r="T74" s="120">
        <f>SVY!U405</f>
        <v>4.2099829956158529E-3</v>
      </c>
      <c r="U74" s="120">
        <f>SVY!V405</f>
        <v>1.2074128249160413E-2</v>
      </c>
      <c r="V74" s="120">
        <f>SVY!W405</f>
        <v>0.38391827068841466</v>
      </c>
    </row>
    <row r="75" spans="1:22" x14ac:dyDescent="0.35">
      <c r="A75" s="12" t="s">
        <v>210</v>
      </c>
      <c r="B75" s="13" t="s">
        <v>209</v>
      </c>
      <c r="C75" s="120">
        <f>SVY!D406</f>
        <v>0</v>
      </c>
      <c r="D75" s="120">
        <f>SVY!E406</f>
        <v>0</v>
      </c>
      <c r="E75" s="120">
        <f>SVY!F406</f>
        <v>0</v>
      </c>
      <c r="F75" s="120">
        <f>SVY!G406</f>
        <v>0</v>
      </c>
      <c r="G75" s="120">
        <f>SVY!H406</f>
        <v>0</v>
      </c>
      <c r="H75" s="120">
        <f>SVY!I406</f>
        <v>0</v>
      </c>
      <c r="I75" s="120">
        <f>SVY!J406</f>
        <v>0</v>
      </c>
      <c r="J75" s="120">
        <f>SVY!K406</f>
        <v>0</v>
      </c>
      <c r="K75" s="120">
        <f>SVY!L406</f>
        <v>0</v>
      </c>
      <c r="L75" s="120">
        <f>SVY!M406</f>
        <v>0</v>
      </c>
      <c r="M75" s="120">
        <f>SVY!N406</f>
        <v>0</v>
      </c>
      <c r="N75" s="120">
        <f>SVY!O406</f>
        <v>0</v>
      </c>
      <c r="O75" s="120">
        <f>SVY!P406</f>
        <v>0</v>
      </c>
      <c r="P75" s="120">
        <f>SVY!Q406</f>
        <v>0</v>
      </c>
      <c r="Q75" s="120">
        <f>SVY!R406</f>
        <v>0</v>
      </c>
      <c r="R75" s="120">
        <f>SVY!S406</f>
        <v>0</v>
      </c>
      <c r="S75" s="120">
        <f>SVY!T406</f>
        <v>0</v>
      </c>
      <c r="T75" s="120">
        <f>SVY!U406</f>
        <v>0</v>
      </c>
      <c r="U75" s="120">
        <f>SVY!V406</f>
        <v>0</v>
      </c>
      <c r="V75" s="120">
        <f>SVY!W406</f>
        <v>0</v>
      </c>
    </row>
    <row r="76" spans="1:22" x14ac:dyDescent="0.35">
      <c r="A76" s="12" t="s">
        <v>212</v>
      </c>
      <c r="B76" s="13" t="s">
        <v>211</v>
      </c>
      <c r="C76" s="120">
        <f>SVY!D407</f>
        <v>7.5593857884604194E-3</v>
      </c>
      <c r="D76" s="120">
        <f>SVY!E407</f>
        <v>1.7889722800794008E-2</v>
      </c>
      <c r="E76" s="120">
        <f>SVY!F407</f>
        <v>4.1433721421183574E-2</v>
      </c>
      <c r="F76" s="120">
        <f>SVY!G407</f>
        <v>6.7398634281274933E-2</v>
      </c>
      <c r="G76" s="120">
        <f>SVY!H407</f>
        <v>0.10594917618575474</v>
      </c>
      <c r="H76" s="120">
        <f>SVY!I407</f>
        <v>0</v>
      </c>
      <c r="I76" s="120">
        <f>SVY!J407</f>
        <v>4.3518332823809215E-5</v>
      </c>
      <c r="J76" s="120">
        <f>SVY!K407</f>
        <v>3.6738427586544936E-4</v>
      </c>
      <c r="K76" s="120">
        <f>SVY!L407</f>
        <v>2.0696223220194295E-3</v>
      </c>
      <c r="L76" s="120">
        <f>SVY!M407</f>
        <v>1.9133915628439378E-2</v>
      </c>
      <c r="M76" s="120">
        <f>SVY!N407</f>
        <v>9.6591337686945371E-4</v>
      </c>
      <c r="N76" s="120">
        <f>SVY!O407</f>
        <v>3.6490743850004009E-3</v>
      </c>
      <c r="O76" s="120">
        <f>SVY!P407</f>
        <v>1.0660304732263698E-2</v>
      </c>
      <c r="P76" s="120">
        <f>SVY!Q407</f>
        <v>2.1305535754493655E-2</v>
      </c>
      <c r="Q76" s="120">
        <f>SVY!R407</f>
        <v>0.12939573490127748</v>
      </c>
      <c r="R76" s="120">
        <f>SVY!S407</f>
        <v>1.4481473299931308E-3</v>
      </c>
      <c r="S76" s="120">
        <f>SVY!T407</f>
        <v>3.5061952479077305E-3</v>
      </c>
      <c r="T76" s="120">
        <f>SVY!U407</f>
        <v>9.4792212777143527E-3</v>
      </c>
      <c r="U76" s="120">
        <f>SVY!V407</f>
        <v>3.7839137264783482E-2</v>
      </c>
      <c r="V76" s="120">
        <f>SVY!W407</f>
        <v>0.51990565469308081</v>
      </c>
    </row>
    <row r="77" spans="1:22" x14ac:dyDescent="0.35">
      <c r="A77" s="12" t="s">
        <v>214</v>
      </c>
      <c r="B77" s="13" t="s">
        <v>213</v>
      </c>
      <c r="C77" s="120">
        <f>SVY!D408</f>
        <v>1.5078709626016552E-2</v>
      </c>
      <c r="D77" s="120">
        <f>SVY!E408</f>
        <v>3.0057223354720577E-2</v>
      </c>
      <c r="E77" s="120">
        <f>SVY!F408</f>
        <v>4.4022385229312122E-2</v>
      </c>
      <c r="F77" s="120">
        <f>SVY!G408</f>
        <v>7.7118411402195192E-2</v>
      </c>
      <c r="G77" s="120">
        <f>SVY!H408</f>
        <v>0.13226487181009722</v>
      </c>
      <c r="H77" s="120">
        <f>SVY!I408</f>
        <v>9.1233103657909295E-5</v>
      </c>
      <c r="I77" s="120">
        <f>SVY!J408</f>
        <v>2.7893214157585853E-4</v>
      </c>
      <c r="J77" s="120">
        <f>SVY!K408</f>
        <v>6.01073273406583E-4</v>
      </c>
      <c r="K77" s="120">
        <f>SVY!L408</f>
        <v>2.8453332623878621E-3</v>
      </c>
      <c r="L77" s="120">
        <f>SVY!M408</f>
        <v>1.8682211699549232E-2</v>
      </c>
      <c r="M77" s="120">
        <f>SVY!N408</f>
        <v>2.357739701884666E-3</v>
      </c>
      <c r="N77" s="120">
        <f>SVY!O408</f>
        <v>8.5587671125255515E-3</v>
      </c>
      <c r="O77" s="120">
        <f>SVY!P408</f>
        <v>1.474178289833273E-2</v>
      </c>
      <c r="P77" s="120">
        <f>SVY!Q408</f>
        <v>2.0766607822532486E-2</v>
      </c>
      <c r="Q77" s="120">
        <f>SVY!R408</f>
        <v>0.11022219986162639</v>
      </c>
      <c r="R77" s="120">
        <f>SVY!S408</f>
        <v>1.043978849154644E-3</v>
      </c>
      <c r="S77" s="120">
        <f>SVY!T408</f>
        <v>8.5482062427639956E-3</v>
      </c>
      <c r="T77" s="120">
        <f>SVY!U408</f>
        <v>1.1597881934897658E-2</v>
      </c>
      <c r="U77" s="120">
        <f>SVY!V408</f>
        <v>3.6448530314459694E-2</v>
      </c>
      <c r="V77" s="120">
        <f>SVY!W408</f>
        <v>0.46467392035890298</v>
      </c>
    </row>
    <row r="78" spans="1:22" x14ac:dyDescent="0.35">
      <c r="A78" s="12" t="s">
        <v>216</v>
      </c>
      <c r="B78" s="13" t="s">
        <v>215</v>
      </c>
      <c r="C78" s="120">
        <f>SVY!D409</f>
        <v>1.5078709626016552E-2</v>
      </c>
      <c r="D78" s="120">
        <f>SVY!E409</f>
        <v>3.0057223354720577E-2</v>
      </c>
      <c r="E78" s="120">
        <f>SVY!F409</f>
        <v>4.4022385229312122E-2</v>
      </c>
      <c r="F78" s="120">
        <f>SVY!G409</f>
        <v>7.7118411402195192E-2</v>
      </c>
      <c r="G78" s="120">
        <f>SVY!H409</f>
        <v>0.13226487181009722</v>
      </c>
      <c r="H78" s="120">
        <f>SVY!I409</f>
        <v>9.1233103657909308E-5</v>
      </c>
      <c r="I78" s="120">
        <f>SVY!J409</f>
        <v>2.7893214157585853E-4</v>
      </c>
      <c r="J78" s="120">
        <f>SVY!K409</f>
        <v>6.01073273406583E-4</v>
      </c>
      <c r="K78" s="120">
        <f>SVY!L409</f>
        <v>2.8453332623878621E-3</v>
      </c>
      <c r="L78" s="120">
        <f>SVY!M409</f>
        <v>1.8682211699549232E-2</v>
      </c>
      <c r="M78" s="120">
        <f>SVY!N409</f>
        <v>2.357739701884666E-3</v>
      </c>
      <c r="N78" s="120">
        <f>SVY!O409</f>
        <v>8.5587671125255532E-3</v>
      </c>
      <c r="O78" s="120">
        <f>SVY!P409</f>
        <v>1.474178289833273E-2</v>
      </c>
      <c r="P78" s="120">
        <f>SVY!Q409</f>
        <v>2.0766607822532489E-2</v>
      </c>
      <c r="Q78" s="120">
        <f>SVY!R409</f>
        <v>0.11022219986162639</v>
      </c>
      <c r="R78" s="120">
        <f>SVY!S409</f>
        <v>1.043978849154644E-3</v>
      </c>
      <c r="S78" s="120">
        <f>SVY!T409</f>
        <v>8.5482062427639956E-3</v>
      </c>
      <c r="T78" s="120">
        <f>SVY!U409</f>
        <v>1.1597881934897658E-2</v>
      </c>
      <c r="U78" s="120">
        <f>SVY!V409</f>
        <v>3.6448530314459694E-2</v>
      </c>
      <c r="V78" s="120">
        <f>SVY!W409</f>
        <v>0.46467392035890304</v>
      </c>
    </row>
    <row r="79" spans="1:22" x14ac:dyDescent="0.35">
      <c r="A79" s="12" t="s">
        <v>218</v>
      </c>
      <c r="B79" s="13" t="s">
        <v>217</v>
      </c>
      <c r="C79" s="120">
        <f>SVY!D410</f>
        <v>2.3035471467793573E-2</v>
      </c>
      <c r="D79" s="120">
        <f>SVY!E410</f>
        <v>4.7816853154448752E-2</v>
      </c>
      <c r="E79" s="120">
        <f>SVY!F410</f>
        <v>8.336316121361749E-2</v>
      </c>
      <c r="F79" s="120">
        <f>SVY!G410</f>
        <v>0.16939113405419678</v>
      </c>
      <c r="G79" s="120">
        <f>SVY!H410</f>
        <v>0.28484058265327905</v>
      </c>
      <c r="H79" s="120">
        <f>SVY!I410</f>
        <v>0</v>
      </c>
      <c r="I79" s="120">
        <f>SVY!J410</f>
        <v>0</v>
      </c>
      <c r="J79" s="120">
        <f>SVY!K410</f>
        <v>0</v>
      </c>
      <c r="K79" s="120">
        <f>SVY!L410</f>
        <v>3.9242431847534684E-4</v>
      </c>
      <c r="L79" s="120">
        <f>SVY!M410</f>
        <v>2.3370308612223264E-3</v>
      </c>
      <c r="M79" s="120">
        <f>SVY!N410</f>
        <v>1.1059461092961748E-3</v>
      </c>
      <c r="N79" s="120">
        <f>SVY!O410</f>
        <v>1.6938327316235732E-4</v>
      </c>
      <c r="O79" s="120">
        <f>SVY!P410</f>
        <v>6.1899978657503621E-3</v>
      </c>
      <c r="P79" s="120">
        <f>SVY!Q410</f>
        <v>8.6037829661987312E-3</v>
      </c>
      <c r="Q79" s="120">
        <f>SVY!R410</f>
        <v>9.0926444601074713E-2</v>
      </c>
      <c r="R79" s="120">
        <f>SVY!S410</f>
        <v>4.985168799634031E-4</v>
      </c>
      <c r="S79" s="120">
        <f>SVY!T410</f>
        <v>2.8494298919345303E-3</v>
      </c>
      <c r="T79" s="120">
        <f>SVY!U410</f>
        <v>4.5312422144976831E-3</v>
      </c>
      <c r="U79" s="120">
        <f>SVY!V410</f>
        <v>7.5307220995410309E-3</v>
      </c>
      <c r="V79" s="120">
        <f>SVY!W410</f>
        <v>0.2664178763755477</v>
      </c>
    </row>
    <row r="80" spans="1:22" x14ac:dyDescent="0.35">
      <c r="A80" s="12" t="s">
        <v>220</v>
      </c>
      <c r="B80" s="13" t="s">
        <v>219</v>
      </c>
      <c r="C80" s="120">
        <f>SVY!D411</f>
        <v>0</v>
      </c>
      <c r="D80" s="120">
        <f>SVY!E411</f>
        <v>0</v>
      </c>
      <c r="E80" s="120">
        <f>SVY!F411</f>
        <v>0</v>
      </c>
      <c r="F80" s="120">
        <f>SVY!G411</f>
        <v>0</v>
      </c>
      <c r="G80" s="120">
        <f>SVY!H411</f>
        <v>0</v>
      </c>
      <c r="H80" s="120">
        <f>SVY!I411</f>
        <v>0</v>
      </c>
      <c r="I80" s="120">
        <f>SVY!J411</f>
        <v>0</v>
      </c>
      <c r="J80" s="120">
        <f>SVY!K411</f>
        <v>0</v>
      </c>
      <c r="K80" s="120">
        <f>SVY!L411</f>
        <v>0</v>
      </c>
      <c r="L80" s="120">
        <f>SVY!M411</f>
        <v>0</v>
      </c>
      <c r="M80" s="120">
        <f>SVY!N411</f>
        <v>0</v>
      </c>
      <c r="N80" s="120">
        <f>SVY!O411</f>
        <v>0</v>
      </c>
      <c r="O80" s="120">
        <f>SVY!P411</f>
        <v>0</v>
      </c>
      <c r="P80" s="120">
        <f>SVY!Q411</f>
        <v>0</v>
      </c>
      <c r="Q80" s="120">
        <f>SVY!R411</f>
        <v>0</v>
      </c>
      <c r="R80" s="120">
        <f>SVY!S411</f>
        <v>0</v>
      </c>
      <c r="S80" s="120">
        <f>SVY!T411</f>
        <v>0</v>
      </c>
      <c r="T80" s="120">
        <f>SVY!U411</f>
        <v>0</v>
      </c>
      <c r="U80" s="120">
        <f>SVY!V411</f>
        <v>0</v>
      </c>
      <c r="V80" s="120">
        <f>SVY!W411</f>
        <v>0</v>
      </c>
    </row>
    <row r="81" spans="1:22" x14ac:dyDescent="0.35">
      <c r="A81" s="12" t="s">
        <v>222</v>
      </c>
      <c r="B81" s="13" t="s">
        <v>221</v>
      </c>
      <c r="C81" s="120">
        <f>SVY!D412</f>
        <v>7.4411888197710016E-3</v>
      </c>
      <c r="D81" s="120">
        <f>SVY!E412</f>
        <v>1.8775408473042467E-2</v>
      </c>
      <c r="E81" s="120">
        <f>SVY!F412</f>
        <v>4.3433325162481058E-2</v>
      </c>
      <c r="F81" s="120">
        <f>SVY!G412</f>
        <v>9.1085657564461367E-2</v>
      </c>
      <c r="G81" s="120">
        <f>SVY!H412</f>
        <v>0.17951744273920139</v>
      </c>
      <c r="H81" s="120">
        <f>SVY!I412</f>
        <v>0</v>
      </c>
      <c r="I81" s="120">
        <f>SVY!J412</f>
        <v>0</v>
      </c>
      <c r="J81" s="120">
        <f>SVY!K412</f>
        <v>1.2939677905026526E-4</v>
      </c>
      <c r="K81" s="120">
        <f>SVY!L412</f>
        <v>1.6445180999429836E-3</v>
      </c>
      <c r="L81" s="120">
        <f>SVY!M412</f>
        <v>3.5885507642883056E-2</v>
      </c>
      <c r="M81" s="120">
        <f>SVY!N412</f>
        <v>6.4980204100676688E-4</v>
      </c>
      <c r="N81" s="120">
        <f>SVY!O412</f>
        <v>1.9611389762657313E-3</v>
      </c>
      <c r="O81" s="120">
        <f>SVY!P412</f>
        <v>3.8929375739048607E-3</v>
      </c>
      <c r="P81" s="120">
        <f>SVY!Q412</f>
        <v>3.1110445751158121E-3</v>
      </c>
      <c r="Q81" s="120">
        <f>SVY!R412</f>
        <v>0.15698103399916605</v>
      </c>
      <c r="R81" s="120">
        <f>SVY!S412</f>
        <v>0</v>
      </c>
      <c r="S81" s="120">
        <f>SVY!T412</f>
        <v>1.6639570390656241E-4</v>
      </c>
      <c r="T81" s="120">
        <f>SVY!U412</f>
        <v>3.8233841125788477E-3</v>
      </c>
      <c r="U81" s="120">
        <f>SVY!V412</f>
        <v>3.2172718037568647E-3</v>
      </c>
      <c r="V81" s="120">
        <f>SVY!W412</f>
        <v>0.44828454593346495</v>
      </c>
    </row>
    <row r="82" spans="1:22" x14ac:dyDescent="0.35">
      <c r="A82" s="12" t="s">
        <v>224</v>
      </c>
      <c r="B82" s="13" t="s">
        <v>223</v>
      </c>
      <c r="C82" s="120">
        <f>SVY!D413</f>
        <v>7.4411888197710007E-3</v>
      </c>
      <c r="D82" s="120">
        <f>SVY!E413</f>
        <v>1.8775408473042467E-2</v>
      </c>
      <c r="E82" s="120">
        <f>SVY!F413</f>
        <v>4.3433325162481058E-2</v>
      </c>
      <c r="F82" s="120">
        <f>SVY!G413</f>
        <v>9.1085657564461367E-2</v>
      </c>
      <c r="G82" s="120">
        <f>SVY!H413</f>
        <v>0.17951744273920139</v>
      </c>
      <c r="H82" s="120">
        <f>SVY!I413</f>
        <v>0</v>
      </c>
      <c r="I82" s="120">
        <f>SVY!J413</f>
        <v>0</v>
      </c>
      <c r="J82" s="120">
        <f>SVY!K413</f>
        <v>1.2939677905026526E-4</v>
      </c>
      <c r="K82" s="120">
        <f>SVY!L413</f>
        <v>1.6445180999429836E-3</v>
      </c>
      <c r="L82" s="120">
        <f>SVY!M413</f>
        <v>3.5885507642883056E-2</v>
      </c>
      <c r="M82" s="120">
        <f>SVY!N413</f>
        <v>6.4980204100676688E-4</v>
      </c>
      <c r="N82" s="120">
        <f>SVY!O413</f>
        <v>1.9611389762657313E-3</v>
      </c>
      <c r="O82" s="120">
        <f>SVY!P413</f>
        <v>3.8929375739048607E-3</v>
      </c>
      <c r="P82" s="120">
        <f>SVY!Q413</f>
        <v>3.1110445751158116E-3</v>
      </c>
      <c r="Q82" s="120">
        <f>SVY!R413</f>
        <v>0.15698103399916605</v>
      </c>
      <c r="R82" s="120">
        <f>SVY!S413</f>
        <v>0</v>
      </c>
      <c r="S82" s="120">
        <f>SVY!T413</f>
        <v>1.6639570390656241E-4</v>
      </c>
      <c r="T82" s="120">
        <f>SVY!U413</f>
        <v>3.8233841125788473E-3</v>
      </c>
      <c r="U82" s="120">
        <f>SVY!V413</f>
        <v>3.2172718037568647E-3</v>
      </c>
      <c r="V82" s="120">
        <f>SVY!W413</f>
        <v>0.4482845459334649</v>
      </c>
    </row>
    <row r="83" spans="1:22" x14ac:dyDescent="0.35">
      <c r="A83" s="12" t="s">
        <v>226</v>
      </c>
      <c r="B83" s="13" t="s">
        <v>225</v>
      </c>
      <c r="C83" s="120">
        <f>SVY!D414</f>
        <v>0</v>
      </c>
      <c r="D83" s="120">
        <f>SVY!E414</f>
        <v>0</v>
      </c>
      <c r="E83" s="120">
        <f>SVY!F414</f>
        <v>0</v>
      </c>
      <c r="F83" s="120">
        <f>SVY!G414</f>
        <v>0</v>
      </c>
      <c r="G83" s="120">
        <f>SVY!H414</f>
        <v>0</v>
      </c>
      <c r="H83" s="120">
        <f>SVY!I414</f>
        <v>0</v>
      </c>
      <c r="I83" s="120">
        <f>SVY!J414</f>
        <v>0</v>
      </c>
      <c r="J83" s="120">
        <f>SVY!K414</f>
        <v>0</v>
      </c>
      <c r="K83" s="120">
        <f>SVY!L414</f>
        <v>0</v>
      </c>
      <c r="L83" s="120">
        <f>SVY!M414</f>
        <v>0</v>
      </c>
      <c r="M83" s="120">
        <f>SVY!N414</f>
        <v>0</v>
      </c>
      <c r="N83" s="120">
        <f>SVY!O414</f>
        <v>0</v>
      </c>
      <c r="O83" s="120">
        <f>SVY!P414</f>
        <v>0</v>
      </c>
      <c r="P83" s="120">
        <f>SVY!Q414</f>
        <v>0</v>
      </c>
      <c r="Q83" s="120">
        <f>SVY!R414</f>
        <v>0</v>
      </c>
      <c r="R83" s="120">
        <f>SVY!S414</f>
        <v>0</v>
      </c>
      <c r="S83" s="120">
        <f>SVY!T414</f>
        <v>0</v>
      </c>
      <c r="T83" s="120">
        <f>SVY!U414</f>
        <v>0</v>
      </c>
      <c r="U83" s="120">
        <f>SVY!V414</f>
        <v>0</v>
      </c>
      <c r="V83" s="120">
        <f>SVY!W414</f>
        <v>0</v>
      </c>
    </row>
    <row r="84" spans="1:22" x14ac:dyDescent="0.35">
      <c r="A84" s="12" t="s">
        <v>228</v>
      </c>
      <c r="B84" s="13" t="s">
        <v>227</v>
      </c>
      <c r="C84" s="120">
        <f>SVY!D415</f>
        <v>0</v>
      </c>
      <c r="D84" s="120">
        <f>SVY!E415</f>
        <v>0</v>
      </c>
      <c r="E84" s="120">
        <f>SVY!F415</f>
        <v>0</v>
      </c>
      <c r="F84" s="120">
        <f>SVY!G415</f>
        <v>0</v>
      </c>
      <c r="G84" s="120">
        <f>SVY!H415</f>
        <v>0</v>
      </c>
      <c r="H84" s="120">
        <f>SVY!I415</f>
        <v>0</v>
      </c>
      <c r="I84" s="120">
        <f>SVY!J415</f>
        <v>0</v>
      </c>
      <c r="J84" s="120">
        <f>SVY!K415</f>
        <v>0</v>
      </c>
      <c r="K84" s="120">
        <f>SVY!L415</f>
        <v>0</v>
      </c>
      <c r="L84" s="120">
        <f>SVY!M415</f>
        <v>0</v>
      </c>
      <c r="M84" s="120">
        <f>SVY!N415</f>
        <v>0</v>
      </c>
      <c r="N84" s="120">
        <f>SVY!O415</f>
        <v>0</v>
      </c>
      <c r="O84" s="120">
        <f>SVY!P415</f>
        <v>0</v>
      </c>
      <c r="P84" s="120">
        <f>SVY!Q415</f>
        <v>0</v>
      </c>
      <c r="Q84" s="120">
        <f>SVY!R415</f>
        <v>0</v>
      </c>
      <c r="R84" s="120">
        <f>SVY!S415</f>
        <v>0</v>
      </c>
      <c r="S84" s="120">
        <f>SVY!T415</f>
        <v>0</v>
      </c>
      <c r="T84" s="120">
        <f>SVY!U415</f>
        <v>0</v>
      </c>
      <c r="U84" s="120">
        <f>SVY!V415</f>
        <v>0</v>
      </c>
      <c r="V84" s="120">
        <f>SVY!W415</f>
        <v>0</v>
      </c>
    </row>
    <row r="85" spans="1:22" x14ac:dyDescent="0.35">
      <c r="A85" s="12" t="s">
        <v>230</v>
      </c>
      <c r="B85" s="13" t="s">
        <v>229</v>
      </c>
      <c r="C85" s="120">
        <f>SVY!D416</f>
        <v>5.8123112405320783E-3</v>
      </c>
      <c r="D85" s="120">
        <f>SVY!E416</f>
        <v>1.296148727161987E-2</v>
      </c>
      <c r="E85" s="120">
        <f>SVY!F416</f>
        <v>2.7351471551311658E-2</v>
      </c>
      <c r="F85" s="120">
        <f>SVY!G416</f>
        <v>6.5975408495562271E-2</v>
      </c>
      <c r="G85" s="120">
        <f>SVY!H416</f>
        <v>0.14304384699371384</v>
      </c>
      <c r="H85" s="120">
        <f>SVY!I416</f>
        <v>0</v>
      </c>
      <c r="I85" s="120">
        <f>SVY!J416</f>
        <v>2.2642942222104671E-5</v>
      </c>
      <c r="J85" s="120">
        <f>SVY!K416</f>
        <v>3.4403164342455009E-4</v>
      </c>
      <c r="K85" s="120">
        <f>SVY!L416</f>
        <v>1.0371418533185143E-3</v>
      </c>
      <c r="L85" s="120">
        <f>SVY!M416</f>
        <v>2.5933256965996451E-2</v>
      </c>
      <c r="M85" s="120">
        <f>SVY!N416</f>
        <v>8.0569441506977361E-4</v>
      </c>
      <c r="N85" s="120">
        <f>SVY!O416</f>
        <v>1.2691183959234141E-3</v>
      </c>
      <c r="O85" s="120">
        <f>SVY!P416</f>
        <v>3.2987643709525283E-3</v>
      </c>
      <c r="P85" s="120">
        <f>SVY!Q416</f>
        <v>1.0740904697048399E-2</v>
      </c>
      <c r="Q85" s="120">
        <f>SVY!R416</f>
        <v>0.10611725139795478</v>
      </c>
      <c r="R85" s="120">
        <f>SVY!S416</f>
        <v>9.1338909666593819E-4</v>
      </c>
      <c r="S85" s="120">
        <f>SVY!T416</f>
        <v>4.2157025228678757E-3</v>
      </c>
      <c r="T85" s="120">
        <f>SVY!U416</f>
        <v>7.6098509697431265E-3</v>
      </c>
      <c r="U85" s="120">
        <f>SVY!V416</f>
        <v>3.5903166111428249E-2</v>
      </c>
      <c r="V85" s="120">
        <f>SVY!W416</f>
        <v>0.54664455906464471</v>
      </c>
    </row>
    <row r="86" spans="1:22" x14ac:dyDescent="0.35">
      <c r="A86" s="12" t="s">
        <v>232</v>
      </c>
      <c r="B86" s="13" t="s">
        <v>231</v>
      </c>
      <c r="C86" s="120">
        <f>SVY!D417</f>
        <v>0</v>
      </c>
      <c r="D86" s="120">
        <f>SVY!E417</f>
        <v>0</v>
      </c>
      <c r="E86" s="120">
        <f>SVY!F417</f>
        <v>0</v>
      </c>
      <c r="F86" s="120">
        <f>SVY!G417</f>
        <v>0</v>
      </c>
      <c r="G86" s="120">
        <f>SVY!H417</f>
        <v>0</v>
      </c>
      <c r="H86" s="120">
        <f>SVY!I417</f>
        <v>0</v>
      </c>
      <c r="I86" s="120">
        <f>SVY!J417</f>
        <v>0</v>
      </c>
      <c r="J86" s="120">
        <f>SVY!K417</f>
        <v>0</v>
      </c>
      <c r="K86" s="120">
        <f>SVY!L417</f>
        <v>0</v>
      </c>
      <c r="L86" s="120">
        <f>SVY!M417</f>
        <v>0</v>
      </c>
      <c r="M86" s="120">
        <f>SVY!N417</f>
        <v>0</v>
      </c>
      <c r="N86" s="120">
        <f>SVY!O417</f>
        <v>0</v>
      </c>
      <c r="O86" s="120">
        <f>SVY!P417</f>
        <v>0</v>
      </c>
      <c r="P86" s="120">
        <f>SVY!Q417</f>
        <v>2.8436181746428247E-5</v>
      </c>
      <c r="Q86" s="120">
        <f>SVY!R417</f>
        <v>2.5535001831562119E-2</v>
      </c>
      <c r="R86" s="120">
        <f>SVY!S417</f>
        <v>0</v>
      </c>
      <c r="S86" s="120">
        <f>SVY!T417</f>
        <v>0</v>
      </c>
      <c r="T86" s="120">
        <f>SVY!U417</f>
        <v>0</v>
      </c>
      <c r="U86" s="120">
        <f>SVY!V417</f>
        <v>0</v>
      </c>
      <c r="V86" s="120">
        <f>SVY!W417</f>
        <v>0.97443656198669149</v>
      </c>
    </row>
    <row r="87" spans="1:22" x14ac:dyDescent="0.35">
      <c r="A87" s="12" t="s">
        <v>234</v>
      </c>
      <c r="B87" s="13" t="s">
        <v>233</v>
      </c>
      <c r="C87" s="120">
        <f>SVY!D418</f>
        <v>0</v>
      </c>
      <c r="D87" s="120">
        <f>SVY!E418</f>
        <v>0</v>
      </c>
      <c r="E87" s="120">
        <f>SVY!F418</f>
        <v>0</v>
      </c>
      <c r="F87" s="120">
        <f>SVY!G418</f>
        <v>3.489994787461348E-3</v>
      </c>
      <c r="G87" s="120">
        <f>SVY!H418</f>
        <v>1.246764156071822E-2</v>
      </c>
      <c r="H87" s="120">
        <f>SVY!I418</f>
        <v>0</v>
      </c>
      <c r="I87" s="120">
        <f>SVY!J418</f>
        <v>0</v>
      </c>
      <c r="J87" s="120">
        <f>SVY!K418</f>
        <v>0</v>
      </c>
      <c r="K87" s="120">
        <f>SVY!L418</f>
        <v>0</v>
      </c>
      <c r="L87" s="120">
        <f>SVY!M418</f>
        <v>0</v>
      </c>
      <c r="M87" s="120">
        <f>SVY!N418</f>
        <v>0</v>
      </c>
      <c r="N87" s="120">
        <f>SVY!O418</f>
        <v>0</v>
      </c>
      <c r="O87" s="120">
        <f>SVY!P418</f>
        <v>0</v>
      </c>
      <c r="P87" s="120">
        <f>SVY!Q418</f>
        <v>0</v>
      </c>
      <c r="Q87" s="120">
        <f>SVY!R418</f>
        <v>2.2510553302769899E-2</v>
      </c>
      <c r="R87" s="120">
        <f>SVY!S418</f>
        <v>0</v>
      </c>
      <c r="S87" s="120">
        <f>SVY!T418</f>
        <v>0</v>
      </c>
      <c r="T87" s="120">
        <f>SVY!U418</f>
        <v>0</v>
      </c>
      <c r="U87" s="120">
        <f>SVY!V418</f>
        <v>0</v>
      </c>
      <c r="V87" s="120">
        <f>SVY!W418</f>
        <v>0.96153181034905055</v>
      </c>
    </row>
    <row r="88" spans="1:22" x14ac:dyDescent="0.35">
      <c r="A88" s="12" t="s">
        <v>236</v>
      </c>
      <c r="B88" s="13" t="s">
        <v>235</v>
      </c>
      <c r="C88" s="120">
        <f>SVY!D419</f>
        <v>1.8027121384435386E-2</v>
      </c>
      <c r="D88" s="120">
        <f>SVY!E419</f>
        <v>4.5614444110480136E-2</v>
      </c>
      <c r="E88" s="120">
        <f>SVY!F419</f>
        <v>8.2726928105079395E-2</v>
      </c>
      <c r="F88" s="120">
        <f>SVY!G419</f>
        <v>0.13477185197585095</v>
      </c>
      <c r="G88" s="120">
        <f>SVY!H419</f>
        <v>0.15587129698741062</v>
      </c>
      <c r="H88" s="120">
        <f>SVY!I419</f>
        <v>1.1717445765691177E-4</v>
      </c>
      <c r="I88" s="120">
        <f>SVY!J419</f>
        <v>8.2019803443873906E-5</v>
      </c>
      <c r="J88" s="120">
        <f>SVY!K419</f>
        <v>2.6558120498551021E-4</v>
      </c>
      <c r="K88" s="120">
        <f>SVY!L419</f>
        <v>3.2544138944036465E-3</v>
      </c>
      <c r="L88" s="120">
        <f>SVY!M419</f>
        <v>1.5489072374792219E-2</v>
      </c>
      <c r="M88" s="120">
        <f>SVY!N419</f>
        <v>1.456578971440128E-3</v>
      </c>
      <c r="N88" s="120">
        <f>SVY!O419</f>
        <v>3.5534165525218514E-3</v>
      </c>
      <c r="O88" s="120">
        <f>SVY!P419</f>
        <v>7.5400773014682679E-3</v>
      </c>
      <c r="P88" s="120">
        <f>SVY!Q419</f>
        <v>1.5396419597351321E-2</v>
      </c>
      <c r="Q88" s="120">
        <f>SVY!R419</f>
        <v>8.2396928642806011E-2</v>
      </c>
      <c r="R88" s="120">
        <f>SVY!S419</f>
        <v>1.2280275000417578E-3</v>
      </c>
      <c r="S88" s="120">
        <f>SVY!T419</f>
        <v>3.7517395482310639E-3</v>
      </c>
      <c r="T88" s="120">
        <f>SVY!U419</f>
        <v>7.9796220299256111E-3</v>
      </c>
      <c r="U88" s="120">
        <f>SVY!V419</f>
        <v>2.9389744951728587E-2</v>
      </c>
      <c r="V88" s="120">
        <f>SVY!W419</f>
        <v>0.39108754060594686</v>
      </c>
    </row>
    <row r="89" spans="1:22" x14ac:dyDescent="0.35">
      <c r="A89" s="12" t="s">
        <v>238</v>
      </c>
      <c r="B89" s="13" t="s">
        <v>237</v>
      </c>
      <c r="C89" s="120">
        <f>SVY!D420</f>
        <v>2.4573696839107755E-2</v>
      </c>
      <c r="D89" s="120">
        <f>SVY!E420</f>
        <v>5.3181208853365587E-2</v>
      </c>
      <c r="E89" s="120">
        <f>SVY!F420</f>
        <v>9.4952982057003837E-2</v>
      </c>
      <c r="F89" s="120">
        <f>SVY!G420</f>
        <v>0.14795020581561874</v>
      </c>
      <c r="G89" s="120">
        <f>SVY!H420</f>
        <v>0.19314829521817792</v>
      </c>
      <c r="H89" s="120">
        <f>SVY!I420</f>
        <v>6.1154270246006472E-5</v>
      </c>
      <c r="I89" s="120">
        <f>SVY!J420</f>
        <v>1.8277708328016606E-4</v>
      </c>
      <c r="J89" s="120">
        <f>SVY!K420</f>
        <v>8.2225592624042467E-4</v>
      </c>
      <c r="K89" s="120">
        <f>SVY!L420</f>
        <v>4.5623235784247587E-3</v>
      </c>
      <c r="L89" s="120">
        <f>SVY!M420</f>
        <v>2.4633101278026832E-2</v>
      </c>
      <c r="M89" s="120">
        <f>SVY!N420</f>
        <v>9.8895856912402055E-4</v>
      </c>
      <c r="N89" s="120">
        <f>SVY!O420</f>
        <v>3.003716440190379E-3</v>
      </c>
      <c r="O89" s="120">
        <f>SVY!P420</f>
        <v>3.6268711708025282E-3</v>
      </c>
      <c r="P89" s="120">
        <f>SVY!Q420</f>
        <v>7.1076505941445496E-3</v>
      </c>
      <c r="Q89" s="120">
        <f>SVY!R420</f>
        <v>7.8903880230042855E-2</v>
      </c>
      <c r="R89" s="120">
        <f>SVY!S420</f>
        <v>4.2842724289230739E-4</v>
      </c>
      <c r="S89" s="120">
        <f>SVY!T420</f>
        <v>2.8075785032370196E-3</v>
      </c>
      <c r="T89" s="120">
        <f>SVY!U420</f>
        <v>4.2342684059048378E-3</v>
      </c>
      <c r="U89" s="120">
        <f>SVY!V420</f>
        <v>2.0668067746793219E-2</v>
      </c>
      <c r="V89" s="120">
        <f>SVY!W420</f>
        <v>0.33416258017737649</v>
      </c>
    </row>
    <row r="90" spans="1:22" x14ac:dyDescent="0.35">
      <c r="A90" s="12" t="s">
        <v>240</v>
      </c>
      <c r="B90" s="13" t="s">
        <v>239</v>
      </c>
      <c r="C90" s="120">
        <f>SVY!D421</f>
        <v>0</v>
      </c>
      <c r="D90" s="120">
        <f>SVY!E421</f>
        <v>3.6773296752312743E-4</v>
      </c>
      <c r="E90" s="120">
        <f>SVY!F421</f>
        <v>2.0039716036908766E-4</v>
      </c>
      <c r="F90" s="120">
        <f>SVY!G421</f>
        <v>7.1446502651676081E-3</v>
      </c>
      <c r="G90" s="120">
        <f>SVY!H421</f>
        <v>5.1050026154986897E-2</v>
      </c>
      <c r="H90" s="120">
        <f>SVY!I421</f>
        <v>0</v>
      </c>
      <c r="I90" s="120">
        <f>SVY!J421</f>
        <v>0</v>
      </c>
      <c r="J90" s="120">
        <f>SVY!K421</f>
        <v>0</v>
      </c>
      <c r="K90" s="120">
        <f>SVY!L421</f>
        <v>5.9040962698487219E-4</v>
      </c>
      <c r="L90" s="120">
        <f>SVY!M421</f>
        <v>2.7038841503204788E-2</v>
      </c>
      <c r="M90" s="120">
        <f>SVY!N421</f>
        <v>0</v>
      </c>
      <c r="N90" s="120">
        <f>SVY!O421</f>
        <v>5.0572450542000667E-4</v>
      </c>
      <c r="O90" s="120">
        <f>SVY!P421</f>
        <v>3.7040878548580137E-4</v>
      </c>
      <c r="P90" s="120">
        <f>SVY!Q421</f>
        <v>1.2906305988518267E-3</v>
      </c>
      <c r="Q90" s="120">
        <f>SVY!R421</f>
        <v>0.11562490612990743</v>
      </c>
      <c r="R90" s="120">
        <f>SVY!S421</f>
        <v>0</v>
      </c>
      <c r="S90" s="120">
        <f>SVY!T421</f>
        <v>0</v>
      </c>
      <c r="T90" s="120">
        <f>SVY!U421</f>
        <v>0</v>
      </c>
      <c r="U90" s="120">
        <f>SVY!V421</f>
        <v>2.7231683619430591E-3</v>
      </c>
      <c r="V90" s="120">
        <f>SVY!W421</f>
        <v>0.79309310394015553</v>
      </c>
    </row>
    <row r="91" spans="1:22" x14ac:dyDescent="0.35">
      <c r="A91" s="12" t="s">
        <v>242</v>
      </c>
      <c r="B91" s="13" t="s">
        <v>241</v>
      </c>
      <c r="C91" s="120">
        <f>SVY!D422</f>
        <v>1.8027121384435386E-2</v>
      </c>
      <c r="D91" s="120">
        <f>SVY!E422</f>
        <v>4.5614444110480136E-2</v>
      </c>
      <c r="E91" s="120">
        <f>SVY!F422</f>
        <v>8.2726928105079395E-2</v>
      </c>
      <c r="F91" s="120">
        <f>SVY!G422</f>
        <v>0.13477185197585095</v>
      </c>
      <c r="G91" s="120">
        <f>SVY!H422</f>
        <v>0.15587129698741062</v>
      </c>
      <c r="H91" s="120">
        <f>SVY!I422</f>
        <v>1.1717445765691176E-4</v>
      </c>
      <c r="I91" s="120">
        <f>SVY!J422</f>
        <v>8.2019803443873893E-5</v>
      </c>
      <c r="J91" s="120">
        <f>SVY!K422</f>
        <v>2.6558120498551021E-4</v>
      </c>
      <c r="K91" s="120">
        <f>SVY!L422</f>
        <v>3.2544138944036465E-3</v>
      </c>
      <c r="L91" s="120">
        <f>SVY!M422</f>
        <v>1.5489072374792216E-2</v>
      </c>
      <c r="M91" s="120">
        <f>SVY!N422</f>
        <v>1.4565789714401278E-3</v>
      </c>
      <c r="N91" s="120">
        <f>SVY!O422</f>
        <v>3.553416552521851E-3</v>
      </c>
      <c r="O91" s="120">
        <f>SVY!P422</f>
        <v>7.5400773014682679E-3</v>
      </c>
      <c r="P91" s="120">
        <f>SVY!Q422</f>
        <v>1.5396419597351321E-2</v>
      </c>
      <c r="Q91" s="120">
        <f>SVY!R422</f>
        <v>8.2396928642806011E-2</v>
      </c>
      <c r="R91" s="120">
        <f>SVY!S422</f>
        <v>1.2280275000417576E-3</v>
      </c>
      <c r="S91" s="120">
        <f>SVY!T422</f>
        <v>3.7517395482310639E-3</v>
      </c>
      <c r="T91" s="120">
        <f>SVY!U422</f>
        <v>7.9796220299256111E-3</v>
      </c>
      <c r="U91" s="120">
        <f>SVY!V422</f>
        <v>2.9389744951728587E-2</v>
      </c>
      <c r="V91" s="120">
        <f>SVY!W422</f>
        <v>0.3910875406059468</v>
      </c>
    </row>
    <row r="92" spans="1:22" x14ac:dyDescent="0.35">
      <c r="A92" s="12" t="s">
        <v>244</v>
      </c>
      <c r="B92" s="13" t="s">
        <v>243</v>
      </c>
      <c r="C92" s="120">
        <f>SVY!D423</f>
        <v>0</v>
      </c>
      <c r="D92" s="120">
        <f>SVY!E423</f>
        <v>0</v>
      </c>
      <c r="E92" s="120">
        <f>SVY!F423</f>
        <v>0</v>
      </c>
      <c r="F92" s="120">
        <f>SVY!G423</f>
        <v>0</v>
      </c>
      <c r="G92" s="120">
        <f>SVY!H423</f>
        <v>0</v>
      </c>
      <c r="H92" s="120">
        <f>SVY!I423</f>
        <v>0</v>
      </c>
      <c r="I92" s="120">
        <f>SVY!J423</f>
        <v>0</v>
      </c>
      <c r="J92" s="120">
        <f>SVY!K423</f>
        <v>0</v>
      </c>
      <c r="K92" s="120">
        <f>SVY!L423</f>
        <v>0</v>
      </c>
      <c r="L92" s="120">
        <f>SVY!M423</f>
        <v>0</v>
      </c>
      <c r="M92" s="120">
        <f>SVY!N423</f>
        <v>0</v>
      </c>
      <c r="N92" s="120">
        <f>SVY!O423</f>
        <v>0</v>
      </c>
      <c r="O92" s="120">
        <f>SVY!P423</f>
        <v>0</v>
      </c>
      <c r="P92" s="120">
        <f>SVY!Q423</f>
        <v>0</v>
      </c>
      <c r="Q92" s="120">
        <f>SVY!R423</f>
        <v>0</v>
      </c>
      <c r="R92" s="120">
        <f>SVY!S423</f>
        <v>0</v>
      </c>
      <c r="S92" s="120">
        <f>SVY!T423</f>
        <v>0</v>
      </c>
      <c r="T92" s="120">
        <f>SVY!U423</f>
        <v>0</v>
      </c>
      <c r="U92" s="120">
        <f>SVY!V423</f>
        <v>0</v>
      </c>
      <c r="V92" s="120">
        <f>SVY!W423</f>
        <v>0</v>
      </c>
    </row>
    <row r="93" spans="1:22" x14ac:dyDescent="0.35">
      <c r="A93" s="12" t="s">
        <v>246</v>
      </c>
      <c r="B93" s="13" t="s">
        <v>245</v>
      </c>
      <c r="C93" s="120">
        <f>SVY!D424</f>
        <v>9.5460467789343334E-2</v>
      </c>
      <c r="D93" s="120">
        <f>SVY!E424</f>
        <v>0.12392467443059532</v>
      </c>
      <c r="E93" s="120">
        <f>SVY!F424</f>
        <v>0.14642908890150033</v>
      </c>
      <c r="F93" s="120">
        <f>SVY!G424</f>
        <v>0.15789173786277511</v>
      </c>
      <c r="G93" s="120">
        <f>SVY!H424</f>
        <v>0.11064602363329527</v>
      </c>
      <c r="H93" s="120">
        <f>SVY!I424</f>
        <v>2.1337704284603881E-4</v>
      </c>
      <c r="I93" s="120">
        <f>SVY!J424</f>
        <v>3.6017843036802416E-4</v>
      </c>
      <c r="J93" s="120">
        <f>SVY!K424</f>
        <v>9.3020319432536829E-4</v>
      </c>
      <c r="K93" s="120">
        <f>SVY!L424</f>
        <v>2.2787257510426592E-3</v>
      </c>
      <c r="L93" s="120">
        <f>SVY!M424</f>
        <v>1.4197062750561174E-2</v>
      </c>
      <c r="M93" s="120">
        <f>SVY!N424</f>
        <v>5.1777707280037588E-3</v>
      </c>
      <c r="N93" s="120">
        <f>SVY!O424</f>
        <v>7.6595592596954464E-3</v>
      </c>
      <c r="O93" s="120">
        <f>SVY!P424</f>
        <v>1.1507723786264789E-2</v>
      </c>
      <c r="P93" s="120">
        <f>SVY!Q424</f>
        <v>1.3754920956466434E-2</v>
      </c>
      <c r="Q93" s="120">
        <f>SVY!R424</f>
        <v>6.6275222592597743E-2</v>
      </c>
      <c r="R93" s="120">
        <f>SVY!S424</f>
        <v>6.7642895505009226E-4</v>
      </c>
      <c r="S93" s="120">
        <f>SVY!T424</f>
        <v>3.390122602832283E-3</v>
      </c>
      <c r="T93" s="120">
        <f>SVY!U424</f>
        <v>6.4777381993765494E-3</v>
      </c>
      <c r="U93" s="120">
        <f>SVY!V424</f>
        <v>1.4119810885963244E-2</v>
      </c>
      <c r="V93" s="120">
        <f>SVY!W424</f>
        <v>0.21862916224709694</v>
      </c>
    </row>
    <row r="94" spans="1:22" x14ac:dyDescent="0.35">
      <c r="A94" s="12" t="s">
        <v>248</v>
      </c>
      <c r="B94" s="13" t="s">
        <v>247</v>
      </c>
      <c r="C94" s="120">
        <f>SVY!D425</f>
        <v>9.5460467789343334E-2</v>
      </c>
      <c r="D94" s="120">
        <f>SVY!E425</f>
        <v>0.12392467443059534</v>
      </c>
      <c r="E94" s="120">
        <f>SVY!F425</f>
        <v>0.14642908890150033</v>
      </c>
      <c r="F94" s="120">
        <f>SVY!G425</f>
        <v>0.15789173786277511</v>
      </c>
      <c r="G94" s="120">
        <f>SVY!H425</f>
        <v>0.11064602363329527</v>
      </c>
      <c r="H94" s="120">
        <f>SVY!I425</f>
        <v>2.1337704284603881E-4</v>
      </c>
      <c r="I94" s="120">
        <f>SVY!J425</f>
        <v>3.6017843036802416E-4</v>
      </c>
      <c r="J94" s="120">
        <f>SVY!K425</f>
        <v>9.3020319432536829E-4</v>
      </c>
      <c r="K94" s="120">
        <f>SVY!L425</f>
        <v>2.2787257510426592E-3</v>
      </c>
      <c r="L94" s="120">
        <f>SVY!M425</f>
        <v>1.4197062750561174E-2</v>
      </c>
      <c r="M94" s="120">
        <f>SVY!N425</f>
        <v>5.1777707280037588E-3</v>
      </c>
      <c r="N94" s="120">
        <f>SVY!O425</f>
        <v>7.6595592596954464E-3</v>
      </c>
      <c r="O94" s="120">
        <f>SVY!P425</f>
        <v>1.1507723786264789E-2</v>
      </c>
      <c r="P94" s="120">
        <f>SVY!Q425</f>
        <v>1.3754920956466436E-2</v>
      </c>
      <c r="Q94" s="120">
        <f>SVY!R425</f>
        <v>6.6275222592597743E-2</v>
      </c>
      <c r="R94" s="120">
        <f>SVY!S425</f>
        <v>6.7642895505009226E-4</v>
      </c>
      <c r="S94" s="120">
        <f>SVY!T425</f>
        <v>3.390122602832283E-3</v>
      </c>
      <c r="T94" s="120">
        <f>SVY!U425</f>
        <v>6.4777381993765502E-3</v>
      </c>
      <c r="U94" s="120">
        <f>SVY!V425</f>
        <v>1.4119810885963244E-2</v>
      </c>
      <c r="V94" s="120">
        <f>SVY!W425</f>
        <v>0.21862916224709691</v>
      </c>
    </row>
    <row r="95" spans="1:22" x14ac:dyDescent="0.35">
      <c r="A95" s="12" t="s">
        <v>250</v>
      </c>
      <c r="B95" s="13" t="s">
        <v>249</v>
      </c>
      <c r="C95" s="120">
        <f>SVY!D426</f>
        <v>9.5460467789343334E-2</v>
      </c>
      <c r="D95" s="120">
        <f>SVY!E426</f>
        <v>0.12392467443059532</v>
      </c>
      <c r="E95" s="120">
        <f>SVY!F426</f>
        <v>0.14642908890150033</v>
      </c>
      <c r="F95" s="120">
        <f>SVY!G426</f>
        <v>0.15789173786277511</v>
      </c>
      <c r="G95" s="120">
        <f>SVY!H426</f>
        <v>0.11064602363329527</v>
      </c>
      <c r="H95" s="120">
        <f>SVY!I426</f>
        <v>2.1337704284603881E-4</v>
      </c>
      <c r="I95" s="120">
        <f>SVY!J426</f>
        <v>3.6017843036802416E-4</v>
      </c>
      <c r="J95" s="120">
        <f>SVY!K426</f>
        <v>9.3020319432536829E-4</v>
      </c>
      <c r="K95" s="120">
        <f>SVY!L426</f>
        <v>2.2787257510426592E-3</v>
      </c>
      <c r="L95" s="120">
        <f>SVY!M426</f>
        <v>1.4197062750561174E-2</v>
      </c>
      <c r="M95" s="120">
        <f>SVY!N426</f>
        <v>5.1777707280037588E-3</v>
      </c>
      <c r="N95" s="120">
        <f>SVY!O426</f>
        <v>7.6595592596954464E-3</v>
      </c>
      <c r="O95" s="120">
        <f>SVY!P426</f>
        <v>1.1507723786264789E-2</v>
      </c>
      <c r="P95" s="120">
        <f>SVY!Q426</f>
        <v>1.3754920956466434E-2</v>
      </c>
      <c r="Q95" s="120">
        <f>SVY!R426</f>
        <v>6.6275222592597743E-2</v>
      </c>
      <c r="R95" s="120">
        <f>SVY!S426</f>
        <v>6.7642895505009226E-4</v>
      </c>
      <c r="S95" s="120">
        <f>SVY!T426</f>
        <v>3.390122602832283E-3</v>
      </c>
      <c r="T95" s="120">
        <f>SVY!U426</f>
        <v>6.4777381993765494E-3</v>
      </c>
      <c r="U95" s="120">
        <f>SVY!V426</f>
        <v>1.4119810885963244E-2</v>
      </c>
      <c r="V95" s="120">
        <f>SVY!W426</f>
        <v>0.21862916224709694</v>
      </c>
    </row>
    <row r="96" spans="1:22" x14ac:dyDescent="0.35">
      <c r="A96" s="12" t="s">
        <v>252</v>
      </c>
      <c r="B96" s="13" t="s">
        <v>251</v>
      </c>
      <c r="C96" s="120">
        <f>SVY!D427</f>
        <v>2.9725423867051431E-2</v>
      </c>
      <c r="D96" s="120">
        <f>SVY!E427</f>
        <v>3.9260196015702249E-2</v>
      </c>
      <c r="E96" s="120">
        <f>SVY!F427</f>
        <v>5.0870187491935816E-2</v>
      </c>
      <c r="F96" s="120">
        <f>SVY!G427</f>
        <v>7.4266846858416113E-2</v>
      </c>
      <c r="G96" s="120">
        <f>SVY!H427</f>
        <v>8.5905609374952355E-2</v>
      </c>
      <c r="H96" s="120">
        <f>SVY!I427</f>
        <v>1.5566258949188097E-4</v>
      </c>
      <c r="I96" s="120">
        <f>SVY!J427</f>
        <v>2.3759789408975171E-4</v>
      </c>
      <c r="J96" s="120">
        <f>SVY!K427</f>
        <v>5.6602094909215033E-4</v>
      </c>
      <c r="K96" s="120">
        <f>SVY!L427</f>
        <v>1.603408594297839E-3</v>
      </c>
      <c r="L96" s="120">
        <f>SVY!M427</f>
        <v>1.2169083173404578E-2</v>
      </c>
      <c r="M96" s="120">
        <f>SVY!N427</f>
        <v>2.5203554786004181E-3</v>
      </c>
      <c r="N96" s="120">
        <f>SVY!O427</f>
        <v>4.9796718986496813E-3</v>
      </c>
      <c r="O96" s="120">
        <f>SVY!P427</f>
        <v>8.3017490852002312E-3</v>
      </c>
      <c r="P96" s="120">
        <f>SVY!Q427</f>
        <v>1.5766021344724823E-2</v>
      </c>
      <c r="Q96" s="120">
        <f>SVY!R427</f>
        <v>0.10352385843240243</v>
      </c>
      <c r="R96" s="120">
        <f>SVY!S427</f>
        <v>1.6901889667788523E-3</v>
      </c>
      <c r="S96" s="120">
        <f>SVY!T427</f>
        <v>5.3766678017171353E-3</v>
      </c>
      <c r="T96" s="120">
        <f>SVY!U427</f>
        <v>1.0633097351141015E-2</v>
      </c>
      <c r="U96" s="120">
        <f>SVY!V427</f>
        <v>2.7570979219905607E-2</v>
      </c>
      <c r="V96" s="120">
        <f>SVY!W427</f>
        <v>0.52487737361244569</v>
      </c>
    </row>
    <row r="97" spans="1:22" x14ac:dyDescent="0.35">
      <c r="A97" s="12" t="s">
        <v>254</v>
      </c>
      <c r="B97" s="13" t="s">
        <v>253</v>
      </c>
      <c r="C97" s="120">
        <f>SVY!D428</f>
        <v>2.9725423867051431E-2</v>
      </c>
      <c r="D97" s="120">
        <f>SVY!E428</f>
        <v>3.9260196015702256E-2</v>
      </c>
      <c r="E97" s="120">
        <f>SVY!F428</f>
        <v>5.0870187491935816E-2</v>
      </c>
      <c r="F97" s="120">
        <f>SVY!G428</f>
        <v>7.4266846858416113E-2</v>
      </c>
      <c r="G97" s="120">
        <f>SVY!H428</f>
        <v>8.5905609374952355E-2</v>
      </c>
      <c r="H97" s="120">
        <f>SVY!I428</f>
        <v>1.5566258949188097E-4</v>
      </c>
      <c r="I97" s="120">
        <f>SVY!J428</f>
        <v>2.3759789408975168E-4</v>
      </c>
      <c r="J97" s="120">
        <f>SVY!K428</f>
        <v>5.6602094909215033E-4</v>
      </c>
      <c r="K97" s="120">
        <f>SVY!L428</f>
        <v>1.6034085942978392E-3</v>
      </c>
      <c r="L97" s="120">
        <f>SVY!M428</f>
        <v>1.2169083173404578E-2</v>
      </c>
      <c r="M97" s="120">
        <f>SVY!N428</f>
        <v>2.5203554786004181E-3</v>
      </c>
      <c r="N97" s="120">
        <f>SVY!O428</f>
        <v>4.9796718986496822E-3</v>
      </c>
      <c r="O97" s="120">
        <f>SVY!P428</f>
        <v>8.3017490852002312E-3</v>
      </c>
      <c r="P97" s="120">
        <f>SVY!Q428</f>
        <v>1.5766021344724823E-2</v>
      </c>
      <c r="Q97" s="120">
        <f>SVY!R428</f>
        <v>0.10352385843240243</v>
      </c>
      <c r="R97" s="120">
        <f>SVY!S428</f>
        <v>1.6901889667788523E-3</v>
      </c>
      <c r="S97" s="120">
        <f>SVY!T428</f>
        <v>5.3766678017171362E-3</v>
      </c>
      <c r="T97" s="120">
        <f>SVY!U428</f>
        <v>1.0633097351141015E-2</v>
      </c>
      <c r="U97" s="120">
        <f>SVY!V428</f>
        <v>2.7570979219905607E-2</v>
      </c>
      <c r="V97" s="120">
        <f>SVY!W428</f>
        <v>0.52487737361244569</v>
      </c>
    </row>
    <row r="98" spans="1:22" x14ac:dyDescent="0.35">
      <c r="A98" s="12" t="s">
        <v>256</v>
      </c>
      <c r="B98" s="13" t="s">
        <v>255</v>
      </c>
      <c r="C98" s="120">
        <f>SVY!D429</f>
        <v>0</v>
      </c>
      <c r="D98" s="120">
        <f>SVY!E429</f>
        <v>0</v>
      </c>
      <c r="E98" s="120">
        <f>SVY!F429</f>
        <v>0</v>
      </c>
      <c r="F98" s="120">
        <f>SVY!G429</f>
        <v>0</v>
      </c>
      <c r="G98" s="120">
        <f>SVY!H429</f>
        <v>0</v>
      </c>
      <c r="H98" s="120">
        <f>SVY!I429</f>
        <v>0</v>
      </c>
      <c r="I98" s="120">
        <f>SVY!J429</f>
        <v>0</v>
      </c>
      <c r="J98" s="120">
        <f>SVY!K429</f>
        <v>0</v>
      </c>
      <c r="K98" s="120">
        <f>SVY!L429</f>
        <v>0</v>
      </c>
      <c r="L98" s="120">
        <f>SVY!M429</f>
        <v>0</v>
      </c>
      <c r="M98" s="120">
        <f>SVY!N429</f>
        <v>0</v>
      </c>
      <c r="N98" s="120">
        <f>SVY!O429</f>
        <v>0</v>
      </c>
      <c r="O98" s="120">
        <f>SVY!P429</f>
        <v>0</v>
      </c>
      <c r="P98" s="120">
        <f>SVY!Q429</f>
        <v>0</v>
      </c>
      <c r="Q98" s="120">
        <f>SVY!R429</f>
        <v>0</v>
      </c>
      <c r="R98" s="120">
        <f>SVY!S429</f>
        <v>0</v>
      </c>
      <c r="S98" s="120">
        <f>SVY!T429</f>
        <v>0</v>
      </c>
      <c r="T98" s="120">
        <f>SVY!U429</f>
        <v>0</v>
      </c>
      <c r="U98" s="120">
        <f>SVY!V429</f>
        <v>0</v>
      </c>
      <c r="V98" s="120">
        <f>SVY!W429</f>
        <v>0</v>
      </c>
    </row>
    <row r="99" spans="1:22" x14ac:dyDescent="0.35">
      <c r="A99" s="12" t="s">
        <v>258</v>
      </c>
      <c r="B99" s="13" t="s">
        <v>257</v>
      </c>
      <c r="C99" s="120">
        <f>SVY!D430</f>
        <v>3.7933185546471328E-2</v>
      </c>
      <c r="D99" s="120">
        <f>SVY!E430</f>
        <v>6.4549469771126439E-2</v>
      </c>
      <c r="E99" s="120">
        <f>SVY!F430</f>
        <v>7.5231985115605887E-2</v>
      </c>
      <c r="F99" s="120">
        <f>SVY!G430</f>
        <v>0.11571365948235808</v>
      </c>
      <c r="G99" s="120">
        <f>SVY!H430</f>
        <v>0.11290431391629359</v>
      </c>
      <c r="H99" s="120">
        <f>SVY!I430</f>
        <v>0</v>
      </c>
      <c r="I99" s="120">
        <f>SVY!J430</f>
        <v>2.7389002221048865E-4</v>
      </c>
      <c r="J99" s="120">
        <f>SVY!K430</f>
        <v>1.1298253087546285E-3</v>
      </c>
      <c r="K99" s="120">
        <f>SVY!L430</f>
        <v>2.1223466187887336E-3</v>
      </c>
      <c r="L99" s="120">
        <f>SVY!M430</f>
        <v>1.8033288712591713E-2</v>
      </c>
      <c r="M99" s="120">
        <f>SVY!N430</f>
        <v>3.9414645712119922E-3</v>
      </c>
      <c r="N99" s="120">
        <f>SVY!O430</f>
        <v>8.5194194200243177E-3</v>
      </c>
      <c r="O99" s="120">
        <f>SVY!P430</f>
        <v>1.4463035091465536E-2</v>
      </c>
      <c r="P99" s="120">
        <f>SVY!Q430</f>
        <v>2.2804386638169916E-2</v>
      </c>
      <c r="Q99" s="120">
        <f>SVY!R430</f>
        <v>8.4825354344006912E-2</v>
      </c>
      <c r="R99" s="120">
        <f>SVY!S430</f>
        <v>2.6444088541901912E-3</v>
      </c>
      <c r="S99" s="120">
        <f>SVY!T430</f>
        <v>7.0132467017348142E-3</v>
      </c>
      <c r="T99" s="120">
        <f>SVY!U430</f>
        <v>2.3752651171912248E-2</v>
      </c>
      <c r="U99" s="120">
        <f>SVY!V430</f>
        <v>3.8266167616303796E-2</v>
      </c>
      <c r="V99" s="120">
        <f>SVY!W430</f>
        <v>0.36587790109677948</v>
      </c>
    </row>
    <row r="100" spans="1:22" x14ac:dyDescent="0.35">
      <c r="A100" s="12" t="s">
        <v>260</v>
      </c>
      <c r="B100" s="13" t="s">
        <v>259</v>
      </c>
      <c r="C100" s="120">
        <f>SVY!D431</f>
        <v>3.7933185546471321E-2</v>
      </c>
      <c r="D100" s="120">
        <f>SVY!E431</f>
        <v>6.4549469771126425E-2</v>
      </c>
      <c r="E100" s="120">
        <f>SVY!F431</f>
        <v>7.5231985115605873E-2</v>
      </c>
      <c r="F100" s="120">
        <f>SVY!G431</f>
        <v>0.11571365948235807</v>
      </c>
      <c r="G100" s="120">
        <f>SVY!H431</f>
        <v>0.11290431391629357</v>
      </c>
      <c r="H100" s="120">
        <f>SVY!I431</f>
        <v>0</v>
      </c>
      <c r="I100" s="120">
        <f>SVY!J431</f>
        <v>2.738900222104886E-4</v>
      </c>
      <c r="J100" s="120">
        <f>SVY!K431</f>
        <v>1.1298253087546283E-3</v>
      </c>
      <c r="K100" s="120">
        <f>SVY!L431</f>
        <v>2.1223466187887331E-3</v>
      </c>
      <c r="L100" s="120">
        <f>SVY!M431</f>
        <v>1.8033288712591706E-2</v>
      </c>
      <c r="M100" s="120">
        <f>SVY!N431</f>
        <v>3.9414645712119913E-3</v>
      </c>
      <c r="N100" s="120">
        <f>SVY!O431</f>
        <v>8.519419420024316E-3</v>
      </c>
      <c r="O100" s="120">
        <f>SVY!P431</f>
        <v>1.4463035091465532E-2</v>
      </c>
      <c r="P100" s="120">
        <f>SVY!Q431</f>
        <v>2.2804386638169909E-2</v>
      </c>
      <c r="Q100" s="120">
        <f>SVY!R431</f>
        <v>8.4825354344006898E-2</v>
      </c>
      <c r="R100" s="120">
        <f>SVY!S431</f>
        <v>2.6444088541901908E-3</v>
      </c>
      <c r="S100" s="120">
        <f>SVY!T431</f>
        <v>7.0132467017348134E-3</v>
      </c>
      <c r="T100" s="120">
        <f>SVY!U431</f>
        <v>2.3752651171912244E-2</v>
      </c>
      <c r="U100" s="120">
        <f>SVY!V431</f>
        <v>3.8266167616303789E-2</v>
      </c>
      <c r="V100" s="120">
        <f>SVY!W431</f>
        <v>0.36587790109677942</v>
      </c>
    </row>
    <row r="101" spans="1:22" x14ac:dyDescent="0.35">
      <c r="A101" s="12" t="s">
        <v>262</v>
      </c>
      <c r="B101" s="13" t="s">
        <v>261</v>
      </c>
      <c r="C101" s="120">
        <f>SVY!D432</f>
        <v>1.98855192340982E-2</v>
      </c>
      <c r="D101" s="120">
        <f>SVY!E432</f>
        <v>4.1560678068116537E-2</v>
      </c>
      <c r="E101" s="120">
        <f>SVY!F432</f>
        <v>7.0862624539417496E-2</v>
      </c>
      <c r="F101" s="120">
        <f>SVY!G432</f>
        <v>0.12754932176910891</v>
      </c>
      <c r="G101" s="120">
        <f>SVY!H432</f>
        <v>0.16247300722898153</v>
      </c>
      <c r="H101" s="120">
        <f>SVY!I432</f>
        <v>0</v>
      </c>
      <c r="I101" s="120">
        <f>SVY!J432</f>
        <v>3.4723548169851326E-4</v>
      </c>
      <c r="J101" s="120">
        <f>SVY!K432</f>
        <v>1.5478551456281608E-4</v>
      </c>
      <c r="K101" s="120">
        <f>SVY!L432</f>
        <v>3.3126864143488404E-3</v>
      </c>
      <c r="L101" s="120">
        <f>SVY!M432</f>
        <v>2.5381705519946143E-2</v>
      </c>
      <c r="M101" s="120">
        <f>SVY!N432</f>
        <v>1.7725783543532496E-3</v>
      </c>
      <c r="N101" s="120">
        <f>SVY!O432</f>
        <v>4.5279941315821233E-3</v>
      </c>
      <c r="O101" s="120">
        <f>SVY!P432</f>
        <v>4.3081376817800596E-3</v>
      </c>
      <c r="P101" s="120">
        <f>SVY!Q432</f>
        <v>1.2024884382350977E-2</v>
      </c>
      <c r="Q101" s="120">
        <f>SVY!R432</f>
        <v>0.15832399550104104</v>
      </c>
      <c r="R101" s="120">
        <f>SVY!S432</f>
        <v>0</v>
      </c>
      <c r="S101" s="120">
        <f>SVY!T432</f>
        <v>1.7721717299813453E-4</v>
      </c>
      <c r="T101" s="120">
        <f>SVY!U432</f>
        <v>2.7094222313629266E-3</v>
      </c>
      <c r="U101" s="120">
        <f>SVY!V432</f>
        <v>1.6875913139172315E-2</v>
      </c>
      <c r="V101" s="120">
        <f>SVY!W432</f>
        <v>0.34775229363508003</v>
      </c>
    </row>
    <row r="102" spans="1:22" x14ac:dyDescent="0.35">
      <c r="A102" s="12" t="s">
        <v>264</v>
      </c>
      <c r="B102" s="13" t="s">
        <v>263</v>
      </c>
      <c r="C102" s="120">
        <f>SVY!D433</f>
        <v>1.9885519234098203E-2</v>
      </c>
      <c r="D102" s="120">
        <f>SVY!E433</f>
        <v>4.1560678068116544E-2</v>
      </c>
      <c r="E102" s="120">
        <f>SVY!F433</f>
        <v>7.0862624539417496E-2</v>
      </c>
      <c r="F102" s="120">
        <f>SVY!G433</f>
        <v>0.12754932176910894</v>
      </c>
      <c r="G102" s="120">
        <f>SVY!H433</f>
        <v>0.16247300722898159</v>
      </c>
      <c r="H102" s="120">
        <f>SVY!I433</f>
        <v>0</v>
      </c>
      <c r="I102" s="120">
        <f>SVY!J433</f>
        <v>3.4723548169851332E-4</v>
      </c>
      <c r="J102" s="120">
        <f>SVY!K433</f>
        <v>1.5478551456281611E-4</v>
      </c>
      <c r="K102" s="120">
        <f>SVY!L433</f>
        <v>3.3126864143488408E-3</v>
      </c>
      <c r="L102" s="120">
        <f>SVY!M433</f>
        <v>2.5381705519946146E-2</v>
      </c>
      <c r="M102" s="120">
        <f>SVY!N433</f>
        <v>1.7725783543532498E-3</v>
      </c>
      <c r="N102" s="120">
        <f>SVY!O433</f>
        <v>4.5279941315821241E-3</v>
      </c>
      <c r="O102" s="120">
        <f>SVY!P433</f>
        <v>4.3081376817800604E-3</v>
      </c>
      <c r="P102" s="120">
        <f>SVY!Q433</f>
        <v>1.202488438235098E-2</v>
      </c>
      <c r="Q102" s="120">
        <f>SVY!R433</f>
        <v>0.15832399550104106</v>
      </c>
      <c r="R102" s="120">
        <f>SVY!S433</f>
        <v>0</v>
      </c>
      <c r="S102" s="120">
        <f>SVY!T433</f>
        <v>1.7721717299813453E-4</v>
      </c>
      <c r="T102" s="120">
        <f>SVY!U433</f>
        <v>2.709422231362927E-3</v>
      </c>
      <c r="U102" s="120">
        <f>SVY!V433</f>
        <v>1.6875913139172319E-2</v>
      </c>
      <c r="V102" s="120">
        <f>SVY!W433</f>
        <v>0.34775229363508009</v>
      </c>
    </row>
    <row r="103" spans="1:22" x14ac:dyDescent="0.35">
      <c r="A103" s="12" t="s">
        <v>266</v>
      </c>
      <c r="B103" s="13" t="s">
        <v>265</v>
      </c>
      <c r="C103" s="120">
        <f>SVY!D434</f>
        <v>2.8210390037112891E-2</v>
      </c>
      <c r="D103" s="120">
        <f>SVY!E434</f>
        <v>3.6865330485485619E-2</v>
      </c>
      <c r="E103" s="120">
        <f>SVY!F434</f>
        <v>6.8916464058617524E-2</v>
      </c>
      <c r="F103" s="120">
        <f>SVY!G434</f>
        <v>9.8268275488910317E-2</v>
      </c>
      <c r="G103" s="120">
        <f>SVY!H434</f>
        <v>0.12767941268058419</v>
      </c>
      <c r="H103" s="120">
        <f>SVY!I434</f>
        <v>7.1285767104424178E-5</v>
      </c>
      <c r="I103" s="120">
        <f>SVY!J434</f>
        <v>2.1679330092242983E-4</v>
      </c>
      <c r="J103" s="120">
        <f>SVY!K434</f>
        <v>6.1362047762824126E-4</v>
      </c>
      <c r="K103" s="120">
        <f>SVY!L434</f>
        <v>8.4544423128089016E-4</v>
      </c>
      <c r="L103" s="120">
        <f>SVY!M434</f>
        <v>3.3150980014904588E-2</v>
      </c>
      <c r="M103" s="120">
        <f>SVY!N434</f>
        <v>1.8653260110303473E-3</v>
      </c>
      <c r="N103" s="120">
        <f>SVY!O434</f>
        <v>3.7013775217939588E-3</v>
      </c>
      <c r="O103" s="120">
        <f>SVY!P434</f>
        <v>6.0632492079478332E-3</v>
      </c>
      <c r="P103" s="120">
        <f>SVY!Q434</f>
        <v>1.1206751014406996E-2</v>
      </c>
      <c r="Q103" s="120">
        <f>SVY!R434</f>
        <v>9.3043385827733985E-2</v>
      </c>
      <c r="R103" s="120">
        <f>SVY!S434</f>
        <v>2.8476209068116514E-4</v>
      </c>
      <c r="S103" s="120">
        <f>SVY!T434</f>
        <v>3.7246360353617694E-4</v>
      </c>
      <c r="T103" s="120">
        <f>SVY!U434</f>
        <v>1.720734325170112E-3</v>
      </c>
      <c r="U103" s="120">
        <f>SVY!V434</f>
        <v>7.8176730586319229E-3</v>
      </c>
      <c r="V103" s="120">
        <f>SVY!W434</f>
        <v>0.47908628079651633</v>
      </c>
    </row>
    <row r="104" spans="1:22" x14ac:dyDescent="0.35">
      <c r="A104" s="12" t="s">
        <v>268</v>
      </c>
      <c r="B104" s="13" t="s">
        <v>267</v>
      </c>
      <c r="C104" s="120">
        <f>SVY!D435</f>
        <v>1.6624028321727012E-2</v>
      </c>
      <c r="D104" s="120">
        <f>SVY!E435</f>
        <v>2.959347772285871E-2</v>
      </c>
      <c r="E104" s="120">
        <f>SVY!F435</f>
        <v>5.0752832848912237E-2</v>
      </c>
      <c r="F104" s="120">
        <f>SVY!G435</f>
        <v>0.10173079010694526</v>
      </c>
      <c r="G104" s="120">
        <f>SVY!H435</f>
        <v>0.15171262179830694</v>
      </c>
      <c r="H104" s="120">
        <f>SVY!I435</f>
        <v>3.9434206072463058E-5</v>
      </c>
      <c r="I104" s="120">
        <f>SVY!J435</f>
        <v>2.2142215856167386E-4</v>
      </c>
      <c r="J104" s="120">
        <f>SVY!K435</f>
        <v>6.8552861647398235E-4</v>
      </c>
      <c r="K104" s="120">
        <f>SVY!L435</f>
        <v>8.0405404564675017E-4</v>
      </c>
      <c r="L104" s="120">
        <f>SVY!M435</f>
        <v>1.66024412623118E-2</v>
      </c>
      <c r="M104" s="120">
        <f>SVY!N435</f>
        <v>1.3816339087141896E-3</v>
      </c>
      <c r="N104" s="120">
        <f>SVY!O435</f>
        <v>3.8012601686677741E-3</v>
      </c>
      <c r="O104" s="120">
        <f>SVY!P435</f>
        <v>5.742675355618689E-3</v>
      </c>
      <c r="P104" s="120">
        <f>SVY!Q435</f>
        <v>1.3521976682131226E-2</v>
      </c>
      <c r="Q104" s="120">
        <f>SVY!R435</f>
        <v>0.12737586475741763</v>
      </c>
      <c r="R104" s="120">
        <f>SVY!S435</f>
        <v>5.8559000256801978E-4</v>
      </c>
      <c r="S104" s="120">
        <f>SVY!T435</f>
        <v>1.7116576597317073E-3</v>
      </c>
      <c r="T104" s="120">
        <f>SVY!U435</f>
        <v>4.8595312099576791E-3</v>
      </c>
      <c r="U104" s="120">
        <f>SVY!V435</f>
        <v>1.6462940519210007E-2</v>
      </c>
      <c r="V104" s="120">
        <f>SVY!W435</f>
        <v>0.45579023864816642</v>
      </c>
    </row>
    <row r="105" spans="1:22" x14ac:dyDescent="0.35">
      <c r="A105" s="12" t="s">
        <v>270</v>
      </c>
      <c r="B105" s="13" t="s">
        <v>269</v>
      </c>
      <c r="C105" s="120">
        <f>SVY!D436</f>
        <v>7.4998430419827011E-2</v>
      </c>
      <c r="D105" s="120">
        <f>SVY!E436</f>
        <v>9.0406918056657376E-2</v>
      </c>
      <c r="E105" s="120">
        <f>SVY!F436</f>
        <v>0.10176504252830236</v>
      </c>
      <c r="F105" s="120">
        <f>SVY!G436</f>
        <v>0.13126859868763627</v>
      </c>
      <c r="G105" s="120">
        <f>SVY!H436</f>
        <v>0.15360824587934746</v>
      </c>
      <c r="H105" s="120">
        <f>SVY!I436</f>
        <v>2.9367515514161888E-5</v>
      </c>
      <c r="I105" s="120">
        <f>SVY!J436</f>
        <v>3.768234474449681E-4</v>
      </c>
      <c r="J105" s="120">
        <f>SVY!K436</f>
        <v>1.0287192046213253E-3</v>
      </c>
      <c r="K105" s="120">
        <f>SVY!L436</f>
        <v>4.0298926219368564E-3</v>
      </c>
      <c r="L105" s="120">
        <f>SVY!M436</f>
        <v>1.4978996813294249E-2</v>
      </c>
      <c r="M105" s="120">
        <f>SVY!N436</f>
        <v>3.8806384969308494E-3</v>
      </c>
      <c r="N105" s="120">
        <f>SVY!O436</f>
        <v>5.0789054349452151E-3</v>
      </c>
      <c r="O105" s="120">
        <f>SVY!P436</f>
        <v>8.9014757070189649E-3</v>
      </c>
      <c r="P105" s="120">
        <f>SVY!Q436</f>
        <v>1.8830860936610905E-2</v>
      </c>
      <c r="Q105" s="120">
        <f>SVY!R436</f>
        <v>7.0630131322485315E-2</v>
      </c>
      <c r="R105" s="120">
        <f>SVY!S436</f>
        <v>2.145027805628297E-3</v>
      </c>
      <c r="S105" s="120">
        <f>SVY!T436</f>
        <v>8.9248873529322939E-3</v>
      </c>
      <c r="T105" s="120">
        <f>SVY!U436</f>
        <v>5.7654673794485505E-3</v>
      </c>
      <c r="U105" s="120">
        <f>SVY!V436</f>
        <v>1.2321532839627898E-2</v>
      </c>
      <c r="V105" s="120">
        <f>SVY!W436</f>
        <v>0.29103003754978968</v>
      </c>
    </row>
    <row r="106" spans="1:22" x14ac:dyDescent="0.35">
      <c r="A106" s="12" t="s">
        <v>272</v>
      </c>
      <c r="B106" s="13" t="s">
        <v>271</v>
      </c>
      <c r="C106" s="120">
        <f>SVY!D437</f>
        <v>5.298415239511539E-3</v>
      </c>
      <c r="D106" s="120">
        <f>SVY!E437</f>
        <v>2.1491134320987836E-3</v>
      </c>
      <c r="E106" s="120">
        <f>SVY!F437</f>
        <v>1.0775585688209662E-3</v>
      </c>
      <c r="F106" s="120">
        <f>SVY!G437</f>
        <v>3.4477520758162466E-3</v>
      </c>
      <c r="G106" s="120">
        <f>SVY!H437</f>
        <v>3.3297401497214972E-3</v>
      </c>
      <c r="H106" s="120">
        <f>SVY!I437</f>
        <v>0</v>
      </c>
      <c r="I106" s="120">
        <f>SVY!J437</f>
        <v>0</v>
      </c>
      <c r="J106" s="120">
        <f>SVY!K437</f>
        <v>0</v>
      </c>
      <c r="K106" s="120">
        <f>SVY!L437</f>
        <v>0</v>
      </c>
      <c r="L106" s="120">
        <f>SVY!M437</f>
        <v>0</v>
      </c>
      <c r="M106" s="120">
        <f>SVY!N437</f>
        <v>4.3666903712622891E-2</v>
      </c>
      <c r="N106" s="120">
        <f>SVY!O437</f>
        <v>0</v>
      </c>
      <c r="O106" s="120">
        <f>SVY!P437</f>
        <v>8.9575348338190343E-3</v>
      </c>
      <c r="P106" s="120">
        <f>SVY!Q437</f>
        <v>0</v>
      </c>
      <c r="Q106" s="120">
        <f>SVY!R437</f>
        <v>1.3042979669724187E-2</v>
      </c>
      <c r="R106" s="120">
        <f>SVY!S437</f>
        <v>0</v>
      </c>
      <c r="S106" s="120">
        <f>SVY!T437</f>
        <v>0</v>
      </c>
      <c r="T106" s="120">
        <f>SVY!U437</f>
        <v>3.2598467242521106E-2</v>
      </c>
      <c r="U106" s="120">
        <f>SVY!V437</f>
        <v>0</v>
      </c>
      <c r="V106" s="120">
        <f>SVY!W437</f>
        <v>0.88643153507534378</v>
      </c>
    </row>
    <row r="107" spans="1:22" x14ac:dyDescent="0.35">
      <c r="A107" s="12" t="s">
        <v>274</v>
      </c>
      <c r="B107" s="13" t="s">
        <v>273</v>
      </c>
      <c r="C107" s="120">
        <f>SVY!D438</f>
        <v>3.5100722337472724E-2</v>
      </c>
      <c r="D107" s="120">
        <f>SVY!E438</f>
        <v>1.7859102296623467E-2</v>
      </c>
      <c r="E107" s="120">
        <f>SVY!F438</f>
        <v>3.9059879050788421E-2</v>
      </c>
      <c r="F107" s="120">
        <f>SVY!G438</f>
        <v>7.9845171526542094E-2</v>
      </c>
      <c r="G107" s="120">
        <f>SVY!H438</f>
        <v>6.0076798866783208E-2</v>
      </c>
      <c r="H107" s="120">
        <f>SVY!I438</f>
        <v>0</v>
      </c>
      <c r="I107" s="120">
        <f>SVY!J438</f>
        <v>0</v>
      </c>
      <c r="J107" s="120">
        <f>SVY!K438</f>
        <v>0</v>
      </c>
      <c r="K107" s="120">
        <f>SVY!L438</f>
        <v>0</v>
      </c>
      <c r="L107" s="120">
        <f>SVY!M438</f>
        <v>9.9445050619291816E-3</v>
      </c>
      <c r="M107" s="120">
        <f>SVY!N438</f>
        <v>2.1728132144810367E-3</v>
      </c>
      <c r="N107" s="120">
        <f>SVY!O438</f>
        <v>8.0465748562118524E-5</v>
      </c>
      <c r="O107" s="120">
        <f>SVY!P438</f>
        <v>1.5209609728288418E-3</v>
      </c>
      <c r="P107" s="120">
        <f>SVY!Q438</f>
        <v>1.4859430481319507E-2</v>
      </c>
      <c r="Q107" s="120">
        <f>SVY!R438</f>
        <v>0.1793588967833496</v>
      </c>
      <c r="R107" s="120">
        <f>SVY!S438</f>
        <v>8.9517463686948032E-4</v>
      </c>
      <c r="S107" s="120">
        <f>SVY!T438</f>
        <v>0</v>
      </c>
      <c r="T107" s="120">
        <f>SVY!U438</f>
        <v>0</v>
      </c>
      <c r="U107" s="120">
        <f>SVY!V438</f>
        <v>4.8552256433010334E-3</v>
      </c>
      <c r="V107" s="120">
        <f>SVY!W438</f>
        <v>0.55437085337914949</v>
      </c>
    </row>
    <row r="108" spans="1:22" x14ac:dyDescent="0.35">
      <c r="A108" s="12" t="s">
        <v>276</v>
      </c>
      <c r="B108" s="13" t="s">
        <v>275</v>
      </c>
      <c r="C108" s="120">
        <f>SVY!D439</f>
        <v>3.5100722337472724E-2</v>
      </c>
      <c r="D108" s="120">
        <f>SVY!E439</f>
        <v>1.7859102296623467E-2</v>
      </c>
      <c r="E108" s="120">
        <f>SVY!F439</f>
        <v>3.9059879050788421E-2</v>
      </c>
      <c r="F108" s="120">
        <f>SVY!G439</f>
        <v>7.9845171526542094E-2</v>
      </c>
      <c r="G108" s="120">
        <f>SVY!H439</f>
        <v>6.0076798866783201E-2</v>
      </c>
      <c r="H108" s="120">
        <f>SVY!I439</f>
        <v>0</v>
      </c>
      <c r="I108" s="120">
        <f>SVY!J439</f>
        <v>0</v>
      </c>
      <c r="J108" s="120">
        <f>SVY!K439</f>
        <v>0</v>
      </c>
      <c r="K108" s="120">
        <f>SVY!L439</f>
        <v>0</v>
      </c>
      <c r="L108" s="120">
        <f>SVY!M439</f>
        <v>9.9445050619291816E-3</v>
      </c>
      <c r="M108" s="120">
        <f>SVY!N439</f>
        <v>2.1728132144810367E-3</v>
      </c>
      <c r="N108" s="120">
        <f>SVY!O439</f>
        <v>8.0465748562118524E-5</v>
      </c>
      <c r="O108" s="120">
        <f>SVY!P439</f>
        <v>1.520960972828842E-3</v>
      </c>
      <c r="P108" s="120">
        <f>SVY!Q439</f>
        <v>1.4859430481319505E-2</v>
      </c>
      <c r="Q108" s="120">
        <f>SVY!R439</f>
        <v>0.1793588967833496</v>
      </c>
      <c r="R108" s="120">
        <f>SVY!S439</f>
        <v>8.9517463686948032E-4</v>
      </c>
      <c r="S108" s="120">
        <f>SVY!T439</f>
        <v>0</v>
      </c>
      <c r="T108" s="120">
        <f>SVY!U439</f>
        <v>0</v>
      </c>
      <c r="U108" s="120">
        <f>SVY!V439</f>
        <v>4.8552256433010334E-3</v>
      </c>
      <c r="V108" s="120">
        <f>SVY!W439</f>
        <v>0.55437085337914938</v>
      </c>
    </row>
    <row r="109" spans="1:22" x14ac:dyDescent="0.35">
      <c r="A109" s="12" t="s">
        <v>278</v>
      </c>
      <c r="B109" s="13" t="s">
        <v>277</v>
      </c>
      <c r="C109" s="120">
        <f>SVY!D440</f>
        <v>2.9744987918413006E-2</v>
      </c>
      <c r="D109" s="120">
        <f>SVY!E440</f>
        <v>4.9637631787433405E-2</v>
      </c>
      <c r="E109" s="120">
        <f>SVY!F440</f>
        <v>6.574326790265532E-2</v>
      </c>
      <c r="F109" s="120">
        <f>SVY!G440</f>
        <v>0.11621112512655371</v>
      </c>
      <c r="G109" s="120">
        <f>SVY!H440</f>
        <v>0.12885885559110569</v>
      </c>
      <c r="H109" s="120">
        <f>SVY!I440</f>
        <v>6.1007174642586939E-5</v>
      </c>
      <c r="I109" s="120">
        <f>SVY!J440</f>
        <v>1.7199271649460322E-4</v>
      </c>
      <c r="J109" s="120">
        <f>SVY!K440</f>
        <v>1.3207082528646715E-4</v>
      </c>
      <c r="K109" s="120">
        <f>SVY!L440</f>
        <v>2.7441528646245036E-3</v>
      </c>
      <c r="L109" s="120">
        <f>SVY!M440</f>
        <v>1.6219256013501403E-2</v>
      </c>
      <c r="M109" s="120">
        <f>SVY!N440</f>
        <v>1.6515156555541892E-3</v>
      </c>
      <c r="N109" s="120">
        <f>SVY!O440</f>
        <v>2.8588801720116019E-3</v>
      </c>
      <c r="O109" s="120">
        <f>SVY!P440</f>
        <v>5.8280959872372704E-3</v>
      </c>
      <c r="P109" s="120">
        <f>SVY!Q440</f>
        <v>7.8772274352045639E-3</v>
      </c>
      <c r="Q109" s="120">
        <f>SVY!R440</f>
        <v>9.9364560516250214E-2</v>
      </c>
      <c r="R109" s="120">
        <f>SVY!S440</f>
        <v>6.9576498249817177E-4</v>
      </c>
      <c r="S109" s="120">
        <f>SVY!T440</f>
        <v>2.1409511280534666E-3</v>
      </c>
      <c r="T109" s="120">
        <f>SVY!U440</f>
        <v>4.8645554781705132E-3</v>
      </c>
      <c r="U109" s="120">
        <f>SVY!V440</f>
        <v>1.2579359689036288E-2</v>
      </c>
      <c r="V109" s="120">
        <f>SVY!W440</f>
        <v>0.45261474103527288</v>
      </c>
    </row>
    <row r="110" spans="1:22" x14ac:dyDescent="0.35">
      <c r="A110" s="12" t="s">
        <v>280</v>
      </c>
      <c r="B110" s="13" t="s">
        <v>279</v>
      </c>
      <c r="C110" s="120">
        <f>SVY!D441</f>
        <v>1.7919012049240268E-3</v>
      </c>
      <c r="D110" s="120">
        <f>SVY!E441</f>
        <v>1.5110559753909146E-3</v>
      </c>
      <c r="E110" s="120">
        <f>SVY!F441</f>
        <v>6.5793158568412755E-3</v>
      </c>
      <c r="F110" s="120">
        <f>SVY!G441</f>
        <v>4.6894261315944805E-2</v>
      </c>
      <c r="G110" s="120">
        <f>SVY!H441</f>
        <v>0.12782235802166375</v>
      </c>
      <c r="H110" s="120">
        <f>SVY!I441</f>
        <v>0</v>
      </c>
      <c r="I110" s="120">
        <f>SVY!J441</f>
        <v>0</v>
      </c>
      <c r="J110" s="120">
        <f>SVY!K441</f>
        <v>3.5491430685332309E-4</v>
      </c>
      <c r="K110" s="120">
        <f>SVY!L441</f>
        <v>5.2000274544291311E-4</v>
      </c>
      <c r="L110" s="120">
        <f>SVY!M441</f>
        <v>1.8475236205774695E-2</v>
      </c>
      <c r="M110" s="120">
        <f>SVY!N441</f>
        <v>0</v>
      </c>
      <c r="N110" s="120">
        <f>SVY!O441</f>
        <v>6.9379703923067634E-4</v>
      </c>
      <c r="O110" s="120">
        <f>SVY!P441</f>
        <v>2.5219173951983131E-3</v>
      </c>
      <c r="P110" s="120">
        <f>SVY!Q441</f>
        <v>6.7357865067660394E-3</v>
      </c>
      <c r="Q110" s="120">
        <f>SVY!R441</f>
        <v>0.12737098878766073</v>
      </c>
      <c r="R110" s="120">
        <f>SVY!S441</f>
        <v>0</v>
      </c>
      <c r="S110" s="120">
        <f>SVY!T441</f>
        <v>0</v>
      </c>
      <c r="T110" s="120">
        <f>SVY!U441</f>
        <v>1.4154615991483622E-3</v>
      </c>
      <c r="U110" s="120">
        <f>SVY!V441</f>
        <v>2.7010510521605674E-3</v>
      </c>
      <c r="V110" s="120">
        <f>SVY!W441</f>
        <v>0.65461195198699962</v>
      </c>
    </row>
    <row r="111" spans="1:22" x14ac:dyDescent="0.35">
      <c r="A111" s="12" t="s">
        <v>282</v>
      </c>
      <c r="B111" s="13" t="s">
        <v>281</v>
      </c>
      <c r="C111" s="120">
        <f>SVY!D442</f>
        <v>5.2673168820140316E-2</v>
      </c>
      <c r="D111" s="120">
        <f>SVY!E442</f>
        <v>7.6797627848928948E-2</v>
      </c>
      <c r="E111" s="120">
        <f>SVY!F442</f>
        <v>0.10082863425026874</v>
      </c>
      <c r="F111" s="120">
        <f>SVY!G442</f>
        <v>0.13875894231040101</v>
      </c>
      <c r="G111" s="120">
        <f>SVY!H442</f>
        <v>0.1448932835037629</v>
      </c>
      <c r="H111" s="120">
        <f>SVY!I442</f>
        <v>2.2639624659662668E-4</v>
      </c>
      <c r="I111" s="120">
        <f>SVY!J442</f>
        <v>2.664132496947929E-4</v>
      </c>
      <c r="J111" s="120">
        <f>SVY!K442</f>
        <v>1.0441920445628187E-3</v>
      </c>
      <c r="K111" s="120">
        <f>SVY!L442</f>
        <v>2.5831111893436362E-3</v>
      </c>
      <c r="L111" s="120">
        <f>SVY!M442</f>
        <v>1.6135240526255309E-2</v>
      </c>
      <c r="M111" s="120">
        <f>SVY!N442</f>
        <v>3.6678489083499912E-3</v>
      </c>
      <c r="N111" s="120">
        <f>SVY!O442</f>
        <v>6.634834378341347E-3</v>
      </c>
      <c r="O111" s="120">
        <f>SVY!P442</f>
        <v>1.0186167033767962E-2</v>
      </c>
      <c r="P111" s="120">
        <f>SVY!Q442</f>
        <v>1.6220372490098764E-2</v>
      </c>
      <c r="Q111" s="120">
        <f>SVY!R442</f>
        <v>9.0198970062619371E-2</v>
      </c>
      <c r="R111" s="120">
        <f>SVY!S442</f>
        <v>1.5743443694886832E-3</v>
      </c>
      <c r="S111" s="120">
        <f>SVY!T442</f>
        <v>4.8404741655479703E-3</v>
      </c>
      <c r="T111" s="120">
        <f>SVY!U442</f>
        <v>8.1771679149233775E-3</v>
      </c>
      <c r="U111" s="120">
        <f>SVY!V442</f>
        <v>2.3059579725544243E-2</v>
      </c>
      <c r="V111" s="120">
        <f>SVY!W442</f>
        <v>0.30123323096136329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CE35-D72D-4CE6-94B2-E615E850877A}">
  <sheetPr>
    <tabColor theme="8" tint="-0.499984740745262"/>
  </sheetPr>
  <dimension ref="A1:V27"/>
  <sheetViews>
    <sheetView showZero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RowHeight="14.5" x14ac:dyDescent="0.35"/>
  <sheetData>
    <row r="1" spans="1:22" ht="18.5" x14ac:dyDescent="0.45">
      <c r="A1" s="10" t="s">
        <v>605</v>
      </c>
    </row>
    <row r="3" spans="1:22" x14ac:dyDescent="0.35">
      <c r="A3" s="11" t="s">
        <v>606</v>
      </c>
    </row>
    <row r="4" spans="1:22" x14ac:dyDescent="0.35">
      <c r="A4" s="12" t="s">
        <v>607</v>
      </c>
      <c r="C4" s="12" t="s">
        <v>608</v>
      </c>
      <c r="D4" s="12"/>
      <c r="E4" s="12"/>
      <c r="F4" s="12"/>
      <c r="G4" s="12" t="s">
        <v>587</v>
      </c>
      <c r="H4" s="12"/>
    </row>
    <row r="5" spans="1:22" x14ac:dyDescent="0.35">
      <c r="C5" s="12" t="s">
        <v>94</v>
      </c>
      <c r="D5" s="12" t="s">
        <v>27</v>
      </c>
      <c r="E5" s="12" t="s">
        <v>35</v>
      </c>
      <c r="F5" s="12" t="s">
        <v>83</v>
      </c>
      <c r="G5" s="12" t="s">
        <v>609</v>
      </c>
      <c r="H5" s="12" t="s">
        <v>35</v>
      </c>
      <c r="I5" s="12" t="s">
        <v>610</v>
      </c>
      <c r="J5" s="12" t="s">
        <v>611</v>
      </c>
      <c r="K5" s="12" t="s">
        <v>83</v>
      </c>
    </row>
    <row r="6" spans="1:22" x14ac:dyDescent="0.35">
      <c r="B6" s="13"/>
      <c r="C6" s="13" t="s">
        <v>591</v>
      </c>
      <c r="D6" s="13" t="s">
        <v>591</v>
      </c>
      <c r="E6" s="13" t="s">
        <v>591</v>
      </c>
      <c r="F6" s="13" t="s">
        <v>591</v>
      </c>
      <c r="G6" s="14" t="s">
        <v>590</v>
      </c>
      <c r="H6" s="13" t="s">
        <v>590</v>
      </c>
      <c r="I6" s="13" t="s">
        <v>590</v>
      </c>
      <c r="J6" s="13" t="s">
        <v>590</v>
      </c>
      <c r="K6" s="13" t="s">
        <v>590</v>
      </c>
      <c r="T6" s="9" t="s">
        <v>612</v>
      </c>
    </row>
    <row r="7" spans="1:22" x14ac:dyDescent="0.35">
      <c r="B7" s="13"/>
      <c r="C7" s="13" t="s">
        <v>613</v>
      </c>
      <c r="D7" s="13" t="s">
        <v>26</v>
      </c>
      <c r="E7" s="13" t="s">
        <v>34</v>
      </c>
      <c r="F7" s="13" t="s">
        <v>82</v>
      </c>
      <c r="G7" s="14" t="s">
        <v>614</v>
      </c>
      <c r="H7" s="13" t="s">
        <v>34</v>
      </c>
      <c r="I7" s="13" t="s">
        <v>46</v>
      </c>
      <c r="J7" s="13" t="s">
        <v>74</v>
      </c>
      <c r="K7" s="13" t="s">
        <v>82</v>
      </c>
      <c r="T7" s="18"/>
      <c r="U7" s="18" t="s">
        <v>615</v>
      </c>
      <c r="V7" s="18" t="s">
        <v>616</v>
      </c>
    </row>
    <row r="8" spans="1:22" x14ac:dyDescent="0.35">
      <c r="A8" s="12" t="s">
        <v>284</v>
      </c>
      <c r="B8" s="13" t="s">
        <v>283</v>
      </c>
      <c r="C8" s="13">
        <f>SVY!D530</f>
        <v>0.90609065643589703</v>
      </c>
      <c r="D8" s="13">
        <f>SVY!E530</f>
        <v>2.1969065681014564E-2</v>
      </c>
      <c r="E8" s="13">
        <f>SVY!F530</f>
        <v>6.0957768285297163E-2</v>
      </c>
      <c r="F8" s="13">
        <f>SVY!G530</f>
        <v>1.0982509597791297E-2</v>
      </c>
      <c r="G8" s="14">
        <f>SVY!H530</f>
        <v>0.96084667720447303</v>
      </c>
      <c r="H8" s="13">
        <f>SVY!I530</f>
        <v>8.4190569907913399E-4</v>
      </c>
      <c r="I8" s="13">
        <f>SVY!J530</f>
        <v>5.0205176093650414E-3</v>
      </c>
      <c r="J8" s="13">
        <f>SVY!K530</f>
        <v>3.0153039601999571E-2</v>
      </c>
      <c r="K8" s="13">
        <f>SVY!L530</f>
        <v>3.1378598850832274E-3</v>
      </c>
      <c r="S8" s="12" t="s">
        <v>284</v>
      </c>
      <c r="T8" s="18" t="s">
        <v>283</v>
      </c>
      <c r="U8" s="18">
        <f>SVY!Y530</f>
        <v>294247.56866589998</v>
      </c>
      <c r="V8" s="18">
        <f>SVY!D566</f>
        <v>2151.384</v>
      </c>
    </row>
    <row r="9" spans="1:22" x14ac:dyDescent="0.35">
      <c r="A9" s="12" t="s">
        <v>286</v>
      </c>
      <c r="B9" s="13" t="s">
        <v>285</v>
      </c>
      <c r="C9" s="13">
        <f>SVY!D531</f>
        <v>0.92236556250161139</v>
      </c>
      <c r="D9" s="13">
        <f>SVY!E531</f>
        <v>3.0149854811533806E-2</v>
      </c>
      <c r="E9" s="13">
        <f>SVY!F531</f>
        <v>3.8403151236946452E-2</v>
      </c>
      <c r="F9" s="13">
        <f>SVY!G531</f>
        <v>9.0814314499083684E-3</v>
      </c>
      <c r="G9" s="14">
        <f>SVY!H531</f>
        <v>0.96242338778358694</v>
      </c>
      <c r="H9" s="13">
        <f>SVY!I531</f>
        <v>2.1495347778614747E-3</v>
      </c>
      <c r="I9" s="13">
        <f>SVY!J531</f>
        <v>5.0108696843791925E-3</v>
      </c>
      <c r="J9" s="13">
        <f>SVY!K531</f>
        <v>2.7821513054198617E-2</v>
      </c>
      <c r="K9" s="13">
        <f>SVY!L531</f>
        <v>2.5946946999738192E-3</v>
      </c>
      <c r="S9" s="12" t="s">
        <v>286</v>
      </c>
      <c r="T9" s="18" t="s">
        <v>285</v>
      </c>
      <c r="U9" s="18">
        <f>SVY!Y531</f>
        <v>429883.15635409998</v>
      </c>
      <c r="V9" s="18">
        <f>SVY!D567</f>
        <v>2082.6959999999999</v>
      </c>
    </row>
    <row r="10" spans="1:22" x14ac:dyDescent="0.35">
      <c r="A10" s="12" t="s">
        <v>288</v>
      </c>
      <c r="B10" s="13" t="s">
        <v>287</v>
      </c>
      <c r="C10" s="13">
        <f>SVY!D532</f>
        <v>0.93474496989340772</v>
      </c>
      <c r="D10" s="13">
        <f>SVY!E532</f>
        <v>2.0093062373183448E-2</v>
      </c>
      <c r="E10" s="13">
        <f>SVY!F532</f>
        <v>3.1897305650115823E-2</v>
      </c>
      <c r="F10" s="13">
        <f>SVY!G532</f>
        <v>1.3264662083293008E-2</v>
      </c>
      <c r="G10" s="14">
        <f>SVY!H532</f>
        <v>0.95806306951039533</v>
      </c>
      <c r="H10" s="13">
        <f>SVY!I532</f>
        <v>2.8349942624046483E-3</v>
      </c>
      <c r="I10" s="13">
        <f>SVY!J532</f>
        <v>5.9643142001656463E-3</v>
      </c>
      <c r="J10" s="13">
        <f>SVY!K532</f>
        <v>2.9347718574664949E-2</v>
      </c>
      <c r="K10" s="13">
        <f>SVY!L532</f>
        <v>3.7899034523694308E-3</v>
      </c>
      <c r="S10" s="12" t="s">
        <v>288</v>
      </c>
      <c r="T10" s="18" t="s">
        <v>287</v>
      </c>
      <c r="U10" s="18">
        <f>SVY!Y532</f>
        <v>552628.9332491</v>
      </c>
      <c r="V10" s="18">
        <f>SVY!D568</f>
        <v>2026.14</v>
      </c>
    </row>
    <row r="11" spans="1:22" x14ac:dyDescent="0.35">
      <c r="A11" s="12" t="s">
        <v>290</v>
      </c>
      <c r="B11" s="13" t="s">
        <v>289</v>
      </c>
      <c r="C11" s="13">
        <f>SVY!D533</f>
        <v>0.89390196793122711</v>
      </c>
      <c r="D11" s="13">
        <f>SVY!E533</f>
        <v>6.0272902501763398E-2</v>
      </c>
      <c r="E11" s="13">
        <f>SVY!F533</f>
        <v>3.2504147574661635E-2</v>
      </c>
      <c r="F11" s="13">
        <f>SVY!G533</f>
        <v>1.3320981992347852E-2</v>
      </c>
      <c r="G11" s="14">
        <f>SVY!H533</f>
        <v>0.93762172302556224</v>
      </c>
      <c r="H11" s="13">
        <f>SVY!I533</f>
        <v>4.5680541907545226E-3</v>
      </c>
      <c r="I11" s="13">
        <f>SVY!J533</f>
        <v>1.321443654961979E-2</v>
      </c>
      <c r="J11" s="13">
        <f>SVY!K533</f>
        <v>4.078979137910696E-2</v>
      </c>
      <c r="K11" s="13">
        <f>SVY!L533</f>
        <v>3.8059948549565292E-3</v>
      </c>
      <c r="S11" s="12" t="s">
        <v>290</v>
      </c>
      <c r="T11" s="18" t="s">
        <v>289</v>
      </c>
      <c r="U11" s="18">
        <f>SVY!Y533</f>
        <v>722684.95778389997</v>
      </c>
      <c r="V11" s="18">
        <f>SVY!D569</f>
        <v>1890.2070000000001</v>
      </c>
    </row>
    <row r="12" spans="1:22" x14ac:dyDescent="0.35">
      <c r="A12" s="12" t="s">
        <v>292</v>
      </c>
      <c r="B12" s="13" t="s">
        <v>291</v>
      </c>
      <c r="C12" s="13">
        <f>SVY!D534</f>
        <v>0.86822890182963808</v>
      </c>
      <c r="D12" s="13">
        <f>SVY!E534</f>
        <v>7.5416483634317882E-2</v>
      </c>
      <c r="E12" s="13">
        <f>SVY!F534</f>
        <v>2.6995192339459441E-2</v>
      </c>
      <c r="F12" s="13">
        <f>SVY!G534</f>
        <v>2.9359422196584554E-2</v>
      </c>
      <c r="G12" s="14">
        <f>SVY!H534</f>
        <v>0.890552922316872</v>
      </c>
      <c r="H12" s="13">
        <f>SVY!I534</f>
        <v>2.0362577885603195E-2</v>
      </c>
      <c r="I12" s="13">
        <f>SVY!J534</f>
        <v>3.2912972370762981E-2</v>
      </c>
      <c r="J12" s="13">
        <f>SVY!K534</f>
        <v>4.7783121084880531E-2</v>
      </c>
      <c r="K12" s="13">
        <f>SVY!L534</f>
        <v>8.3884063418813003E-3</v>
      </c>
      <c r="S12" s="12" t="s">
        <v>292</v>
      </c>
      <c r="T12" s="18" t="s">
        <v>291</v>
      </c>
      <c r="U12" s="18">
        <f>SVY!Y534</f>
        <v>656301.28341699997</v>
      </c>
      <c r="V12" s="18">
        <f>SVY!D570</f>
        <v>970.25139999999999</v>
      </c>
    </row>
    <row r="13" spans="1:22" x14ac:dyDescent="0.35">
      <c r="A13" s="12" t="s">
        <v>294</v>
      </c>
      <c r="B13" s="13" t="s">
        <v>293</v>
      </c>
      <c r="C13" s="13">
        <f>SVY!D535</f>
        <v>0.9089237385836324</v>
      </c>
      <c r="D13" s="13">
        <f>SVY!E535</f>
        <v>0</v>
      </c>
      <c r="E13" s="13">
        <f>SVY!F535</f>
        <v>7.5094827218615615E-2</v>
      </c>
      <c r="F13" s="13">
        <f>SVY!G535</f>
        <v>1.5981434197751946E-2</v>
      </c>
      <c r="G13" s="14">
        <f>SVY!H535</f>
        <v>0.99217669496049898</v>
      </c>
      <c r="H13" s="13">
        <f>SVY!I535</f>
        <v>0</v>
      </c>
      <c r="I13" s="13">
        <f>SVY!J535</f>
        <v>0</v>
      </c>
      <c r="J13" s="13">
        <f>SVY!K535</f>
        <v>3.257180983000429E-3</v>
      </c>
      <c r="K13" s="13">
        <f>SVY!L535</f>
        <v>4.5661240565005564E-3</v>
      </c>
      <c r="S13" s="12" t="s">
        <v>294</v>
      </c>
      <c r="T13" s="18" t="s">
        <v>293</v>
      </c>
      <c r="U13" s="18">
        <f>SVY!Y535</f>
        <v>988.06605579999984</v>
      </c>
      <c r="V13" s="18">
        <f>SVY!D571</f>
        <v>8.8694009999999999</v>
      </c>
    </row>
    <row r="14" spans="1:22" x14ac:dyDescent="0.35">
      <c r="A14" s="12" t="s">
        <v>296</v>
      </c>
      <c r="B14" s="13" t="s">
        <v>295</v>
      </c>
      <c r="C14" s="13">
        <f>SVY!D536</f>
        <v>0.92648871591938919</v>
      </c>
      <c r="D14" s="13">
        <f>SVY!E536</f>
        <v>0</v>
      </c>
      <c r="E14" s="13">
        <f>SVY!F536</f>
        <v>7.351128408061082E-2</v>
      </c>
      <c r="F14" s="13">
        <f>SVY!G536</f>
        <v>0</v>
      </c>
      <c r="G14" s="14">
        <f>SVY!H536</f>
        <v>0.95106898344303847</v>
      </c>
      <c r="H14" s="13">
        <f>SVY!I536</f>
        <v>7.0773367807029962E-3</v>
      </c>
      <c r="I14" s="13">
        <f>SVY!J536</f>
        <v>2.8309347122811988E-2</v>
      </c>
      <c r="J14" s="13">
        <f>SVY!K536</f>
        <v>1.354433265344656E-2</v>
      </c>
      <c r="K14" s="13">
        <f>SVY!L536</f>
        <v>0</v>
      </c>
      <c r="S14" s="12" t="s">
        <v>296</v>
      </c>
      <c r="T14" s="18" t="s">
        <v>295</v>
      </c>
      <c r="U14" s="18">
        <f>SVY!Y536</f>
        <v>1078.4692373000003</v>
      </c>
      <c r="V14" s="18">
        <f>SVY!D572</f>
        <v>9.1705089999999991</v>
      </c>
    </row>
    <row r="15" spans="1:22" x14ac:dyDescent="0.35">
      <c r="A15" s="12" t="s">
        <v>298</v>
      </c>
      <c r="B15" s="13" t="s">
        <v>297</v>
      </c>
      <c r="C15" s="13">
        <f>SVY!D537</f>
        <v>0.88447384855532096</v>
      </c>
      <c r="D15" s="13">
        <f>SVY!E537</f>
        <v>5.5682486061881975E-2</v>
      </c>
      <c r="E15" s="13">
        <f>SVY!F537</f>
        <v>2.6404508577557721E-2</v>
      </c>
      <c r="F15" s="13">
        <f>SVY!G537</f>
        <v>3.3439156805239345E-2</v>
      </c>
      <c r="G15" s="14">
        <f>SVY!H537</f>
        <v>0.89630656505609951</v>
      </c>
      <c r="H15" s="13">
        <f>SVY!I537</f>
        <v>3.9281072388380953E-3</v>
      </c>
      <c r="I15" s="13">
        <f>SVY!J537</f>
        <v>5.021534817071497E-2</v>
      </c>
      <c r="J15" s="13">
        <f>SVY!K537</f>
        <v>3.9995934732850423E-2</v>
      </c>
      <c r="K15" s="13">
        <f>SVY!L537</f>
        <v>9.554044801496955E-3</v>
      </c>
      <c r="S15" s="12" t="s">
        <v>298</v>
      </c>
      <c r="T15" s="18" t="s">
        <v>297</v>
      </c>
      <c r="U15" s="18">
        <f>SVY!Y537</f>
        <v>3985.0375888999997</v>
      </c>
      <c r="V15" s="18">
        <f>SVY!D573</f>
        <v>18.082000000000001</v>
      </c>
    </row>
    <row r="16" spans="1:22" x14ac:dyDescent="0.35">
      <c r="A16" s="12" t="s">
        <v>300</v>
      </c>
      <c r="B16" s="13" t="s">
        <v>299</v>
      </c>
      <c r="C16" s="13">
        <f>SVY!D538</f>
        <v>0.88697175056477362</v>
      </c>
      <c r="D16" s="13">
        <f>SVY!E538</f>
        <v>8.199412084759114E-2</v>
      </c>
      <c r="E16" s="13">
        <f>SVY!F538</f>
        <v>2.0294400188589207E-2</v>
      </c>
      <c r="F16" s="13">
        <f>SVY!G538</f>
        <v>1.0739728399046009E-2</v>
      </c>
      <c r="G16" s="14">
        <f>SVY!H538</f>
        <v>0.83091202342409287</v>
      </c>
      <c r="H16" s="13">
        <f>SVY!I538</f>
        <v>3.2673172102436643E-2</v>
      </c>
      <c r="I16" s="13">
        <f>SVY!J538</f>
        <v>5.4590341472048269E-2</v>
      </c>
      <c r="J16" s="13">
        <f>SVY!K538</f>
        <v>7.8755969173123316E-2</v>
      </c>
      <c r="K16" s="13">
        <f>SVY!L538</f>
        <v>3.0684938282988599E-3</v>
      </c>
      <c r="S16" s="12" t="s">
        <v>300</v>
      </c>
      <c r="T16" s="18" t="s">
        <v>299</v>
      </c>
      <c r="U16" s="18">
        <f>SVY!Y538</f>
        <v>9749.9734339000024</v>
      </c>
      <c r="V16" s="18">
        <f>SVY!D574</f>
        <v>30.331399999999999</v>
      </c>
    </row>
    <row r="17" spans="1:22" x14ac:dyDescent="0.35">
      <c r="A17" s="12" t="s">
        <v>302</v>
      </c>
      <c r="B17" s="13" t="s">
        <v>301</v>
      </c>
      <c r="C17" s="13">
        <f>SVY!D539</f>
        <v>0.83629267161857879</v>
      </c>
      <c r="D17" s="13">
        <f>SVY!E539</f>
        <v>0.12222508268532312</v>
      </c>
      <c r="E17" s="13">
        <f>SVY!F539</f>
        <v>2.9152479482710762E-2</v>
      </c>
      <c r="F17" s="13">
        <f>SVY!G539</f>
        <v>1.2329766213387303E-2</v>
      </c>
      <c r="G17" s="14">
        <f>SVY!H539</f>
        <v>0.81322400837018816</v>
      </c>
      <c r="H17" s="13">
        <f>SVY!I539</f>
        <v>4.2530335700679572E-2</v>
      </c>
      <c r="I17" s="13">
        <f>SVY!J539</f>
        <v>7.6779839283589849E-2</v>
      </c>
      <c r="J17" s="13">
        <f>SVY!K539</f>
        <v>6.3943026298860312E-2</v>
      </c>
      <c r="K17" s="13">
        <f>SVY!L539</f>
        <v>3.5227903466820867E-3</v>
      </c>
      <c r="S17" s="12" t="s">
        <v>302</v>
      </c>
      <c r="T17" s="18" t="s">
        <v>301</v>
      </c>
      <c r="U17" s="18">
        <f>SVY!Y539</f>
        <v>58158.203650399992</v>
      </c>
      <c r="V17" s="18">
        <f>SVY!D575</f>
        <v>63.092329999999997</v>
      </c>
    </row>
    <row r="18" spans="1:22" x14ac:dyDescent="0.35">
      <c r="A18" s="12" t="s">
        <v>304</v>
      </c>
      <c r="B18" s="13" t="s">
        <v>303</v>
      </c>
      <c r="C18" s="13">
        <f>SVY!D540</f>
        <v>0.914669384494608</v>
      </c>
      <c r="D18" s="13">
        <f>SVY!E540</f>
        <v>2.5621418916945062E-2</v>
      </c>
      <c r="E18" s="13">
        <f>SVY!F540</f>
        <v>5.1911684186458258E-2</v>
      </c>
      <c r="F18" s="13">
        <f>SVY!G540</f>
        <v>7.7975124019886832E-3</v>
      </c>
      <c r="G18" s="14">
        <f>SVY!H540</f>
        <v>0.94097383320371175</v>
      </c>
      <c r="H18" s="13">
        <f>SVY!I540</f>
        <v>4.36481213306982E-3</v>
      </c>
      <c r="I18" s="13">
        <f>SVY!J540</f>
        <v>1.7478039502985741E-2</v>
      </c>
      <c r="J18" s="13">
        <f>SVY!K540</f>
        <v>3.4955454473950216E-2</v>
      </c>
      <c r="K18" s="13">
        <f>SVY!L540</f>
        <v>2.2278606862824808E-3</v>
      </c>
      <c r="S18" s="12" t="s">
        <v>304</v>
      </c>
      <c r="T18" s="18" t="s">
        <v>303</v>
      </c>
      <c r="U18" s="18">
        <f>SVY!Y540</f>
        <v>16732.513971600009</v>
      </c>
      <c r="V18" s="18">
        <f>SVY!D576</f>
        <v>128.81870000000001</v>
      </c>
    </row>
    <row r="19" spans="1:22" x14ac:dyDescent="0.35">
      <c r="A19" s="12" t="s">
        <v>306</v>
      </c>
      <c r="B19" s="13" t="s">
        <v>305</v>
      </c>
      <c r="C19" s="13">
        <f>SVY!D541</f>
        <v>0.89252966874849415</v>
      </c>
      <c r="D19" s="13">
        <f>SVY!E541</f>
        <v>6.2500560740524583E-2</v>
      </c>
      <c r="E19" s="13">
        <f>SVY!F541</f>
        <v>3.3183680195396512E-2</v>
      </c>
      <c r="F19" s="13">
        <f>SVY!G541</f>
        <v>1.1786090315584778E-2</v>
      </c>
      <c r="G19" s="14">
        <f>SVY!H541</f>
        <v>0.94265348083258382</v>
      </c>
      <c r="H19" s="13">
        <f>SVY!I541</f>
        <v>3.2247044249787611E-3</v>
      </c>
      <c r="I19" s="13">
        <f>SVY!J541</f>
        <v>1.9744999266569481E-2</v>
      </c>
      <c r="J19" s="13">
        <f>SVY!K541</f>
        <v>3.1009361099986588E-2</v>
      </c>
      <c r="K19" s="13">
        <f>SVY!L541</f>
        <v>3.3674543758813653E-3</v>
      </c>
      <c r="S19" s="12" t="s">
        <v>306</v>
      </c>
      <c r="T19" s="18" t="s">
        <v>305</v>
      </c>
      <c r="U19" s="18">
        <f>SVY!Y541</f>
        <v>29661.713879599985</v>
      </c>
      <c r="V19" s="18">
        <f>SVY!D577</f>
        <v>142.28299999999999</v>
      </c>
    </row>
    <row r="20" spans="1:22" x14ac:dyDescent="0.35">
      <c r="A20" s="12" t="s">
        <v>308</v>
      </c>
      <c r="B20" s="13" t="s">
        <v>307</v>
      </c>
      <c r="C20" s="13">
        <f>SVY!D542</f>
        <v>0.86942365806214705</v>
      </c>
      <c r="D20" s="13">
        <f>SVY!E542</f>
        <v>9.9752453509506886E-2</v>
      </c>
      <c r="E20" s="13">
        <f>SVY!F542</f>
        <v>2.3835700349442088E-2</v>
      </c>
      <c r="F20" s="13">
        <f>SVY!G542</f>
        <v>6.9881880789040406E-3</v>
      </c>
      <c r="G20" s="14">
        <f>SVY!H542</f>
        <v>0.94158401362624877</v>
      </c>
      <c r="H20" s="13">
        <f>SVY!I542</f>
        <v>3.2999277936265107E-3</v>
      </c>
      <c r="I20" s="13">
        <f>SVY!J542</f>
        <v>3.1210191654997374E-2</v>
      </c>
      <c r="J20" s="13">
        <f>SVY!K542</f>
        <v>2.190924175972617E-2</v>
      </c>
      <c r="K20" s="13">
        <f>SVY!L542</f>
        <v>1.9966251654011543E-3</v>
      </c>
      <c r="S20" s="12" t="s">
        <v>308</v>
      </c>
      <c r="T20" s="18" t="s">
        <v>307</v>
      </c>
      <c r="U20" s="18">
        <f>SVY!Y542</f>
        <v>45147.310582899998</v>
      </c>
      <c r="V20" s="18">
        <f>SVY!D578</f>
        <v>159.03149999999999</v>
      </c>
    </row>
    <row r="21" spans="1:22" x14ac:dyDescent="0.35">
      <c r="A21" s="12" t="s">
        <v>310</v>
      </c>
      <c r="B21" s="13" t="s">
        <v>309</v>
      </c>
      <c r="C21" s="13">
        <f>SVY!D543</f>
        <v>0.86475116885279235</v>
      </c>
      <c r="D21" s="13">
        <f>SVY!E543</f>
        <v>0.1009922401205242</v>
      </c>
      <c r="E21" s="13">
        <f>SVY!F543</f>
        <v>2.3130302210454829E-2</v>
      </c>
      <c r="F21" s="13">
        <f>SVY!G543</f>
        <v>1.1126288816228621E-2</v>
      </c>
      <c r="G21" s="14">
        <f>SVY!H543</f>
        <v>0.87198681505785025</v>
      </c>
      <c r="H21" s="13">
        <f>SVY!I543</f>
        <v>1.2985880784928428E-2</v>
      </c>
      <c r="I21" s="13">
        <f>SVY!J543</f>
        <v>7.9204958046272381E-2</v>
      </c>
      <c r="J21" s="13">
        <f>SVY!K543</f>
        <v>3.2643406449169292E-2</v>
      </c>
      <c r="K21" s="13">
        <f>SVY!L543</f>
        <v>3.1789396617796055E-3</v>
      </c>
      <c r="S21" s="12" t="s">
        <v>310</v>
      </c>
      <c r="T21" s="18" t="s">
        <v>309</v>
      </c>
      <c r="U21" s="18">
        <f>SVY!Y543</f>
        <v>69189.26138940001</v>
      </c>
      <c r="V21" s="18">
        <f>SVY!D579</f>
        <v>166.74299999999999</v>
      </c>
    </row>
    <row r="22" spans="1:22" x14ac:dyDescent="0.35">
      <c r="A22" s="12" t="s">
        <v>312</v>
      </c>
      <c r="B22" s="13" t="s">
        <v>311</v>
      </c>
      <c r="C22" s="13">
        <f>SVY!D544</f>
        <v>0.83594296626287545</v>
      </c>
      <c r="D22" s="13">
        <f>SVY!E544</f>
        <v>0.11119387728582068</v>
      </c>
      <c r="E22" s="13">
        <f>SVY!F544</f>
        <v>3.5210294547434705E-2</v>
      </c>
      <c r="F22" s="13">
        <f>SVY!G544</f>
        <v>1.7652861903869131E-2</v>
      </c>
      <c r="G22" s="14">
        <f>SVY!H544</f>
        <v>0.67037987677491961</v>
      </c>
      <c r="H22" s="13">
        <f>SVY!I544</f>
        <v>6.1444045315626396E-2</v>
      </c>
      <c r="I22" s="13">
        <f>SVY!J544</f>
        <v>9.728850776996549E-2</v>
      </c>
      <c r="J22" s="13">
        <f>SVY!K544</f>
        <v>0.1658438953098117</v>
      </c>
      <c r="K22" s="13">
        <f>SVY!L544</f>
        <v>5.0436748296768946E-3</v>
      </c>
      <c r="S22" s="12" t="s">
        <v>312</v>
      </c>
      <c r="T22" s="18" t="s">
        <v>311</v>
      </c>
      <c r="U22" s="18">
        <f>SVY!Y544</f>
        <v>334429.25013230002</v>
      </c>
      <c r="V22" s="18">
        <f>SVY!D580</f>
        <v>364.5625</v>
      </c>
    </row>
    <row r="23" spans="1:22" x14ac:dyDescent="0.35">
      <c r="A23" s="12" t="s">
        <v>317</v>
      </c>
      <c r="B23" s="13" t="s">
        <v>322</v>
      </c>
      <c r="C23" s="13">
        <f>SVY!D545</f>
        <v>0.90265093385441819</v>
      </c>
      <c r="D23" s="13">
        <f>SVY!E545</f>
        <v>0</v>
      </c>
      <c r="E23" s="13">
        <f>SVY!F545</f>
        <v>8.2188506441782924E-2</v>
      </c>
      <c r="F23" s="13">
        <f>SVY!G545</f>
        <v>1.5160559703798865E-2</v>
      </c>
      <c r="G23" s="14">
        <f>SVY!H545</f>
        <v>0.97685772945688631</v>
      </c>
      <c r="H23" s="13">
        <f>SVY!I545</f>
        <v>0</v>
      </c>
      <c r="I23" s="13">
        <f>SVY!J545</f>
        <v>0</v>
      </c>
      <c r="J23" s="13">
        <f>SVY!K545</f>
        <v>1.881068205631397E-2</v>
      </c>
      <c r="K23" s="13">
        <f>SVY!L545</f>
        <v>4.331588486799676E-3</v>
      </c>
      <c r="S23" s="12" t="s">
        <v>317</v>
      </c>
      <c r="T23" s="18" t="s">
        <v>322</v>
      </c>
      <c r="U23" s="18">
        <f>SVY!Y545</f>
        <v>6838.7074373000005</v>
      </c>
      <c r="V23" s="18">
        <f>SVY!D581</f>
        <v>59.672469999999997</v>
      </c>
    </row>
    <row r="24" spans="1:22" x14ac:dyDescent="0.35">
      <c r="A24" s="12" t="s">
        <v>318</v>
      </c>
      <c r="B24" s="13" t="s">
        <v>323</v>
      </c>
      <c r="C24" s="13">
        <f>SVY!D546</f>
        <v>0.86611943787015533</v>
      </c>
      <c r="D24" s="13">
        <f>SVY!E546</f>
        <v>4.9108670715699063E-2</v>
      </c>
      <c r="E24" s="13">
        <f>SVY!F546</f>
        <v>7.5602669954876509E-2</v>
      </c>
      <c r="F24" s="13">
        <f>SVY!G546</f>
        <v>9.169221459269036E-3</v>
      </c>
      <c r="G24" s="14">
        <f>SVY!H546</f>
        <v>0.87555708433607282</v>
      </c>
      <c r="H24" s="13">
        <f>SVY!I546</f>
        <v>1.5934703090258372E-2</v>
      </c>
      <c r="I24" s="13">
        <f>SVY!J546</f>
        <v>5.4598760894415038E-2</v>
      </c>
      <c r="J24" s="13">
        <f>SVY!K546</f>
        <v>5.1289674119462593E-2</v>
      </c>
      <c r="K24" s="13">
        <f>SVY!L546</f>
        <v>2.6197775597911533E-3</v>
      </c>
      <c r="S24" s="12" t="s">
        <v>318</v>
      </c>
      <c r="T24" s="18" t="s">
        <v>323</v>
      </c>
      <c r="U24" s="18">
        <f>SVY!Y546</f>
        <v>19302.003825100008</v>
      </c>
      <c r="V24" s="18">
        <f>SVY!D582</f>
        <v>115.8914</v>
      </c>
    </row>
    <row r="25" spans="1:22" x14ac:dyDescent="0.35">
      <c r="A25" s="12" t="s">
        <v>319</v>
      </c>
      <c r="B25" s="13" t="s">
        <v>324</v>
      </c>
      <c r="C25" s="13">
        <f>SVY!D547</f>
        <v>0.91282703567347412</v>
      </c>
      <c r="D25" s="13">
        <f>SVY!E547</f>
        <v>5.0360306019337962E-2</v>
      </c>
      <c r="E25" s="13">
        <f>SVY!F547</f>
        <v>3.0651973071951832E-2</v>
      </c>
      <c r="F25" s="13">
        <f>SVY!G547</f>
        <v>6.1606852352360571E-3</v>
      </c>
      <c r="G25" s="14">
        <f>SVY!H547</f>
        <v>0.92266605284752035</v>
      </c>
      <c r="H25" s="13">
        <f>SVY!I547</f>
        <v>7.106434695231788E-3</v>
      </c>
      <c r="I25" s="13">
        <f>SVY!J547</f>
        <v>3.2990566386934629E-2</v>
      </c>
      <c r="J25" s="13">
        <f>SVY!K547</f>
        <v>3.5476750288817228E-2</v>
      </c>
      <c r="K25" s="13">
        <f>SVY!L547</f>
        <v>1.7601957814960163E-3</v>
      </c>
      <c r="S25" s="12" t="s">
        <v>319</v>
      </c>
      <c r="T25" s="18" t="s">
        <v>324</v>
      </c>
      <c r="U25" s="18">
        <f>SVY!Y547</f>
        <v>32677.968624099998</v>
      </c>
      <c r="V25" s="18">
        <f>SVY!D583</f>
        <v>144.8509</v>
      </c>
    </row>
    <row r="26" spans="1:22" x14ac:dyDescent="0.35">
      <c r="A26" s="12" t="s">
        <v>320</v>
      </c>
      <c r="B26" s="13" t="s">
        <v>325</v>
      </c>
      <c r="C26" s="13">
        <f>SVY!D548</f>
        <v>0.86927775442272937</v>
      </c>
      <c r="D26" s="13">
        <f>SVY!E548</f>
        <v>9.4273439986703622E-2</v>
      </c>
      <c r="E26" s="13">
        <f>SVY!F548</f>
        <v>3.1427082302809974E-2</v>
      </c>
      <c r="F26" s="13">
        <f>SVY!G548</f>
        <v>5.0217232877570748E-3</v>
      </c>
      <c r="G26" s="14">
        <f>SVY!H548</f>
        <v>0.82200713481086862</v>
      </c>
      <c r="H26" s="13">
        <f>SVY!I548</f>
        <v>1.2140779518664447E-2</v>
      </c>
      <c r="I26" s="13">
        <f>SVY!J548</f>
        <v>3.8035201945267424E-2</v>
      </c>
      <c r="J26" s="13">
        <f>SVY!K548</f>
        <v>0.12638210564298313</v>
      </c>
      <c r="K26" s="13">
        <f>SVY!L548</f>
        <v>1.4347780822163072E-3</v>
      </c>
      <c r="S26" s="12" t="s">
        <v>320</v>
      </c>
      <c r="T26" s="18" t="s">
        <v>325</v>
      </c>
      <c r="U26" s="18">
        <f>SVY!Y548</f>
        <v>88329.637182799997</v>
      </c>
      <c r="V26" s="18">
        <f>SVY!D584</f>
        <v>264.86779999999999</v>
      </c>
    </row>
    <row r="27" spans="1:22" x14ac:dyDescent="0.35">
      <c r="A27" s="12" t="s">
        <v>321</v>
      </c>
      <c r="B27" s="13" t="s">
        <v>326</v>
      </c>
      <c r="C27" s="13">
        <f>SVY!D549</f>
        <v>0.81610024784293789</v>
      </c>
      <c r="D27" s="13">
        <f>SVY!E549</f>
        <v>9.998170044618114E-2</v>
      </c>
      <c r="E27" s="13">
        <f>SVY!F549</f>
        <v>2.9759089833709246E-2</v>
      </c>
      <c r="F27" s="13">
        <f>SVY!G549</f>
        <v>5.4158961877171702E-2</v>
      </c>
      <c r="G27" s="14">
        <f>SVY!H549</f>
        <v>0.57144255613799322</v>
      </c>
      <c r="H27" s="13">
        <f>SVY!I549</f>
        <v>6.8843306958429162E-2</v>
      </c>
      <c r="I27" s="13">
        <f>SVY!J549</f>
        <v>0.11684937502748183</v>
      </c>
      <c r="J27" s="13">
        <f>SVY!K549</f>
        <v>0.22739077276833242</v>
      </c>
      <c r="K27" s="13">
        <f>SVY!L549</f>
        <v>1.5473989107763342E-2</v>
      </c>
      <c r="S27" s="12" t="s">
        <v>321</v>
      </c>
      <c r="T27" s="18" t="s">
        <v>326</v>
      </c>
      <c r="U27" s="18">
        <f>SVY!Y549</f>
        <v>1093372.5197927</v>
      </c>
      <c r="V27" s="18">
        <f>SVY!D585</f>
        <v>959.89110000000005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F848-D1AC-4E9E-AD04-602D790A9B74}">
  <sheetPr>
    <tabColor theme="9" tint="-0.499984740745262"/>
  </sheetPr>
  <dimension ref="A1:GX608"/>
  <sheetViews>
    <sheetView showZeros="0" tabSelected="1" topLeftCell="A526" zoomScale="75" zoomScaleNormal="75" workbookViewId="0">
      <selection activeCell="K544" sqref="K544"/>
    </sheetView>
  </sheetViews>
  <sheetFormatPr defaultRowHeight="14.5" x14ac:dyDescent="0.35"/>
  <cols>
    <col min="14" max="15" width="8.90625" customWidth="1"/>
    <col min="19" max="19" width="9.90625" bestFit="1" customWidth="1"/>
    <col min="20" max="25" width="8.81640625" bestFit="1" customWidth="1"/>
    <col min="26" max="27" width="9.90625" bestFit="1" customWidth="1"/>
    <col min="28" max="29" width="11" bestFit="1" customWidth="1"/>
    <col min="30" max="32" width="9.90625" bestFit="1" customWidth="1"/>
    <col min="33" max="43" width="8.81640625" bestFit="1" customWidth="1"/>
    <col min="132" max="134" width="8.81640625" bestFit="1" customWidth="1"/>
    <col min="138" max="147" width="8.81640625" bestFit="1" customWidth="1"/>
    <col min="148" max="149" width="9.90625" bestFit="1" customWidth="1"/>
    <col min="152" max="161" width="8.81640625" bestFit="1" customWidth="1"/>
    <col min="162" max="163" width="11" bestFit="1" customWidth="1"/>
    <col min="166" max="177" width="8.81640625" bestFit="1" customWidth="1"/>
  </cols>
  <sheetData>
    <row r="1" spans="1:206" ht="18.5" x14ac:dyDescent="0.45">
      <c r="A1" s="22" t="s">
        <v>625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</row>
    <row r="2" spans="1:206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</row>
    <row r="3" spans="1:206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</row>
    <row r="4" spans="1:206" x14ac:dyDescent="0.35">
      <c r="A4" s="4" t="s">
        <v>567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4" t="s">
        <v>642</v>
      </c>
      <c r="EH4" s="2"/>
      <c r="EI4" s="2"/>
      <c r="EJ4" s="2"/>
      <c r="EK4" s="2"/>
      <c r="EL4" s="2"/>
      <c r="EM4" s="2"/>
      <c r="EN4" s="2"/>
      <c r="EO4" s="2"/>
      <c r="EP4" s="2"/>
      <c r="EQ4" s="23" t="s">
        <v>644</v>
      </c>
      <c r="ER4" s="23" t="s">
        <v>634</v>
      </c>
      <c r="ES4" s="23" t="s">
        <v>645</v>
      </c>
      <c r="ET4" s="2"/>
      <c r="EU4" s="4" t="s">
        <v>646</v>
      </c>
      <c r="EV4" s="2"/>
      <c r="EW4" s="2"/>
      <c r="EX4" s="2"/>
      <c r="EY4" s="2"/>
      <c r="EZ4" s="2"/>
      <c r="FA4" s="2"/>
      <c r="FB4" s="2"/>
      <c r="FC4" s="2"/>
      <c r="FD4" s="2"/>
      <c r="FE4" s="23" t="s">
        <v>644</v>
      </c>
      <c r="FF4" s="23" t="s">
        <v>634</v>
      </c>
      <c r="FG4" s="23" t="s">
        <v>645</v>
      </c>
      <c r="FH4" s="2"/>
      <c r="FI4" s="4" t="s">
        <v>648</v>
      </c>
      <c r="FJ4" s="2"/>
      <c r="FK4" s="2"/>
      <c r="FL4" s="2"/>
      <c r="FM4" s="2"/>
      <c r="FN4" s="2"/>
      <c r="FO4" s="2"/>
      <c r="FP4" s="2"/>
      <c r="FQ4" s="2"/>
      <c r="FR4" s="2"/>
      <c r="FS4" s="23" t="s">
        <v>644</v>
      </c>
      <c r="FT4" s="23" t="s">
        <v>634</v>
      </c>
      <c r="FU4" s="23" t="s">
        <v>645</v>
      </c>
      <c r="FV4" s="2"/>
      <c r="FW4" s="4" t="s">
        <v>650</v>
      </c>
      <c r="FX4" s="2"/>
      <c r="FY4" s="2"/>
      <c r="FZ4" s="2"/>
      <c r="GA4" s="2"/>
      <c r="GB4" s="2"/>
      <c r="GC4" s="2"/>
      <c r="GD4" s="2"/>
      <c r="GE4" s="2"/>
      <c r="GF4" s="2"/>
      <c r="GG4" s="23" t="s">
        <v>644</v>
      </c>
      <c r="GH4" s="23" t="s">
        <v>634</v>
      </c>
      <c r="GI4" s="23" t="s">
        <v>645</v>
      </c>
      <c r="GJ4" s="2"/>
      <c r="GK4" s="4" t="s">
        <v>642</v>
      </c>
      <c r="GL4" s="2"/>
      <c r="GM4" s="2"/>
      <c r="GN4" s="2"/>
      <c r="GO4" s="2"/>
      <c r="GP4" s="2"/>
      <c r="GQ4" s="2"/>
      <c r="GR4" s="2"/>
      <c r="GS4" s="2"/>
      <c r="GT4" s="2"/>
      <c r="GU4" s="23" t="s">
        <v>644</v>
      </c>
      <c r="GV4" s="23" t="s">
        <v>634</v>
      </c>
      <c r="GW4" s="23" t="s">
        <v>645</v>
      </c>
      <c r="GX4" s="2"/>
    </row>
    <row r="5" spans="1:206" x14ac:dyDescent="0.35">
      <c r="A5" s="24" t="s">
        <v>569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" t="s">
        <v>627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5" t="s">
        <v>667</v>
      </c>
      <c r="AF5" s="6"/>
      <c r="AG5" s="6"/>
      <c r="AH5" s="6"/>
      <c r="AI5" s="25" t="s">
        <v>645</v>
      </c>
      <c r="AJ5" s="25"/>
      <c r="AK5" s="25" t="s">
        <v>633</v>
      </c>
      <c r="AL5" s="6"/>
      <c r="AM5" s="6"/>
      <c r="AN5" s="25" t="s">
        <v>634</v>
      </c>
      <c r="AO5" s="2"/>
      <c r="AP5" s="2"/>
      <c r="AQ5" s="4" t="s">
        <v>627</v>
      </c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4" t="s">
        <v>635</v>
      </c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4" t="s">
        <v>637</v>
      </c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4" t="s">
        <v>636</v>
      </c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4" t="s">
        <v>637</v>
      </c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4" t="s">
        <v>666</v>
      </c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6" t="s">
        <v>640</v>
      </c>
      <c r="DZ5" s="27"/>
      <c r="EA5" s="27"/>
      <c r="EB5" s="27"/>
      <c r="EC5" s="27"/>
      <c r="ED5" s="2"/>
      <c r="EE5" s="2"/>
      <c r="EF5" s="2"/>
      <c r="EG5" s="24" t="s">
        <v>643</v>
      </c>
      <c r="EH5" s="2"/>
      <c r="EI5" s="2"/>
      <c r="EJ5" s="2"/>
      <c r="EK5" s="2"/>
      <c r="EL5" s="2"/>
      <c r="EM5" s="2"/>
      <c r="EN5" s="2"/>
      <c r="EO5" s="2"/>
      <c r="EP5" s="2"/>
      <c r="EQ5" s="89">
        <v>1</v>
      </c>
      <c r="ER5" s="28">
        <f>EQ5*ES5</f>
        <v>1895875.892383001</v>
      </c>
      <c r="ES5" s="28">
        <f>SUM(EH7:ES110)</f>
        <v>1895875.892383001</v>
      </c>
      <c r="ET5" s="2"/>
      <c r="EU5" s="24" t="s">
        <v>647</v>
      </c>
      <c r="EV5" s="2"/>
      <c r="EW5" s="2"/>
      <c r="EX5" s="2"/>
      <c r="EY5" s="2"/>
      <c r="EZ5" s="2"/>
      <c r="FA5" s="2"/>
      <c r="FB5" s="2"/>
      <c r="FC5" s="2"/>
      <c r="FD5" s="2"/>
      <c r="FE5" s="89">
        <v>1</v>
      </c>
      <c r="FF5" s="28">
        <f>FE5*FG5</f>
        <v>11272241.398379998</v>
      </c>
      <c r="FG5" s="28">
        <f>SUM(EV7:FG110)</f>
        <v>11272241.398379998</v>
      </c>
      <c r="FH5" s="2"/>
      <c r="FI5" s="24" t="s">
        <v>649</v>
      </c>
      <c r="FJ5" s="2"/>
      <c r="FK5" s="2"/>
      <c r="FL5" s="2"/>
      <c r="FM5" s="2"/>
      <c r="FN5" s="2"/>
      <c r="FO5" s="2"/>
      <c r="FP5" s="2"/>
      <c r="FQ5" s="2"/>
      <c r="FR5" s="2"/>
      <c r="FS5" s="89">
        <v>1</v>
      </c>
      <c r="FT5" s="28">
        <f>FS5*FU5</f>
        <v>524967.33535149996</v>
      </c>
      <c r="FU5" s="28">
        <f>SUM(FJ7:FU110)</f>
        <v>524967.33535149996</v>
      </c>
      <c r="FV5" s="2"/>
      <c r="FW5" s="24" t="s">
        <v>651</v>
      </c>
      <c r="FX5" s="2"/>
      <c r="FY5" s="2"/>
      <c r="FZ5" s="2"/>
      <c r="GA5" s="2"/>
      <c r="GB5" s="2"/>
      <c r="GC5" s="2"/>
      <c r="GD5" s="2"/>
      <c r="GE5" s="2"/>
      <c r="GF5" s="2"/>
      <c r="GG5" s="89">
        <v>1</v>
      </c>
      <c r="GH5" s="28">
        <f>GG5*GI5</f>
        <v>345167.14725199988</v>
      </c>
      <c r="GI5" s="28">
        <f>SUM(FX7:GI110)</f>
        <v>345167.14725199988</v>
      </c>
      <c r="GJ5" s="2"/>
      <c r="GK5" s="24" t="s">
        <v>665</v>
      </c>
      <c r="GL5" s="2"/>
      <c r="GM5" s="2"/>
      <c r="GN5" s="2"/>
      <c r="GO5" s="2"/>
      <c r="GP5" s="2"/>
      <c r="GQ5" s="2"/>
      <c r="GR5" s="2"/>
      <c r="GS5" s="2"/>
      <c r="GT5" s="2"/>
      <c r="GU5" s="89">
        <v>1</v>
      </c>
      <c r="GV5" s="28">
        <f>GU5*GW5</f>
        <v>2970969.4184200005</v>
      </c>
      <c r="GW5" s="28">
        <f>SUM(GL7:GW110)</f>
        <v>2970969.4184200005</v>
      </c>
      <c r="GX5" s="2"/>
    </row>
    <row r="6" spans="1:206" x14ac:dyDescent="0.35">
      <c r="A6" s="2"/>
      <c r="B6" s="2"/>
      <c r="C6" s="39"/>
      <c r="D6" s="40" t="s">
        <v>95</v>
      </c>
      <c r="E6" s="40" t="s">
        <v>97</v>
      </c>
      <c r="F6" s="40" t="s">
        <v>99</v>
      </c>
      <c r="G6" s="40" t="s">
        <v>101</v>
      </c>
      <c r="H6" s="40" t="s">
        <v>103</v>
      </c>
      <c r="I6" s="40" t="s">
        <v>105</v>
      </c>
      <c r="J6" s="40" t="s">
        <v>107</v>
      </c>
      <c r="K6" s="40" t="s">
        <v>109</v>
      </c>
      <c r="L6" s="40" t="s">
        <v>327</v>
      </c>
      <c r="M6" s="40" t="s">
        <v>328</v>
      </c>
      <c r="N6" s="40" t="s">
        <v>329</v>
      </c>
      <c r="O6" s="41" t="s">
        <v>330</v>
      </c>
      <c r="P6" s="2"/>
      <c r="Q6" s="2"/>
      <c r="R6" s="39"/>
      <c r="S6" s="40" t="s">
        <v>95</v>
      </c>
      <c r="T6" s="40" t="s">
        <v>97</v>
      </c>
      <c r="U6" s="40" t="s">
        <v>99</v>
      </c>
      <c r="V6" s="40" t="s">
        <v>101</v>
      </c>
      <c r="W6" s="48" t="s">
        <v>103</v>
      </c>
      <c r="X6" s="40" t="s">
        <v>105</v>
      </c>
      <c r="Y6" s="40" t="s">
        <v>107</v>
      </c>
      <c r="Z6" s="40" t="s">
        <v>109</v>
      </c>
      <c r="AA6" s="48" t="s">
        <v>327</v>
      </c>
      <c r="AB6" s="40" t="s">
        <v>328</v>
      </c>
      <c r="AC6" s="40" t="s">
        <v>329</v>
      </c>
      <c r="AD6" s="40" t="s">
        <v>330</v>
      </c>
      <c r="AE6" s="50" t="s">
        <v>628</v>
      </c>
      <c r="AF6" s="51" t="s">
        <v>629</v>
      </c>
      <c r="AG6" s="51" t="s">
        <v>630</v>
      </c>
      <c r="AH6" s="51" t="s">
        <v>631</v>
      </c>
      <c r="AI6" s="50" t="s">
        <v>632</v>
      </c>
      <c r="AJ6" s="51" t="s">
        <v>599</v>
      </c>
      <c r="AK6" s="50" t="s">
        <v>632</v>
      </c>
      <c r="AL6" s="51" t="s">
        <v>599</v>
      </c>
      <c r="AM6" s="51" t="s">
        <v>668</v>
      </c>
      <c r="AN6" s="50" t="s">
        <v>632</v>
      </c>
      <c r="AO6" s="52" t="s">
        <v>599</v>
      </c>
      <c r="AP6" s="2"/>
      <c r="AQ6" s="39"/>
      <c r="AR6" s="40" t="s">
        <v>95</v>
      </c>
      <c r="AS6" s="40" t="s">
        <v>97</v>
      </c>
      <c r="AT6" s="40" t="s">
        <v>99</v>
      </c>
      <c r="AU6" s="40" t="s">
        <v>101</v>
      </c>
      <c r="AV6" s="48" t="s">
        <v>103</v>
      </c>
      <c r="AW6" s="40" t="s">
        <v>105</v>
      </c>
      <c r="AX6" s="40" t="s">
        <v>107</v>
      </c>
      <c r="AY6" s="40" t="s">
        <v>109</v>
      </c>
      <c r="AZ6" s="48" t="s">
        <v>327</v>
      </c>
      <c r="BA6" s="40" t="s">
        <v>328</v>
      </c>
      <c r="BB6" s="40" t="s">
        <v>329</v>
      </c>
      <c r="BC6" s="41" t="s">
        <v>330</v>
      </c>
      <c r="BD6" s="2"/>
      <c r="BE6" s="39"/>
      <c r="BF6" s="40" t="s">
        <v>95</v>
      </c>
      <c r="BG6" s="40" t="s">
        <v>97</v>
      </c>
      <c r="BH6" s="40" t="s">
        <v>99</v>
      </c>
      <c r="BI6" s="40" t="s">
        <v>101</v>
      </c>
      <c r="BJ6" s="48" t="s">
        <v>103</v>
      </c>
      <c r="BK6" s="40" t="s">
        <v>105</v>
      </c>
      <c r="BL6" s="40" t="s">
        <v>107</v>
      </c>
      <c r="BM6" s="40" t="s">
        <v>109</v>
      </c>
      <c r="BN6" s="48" t="s">
        <v>327</v>
      </c>
      <c r="BO6" s="40" t="s">
        <v>328</v>
      </c>
      <c r="BP6" s="40" t="s">
        <v>329</v>
      </c>
      <c r="BQ6" s="41" t="s">
        <v>330</v>
      </c>
      <c r="BR6" s="2"/>
      <c r="BS6" s="39"/>
      <c r="BT6" s="64" t="s">
        <v>95</v>
      </c>
      <c r="BU6" s="64" t="s">
        <v>97</v>
      </c>
      <c r="BV6" s="64" t="s">
        <v>99</v>
      </c>
      <c r="BW6" s="64" t="s">
        <v>101</v>
      </c>
      <c r="BX6" s="65" t="s">
        <v>103</v>
      </c>
      <c r="BY6" s="64" t="s">
        <v>105</v>
      </c>
      <c r="BZ6" s="64" t="s">
        <v>107</v>
      </c>
      <c r="CA6" s="64" t="s">
        <v>109</v>
      </c>
      <c r="CB6" s="65" t="s">
        <v>327</v>
      </c>
      <c r="CC6" s="64" t="s">
        <v>328</v>
      </c>
      <c r="CD6" s="64" t="s">
        <v>329</v>
      </c>
      <c r="CE6" s="66" t="s">
        <v>330</v>
      </c>
      <c r="CF6" s="2"/>
      <c r="CG6" s="31" t="s">
        <v>638</v>
      </c>
      <c r="CH6" s="39"/>
      <c r="CI6" s="64" t="s">
        <v>95</v>
      </c>
      <c r="CJ6" s="64" t="s">
        <v>97</v>
      </c>
      <c r="CK6" s="64" t="s">
        <v>99</v>
      </c>
      <c r="CL6" s="64" t="s">
        <v>101</v>
      </c>
      <c r="CM6" s="65" t="s">
        <v>103</v>
      </c>
      <c r="CN6" s="64" t="s">
        <v>105</v>
      </c>
      <c r="CO6" s="64" t="s">
        <v>107</v>
      </c>
      <c r="CP6" s="64" t="s">
        <v>109</v>
      </c>
      <c r="CQ6" s="65" t="s">
        <v>327</v>
      </c>
      <c r="CR6" s="64" t="s">
        <v>328</v>
      </c>
      <c r="CS6" s="64" t="s">
        <v>329</v>
      </c>
      <c r="CT6" s="66" t="s">
        <v>330</v>
      </c>
      <c r="CU6" s="2"/>
      <c r="CV6" s="39"/>
      <c r="CW6" s="64" t="s">
        <v>95</v>
      </c>
      <c r="CX6" s="64" t="s">
        <v>97</v>
      </c>
      <c r="CY6" s="64" t="s">
        <v>99</v>
      </c>
      <c r="CZ6" s="64" t="s">
        <v>101</v>
      </c>
      <c r="DA6" s="65" t="s">
        <v>103</v>
      </c>
      <c r="DB6" s="64" t="s">
        <v>105</v>
      </c>
      <c r="DC6" s="64" t="s">
        <v>107</v>
      </c>
      <c r="DD6" s="64" t="s">
        <v>109</v>
      </c>
      <c r="DE6" s="65" t="s">
        <v>327</v>
      </c>
      <c r="DF6" s="64" t="s">
        <v>328</v>
      </c>
      <c r="DG6" s="64" t="s">
        <v>329</v>
      </c>
      <c r="DH6" s="66" t="s">
        <v>330</v>
      </c>
      <c r="DI6" s="2"/>
      <c r="DJ6" s="31" t="s">
        <v>639</v>
      </c>
      <c r="DK6" s="72"/>
      <c r="DL6" s="73" t="s">
        <v>95</v>
      </c>
      <c r="DM6" s="73" t="s">
        <v>97</v>
      </c>
      <c r="DN6" s="73" t="s">
        <v>99</v>
      </c>
      <c r="DO6" s="73" t="s">
        <v>101</v>
      </c>
      <c r="DP6" s="74" t="s">
        <v>103</v>
      </c>
      <c r="DQ6" s="73" t="s">
        <v>105</v>
      </c>
      <c r="DR6" s="73" t="s">
        <v>107</v>
      </c>
      <c r="DS6" s="73" t="s">
        <v>109</v>
      </c>
      <c r="DT6" s="74" t="s">
        <v>327</v>
      </c>
      <c r="DU6" s="73" t="s">
        <v>328</v>
      </c>
      <c r="DV6" s="73" t="s">
        <v>329</v>
      </c>
      <c r="DW6" s="75" t="s">
        <v>330</v>
      </c>
      <c r="DX6" s="2"/>
      <c r="DY6" s="78"/>
      <c r="DZ6" s="79" t="s">
        <v>641</v>
      </c>
      <c r="EA6" s="79" t="s">
        <v>27</v>
      </c>
      <c r="EB6" s="79" t="s">
        <v>578</v>
      </c>
      <c r="EC6" s="79" t="s">
        <v>420</v>
      </c>
      <c r="ED6" s="80" t="s">
        <v>579</v>
      </c>
      <c r="EE6" s="2"/>
      <c r="EF6" s="31"/>
      <c r="EG6" s="90" t="s">
        <v>652</v>
      </c>
      <c r="EH6" s="91" t="s">
        <v>653</v>
      </c>
      <c r="EI6" s="91" t="s">
        <v>654</v>
      </c>
      <c r="EJ6" s="91" t="s">
        <v>655</v>
      </c>
      <c r="EK6" s="91" t="s">
        <v>656</v>
      </c>
      <c r="EL6" s="91" t="s">
        <v>657</v>
      </c>
      <c r="EM6" s="91" t="s">
        <v>658</v>
      </c>
      <c r="EN6" s="91" t="s">
        <v>659</v>
      </c>
      <c r="EO6" s="91" t="s">
        <v>660</v>
      </c>
      <c r="EP6" s="91" t="s">
        <v>661</v>
      </c>
      <c r="EQ6" s="91" t="s">
        <v>662</v>
      </c>
      <c r="ER6" s="91" t="s">
        <v>663</v>
      </c>
      <c r="ES6" s="92" t="s">
        <v>664</v>
      </c>
      <c r="ET6" s="31"/>
      <c r="EU6" s="90" t="s">
        <v>652</v>
      </c>
      <c r="EV6" s="91" t="s">
        <v>653</v>
      </c>
      <c r="EW6" s="91" t="s">
        <v>654</v>
      </c>
      <c r="EX6" s="91" t="s">
        <v>655</v>
      </c>
      <c r="EY6" s="91" t="s">
        <v>656</v>
      </c>
      <c r="EZ6" s="91" t="s">
        <v>657</v>
      </c>
      <c r="FA6" s="91" t="s">
        <v>658</v>
      </c>
      <c r="FB6" s="91" t="s">
        <v>659</v>
      </c>
      <c r="FC6" s="91" t="s">
        <v>660</v>
      </c>
      <c r="FD6" s="91" t="s">
        <v>661</v>
      </c>
      <c r="FE6" s="91" t="s">
        <v>662</v>
      </c>
      <c r="FF6" s="91" t="s">
        <v>663</v>
      </c>
      <c r="FG6" s="92" t="s">
        <v>664</v>
      </c>
      <c r="FH6" s="31"/>
      <c r="FI6" s="90" t="s">
        <v>652</v>
      </c>
      <c r="FJ6" s="91" t="s">
        <v>653</v>
      </c>
      <c r="FK6" s="91" t="s">
        <v>654</v>
      </c>
      <c r="FL6" s="91" t="s">
        <v>655</v>
      </c>
      <c r="FM6" s="91" t="s">
        <v>656</v>
      </c>
      <c r="FN6" s="91" t="s">
        <v>657</v>
      </c>
      <c r="FO6" s="91" t="s">
        <v>658</v>
      </c>
      <c r="FP6" s="91" t="s">
        <v>659</v>
      </c>
      <c r="FQ6" s="91" t="s">
        <v>660</v>
      </c>
      <c r="FR6" s="91" t="s">
        <v>661</v>
      </c>
      <c r="FS6" s="91" t="s">
        <v>662</v>
      </c>
      <c r="FT6" s="91" t="s">
        <v>663</v>
      </c>
      <c r="FU6" s="92" t="s">
        <v>664</v>
      </c>
      <c r="FV6" s="31"/>
      <c r="FW6" s="90" t="s">
        <v>652</v>
      </c>
      <c r="FX6" s="91" t="s">
        <v>653</v>
      </c>
      <c r="FY6" s="91" t="s">
        <v>654</v>
      </c>
      <c r="FZ6" s="91" t="s">
        <v>655</v>
      </c>
      <c r="GA6" s="91" t="s">
        <v>656</v>
      </c>
      <c r="GB6" s="91" t="s">
        <v>657</v>
      </c>
      <c r="GC6" s="91" t="s">
        <v>658</v>
      </c>
      <c r="GD6" s="91" t="s">
        <v>659</v>
      </c>
      <c r="GE6" s="91" t="s">
        <v>660</v>
      </c>
      <c r="GF6" s="91" t="s">
        <v>661</v>
      </c>
      <c r="GG6" s="91" t="s">
        <v>662</v>
      </c>
      <c r="GH6" s="91" t="s">
        <v>663</v>
      </c>
      <c r="GI6" s="92" t="s">
        <v>664</v>
      </c>
      <c r="GJ6" s="31"/>
      <c r="GK6" s="90" t="s">
        <v>652</v>
      </c>
      <c r="GL6" s="91" t="s">
        <v>653</v>
      </c>
      <c r="GM6" s="91" t="s">
        <v>654</v>
      </c>
      <c r="GN6" s="91" t="s">
        <v>655</v>
      </c>
      <c r="GO6" s="91" t="s">
        <v>656</v>
      </c>
      <c r="GP6" s="91" t="s">
        <v>657</v>
      </c>
      <c r="GQ6" s="91" t="s">
        <v>658</v>
      </c>
      <c r="GR6" s="91" t="s">
        <v>659</v>
      </c>
      <c r="GS6" s="91" t="s">
        <v>660</v>
      </c>
      <c r="GT6" s="91" t="s">
        <v>661</v>
      </c>
      <c r="GU6" s="91" t="s">
        <v>662</v>
      </c>
      <c r="GV6" s="91" t="s">
        <v>663</v>
      </c>
      <c r="GW6" s="92" t="s">
        <v>664</v>
      </c>
      <c r="GX6" s="31"/>
    </row>
    <row r="7" spans="1:206" x14ac:dyDescent="0.35">
      <c r="A7" s="2"/>
      <c r="B7" s="2"/>
      <c r="C7" s="42" t="s">
        <v>443</v>
      </c>
      <c r="D7" s="43">
        <f>IF(SUM($S7:$AD7),S7/SUM($S7:$AD7),0)</f>
        <v>0.49259772131259782</v>
      </c>
      <c r="E7" s="43">
        <f t="shared" ref="E7:E70" si="0">IF(SUM($S7:$AD7),T7/SUM($S7:$AD7),0)</f>
        <v>0.36167419993197292</v>
      </c>
      <c r="F7" s="43">
        <f t="shared" ref="F7:F70" si="1">IF(SUM($S7:$AD7),U7/SUM($S7:$AD7),0)</f>
        <v>3.9480441033560611E-2</v>
      </c>
      <c r="G7" s="43">
        <f t="shared" ref="G7:G70" si="2">IF(SUM($S7:$AD7),V7/SUM($S7:$AD7),0)</f>
        <v>1.055268481170148E-2</v>
      </c>
      <c r="H7" s="43">
        <f t="shared" ref="H7:H70" si="3">IF(SUM($S7:$AD7),W7/SUM($S7:$AD7),0)</f>
        <v>1.0225127728725881E-2</v>
      </c>
      <c r="I7" s="43">
        <f t="shared" ref="I7:I70" si="4">IF(SUM($S7:$AD7),X7/SUM($S7:$AD7),0)</f>
        <v>1.83009736389654E-2</v>
      </c>
      <c r="J7" s="43">
        <f t="shared" ref="J7:J70" si="5">IF(SUM($S7:$AD7),Y7/SUM($S7:$AD7),0)</f>
        <v>4.5167071793214284E-3</v>
      </c>
      <c r="K7" s="43">
        <f t="shared" ref="K7:K70" si="6">IF(SUM($S7:$AD7),Z7/SUM($S7:$AD7),0)</f>
        <v>5.4580675346179598E-3</v>
      </c>
      <c r="L7" s="43">
        <f t="shared" ref="L7:L70" si="7">IF(SUM($S7:$AD7),AA7/SUM($S7:$AD7),0)</f>
        <v>2.0208752665116042E-2</v>
      </c>
      <c r="M7" s="43">
        <f t="shared" ref="M7:M70" si="8">IF(SUM($S7:$AD7),AB7/SUM($S7:$AD7),0)</f>
        <v>2.2175615659631592E-2</v>
      </c>
      <c r="N7" s="43">
        <f t="shared" ref="N7:N70" si="9">IF(SUM($S7:$AD7),AC7/SUM($S7:$AD7),0)</f>
        <v>6.0515810433374242E-3</v>
      </c>
      <c r="O7" s="44">
        <f t="shared" ref="O7:O70" si="10">IF(SUM($S7:$AD7),AD7/SUM($S7:$AD7),0)</f>
        <v>8.7581274604515476E-3</v>
      </c>
      <c r="P7" s="115">
        <f>SUM(D7:O7)</f>
        <v>1</v>
      </c>
      <c r="Q7" s="2"/>
      <c r="R7" s="42" t="s">
        <v>443</v>
      </c>
      <c r="S7" s="43">
        <f>IF(SUM($AR7:$AU7),$AK7*AR7/SUM($AR7:$AU7),0)</f>
        <v>0.49259772131259782</v>
      </c>
      <c r="T7" s="43">
        <f>IF(SUM($AR7:$AU7),$AK7*AS7/SUM($AR7:$AU7),0)</f>
        <v>0.36167419993197292</v>
      </c>
      <c r="U7" s="43">
        <f>IF(SUM($AR7:$AU7),$AK7*AT7/SUM($AR7:$AU7),0)</f>
        <v>3.9480441033560611E-2</v>
      </c>
      <c r="V7" s="43">
        <f>IF(SUM($AR7:$AU7),$AK7*AU7/SUM($AR7:$AU7),0)</f>
        <v>1.055268481170148E-2</v>
      </c>
      <c r="W7" s="29">
        <f>IF(SUM($AV7:$AY7),$AL7*AV7/SUM($AV7:$AY7),0)</f>
        <v>1.0225127728725881E-2</v>
      </c>
      <c r="X7" s="43">
        <f>IF(SUM($AV7:$AY7),$AL7*AW7/SUM($AV7:$AY7),0)</f>
        <v>1.83009736389654E-2</v>
      </c>
      <c r="Y7" s="43">
        <f>IF(SUM($AV7:$AY7),$AL7*AX7/SUM($AV7:$AY7),0)</f>
        <v>4.5167071793214284E-3</v>
      </c>
      <c r="Z7" s="43">
        <f>IF(SUM($AV7:$AY7),$AL7*AY7/SUM($AV7:$AY7),0)</f>
        <v>5.4580675346179598E-3</v>
      </c>
      <c r="AA7" s="29">
        <f>IF(SUM($AZ7:$BC7),(1-$AL7-$AK7)*AZ7/SUM($AZ7:$BC7),0)</f>
        <v>2.0208752665116042E-2</v>
      </c>
      <c r="AB7" s="43">
        <f>IF(SUM($AZ7:$BC7),(1-$AL7-$AK7)*BA7/SUM($AZ7:$BC7),0)</f>
        <v>2.2175615659631592E-2</v>
      </c>
      <c r="AC7" s="43">
        <f>IF(SUM($AZ7:$BC7),(1-$AL7-$AK7)*BB7/SUM($AZ7:$BC7),0)</f>
        <v>6.0515810433374242E-3</v>
      </c>
      <c r="AD7" s="43">
        <f>IF(SUM($AZ7:$BC7),(1-$AL7-$AK7)*BC7/SUM($AZ7:$BC7),0)</f>
        <v>8.7581274604515476E-3</v>
      </c>
      <c r="AE7" s="32">
        <f>S7+W7+AA7</f>
        <v>0.5230316017064397</v>
      </c>
      <c r="AF7" s="53">
        <f t="shared" ref="AF7" si="11">T7+X7+AB7</f>
        <v>0.40215078923056991</v>
      </c>
      <c r="AG7" s="53">
        <f t="shared" ref="AG7" si="12">U7+Y7+AC7</f>
        <v>5.0048729256219462E-2</v>
      </c>
      <c r="AH7" s="53">
        <f t="shared" ref="AH7" si="13">V7+Z7+AD7</f>
        <v>2.4768879806770991E-2</v>
      </c>
      <c r="AI7" s="34">
        <f t="shared" ref="AI7" si="14">IF(SUM($DL7:$DW7),SUM(DL7:DO7)/SUM($DL7:$DW7),0)</f>
        <v>0.90430504708983273</v>
      </c>
      <c r="AJ7" s="35">
        <f t="shared" ref="AJ7" si="15">IF(SUM($DL7:$DW7),SUM(DP7:DS7)/SUM($DL7:$DW7),0)</f>
        <v>3.8500876081630671E-2</v>
      </c>
      <c r="AK7" s="34">
        <f>AI7</f>
        <v>0.90430504708983273</v>
      </c>
      <c r="AL7" s="35">
        <f t="shared" ref="AL7" si="16">AJ7</f>
        <v>3.8500876081630671E-2</v>
      </c>
      <c r="AM7" s="35">
        <f>1-SUM(AK7:AL7)</f>
        <v>5.7194076828536611E-2</v>
      </c>
      <c r="AN7" s="36">
        <v>1</v>
      </c>
      <c r="AO7" s="54">
        <v>1</v>
      </c>
      <c r="AP7" s="2"/>
      <c r="AQ7" s="42" t="s">
        <v>443</v>
      </c>
      <c r="AR7" s="43">
        <f>IF(SUM($BT7:$CE7),BT7/SUM($BT7:$CE7),0)</f>
        <v>0.49922990869744044</v>
      </c>
      <c r="AS7" s="43">
        <f t="shared" ref="AS7:BC22" si="17">IF(SUM($BT7:$CE7),BU7/SUM($BT7:$CE7),0)</f>
        <v>0.36654367244966995</v>
      </c>
      <c r="AT7" s="43">
        <f t="shared" si="17"/>
        <v>4.0011993802974745E-2</v>
      </c>
      <c r="AU7" s="43">
        <f t="shared" si="17"/>
        <v>1.0694762982298565E-2</v>
      </c>
      <c r="AV7" s="29">
        <f t="shared" si="17"/>
        <v>1.1165036689672066E-2</v>
      </c>
      <c r="AW7" s="43">
        <f t="shared" si="17"/>
        <v>1.9983226376892507E-2</v>
      </c>
      <c r="AX7" s="43">
        <f t="shared" si="17"/>
        <v>4.9318896263717176E-3</v>
      </c>
      <c r="AY7" s="43">
        <f t="shared" si="17"/>
        <v>5.9597812267437513E-3</v>
      </c>
      <c r="AZ7" s="29">
        <f t="shared" si="17"/>
        <v>1.4656300324086272E-2</v>
      </c>
      <c r="BA7" s="43">
        <f t="shared" si="17"/>
        <v>1.6082758216943365E-2</v>
      </c>
      <c r="BB7" s="43">
        <f t="shared" si="17"/>
        <v>4.3888799411060213E-3</v>
      </c>
      <c r="BC7" s="44">
        <f t="shared" si="17"/>
        <v>6.3517896658006247E-3</v>
      </c>
      <c r="BD7" s="2"/>
      <c r="BE7" s="42" t="s">
        <v>443</v>
      </c>
      <c r="BF7" s="62">
        <v>1</v>
      </c>
      <c r="BG7" s="62">
        <v>1</v>
      </c>
      <c r="BH7" s="62">
        <v>1</v>
      </c>
      <c r="BI7" s="62">
        <v>1</v>
      </c>
      <c r="BJ7" s="36">
        <v>1</v>
      </c>
      <c r="BK7" s="62">
        <v>1</v>
      </c>
      <c r="BL7" s="62">
        <v>1</v>
      </c>
      <c r="BM7" s="62">
        <v>1</v>
      </c>
      <c r="BN7" s="36">
        <v>1</v>
      </c>
      <c r="BO7" s="62">
        <v>1</v>
      </c>
      <c r="BP7" s="62">
        <v>1</v>
      </c>
      <c r="BQ7" s="54">
        <v>1</v>
      </c>
      <c r="BR7" s="2"/>
      <c r="BS7" s="42" t="s">
        <v>443</v>
      </c>
      <c r="BT7" s="67">
        <f>BF7*CI7</f>
        <v>42948.130099999995</v>
      </c>
      <c r="BU7" s="67">
        <f t="shared" ref="BU7:BU70" si="18">BG7*CJ7</f>
        <v>31533.297699999999</v>
      </c>
      <c r="BV7" s="67">
        <f t="shared" ref="BV7:BV70" si="19">BH7*CK7</f>
        <v>3442.1822199999997</v>
      </c>
      <c r="BW7" s="67">
        <f t="shared" ref="BW7:BW70" si="20">BI7*CL7</f>
        <v>920.05720000000008</v>
      </c>
      <c r="BX7" s="30">
        <f t="shared" ref="BX7:BX70" si="21">BJ7*CM7</f>
        <v>960.51426399999991</v>
      </c>
      <c r="BY7" s="67">
        <f t="shared" ref="BY7:BY70" si="22">BK7*CN7</f>
        <v>1719.13219</v>
      </c>
      <c r="BZ7" s="67">
        <f t="shared" ref="BZ7:BZ70" si="23">BL7*CO7</f>
        <v>424.28435000000002</v>
      </c>
      <c r="CA7" s="67">
        <f t="shared" ref="CA7:CA70" si="24">BM7*CP7</f>
        <v>512.71258999999998</v>
      </c>
      <c r="CB7" s="30">
        <f t="shared" ref="CB7:CB70" si="25">BN7*CQ7</f>
        <v>1260.8633460000001</v>
      </c>
      <c r="CC7" s="67">
        <f t="shared" ref="CC7:CC70" si="26">BO7*CR7</f>
        <v>1383.5797500000001</v>
      </c>
      <c r="CD7" s="67">
        <f t="shared" ref="CD7:CD70" si="27">BP7*CS7</f>
        <v>377.56989999999996</v>
      </c>
      <c r="CE7" s="68">
        <f t="shared" ref="CE7:CE70" si="28">BQ7*CT7</f>
        <v>546.43659000000002</v>
      </c>
      <c r="CF7" s="2"/>
      <c r="CG7" s="37" t="str">
        <f>DJ7</f>
        <v>asorg</v>
      </c>
      <c r="CH7" s="42" t="s">
        <v>443</v>
      </c>
      <c r="CI7" s="67">
        <f>SUMIF($CV$7:$CV$110,$CG7,CW$7:CW$110)</f>
        <v>42948.130099999995</v>
      </c>
      <c r="CJ7" s="67">
        <f t="shared" ref="CJ7:CT22" si="29">SUMIF($CV$7:$CV$110,$CG7,CX$7:CX$110)</f>
        <v>31533.297699999999</v>
      </c>
      <c r="CK7" s="67">
        <f t="shared" si="29"/>
        <v>3442.1822199999997</v>
      </c>
      <c r="CL7" s="67">
        <f t="shared" si="29"/>
        <v>920.05720000000008</v>
      </c>
      <c r="CM7" s="30">
        <f t="shared" si="29"/>
        <v>960.51426399999991</v>
      </c>
      <c r="CN7" s="67">
        <f t="shared" si="29"/>
        <v>1719.13219</v>
      </c>
      <c r="CO7" s="67">
        <f t="shared" si="29"/>
        <v>424.28435000000002</v>
      </c>
      <c r="CP7" s="67">
        <f t="shared" si="29"/>
        <v>512.71258999999998</v>
      </c>
      <c r="CQ7" s="30">
        <f t="shared" si="29"/>
        <v>1260.8633460000001</v>
      </c>
      <c r="CR7" s="67">
        <f t="shared" si="29"/>
        <v>1383.5797500000001</v>
      </c>
      <c r="CS7" s="67">
        <f t="shared" si="29"/>
        <v>377.56989999999996</v>
      </c>
      <c r="CT7" s="68">
        <f t="shared" si="29"/>
        <v>546.43659000000002</v>
      </c>
      <c r="CU7" s="2"/>
      <c r="CV7" s="42" t="s">
        <v>443</v>
      </c>
      <c r="CW7" s="67">
        <f>SUMIF($DJ$7:$DJ$110,$CV7,DL$7:DL$110)</f>
        <v>42948.130099999995</v>
      </c>
      <c r="CX7" s="67">
        <f t="shared" ref="CX7:DH22" si="30">SUMIF($DJ$7:$DJ$110,$CV7,DM$7:DM$110)</f>
        <v>31533.297699999999</v>
      </c>
      <c r="CY7" s="67">
        <f t="shared" si="30"/>
        <v>3442.1822199999997</v>
      </c>
      <c r="CZ7" s="67">
        <f t="shared" si="30"/>
        <v>920.05720000000008</v>
      </c>
      <c r="DA7" s="30">
        <f t="shared" si="30"/>
        <v>960.51426399999991</v>
      </c>
      <c r="DB7" s="67">
        <f t="shared" si="30"/>
        <v>1719.13219</v>
      </c>
      <c r="DC7" s="67">
        <f t="shared" si="30"/>
        <v>424.28435000000002</v>
      </c>
      <c r="DD7" s="67">
        <f t="shared" si="30"/>
        <v>512.71258999999998</v>
      </c>
      <c r="DE7" s="30">
        <f t="shared" si="30"/>
        <v>1260.8633460000001</v>
      </c>
      <c r="DF7" s="67">
        <f t="shared" si="30"/>
        <v>1383.5797500000001</v>
      </c>
      <c r="DG7" s="67">
        <f t="shared" si="30"/>
        <v>377.56989999999996</v>
      </c>
      <c r="DH7" s="68">
        <f t="shared" si="30"/>
        <v>546.43659000000002</v>
      </c>
      <c r="DI7" s="2"/>
      <c r="DJ7" s="37" t="s">
        <v>443</v>
      </c>
      <c r="DK7" s="76" t="s">
        <v>443</v>
      </c>
      <c r="DL7" s="67">
        <f>SUMIF($EF$7:$EF$110,$DK7,EH$7:EH$110)*$DZ7*$EQ$5+SUMIF($ET$7:$ET$110,$DK7,EV$7:EV$110)*$EA7*$FE$5+SUMIF($FH$7:$FH$110,$DK7,FJ$7:FJ$110)*$EB7*$FS$5+SUMIF($FV$7:$FV$110,$DK7,FX$7:FX$110)*$EC7*$GG$5+SUMIF($GJ$7:$GJ$110,$DK7,GL$7:GL$110)*$ED7*$GU$5</f>
        <v>10925.36</v>
      </c>
      <c r="DM7" s="67">
        <f t="shared" ref="DM7:DM70" si="31">SUMIF($EF$7:$EF$110,$DK7,EI$7:EI$110)*$DZ7*$EQ$5+SUMIF($ET$7:$ET$110,$DK7,EW$7:EW$110)*$EA7*$FE$5+SUMIF($FH$7:$FH$110,$DK7,FK$7:FK$110)*$EB7*$FS$5+SUMIF($FV$7:$FV$110,$DK7,FY$7:FY$110)*$EC7*$GG$5+SUMIF($GJ$7:$GJ$110,$DK7,GM$7:GM$110)*$ED7*$GU$5</f>
        <v>8040.616</v>
      </c>
      <c r="DN7" s="67">
        <f t="shared" ref="DN7:DN70" si="32">SUMIF($EF$7:$EF$110,$DK7,EJ$7:EJ$110)*$DZ7*$EQ$5+SUMIF($ET$7:$ET$110,$DK7,EX$7:EX$110)*$EA7*$FE$5+SUMIF($FH$7:$FH$110,$DK7,FL$7:FL$110)*$EB7*$FS$5+SUMIF($FV$7:$FV$110,$DK7,FZ$7:FZ$110)*$EC7*$GG$5+SUMIF($GJ$7:$GJ$110,$DK7,GN$7:GN$110)*$ED7*$GU$5</f>
        <v>669.45169999999996</v>
      </c>
      <c r="DO7" s="67">
        <f t="shared" ref="DO7:DO70" si="33">SUMIF($EF$7:$EF$110,$DK7,EK$7:EK$110)*$DZ7*$EQ$5+SUMIF($ET$7:$ET$110,$DK7,EY$7:EY$110)*$EA7*$FE$5+SUMIF($FH$7:$FH$110,$DK7,FM$7:FM$110)*$EB7*$FS$5+SUMIF($FV$7:$FV$110,$DK7,GA$7:GA$110)*$EC7*$GG$5+SUMIF($GJ$7:$GJ$110,$DK7,GO$7:GO$110)*$ED7*$GU$5</f>
        <v>271.19420000000002</v>
      </c>
      <c r="DP7" s="30">
        <f t="shared" ref="DP7:DP70" si="34">SUMIF($EF$7:$EF$110,$DK7,EL$7:EL$110)*$DZ7*$EQ$5+SUMIF($ET$7:$ET$110,$DK7,EZ$7:EZ$110)*$EA7*$FE$5+SUMIF($FH$7:$FH$110,$DK7,FN$7:FN$110)*$EB7*$FS$5+SUMIF($FV$7:$FV$110,$DK7,GB$7:GB$110)*$EC7*$GG$5+SUMIF($GJ$7:$GJ$110,$DK7,GP$7:GP$110)*$ED7*$GU$5</f>
        <v>266.23939999999999</v>
      </c>
      <c r="DQ7" s="67">
        <f t="shared" ref="DQ7:DQ70" si="35">SUMIF($EF$7:$EF$110,$DK7,EM$7:EM$110)*$DZ7*$EQ$5+SUMIF($ET$7:$ET$110,$DK7,FA$7:FA$110)*$EA7*$FE$5+SUMIF($FH$7:$FH$110,$DK7,FO$7:FO$110)*$EB7*$FS$5+SUMIF($FV$7:$FV$110,$DK7,GC$7:GC$110)*$EC7*$GG$5+SUMIF($GJ$7:$GJ$110,$DK7,GQ$7:GQ$110)*$ED7*$GU$5</f>
        <v>382.88499999999999</v>
      </c>
      <c r="DR7" s="67">
        <f t="shared" ref="DR7:DR70" si="36">SUMIF($EF$7:$EF$110,$DK7,EN$7:EN$110)*$DZ7*$EQ$5+SUMIF($ET$7:$ET$110,$DK7,FB$7:FB$110)*$EA7*$FE$5+SUMIF($FH$7:$FH$110,$DK7,FP$7:FP$110)*$EB7*$FS$5+SUMIF($FV$7:$FV$110,$DK7,GD$7:GD$110)*$EC7*$GG$5+SUMIF($GJ$7:$GJ$110,$DK7,GR$7:GR$110)*$ED7*$GU$5</f>
        <v>70.751779999999997</v>
      </c>
      <c r="DS7" s="67">
        <f t="shared" ref="DS7:DS70" si="37">SUMIF($EF$7:$EF$110,$DK7,EO$7:EO$110)*$DZ7*$EQ$5+SUMIF($ET$7:$ET$110,$DK7,FC$7:FC$110)*$EA7*$FE$5+SUMIF($FH$7:$FH$110,$DK7,FQ$7:FQ$110)*$EB7*$FS$5+SUMIF($FV$7:$FV$110,$DK7,GE$7:GE$110)*$EC7*$GG$5+SUMIF($GJ$7:$GJ$110,$DK7,GS$7:GS$110)*$ED7*$GU$5</f>
        <v>127.6502</v>
      </c>
      <c r="DT7" s="30">
        <f t="shared" ref="DT7:DT70" si="38">SUMIF($EF$7:$EF$110,$DK7,EP$7:EP$110)*$DZ7*$EQ$5+SUMIF($ET$7:$ET$110,$DK7,FD$7:FD$110)*$EA7*$FE$5+SUMIF($FH$7:$FH$110,$DK7,FR$7:FR$110)*$EB7*$FS$5+SUMIF($FV$7:$FV$110,$DK7,GF$7:GF$110)*$EC7*$GG$5+SUMIF($GJ$7:$GJ$110,$DK7,GT$7:GT$110)*$ED7*$GU$5</f>
        <v>606.62860000000001</v>
      </c>
      <c r="DU7" s="67">
        <f t="shared" ref="DU7:DU70" si="39">SUMIF($EF$7:$EF$110,$DK7,EQ$7:EQ$110)*$DZ7*$EQ$5+SUMIF($ET$7:$ET$110,$DK7,FE$7:FE$110)*$EA7*$FE$5+SUMIF($FH$7:$FH$110,$DK7,FS$7:FS$110)*$EB7*$FS$5+SUMIF($FV$7:$FV$110,$DK7,GG$7:GG$110)*$EC7*$GG$5+SUMIF($GJ$7:$GJ$110,$DK7,GU$7:GU$110)*$ED7*$GU$5</f>
        <v>601.70039999999995</v>
      </c>
      <c r="DV7" s="67">
        <f t="shared" ref="DV7:DV70" si="40">SUMIF($EF$7:$EF$110,$DK7,ER$7:ER$110)*$DZ7*$EQ$5+SUMIF($ET$7:$ET$110,$DK7,FF$7:FF$110)*$EA7*$FE$5+SUMIF($FH$7:$FH$110,$DK7,FT$7:FT$110)*$EB7*$FS$5+SUMIF($FV$7:$FV$110,$DK7,GH$7:GH$110)*$EC7*$GG$5+SUMIF($GJ$7:$GJ$110,$DK7,GV$7:GV$110)*$ED7*$GU$5</f>
        <v>23.413599999999999</v>
      </c>
      <c r="DW7" s="68">
        <f t="shared" ref="DW7:DW70" si="41">SUMIF($EF$7:$EF$110,$DK7,ES$7:ES$110)*$DZ7*$EQ$5+SUMIF($ET$7:$ET$110,$DK7,FG$7:FG$110)*$EA7*$FE$5+SUMIF($FH$7:$FH$110,$DK7,FU$7:FU$110)*$EB7*$FS$5+SUMIF($FV$7:$FV$110,$DK7,GI$7:GI$110)*$EC7*$GG$5+SUMIF($GJ$7:$GJ$110,$DK7,GW$7:GW$110)*$ED7*$GU$5</f>
        <v>27.28041</v>
      </c>
      <c r="DX7" s="2"/>
      <c r="DY7" s="81" t="s">
        <v>443</v>
      </c>
      <c r="DZ7" s="82"/>
      <c r="EA7" s="82"/>
      <c r="EB7" s="82">
        <v>1</v>
      </c>
      <c r="EC7" s="83"/>
      <c r="ED7" s="84"/>
      <c r="EE7" s="2"/>
      <c r="EF7" s="38" t="s">
        <v>443</v>
      </c>
      <c r="EG7" s="93" t="s">
        <v>443</v>
      </c>
      <c r="EH7" s="94">
        <v>203840.1</v>
      </c>
      <c r="EI7" s="94">
        <v>110616</v>
      </c>
      <c r="EJ7" s="94">
        <v>5835.8010000000004</v>
      </c>
      <c r="EK7" s="94">
        <v>3262.2249999999999</v>
      </c>
      <c r="EL7" s="94">
        <v>10266.58</v>
      </c>
      <c r="EM7" s="94">
        <v>5551.2060000000001</v>
      </c>
      <c r="EN7" s="94">
        <v>2781.239</v>
      </c>
      <c r="EO7" s="94">
        <v>2664.473</v>
      </c>
      <c r="EP7" s="94">
        <v>11009.96</v>
      </c>
      <c r="EQ7" s="94">
        <v>10010.09</v>
      </c>
      <c r="ER7" s="94">
        <v>534.50459999999998</v>
      </c>
      <c r="ES7" s="95">
        <v>11988.09</v>
      </c>
      <c r="ET7" s="38" t="s">
        <v>443</v>
      </c>
      <c r="EU7" s="93" t="s">
        <v>443</v>
      </c>
      <c r="EV7" s="94">
        <v>116761.2</v>
      </c>
      <c r="EW7" s="94">
        <v>56703.02</v>
      </c>
      <c r="EX7" s="94">
        <v>1276.127</v>
      </c>
      <c r="EY7" s="94">
        <v>1920.307</v>
      </c>
      <c r="EZ7" s="94">
        <v>820.74599999999998</v>
      </c>
      <c r="FA7" s="94">
        <v>1620.492</v>
      </c>
      <c r="FB7" s="94">
        <v>1031.184</v>
      </c>
      <c r="FC7" s="94">
        <v>2424.4380000000001</v>
      </c>
      <c r="FD7" s="94"/>
      <c r="FE7" s="94"/>
      <c r="FF7" s="94"/>
      <c r="FG7" s="95"/>
      <c r="FH7" s="38" t="s">
        <v>443</v>
      </c>
      <c r="FI7" s="93" t="s">
        <v>443</v>
      </c>
      <c r="FJ7" s="94">
        <v>10925.36</v>
      </c>
      <c r="FK7" s="94">
        <v>8040.616</v>
      </c>
      <c r="FL7" s="94">
        <v>669.45169999999996</v>
      </c>
      <c r="FM7" s="94">
        <v>271.19420000000002</v>
      </c>
      <c r="FN7" s="94">
        <v>266.23939999999999</v>
      </c>
      <c r="FO7" s="94">
        <v>382.88499999999999</v>
      </c>
      <c r="FP7" s="94">
        <v>70.751779999999997</v>
      </c>
      <c r="FQ7" s="94">
        <v>127.6502</v>
      </c>
      <c r="FR7" s="94">
        <v>606.62860000000001</v>
      </c>
      <c r="FS7" s="94">
        <v>601.70039999999995</v>
      </c>
      <c r="FT7" s="94">
        <v>23.413599999999999</v>
      </c>
      <c r="FU7" s="95">
        <v>27.28041</v>
      </c>
      <c r="FV7" s="38" t="s">
        <v>443</v>
      </c>
      <c r="FW7" s="93" t="s">
        <v>443</v>
      </c>
      <c r="FX7" s="94"/>
      <c r="FY7" s="94"/>
      <c r="FZ7" s="94"/>
      <c r="GA7" s="94"/>
      <c r="GB7" s="94"/>
      <c r="GC7" s="94"/>
      <c r="GD7" s="94"/>
      <c r="GE7" s="94"/>
      <c r="GF7" s="94"/>
      <c r="GG7" s="94"/>
      <c r="GH7" s="94"/>
      <c r="GI7" s="95"/>
      <c r="GJ7" s="38" t="s">
        <v>443</v>
      </c>
      <c r="GK7" s="93" t="s">
        <v>443</v>
      </c>
      <c r="GL7" s="94">
        <v>239409.9</v>
      </c>
      <c r="GM7" s="94">
        <v>182258.8</v>
      </c>
      <c r="GN7" s="94">
        <v>8501.9969999999994</v>
      </c>
      <c r="GO7" s="94">
        <v>11772.6</v>
      </c>
      <c r="GP7" s="94">
        <v>11413.77</v>
      </c>
      <c r="GQ7" s="94">
        <v>7730.9009999999998</v>
      </c>
      <c r="GR7" s="94">
        <v>2652.0239999999999</v>
      </c>
      <c r="GS7" s="94">
        <v>1477.278</v>
      </c>
      <c r="GT7" s="94">
        <v>2303.3980000000001</v>
      </c>
      <c r="GU7" s="94">
        <v>1577.8140000000001</v>
      </c>
      <c r="GV7" s="94">
        <v>1268.048</v>
      </c>
      <c r="GW7" s="95">
        <v>11178.09</v>
      </c>
      <c r="GX7" s="38"/>
    </row>
    <row r="8" spans="1:206" x14ac:dyDescent="0.35">
      <c r="A8" s="2"/>
      <c r="B8" s="2"/>
      <c r="C8" s="42" t="s">
        <v>440</v>
      </c>
      <c r="D8" s="43">
        <f t="shared" ref="D8:D71" si="42">IF(SUM($S8:$AD8),S8/SUM($S8:$AD8),0)</f>
        <v>0.49922868720186503</v>
      </c>
      <c r="E8" s="43">
        <f t="shared" si="0"/>
        <v>0.36654277560541793</v>
      </c>
      <c r="F8" s="43">
        <f t="shared" si="1"/>
        <v>4.0011895903244499E-2</v>
      </c>
      <c r="G8" s="43">
        <f t="shared" si="2"/>
        <v>1.0694736814784491E-2</v>
      </c>
      <c r="H8" s="43">
        <f t="shared" si="3"/>
        <v>1.0577163403797187E-2</v>
      </c>
      <c r="I8" s="43">
        <f t="shared" si="4"/>
        <v>1.8931048468383511E-2</v>
      </c>
      <c r="J8" s="43">
        <f t="shared" si="5"/>
        <v>4.6722105728394239E-3</v>
      </c>
      <c r="K8" s="43">
        <f t="shared" si="6"/>
        <v>5.6459805407055065E-3</v>
      </c>
      <c r="L8" s="43">
        <f t="shared" si="7"/>
        <v>1.5439213833556759E-2</v>
      </c>
      <c r="M8" s="43">
        <f t="shared" si="8"/>
        <v>1.6941870571300598E-2</v>
      </c>
      <c r="N8" s="43">
        <f t="shared" si="9"/>
        <v>4.6233261056465363E-3</v>
      </c>
      <c r="O8" s="44">
        <f t="shared" si="10"/>
        <v>6.6910909784584872E-3</v>
      </c>
      <c r="P8" s="115">
        <f t="shared" ref="P8:P71" si="43">SUM(D8:O8)</f>
        <v>1</v>
      </c>
      <c r="Q8" s="2"/>
      <c r="R8" s="42" t="s">
        <v>440</v>
      </c>
      <c r="S8" s="43">
        <f t="shared" ref="S8:S71" si="44">IF(SUM($AR8:$AU8),$AK8*AR8/SUM($AR8:$AU8),0)</f>
        <v>0.49922868720186514</v>
      </c>
      <c r="T8" s="43">
        <f t="shared" ref="T8:T71" si="45">IF(SUM($AR8:$AU8),$AK8*AS8/SUM($AR8:$AU8),0)</f>
        <v>0.36654277560541798</v>
      </c>
      <c r="U8" s="43">
        <f t="shared" ref="U8:U71" si="46">IF(SUM($AR8:$AU8),$AK8*AT8/SUM($AR8:$AU8),0)</f>
        <v>4.0011895903244506E-2</v>
      </c>
      <c r="V8" s="43">
        <f t="shared" ref="V8:V71" si="47">IF(SUM($AR8:$AU8),$AK8*AU8/SUM($AR8:$AU8),0)</f>
        <v>1.0694736814784493E-2</v>
      </c>
      <c r="W8" s="29">
        <f t="shared" ref="W8:W71" si="48">IF(SUM($AV8:$AY8),$AL8*AV8/SUM($AV8:$AY8),0)</f>
        <v>1.0577163403797189E-2</v>
      </c>
      <c r="X8" s="43">
        <f t="shared" ref="X8:X71" si="49">IF(SUM($AV8:$AY8),$AL8*AW8/SUM($AV8:$AY8),0)</f>
        <v>1.8931048468383515E-2</v>
      </c>
      <c r="Y8" s="43">
        <f t="shared" ref="Y8:Y71" si="50">IF(SUM($AV8:$AY8),$AL8*AX8/SUM($AV8:$AY8),0)</f>
        <v>4.6722105728394248E-3</v>
      </c>
      <c r="Z8" s="43">
        <f t="shared" ref="Z8:Z71" si="51">IF(SUM($AV8:$AY8),$AL8*AY8/SUM($AV8:$AY8),0)</f>
        <v>5.6459805407055074E-3</v>
      </c>
      <c r="AA8" s="29">
        <f t="shared" ref="AA8:AA71" si="52">IF(SUM($AZ8:$BC8),(1-$AL8-$AK8)*AZ8/SUM($AZ8:$BC8),0)</f>
        <v>1.5439213833556762E-2</v>
      </c>
      <c r="AB8" s="43">
        <f t="shared" ref="AB8:AB71" si="53">IF(SUM($AZ8:$BC8),(1-$AL8-$AK8)*BA8/SUM($AZ8:$BC8),0)</f>
        <v>1.6941870571300602E-2</v>
      </c>
      <c r="AC8" s="43">
        <f t="shared" ref="AC8:AC71" si="54">IF(SUM($AZ8:$BC8),(1-$AL8-$AK8)*BB8/SUM($AZ8:$BC8),0)</f>
        <v>4.6233261056465372E-3</v>
      </c>
      <c r="AD8" s="43">
        <f t="shared" ref="AD8:AD71" si="55">IF(SUM($AZ8:$BC8),(1-$AL8-$AK8)*BC8/SUM($AZ8:$BC8),0)</f>
        <v>6.6910909784584889E-3</v>
      </c>
      <c r="AE8" s="32">
        <f t="shared" ref="AE8:AE71" si="56">S8+W8+AA8</f>
        <v>0.52524506443921903</v>
      </c>
      <c r="AF8" s="53">
        <f t="shared" ref="AF8:AF71" si="57">T8+X8+AB8</f>
        <v>0.40241569464510207</v>
      </c>
      <c r="AG8" s="53">
        <f t="shared" ref="AG8:AG71" si="58">U8+Y8+AC8</f>
        <v>4.9307432581730468E-2</v>
      </c>
      <c r="AH8" s="53">
        <f t="shared" ref="AH8:AH71" si="59">V8+Z8+AD8</f>
        <v>2.3031808333948488E-2</v>
      </c>
      <c r="AI8" s="34">
        <f t="shared" ref="AI8:AI71" si="60">IF(SUM($DL8:$DW8),SUM(DL8:DO8)/SUM($DL8:$DW8),0)</f>
        <v>0.91647809552531201</v>
      </c>
      <c r="AJ8" s="35">
        <f t="shared" ref="AJ8:AJ71" si="61">IF(SUM($DL8:$DW8),SUM(DP8:DS8)/SUM($DL8:$DW8),0)</f>
        <v>3.9826402985725637E-2</v>
      </c>
      <c r="AK8" s="34">
        <f t="shared" ref="AK8:AK69" si="62">AI8</f>
        <v>0.91647809552531201</v>
      </c>
      <c r="AL8" s="35">
        <f t="shared" ref="AL8:AL69" si="63">AJ8</f>
        <v>3.9826402985725637E-2</v>
      </c>
      <c r="AM8" s="35">
        <f t="shared" ref="AM8:AM71" si="64">1-SUM(AK8:AL8)</f>
        <v>4.3695501488962396E-2</v>
      </c>
      <c r="AN8" s="36">
        <v>1</v>
      </c>
      <c r="AO8" s="54">
        <v>1</v>
      </c>
      <c r="AP8" s="2"/>
      <c r="AQ8" s="42" t="s">
        <v>440</v>
      </c>
      <c r="AR8" s="43">
        <f t="shared" ref="AR8:AR71" si="65">IF(SUM($BT8:$CE8),BT8/SUM($BT8:$CE8),0)</f>
        <v>0.49922990869744044</v>
      </c>
      <c r="AS8" s="43">
        <f t="shared" si="17"/>
        <v>0.36654367244966995</v>
      </c>
      <c r="AT8" s="43">
        <f t="shared" si="17"/>
        <v>4.0011993802974745E-2</v>
      </c>
      <c r="AU8" s="43">
        <f t="shared" si="17"/>
        <v>1.0694762982298565E-2</v>
      </c>
      <c r="AV8" s="29">
        <f t="shared" si="17"/>
        <v>1.1165036689672066E-2</v>
      </c>
      <c r="AW8" s="43">
        <f t="shared" si="17"/>
        <v>1.9983226376892507E-2</v>
      </c>
      <c r="AX8" s="43">
        <f t="shared" si="17"/>
        <v>4.9318896263717176E-3</v>
      </c>
      <c r="AY8" s="43">
        <f t="shared" si="17"/>
        <v>5.9597812267437513E-3</v>
      </c>
      <c r="AZ8" s="29">
        <f t="shared" si="17"/>
        <v>1.4656300324086272E-2</v>
      </c>
      <c r="BA8" s="43">
        <f t="shared" si="17"/>
        <v>1.6082758216943365E-2</v>
      </c>
      <c r="BB8" s="43">
        <f t="shared" si="17"/>
        <v>4.3888799411060213E-3</v>
      </c>
      <c r="BC8" s="44">
        <f t="shared" si="17"/>
        <v>6.3517896658006247E-3</v>
      </c>
      <c r="BD8" s="2"/>
      <c r="BE8" s="42" t="s">
        <v>440</v>
      </c>
      <c r="BF8" s="62">
        <v>1</v>
      </c>
      <c r="BG8" s="62">
        <v>1</v>
      </c>
      <c r="BH8" s="62">
        <v>1</v>
      </c>
      <c r="BI8" s="62">
        <v>1</v>
      </c>
      <c r="BJ8" s="36">
        <v>1</v>
      </c>
      <c r="BK8" s="62">
        <v>1</v>
      </c>
      <c r="BL8" s="62">
        <v>1</v>
      </c>
      <c r="BM8" s="62">
        <v>1</v>
      </c>
      <c r="BN8" s="36">
        <v>1</v>
      </c>
      <c r="BO8" s="62">
        <v>1</v>
      </c>
      <c r="BP8" s="62">
        <v>1</v>
      </c>
      <c r="BQ8" s="54">
        <v>1</v>
      </c>
      <c r="BR8" s="2"/>
      <c r="BS8" s="42" t="s">
        <v>440</v>
      </c>
      <c r="BT8" s="67">
        <f t="shared" ref="BT8:BT71" si="66">BF8*CI8</f>
        <v>42948.130099999995</v>
      </c>
      <c r="BU8" s="67">
        <f t="shared" si="18"/>
        <v>31533.297699999999</v>
      </c>
      <c r="BV8" s="67">
        <f t="shared" si="19"/>
        <v>3442.1822199999997</v>
      </c>
      <c r="BW8" s="67">
        <f t="shared" si="20"/>
        <v>920.05720000000008</v>
      </c>
      <c r="BX8" s="30">
        <f t="shared" si="21"/>
        <v>960.51426399999991</v>
      </c>
      <c r="BY8" s="67">
        <f t="shared" si="22"/>
        <v>1719.13219</v>
      </c>
      <c r="BZ8" s="67">
        <f t="shared" si="23"/>
        <v>424.28435000000002</v>
      </c>
      <c r="CA8" s="67">
        <f t="shared" si="24"/>
        <v>512.71258999999998</v>
      </c>
      <c r="CB8" s="30">
        <f t="shared" si="25"/>
        <v>1260.8633460000001</v>
      </c>
      <c r="CC8" s="67">
        <f t="shared" si="26"/>
        <v>1383.5797500000001</v>
      </c>
      <c r="CD8" s="67">
        <f t="shared" si="27"/>
        <v>377.56989999999996</v>
      </c>
      <c r="CE8" s="68">
        <f t="shared" si="28"/>
        <v>546.43659000000002</v>
      </c>
      <c r="CF8" s="2"/>
      <c r="CG8" s="37" t="str">
        <f t="shared" ref="CG8:CG71" si="67">DJ8</f>
        <v>asorg</v>
      </c>
      <c r="CH8" s="42" t="s">
        <v>440</v>
      </c>
      <c r="CI8" s="67">
        <f t="shared" ref="CI8:CI71" si="68">SUMIF($CV$7:$CV$110,$CG8,CW$7:CW$110)</f>
        <v>42948.130099999995</v>
      </c>
      <c r="CJ8" s="67">
        <f t="shared" si="29"/>
        <v>31533.297699999999</v>
      </c>
      <c r="CK8" s="67">
        <f t="shared" si="29"/>
        <v>3442.1822199999997</v>
      </c>
      <c r="CL8" s="67">
        <f t="shared" si="29"/>
        <v>920.05720000000008</v>
      </c>
      <c r="CM8" s="30">
        <f t="shared" si="29"/>
        <v>960.51426399999991</v>
      </c>
      <c r="CN8" s="67">
        <f t="shared" si="29"/>
        <v>1719.13219</v>
      </c>
      <c r="CO8" s="67">
        <f t="shared" si="29"/>
        <v>424.28435000000002</v>
      </c>
      <c r="CP8" s="67">
        <f t="shared" si="29"/>
        <v>512.71258999999998</v>
      </c>
      <c r="CQ8" s="30">
        <f t="shared" si="29"/>
        <v>1260.8633460000001</v>
      </c>
      <c r="CR8" s="67">
        <f t="shared" si="29"/>
        <v>1383.5797500000001</v>
      </c>
      <c r="CS8" s="67">
        <f t="shared" si="29"/>
        <v>377.56989999999996</v>
      </c>
      <c r="CT8" s="68">
        <f t="shared" si="29"/>
        <v>546.43659000000002</v>
      </c>
      <c r="CU8" s="2"/>
      <c r="CV8" s="42" t="s">
        <v>440</v>
      </c>
      <c r="CW8" s="67">
        <f t="shared" ref="CW8:CW71" si="69">SUMIF($DJ$7:$DJ$110,$CV8,DL$7:DL$110)</f>
        <v>0</v>
      </c>
      <c r="CX8" s="67">
        <f t="shared" si="30"/>
        <v>0</v>
      </c>
      <c r="CY8" s="67">
        <f t="shared" si="30"/>
        <v>0</v>
      </c>
      <c r="CZ8" s="67">
        <f t="shared" si="30"/>
        <v>0</v>
      </c>
      <c r="DA8" s="30">
        <f t="shared" si="30"/>
        <v>0</v>
      </c>
      <c r="DB8" s="67">
        <f t="shared" si="30"/>
        <v>0</v>
      </c>
      <c r="DC8" s="67">
        <f t="shared" si="30"/>
        <v>0</v>
      </c>
      <c r="DD8" s="67">
        <f t="shared" si="30"/>
        <v>0</v>
      </c>
      <c r="DE8" s="30">
        <f t="shared" si="30"/>
        <v>0</v>
      </c>
      <c r="DF8" s="67">
        <f t="shared" si="30"/>
        <v>0</v>
      </c>
      <c r="DG8" s="67">
        <f t="shared" si="30"/>
        <v>0</v>
      </c>
      <c r="DH8" s="68">
        <f t="shared" si="30"/>
        <v>0</v>
      </c>
      <c r="DI8" s="2"/>
      <c r="DJ8" s="37" t="s">
        <v>443</v>
      </c>
      <c r="DK8" s="76" t="s">
        <v>440</v>
      </c>
      <c r="DL8" s="67">
        <f t="shared" ref="DL8:DL71" si="70">SUMIF($EF$7:$EF$110,$DK8,EH$7:EH$110)*$DZ8*$EQ$5+SUMIF($ET$7:$ET$110,$DK8,EV$7:EV$110)*$EA8*$FE$5+SUMIF($FH$7:$FH$110,$DK8,FJ$7:FJ$110)*$EB8*$FS$5+SUMIF($FV$7:$FV$110,$DK8,FX$7:FX$110)*$EC8*$GG$5+SUMIF($GJ$7:$GJ$110,$DK8,GL$7:GL$110)*$ED8*$GU$5</f>
        <v>23848.1</v>
      </c>
      <c r="DM8" s="67">
        <f t="shared" si="31"/>
        <v>18047.669999999998</v>
      </c>
      <c r="DN8" s="67">
        <f t="shared" si="32"/>
        <v>2034.078</v>
      </c>
      <c r="DO8" s="67">
        <f t="shared" si="33"/>
        <v>572.47519999999997</v>
      </c>
      <c r="DP8" s="30">
        <f t="shared" si="34"/>
        <v>665.49109999999996</v>
      </c>
      <c r="DQ8" s="67">
        <f t="shared" si="35"/>
        <v>992.32420000000002</v>
      </c>
      <c r="DR8" s="67">
        <f t="shared" si="36"/>
        <v>121.9954</v>
      </c>
      <c r="DS8" s="67">
        <f t="shared" si="37"/>
        <v>154.0789</v>
      </c>
      <c r="DT8" s="30">
        <f t="shared" si="38"/>
        <v>624.44989999999996</v>
      </c>
      <c r="DU8" s="67">
        <f t="shared" si="39"/>
        <v>638.29470000000003</v>
      </c>
      <c r="DV8" s="67">
        <f t="shared" si="40"/>
        <v>354.15629999999999</v>
      </c>
      <c r="DW8" s="68">
        <f t="shared" si="41"/>
        <v>504.86430000000001</v>
      </c>
      <c r="DX8" s="2"/>
      <c r="DY8" s="81" t="s">
        <v>440</v>
      </c>
      <c r="DZ8" s="82"/>
      <c r="EA8" s="82"/>
      <c r="EB8" s="82">
        <v>1</v>
      </c>
      <c r="EC8" s="83"/>
      <c r="ED8" s="84"/>
      <c r="EE8" s="2"/>
      <c r="EF8" s="38" t="s">
        <v>440</v>
      </c>
      <c r="EG8" s="93" t="s">
        <v>440</v>
      </c>
      <c r="EH8" s="94"/>
      <c r="EI8" s="94"/>
      <c r="EJ8" s="94"/>
      <c r="EK8" s="94"/>
      <c r="EL8" s="94"/>
      <c r="EM8" s="94"/>
      <c r="EN8" s="94"/>
      <c r="EO8" s="94"/>
      <c r="EP8" s="94"/>
      <c r="EQ8" s="94"/>
      <c r="ER8" s="94"/>
      <c r="ES8" s="95"/>
      <c r="ET8" s="38" t="s">
        <v>440</v>
      </c>
      <c r="EU8" s="93" t="s">
        <v>440</v>
      </c>
      <c r="EV8" s="94"/>
      <c r="EW8" s="94"/>
      <c r="EX8" s="94"/>
      <c r="EY8" s="94"/>
      <c r="EZ8" s="94"/>
      <c r="FA8" s="94"/>
      <c r="FB8" s="94"/>
      <c r="FC8" s="94"/>
      <c r="FD8" s="94"/>
      <c r="FE8" s="94"/>
      <c r="FF8" s="94"/>
      <c r="FG8" s="95"/>
      <c r="FH8" s="38" t="s">
        <v>440</v>
      </c>
      <c r="FI8" s="93" t="s">
        <v>440</v>
      </c>
      <c r="FJ8" s="94">
        <v>23848.1</v>
      </c>
      <c r="FK8" s="94">
        <v>18047.669999999998</v>
      </c>
      <c r="FL8" s="94">
        <v>2034.078</v>
      </c>
      <c r="FM8" s="94">
        <v>572.47519999999997</v>
      </c>
      <c r="FN8" s="94">
        <v>665.49109999999996</v>
      </c>
      <c r="FO8" s="94">
        <v>992.32420000000002</v>
      </c>
      <c r="FP8" s="94">
        <v>121.9954</v>
      </c>
      <c r="FQ8" s="94">
        <v>154.0789</v>
      </c>
      <c r="FR8" s="94">
        <v>624.44989999999996</v>
      </c>
      <c r="FS8" s="94">
        <v>638.29470000000003</v>
      </c>
      <c r="FT8" s="94">
        <v>354.15629999999999</v>
      </c>
      <c r="FU8" s="95">
        <v>504.86430000000001</v>
      </c>
      <c r="FV8" s="38" t="s">
        <v>440</v>
      </c>
      <c r="FW8" s="93" t="s">
        <v>440</v>
      </c>
      <c r="FX8" s="94"/>
      <c r="FY8" s="94"/>
      <c r="FZ8" s="94"/>
      <c r="GA8" s="94"/>
      <c r="GB8" s="94"/>
      <c r="GC8" s="94"/>
      <c r="GD8" s="94"/>
      <c r="GE8" s="94"/>
      <c r="GF8" s="94"/>
      <c r="GG8" s="94"/>
      <c r="GH8" s="94"/>
      <c r="GI8" s="95"/>
      <c r="GJ8" s="38" t="s">
        <v>440</v>
      </c>
      <c r="GK8" s="93" t="s">
        <v>440</v>
      </c>
      <c r="GL8" s="94"/>
      <c r="GM8" s="94"/>
      <c r="GN8" s="94"/>
      <c r="GO8" s="94"/>
      <c r="GP8" s="94"/>
      <c r="GQ8" s="94"/>
      <c r="GR8" s="94"/>
      <c r="GS8" s="94"/>
      <c r="GT8" s="94"/>
      <c r="GU8" s="94"/>
      <c r="GV8" s="94"/>
      <c r="GW8" s="95"/>
      <c r="GX8" s="38"/>
    </row>
    <row r="9" spans="1:206" x14ac:dyDescent="0.35">
      <c r="A9" s="2"/>
      <c r="B9" s="2"/>
      <c r="C9" s="42" t="s">
        <v>450</v>
      </c>
      <c r="D9" s="43">
        <f t="shared" si="42"/>
        <v>0.52564510770089756</v>
      </c>
      <c r="E9" s="43">
        <f t="shared" si="0"/>
        <v>0.38593819165321397</v>
      </c>
      <c r="F9" s="43">
        <f t="shared" si="1"/>
        <v>4.2129104097084195E-2</v>
      </c>
      <c r="G9" s="43">
        <f t="shared" si="2"/>
        <v>1.1260643125996918E-2</v>
      </c>
      <c r="H9" s="43">
        <f t="shared" si="3"/>
        <v>6.8004440198491554E-3</v>
      </c>
      <c r="I9" s="43">
        <f t="shared" si="4"/>
        <v>1.2171461329610909E-2</v>
      </c>
      <c r="J9" s="43">
        <f t="shared" si="5"/>
        <v>3.0039345367525818E-3</v>
      </c>
      <c r="K9" s="43">
        <f t="shared" si="6"/>
        <v>3.6300067549719095E-3</v>
      </c>
      <c r="L9" s="43">
        <f t="shared" si="7"/>
        <v>3.3288205237097402E-3</v>
      </c>
      <c r="M9" s="43">
        <f t="shared" si="8"/>
        <v>3.6528055816678427E-3</v>
      </c>
      <c r="N9" s="43">
        <f t="shared" si="9"/>
        <v>9.968268458610853E-4</v>
      </c>
      <c r="O9" s="44">
        <f t="shared" si="10"/>
        <v>1.4426538303842205E-3</v>
      </c>
      <c r="P9" s="115">
        <f t="shared" si="43"/>
        <v>1</v>
      </c>
      <c r="Q9" s="2"/>
      <c r="R9" s="42" t="s">
        <v>450</v>
      </c>
      <c r="S9" s="43">
        <f t="shared" si="44"/>
        <v>0.52564510770089756</v>
      </c>
      <c r="T9" s="43">
        <f t="shared" si="45"/>
        <v>0.38593819165321397</v>
      </c>
      <c r="U9" s="43">
        <f t="shared" si="46"/>
        <v>4.2129104097084195E-2</v>
      </c>
      <c r="V9" s="43">
        <f t="shared" si="47"/>
        <v>1.1260643125996918E-2</v>
      </c>
      <c r="W9" s="29">
        <f t="shared" si="48"/>
        <v>6.8004440198491554E-3</v>
      </c>
      <c r="X9" s="43">
        <f t="shared" si="49"/>
        <v>1.2171461329610909E-2</v>
      </c>
      <c r="Y9" s="43">
        <f t="shared" si="50"/>
        <v>3.0039345367525818E-3</v>
      </c>
      <c r="Z9" s="43">
        <f t="shared" si="51"/>
        <v>3.6300067549719095E-3</v>
      </c>
      <c r="AA9" s="29">
        <f t="shared" si="52"/>
        <v>3.3288205237097402E-3</v>
      </c>
      <c r="AB9" s="43">
        <f t="shared" si="53"/>
        <v>3.6528055816678427E-3</v>
      </c>
      <c r="AC9" s="43">
        <f t="shared" si="54"/>
        <v>9.968268458610853E-4</v>
      </c>
      <c r="AD9" s="43">
        <f t="shared" si="55"/>
        <v>1.4426538303842205E-3</v>
      </c>
      <c r="AE9" s="32">
        <f t="shared" si="56"/>
        <v>0.53577437224445645</v>
      </c>
      <c r="AF9" s="53">
        <f t="shared" si="57"/>
        <v>0.40176245856449272</v>
      </c>
      <c r="AG9" s="53">
        <f t="shared" si="58"/>
        <v>4.6129865479697857E-2</v>
      </c>
      <c r="AH9" s="53">
        <f t="shared" si="59"/>
        <v>1.633330371135305E-2</v>
      </c>
      <c r="AI9" s="34">
        <f t="shared" si="60"/>
        <v>0.96497304657719252</v>
      </c>
      <c r="AJ9" s="35">
        <f t="shared" si="61"/>
        <v>2.5605846641184558E-2</v>
      </c>
      <c r="AK9" s="34">
        <f t="shared" si="62"/>
        <v>0.96497304657719252</v>
      </c>
      <c r="AL9" s="35">
        <f t="shared" si="63"/>
        <v>2.5605846641184558E-2</v>
      </c>
      <c r="AM9" s="35">
        <f t="shared" si="64"/>
        <v>9.4211067816228899E-3</v>
      </c>
      <c r="AN9" s="36">
        <v>1</v>
      </c>
      <c r="AO9" s="54">
        <v>1</v>
      </c>
      <c r="AP9" s="2"/>
      <c r="AQ9" s="42" t="s">
        <v>450</v>
      </c>
      <c r="AR9" s="43">
        <f t="shared" si="65"/>
        <v>0.49922990869744044</v>
      </c>
      <c r="AS9" s="43">
        <f t="shared" si="17"/>
        <v>0.36654367244966995</v>
      </c>
      <c r="AT9" s="43">
        <f t="shared" si="17"/>
        <v>4.0011993802974745E-2</v>
      </c>
      <c r="AU9" s="43">
        <f t="shared" si="17"/>
        <v>1.0694762982298565E-2</v>
      </c>
      <c r="AV9" s="29">
        <f t="shared" si="17"/>
        <v>1.1165036689672066E-2</v>
      </c>
      <c r="AW9" s="43">
        <f t="shared" si="17"/>
        <v>1.9983226376892507E-2</v>
      </c>
      <c r="AX9" s="43">
        <f t="shared" si="17"/>
        <v>4.9318896263717176E-3</v>
      </c>
      <c r="AY9" s="43">
        <f t="shared" si="17"/>
        <v>5.9597812267437513E-3</v>
      </c>
      <c r="AZ9" s="29">
        <f t="shared" si="17"/>
        <v>1.4656300324086272E-2</v>
      </c>
      <c r="BA9" s="43">
        <f t="shared" si="17"/>
        <v>1.6082758216943365E-2</v>
      </c>
      <c r="BB9" s="43">
        <f t="shared" si="17"/>
        <v>4.3888799411060213E-3</v>
      </c>
      <c r="BC9" s="44">
        <f t="shared" si="17"/>
        <v>6.3517896658006247E-3</v>
      </c>
      <c r="BD9" s="2"/>
      <c r="BE9" s="42" t="s">
        <v>450</v>
      </c>
      <c r="BF9" s="62">
        <v>1</v>
      </c>
      <c r="BG9" s="62">
        <v>1</v>
      </c>
      <c r="BH9" s="62">
        <v>1</v>
      </c>
      <c r="BI9" s="62">
        <v>1</v>
      </c>
      <c r="BJ9" s="36">
        <v>1</v>
      </c>
      <c r="BK9" s="62">
        <v>1</v>
      </c>
      <c r="BL9" s="62">
        <v>1</v>
      </c>
      <c r="BM9" s="62">
        <v>1</v>
      </c>
      <c r="BN9" s="36">
        <v>1</v>
      </c>
      <c r="BO9" s="62">
        <v>1</v>
      </c>
      <c r="BP9" s="62">
        <v>1</v>
      </c>
      <c r="BQ9" s="54">
        <v>1</v>
      </c>
      <c r="BR9" s="2"/>
      <c r="BS9" s="42" t="s">
        <v>450</v>
      </c>
      <c r="BT9" s="67">
        <f t="shared" si="66"/>
        <v>42948.130099999995</v>
      </c>
      <c r="BU9" s="67">
        <f t="shared" si="18"/>
        <v>31533.297699999999</v>
      </c>
      <c r="BV9" s="67">
        <f t="shared" si="19"/>
        <v>3442.1822199999997</v>
      </c>
      <c r="BW9" s="67">
        <f t="shared" si="20"/>
        <v>920.05720000000008</v>
      </c>
      <c r="BX9" s="30">
        <f t="shared" si="21"/>
        <v>960.51426399999991</v>
      </c>
      <c r="BY9" s="67">
        <f t="shared" si="22"/>
        <v>1719.13219</v>
      </c>
      <c r="BZ9" s="67">
        <f t="shared" si="23"/>
        <v>424.28435000000002</v>
      </c>
      <c r="CA9" s="67">
        <f t="shared" si="24"/>
        <v>512.71258999999998</v>
      </c>
      <c r="CB9" s="30">
        <f t="shared" si="25"/>
        <v>1260.8633460000001</v>
      </c>
      <c r="CC9" s="67">
        <f t="shared" si="26"/>
        <v>1383.5797500000001</v>
      </c>
      <c r="CD9" s="67">
        <f t="shared" si="27"/>
        <v>377.56989999999996</v>
      </c>
      <c r="CE9" s="68">
        <f t="shared" si="28"/>
        <v>546.43659000000002</v>
      </c>
      <c r="CF9" s="2"/>
      <c r="CG9" s="37" t="str">
        <f t="shared" si="67"/>
        <v>asorg</v>
      </c>
      <c r="CH9" s="42" t="s">
        <v>450</v>
      </c>
      <c r="CI9" s="67">
        <f t="shared" si="68"/>
        <v>42948.130099999995</v>
      </c>
      <c r="CJ9" s="67">
        <f t="shared" si="29"/>
        <v>31533.297699999999</v>
      </c>
      <c r="CK9" s="67">
        <f t="shared" si="29"/>
        <v>3442.1822199999997</v>
      </c>
      <c r="CL9" s="67">
        <f t="shared" si="29"/>
        <v>920.05720000000008</v>
      </c>
      <c r="CM9" s="30">
        <f t="shared" si="29"/>
        <v>960.51426399999991</v>
      </c>
      <c r="CN9" s="67">
        <f t="shared" si="29"/>
        <v>1719.13219</v>
      </c>
      <c r="CO9" s="67">
        <f t="shared" si="29"/>
        <v>424.28435000000002</v>
      </c>
      <c r="CP9" s="67">
        <f t="shared" si="29"/>
        <v>512.71258999999998</v>
      </c>
      <c r="CQ9" s="30">
        <f t="shared" si="29"/>
        <v>1260.8633460000001</v>
      </c>
      <c r="CR9" s="67">
        <f t="shared" si="29"/>
        <v>1383.5797500000001</v>
      </c>
      <c r="CS9" s="67">
        <f t="shared" si="29"/>
        <v>377.56989999999996</v>
      </c>
      <c r="CT9" s="68">
        <f t="shared" si="29"/>
        <v>546.43659000000002</v>
      </c>
      <c r="CU9" s="2"/>
      <c r="CV9" s="42" t="s">
        <v>450</v>
      </c>
      <c r="CW9" s="67">
        <f t="shared" si="69"/>
        <v>0</v>
      </c>
      <c r="CX9" s="67">
        <f t="shared" si="30"/>
        <v>0</v>
      </c>
      <c r="CY9" s="67">
        <f t="shared" si="30"/>
        <v>0</v>
      </c>
      <c r="CZ9" s="67">
        <f t="shared" si="30"/>
        <v>0</v>
      </c>
      <c r="DA9" s="30">
        <f t="shared" si="30"/>
        <v>0</v>
      </c>
      <c r="DB9" s="67">
        <f t="shared" si="30"/>
        <v>0</v>
      </c>
      <c r="DC9" s="67">
        <f t="shared" si="30"/>
        <v>0</v>
      </c>
      <c r="DD9" s="67">
        <f t="shared" si="30"/>
        <v>0</v>
      </c>
      <c r="DE9" s="30">
        <f t="shared" si="30"/>
        <v>0</v>
      </c>
      <c r="DF9" s="67">
        <f t="shared" si="30"/>
        <v>0</v>
      </c>
      <c r="DG9" s="67">
        <f t="shared" si="30"/>
        <v>0</v>
      </c>
      <c r="DH9" s="68">
        <f t="shared" si="30"/>
        <v>0</v>
      </c>
      <c r="DI9" s="2"/>
      <c r="DJ9" s="37" t="s">
        <v>443</v>
      </c>
      <c r="DK9" s="76" t="s">
        <v>450</v>
      </c>
      <c r="DL9" s="67">
        <f t="shared" si="70"/>
        <v>786.22059999999999</v>
      </c>
      <c r="DM9" s="67">
        <f t="shared" si="31"/>
        <v>845.68780000000004</v>
      </c>
      <c r="DN9" s="67">
        <f t="shared" si="32"/>
        <v>54.153790000000001</v>
      </c>
      <c r="DO9" s="67">
        <f t="shared" si="33"/>
        <v>23.42109</v>
      </c>
      <c r="DP9" s="30">
        <f t="shared" si="34"/>
        <v>4.8495759999999999</v>
      </c>
      <c r="DQ9" s="67">
        <f t="shared" si="35"/>
        <v>3.3127110000000002</v>
      </c>
      <c r="DR9" s="67">
        <f t="shared" si="36"/>
        <v>13.881270000000001</v>
      </c>
      <c r="DS9" s="67">
        <f t="shared" si="37"/>
        <v>23.318090000000002</v>
      </c>
      <c r="DT9" s="30">
        <f t="shared" si="38"/>
        <v>2.3979379999999999</v>
      </c>
      <c r="DU9" s="67">
        <f t="shared" si="39"/>
        <v>0</v>
      </c>
      <c r="DV9" s="67">
        <f t="shared" si="40"/>
        <v>0</v>
      </c>
      <c r="DW9" s="68">
        <f t="shared" si="41"/>
        <v>14.291880000000001</v>
      </c>
      <c r="DX9" s="2"/>
      <c r="DY9" s="81" t="s">
        <v>450</v>
      </c>
      <c r="DZ9" s="82"/>
      <c r="EA9" s="82"/>
      <c r="EB9" s="82">
        <v>1</v>
      </c>
      <c r="EC9" s="83"/>
      <c r="ED9" s="84"/>
      <c r="EE9" s="2"/>
      <c r="EF9" s="38" t="s">
        <v>450</v>
      </c>
      <c r="EG9" s="93" t="s">
        <v>450</v>
      </c>
      <c r="EH9" s="94"/>
      <c r="EI9" s="94"/>
      <c r="EJ9" s="94"/>
      <c r="EK9" s="94"/>
      <c r="EL9" s="94"/>
      <c r="EM9" s="94"/>
      <c r="EN9" s="94"/>
      <c r="EO9" s="94"/>
      <c r="EP9" s="94"/>
      <c r="EQ9" s="94"/>
      <c r="ER9" s="94"/>
      <c r="ES9" s="95"/>
      <c r="ET9" s="38" t="s">
        <v>450</v>
      </c>
      <c r="EU9" s="93" t="s">
        <v>450</v>
      </c>
      <c r="EV9" s="94"/>
      <c r="EW9" s="94"/>
      <c r="EX9" s="94"/>
      <c r="EY9" s="94"/>
      <c r="EZ9" s="94"/>
      <c r="FA9" s="94"/>
      <c r="FB9" s="94"/>
      <c r="FC9" s="94"/>
      <c r="FD9" s="94"/>
      <c r="FE9" s="94"/>
      <c r="FF9" s="94"/>
      <c r="FG9" s="95"/>
      <c r="FH9" s="38" t="s">
        <v>450</v>
      </c>
      <c r="FI9" s="93" t="s">
        <v>450</v>
      </c>
      <c r="FJ9" s="94">
        <v>786.22059999999999</v>
      </c>
      <c r="FK9" s="94">
        <v>845.68780000000004</v>
      </c>
      <c r="FL9" s="94">
        <v>54.153790000000001</v>
      </c>
      <c r="FM9" s="94">
        <v>23.42109</v>
      </c>
      <c r="FN9" s="94">
        <v>4.8495759999999999</v>
      </c>
      <c r="FO9" s="94">
        <v>3.3127110000000002</v>
      </c>
      <c r="FP9" s="94">
        <v>13.881270000000001</v>
      </c>
      <c r="FQ9" s="94">
        <v>23.318090000000002</v>
      </c>
      <c r="FR9" s="94">
        <v>2.3979379999999999</v>
      </c>
      <c r="FS9" s="94"/>
      <c r="FT9" s="94"/>
      <c r="FU9" s="95">
        <v>14.291880000000001</v>
      </c>
      <c r="FV9" s="38" t="s">
        <v>450</v>
      </c>
      <c r="FW9" s="93" t="s">
        <v>450</v>
      </c>
      <c r="FX9" s="94"/>
      <c r="FY9" s="94"/>
      <c r="FZ9" s="94"/>
      <c r="GA9" s="94"/>
      <c r="GB9" s="94"/>
      <c r="GC9" s="94"/>
      <c r="GD9" s="94"/>
      <c r="GE9" s="94"/>
      <c r="GF9" s="94"/>
      <c r="GG9" s="94"/>
      <c r="GH9" s="94"/>
      <c r="GI9" s="95"/>
      <c r="GJ9" s="38" t="s">
        <v>450</v>
      </c>
      <c r="GK9" s="93" t="s">
        <v>450</v>
      </c>
      <c r="GL9" s="94"/>
      <c r="GM9" s="94"/>
      <c r="GN9" s="94"/>
      <c r="GO9" s="94"/>
      <c r="GP9" s="94"/>
      <c r="GQ9" s="94"/>
      <c r="GR9" s="94"/>
      <c r="GS9" s="94"/>
      <c r="GT9" s="94"/>
      <c r="GU9" s="94"/>
      <c r="GV9" s="94"/>
      <c r="GW9" s="95"/>
      <c r="GX9" s="38"/>
    </row>
    <row r="10" spans="1:206" x14ac:dyDescent="0.35">
      <c r="A10" s="2"/>
      <c r="B10" s="2"/>
      <c r="C10" s="42" t="s">
        <v>446</v>
      </c>
      <c r="D10" s="43">
        <f t="shared" si="42"/>
        <v>0.50532882604228602</v>
      </c>
      <c r="E10" s="43">
        <f t="shared" si="0"/>
        <v>0.37102160841183912</v>
      </c>
      <c r="F10" s="43">
        <f t="shared" si="1"/>
        <v>4.0500806349569811E-2</v>
      </c>
      <c r="G10" s="43">
        <f t="shared" si="2"/>
        <v>1.0825417164500787E-2</v>
      </c>
      <c r="H10" s="43">
        <f t="shared" si="3"/>
        <v>1.5833766943004826E-2</v>
      </c>
      <c r="I10" s="43">
        <f t="shared" si="4"/>
        <v>2.8339338061800504E-2</v>
      </c>
      <c r="J10" s="43">
        <f t="shared" si="5"/>
        <v>6.9941902658348159E-3</v>
      </c>
      <c r="K10" s="43">
        <f t="shared" si="6"/>
        <v>8.4519011982151972E-3</v>
      </c>
      <c r="L10" s="43">
        <f t="shared" si="7"/>
        <v>4.4888378262129894E-3</v>
      </c>
      <c r="M10" s="43">
        <f t="shared" si="8"/>
        <v>4.9257242167322964E-3</v>
      </c>
      <c r="N10" s="43">
        <f t="shared" si="9"/>
        <v>1.3441980485325773E-3</v>
      </c>
      <c r="O10" s="44">
        <f t="shared" si="10"/>
        <v>1.9453854714711002E-3</v>
      </c>
      <c r="P10" s="115">
        <f t="shared" si="43"/>
        <v>1</v>
      </c>
      <c r="Q10" s="2"/>
      <c r="R10" s="42" t="s">
        <v>446</v>
      </c>
      <c r="S10" s="43">
        <f t="shared" si="44"/>
        <v>0.50532882604228602</v>
      </c>
      <c r="T10" s="43">
        <f t="shared" si="45"/>
        <v>0.37102160841183912</v>
      </c>
      <c r="U10" s="43">
        <f t="shared" si="46"/>
        <v>4.0500806349569811E-2</v>
      </c>
      <c r="V10" s="43">
        <f t="shared" si="47"/>
        <v>1.0825417164500787E-2</v>
      </c>
      <c r="W10" s="29">
        <f t="shared" si="48"/>
        <v>1.5833766943004826E-2</v>
      </c>
      <c r="X10" s="43">
        <f t="shared" si="49"/>
        <v>2.8339338061800504E-2</v>
      </c>
      <c r="Y10" s="43">
        <f t="shared" si="50"/>
        <v>6.9941902658348159E-3</v>
      </c>
      <c r="Z10" s="43">
        <f t="shared" si="51"/>
        <v>8.4519011982151972E-3</v>
      </c>
      <c r="AA10" s="29">
        <f t="shared" si="52"/>
        <v>4.4888378262129894E-3</v>
      </c>
      <c r="AB10" s="43">
        <f t="shared" si="53"/>
        <v>4.9257242167322964E-3</v>
      </c>
      <c r="AC10" s="43">
        <f t="shared" si="54"/>
        <v>1.3441980485325773E-3</v>
      </c>
      <c r="AD10" s="43">
        <f t="shared" si="55"/>
        <v>1.9453854714711002E-3</v>
      </c>
      <c r="AE10" s="32">
        <f t="shared" si="56"/>
        <v>0.52565143081150389</v>
      </c>
      <c r="AF10" s="53">
        <f t="shared" si="57"/>
        <v>0.40428667069037194</v>
      </c>
      <c r="AG10" s="53">
        <f t="shared" si="58"/>
        <v>4.8839194663937206E-2</v>
      </c>
      <c r="AH10" s="53">
        <f t="shared" si="59"/>
        <v>2.1222703834187083E-2</v>
      </c>
      <c r="AI10" s="34">
        <f t="shared" si="60"/>
        <v>0.92767665796819565</v>
      </c>
      <c r="AJ10" s="35">
        <f t="shared" si="61"/>
        <v>5.961919646885535E-2</v>
      </c>
      <c r="AK10" s="34">
        <f t="shared" si="62"/>
        <v>0.92767665796819565</v>
      </c>
      <c r="AL10" s="35">
        <f t="shared" si="63"/>
        <v>5.961919646885535E-2</v>
      </c>
      <c r="AM10" s="35">
        <f t="shared" si="64"/>
        <v>1.2704145562948965E-2</v>
      </c>
      <c r="AN10" s="36">
        <v>1</v>
      </c>
      <c r="AO10" s="54">
        <v>1</v>
      </c>
      <c r="AP10" s="2"/>
      <c r="AQ10" s="42" t="s">
        <v>446</v>
      </c>
      <c r="AR10" s="43">
        <f t="shared" si="65"/>
        <v>0.49922990869744044</v>
      </c>
      <c r="AS10" s="43">
        <f t="shared" si="17"/>
        <v>0.36654367244966995</v>
      </c>
      <c r="AT10" s="43">
        <f t="shared" si="17"/>
        <v>4.0011993802974745E-2</v>
      </c>
      <c r="AU10" s="43">
        <f t="shared" si="17"/>
        <v>1.0694762982298565E-2</v>
      </c>
      <c r="AV10" s="29">
        <f t="shared" si="17"/>
        <v>1.1165036689672066E-2</v>
      </c>
      <c r="AW10" s="43">
        <f t="shared" si="17"/>
        <v>1.9983226376892507E-2</v>
      </c>
      <c r="AX10" s="43">
        <f t="shared" si="17"/>
        <v>4.9318896263717176E-3</v>
      </c>
      <c r="AY10" s="43">
        <f t="shared" si="17"/>
        <v>5.9597812267437513E-3</v>
      </c>
      <c r="AZ10" s="29">
        <f t="shared" si="17"/>
        <v>1.4656300324086272E-2</v>
      </c>
      <c r="BA10" s="43">
        <f t="shared" si="17"/>
        <v>1.6082758216943365E-2</v>
      </c>
      <c r="BB10" s="43">
        <f t="shared" si="17"/>
        <v>4.3888799411060213E-3</v>
      </c>
      <c r="BC10" s="44">
        <f t="shared" si="17"/>
        <v>6.3517896658006247E-3</v>
      </c>
      <c r="BD10" s="2"/>
      <c r="BE10" s="42" t="s">
        <v>446</v>
      </c>
      <c r="BF10" s="62">
        <v>1</v>
      </c>
      <c r="BG10" s="62">
        <v>1</v>
      </c>
      <c r="BH10" s="62">
        <v>1</v>
      </c>
      <c r="BI10" s="62">
        <v>1</v>
      </c>
      <c r="BJ10" s="36">
        <v>1</v>
      </c>
      <c r="BK10" s="62">
        <v>1</v>
      </c>
      <c r="BL10" s="62">
        <v>1</v>
      </c>
      <c r="BM10" s="62">
        <v>1</v>
      </c>
      <c r="BN10" s="36">
        <v>1</v>
      </c>
      <c r="BO10" s="62">
        <v>1</v>
      </c>
      <c r="BP10" s="62">
        <v>1</v>
      </c>
      <c r="BQ10" s="54">
        <v>1</v>
      </c>
      <c r="BR10" s="2"/>
      <c r="BS10" s="42" t="s">
        <v>446</v>
      </c>
      <c r="BT10" s="67">
        <f t="shared" si="66"/>
        <v>42948.130099999995</v>
      </c>
      <c r="BU10" s="67">
        <f t="shared" si="18"/>
        <v>31533.297699999999</v>
      </c>
      <c r="BV10" s="67">
        <f t="shared" si="19"/>
        <v>3442.1822199999997</v>
      </c>
      <c r="BW10" s="67">
        <f t="shared" si="20"/>
        <v>920.05720000000008</v>
      </c>
      <c r="BX10" s="30">
        <f t="shared" si="21"/>
        <v>960.51426399999991</v>
      </c>
      <c r="BY10" s="67">
        <f t="shared" si="22"/>
        <v>1719.13219</v>
      </c>
      <c r="BZ10" s="67">
        <f t="shared" si="23"/>
        <v>424.28435000000002</v>
      </c>
      <c r="CA10" s="67">
        <f t="shared" si="24"/>
        <v>512.71258999999998</v>
      </c>
      <c r="CB10" s="30">
        <f t="shared" si="25"/>
        <v>1260.8633460000001</v>
      </c>
      <c r="CC10" s="67">
        <f t="shared" si="26"/>
        <v>1383.5797500000001</v>
      </c>
      <c r="CD10" s="67">
        <f t="shared" si="27"/>
        <v>377.56989999999996</v>
      </c>
      <c r="CE10" s="68">
        <f t="shared" si="28"/>
        <v>546.43659000000002</v>
      </c>
      <c r="CF10" s="2"/>
      <c r="CG10" s="37" t="str">
        <f t="shared" si="67"/>
        <v>asorg</v>
      </c>
      <c r="CH10" s="42" t="s">
        <v>446</v>
      </c>
      <c r="CI10" s="67">
        <f t="shared" si="68"/>
        <v>42948.130099999995</v>
      </c>
      <c r="CJ10" s="67">
        <f t="shared" si="29"/>
        <v>31533.297699999999</v>
      </c>
      <c r="CK10" s="67">
        <f t="shared" si="29"/>
        <v>3442.1822199999997</v>
      </c>
      <c r="CL10" s="67">
        <f t="shared" si="29"/>
        <v>920.05720000000008</v>
      </c>
      <c r="CM10" s="30">
        <f t="shared" si="29"/>
        <v>960.51426399999991</v>
      </c>
      <c r="CN10" s="67">
        <f t="shared" si="29"/>
        <v>1719.13219</v>
      </c>
      <c r="CO10" s="67">
        <f t="shared" si="29"/>
        <v>424.28435000000002</v>
      </c>
      <c r="CP10" s="67">
        <f t="shared" si="29"/>
        <v>512.71258999999998</v>
      </c>
      <c r="CQ10" s="30">
        <f t="shared" si="29"/>
        <v>1260.8633460000001</v>
      </c>
      <c r="CR10" s="67">
        <f t="shared" si="29"/>
        <v>1383.5797500000001</v>
      </c>
      <c r="CS10" s="67">
        <f t="shared" si="29"/>
        <v>377.56989999999996</v>
      </c>
      <c r="CT10" s="68">
        <f t="shared" si="29"/>
        <v>546.43659000000002</v>
      </c>
      <c r="CU10" s="2"/>
      <c r="CV10" s="42" t="s">
        <v>446</v>
      </c>
      <c r="CW10" s="67">
        <f t="shared" si="69"/>
        <v>0</v>
      </c>
      <c r="CX10" s="67">
        <f t="shared" si="30"/>
        <v>0</v>
      </c>
      <c r="CY10" s="67">
        <f t="shared" si="30"/>
        <v>0</v>
      </c>
      <c r="CZ10" s="67">
        <f t="shared" si="30"/>
        <v>0</v>
      </c>
      <c r="DA10" s="30">
        <f t="shared" si="30"/>
        <v>0</v>
      </c>
      <c r="DB10" s="67">
        <f t="shared" si="30"/>
        <v>0</v>
      </c>
      <c r="DC10" s="67">
        <f t="shared" si="30"/>
        <v>0</v>
      </c>
      <c r="DD10" s="67">
        <f t="shared" si="30"/>
        <v>0</v>
      </c>
      <c r="DE10" s="30">
        <f t="shared" si="30"/>
        <v>0</v>
      </c>
      <c r="DF10" s="67">
        <f t="shared" si="30"/>
        <v>0</v>
      </c>
      <c r="DG10" s="67">
        <f t="shared" si="30"/>
        <v>0</v>
      </c>
      <c r="DH10" s="68">
        <f t="shared" si="30"/>
        <v>0</v>
      </c>
      <c r="DI10" s="2"/>
      <c r="DJ10" s="37" t="s">
        <v>443</v>
      </c>
      <c r="DK10" s="76" t="s">
        <v>446</v>
      </c>
      <c r="DL10" s="67">
        <f t="shared" si="70"/>
        <v>7153.1319999999996</v>
      </c>
      <c r="DM10" s="67">
        <f t="shared" si="31"/>
        <v>4388.1400000000003</v>
      </c>
      <c r="DN10" s="67">
        <f t="shared" si="32"/>
        <v>644.36059999999998</v>
      </c>
      <c r="DO10" s="67">
        <f t="shared" si="33"/>
        <v>22.01859</v>
      </c>
      <c r="DP10" s="30">
        <f t="shared" si="34"/>
        <v>19.996960000000001</v>
      </c>
      <c r="DQ10" s="67">
        <f t="shared" si="35"/>
        <v>339.23349999999999</v>
      </c>
      <c r="DR10" s="67">
        <f t="shared" si="36"/>
        <v>217.6559</v>
      </c>
      <c r="DS10" s="67">
        <f t="shared" si="37"/>
        <v>207.66540000000001</v>
      </c>
      <c r="DT10" s="30">
        <f t="shared" si="38"/>
        <v>25.0869</v>
      </c>
      <c r="DU10" s="67">
        <f t="shared" si="39"/>
        <v>142.09180000000001</v>
      </c>
      <c r="DV10" s="67">
        <f t="shared" si="40"/>
        <v>0</v>
      </c>
      <c r="DW10" s="68">
        <f t="shared" si="41"/>
        <v>0</v>
      </c>
      <c r="DX10" s="2"/>
      <c r="DY10" s="81" t="s">
        <v>446</v>
      </c>
      <c r="DZ10" s="82"/>
      <c r="EA10" s="82"/>
      <c r="EB10" s="82">
        <v>1</v>
      </c>
      <c r="EC10" s="83"/>
      <c r="ED10" s="84"/>
      <c r="EE10" s="2"/>
      <c r="EF10" s="38" t="s">
        <v>446</v>
      </c>
      <c r="EG10" s="93" t="s">
        <v>446</v>
      </c>
      <c r="EH10" s="94"/>
      <c r="EI10" s="94"/>
      <c r="EJ10" s="94"/>
      <c r="EK10" s="94"/>
      <c r="EL10" s="94"/>
      <c r="EM10" s="94"/>
      <c r="EN10" s="94"/>
      <c r="EO10" s="94"/>
      <c r="EP10" s="94"/>
      <c r="EQ10" s="94"/>
      <c r="ER10" s="94"/>
      <c r="ES10" s="95"/>
      <c r="ET10" s="38" t="s">
        <v>446</v>
      </c>
      <c r="EU10" s="93" t="s">
        <v>446</v>
      </c>
      <c r="EV10" s="94"/>
      <c r="EW10" s="94"/>
      <c r="EX10" s="94"/>
      <c r="EY10" s="94"/>
      <c r="EZ10" s="94"/>
      <c r="FA10" s="94"/>
      <c r="FB10" s="94"/>
      <c r="FC10" s="94"/>
      <c r="FD10" s="94"/>
      <c r="FE10" s="94"/>
      <c r="FF10" s="94"/>
      <c r="FG10" s="95"/>
      <c r="FH10" s="38" t="s">
        <v>446</v>
      </c>
      <c r="FI10" s="93" t="s">
        <v>446</v>
      </c>
      <c r="FJ10" s="94">
        <v>7153.1319999999996</v>
      </c>
      <c r="FK10" s="94">
        <v>4388.1400000000003</v>
      </c>
      <c r="FL10" s="94">
        <v>644.36059999999998</v>
      </c>
      <c r="FM10" s="94">
        <v>22.01859</v>
      </c>
      <c r="FN10" s="94">
        <v>19.996960000000001</v>
      </c>
      <c r="FO10" s="94">
        <v>339.23349999999999</v>
      </c>
      <c r="FP10" s="94">
        <v>217.6559</v>
      </c>
      <c r="FQ10" s="94">
        <v>207.66540000000001</v>
      </c>
      <c r="FR10" s="94">
        <v>25.0869</v>
      </c>
      <c r="FS10" s="94">
        <v>142.09180000000001</v>
      </c>
      <c r="FT10" s="94"/>
      <c r="FU10" s="95"/>
      <c r="FV10" s="38" t="s">
        <v>446</v>
      </c>
      <c r="FW10" s="93" t="s">
        <v>446</v>
      </c>
      <c r="FX10" s="94"/>
      <c r="FY10" s="94"/>
      <c r="FZ10" s="94"/>
      <c r="GA10" s="94"/>
      <c r="GB10" s="94"/>
      <c r="GC10" s="94"/>
      <c r="GD10" s="94"/>
      <c r="GE10" s="94"/>
      <c r="GF10" s="94"/>
      <c r="GG10" s="94"/>
      <c r="GH10" s="94"/>
      <c r="GI10" s="95"/>
      <c r="GJ10" s="38" t="s">
        <v>446</v>
      </c>
      <c r="GK10" s="93" t="s">
        <v>446</v>
      </c>
      <c r="GL10" s="94"/>
      <c r="GM10" s="94"/>
      <c r="GN10" s="94"/>
      <c r="GO10" s="94"/>
      <c r="GP10" s="94"/>
      <c r="GQ10" s="94"/>
      <c r="GR10" s="94"/>
      <c r="GS10" s="94"/>
      <c r="GT10" s="94"/>
      <c r="GU10" s="94"/>
      <c r="GV10" s="94"/>
      <c r="GW10" s="95"/>
      <c r="GX10" s="38"/>
    </row>
    <row r="11" spans="1:206" x14ac:dyDescent="0.35">
      <c r="A11" s="2"/>
      <c r="B11" s="2"/>
      <c r="C11" s="42" t="s">
        <v>454</v>
      </c>
      <c r="D11" s="43">
        <f t="shared" si="42"/>
        <v>0.53530654500312347</v>
      </c>
      <c r="E11" s="43">
        <f t="shared" si="0"/>
        <v>0.39303179451675224</v>
      </c>
      <c r="F11" s="43">
        <f t="shared" si="1"/>
        <v>4.2903443460030444E-2</v>
      </c>
      <c r="G11" s="43">
        <f t="shared" si="2"/>
        <v>1.1467615465224824E-2</v>
      </c>
      <c r="H11" s="43">
        <f t="shared" si="3"/>
        <v>2.6795474767659228E-3</v>
      </c>
      <c r="I11" s="43">
        <f t="shared" si="4"/>
        <v>4.7958645640077411E-3</v>
      </c>
      <c r="J11" s="43">
        <f t="shared" si="5"/>
        <v>1.1836264198089722E-3</v>
      </c>
      <c r="K11" s="43">
        <f t="shared" si="6"/>
        <v>1.4303147577625368E-3</v>
      </c>
      <c r="L11" s="43">
        <f t="shared" si="7"/>
        <v>2.5444635980256254E-3</v>
      </c>
      <c r="M11" s="43">
        <f t="shared" si="8"/>
        <v>2.7921093273183275E-3</v>
      </c>
      <c r="N11" s="43">
        <f t="shared" si="9"/>
        <v>7.6194844533150196E-4</v>
      </c>
      <c r="O11" s="44">
        <f t="shared" si="10"/>
        <v>1.1027269658485683E-3</v>
      </c>
      <c r="P11" s="115">
        <f t="shared" si="43"/>
        <v>1</v>
      </c>
      <c r="Q11" s="2"/>
      <c r="R11" s="42" t="s">
        <v>454</v>
      </c>
      <c r="S11" s="43">
        <f t="shared" si="44"/>
        <v>0.53530654500312347</v>
      </c>
      <c r="T11" s="43">
        <f t="shared" si="45"/>
        <v>0.39303179451675224</v>
      </c>
      <c r="U11" s="43">
        <f t="shared" si="46"/>
        <v>4.2903443460030444E-2</v>
      </c>
      <c r="V11" s="43">
        <f t="shared" si="47"/>
        <v>1.1467615465224824E-2</v>
      </c>
      <c r="W11" s="29">
        <f t="shared" si="48"/>
        <v>2.6795474767659228E-3</v>
      </c>
      <c r="X11" s="43">
        <f t="shared" si="49"/>
        <v>4.7958645640077411E-3</v>
      </c>
      <c r="Y11" s="43">
        <f t="shared" si="50"/>
        <v>1.1836264198089722E-3</v>
      </c>
      <c r="Z11" s="43">
        <f t="shared" si="51"/>
        <v>1.4303147577625368E-3</v>
      </c>
      <c r="AA11" s="29">
        <f t="shared" si="52"/>
        <v>2.5444635980256254E-3</v>
      </c>
      <c r="AB11" s="43">
        <f t="shared" si="53"/>
        <v>2.7921093273183275E-3</v>
      </c>
      <c r="AC11" s="43">
        <f t="shared" si="54"/>
        <v>7.6194844533150196E-4</v>
      </c>
      <c r="AD11" s="43">
        <f t="shared" si="55"/>
        <v>1.1027269658485683E-3</v>
      </c>
      <c r="AE11" s="32">
        <f t="shared" si="56"/>
        <v>0.540530556077915</v>
      </c>
      <c r="AF11" s="53">
        <f t="shared" si="57"/>
        <v>0.40061976840807834</v>
      </c>
      <c r="AG11" s="53">
        <f t="shared" si="58"/>
        <v>4.4849018325170915E-2</v>
      </c>
      <c r="AH11" s="53">
        <f t="shared" si="59"/>
        <v>1.4000657188835929E-2</v>
      </c>
      <c r="AI11" s="34">
        <f t="shared" si="60"/>
        <v>0.98270939844513083</v>
      </c>
      <c r="AJ11" s="35">
        <f t="shared" si="61"/>
        <v>1.0089353218345172E-2</v>
      </c>
      <c r="AK11" s="34">
        <f t="shared" si="62"/>
        <v>0.98270939844513083</v>
      </c>
      <c r="AL11" s="35">
        <f t="shared" si="63"/>
        <v>1.0089353218345172E-2</v>
      </c>
      <c r="AM11" s="35">
        <f t="shared" si="64"/>
        <v>7.2012483365240243E-3</v>
      </c>
      <c r="AN11" s="36">
        <v>1</v>
      </c>
      <c r="AO11" s="54">
        <v>1</v>
      </c>
      <c r="AP11" s="2"/>
      <c r="AQ11" s="42" t="s">
        <v>454</v>
      </c>
      <c r="AR11" s="43">
        <f t="shared" si="65"/>
        <v>0.49922990869744044</v>
      </c>
      <c r="AS11" s="43">
        <f t="shared" si="17"/>
        <v>0.36654367244966995</v>
      </c>
      <c r="AT11" s="43">
        <f t="shared" si="17"/>
        <v>4.0011993802974745E-2</v>
      </c>
      <c r="AU11" s="43">
        <f t="shared" si="17"/>
        <v>1.0694762982298565E-2</v>
      </c>
      <c r="AV11" s="29">
        <f t="shared" si="17"/>
        <v>1.1165036689672066E-2</v>
      </c>
      <c r="AW11" s="43">
        <f t="shared" si="17"/>
        <v>1.9983226376892507E-2</v>
      </c>
      <c r="AX11" s="43">
        <f t="shared" si="17"/>
        <v>4.9318896263717176E-3</v>
      </c>
      <c r="AY11" s="43">
        <f t="shared" si="17"/>
        <v>5.9597812267437513E-3</v>
      </c>
      <c r="AZ11" s="29">
        <f t="shared" si="17"/>
        <v>1.4656300324086272E-2</v>
      </c>
      <c r="BA11" s="43">
        <f t="shared" si="17"/>
        <v>1.6082758216943365E-2</v>
      </c>
      <c r="BB11" s="43">
        <f t="shared" si="17"/>
        <v>4.3888799411060213E-3</v>
      </c>
      <c r="BC11" s="44">
        <f t="shared" si="17"/>
        <v>6.3517896658006247E-3</v>
      </c>
      <c r="BD11" s="2"/>
      <c r="BE11" s="42" t="s">
        <v>454</v>
      </c>
      <c r="BF11" s="62">
        <v>1</v>
      </c>
      <c r="BG11" s="62">
        <v>1</v>
      </c>
      <c r="BH11" s="62">
        <v>1</v>
      </c>
      <c r="BI11" s="62">
        <v>1</v>
      </c>
      <c r="BJ11" s="36">
        <v>1</v>
      </c>
      <c r="BK11" s="62">
        <v>1</v>
      </c>
      <c r="BL11" s="62">
        <v>1</v>
      </c>
      <c r="BM11" s="62">
        <v>1</v>
      </c>
      <c r="BN11" s="36">
        <v>1</v>
      </c>
      <c r="BO11" s="62">
        <v>1</v>
      </c>
      <c r="BP11" s="62">
        <v>1</v>
      </c>
      <c r="BQ11" s="54">
        <v>1</v>
      </c>
      <c r="BR11" s="2"/>
      <c r="BS11" s="42" t="s">
        <v>454</v>
      </c>
      <c r="BT11" s="67">
        <f t="shared" si="66"/>
        <v>42948.130099999995</v>
      </c>
      <c r="BU11" s="67">
        <f t="shared" si="18"/>
        <v>31533.297699999999</v>
      </c>
      <c r="BV11" s="67">
        <f t="shared" si="19"/>
        <v>3442.1822199999997</v>
      </c>
      <c r="BW11" s="67">
        <f t="shared" si="20"/>
        <v>920.05720000000008</v>
      </c>
      <c r="BX11" s="30">
        <f t="shared" si="21"/>
        <v>960.51426399999991</v>
      </c>
      <c r="BY11" s="67">
        <f t="shared" si="22"/>
        <v>1719.13219</v>
      </c>
      <c r="BZ11" s="67">
        <f t="shared" si="23"/>
        <v>424.28435000000002</v>
      </c>
      <c r="CA11" s="67">
        <f t="shared" si="24"/>
        <v>512.71258999999998</v>
      </c>
      <c r="CB11" s="30">
        <f t="shared" si="25"/>
        <v>1260.8633460000001</v>
      </c>
      <c r="CC11" s="67">
        <f t="shared" si="26"/>
        <v>1383.5797500000001</v>
      </c>
      <c r="CD11" s="67">
        <f t="shared" si="27"/>
        <v>377.56989999999996</v>
      </c>
      <c r="CE11" s="68">
        <f t="shared" si="28"/>
        <v>546.43659000000002</v>
      </c>
      <c r="CF11" s="2"/>
      <c r="CG11" s="37" t="str">
        <f t="shared" si="67"/>
        <v>asorg</v>
      </c>
      <c r="CH11" s="42" t="s">
        <v>454</v>
      </c>
      <c r="CI11" s="67">
        <f t="shared" si="68"/>
        <v>42948.130099999995</v>
      </c>
      <c r="CJ11" s="67">
        <f t="shared" si="29"/>
        <v>31533.297699999999</v>
      </c>
      <c r="CK11" s="67">
        <f t="shared" si="29"/>
        <v>3442.1822199999997</v>
      </c>
      <c r="CL11" s="67">
        <f t="shared" si="29"/>
        <v>920.05720000000008</v>
      </c>
      <c r="CM11" s="30">
        <f t="shared" si="29"/>
        <v>960.51426399999991</v>
      </c>
      <c r="CN11" s="67">
        <f t="shared" si="29"/>
        <v>1719.13219</v>
      </c>
      <c r="CO11" s="67">
        <f t="shared" si="29"/>
        <v>424.28435000000002</v>
      </c>
      <c r="CP11" s="67">
        <f t="shared" si="29"/>
        <v>512.71258999999998</v>
      </c>
      <c r="CQ11" s="30">
        <f t="shared" si="29"/>
        <v>1260.8633460000001</v>
      </c>
      <c r="CR11" s="67">
        <f t="shared" si="29"/>
        <v>1383.5797500000001</v>
      </c>
      <c r="CS11" s="67">
        <f t="shared" si="29"/>
        <v>377.56989999999996</v>
      </c>
      <c r="CT11" s="68">
        <f t="shared" si="29"/>
        <v>546.43659000000002</v>
      </c>
      <c r="CU11" s="2"/>
      <c r="CV11" s="42" t="s">
        <v>454</v>
      </c>
      <c r="CW11" s="67">
        <f t="shared" si="69"/>
        <v>0</v>
      </c>
      <c r="CX11" s="67">
        <f t="shared" si="30"/>
        <v>0</v>
      </c>
      <c r="CY11" s="67">
        <f t="shared" si="30"/>
        <v>0</v>
      </c>
      <c r="CZ11" s="67">
        <f t="shared" si="30"/>
        <v>0</v>
      </c>
      <c r="DA11" s="30">
        <f t="shared" si="30"/>
        <v>0</v>
      </c>
      <c r="DB11" s="67">
        <f t="shared" si="30"/>
        <v>0</v>
      </c>
      <c r="DC11" s="67">
        <f t="shared" si="30"/>
        <v>0</v>
      </c>
      <c r="DD11" s="67">
        <f t="shared" si="30"/>
        <v>0</v>
      </c>
      <c r="DE11" s="30">
        <f t="shared" si="30"/>
        <v>0</v>
      </c>
      <c r="DF11" s="67">
        <f t="shared" si="30"/>
        <v>0</v>
      </c>
      <c r="DG11" s="67">
        <f t="shared" si="30"/>
        <v>0</v>
      </c>
      <c r="DH11" s="68">
        <f t="shared" si="30"/>
        <v>0</v>
      </c>
      <c r="DI11" s="2"/>
      <c r="DJ11" s="37" t="s">
        <v>443</v>
      </c>
      <c r="DK11" s="76" t="s">
        <v>454</v>
      </c>
      <c r="DL11" s="67">
        <f t="shared" si="70"/>
        <v>235.3175</v>
      </c>
      <c r="DM11" s="67">
        <f t="shared" si="31"/>
        <v>211.18389999999999</v>
      </c>
      <c r="DN11" s="67">
        <f t="shared" si="32"/>
        <v>40.138129999999997</v>
      </c>
      <c r="DO11" s="67">
        <f t="shared" si="33"/>
        <v>30.948119999999999</v>
      </c>
      <c r="DP11" s="30">
        <f t="shared" si="34"/>
        <v>3.9372280000000002</v>
      </c>
      <c r="DQ11" s="67">
        <f t="shared" si="35"/>
        <v>1.376779</v>
      </c>
      <c r="DR11" s="67">
        <f t="shared" si="36"/>
        <v>0</v>
      </c>
      <c r="DS11" s="67">
        <f t="shared" si="37"/>
        <v>0</v>
      </c>
      <c r="DT11" s="30">
        <f t="shared" si="38"/>
        <v>2.3000080000000001</v>
      </c>
      <c r="DU11" s="67">
        <f t="shared" si="39"/>
        <v>1.49285</v>
      </c>
      <c r="DV11" s="67">
        <f t="shared" si="40"/>
        <v>0</v>
      </c>
      <c r="DW11" s="68">
        <f t="shared" si="41"/>
        <v>0</v>
      </c>
      <c r="DX11" s="2"/>
      <c r="DY11" s="81" t="s">
        <v>454</v>
      </c>
      <c r="DZ11" s="82"/>
      <c r="EA11" s="82"/>
      <c r="EB11" s="82">
        <v>1</v>
      </c>
      <c r="EC11" s="83"/>
      <c r="ED11" s="84"/>
      <c r="EE11" s="2"/>
      <c r="EF11" s="38" t="s">
        <v>454</v>
      </c>
      <c r="EG11" s="93" t="s">
        <v>454</v>
      </c>
      <c r="EH11" s="94"/>
      <c r="EI11" s="94"/>
      <c r="EJ11" s="94"/>
      <c r="EK11" s="94"/>
      <c r="EL11" s="94"/>
      <c r="EM11" s="94"/>
      <c r="EN11" s="94"/>
      <c r="EO11" s="94"/>
      <c r="EP11" s="94"/>
      <c r="EQ11" s="94"/>
      <c r="ER11" s="94"/>
      <c r="ES11" s="95"/>
      <c r="ET11" s="38" t="s">
        <v>454</v>
      </c>
      <c r="EU11" s="93" t="s">
        <v>454</v>
      </c>
      <c r="EV11" s="94"/>
      <c r="EW11" s="94"/>
      <c r="EX11" s="94"/>
      <c r="EY11" s="94"/>
      <c r="EZ11" s="94"/>
      <c r="FA11" s="94"/>
      <c r="FB11" s="94"/>
      <c r="FC11" s="94"/>
      <c r="FD11" s="94"/>
      <c r="FE11" s="94"/>
      <c r="FF11" s="94"/>
      <c r="FG11" s="95"/>
      <c r="FH11" s="38" t="s">
        <v>454</v>
      </c>
      <c r="FI11" s="93" t="s">
        <v>454</v>
      </c>
      <c r="FJ11" s="94">
        <v>235.3175</v>
      </c>
      <c r="FK11" s="94">
        <v>211.18389999999999</v>
      </c>
      <c r="FL11" s="94">
        <v>40.138129999999997</v>
      </c>
      <c r="FM11" s="94">
        <v>30.948119999999999</v>
      </c>
      <c r="FN11" s="94">
        <v>3.9372280000000002</v>
      </c>
      <c r="FO11" s="94">
        <v>1.376779</v>
      </c>
      <c r="FP11" s="94"/>
      <c r="FQ11" s="94"/>
      <c r="FR11" s="94">
        <v>2.3000080000000001</v>
      </c>
      <c r="FS11" s="94">
        <v>1.49285</v>
      </c>
      <c r="FT11" s="94"/>
      <c r="FU11" s="95"/>
      <c r="FV11" s="38" t="s">
        <v>454</v>
      </c>
      <c r="FW11" s="93" t="s">
        <v>454</v>
      </c>
      <c r="FX11" s="94"/>
      <c r="FY11" s="94"/>
      <c r="FZ11" s="94"/>
      <c r="GA11" s="94"/>
      <c r="GB11" s="94"/>
      <c r="GC11" s="94"/>
      <c r="GD11" s="94"/>
      <c r="GE11" s="94"/>
      <c r="GF11" s="94"/>
      <c r="GG11" s="94"/>
      <c r="GH11" s="94"/>
      <c r="GI11" s="95"/>
      <c r="GJ11" s="38" t="s">
        <v>454</v>
      </c>
      <c r="GK11" s="93" t="s">
        <v>454</v>
      </c>
      <c r="GL11" s="94"/>
      <c r="GM11" s="94"/>
      <c r="GN11" s="94"/>
      <c r="GO11" s="94"/>
      <c r="GP11" s="94"/>
      <c r="GQ11" s="94"/>
      <c r="GR11" s="94"/>
      <c r="GS11" s="94"/>
      <c r="GT11" s="94"/>
      <c r="GU11" s="94"/>
      <c r="GV11" s="94"/>
      <c r="GW11" s="95"/>
      <c r="GX11" s="38"/>
    </row>
    <row r="12" spans="1:206" x14ac:dyDescent="0.35">
      <c r="A12" s="2"/>
      <c r="B12" s="2"/>
      <c r="C12" s="42" t="s">
        <v>465</v>
      </c>
      <c r="D12" s="43">
        <f t="shared" si="42"/>
        <v>0.46720128690519175</v>
      </c>
      <c r="E12" s="43">
        <f t="shared" si="0"/>
        <v>0.37726804956028498</v>
      </c>
      <c r="F12" s="43">
        <f t="shared" si="1"/>
        <v>2.6879792002394865E-2</v>
      </c>
      <c r="G12" s="43">
        <f t="shared" si="2"/>
        <v>1.1946000214748152E-2</v>
      </c>
      <c r="H12" s="43">
        <f t="shared" si="3"/>
        <v>2.5108999437826473E-2</v>
      </c>
      <c r="I12" s="43">
        <f t="shared" si="4"/>
        <v>2.6689453633740663E-2</v>
      </c>
      <c r="J12" s="43">
        <f t="shared" si="5"/>
        <v>3.7589337567898104E-2</v>
      </c>
      <c r="K12" s="43">
        <f t="shared" si="6"/>
        <v>7.4107532781317034E-3</v>
      </c>
      <c r="L12" s="43">
        <f t="shared" si="7"/>
        <v>7.185604698583193E-3</v>
      </c>
      <c r="M12" s="43">
        <f t="shared" si="8"/>
        <v>8.0696645288420108E-3</v>
      </c>
      <c r="N12" s="43">
        <f t="shared" si="9"/>
        <v>1.1504668828210577E-3</v>
      </c>
      <c r="O12" s="44">
        <f t="shared" si="10"/>
        <v>3.5005912895371125E-3</v>
      </c>
      <c r="P12" s="115">
        <f t="shared" si="43"/>
        <v>1</v>
      </c>
      <c r="Q12" s="2"/>
      <c r="R12" s="42" t="s">
        <v>465</v>
      </c>
      <c r="S12" s="43">
        <f t="shared" si="44"/>
        <v>0.46720128690519175</v>
      </c>
      <c r="T12" s="43">
        <f t="shared" si="45"/>
        <v>0.37726804956028498</v>
      </c>
      <c r="U12" s="43">
        <f t="shared" si="46"/>
        <v>2.6879792002394865E-2</v>
      </c>
      <c r="V12" s="43">
        <f t="shared" si="47"/>
        <v>1.1946000214748152E-2</v>
      </c>
      <c r="W12" s="29">
        <f t="shared" si="48"/>
        <v>2.5108999437826473E-2</v>
      </c>
      <c r="X12" s="43">
        <f t="shared" si="49"/>
        <v>2.6689453633740663E-2</v>
      </c>
      <c r="Y12" s="43">
        <f t="shared" si="50"/>
        <v>3.7589337567898104E-2</v>
      </c>
      <c r="Z12" s="43">
        <f t="shared" si="51"/>
        <v>7.4107532781317034E-3</v>
      </c>
      <c r="AA12" s="29">
        <f t="shared" si="52"/>
        <v>7.185604698583193E-3</v>
      </c>
      <c r="AB12" s="43">
        <f t="shared" si="53"/>
        <v>8.0696645288420108E-3</v>
      </c>
      <c r="AC12" s="43">
        <f t="shared" si="54"/>
        <v>1.1504668828210577E-3</v>
      </c>
      <c r="AD12" s="43">
        <f t="shared" si="55"/>
        <v>3.5005912895371125E-3</v>
      </c>
      <c r="AE12" s="32">
        <f t="shared" si="56"/>
        <v>0.49949589104160141</v>
      </c>
      <c r="AF12" s="53">
        <f t="shared" si="57"/>
        <v>0.41202716772286763</v>
      </c>
      <c r="AG12" s="53">
        <f t="shared" si="58"/>
        <v>6.5619596453114021E-2</v>
      </c>
      <c r="AH12" s="53">
        <f t="shared" si="59"/>
        <v>2.285734478241697E-2</v>
      </c>
      <c r="AI12" s="34">
        <f t="shared" si="60"/>
        <v>0.88329512868261972</v>
      </c>
      <c r="AJ12" s="35">
        <f t="shared" si="61"/>
        <v>9.6798543917596944E-2</v>
      </c>
      <c r="AK12" s="34">
        <f t="shared" si="62"/>
        <v>0.88329512868261972</v>
      </c>
      <c r="AL12" s="35">
        <f t="shared" si="63"/>
        <v>9.6798543917596944E-2</v>
      </c>
      <c r="AM12" s="35">
        <f t="shared" si="64"/>
        <v>1.9906327399783375E-2</v>
      </c>
      <c r="AN12" s="36">
        <v>1</v>
      </c>
      <c r="AO12" s="54">
        <v>1</v>
      </c>
      <c r="AP12" s="2"/>
      <c r="AQ12" s="42" t="s">
        <v>465</v>
      </c>
      <c r="AR12" s="43">
        <f t="shared" si="65"/>
        <v>0.49024133659803526</v>
      </c>
      <c r="AS12" s="43">
        <f t="shared" si="17"/>
        <v>0.39587303814447744</v>
      </c>
      <c r="AT12" s="43">
        <f t="shared" si="17"/>
        <v>2.8205369993780302E-2</v>
      </c>
      <c r="AU12" s="43">
        <f t="shared" si="17"/>
        <v>1.2535117681443764E-2</v>
      </c>
      <c r="AV12" s="29">
        <f t="shared" si="17"/>
        <v>1.207461993429996E-2</v>
      </c>
      <c r="AW12" s="43">
        <f t="shared" si="17"/>
        <v>1.2834641606469204E-2</v>
      </c>
      <c r="AX12" s="43">
        <f t="shared" si="17"/>
        <v>1.8076266473235545E-2</v>
      </c>
      <c r="AY12" s="43">
        <f t="shared" si="17"/>
        <v>3.5637433296328014E-3</v>
      </c>
      <c r="AZ12" s="29">
        <f t="shared" si="17"/>
        <v>9.6003334803605664E-3</v>
      </c>
      <c r="BA12" s="43">
        <f t="shared" si="17"/>
        <v>1.0781482394487316E-2</v>
      </c>
      <c r="BB12" s="43">
        <f t="shared" si="17"/>
        <v>1.5370822911216931E-3</v>
      </c>
      <c r="BC12" s="44">
        <f t="shared" si="17"/>
        <v>4.6769680726561642E-3</v>
      </c>
      <c r="BD12" s="2"/>
      <c r="BE12" s="42" t="s">
        <v>465</v>
      </c>
      <c r="BF12" s="62">
        <v>1</v>
      </c>
      <c r="BG12" s="62">
        <v>1</v>
      </c>
      <c r="BH12" s="62">
        <v>1</v>
      </c>
      <c r="BI12" s="62">
        <v>1</v>
      </c>
      <c r="BJ12" s="36">
        <v>1</v>
      </c>
      <c r="BK12" s="62">
        <v>1</v>
      </c>
      <c r="BL12" s="62">
        <v>1</v>
      </c>
      <c r="BM12" s="62">
        <v>1</v>
      </c>
      <c r="BN12" s="36">
        <v>1</v>
      </c>
      <c r="BO12" s="62">
        <v>1</v>
      </c>
      <c r="BP12" s="62">
        <v>1</v>
      </c>
      <c r="BQ12" s="54">
        <v>1</v>
      </c>
      <c r="BR12" s="2"/>
      <c r="BS12" s="42" t="s">
        <v>465</v>
      </c>
      <c r="BT12" s="67">
        <f t="shared" si="66"/>
        <v>75514.377000000008</v>
      </c>
      <c r="BU12" s="67">
        <f t="shared" si="18"/>
        <v>60978.345999999998</v>
      </c>
      <c r="BV12" s="67">
        <f t="shared" si="19"/>
        <v>4344.6172000000006</v>
      </c>
      <c r="BW12" s="67">
        <f t="shared" si="20"/>
        <v>1930.8481999999999</v>
      </c>
      <c r="BX12" s="30">
        <f t="shared" si="21"/>
        <v>1859.9153799999999</v>
      </c>
      <c r="BY12" s="67">
        <f t="shared" si="22"/>
        <v>1976.9853999999998</v>
      </c>
      <c r="BZ12" s="67">
        <f t="shared" si="23"/>
        <v>2784.3796499999999</v>
      </c>
      <c r="CA12" s="67">
        <f t="shared" si="24"/>
        <v>548.94158700000003</v>
      </c>
      <c r="CB12" s="30">
        <f t="shared" si="25"/>
        <v>1478.7883999999999</v>
      </c>
      <c r="CC12" s="67">
        <f t="shared" si="26"/>
        <v>1660.7268000000001</v>
      </c>
      <c r="CD12" s="67">
        <f t="shared" si="27"/>
        <v>236.76463600000002</v>
      </c>
      <c r="CE12" s="68">
        <f t="shared" si="28"/>
        <v>720.41728000000001</v>
      </c>
      <c r="CF12" s="2"/>
      <c r="CG12" s="37" t="str">
        <f t="shared" si="67"/>
        <v>aipot</v>
      </c>
      <c r="CH12" s="42" t="s">
        <v>465</v>
      </c>
      <c r="CI12" s="67">
        <f t="shared" si="68"/>
        <v>75514.377000000008</v>
      </c>
      <c r="CJ12" s="67">
        <f t="shared" si="29"/>
        <v>60978.345999999998</v>
      </c>
      <c r="CK12" s="67">
        <f t="shared" si="29"/>
        <v>4344.6172000000006</v>
      </c>
      <c r="CL12" s="67">
        <f t="shared" si="29"/>
        <v>1930.8481999999999</v>
      </c>
      <c r="CM12" s="30">
        <f t="shared" si="29"/>
        <v>1859.9153799999999</v>
      </c>
      <c r="CN12" s="67">
        <f t="shared" si="29"/>
        <v>1976.9853999999998</v>
      </c>
      <c r="CO12" s="67">
        <f t="shared" si="29"/>
        <v>2784.3796499999999</v>
      </c>
      <c r="CP12" s="67">
        <f t="shared" si="29"/>
        <v>548.94158700000003</v>
      </c>
      <c r="CQ12" s="30">
        <f t="shared" si="29"/>
        <v>1478.7883999999999</v>
      </c>
      <c r="CR12" s="67">
        <f t="shared" si="29"/>
        <v>1660.7268000000001</v>
      </c>
      <c r="CS12" s="67">
        <f t="shared" si="29"/>
        <v>236.76463600000002</v>
      </c>
      <c r="CT12" s="68">
        <f t="shared" si="29"/>
        <v>720.41728000000001</v>
      </c>
      <c r="CU12" s="2"/>
      <c r="CV12" s="42" t="s">
        <v>465</v>
      </c>
      <c r="CW12" s="67">
        <f t="shared" si="69"/>
        <v>75514.377000000008</v>
      </c>
      <c r="CX12" s="67">
        <f t="shared" si="30"/>
        <v>60978.345999999998</v>
      </c>
      <c r="CY12" s="67">
        <f t="shared" si="30"/>
        <v>4344.6172000000006</v>
      </c>
      <c r="CZ12" s="67">
        <f t="shared" si="30"/>
        <v>1930.8481999999999</v>
      </c>
      <c r="DA12" s="30">
        <f t="shared" si="30"/>
        <v>1859.9153799999999</v>
      </c>
      <c r="DB12" s="67">
        <f t="shared" si="30"/>
        <v>1976.9853999999998</v>
      </c>
      <c r="DC12" s="67">
        <f t="shared" si="30"/>
        <v>2784.3796499999999</v>
      </c>
      <c r="DD12" s="67">
        <f t="shared" si="30"/>
        <v>548.94158700000003</v>
      </c>
      <c r="DE12" s="30">
        <f t="shared" si="30"/>
        <v>1478.7883999999999</v>
      </c>
      <c r="DF12" s="67">
        <f t="shared" si="30"/>
        <v>1660.7268000000001</v>
      </c>
      <c r="DG12" s="67">
        <f t="shared" si="30"/>
        <v>236.76463600000002</v>
      </c>
      <c r="DH12" s="68">
        <f t="shared" si="30"/>
        <v>720.41728000000001</v>
      </c>
      <c r="DI12" s="2"/>
      <c r="DJ12" s="37" t="s">
        <v>465</v>
      </c>
      <c r="DK12" s="76" t="s">
        <v>465</v>
      </c>
      <c r="DL12" s="67">
        <f t="shared" si="70"/>
        <v>19162.939999999999</v>
      </c>
      <c r="DM12" s="67">
        <f t="shared" si="31"/>
        <v>18293.23</v>
      </c>
      <c r="DN12" s="67">
        <f t="shared" si="32"/>
        <v>2099.748</v>
      </c>
      <c r="DO12" s="67">
        <f t="shared" si="33"/>
        <v>991.95240000000001</v>
      </c>
      <c r="DP12" s="30">
        <f t="shared" si="34"/>
        <v>686.35940000000005</v>
      </c>
      <c r="DQ12" s="67">
        <f t="shared" si="35"/>
        <v>690.55250000000001</v>
      </c>
      <c r="DR12" s="67">
        <f t="shared" si="36"/>
        <v>2621.6280000000002</v>
      </c>
      <c r="DS12" s="67">
        <f t="shared" si="37"/>
        <v>445.02</v>
      </c>
      <c r="DT12" s="30">
        <f t="shared" si="38"/>
        <v>147.10149999999999</v>
      </c>
      <c r="DU12" s="67">
        <f t="shared" si="39"/>
        <v>145.16999999999999</v>
      </c>
      <c r="DV12" s="67">
        <f t="shared" si="40"/>
        <v>1.9162360000000001</v>
      </c>
      <c r="DW12" s="68">
        <f t="shared" si="41"/>
        <v>619.61689999999999</v>
      </c>
      <c r="DX12" s="2"/>
      <c r="DY12" s="81" t="s">
        <v>465</v>
      </c>
      <c r="DZ12" s="82"/>
      <c r="EA12" s="82"/>
      <c r="EB12" s="82">
        <v>1</v>
      </c>
      <c r="EC12" s="83"/>
      <c r="ED12" s="84"/>
      <c r="EE12" s="2"/>
      <c r="EF12" s="38" t="s">
        <v>465</v>
      </c>
      <c r="EG12" s="93" t="s">
        <v>465</v>
      </c>
      <c r="EH12" s="94"/>
      <c r="EI12" s="94"/>
      <c r="EJ12" s="94"/>
      <c r="EK12" s="94"/>
      <c r="EL12" s="94"/>
      <c r="EM12" s="94"/>
      <c r="EN12" s="94"/>
      <c r="EO12" s="94"/>
      <c r="EP12" s="94"/>
      <c r="EQ12" s="94"/>
      <c r="ER12" s="94"/>
      <c r="ES12" s="95"/>
      <c r="ET12" s="38" t="s">
        <v>465</v>
      </c>
      <c r="EU12" s="93" t="s">
        <v>465</v>
      </c>
      <c r="EV12" s="94"/>
      <c r="EW12" s="94"/>
      <c r="EX12" s="94"/>
      <c r="EY12" s="94"/>
      <c r="EZ12" s="94"/>
      <c r="FA12" s="94"/>
      <c r="FB12" s="94"/>
      <c r="FC12" s="94"/>
      <c r="FD12" s="94"/>
      <c r="FE12" s="94"/>
      <c r="FF12" s="94"/>
      <c r="FG12" s="95"/>
      <c r="FH12" s="38" t="s">
        <v>465</v>
      </c>
      <c r="FI12" s="93" t="s">
        <v>465</v>
      </c>
      <c r="FJ12" s="94">
        <v>19162.939999999999</v>
      </c>
      <c r="FK12" s="94">
        <v>18293.23</v>
      </c>
      <c r="FL12" s="94">
        <v>2099.748</v>
      </c>
      <c r="FM12" s="94">
        <v>991.95240000000001</v>
      </c>
      <c r="FN12" s="94">
        <v>686.35940000000005</v>
      </c>
      <c r="FO12" s="94">
        <v>690.55250000000001</v>
      </c>
      <c r="FP12" s="94">
        <v>2621.6280000000002</v>
      </c>
      <c r="FQ12" s="94">
        <v>445.02</v>
      </c>
      <c r="FR12" s="94">
        <v>147.10149999999999</v>
      </c>
      <c r="FS12" s="94">
        <v>145.16999999999999</v>
      </c>
      <c r="FT12" s="94">
        <v>1.9162360000000001</v>
      </c>
      <c r="FU12" s="95">
        <v>619.61689999999999</v>
      </c>
      <c r="FV12" s="38" t="s">
        <v>465</v>
      </c>
      <c r="FW12" s="93" t="s">
        <v>465</v>
      </c>
      <c r="FX12" s="94"/>
      <c r="FY12" s="94"/>
      <c r="FZ12" s="94"/>
      <c r="GA12" s="94"/>
      <c r="GB12" s="94"/>
      <c r="GC12" s="94"/>
      <c r="GD12" s="94"/>
      <c r="GE12" s="94"/>
      <c r="GF12" s="94"/>
      <c r="GG12" s="94"/>
      <c r="GH12" s="94"/>
      <c r="GI12" s="95"/>
      <c r="GJ12" s="38" t="s">
        <v>465</v>
      </c>
      <c r="GK12" s="93" t="s">
        <v>465</v>
      </c>
      <c r="GL12" s="94"/>
      <c r="GM12" s="94"/>
      <c r="GN12" s="94"/>
      <c r="GO12" s="94"/>
      <c r="GP12" s="94"/>
      <c r="GQ12" s="94"/>
      <c r="GR12" s="94"/>
      <c r="GS12" s="94"/>
      <c r="GT12" s="94"/>
      <c r="GU12" s="94"/>
      <c r="GV12" s="94"/>
      <c r="GW12" s="95"/>
      <c r="GX12" s="38"/>
    </row>
    <row r="13" spans="1:206" x14ac:dyDescent="0.35">
      <c r="A13" s="2"/>
      <c r="B13" s="2"/>
      <c r="C13" s="42" t="s">
        <v>467</v>
      </c>
      <c r="D13" s="43">
        <f t="shared" si="42"/>
        <v>0.50527702074014524</v>
      </c>
      <c r="E13" s="43">
        <f t="shared" si="0"/>
        <v>0.40801444997078823</v>
      </c>
      <c r="F13" s="43">
        <f t="shared" si="1"/>
        <v>2.9070427675942968E-2</v>
      </c>
      <c r="G13" s="43">
        <f t="shared" si="2"/>
        <v>1.2919569289401299E-2</v>
      </c>
      <c r="H13" s="43">
        <f t="shared" si="3"/>
        <v>5.590998029182578E-3</v>
      </c>
      <c r="I13" s="43">
        <f t="shared" si="4"/>
        <v>5.9429163251086877E-3</v>
      </c>
      <c r="J13" s="43">
        <f t="shared" si="5"/>
        <v>8.3699835503516697E-3</v>
      </c>
      <c r="K13" s="43">
        <f t="shared" si="6"/>
        <v>1.6501456808499305E-3</v>
      </c>
      <c r="L13" s="43">
        <f t="shared" si="7"/>
        <v>8.3617060934860939E-3</v>
      </c>
      <c r="M13" s="43">
        <f t="shared" si="8"/>
        <v>9.3904641145248786E-3</v>
      </c>
      <c r="N13" s="43">
        <f t="shared" si="9"/>
        <v>1.3387691569417351E-3</v>
      </c>
      <c r="O13" s="44">
        <f t="shared" si="10"/>
        <v>4.0735493732765807E-3</v>
      </c>
      <c r="P13" s="115">
        <f t="shared" si="43"/>
        <v>0.99999999999999989</v>
      </c>
      <c r="Q13" s="2"/>
      <c r="R13" s="42" t="s">
        <v>467</v>
      </c>
      <c r="S13" s="43">
        <f t="shared" si="44"/>
        <v>0.50527702074014536</v>
      </c>
      <c r="T13" s="43">
        <f t="shared" si="45"/>
        <v>0.40801444997078834</v>
      </c>
      <c r="U13" s="43">
        <f t="shared" si="46"/>
        <v>2.9070427675942975E-2</v>
      </c>
      <c r="V13" s="43">
        <f t="shared" si="47"/>
        <v>1.2919569289401302E-2</v>
      </c>
      <c r="W13" s="29">
        <f t="shared" si="48"/>
        <v>5.5909980291825789E-3</v>
      </c>
      <c r="X13" s="43">
        <f t="shared" si="49"/>
        <v>5.9429163251086894E-3</v>
      </c>
      <c r="Y13" s="43">
        <f t="shared" si="50"/>
        <v>8.3699835503516715E-3</v>
      </c>
      <c r="Z13" s="43">
        <f t="shared" si="51"/>
        <v>1.6501456808499309E-3</v>
      </c>
      <c r="AA13" s="29">
        <f t="shared" si="52"/>
        <v>8.3617060934860956E-3</v>
      </c>
      <c r="AB13" s="43">
        <f t="shared" si="53"/>
        <v>9.3904641145248803E-3</v>
      </c>
      <c r="AC13" s="43">
        <f t="shared" si="54"/>
        <v>1.3387691569417353E-3</v>
      </c>
      <c r="AD13" s="43">
        <f t="shared" si="55"/>
        <v>4.0735493732765816E-3</v>
      </c>
      <c r="AE13" s="32">
        <f t="shared" si="56"/>
        <v>0.51922972486281405</v>
      </c>
      <c r="AF13" s="53">
        <f t="shared" si="57"/>
        <v>0.4233478304104219</v>
      </c>
      <c r="AG13" s="53">
        <f t="shared" si="58"/>
        <v>3.8779180383236377E-2</v>
      </c>
      <c r="AH13" s="53">
        <f t="shared" si="59"/>
        <v>1.8643264343527814E-2</v>
      </c>
      <c r="AI13" s="34">
        <f t="shared" si="60"/>
        <v>0.95528146767627786</v>
      </c>
      <c r="AJ13" s="35">
        <f t="shared" si="61"/>
        <v>2.1554043585492871E-2</v>
      </c>
      <c r="AK13" s="34">
        <f t="shared" si="62"/>
        <v>0.95528146767627786</v>
      </c>
      <c r="AL13" s="35">
        <f t="shared" si="63"/>
        <v>2.1554043585492871E-2</v>
      </c>
      <c r="AM13" s="35">
        <f t="shared" si="64"/>
        <v>2.3164488738229294E-2</v>
      </c>
      <c r="AN13" s="36">
        <v>1</v>
      </c>
      <c r="AO13" s="54">
        <v>1</v>
      </c>
      <c r="AP13" s="2"/>
      <c r="AQ13" s="42" t="s">
        <v>467</v>
      </c>
      <c r="AR13" s="43">
        <f t="shared" si="65"/>
        <v>0.49024133659803526</v>
      </c>
      <c r="AS13" s="43">
        <f t="shared" si="17"/>
        <v>0.39587303814447744</v>
      </c>
      <c r="AT13" s="43">
        <f t="shared" si="17"/>
        <v>2.8205369993780302E-2</v>
      </c>
      <c r="AU13" s="43">
        <f t="shared" si="17"/>
        <v>1.2535117681443764E-2</v>
      </c>
      <c r="AV13" s="29">
        <f t="shared" si="17"/>
        <v>1.207461993429996E-2</v>
      </c>
      <c r="AW13" s="43">
        <f t="shared" si="17"/>
        <v>1.2834641606469204E-2</v>
      </c>
      <c r="AX13" s="43">
        <f t="shared" si="17"/>
        <v>1.8076266473235545E-2</v>
      </c>
      <c r="AY13" s="43">
        <f t="shared" si="17"/>
        <v>3.5637433296328014E-3</v>
      </c>
      <c r="AZ13" s="29">
        <f t="shared" si="17"/>
        <v>9.6003334803605664E-3</v>
      </c>
      <c r="BA13" s="43">
        <f t="shared" si="17"/>
        <v>1.0781482394487316E-2</v>
      </c>
      <c r="BB13" s="43">
        <f t="shared" si="17"/>
        <v>1.5370822911216931E-3</v>
      </c>
      <c r="BC13" s="44">
        <f t="shared" si="17"/>
        <v>4.6769680726561642E-3</v>
      </c>
      <c r="BD13" s="2"/>
      <c r="BE13" s="42" t="s">
        <v>467</v>
      </c>
      <c r="BF13" s="62">
        <v>1</v>
      </c>
      <c r="BG13" s="62">
        <v>1</v>
      </c>
      <c r="BH13" s="62">
        <v>1</v>
      </c>
      <c r="BI13" s="62">
        <v>1</v>
      </c>
      <c r="BJ13" s="36">
        <v>1</v>
      </c>
      <c r="BK13" s="62">
        <v>1</v>
      </c>
      <c r="BL13" s="62">
        <v>1</v>
      </c>
      <c r="BM13" s="62">
        <v>1</v>
      </c>
      <c r="BN13" s="36">
        <v>1</v>
      </c>
      <c r="BO13" s="62">
        <v>1</v>
      </c>
      <c r="BP13" s="62">
        <v>1</v>
      </c>
      <c r="BQ13" s="54">
        <v>1</v>
      </c>
      <c r="BR13" s="2"/>
      <c r="BS13" s="42" t="s">
        <v>467</v>
      </c>
      <c r="BT13" s="67">
        <f t="shared" si="66"/>
        <v>75514.377000000008</v>
      </c>
      <c r="BU13" s="67">
        <f t="shared" si="18"/>
        <v>60978.345999999998</v>
      </c>
      <c r="BV13" s="67">
        <f t="shared" si="19"/>
        <v>4344.6172000000006</v>
      </c>
      <c r="BW13" s="67">
        <f t="shared" si="20"/>
        <v>1930.8481999999999</v>
      </c>
      <c r="BX13" s="30">
        <f t="shared" si="21"/>
        <v>1859.9153799999999</v>
      </c>
      <c r="BY13" s="67">
        <f t="shared" si="22"/>
        <v>1976.9853999999998</v>
      </c>
      <c r="BZ13" s="67">
        <f t="shared" si="23"/>
        <v>2784.3796499999999</v>
      </c>
      <c r="CA13" s="67">
        <f t="shared" si="24"/>
        <v>548.94158700000003</v>
      </c>
      <c r="CB13" s="30">
        <f t="shared" si="25"/>
        <v>1478.7883999999999</v>
      </c>
      <c r="CC13" s="67">
        <f t="shared" si="26"/>
        <v>1660.7268000000001</v>
      </c>
      <c r="CD13" s="67">
        <f t="shared" si="27"/>
        <v>236.76463600000002</v>
      </c>
      <c r="CE13" s="68">
        <f t="shared" si="28"/>
        <v>720.41728000000001</v>
      </c>
      <c r="CF13" s="2"/>
      <c r="CG13" s="37" t="str">
        <f t="shared" si="67"/>
        <v>aipot</v>
      </c>
      <c r="CH13" s="42" t="s">
        <v>467</v>
      </c>
      <c r="CI13" s="67">
        <f t="shared" si="68"/>
        <v>75514.377000000008</v>
      </c>
      <c r="CJ13" s="67">
        <f t="shared" si="29"/>
        <v>60978.345999999998</v>
      </c>
      <c r="CK13" s="67">
        <f t="shared" si="29"/>
        <v>4344.6172000000006</v>
      </c>
      <c r="CL13" s="67">
        <f t="shared" si="29"/>
        <v>1930.8481999999999</v>
      </c>
      <c r="CM13" s="30">
        <f t="shared" si="29"/>
        <v>1859.9153799999999</v>
      </c>
      <c r="CN13" s="67">
        <f t="shared" si="29"/>
        <v>1976.9853999999998</v>
      </c>
      <c r="CO13" s="67">
        <f t="shared" si="29"/>
        <v>2784.3796499999999</v>
      </c>
      <c r="CP13" s="67">
        <f t="shared" si="29"/>
        <v>548.94158700000003</v>
      </c>
      <c r="CQ13" s="30">
        <f t="shared" si="29"/>
        <v>1478.7883999999999</v>
      </c>
      <c r="CR13" s="67">
        <f t="shared" si="29"/>
        <v>1660.7268000000001</v>
      </c>
      <c r="CS13" s="67">
        <f t="shared" si="29"/>
        <v>236.76463600000002</v>
      </c>
      <c r="CT13" s="68">
        <f t="shared" si="29"/>
        <v>720.41728000000001</v>
      </c>
      <c r="CU13" s="2"/>
      <c r="CV13" s="42" t="s">
        <v>467</v>
      </c>
      <c r="CW13" s="67">
        <f t="shared" si="69"/>
        <v>0</v>
      </c>
      <c r="CX13" s="67">
        <f t="shared" si="30"/>
        <v>0</v>
      </c>
      <c r="CY13" s="67">
        <f t="shared" si="30"/>
        <v>0</v>
      </c>
      <c r="CZ13" s="67">
        <f t="shared" si="30"/>
        <v>0</v>
      </c>
      <c r="DA13" s="30">
        <f t="shared" si="30"/>
        <v>0</v>
      </c>
      <c r="DB13" s="67">
        <f t="shared" si="30"/>
        <v>0</v>
      </c>
      <c r="DC13" s="67">
        <f t="shared" si="30"/>
        <v>0</v>
      </c>
      <c r="DD13" s="67">
        <f t="shared" si="30"/>
        <v>0</v>
      </c>
      <c r="DE13" s="30">
        <f t="shared" si="30"/>
        <v>0</v>
      </c>
      <c r="DF13" s="67">
        <f t="shared" si="30"/>
        <v>0</v>
      </c>
      <c r="DG13" s="67">
        <f t="shared" si="30"/>
        <v>0</v>
      </c>
      <c r="DH13" s="68">
        <f t="shared" si="30"/>
        <v>0</v>
      </c>
      <c r="DI13" s="2"/>
      <c r="DJ13" s="37" t="s">
        <v>465</v>
      </c>
      <c r="DK13" s="76" t="s">
        <v>467</v>
      </c>
      <c r="DL13" s="67">
        <f t="shared" si="70"/>
        <v>34484.47</v>
      </c>
      <c r="DM13" s="67">
        <f t="shared" si="31"/>
        <v>25627.56</v>
      </c>
      <c r="DN13" s="67">
        <f t="shared" si="32"/>
        <v>1289.606</v>
      </c>
      <c r="DO13" s="67">
        <f t="shared" si="33"/>
        <v>501.90460000000002</v>
      </c>
      <c r="DP13" s="30">
        <f t="shared" si="34"/>
        <v>649.97569999999996</v>
      </c>
      <c r="DQ13" s="67">
        <f t="shared" si="35"/>
        <v>673.14369999999997</v>
      </c>
      <c r="DR13" s="67">
        <f t="shared" si="36"/>
        <v>38.146639999999998</v>
      </c>
      <c r="DS13" s="67">
        <f t="shared" si="37"/>
        <v>35.465350000000001</v>
      </c>
      <c r="DT13" s="30">
        <f t="shared" si="38"/>
        <v>658.38469999999995</v>
      </c>
      <c r="DU13" s="67">
        <f t="shared" si="39"/>
        <v>639.13220000000001</v>
      </c>
      <c r="DV13" s="67">
        <f t="shared" si="40"/>
        <v>138.1174</v>
      </c>
      <c r="DW13" s="68">
        <f t="shared" si="41"/>
        <v>65.456130000000002</v>
      </c>
      <c r="DX13" s="2"/>
      <c r="DY13" s="81" t="s">
        <v>467</v>
      </c>
      <c r="DZ13" s="82"/>
      <c r="EA13" s="82"/>
      <c r="EB13" s="82">
        <v>1</v>
      </c>
      <c r="EC13" s="83"/>
      <c r="ED13" s="84"/>
      <c r="EE13" s="2"/>
      <c r="EF13" s="38" t="s">
        <v>467</v>
      </c>
      <c r="EG13" s="93" t="s">
        <v>467</v>
      </c>
      <c r="EH13" s="94"/>
      <c r="EI13" s="94"/>
      <c r="EJ13" s="94"/>
      <c r="EK13" s="94"/>
      <c r="EL13" s="94"/>
      <c r="EM13" s="94"/>
      <c r="EN13" s="94"/>
      <c r="EO13" s="94"/>
      <c r="EP13" s="94"/>
      <c r="EQ13" s="94"/>
      <c r="ER13" s="94"/>
      <c r="ES13" s="95"/>
      <c r="ET13" s="38" t="s">
        <v>467</v>
      </c>
      <c r="EU13" s="93" t="s">
        <v>467</v>
      </c>
      <c r="EV13" s="94"/>
      <c r="EW13" s="94"/>
      <c r="EX13" s="94"/>
      <c r="EY13" s="94"/>
      <c r="EZ13" s="94"/>
      <c r="FA13" s="94"/>
      <c r="FB13" s="94"/>
      <c r="FC13" s="94"/>
      <c r="FD13" s="94"/>
      <c r="FE13" s="94"/>
      <c r="FF13" s="94"/>
      <c r="FG13" s="95"/>
      <c r="FH13" s="38" t="s">
        <v>467</v>
      </c>
      <c r="FI13" s="93" t="s">
        <v>467</v>
      </c>
      <c r="FJ13" s="94">
        <v>34484.47</v>
      </c>
      <c r="FK13" s="94">
        <v>25627.56</v>
      </c>
      <c r="FL13" s="94">
        <v>1289.606</v>
      </c>
      <c r="FM13" s="94">
        <v>501.90460000000002</v>
      </c>
      <c r="FN13" s="94">
        <v>649.97569999999996</v>
      </c>
      <c r="FO13" s="94">
        <v>673.14369999999997</v>
      </c>
      <c r="FP13" s="94">
        <v>38.146639999999998</v>
      </c>
      <c r="FQ13" s="94">
        <v>35.465350000000001</v>
      </c>
      <c r="FR13" s="94">
        <v>658.38469999999995</v>
      </c>
      <c r="FS13" s="94">
        <v>639.13220000000001</v>
      </c>
      <c r="FT13" s="94">
        <v>138.1174</v>
      </c>
      <c r="FU13" s="95">
        <v>65.456130000000002</v>
      </c>
      <c r="FV13" s="38" t="s">
        <v>467</v>
      </c>
      <c r="FW13" s="93" t="s">
        <v>467</v>
      </c>
      <c r="FX13" s="94"/>
      <c r="FY13" s="94"/>
      <c r="FZ13" s="94"/>
      <c r="GA13" s="94"/>
      <c r="GB13" s="94"/>
      <c r="GC13" s="94"/>
      <c r="GD13" s="94"/>
      <c r="GE13" s="94"/>
      <c r="GF13" s="94"/>
      <c r="GG13" s="94"/>
      <c r="GH13" s="94"/>
      <c r="GI13" s="95"/>
      <c r="GJ13" s="38" t="s">
        <v>467</v>
      </c>
      <c r="GK13" s="93" t="s">
        <v>467</v>
      </c>
      <c r="GL13" s="94"/>
      <c r="GM13" s="94"/>
      <c r="GN13" s="94"/>
      <c r="GO13" s="94"/>
      <c r="GP13" s="94"/>
      <c r="GQ13" s="94"/>
      <c r="GR13" s="94"/>
      <c r="GS13" s="94"/>
      <c r="GT13" s="94"/>
      <c r="GU13" s="94"/>
      <c r="GV13" s="94"/>
      <c r="GW13" s="95"/>
      <c r="GX13" s="38"/>
    </row>
    <row r="14" spans="1:206" x14ac:dyDescent="0.35">
      <c r="A14" s="2"/>
      <c r="B14" s="2"/>
      <c r="C14" s="42" t="s">
        <v>463</v>
      </c>
      <c r="D14" s="43">
        <f t="shared" si="42"/>
        <v>0.49036260880995053</v>
      </c>
      <c r="E14" s="43">
        <f t="shared" si="0"/>
        <v>0.39597096623700945</v>
      </c>
      <c r="F14" s="43">
        <f t="shared" si="1"/>
        <v>2.8212347225914116E-2</v>
      </c>
      <c r="G14" s="43">
        <f t="shared" si="2"/>
        <v>1.253821852450689E-2</v>
      </c>
      <c r="H14" s="43">
        <f t="shared" si="3"/>
        <v>8.2632319147687445E-3</v>
      </c>
      <c r="I14" s="43">
        <f t="shared" si="4"/>
        <v>8.7833505910961656E-3</v>
      </c>
      <c r="J14" s="43">
        <f t="shared" si="5"/>
        <v>1.2370441706177312E-2</v>
      </c>
      <c r="K14" s="43">
        <f t="shared" si="6"/>
        <v>2.4388376427330817E-3</v>
      </c>
      <c r="L14" s="43">
        <f t="shared" si="7"/>
        <v>1.4821463745727901E-2</v>
      </c>
      <c r="M14" s="43">
        <f t="shared" si="8"/>
        <v>1.6644979131401567E-2</v>
      </c>
      <c r="N14" s="43">
        <f t="shared" si="9"/>
        <v>2.3730227182905024E-3</v>
      </c>
      <c r="O14" s="44">
        <f t="shared" si="10"/>
        <v>7.2205317524237445E-3</v>
      </c>
      <c r="P14" s="115">
        <f t="shared" si="43"/>
        <v>1</v>
      </c>
      <c r="Q14" s="2"/>
      <c r="R14" s="42" t="s">
        <v>463</v>
      </c>
      <c r="S14" s="43">
        <f t="shared" si="44"/>
        <v>0.49036260880995053</v>
      </c>
      <c r="T14" s="43">
        <f t="shared" si="45"/>
        <v>0.39597096623700945</v>
      </c>
      <c r="U14" s="43">
        <f t="shared" si="46"/>
        <v>2.8212347225914116E-2</v>
      </c>
      <c r="V14" s="43">
        <f t="shared" si="47"/>
        <v>1.253821852450689E-2</v>
      </c>
      <c r="W14" s="29">
        <f t="shared" si="48"/>
        <v>8.2632319147687445E-3</v>
      </c>
      <c r="X14" s="43">
        <f t="shared" si="49"/>
        <v>8.7833505910961656E-3</v>
      </c>
      <c r="Y14" s="43">
        <f t="shared" si="50"/>
        <v>1.2370441706177312E-2</v>
      </c>
      <c r="Z14" s="43">
        <f t="shared" si="51"/>
        <v>2.4388376427330817E-3</v>
      </c>
      <c r="AA14" s="29">
        <f t="shared" si="52"/>
        <v>1.4821463745727901E-2</v>
      </c>
      <c r="AB14" s="43">
        <f t="shared" si="53"/>
        <v>1.6644979131401567E-2</v>
      </c>
      <c r="AC14" s="43">
        <f t="shared" si="54"/>
        <v>2.3730227182905024E-3</v>
      </c>
      <c r="AD14" s="43">
        <f t="shared" si="55"/>
        <v>7.2205317524237445E-3</v>
      </c>
      <c r="AE14" s="32">
        <f t="shared" si="56"/>
        <v>0.51344730447044717</v>
      </c>
      <c r="AF14" s="53">
        <f t="shared" si="57"/>
        <v>0.42139929595950715</v>
      </c>
      <c r="AG14" s="53">
        <f t="shared" si="58"/>
        <v>4.2955811650381925E-2</v>
      </c>
      <c r="AH14" s="53">
        <f t="shared" si="59"/>
        <v>2.2197587919663715E-2</v>
      </c>
      <c r="AI14" s="34">
        <f t="shared" si="60"/>
        <v>0.927084140797381</v>
      </c>
      <c r="AJ14" s="35">
        <f t="shared" si="61"/>
        <v>3.1855861854775305E-2</v>
      </c>
      <c r="AK14" s="34">
        <f t="shared" si="62"/>
        <v>0.927084140797381</v>
      </c>
      <c r="AL14" s="35">
        <f t="shared" si="63"/>
        <v>3.1855861854775305E-2</v>
      </c>
      <c r="AM14" s="35">
        <f t="shared" si="64"/>
        <v>4.1059997347843713E-2</v>
      </c>
      <c r="AN14" s="36">
        <v>1</v>
      </c>
      <c r="AO14" s="54">
        <v>1</v>
      </c>
      <c r="AP14" s="2"/>
      <c r="AQ14" s="42" t="s">
        <v>463</v>
      </c>
      <c r="AR14" s="43">
        <f t="shared" si="65"/>
        <v>0.49024133659803526</v>
      </c>
      <c r="AS14" s="43">
        <f t="shared" si="17"/>
        <v>0.39587303814447744</v>
      </c>
      <c r="AT14" s="43">
        <f t="shared" si="17"/>
        <v>2.8205369993780302E-2</v>
      </c>
      <c r="AU14" s="43">
        <f t="shared" si="17"/>
        <v>1.2535117681443764E-2</v>
      </c>
      <c r="AV14" s="29">
        <f t="shared" si="17"/>
        <v>1.207461993429996E-2</v>
      </c>
      <c r="AW14" s="43">
        <f t="shared" si="17"/>
        <v>1.2834641606469204E-2</v>
      </c>
      <c r="AX14" s="43">
        <f t="shared" si="17"/>
        <v>1.8076266473235545E-2</v>
      </c>
      <c r="AY14" s="43">
        <f t="shared" si="17"/>
        <v>3.5637433296328014E-3</v>
      </c>
      <c r="AZ14" s="29">
        <f t="shared" si="17"/>
        <v>9.6003334803605664E-3</v>
      </c>
      <c r="BA14" s="43">
        <f t="shared" si="17"/>
        <v>1.0781482394487316E-2</v>
      </c>
      <c r="BB14" s="43">
        <f t="shared" si="17"/>
        <v>1.5370822911216931E-3</v>
      </c>
      <c r="BC14" s="44">
        <f t="shared" si="17"/>
        <v>4.6769680726561642E-3</v>
      </c>
      <c r="BD14" s="2"/>
      <c r="BE14" s="42" t="s">
        <v>463</v>
      </c>
      <c r="BF14" s="62">
        <v>1</v>
      </c>
      <c r="BG14" s="62">
        <v>1</v>
      </c>
      <c r="BH14" s="62">
        <v>1</v>
      </c>
      <c r="BI14" s="62">
        <v>1</v>
      </c>
      <c r="BJ14" s="36">
        <v>1</v>
      </c>
      <c r="BK14" s="62">
        <v>1</v>
      </c>
      <c r="BL14" s="62">
        <v>1</v>
      </c>
      <c r="BM14" s="62">
        <v>1</v>
      </c>
      <c r="BN14" s="36">
        <v>1</v>
      </c>
      <c r="BO14" s="62">
        <v>1</v>
      </c>
      <c r="BP14" s="62">
        <v>1</v>
      </c>
      <c r="BQ14" s="54">
        <v>1</v>
      </c>
      <c r="BR14" s="2"/>
      <c r="BS14" s="42" t="s">
        <v>463</v>
      </c>
      <c r="BT14" s="67">
        <f t="shared" si="66"/>
        <v>75514.377000000008</v>
      </c>
      <c r="BU14" s="67">
        <f t="shared" si="18"/>
        <v>60978.345999999998</v>
      </c>
      <c r="BV14" s="67">
        <f t="shared" si="19"/>
        <v>4344.6172000000006</v>
      </c>
      <c r="BW14" s="67">
        <f t="shared" si="20"/>
        <v>1930.8481999999999</v>
      </c>
      <c r="BX14" s="30">
        <f t="shared" si="21"/>
        <v>1859.9153799999999</v>
      </c>
      <c r="BY14" s="67">
        <f t="shared" si="22"/>
        <v>1976.9853999999998</v>
      </c>
      <c r="BZ14" s="67">
        <f t="shared" si="23"/>
        <v>2784.3796499999999</v>
      </c>
      <c r="CA14" s="67">
        <f t="shared" si="24"/>
        <v>548.94158700000003</v>
      </c>
      <c r="CB14" s="30">
        <f t="shared" si="25"/>
        <v>1478.7883999999999</v>
      </c>
      <c r="CC14" s="67">
        <f t="shared" si="26"/>
        <v>1660.7268000000001</v>
      </c>
      <c r="CD14" s="67">
        <f t="shared" si="27"/>
        <v>236.76463600000002</v>
      </c>
      <c r="CE14" s="68">
        <f t="shared" si="28"/>
        <v>720.41728000000001</v>
      </c>
      <c r="CF14" s="2"/>
      <c r="CG14" s="37" t="str">
        <f t="shared" si="67"/>
        <v>aipot</v>
      </c>
      <c r="CH14" s="42" t="s">
        <v>463</v>
      </c>
      <c r="CI14" s="67">
        <f t="shared" si="68"/>
        <v>75514.377000000008</v>
      </c>
      <c r="CJ14" s="67">
        <f t="shared" si="29"/>
        <v>60978.345999999998</v>
      </c>
      <c r="CK14" s="67">
        <f t="shared" si="29"/>
        <v>4344.6172000000006</v>
      </c>
      <c r="CL14" s="67">
        <f t="shared" si="29"/>
        <v>1930.8481999999999</v>
      </c>
      <c r="CM14" s="30">
        <f t="shared" si="29"/>
        <v>1859.9153799999999</v>
      </c>
      <c r="CN14" s="67">
        <f t="shared" si="29"/>
        <v>1976.9853999999998</v>
      </c>
      <c r="CO14" s="67">
        <f t="shared" si="29"/>
        <v>2784.3796499999999</v>
      </c>
      <c r="CP14" s="67">
        <f t="shared" si="29"/>
        <v>548.94158700000003</v>
      </c>
      <c r="CQ14" s="30">
        <f t="shared" si="29"/>
        <v>1478.7883999999999</v>
      </c>
      <c r="CR14" s="67">
        <f t="shared" si="29"/>
        <v>1660.7268000000001</v>
      </c>
      <c r="CS14" s="67">
        <f t="shared" si="29"/>
        <v>236.76463600000002</v>
      </c>
      <c r="CT14" s="68">
        <f t="shared" si="29"/>
        <v>720.41728000000001</v>
      </c>
      <c r="CU14" s="2"/>
      <c r="CV14" s="42" t="s">
        <v>463</v>
      </c>
      <c r="CW14" s="67">
        <f t="shared" si="69"/>
        <v>0</v>
      </c>
      <c r="CX14" s="67">
        <f t="shared" si="30"/>
        <v>0</v>
      </c>
      <c r="CY14" s="67">
        <f t="shared" si="30"/>
        <v>0</v>
      </c>
      <c r="CZ14" s="67">
        <f t="shared" si="30"/>
        <v>0</v>
      </c>
      <c r="DA14" s="30">
        <f t="shared" si="30"/>
        <v>0</v>
      </c>
      <c r="DB14" s="67">
        <f t="shared" si="30"/>
        <v>0</v>
      </c>
      <c r="DC14" s="67">
        <f t="shared" si="30"/>
        <v>0</v>
      </c>
      <c r="DD14" s="67">
        <f t="shared" si="30"/>
        <v>0</v>
      </c>
      <c r="DE14" s="30">
        <f t="shared" si="30"/>
        <v>0</v>
      </c>
      <c r="DF14" s="67">
        <f t="shared" si="30"/>
        <v>0</v>
      </c>
      <c r="DG14" s="67">
        <f t="shared" si="30"/>
        <v>0</v>
      </c>
      <c r="DH14" s="68">
        <f t="shared" si="30"/>
        <v>0</v>
      </c>
      <c r="DI14" s="2"/>
      <c r="DJ14" s="37" t="s">
        <v>465</v>
      </c>
      <c r="DK14" s="76" t="s">
        <v>463</v>
      </c>
      <c r="DL14" s="67">
        <f t="shared" si="70"/>
        <v>16470.560000000001</v>
      </c>
      <c r="DM14" s="67">
        <f t="shared" si="31"/>
        <v>12888.57</v>
      </c>
      <c r="DN14" s="67">
        <f t="shared" si="32"/>
        <v>706.89250000000004</v>
      </c>
      <c r="DO14" s="67">
        <f t="shared" si="33"/>
        <v>315.51389999999998</v>
      </c>
      <c r="DP14" s="30">
        <f t="shared" si="34"/>
        <v>427.69970000000001</v>
      </c>
      <c r="DQ14" s="67">
        <f t="shared" si="35"/>
        <v>455.44209999999998</v>
      </c>
      <c r="DR14" s="67">
        <f t="shared" si="36"/>
        <v>101.56489999999999</v>
      </c>
      <c r="DS14" s="67">
        <f t="shared" si="37"/>
        <v>59.243879999999997</v>
      </c>
      <c r="DT14" s="30">
        <f t="shared" si="38"/>
        <v>524.49919999999997</v>
      </c>
      <c r="DU14" s="67">
        <f t="shared" si="39"/>
        <v>756.76980000000003</v>
      </c>
      <c r="DV14" s="67">
        <f t="shared" si="40"/>
        <v>39.05538</v>
      </c>
      <c r="DW14" s="68">
        <f t="shared" si="41"/>
        <v>25.25554</v>
      </c>
      <c r="DX14" s="2"/>
      <c r="DY14" s="81" t="s">
        <v>463</v>
      </c>
      <c r="DZ14" s="82"/>
      <c r="EA14" s="82"/>
      <c r="EB14" s="82">
        <v>1</v>
      </c>
      <c r="EC14" s="83"/>
      <c r="ED14" s="84"/>
      <c r="EE14" s="2"/>
      <c r="EF14" s="38" t="s">
        <v>463</v>
      </c>
      <c r="EG14" s="93" t="s">
        <v>463</v>
      </c>
      <c r="EH14" s="94"/>
      <c r="EI14" s="94"/>
      <c r="EJ14" s="94"/>
      <c r="EK14" s="94"/>
      <c r="EL14" s="94"/>
      <c r="EM14" s="94"/>
      <c r="EN14" s="94"/>
      <c r="EO14" s="94"/>
      <c r="EP14" s="94"/>
      <c r="EQ14" s="94"/>
      <c r="ER14" s="94"/>
      <c r="ES14" s="95"/>
      <c r="ET14" s="38" t="s">
        <v>463</v>
      </c>
      <c r="EU14" s="93" t="s">
        <v>463</v>
      </c>
      <c r="EV14" s="94"/>
      <c r="EW14" s="94"/>
      <c r="EX14" s="94"/>
      <c r="EY14" s="94"/>
      <c r="EZ14" s="94"/>
      <c r="FA14" s="94"/>
      <c r="FB14" s="94"/>
      <c r="FC14" s="94"/>
      <c r="FD14" s="94"/>
      <c r="FE14" s="94"/>
      <c r="FF14" s="94"/>
      <c r="FG14" s="95"/>
      <c r="FH14" s="38" t="s">
        <v>463</v>
      </c>
      <c r="FI14" s="93" t="s">
        <v>463</v>
      </c>
      <c r="FJ14" s="94">
        <v>16470.560000000001</v>
      </c>
      <c r="FK14" s="94">
        <v>12888.57</v>
      </c>
      <c r="FL14" s="94">
        <v>706.89250000000004</v>
      </c>
      <c r="FM14" s="94">
        <v>315.51389999999998</v>
      </c>
      <c r="FN14" s="94">
        <v>427.69970000000001</v>
      </c>
      <c r="FO14" s="94">
        <v>455.44209999999998</v>
      </c>
      <c r="FP14" s="94">
        <v>101.56489999999999</v>
      </c>
      <c r="FQ14" s="94">
        <v>59.243879999999997</v>
      </c>
      <c r="FR14" s="94">
        <v>524.49919999999997</v>
      </c>
      <c r="FS14" s="94">
        <v>756.76980000000003</v>
      </c>
      <c r="FT14" s="94">
        <v>39.05538</v>
      </c>
      <c r="FU14" s="95">
        <v>25.25554</v>
      </c>
      <c r="FV14" s="38" t="s">
        <v>463</v>
      </c>
      <c r="FW14" s="93" t="s">
        <v>463</v>
      </c>
      <c r="FX14" s="94"/>
      <c r="FY14" s="94"/>
      <c r="FZ14" s="94"/>
      <c r="GA14" s="94"/>
      <c r="GB14" s="94"/>
      <c r="GC14" s="94"/>
      <c r="GD14" s="94"/>
      <c r="GE14" s="94"/>
      <c r="GF14" s="94"/>
      <c r="GG14" s="94"/>
      <c r="GH14" s="94"/>
      <c r="GI14" s="95"/>
      <c r="GJ14" s="38" t="s">
        <v>463</v>
      </c>
      <c r="GK14" s="93" t="s">
        <v>463</v>
      </c>
      <c r="GL14" s="94"/>
      <c r="GM14" s="94"/>
      <c r="GN14" s="94"/>
      <c r="GO14" s="94"/>
      <c r="GP14" s="94"/>
      <c r="GQ14" s="94"/>
      <c r="GR14" s="94"/>
      <c r="GS14" s="94"/>
      <c r="GT14" s="94"/>
      <c r="GU14" s="94"/>
      <c r="GV14" s="94"/>
      <c r="GW14" s="95"/>
      <c r="GX14" s="38"/>
    </row>
    <row r="15" spans="1:206" x14ac:dyDescent="0.35">
      <c r="A15" s="2"/>
      <c r="B15" s="2"/>
      <c r="C15" s="42" t="s">
        <v>469</v>
      </c>
      <c r="D15" s="43">
        <f t="shared" si="42"/>
        <v>0.49775753677167611</v>
      </c>
      <c r="E15" s="43">
        <f t="shared" si="0"/>
        <v>0.40194241821489146</v>
      </c>
      <c r="F15" s="43">
        <f t="shared" si="1"/>
        <v>2.8637804370522137E-2</v>
      </c>
      <c r="G15" s="43">
        <f t="shared" si="2"/>
        <v>1.2727301503288895E-2</v>
      </c>
      <c r="H15" s="43">
        <f t="shared" si="3"/>
        <v>7.0264783228933241E-3</v>
      </c>
      <c r="I15" s="43">
        <f t="shared" si="4"/>
        <v>7.4687511094061639E-3</v>
      </c>
      <c r="J15" s="43">
        <f t="shared" si="5"/>
        <v>1.0518964176440276E-2</v>
      </c>
      <c r="K15" s="43">
        <f t="shared" si="6"/>
        <v>2.0738180903639605E-3</v>
      </c>
      <c r="L15" s="43">
        <f t="shared" si="7"/>
        <v>1.149581371069546E-2</v>
      </c>
      <c r="M15" s="43">
        <f t="shared" si="8"/>
        <v>1.2910167483839743E-2</v>
      </c>
      <c r="N15" s="43">
        <f t="shared" si="9"/>
        <v>1.8405622797261732E-3</v>
      </c>
      <c r="O15" s="44">
        <f t="shared" si="10"/>
        <v>5.6003839662563826E-3</v>
      </c>
      <c r="P15" s="115">
        <f t="shared" si="43"/>
        <v>1</v>
      </c>
      <c r="Q15" s="2"/>
      <c r="R15" s="42" t="s">
        <v>469</v>
      </c>
      <c r="S15" s="43">
        <f t="shared" si="44"/>
        <v>0.49775753677167611</v>
      </c>
      <c r="T15" s="43">
        <f t="shared" si="45"/>
        <v>0.40194241821489146</v>
      </c>
      <c r="U15" s="43">
        <f t="shared" si="46"/>
        <v>2.8637804370522137E-2</v>
      </c>
      <c r="V15" s="43">
        <f t="shared" si="47"/>
        <v>1.2727301503288895E-2</v>
      </c>
      <c r="W15" s="29">
        <f t="shared" si="48"/>
        <v>7.0264783228933241E-3</v>
      </c>
      <c r="X15" s="43">
        <f t="shared" si="49"/>
        <v>7.4687511094061639E-3</v>
      </c>
      <c r="Y15" s="43">
        <f t="shared" si="50"/>
        <v>1.0518964176440276E-2</v>
      </c>
      <c r="Z15" s="43">
        <f t="shared" si="51"/>
        <v>2.0738180903639605E-3</v>
      </c>
      <c r="AA15" s="29">
        <f t="shared" si="52"/>
        <v>1.149581371069546E-2</v>
      </c>
      <c r="AB15" s="43">
        <f t="shared" si="53"/>
        <v>1.2910167483839743E-2</v>
      </c>
      <c r="AC15" s="43">
        <f t="shared" si="54"/>
        <v>1.8405622797261732E-3</v>
      </c>
      <c r="AD15" s="43">
        <f t="shared" si="55"/>
        <v>5.6003839662563826E-3</v>
      </c>
      <c r="AE15" s="32">
        <f t="shared" si="56"/>
        <v>0.5162798288052648</v>
      </c>
      <c r="AF15" s="53">
        <f t="shared" si="57"/>
        <v>0.42232133680813733</v>
      </c>
      <c r="AG15" s="53">
        <f t="shared" si="58"/>
        <v>4.0997330826688591E-2</v>
      </c>
      <c r="AH15" s="53">
        <f t="shared" si="59"/>
        <v>2.0401503559909238E-2</v>
      </c>
      <c r="AI15" s="34">
        <f t="shared" si="60"/>
        <v>0.94106506086037855</v>
      </c>
      <c r="AJ15" s="35">
        <f t="shared" si="61"/>
        <v>2.7088011699103725E-2</v>
      </c>
      <c r="AK15" s="34">
        <f t="shared" si="62"/>
        <v>0.94106506086037855</v>
      </c>
      <c r="AL15" s="35">
        <f t="shared" si="63"/>
        <v>2.7088011699103725E-2</v>
      </c>
      <c r="AM15" s="35">
        <f t="shared" si="64"/>
        <v>3.1846927440517758E-2</v>
      </c>
      <c r="AN15" s="36">
        <v>1</v>
      </c>
      <c r="AO15" s="54">
        <v>1</v>
      </c>
      <c r="AP15" s="2"/>
      <c r="AQ15" s="42" t="s">
        <v>469</v>
      </c>
      <c r="AR15" s="43">
        <f t="shared" si="65"/>
        <v>0.49024133659803526</v>
      </c>
      <c r="AS15" s="43">
        <f t="shared" si="17"/>
        <v>0.39587303814447744</v>
      </c>
      <c r="AT15" s="43">
        <f t="shared" si="17"/>
        <v>2.8205369993780302E-2</v>
      </c>
      <c r="AU15" s="43">
        <f t="shared" si="17"/>
        <v>1.2535117681443764E-2</v>
      </c>
      <c r="AV15" s="29">
        <f t="shared" si="17"/>
        <v>1.207461993429996E-2</v>
      </c>
      <c r="AW15" s="43">
        <f t="shared" si="17"/>
        <v>1.2834641606469204E-2</v>
      </c>
      <c r="AX15" s="43">
        <f t="shared" si="17"/>
        <v>1.8076266473235545E-2</v>
      </c>
      <c r="AY15" s="43">
        <f t="shared" si="17"/>
        <v>3.5637433296328014E-3</v>
      </c>
      <c r="AZ15" s="29">
        <f t="shared" si="17"/>
        <v>9.6003334803605664E-3</v>
      </c>
      <c r="BA15" s="43">
        <f t="shared" si="17"/>
        <v>1.0781482394487316E-2</v>
      </c>
      <c r="BB15" s="43">
        <f t="shared" si="17"/>
        <v>1.5370822911216931E-3</v>
      </c>
      <c r="BC15" s="44">
        <f t="shared" si="17"/>
        <v>4.6769680726561642E-3</v>
      </c>
      <c r="BD15" s="2"/>
      <c r="BE15" s="42" t="s">
        <v>469</v>
      </c>
      <c r="BF15" s="62">
        <v>1</v>
      </c>
      <c r="BG15" s="62">
        <v>1</v>
      </c>
      <c r="BH15" s="62">
        <v>1</v>
      </c>
      <c r="BI15" s="62">
        <v>1</v>
      </c>
      <c r="BJ15" s="36">
        <v>1</v>
      </c>
      <c r="BK15" s="62">
        <v>1</v>
      </c>
      <c r="BL15" s="62">
        <v>1</v>
      </c>
      <c r="BM15" s="62">
        <v>1</v>
      </c>
      <c r="BN15" s="36">
        <v>1</v>
      </c>
      <c r="BO15" s="62">
        <v>1</v>
      </c>
      <c r="BP15" s="62">
        <v>1</v>
      </c>
      <c r="BQ15" s="54">
        <v>1</v>
      </c>
      <c r="BR15" s="2"/>
      <c r="BS15" s="42" t="s">
        <v>469</v>
      </c>
      <c r="BT15" s="67">
        <f t="shared" si="66"/>
        <v>75514.377000000008</v>
      </c>
      <c r="BU15" s="67">
        <f t="shared" si="18"/>
        <v>60978.345999999998</v>
      </c>
      <c r="BV15" s="67">
        <f t="shared" si="19"/>
        <v>4344.6172000000006</v>
      </c>
      <c r="BW15" s="67">
        <f t="shared" si="20"/>
        <v>1930.8481999999999</v>
      </c>
      <c r="BX15" s="30">
        <f t="shared" si="21"/>
        <v>1859.9153799999999</v>
      </c>
      <c r="BY15" s="67">
        <f t="shared" si="22"/>
        <v>1976.9853999999998</v>
      </c>
      <c r="BZ15" s="67">
        <f t="shared" si="23"/>
        <v>2784.3796499999999</v>
      </c>
      <c r="CA15" s="67">
        <f t="shared" si="24"/>
        <v>548.94158700000003</v>
      </c>
      <c r="CB15" s="30">
        <f t="shared" si="25"/>
        <v>1478.7883999999999</v>
      </c>
      <c r="CC15" s="67">
        <f t="shared" si="26"/>
        <v>1660.7268000000001</v>
      </c>
      <c r="CD15" s="67">
        <f t="shared" si="27"/>
        <v>236.76463600000002</v>
      </c>
      <c r="CE15" s="68">
        <f t="shared" si="28"/>
        <v>720.41728000000001</v>
      </c>
      <c r="CF15" s="2"/>
      <c r="CG15" s="37" t="str">
        <f t="shared" si="67"/>
        <v>aipot</v>
      </c>
      <c r="CH15" s="42" t="s">
        <v>469</v>
      </c>
      <c r="CI15" s="67">
        <f t="shared" si="68"/>
        <v>75514.377000000008</v>
      </c>
      <c r="CJ15" s="67">
        <f t="shared" si="29"/>
        <v>60978.345999999998</v>
      </c>
      <c r="CK15" s="67">
        <f t="shared" si="29"/>
        <v>4344.6172000000006</v>
      </c>
      <c r="CL15" s="67">
        <f t="shared" si="29"/>
        <v>1930.8481999999999</v>
      </c>
      <c r="CM15" s="30">
        <f t="shared" si="29"/>
        <v>1859.9153799999999</v>
      </c>
      <c r="CN15" s="67">
        <f t="shared" si="29"/>
        <v>1976.9853999999998</v>
      </c>
      <c r="CO15" s="67">
        <f t="shared" si="29"/>
        <v>2784.3796499999999</v>
      </c>
      <c r="CP15" s="67">
        <f t="shared" si="29"/>
        <v>548.94158700000003</v>
      </c>
      <c r="CQ15" s="30">
        <f t="shared" si="29"/>
        <v>1478.7883999999999</v>
      </c>
      <c r="CR15" s="67">
        <f t="shared" si="29"/>
        <v>1660.7268000000001</v>
      </c>
      <c r="CS15" s="67">
        <f t="shared" si="29"/>
        <v>236.76463600000002</v>
      </c>
      <c r="CT15" s="68">
        <f t="shared" si="29"/>
        <v>720.41728000000001</v>
      </c>
      <c r="CU15" s="2"/>
      <c r="CV15" s="42" t="s">
        <v>469</v>
      </c>
      <c r="CW15" s="67">
        <f t="shared" si="69"/>
        <v>0</v>
      </c>
      <c r="CX15" s="67">
        <f t="shared" si="30"/>
        <v>0</v>
      </c>
      <c r="CY15" s="67">
        <f t="shared" si="30"/>
        <v>0</v>
      </c>
      <c r="CZ15" s="67">
        <f t="shared" si="30"/>
        <v>0</v>
      </c>
      <c r="DA15" s="30">
        <f t="shared" si="30"/>
        <v>0</v>
      </c>
      <c r="DB15" s="67">
        <f t="shared" si="30"/>
        <v>0</v>
      </c>
      <c r="DC15" s="67">
        <f t="shared" si="30"/>
        <v>0</v>
      </c>
      <c r="DD15" s="67">
        <f t="shared" si="30"/>
        <v>0</v>
      </c>
      <c r="DE15" s="30">
        <f t="shared" si="30"/>
        <v>0</v>
      </c>
      <c r="DF15" s="67">
        <f t="shared" si="30"/>
        <v>0</v>
      </c>
      <c r="DG15" s="67">
        <f t="shared" si="30"/>
        <v>0</v>
      </c>
      <c r="DH15" s="68">
        <f t="shared" si="30"/>
        <v>0</v>
      </c>
      <c r="DI15" s="2"/>
      <c r="DJ15" s="37" t="s">
        <v>465</v>
      </c>
      <c r="DK15" s="76" t="s">
        <v>469</v>
      </c>
      <c r="DL15" s="67">
        <f t="shared" si="70"/>
        <v>5396.4070000000002</v>
      </c>
      <c r="DM15" s="67">
        <f t="shared" si="31"/>
        <v>4168.9859999999999</v>
      </c>
      <c r="DN15" s="67">
        <f t="shared" si="32"/>
        <v>248.3707</v>
      </c>
      <c r="DO15" s="67">
        <f t="shared" si="33"/>
        <v>121.4773</v>
      </c>
      <c r="DP15" s="30">
        <f t="shared" si="34"/>
        <v>95.880579999999995</v>
      </c>
      <c r="DQ15" s="67">
        <f t="shared" si="35"/>
        <v>157.84710000000001</v>
      </c>
      <c r="DR15" s="67">
        <f t="shared" si="36"/>
        <v>23.040109999999999</v>
      </c>
      <c r="DS15" s="67">
        <f t="shared" si="37"/>
        <v>9.2123570000000008</v>
      </c>
      <c r="DT15" s="30">
        <f t="shared" si="38"/>
        <v>148.803</v>
      </c>
      <c r="DU15" s="67">
        <f t="shared" si="39"/>
        <v>119.65479999999999</v>
      </c>
      <c r="DV15" s="67">
        <f t="shared" si="40"/>
        <v>57.675620000000002</v>
      </c>
      <c r="DW15" s="68">
        <f t="shared" si="41"/>
        <v>10.088710000000001</v>
      </c>
      <c r="DX15" s="2"/>
      <c r="DY15" s="81" t="s">
        <v>469</v>
      </c>
      <c r="DZ15" s="82"/>
      <c r="EA15" s="82"/>
      <c r="EB15" s="82">
        <v>1</v>
      </c>
      <c r="EC15" s="83"/>
      <c r="ED15" s="84"/>
      <c r="EE15" s="2"/>
      <c r="EF15" s="38" t="s">
        <v>469</v>
      </c>
      <c r="EG15" s="93" t="s">
        <v>469</v>
      </c>
      <c r="EH15" s="94"/>
      <c r="EI15" s="94"/>
      <c r="EJ15" s="94"/>
      <c r="EK15" s="94"/>
      <c r="EL15" s="94"/>
      <c r="EM15" s="94"/>
      <c r="EN15" s="94"/>
      <c r="EO15" s="94"/>
      <c r="EP15" s="94"/>
      <c r="EQ15" s="94"/>
      <c r="ER15" s="94"/>
      <c r="ES15" s="95"/>
      <c r="ET15" s="38" t="s">
        <v>469</v>
      </c>
      <c r="EU15" s="93" t="s">
        <v>469</v>
      </c>
      <c r="EV15" s="94"/>
      <c r="EW15" s="94"/>
      <c r="EX15" s="94"/>
      <c r="EY15" s="94"/>
      <c r="EZ15" s="94"/>
      <c r="FA15" s="94"/>
      <c r="FB15" s="94"/>
      <c r="FC15" s="94"/>
      <c r="FD15" s="94"/>
      <c r="FE15" s="94"/>
      <c r="FF15" s="94"/>
      <c r="FG15" s="95"/>
      <c r="FH15" s="38" t="s">
        <v>469</v>
      </c>
      <c r="FI15" s="93" t="s">
        <v>469</v>
      </c>
      <c r="FJ15" s="94">
        <v>5396.4070000000002</v>
      </c>
      <c r="FK15" s="94">
        <v>4168.9859999999999</v>
      </c>
      <c r="FL15" s="94">
        <v>248.3707</v>
      </c>
      <c r="FM15" s="94">
        <v>121.4773</v>
      </c>
      <c r="FN15" s="94">
        <v>95.880579999999995</v>
      </c>
      <c r="FO15" s="94">
        <v>157.84710000000001</v>
      </c>
      <c r="FP15" s="94">
        <v>23.040109999999999</v>
      </c>
      <c r="FQ15" s="94">
        <v>9.2123570000000008</v>
      </c>
      <c r="FR15" s="94">
        <v>148.803</v>
      </c>
      <c r="FS15" s="94">
        <v>119.65479999999999</v>
      </c>
      <c r="FT15" s="94">
        <v>57.675620000000002</v>
      </c>
      <c r="FU15" s="95">
        <v>10.088710000000001</v>
      </c>
      <c r="FV15" s="38" t="s">
        <v>469</v>
      </c>
      <c r="FW15" s="93" t="s">
        <v>469</v>
      </c>
      <c r="FX15" s="94"/>
      <c r="FY15" s="94"/>
      <c r="FZ15" s="94"/>
      <c r="GA15" s="94"/>
      <c r="GB15" s="94"/>
      <c r="GC15" s="94"/>
      <c r="GD15" s="94"/>
      <c r="GE15" s="94"/>
      <c r="GF15" s="94"/>
      <c r="GG15" s="94"/>
      <c r="GH15" s="94"/>
      <c r="GI15" s="95"/>
      <c r="GJ15" s="38" t="s">
        <v>469</v>
      </c>
      <c r="GK15" s="93" t="s">
        <v>469</v>
      </c>
      <c r="GL15" s="94"/>
      <c r="GM15" s="94"/>
      <c r="GN15" s="94"/>
      <c r="GO15" s="94"/>
      <c r="GP15" s="94"/>
      <c r="GQ15" s="94"/>
      <c r="GR15" s="94"/>
      <c r="GS15" s="94"/>
      <c r="GT15" s="94"/>
      <c r="GU15" s="94"/>
      <c r="GV15" s="94"/>
      <c r="GW15" s="95"/>
      <c r="GX15" s="38"/>
    </row>
    <row r="16" spans="1:206" x14ac:dyDescent="0.35">
      <c r="A16" s="2"/>
      <c r="B16" s="2"/>
      <c r="C16" s="42" t="s">
        <v>515</v>
      </c>
      <c r="D16" s="43">
        <f t="shared" si="42"/>
        <v>0.47919010688058844</v>
      </c>
      <c r="E16" s="43">
        <f t="shared" si="0"/>
        <v>0.35880480360788453</v>
      </c>
      <c r="F16" s="43">
        <f t="shared" si="1"/>
        <v>2.9643077514068188E-2</v>
      </c>
      <c r="G16" s="43">
        <f t="shared" si="2"/>
        <v>1.1400721737856874E-2</v>
      </c>
      <c r="H16" s="43">
        <f t="shared" si="3"/>
        <v>1.0822824850164874E-2</v>
      </c>
      <c r="I16" s="43">
        <f t="shared" si="4"/>
        <v>1.6164162233505953E-2</v>
      </c>
      <c r="J16" s="43">
        <f t="shared" si="5"/>
        <v>5.4678962816008623E-3</v>
      </c>
      <c r="K16" s="43">
        <f t="shared" si="6"/>
        <v>3.6284211997418907E-3</v>
      </c>
      <c r="L16" s="43">
        <f t="shared" si="7"/>
        <v>2.590644166501951E-2</v>
      </c>
      <c r="M16" s="43">
        <f t="shared" si="8"/>
        <v>2.3818810686723153E-2</v>
      </c>
      <c r="N16" s="43">
        <f t="shared" si="9"/>
        <v>6.3988321161883273E-3</v>
      </c>
      <c r="O16" s="44">
        <f t="shared" si="10"/>
        <v>2.8753901226657389E-2</v>
      </c>
      <c r="P16" s="115">
        <f t="shared" si="43"/>
        <v>1</v>
      </c>
      <c r="Q16" s="2"/>
      <c r="R16" s="42" t="s">
        <v>515</v>
      </c>
      <c r="S16" s="43">
        <f t="shared" si="44"/>
        <v>0.47919010688058844</v>
      </c>
      <c r="T16" s="43">
        <f t="shared" si="45"/>
        <v>0.35880480360788453</v>
      </c>
      <c r="U16" s="43">
        <f t="shared" si="46"/>
        <v>2.9643077514068188E-2</v>
      </c>
      <c r="V16" s="43">
        <f t="shared" si="47"/>
        <v>1.1400721737856874E-2</v>
      </c>
      <c r="W16" s="29">
        <f t="shared" si="48"/>
        <v>1.0822824850164874E-2</v>
      </c>
      <c r="X16" s="43">
        <f t="shared" si="49"/>
        <v>1.6164162233505953E-2</v>
      </c>
      <c r="Y16" s="43">
        <f t="shared" si="50"/>
        <v>5.4678962816008623E-3</v>
      </c>
      <c r="Z16" s="43">
        <f t="shared" si="51"/>
        <v>3.6284211997418907E-3</v>
      </c>
      <c r="AA16" s="29">
        <f t="shared" si="52"/>
        <v>2.590644166501951E-2</v>
      </c>
      <c r="AB16" s="43">
        <f t="shared" si="53"/>
        <v>2.3818810686723153E-2</v>
      </c>
      <c r="AC16" s="43">
        <f t="shared" si="54"/>
        <v>6.3988321161883273E-3</v>
      </c>
      <c r="AD16" s="43">
        <f t="shared" si="55"/>
        <v>2.8753901226657389E-2</v>
      </c>
      <c r="AE16" s="32">
        <f t="shared" si="56"/>
        <v>0.51591937339577287</v>
      </c>
      <c r="AF16" s="53">
        <f t="shared" si="57"/>
        <v>0.39878777652811365</v>
      </c>
      <c r="AG16" s="53">
        <f t="shared" si="58"/>
        <v>4.1509805911857378E-2</v>
      </c>
      <c r="AH16" s="53">
        <f t="shared" si="59"/>
        <v>4.3783044164256157E-2</v>
      </c>
      <c r="AI16" s="34">
        <f t="shared" si="60"/>
        <v>0.87903870974039799</v>
      </c>
      <c r="AJ16" s="35">
        <f t="shared" si="61"/>
        <v>3.6083304565013581E-2</v>
      </c>
      <c r="AK16" s="34">
        <f t="shared" si="62"/>
        <v>0.87903870974039799</v>
      </c>
      <c r="AL16" s="35">
        <f t="shared" si="63"/>
        <v>3.6083304565013581E-2</v>
      </c>
      <c r="AM16" s="35">
        <f t="shared" si="64"/>
        <v>8.4877985694588376E-2</v>
      </c>
      <c r="AN16" s="36">
        <v>1</v>
      </c>
      <c r="AO16" s="54">
        <v>1</v>
      </c>
      <c r="AP16" s="2"/>
      <c r="AQ16" s="42" t="s">
        <v>515</v>
      </c>
      <c r="AR16" s="43">
        <f t="shared" si="65"/>
        <v>0.47836061515785488</v>
      </c>
      <c r="AS16" s="43">
        <f t="shared" si="17"/>
        <v>0.35818370227378715</v>
      </c>
      <c r="AT16" s="43">
        <f t="shared" si="17"/>
        <v>2.9591764502632425E-2</v>
      </c>
      <c r="AU16" s="43">
        <f t="shared" si="17"/>
        <v>1.1380986763826834E-2</v>
      </c>
      <c r="AV16" s="29">
        <f t="shared" si="17"/>
        <v>1.3750940398251858E-2</v>
      </c>
      <c r="AW16" s="43">
        <f t="shared" si="17"/>
        <v>2.0537376751248813E-2</v>
      </c>
      <c r="AX16" s="43">
        <f t="shared" si="17"/>
        <v>6.947235764512164E-3</v>
      </c>
      <c r="AY16" s="43">
        <f t="shared" si="17"/>
        <v>4.6100906508381827E-3</v>
      </c>
      <c r="AZ16" s="29">
        <f t="shared" si="17"/>
        <v>2.339121749742145E-2</v>
      </c>
      <c r="BA16" s="43">
        <f t="shared" si="17"/>
        <v>2.1506272011696134E-2</v>
      </c>
      <c r="BB16" s="43">
        <f t="shared" si="17"/>
        <v>5.7775774726078737E-3</v>
      </c>
      <c r="BC16" s="44">
        <f t="shared" si="17"/>
        <v>2.5962220755322316E-2</v>
      </c>
      <c r="BD16" s="2"/>
      <c r="BE16" s="42" t="s">
        <v>515</v>
      </c>
      <c r="BF16" s="62">
        <v>1</v>
      </c>
      <c r="BG16" s="62">
        <v>1</v>
      </c>
      <c r="BH16" s="62">
        <v>1</v>
      </c>
      <c r="BI16" s="62">
        <v>1</v>
      </c>
      <c r="BJ16" s="36">
        <v>1</v>
      </c>
      <c r="BK16" s="62">
        <v>1</v>
      </c>
      <c r="BL16" s="62">
        <v>1</v>
      </c>
      <c r="BM16" s="62">
        <v>1</v>
      </c>
      <c r="BN16" s="36">
        <v>1</v>
      </c>
      <c r="BO16" s="62">
        <v>1</v>
      </c>
      <c r="BP16" s="62">
        <v>1</v>
      </c>
      <c r="BQ16" s="54">
        <v>1</v>
      </c>
      <c r="BR16" s="2"/>
      <c r="BS16" s="42" t="s">
        <v>515</v>
      </c>
      <c r="BT16" s="67">
        <f t="shared" si="66"/>
        <v>71004.98000000001</v>
      </c>
      <c r="BU16" s="67">
        <f t="shared" si="18"/>
        <v>53166.64</v>
      </c>
      <c r="BV16" s="67">
        <f t="shared" si="19"/>
        <v>4392.424</v>
      </c>
      <c r="BW16" s="67">
        <f t="shared" si="20"/>
        <v>1689.3253999999999</v>
      </c>
      <c r="BX16" s="30">
        <f t="shared" si="21"/>
        <v>2041.1071000000002</v>
      </c>
      <c r="BY16" s="67">
        <f t="shared" si="22"/>
        <v>3048.4450000000002</v>
      </c>
      <c r="BZ16" s="67">
        <f t="shared" si="23"/>
        <v>1031.2060000000001</v>
      </c>
      <c r="CA16" s="67">
        <f t="shared" si="24"/>
        <v>684.29420000000005</v>
      </c>
      <c r="CB16" s="30">
        <f t="shared" si="25"/>
        <v>3472.0519999999997</v>
      </c>
      <c r="CC16" s="67">
        <f t="shared" si="26"/>
        <v>3192.2619999999997</v>
      </c>
      <c r="CD16" s="67">
        <f t="shared" si="27"/>
        <v>857.58893999999998</v>
      </c>
      <c r="CE16" s="68">
        <f t="shared" si="28"/>
        <v>3853.6763000000001</v>
      </c>
      <c r="CF16" s="2"/>
      <c r="CG16" s="37" t="str">
        <f t="shared" si="67"/>
        <v>abean</v>
      </c>
      <c r="CH16" s="42" t="s">
        <v>515</v>
      </c>
      <c r="CI16" s="67">
        <f t="shared" si="68"/>
        <v>71004.98000000001</v>
      </c>
      <c r="CJ16" s="67">
        <f t="shared" si="29"/>
        <v>53166.64</v>
      </c>
      <c r="CK16" s="67">
        <f t="shared" si="29"/>
        <v>4392.424</v>
      </c>
      <c r="CL16" s="67">
        <f t="shared" si="29"/>
        <v>1689.3253999999999</v>
      </c>
      <c r="CM16" s="30">
        <f t="shared" si="29"/>
        <v>2041.1071000000002</v>
      </c>
      <c r="CN16" s="67">
        <f t="shared" si="29"/>
        <v>3048.4450000000002</v>
      </c>
      <c r="CO16" s="67">
        <f t="shared" si="29"/>
        <v>1031.2060000000001</v>
      </c>
      <c r="CP16" s="67">
        <f t="shared" si="29"/>
        <v>684.29420000000005</v>
      </c>
      <c r="CQ16" s="30">
        <f t="shared" si="29"/>
        <v>3472.0519999999997</v>
      </c>
      <c r="CR16" s="67">
        <f t="shared" si="29"/>
        <v>3192.2619999999997</v>
      </c>
      <c r="CS16" s="67">
        <f t="shared" si="29"/>
        <v>857.58893999999998</v>
      </c>
      <c r="CT16" s="68">
        <f t="shared" si="29"/>
        <v>3853.6763000000001</v>
      </c>
      <c r="CU16" s="2"/>
      <c r="CV16" s="42" t="s">
        <v>515</v>
      </c>
      <c r="CW16" s="67">
        <f t="shared" si="69"/>
        <v>71004.98000000001</v>
      </c>
      <c r="CX16" s="67">
        <f t="shared" si="30"/>
        <v>53166.64</v>
      </c>
      <c r="CY16" s="67">
        <f t="shared" si="30"/>
        <v>4392.424</v>
      </c>
      <c r="CZ16" s="67">
        <f t="shared" si="30"/>
        <v>1689.3253999999999</v>
      </c>
      <c r="DA16" s="30">
        <f t="shared" si="30"/>
        <v>2041.1071000000002</v>
      </c>
      <c r="DB16" s="67">
        <f t="shared" si="30"/>
        <v>3048.4450000000002</v>
      </c>
      <c r="DC16" s="67">
        <f t="shared" si="30"/>
        <v>1031.2060000000001</v>
      </c>
      <c r="DD16" s="67">
        <f t="shared" si="30"/>
        <v>684.29420000000005</v>
      </c>
      <c r="DE16" s="30">
        <f t="shared" si="30"/>
        <v>3472.0519999999997</v>
      </c>
      <c r="DF16" s="67">
        <f t="shared" si="30"/>
        <v>3192.2619999999997</v>
      </c>
      <c r="DG16" s="67">
        <f t="shared" si="30"/>
        <v>857.58893999999998</v>
      </c>
      <c r="DH16" s="68">
        <f t="shared" si="30"/>
        <v>3853.6763000000001</v>
      </c>
      <c r="DI16" s="2"/>
      <c r="DJ16" s="37" t="s">
        <v>515</v>
      </c>
      <c r="DK16" s="76" t="s">
        <v>515</v>
      </c>
      <c r="DL16" s="67">
        <f t="shared" si="70"/>
        <v>47333.9</v>
      </c>
      <c r="DM16" s="67">
        <f t="shared" si="31"/>
        <v>35928.07</v>
      </c>
      <c r="DN16" s="67">
        <f t="shared" si="32"/>
        <v>3218.1750000000002</v>
      </c>
      <c r="DO16" s="67">
        <f t="shared" si="33"/>
        <v>1192.5619999999999</v>
      </c>
      <c r="DP16" s="30">
        <f t="shared" si="34"/>
        <v>1162.2950000000001</v>
      </c>
      <c r="DQ16" s="67">
        <f t="shared" si="35"/>
        <v>1864.4390000000001</v>
      </c>
      <c r="DR16" s="67">
        <f t="shared" si="36"/>
        <v>320.1979</v>
      </c>
      <c r="DS16" s="67">
        <f t="shared" si="37"/>
        <v>251.90960000000001</v>
      </c>
      <c r="DT16" s="30">
        <f t="shared" si="38"/>
        <v>2297.663</v>
      </c>
      <c r="DU16" s="67">
        <f t="shared" si="39"/>
        <v>2070.5859999999998</v>
      </c>
      <c r="DV16" s="67">
        <f t="shared" si="40"/>
        <v>789.72389999999996</v>
      </c>
      <c r="DW16" s="68">
        <f t="shared" si="41"/>
        <v>3307.5050000000001</v>
      </c>
      <c r="DX16" s="2"/>
      <c r="DY16" s="81" t="s">
        <v>515</v>
      </c>
      <c r="DZ16" s="82"/>
      <c r="EA16" s="82"/>
      <c r="EB16" s="82">
        <v>1</v>
      </c>
      <c r="EC16" s="83"/>
      <c r="ED16" s="84"/>
      <c r="EE16" s="2"/>
      <c r="EF16" s="38" t="s">
        <v>515</v>
      </c>
      <c r="EG16" s="93" t="s">
        <v>515</v>
      </c>
      <c r="EH16" s="94"/>
      <c r="EI16" s="94"/>
      <c r="EJ16" s="94"/>
      <c r="EK16" s="94"/>
      <c r="EL16" s="94"/>
      <c r="EM16" s="94"/>
      <c r="EN16" s="94"/>
      <c r="EO16" s="94"/>
      <c r="EP16" s="94"/>
      <c r="EQ16" s="94"/>
      <c r="ER16" s="94"/>
      <c r="ES16" s="95"/>
      <c r="ET16" s="38" t="s">
        <v>515</v>
      </c>
      <c r="EU16" s="93" t="s">
        <v>515</v>
      </c>
      <c r="EV16" s="94"/>
      <c r="EW16" s="94"/>
      <c r="EX16" s="94"/>
      <c r="EY16" s="94"/>
      <c r="EZ16" s="94"/>
      <c r="FA16" s="94"/>
      <c r="FB16" s="94"/>
      <c r="FC16" s="94"/>
      <c r="FD16" s="94"/>
      <c r="FE16" s="94"/>
      <c r="FF16" s="94"/>
      <c r="FG16" s="95"/>
      <c r="FH16" s="38" t="s">
        <v>515</v>
      </c>
      <c r="FI16" s="93" t="s">
        <v>515</v>
      </c>
      <c r="FJ16" s="94">
        <v>47333.9</v>
      </c>
      <c r="FK16" s="94">
        <v>35928.07</v>
      </c>
      <c r="FL16" s="94">
        <v>3218.1750000000002</v>
      </c>
      <c r="FM16" s="94">
        <v>1192.5619999999999</v>
      </c>
      <c r="FN16" s="94">
        <v>1162.2950000000001</v>
      </c>
      <c r="FO16" s="94">
        <v>1864.4390000000001</v>
      </c>
      <c r="FP16" s="94">
        <v>320.1979</v>
      </c>
      <c r="FQ16" s="94">
        <v>251.90960000000001</v>
      </c>
      <c r="FR16" s="94">
        <v>2297.663</v>
      </c>
      <c r="FS16" s="94">
        <v>2070.5859999999998</v>
      </c>
      <c r="FT16" s="94">
        <v>789.72389999999996</v>
      </c>
      <c r="FU16" s="95">
        <v>3307.5050000000001</v>
      </c>
      <c r="FV16" s="38" t="s">
        <v>515</v>
      </c>
      <c r="FW16" s="93" t="s">
        <v>515</v>
      </c>
      <c r="FX16" s="94"/>
      <c r="FY16" s="94"/>
      <c r="FZ16" s="94"/>
      <c r="GA16" s="94"/>
      <c r="GB16" s="94"/>
      <c r="GC16" s="94"/>
      <c r="GD16" s="94"/>
      <c r="GE16" s="94"/>
      <c r="GF16" s="94"/>
      <c r="GG16" s="94"/>
      <c r="GH16" s="94"/>
      <c r="GI16" s="95"/>
      <c r="GJ16" s="38" t="s">
        <v>515</v>
      </c>
      <c r="GK16" s="93" t="s">
        <v>515</v>
      </c>
      <c r="GL16" s="94"/>
      <c r="GM16" s="94"/>
      <c r="GN16" s="94"/>
      <c r="GO16" s="94"/>
      <c r="GP16" s="94"/>
      <c r="GQ16" s="94"/>
      <c r="GR16" s="94"/>
      <c r="GS16" s="94"/>
      <c r="GT16" s="94"/>
      <c r="GU16" s="94"/>
      <c r="GV16" s="94"/>
      <c r="GW16" s="95"/>
      <c r="GX16" s="38"/>
    </row>
    <row r="17" spans="1:206" x14ac:dyDescent="0.35">
      <c r="A17" s="2"/>
      <c r="B17" s="2"/>
      <c r="C17" s="42" t="s">
        <v>516</v>
      </c>
      <c r="D17" s="43">
        <f t="shared" si="42"/>
        <v>0.47919010688058844</v>
      </c>
      <c r="E17" s="43">
        <f t="shared" si="0"/>
        <v>0.35880480360788453</v>
      </c>
      <c r="F17" s="43">
        <f t="shared" si="1"/>
        <v>2.9643077514068188E-2</v>
      </c>
      <c r="G17" s="43">
        <f t="shared" si="2"/>
        <v>1.1400721737856874E-2</v>
      </c>
      <c r="H17" s="43">
        <f t="shared" si="3"/>
        <v>1.0822824850164874E-2</v>
      </c>
      <c r="I17" s="43">
        <f t="shared" si="4"/>
        <v>1.6164162233505953E-2</v>
      </c>
      <c r="J17" s="43">
        <f t="shared" si="5"/>
        <v>5.4678962816008623E-3</v>
      </c>
      <c r="K17" s="43">
        <f t="shared" si="6"/>
        <v>3.6284211997418907E-3</v>
      </c>
      <c r="L17" s="43">
        <f t="shared" si="7"/>
        <v>2.590644166501951E-2</v>
      </c>
      <c r="M17" s="43">
        <f t="shared" si="8"/>
        <v>2.3818810686723153E-2</v>
      </c>
      <c r="N17" s="43">
        <f t="shared" si="9"/>
        <v>6.3988321161883273E-3</v>
      </c>
      <c r="O17" s="44">
        <f t="shared" si="10"/>
        <v>2.8753901226657389E-2</v>
      </c>
      <c r="P17" s="115">
        <f t="shared" si="43"/>
        <v>1</v>
      </c>
      <c r="Q17" s="2"/>
      <c r="R17" s="42" t="s">
        <v>516</v>
      </c>
      <c r="S17" s="43">
        <f t="shared" si="44"/>
        <v>0.47919010688058844</v>
      </c>
      <c r="T17" s="43">
        <f t="shared" si="45"/>
        <v>0.35880480360788453</v>
      </c>
      <c r="U17" s="43">
        <f t="shared" si="46"/>
        <v>2.9643077514068188E-2</v>
      </c>
      <c r="V17" s="43">
        <f t="shared" si="47"/>
        <v>1.1400721737856874E-2</v>
      </c>
      <c r="W17" s="29">
        <f t="shared" si="48"/>
        <v>1.0822824850164874E-2</v>
      </c>
      <c r="X17" s="43">
        <f t="shared" si="49"/>
        <v>1.6164162233505953E-2</v>
      </c>
      <c r="Y17" s="43">
        <f t="shared" si="50"/>
        <v>5.4678962816008623E-3</v>
      </c>
      <c r="Z17" s="43">
        <f t="shared" si="51"/>
        <v>3.6284211997418907E-3</v>
      </c>
      <c r="AA17" s="29">
        <f t="shared" si="52"/>
        <v>2.590644166501951E-2</v>
      </c>
      <c r="AB17" s="43">
        <f t="shared" si="53"/>
        <v>2.3818810686723153E-2</v>
      </c>
      <c r="AC17" s="43">
        <f t="shared" si="54"/>
        <v>6.3988321161883273E-3</v>
      </c>
      <c r="AD17" s="43">
        <f t="shared" si="55"/>
        <v>2.8753901226657389E-2</v>
      </c>
      <c r="AE17" s="32">
        <f t="shared" si="56"/>
        <v>0.51591937339577287</v>
      </c>
      <c r="AF17" s="53">
        <f t="shared" si="57"/>
        <v>0.39878777652811365</v>
      </c>
      <c r="AG17" s="53">
        <f t="shared" si="58"/>
        <v>4.1509805911857378E-2</v>
      </c>
      <c r="AH17" s="53">
        <f t="shared" si="59"/>
        <v>4.3783044164256157E-2</v>
      </c>
      <c r="AI17" s="34">
        <f t="shared" si="60"/>
        <v>0</v>
      </c>
      <c r="AJ17" s="35">
        <f t="shared" si="61"/>
        <v>0</v>
      </c>
      <c r="AK17" s="34">
        <f>AK16</f>
        <v>0.87903870974039799</v>
      </c>
      <c r="AL17" s="35">
        <f>AL16</f>
        <v>3.6083304565013581E-2</v>
      </c>
      <c r="AM17" s="35">
        <f t="shared" si="64"/>
        <v>8.4877985694588376E-2</v>
      </c>
      <c r="AN17" s="36">
        <v>1</v>
      </c>
      <c r="AO17" s="54">
        <v>1</v>
      </c>
      <c r="AP17" s="2"/>
      <c r="AQ17" s="42" t="s">
        <v>516</v>
      </c>
      <c r="AR17" s="43">
        <f t="shared" si="65"/>
        <v>0.47836061515785488</v>
      </c>
      <c r="AS17" s="43">
        <f t="shared" si="17"/>
        <v>0.35818370227378715</v>
      </c>
      <c r="AT17" s="43">
        <f t="shared" si="17"/>
        <v>2.9591764502632425E-2</v>
      </c>
      <c r="AU17" s="43">
        <f t="shared" si="17"/>
        <v>1.1380986763826834E-2</v>
      </c>
      <c r="AV17" s="29">
        <f t="shared" si="17"/>
        <v>1.3750940398251858E-2</v>
      </c>
      <c r="AW17" s="43">
        <f t="shared" si="17"/>
        <v>2.0537376751248813E-2</v>
      </c>
      <c r="AX17" s="43">
        <f t="shared" si="17"/>
        <v>6.947235764512164E-3</v>
      </c>
      <c r="AY17" s="43">
        <f t="shared" si="17"/>
        <v>4.6100906508381827E-3</v>
      </c>
      <c r="AZ17" s="29">
        <f t="shared" si="17"/>
        <v>2.339121749742145E-2</v>
      </c>
      <c r="BA17" s="43">
        <f t="shared" si="17"/>
        <v>2.1506272011696134E-2</v>
      </c>
      <c r="BB17" s="43">
        <f t="shared" si="17"/>
        <v>5.7775774726078737E-3</v>
      </c>
      <c r="BC17" s="44">
        <f t="shared" si="17"/>
        <v>2.5962220755322316E-2</v>
      </c>
      <c r="BD17" s="2"/>
      <c r="BE17" s="42" t="s">
        <v>516</v>
      </c>
      <c r="BF17" s="62">
        <v>1</v>
      </c>
      <c r="BG17" s="62">
        <v>1</v>
      </c>
      <c r="BH17" s="62">
        <v>1</v>
      </c>
      <c r="BI17" s="62">
        <v>1</v>
      </c>
      <c r="BJ17" s="36">
        <v>1</v>
      </c>
      <c r="BK17" s="62">
        <v>1</v>
      </c>
      <c r="BL17" s="62">
        <v>1</v>
      </c>
      <c r="BM17" s="62">
        <v>1</v>
      </c>
      <c r="BN17" s="36">
        <v>1</v>
      </c>
      <c r="BO17" s="62">
        <v>1</v>
      </c>
      <c r="BP17" s="62">
        <v>1</v>
      </c>
      <c r="BQ17" s="54">
        <v>1</v>
      </c>
      <c r="BR17" s="2"/>
      <c r="BS17" s="42" t="s">
        <v>516</v>
      </c>
      <c r="BT17" s="67">
        <f t="shared" si="66"/>
        <v>71004.98000000001</v>
      </c>
      <c r="BU17" s="67">
        <f t="shared" si="18"/>
        <v>53166.64</v>
      </c>
      <c r="BV17" s="67">
        <f t="shared" si="19"/>
        <v>4392.424</v>
      </c>
      <c r="BW17" s="67">
        <f t="shared" si="20"/>
        <v>1689.3253999999999</v>
      </c>
      <c r="BX17" s="30">
        <f t="shared" si="21"/>
        <v>2041.1071000000002</v>
      </c>
      <c r="BY17" s="67">
        <f t="shared" si="22"/>
        <v>3048.4450000000002</v>
      </c>
      <c r="BZ17" s="67">
        <f t="shared" si="23"/>
        <v>1031.2060000000001</v>
      </c>
      <c r="CA17" s="67">
        <f t="shared" si="24"/>
        <v>684.29420000000005</v>
      </c>
      <c r="CB17" s="30">
        <f t="shared" si="25"/>
        <v>3472.0519999999997</v>
      </c>
      <c r="CC17" s="67">
        <f t="shared" si="26"/>
        <v>3192.2619999999997</v>
      </c>
      <c r="CD17" s="67">
        <f t="shared" si="27"/>
        <v>857.58893999999998</v>
      </c>
      <c r="CE17" s="68">
        <f t="shared" si="28"/>
        <v>3853.6763000000001</v>
      </c>
      <c r="CF17" s="2"/>
      <c r="CG17" s="37" t="str">
        <f t="shared" si="67"/>
        <v>abean</v>
      </c>
      <c r="CH17" s="42" t="s">
        <v>516</v>
      </c>
      <c r="CI17" s="67">
        <f t="shared" si="68"/>
        <v>71004.98000000001</v>
      </c>
      <c r="CJ17" s="67">
        <f t="shared" si="29"/>
        <v>53166.64</v>
      </c>
      <c r="CK17" s="67">
        <f t="shared" si="29"/>
        <v>4392.424</v>
      </c>
      <c r="CL17" s="67">
        <f t="shared" si="29"/>
        <v>1689.3253999999999</v>
      </c>
      <c r="CM17" s="30">
        <f t="shared" si="29"/>
        <v>2041.1071000000002</v>
      </c>
      <c r="CN17" s="67">
        <f t="shared" si="29"/>
        <v>3048.4450000000002</v>
      </c>
      <c r="CO17" s="67">
        <f t="shared" si="29"/>
        <v>1031.2060000000001</v>
      </c>
      <c r="CP17" s="67">
        <f t="shared" si="29"/>
        <v>684.29420000000005</v>
      </c>
      <c r="CQ17" s="30">
        <f t="shared" si="29"/>
        <v>3472.0519999999997</v>
      </c>
      <c r="CR17" s="67">
        <f t="shared" si="29"/>
        <v>3192.2619999999997</v>
      </c>
      <c r="CS17" s="67">
        <f t="shared" si="29"/>
        <v>857.58893999999998</v>
      </c>
      <c r="CT17" s="68">
        <f t="shared" si="29"/>
        <v>3853.6763000000001</v>
      </c>
      <c r="CU17" s="2"/>
      <c r="CV17" s="42" t="s">
        <v>516</v>
      </c>
      <c r="CW17" s="67">
        <f t="shared" si="69"/>
        <v>0</v>
      </c>
      <c r="CX17" s="67">
        <f t="shared" si="30"/>
        <v>0</v>
      </c>
      <c r="CY17" s="67">
        <f t="shared" si="30"/>
        <v>0</v>
      </c>
      <c r="CZ17" s="67">
        <f t="shared" si="30"/>
        <v>0</v>
      </c>
      <c r="DA17" s="30">
        <f t="shared" si="30"/>
        <v>0</v>
      </c>
      <c r="DB17" s="67">
        <f t="shared" si="30"/>
        <v>0</v>
      </c>
      <c r="DC17" s="67">
        <f t="shared" si="30"/>
        <v>0</v>
      </c>
      <c r="DD17" s="67">
        <f t="shared" si="30"/>
        <v>0</v>
      </c>
      <c r="DE17" s="30">
        <f t="shared" si="30"/>
        <v>0</v>
      </c>
      <c r="DF17" s="67">
        <f t="shared" si="30"/>
        <v>0</v>
      </c>
      <c r="DG17" s="67">
        <f t="shared" si="30"/>
        <v>0</v>
      </c>
      <c r="DH17" s="68">
        <f t="shared" si="30"/>
        <v>0</v>
      </c>
      <c r="DI17" s="2"/>
      <c r="DJ17" s="37" t="s">
        <v>515</v>
      </c>
      <c r="DK17" s="76" t="s">
        <v>516</v>
      </c>
      <c r="DL17" s="67">
        <f t="shared" si="70"/>
        <v>0</v>
      </c>
      <c r="DM17" s="67">
        <f t="shared" si="31"/>
        <v>0</v>
      </c>
      <c r="DN17" s="67">
        <f t="shared" si="32"/>
        <v>0</v>
      </c>
      <c r="DO17" s="67">
        <f t="shared" si="33"/>
        <v>0</v>
      </c>
      <c r="DP17" s="30">
        <f t="shared" si="34"/>
        <v>0</v>
      </c>
      <c r="DQ17" s="67">
        <f t="shared" si="35"/>
        <v>0</v>
      </c>
      <c r="DR17" s="67">
        <f t="shared" si="36"/>
        <v>0</v>
      </c>
      <c r="DS17" s="67">
        <f t="shared" si="37"/>
        <v>0</v>
      </c>
      <c r="DT17" s="30">
        <f t="shared" si="38"/>
        <v>0</v>
      </c>
      <c r="DU17" s="67">
        <f t="shared" si="39"/>
        <v>0</v>
      </c>
      <c r="DV17" s="67">
        <f t="shared" si="40"/>
        <v>0</v>
      </c>
      <c r="DW17" s="68">
        <f t="shared" si="41"/>
        <v>0</v>
      </c>
      <c r="DX17" s="2"/>
      <c r="DY17" s="81" t="s">
        <v>516</v>
      </c>
      <c r="DZ17" s="82"/>
      <c r="EA17" s="82"/>
      <c r="EB17" s="82">
        <v>1</v>
      </c>
      <c r="EC17" s="83"/>
      <c r="ED17" s="84"/>
      <c r="EE17" s="2"/>
      <c r="EF17" s="38" t="s">
        <v>516</v>
      </c>
      <c r="EG17" s="93" t="s">
        <v>516</v>
      </c>
      <c r="EH17" s="94"/>
      <c r="EI17" s="94"/>
      <c r="EJ17" s="94"/>
      <c r="EK17" s="94"/>
      <c r="EL17" s="94"/>
      <c r="EM17" s="94"/>
      <c r="EN17" s="94"/>
      <c r="EO17" s="94"/>
      <c r="EP17" s="94"/>
      <c r="EQ17" s="94"/>
      <c r="ER17" s="94"/>
      <c r="ES17" s="95"/>
      <c r="ET17" s="38" t="s">
        <v>516</v>
      </c>
      <c r="EU17" s="93" t="s">
        <v>516</v>
      </c>
      <c r="EV17" s="94"/>
      <c r="EW17" s="94"/>
      <c r="EX17" s="94"/>
      <c r="EY17" s="94"/>
      <c r="EZ17" s="94"/>
      <c r="FA17" s="94"/>
      <c r="FB17" s="94"/>
      <c r="FC17" s="94"/>
      <c r="FD17" s="94"/>
      <c r="FE17" s="94"/>
      <c r="FF17" s="94"/>
      <c r="FG17" s="95"/>
      <c r="FH17" s="38" t="s">
        <v>516</v>
      </c>
      <c r="FI17" s="93" t="s">
        <v>516</v>
      </c>
      <c r="FJ17" s="94"/>
      <c r="FK17" s="94"/>
      <c r="FL17" s="94"/>
      <c r="FM17" s="94"/>
      <c r="FN17" s="94"/>
      <c r="FO17" s="94"/>
      <c r="FP17" s="94"/>
      <c r="FQ17" s="94"/>
      <c r="FR17" s="94"/>
      <c r="FS17" s="94"/>
      <c r="FT17" s="94"/>
      <c r="FU17" s="95"/>
      <c r="FV17" s="38" t="s">
        <v>516</v>
      </c>
      <c r="FW17" s="93" t="s">
        <v>516</v>
      </c>
      <c r="FX17" s="94"/>
      <c r="FY17" s="94"/>
      <c r="FZ17" s="94"/>
      <c r="GA17" s="94"/>
      <c r="GB17" s="94"/>
      <c r="GC17" s="94"/>
      <c r="GD17" s="94"/>
      <c r="GE17" s="94"/>
      <c r="GF17" s="94"/>
      <c r="GG17" s="94"/>
      <c r="GH17" s="94"/>
      <c r="GI17" s="95"/>
      <c r="GJ17" s="38" t="s">
        <v>516</v>
      </c>
      <c r="GK17" s="93" t="s">
        <v>516</v>
      </c>
      <c r="GL17" s="94"/>
      <c r="GM17" s="94"/>
      <c r="GN17" s="94"/>
      <c r="GO17" s="94"/>
      <c r="GP17" s="94"/>
      <c r="GQ17" s="94"/>
      <c r="GR17" s="94"/>
      <c r="GS17" s="94"/>
      <c r="GT17" s="94"/>
      <c r="GU17" s="94"/>
      <c r="GV17" s="94"/>
      <c r="GW17" s="95"/>
      <c r="GX17" s="38"/>
    </row>
    <row r="18" spans="1:206" x14ac:dyDescent="0.35">
      <c r="A18" s="2"/>
      <c r="B18" s="2"/>
      <c r="C18" s="42" t="s">
        <v>472</v>
      </c>
      <c r="D18" s="43">
        <f t="shared" si="42"/>
        <v>0.47666172033676285</v>
      </c>
      <c r="E18" s="43">
        <f t="shared" si="0"/>
        <v>0.356911615029331</v>
      </c>
      <c r="F18" s="43">
        <f t="shared" si="1"/>
        <v>2.9486669530622851E-2</v>
      </c>
      <c r="G18" s="43">
        <f t="shared" si="2"/>
        <v>1.1340567258417507E-2</v>
      </c>
      <c r="H18" s="43">
        <f t="shared" si="3"/>
        <v>1.9748059120317782E-2</v>
      </c>
      <c r="I18" s="43">
        <f t="shared" si="4"/>
        <v>2.9494225013982429E-2</v>
      </c>
      <c r="J18" s="43">
        <f t="shared" si="5"/>
        <v>9.9770938297291788E-3</v>
      </c>
      <c r="K18" s="43">
        <f t="shared" si="6"/>
        <v>6.6206630300245182E-3</v>
      </c>
      <c r="L18" s="43">
        <f t="shared" si="7"/>
        <v>1.8239747994945651E-2</v>
      </c>
      <c r="M18" s="43">
        <f t="shared" si="8"/>
        <v>1.6769925800028684E-2</v>
      </c>
      <c r="N18" s="43">
        <f t="shared" si="9"/>
        <v>4.5051762326291673E-3</v>
      </c>
      <c r="O18" s="44">
        <f t="shared" si="10"/>
        <v>2.024453682320846E-2</v>
      </c>
      <c r="P18" s="115">
        <f t="shared" si="43"/>
        <v>1</v>
      </c>
      <c r="Q18" s="2"/>
      <c r="R18" s="42" t="s">
        <v>472</v>
      </c>
      <c r="S18" s="43">
        <f t="shared" si="44"/>
        <v>0.4766617203367628</v>
      </c>
      <c r="T18" s="43">
        <f t="shared" si="45"/>
        <v>0.35691161502933094</v>
      </c>
      <c r="U18" s="43">
        <f t="shared" si="46"/>
        <v>2.9486669530622848E-2</v>
      </c>
      <c r="V18" s="43">
        <f t="shared" si="47"/>
        <v>1.1340567258417505E-2</v>
      </c>
      <c r="W18" s="29">
        <f t="shared" si="48"/>
        <v>1.9748059120317778E-2</v>
      </c>
      <c r="X18" s="43">
        <f t="shared" si="49"/>
        <v>2.9494225013982425E-2</v>
      </c>
      <c r="Y18" s="43">
        <f t="shared" si="50"/>
        <v>9.9770938297291771E-3</v>
      </c>
      <c r="Z18" s="43">
        <f t="shared" si="51"/>
        <v>6.6206630300245173E-3</v>
      </c>
      <c r="AA18" s="29">
        <f t="shared" si="52"/>
        <v>1.8239747994945647E-2</v>
      </c>
      <c r="AB18" s="43">
        <f t="shared" si="53"/>
        <v>1.676992580002868E-2</v>
      </c>
      <c r="AC18" s="43">
        <f t="shared" si="54"/>
        <v>4.5051762326291664E-3</v>
      </c>
      <c r="AD18" s="43">
        <f t="shared" si="55"/>
        <v>2.0244536823208457E-2</v>
      </c>
      <c r="AE18" s="32">
        <f t="shared" si="56"/>
        <v>0.51464952745202619</v>
      </c>
      <c r="AF18" s="53">
        <f t="shared" si="57"/>
        <v>0.40317576584334203</v>
      </c>
      <c r="AG18" s="53">
        <f t="shared" si="58"/>
        <v>4.396893959298119E-2</v>
      </c>
      <c r="AH18" s="53">
        <f t="shared" si="59"/>
        <v>3.8205767111650482E-2</v>
      </c>
      <c r="AI18" s="34">
        <f t="shared" si="60"/>
        <v>0.87440057215513411</v>
      </c>
      <c r="AJ18" s="35">
        <f t="shared" si="61"/>
        <v>6.5840040994053897E-2</v>
      </c>
      <c r="AK18" s="34">
        <f t="shared" si="62"/>
        <v>0.87440057215513411</v>
      </c>
      <c r="AL18" s="35">
        <f t="shared" si="63"/>
        <v>6.5840040994053897E-2</v>
      </c>
      <c r="AM18" s="35">
        <f t="shared" si="64"/>
        <v>5.9759386850811946E-2</v>
      </c>
      <c r="AN18" s="36">
        <v>1</v>
      </c>
      <c r="AO18" s="54">
        <v>1</v>
      </c>
      <c r="AP18" s="2"/>
      <c r="AQ18" s="42" t="s">
        <v>472</v>
      </c>
      <c r="AR18" s="43">
        <f t="shared" si="65"/>
        <v>0.47836061515785488</v>
      </c>
      <c r="AS18" s="43">
        <f t="shared" si="17"/>
        <v>0.35818370227378715</v>
      </c>
      <c r="AT18" s="43">
        <f t="shared" si="17"/>
        <v>2.9591764502632425E-2</v>
      </c>
      <c r="AU18" s="43">
        <f t="shared" si="17"/>
        <v>1.1380986763826834E-2</v>
      </c>
      <c r="AV18" s="29">
        <f t="shared" si="17"/>
        <v>1.3750940398251858E-2</v>
      </c>
      <c r="AW18" s="43">
        <f t="shared" si="17"/>
        <v>2.0537376751248813E-2</v>
      </c>
      <c r="AX18" s="43">
        <f t="shared" si="17"/>
        <v>6.947235764512164E-3</v>
      </c>
      <c r="AY18" s="43">
        <f t="shared" si="17"/>
        <v>4.6100906508381827E-3</v>
      </c>
      <c r="AZ18" s="29">
        <f t="shared" si="17"/>
        <v>2.339121749742145E-2</v>
      </c>
      <c r="BA18" s="43">
        <f t="shared" si="17"/>
        <v>2.1506272011696134E-2</v>
      </c>
      <c r="BB18" s="43">
        <f t="shared" si="17"/>
        <v>5.7775774726078737E-3</v>
      </c>
      <c r="BC18" s="44">
        <f t="shared" si="17"/>
        <v>2.5962220755322316E-2</v>
      </c>
      <c r="BD18" s="2"/>
      <c r="BE18" s="42" t="s">
        <v>472</v>
      </c>
      <c r="BF18" s="62">
        <v>1</v>
      </c>
      <c r="BG18" s="62">
        <v>1</v>
      </c>
      <c r="BH18" s="62">
        <v>1</v>
      </c>
      <c r="BI18" s="62">
        <v>1</v>
      </c>
      <c r="BJ18" s="36">
        <v>1</v>
      </c>
      <c r="BK18" s="62">
        <v>1</v>
      </c>
      <c r="BL18" s="62">
        <v>1</v>
      </c>
      <c r="BM18" s="62">
        <v>1</v>
      </c>
      <c r="BN18" s="36">
        <v>1</v>
      </c>
      <c r="BO18" s="62">
        <v>1</v>
      </c>
      <c r="BP18" s="62">
        <v>1</v>
      </c>
      <c r="BQ18" s="54">
        <v>1</v>
      </c>
      <c r="BR18" s="2"/>
      <c r="BS18" s="42" t="s">
        <v>472</v>
      </c>
      <c r="BT18" s="67">
        <f t="shared" si="66"/>
        <v>71004.98000000001</v>
      </c>
      <c r="BU18" s="67">
        <f t="shared" si="18"/>
        <v>53166.64</v>
      </c>
      <c r="BV18" s="67">
        <f t="shared" si="19"/>
        <v>4392.424</v>
      </c>
      <c r="BW18" s="67">
        <f t="shared" si="20"/>
        <v>1689.3253999999999</v>
      </c>
      <c r="BX18" s="30">
        <f t="shared" si="21"/>
        <v>2041.1071000000002</v>
      </c>
      <c r="BY18" s="67">
        <f t="shared" si="22"/>
        <v>3048.4450000000002</v>
      </c>
      <c r="BZ18" s="67">
        <f t="shared" si="23"/>
        <v>1031.2060000000001</v>
      </c>
      <c r="CA18" s="67">
        <f t="shared" si="24"/>
        <v>684.29420000000005</v>
      </c>
      <c r="CB18" s="30">
        <f t="shared" si="25"/>
        <v>3472.0519999999997</v>
      </c>
      <c r="CC18" s="67">
        <f t="shared" si="26"/>
        <v>3192.2619999999997</v>
      </c>
      <c r="CD18" s="67">
        <f t="shared" si="27"/>
        <v>857.58893999999998</v>
      </c>
      <c r="CE18" s="68">
        <f t="shared" si="28"/>
        <v>3853.6763000000001</v>
      </c>
      <c r="CF18" s="2"/>
      <c r="CG18" s="37" t="str">
        <f t="shared" si="67"/>
        <v>abean</v>
      </c>
      <c r="CH18" s="42" t="s">
        <v>472</v>
      </c>
      <c r="CI18" s="67">
        <f t="shared" si="68"/>
        <v>71004.98000000001</v>
      </c>
      <c r="CJ18" s="67">
        <f t="shared" si="29"/>
        <v>53166.64</v>
      </c>
      <c r="CK18" s="67">
        <f t="shared" si="29"/>
        <v>4392.424</v>
      </c>
      <c r="CL18" s="67">
        <f t="shared" si="29"/>
        <v>1689.3253999999999</v>
      </c>
      <c r="CM18" s="30">
        <f t="shared" si="29"/>
        <v>2041.1071000000002</v>
      </c>
      <c r="CN18" s="67">
        <f t="shared" si="29"/>
        <v>3048.4450000000002</v>
      </c>
      <c r="CO18" s="67">
        <f t="shared" si="29"/>
        <v>1031.2060000000001</v>
      </c>
      <c r="CP18" s="67">
        <f t="shared" si="29"/>
        <v>684.29420000000005</v>
      </c>
      <c r="CQ18" s="30">
        <f t="shared" si="29"/>
        <v>3472.0519999999997</v>
      </c>
      <c r="CR18" s="67">
        <f t="shared" si="29"/>
        <v>3192.2619999999997</v>
      </c>
      <c r="CS18" s="67">
        <f t="shared" si="29"/>
        <v>857.58893999999998</v>
      </c>
      <c r="CT18" s="68">
        <f t="shared" si="29"/>
        <v>3853.6763000000001</v>
      </c>
      <c r="CU18" s="2"/>
      <c r="CV18" s="42" t="s">
        <v>472</v>
      </c>
      <c r="CW18" s="67">
        <f t="shared" si="69"/>
        <v>0</v>
      </c>
      <c r="CX18" s="67">
        <f t="shared" si="30"/>
        <v>0</v>
      </c>
      <c r="CY18" s="67">
        <f t="shared" si="30"/>
        <v>0</v>
      </c>
      <c r="CZ18" s="67">
        <f t="shared" si="30"/>
        <v>0</v>
      </c>
      <c r="DA18" s="30">
        <f t="shared" si="30"/>
        <v>0</v>
      </c>
      <c r="DB18" s="67">
        <f t="shared" si="30"/>
        <v>0</v>
      </c>
      <c r="DC18" s="67">
        <f t="shared" si="30"/>
        <v>0</v>
      </c>
      <c r="DD18" s="67">
        <f t="shared" si="30"/>
        <v>0</v>
      </c>
      <c r="DE18" s="30">
        <f t="shared" si="30"/>
        <v>0</v>
      </c>
      <c r="DF18" s="67">
        <f t="shared" si="30"/>
        <v>0</v>
      </c>
      <c r="DG18" s="67">
        <f t="shared" si="30"/>
        <v>0</v>
      </c>
      <c r="DH18" s="68">
        <f t="shared" si="30"/>
        <v>0</v>
      </c>
      <c r="DI18" s="2"/>
      <c r="DJ18" s="37" t="s">
        <v>515</v>
      </c>
      <c r="DK18" s="76" t="s">
        <v>472</v>
      </c>
      <c r="DL18" s="67">
        <f t="shared" si="70"/>
        <v>23671.08</v>
      </c>
      <c r="DM18" s="67">
        <f t="shared" si="31"/>
        <v>17238.57</v>
      </c>
      <c r="DN18" s="67">
        <f t="shared" si="32"/>
        <v>1174.249</v>
      </c>
      <c r="DO18" s="67">
        <f t="shared" si="33"/>
        <v>496.76339999999999</v>
      </c>
      <c r="DP18" s="30">
        <f t="shared" si="34"/>
        <v>878.81209999999999</v>
      </c>
      <c r="DQ18" s="67">
        <f t="shared" si="35"/>
        <v>1184.0060000000001</v>
      </c>
      <c r="DR18" s="67">
        <f t="shared" si="36"/>
        <v>711.00810000000001</v>
      </c>
      <c r="DS18" s="67">
        <f t="shared" si="37"/>
        <v>432.38459999999998</v>
      </c>
      <c r="DT18" s="30">
        <f t="shared" si="38"/>
        <v>1174.3889999999999</v>
      </c>
      <c r="DU18" s="67">
        <f t="shared" si="39"/>
        <v>1121.6759999999999</v>
      </c>
      <c r="DV18" s="67">
        <f t="shared" si="40"/>
        <v>67.865039999999993</v>
      </c>
      <c r="DW18" s="68">
        <f t="shared" si="41"/>
        <v>546.17129999999997</v>
      </c>
      <c r="DX18" s="2"/>
      <c r="DY18" s="81" t="s">
        <v>472</v>
      </c>
      <c r="DZ18" s="82"/>
      <c r="EA18" s="82"/>
      <c r="EB18" s="82">
        <v>1</v>
      </c>
      <c r="EC18" s="83"/>
      <c r="ED18" s="84"/>
      <c r="EE18" s="2"/>
      <c r="EF18" s="38" t="s">
        <v>472</v>
      </c>
      <c r="EG18" s="93" t="s">
        <v>472</v>
      </c>
      <c r="EH18" s="94"/>
      <c r="EI18" s="94"/>
      <c r="EJ18" s="94"/>
      <c r="EK18" s="94"/>
      <c r="EL18" s="94"/>
      <c r="EM18" s="94"/>
      <c r="EN18" s="94"/>
      <c r="EO18" s="94"/>
      <c r="EP18" s="94"/>
      <c r="EQ18" s="94"/>
      <c r="ER18" s="94"/>
      <c r="ES18" s="95"/>
      <c r="ET18" s="38" t="s">
        <v>472</v>
      </c>
      <c r="EU18" s="93" t="s">
        <v>472</v>
      </c>
      <c r="EV18" s="94"/>
      <c r="EW18" s="94"/>
      <c r="EX18" s="94"/>
      <c r="EY18" s="94"/>
      <c r="EZ18" s="94"/>
      <c r="FA18" s="94"/>
      <c r="FB18" s="94"/>
      <c r="FC18" s="94"/>
      <c r="FD18" s="94"/>
      <c r="FE18" s="94"/>
      <c r="FF18" s="94"/>
      <c r="FG18" s="95"/>
      <c r="FH18" s="38" t="s">
        <v>472</v>
      </c>
      <c r="FI18" s="93" t="s">
        <v>472</v>
      </c>
      <c r="FJ18" s="94">
        <v>23671.08</v>
      </c>
      <c r="FK18" s="94">
        <v>17238.57</v>
      </c>
      <c r="FL18" s="94">
        <v>1174.249</v>
      </c>
      <c r="FM18" s="94">
        <v>496.76339999999999</v>
      </c>
      <c r="FN18" s="94">
        <v>878.81209999999999</v>
      </c>
      <c r="FO18" s="94">
        <v>1184.0060000000001</v>
      </c>
      <c r="FP18" s="94">
        <v>711.00810000000001</v>
      </c>
      <c r="FQ18" s="94">
        <v>432.38459999999998</v>
      </c>
      <c r="FR18" s="94">
        <v>1174.3889999999999</v>
      </c>
      <c r="FS18" s="94">
        <v>1121.6759999999999</v>
      </c>
      <c r="FT18" s="94">
        <v>67.865039999999993</v>
      </c>
      <c r="FU18" s="95">
        <v>546.17129999999997</v>
      </c>
      <c r="FV18" s="38" t="s">
        <v>472</v>
      </c>
      <c r="FW18" s="93" t="s">
        <v>472</v>
      </c>
      <c r="FX18" s="94"/>
      <c r="FY18" s="94"/>
      <c r="FZ18" s="94"/>
      <c r="GA18" s="94"/>
      <c r="GB18" s="94"/>
      <c r="GC18" s="94"/>
      <c r="GD18" s="94"/>
      <c r="GE18" s="94"/>
      <c r="GF18" s="94"/>
      <c r="GG18" s="94"/>
      <c r="GH18" s="94"/>
      <c r="GI18" s="95"/>
      <c r="GJ18" s="38" t="s">
        <v>472</v>
      </c>
      <c r="GK18" s="93" t="s">
        <v>472</v>
      </c>
      <c r="GL18" s="94"/>
      <c r="GM18" s="94"/>
      <c r="GN18" s="94"/>
      <c r="GO18" s="94"/>
      <c r="GP18" s="94"/>
      <c r="GQ18" s="94"/>
      <c r="GR18" s="94"/>
      <c r="GS18" s="94"/>
      <c r="GT18" s="94"/>
      <c r="GU18" s="94"/>
      <c r="GV18" s="94"/>
      <c r="GW18" s="95"/>
      <c r="GX18" s="38"/>
    </row>
    <row r="19" spans="1:206" x14ac:dyDescent="0.35">
      <c r="A19" s="2"/>
      <c r="B19" s="2"/>
      <c r="C19" s="42" t="s">
        <v>517</v>
      </c>
      <c r="D19" s="43">
        <f t="shared" si="42"/>
        <v>0.48729293271020446</v>
      </c>
      <c r="E19" s="43">
        <f t="shared" si="0"/>
        <v>0.42211104917565001</v>
      </c>
      <c r="F19" s="43">
        <f t="shared" si="1"/>
        <v>3.0421315471056486E-2</v>
      </c>
      <c r="G19" s="43">
        <f t="shared" si="2"/>
        <v>1.3642182596143802E-2</v>
      </c>
      <c r="H19" s="43">
        <f t="shared" si="3"/>
        <v>6.1847913115946071E-3</v>
      </c>
      <c r="I19" s="43">
        <f t="shared" si="4"/>
        <v>1.3732953902464455E-2</v>
      </c>
      <c r="J19" s="43">
        <f t="shared" si="5"/>
        <v>1.7763008825698744E-3</v>
      </c>
      <c r="K19" s="43">
        <f t="shared" si="6"/>
        <v>1.3790653960485308E-3</v>
      </c>
      <c r="L19" s="43">
        <f t="shared" si="7"/>
        <v>8.2535001421561224E-3</v>
      </c>
      <c r="M19" s="43">
        <f t="shared" si="8"/>
        <v>1.0362928275162225E-2</v>
      </c>
      <c r="N19" s="43">
        <f t="shared" si="9"/>
        <v>9.1788714009110272E-4</v>
      </c>
      <c r="O19" s="44">
        <f t="shared" si="10"/>
        <v>3.9250929968581922E-3</v>
      </c>
      <c r="P19" s="115">
        <f t="shared" si="43"/>
        <v>0.99999999999999989</v>
      </c>
      <c r="Q19" s="2"/>
      <c r="R19" s="42" t="s">
        <v>517</v>
      </c>
      <c r="S19" s="43">
        <f t="shared" si="44"/>
        <v>0.48729293271020457</v>
      </c>
      <c r="T19" s="43">
        <f t="shared" si="45"/>
        <v>0.42211104917565012</v>
      </c>
      <c r="U19" s="43">
        <f t="shared" si="46"/>
        <v>3.0421315471056493E-2</v>
      </c>
      <c r="V19" s="43">
        <f t="shared" si="47"/>
        <v>1.3642182596143805E-2</v>
      </c>
      <c r="W19" s="29">
        <f t="shared" si="48"/>
        <v>6.1847913115946089E-3</v>
      </c>
      <c r="X19" s="43">
        <f t="shared" si="49"/>
        <v>1.3732953902464458E-2</v>
      </c>
      <c r="Y19" s="43">
        <f t="shared" si="50"/>
        <v>1.7763008825698748E-3</v>
      </c>
      <c r="Z19" s="43">
        <f t="shared" si="51"/>
        <v>1.3790653960485311E-3</v>
      </c>
      <c r="AA19" s="29">
        <f t="shared" si="52"/>
        <v>8.2535001421561241E-3</v>
      </c>
      <c r="AB19" s="43">
        <f t="shared" si="53"/>
        <v>1.0362928275162227E-2</v>
      </c>
      <c r="AC19" s="43">
        <f t="shared" si="54"/>
        <v>9.1788714009110293E-4</v>
      </c>
      <c r="AD19" s="43">
        <f t="shared" si="55"/>
        <v>3.925092996858193E-3</v>
      </c>
      <c r="AE19" s="32">
        <f t="shared" si="56"/>
        <v>0.50173122416395532</v>
      </c>
      <c r="AF19" s="53">
        <f t="shared" si="57"/>
        <v>0.44620693135327683</v>
      </c>
      <c r="AG19" s="53">
        <f t="shared" si="58"/>
        <v>3.3115503493717474E-2</v>
      </c>
      <c r="AH19" s="53">
        <f t="shared" si="59"/>
        <v>1.8946340989050528E-2</v>
      </c>
      <c r="AI19" s="34">
        <f t="shared" si="60"/>
        <v>0.95346747995305492</v>
      </c>
      <c r="AJ19" s="35">
        <f t="shared" si="61"/>
        <v>2.3073111492677472E-2</v>
      </c>
      <c r="AK19" s="34">
        <f t="shared" si="62"/>
        <v>0.95346747995305492</v>
      </c>
      <c r="AL19" s="35">
        <f t="shared" si="63"/>
        <v>2.3073111492677472E-2</v>
      </c>
      <c r="AM19" s="35">
        <f t="shared" si="64"/>
        <v>2.3459408554267647E-2</v>
      </c>
      <c r="AN19" s="36">
        <v>1</v>
      </c>
      <c r="AO19" s="54">
        <v>1</v>
      </c>
      <c r="AP19" s="2"/>
      <c r="AQ19" s="42" t="s">
        <v>517</v>
      </c>
      <c r="AR19" s="43">
        <f t="shared" si="65"/>
        <v>0.45500847130256711</v>
      </c>
      <c r="AS19" s="43">
        <f t="shared" si="17"/>
        <v>0.39414506206179012</v>
      </c>
      <c r="AT19" s="43">
        <f t="shared" si="17"/>
        <v>2.8405821874971513E-2</v>
      </c>
      <c r="AU19" s="43">
        <f t="shared" si="17"/>
        <v>1.2738351475319662E-2</v>
      </c>
      <c r="AV19" s="29">
        <f t="shared" si="17"/>
        <v>1.1007888796404984E-2</v>
      </c>
      <c r="AW19" s="43">
        <f t="shared" si="17"/>
        <v>2.444234927071591E-2</v>
      </c>
      <c r="AX19" s="43">
        <f t="shared" si="17"/>
        <v>3.1615169533091045E-3</v>
      </c>
      <c r="AY19" s="43">
        <f t="shared" si="17"/>
        <v>2.454504567391531E-3</v>
      </c>
      <c r="AZ19" s="29">
        <f t="shared" si="17"/>
        <v>2.4147561630514569E-2</v>
      </c>
      <c r="BA19" s="43">
        <f t="shared" si="17"/>
        <v>3.0319191238507692E-2</v>
      </c>
      <c r="BB19" s="43">
        <f t="shared" si="17"/>
        <v>2.6854953539040475E-3</v>
      </c>
      <c r="BC19" s="44">
        <f t="shared" si="17"/>
        <v>1.1483785474603976E-2</v>
      </c>
      <c r="BD19" s="2"/>
      <c r="BE19" s="42" t="s">
        <v>517</v>
      </c>
      <c r="BF19" s="62">
        <v>1</v>
      </c>
      <c r="BG19" s="62">
        <v>1</v>
      </c>
      <c r="BH19" s="62">
        <v>1</v>
      </c>
      <c r="BI19" s="62">
        <v>1</v>
      </c>
      <c r="BJ19" s="36">
        <v>1</v>
      </c>
      <c r="BK19" s="62">
        <v>1</v>
      </c>
      <c r="BL19" s="62">
        <v>1</v>
      </c>
      <c r="BM19" s="62">
        <v>1</v>
      </c>
      <c r="BN19" s="36">
        <v>1</v>
      </c>
      <c r="BO19" s="62">
        <v>1</v>
      </c>
      <c r="BP19" s="62">
        <v>1</v>
      </c>
      <c r="BQ19" s="54">
        <v>1</v>
      </c>
      <c r="BR19" s="2"/>
      <c r="BS19" s="42" t="s">
        <v>517</v>
      </c>
      <c r="BT19" s="67">
        <f t="shared" si="66"/>
        <v>44801.074000000001</v>
      </c>
      <c r="BU19" s="67">
        <f t="shared" si="18"/>
        <v>38808.337</v>
      </c>
      <c r="BV19" s="67">
        <f t="shared" si="19"/>
        <v>2796.8959</v>
      </c>
      <c r="BW19" s="67">
        <f t="shared" si="20"/>
        <v>1254.2443999999998</v>
      </c>
      <c r="BX19" s="30">
        <f t="shared" si="21"/>
        <v>1083.8594700000001</v>
      </c>
      <c r="BY19" s="67">
        <f t="shared" si="22"/>
        <v>2406.6442000000002</v>
      </c>
      <c r="BZ19" s="67">
        <f t="shared" si="23"/>
        <v>311.28949</v>
      </c>
      <c r="CA19" s="67">
        <f t="shared" si="24"/>
        <v>241.67559</v>
      </c>
      <c r="CB19" s="30">
        <f t="shared" si="25"/>
        <v>2377.6187999999997</v>
      </c>
      <c r="CC19" s="67">
        <f t="shared" si="26"/>
        <v>2985.2901999999999</v>
      </c>
      <c r="CD19" s="67">
        <f t="shared" si="27"/>
        <v>264.41942</v>
      </c>
      <c r="CE19" s="68">
        <f t="shared" si="28"/>
        <v>1130.7172399999999</v>
      </c>
      <c r="CF19" s="2"/>
      <c r="CG19" s="37" t="str">
        <f t="shared" si="67"/>
        <v>abanb</v>
      </c>
      <c r="CH19" s="42" t="s">
        <v>517</v>
      </c>
      <c r="CI19" s="67">
        <f t="shared" si="68"/>
        <v>44801.074000000001</v>
      </c>
      <c r="CJ19" s="67">
        <f t="shared" si="29"/>
        <v>38808.337</v>
      </c>
      <c r="CK19" s="67">
        <f t="shared" si="29"/>
        <v>2796.8959</v>
      </c>
      <c r="CL19" s="67">
        <f t="shared" si="29"/>
        <v>1254.2443999999998</v>
      </c>
      <c r="CM19" s="30">
        <f t="shared" si="29"/>
        <v>1083.8594700000001</v>
      </c>
      <c r="CN19" s="67">
        <f t="shared" si="29"/>
        <v>2406.6442000000002</v>
      </c>
      <c r="CO19" s="67">
        <f t="shared" si="29"/>
        <v>311.28949</v>
      </c>
      <c r="CP19" s="67">
        <f t="shared" si="29"/>
        <v>241.67559</v>
      </c>
      <c r="CQ19" s="30">
        <f t="shared" si="29"/>
        <v>2377.6187999999997</v>
      </c>
      <c r="CR19" s="67">
        <f t="shared" si="29"/>
        <v>2985.2901999999999</v>
      </c>
      <c r="CS19" s="67">
        <f t="shared" si="29"/>
        <v>264.41942</v>
      </c>
      <c r="CT19" s="68">
        <f t="shared" si="29"/>
        <v>1130.7172399999999</v>
      </c>
      <c r="CU19" s="2"/>
      <c r="CV19" s="42" t="s">
        <v>517</v>
      </c>
      <c r="CW19" s="67">
        <f t="shared" si="69"/>
        <v>44801.074000000001</v>
      </c>
      <c r="CX19" s="67">
        <f t="shared" si="30"/>
        <v>38808.337</v>
      </c>
      <c r="CY19" s="67">
        <f t="shared" si="30"/>
        <v>2796.8959</v>
      </c>
      <c r="CZ19" s="67">
        <f t="shared" si="30"/>
        <v>1254.2443999999998</v>
      </c>
      <c r="DA19" s="30">
        <f t="shared" si="30"/>
        <v>1083.8594700000001</v>
      </c>
      <c r="DB19" s="67">
        <f t="shared" si="30"/>
        <v>2406.6442000000002</v>
      </c>
      <c r="DC19" s="67">
        <f t="shared" si="30"/>
        <v>311.28949</v>
      </c>
      <c r="DD19" s="67">
        <f t="shared" si="30"/>
        <v>241.67559</v>
      </c>
      <c r="DE19" s="30">
        <f t="shared" si="30"/>
        <v>2377.6187999999997</v>
      </c>
      <c r="DF19" s="67">
        <f t="shared" si="30"/>
        <v>2985.2901999999999</v>
      </c>
      <c r="DG19" s="67">
        <f t="shared" si="30"/>
        <v>264.41942</v>
      </c>
      <c r="DH19" s="68">
        <f t="shared" si="30"/>
        <v>1130.7172399999999</v>
      </c>
      <c r="DI19" s="2"/>
      <c r="DJ19" s="37" t="s">
        <v>517</v>
      </c>
      <c r="DK19" s="76" t="s">
        <v>517</v>
      </c>
      <c r="DL19" s="67">
        <f t="shared" si="70"/>
        <v>12947.17</v>
      </c>
      <c r="DM19" s="67">
        <f t="shared" si="31"/>
        <v>11119.2</v>
      </c>
      <c r="DN19" s="67">
        <f t="shared" si="32"/>
        <v>426.67270000000002</v>
      </c>
      <c r="DO19" s="67">
        <f t="shared" si="33"/>
        <v>342.93779999999998</v>
      </c>
      <c r="DP19" s="30">
        <f t="shared" si="34"/>
        <v>217.48910000000001</v>
      </c>
      <c r="DQ19" s="67">
        <f t="shared" si="35"/>
        <v>314.7396</v>
      </c>
      <c r="DR19" s="67">
        <f t="shared" si="36"/>
        <v>25.990950000000002</v>
      </c>
      <c r="DS19" s="67">
        <f t="shared" si="37"/>
        <v>42.790199999999999</v>
      </c>
      <c r="DT19" s="30">
        <f t="shared" si="38"/>
        <v>333.71640000000002</v>
      </c>
      <c r="DU19" s="67">
        <f t="shared" si="39"/>
        <v>259.00310000000002</v>
      </c>
      <c r="DV19" s="67">
        <f t="shared" si="40"/>
        <v>0</v>
      </c>
      <c r="DW19" s="68">
        <f t="shared" si="41"/>
        <v>18.352640000000001</v>
      </c>
      <c r="DX19" s="2"/>
      <c r="DY19" s="81" t="s">
        <v>517</v>
      </c>
      <c r="DZ19" s="82"/>
      <c r="EA19" s="82"/>
      <c r="EB19" s="82">
        <v>1</v>
      </c>
      <c r="EC19" s="83"/>
      <c r="ED19" s="84"/>
      <c r="EE19" s="2"/>
      <c r="EF19" s="38" t="s">
        <v>517</v>
      </c>
      <c r="EG19" s="93" t="s">
        <v>517</v>
      </c>
      <c r="EH19" s="94"/>
      <c r="EI19" s="94"/>
      <c r="EJ19" s="94"/>
      <c r="EK19" s="94"/>
      <c r="EL19" s="94"/>
      <c r="EM19" s="94"/>
      <c r="EN19" s="94"/>
      <c r="EO19" s="94"/>
      <c r="EP19" s="94"/>
      <c r="EQ19" s="94"/>
      <c r="ER19" s="94"/>
      <c r="ES19" s="95"/>
      <c r="ET19" s="38" t="s">
        <v>517</v>
      </c>
      <c r="EU19" s="93" t="s">
        <v>517</v>
      </c>
      <c r="EV19" s="94"/>
      <c r="EW19" s="94"/>
      <c r="EX19" s="94"/>
      <c r="EY19" s="94"/>
      <c r="EZ19" s="94"/>
      <c r="FA19" s="94"/>
      <c r="FB19" s="94"/>
      <c r="FC19" s="94"/>
      <c r="FD19" s="94"/>
      <c r="FE19" s="94"/>
      <c r="FF19" s="94"/>
      <c r="FG19" s="95"/>
      <c r="FH19" s="38" t="s">
        <v>517</v>
      </c>
      <c r="FI19" s="93" t="s">
        <v>517</v>
      </c>
      <c r="FJ19" s="94">
        <v>12947.17</v>
      </c>
      <c r="FK19" s="94">
        <v>11119.2</v>
      </c>
      <c r="FL19" s="94">
        <v>426.67270000000002</v>
      </c>
      <c r="FM19" s="94">
        <v>342.93779999999998</v>
      </c>
      <c r="FN19" s="94">
        <v>217.48910000000001</v>
      </c>
      <c r="FO19" s="94">
        <v>314.7396</v>
      </c>
      <c r="FP19" s="94">
        <v>25.990950000000002</v>
      </c>
      <c r="FQ19" s="94">
        <v>42.790199999999999</v>
      </c>
      <c r="FR19" s="94">
        <v>333.71640000000002</v>
      </c>
      <c r="FS19" s="94">
        <v>259.00310000000002</v>
      </c>
      <c r="FT19" s="94"/>
      <c r="FU19" s="95">
        <v>18.352640000000001</v>
      </c>
      <c r="FV19" s="38" t="s">
        <v>517</v>
      </c>
      <c r="FW19" s="93" t="s">
        <v>517</v>
      </c>
      <c r="FX19" s="94"/>
      <c r="FY19" s="94"/>
      <c r="FZ19" s="94"/>
      <c r="GA19" s="94"/>
      <c r="GB19" s="94"/>
      <c r="GC19" s="94"/>
      <c r="GD19" s="94"/>
      <c r="GE19" s="94"/>
      <c r="GF19" s="94"/>
      <c r="GG19" s="94"/>
      <c r="GH19" s="94"/>
      <c r="GI19" s="95"/>
      <c r="GJ19" s="38" t="s">
        <v>517</v>
      </c>
      <c r="GK19" s="93" t="s">
        <v>517</v>
      </c>
      <c r="GL19" s="94"/>
      <c r="GM19" s="94"/>
      <c r="GN19" s="94"/>
      <c r="GO19" s="94"/>
      <c r="GP19" s="94"/>
      <c r="GQ19" s="94"/>
      <c r="GR19" s="94"/>
      <c r="GS19" s="94"/>
      <c r="GT19" s="94"/>
      <c r="GU19" s="94"/>
      <c r="GV19" s="94"/>
      <c r="GW19" s="95"/>
      <c r="GX19" s="38"/>
    </row>
    <row r="20" spans="1:206" x14ac:dyDescent="0.35">
      <c r="A20" s="2"/>
      <c r="B20" s="2"/>
      <c r="C20" s="42" t="s">
        <v>518</v>
      </c>
      <c r="D20" s="43">
        <f t="shared" si="42"/>
        <v>0.44033074663233163</v>
      </c>
      <c r="E20" s="43">
        <f t="shared" si="0"/>
        <v>0.38143067746030235</v>
      </c>
      <c r="F20" s="43">
        <f t="shared" si="1"/>
        <v>2.7489503039590232E-2</v>
      </c>
      <c r="G20" s="43">
        <f t="shared" si="2"/>
        <v>1.2327436014400473E-2</v>
      </c>
      <c r="H20" s="43">
        <f t="shared" si="3"/>
        <v>1.5111945241176677E-2</v>
      </c>
      <c r="I20" s="43">
        <f t="shared" si="4"/>
        <v>3.3555157630717064E-2</v>
      </c>
      <c r="J20" s="43">
        <f t="shared" si="5"/>
        <v>4.3402210869955436E-3</v>
      </c>
      <c r="K20" s="43">
        <f t="shared" si="6"/>
        <v>3.3696142196451588E-3</v>
      </c>
      <c r="L20" s="43">
        <f t="shared" si="7"/>
        <v>2.8865004444145321E-2</v>
      </c>
      <c r="M20" s="43">
        <f t="shared" si="8"/>
        <v>3.6242317267201743E-2</v>
      </c>
      <c r="N20" s="43">
        <f t="shared" si="9"/>
        <v>3.2101309652406555E-3</v>
      </c>
      <c r="O20" s="44">
        <f t="shared" si="10"/>
        <v>1.3727245998253267E-2</v>
      </c>
      <c r="P20" s="115">
        <f t="shared" si="43"/>
        <v>1</v>
      </c>
      <c r="Q20" s="2"/>
      <c r="R20" s="42" t="s">
        <v>518</v>
      </c>
      <c r="S20" s="43">
        <f t="shared" si="44"/>
        <v>0.44033074663233163</v>
      </c>
      <c r="T20" s="43">
        <f t="shared" si="45"/>
        <v>0.38143067746030235</v>
      </c>
      <c r="U20" s="43">
        <f t="shared" si="46"/>
        <v>2.7489503039590232E-2</v>
      </c>
      <c r="V20" s="43">
        <f t="shared" si="47"/>
        <v>1.2327436014400473E-2</v>
      </c>
      <c r="W20" s="29">
        <f t="shared" si="48"/>
        <v>1.5111945241176677E-2</v>
      </c>
      <c r="X20" s="43">
        <f t="shared" si="49"/>
        <v>3.3555157630717064E-2</v>
      </c>
      <c r="Y20" s="43">
        <f t="shared" si="50"/>
        <v>4.3402210869955436E-3</v>
      </c>
      <c r="Z20" s="43">
        <f t="shared" si="51"/>
        <v>3.3696142196451588E-3</v>
      </c>
      <c r="AA20" s="29">
        <f t="shared" si="52"/>
        <v>2.8865004444145321E-2</v>
      </c>
      <c r="AB20" s="43">
        <f t="shared" si="53"/>
        <v>3.6242317267201743E-2</v>
      </c>
      <c r="AC20" s="43">
        <f t="shared" si="54"/>
        <v>3.2101309652406555E-3</v>
      </c>
      <c r="AD20" s="43">
        <f t="shared" si="55"/>
        <v>1.3727245998253267E-2</v>
      </c>
      <c r="AE20" s="32">
        <f t="shared" si="56"/>
        <v>0.48430769631765358</v>
      </c>
      <c r="AF20" s="53">
        <f t="shared" si="57"/>
        <v>0.45122815235822111</v>
      </c>
      <c r="AG20" s="53">
        <f t="shared" si="58"/>
        <v>3.503985509182643E-2</v>
      </c>
      <c r="AH20" s="53">
        <f t="shared" si="59"/>
        <v>2.9424296232298898E-2</v>
      </c>
      <c r="AI20" s="34">
        <f t="shared" si="60"/>
        <v>0.86157836314662462</v>
      </c>
      <c r="AJ20" s="35">
        <f t="shared" si="61"/>
        <v>5.6376938178534439E-2</v>
      </c>
      <c r="AK20" s="34">
        <f t="shared" si="62"/>
        <v>0.86157836314662462</v>
      </c>
      <c r="AL20" s="35">
        <f t="shared" si="63"/>
        <v>5.6376938178534439E-2</v>
      </c>
      <c r="AM20" s="35">
        <f t="shared" si="64"/>
        <v>8.2044698674840988E-2</v>
      </c>
      <c r="AN20" s="36">
        <v>1</v>
      </c>
      <c r="AO20" s="54">
        <v>1</v>
      </c>
      <c r="AP20" s="2"/>
      <c r="AQ20" s="42" t="s">
        <v>518</v>
      </c>
      <c r="AR20" s="43">
        <f t="shared" si="65"/>
        <v>0.45500847130256711</v>
      </c>
      <c r="AS20" s="43">
        <f t="shared" si="17"/>
        <v>0.39414506206179012</v>
      </c>
      <c r="AT20" s="43">
        <f t="shared" si="17"/>
        <v>2.8405821874971513E-2</v>
      </c>
      <c r="AU20" s="43">
        <f t="shared" si="17"/>
        <v>1.2738351475319662E-2</v>
      </c>
      <c r="AV20" s="29">
        <f t="shared" si="17"/>
        <v>1.1007888796404984E-2</v>
      </c>
      <c r="AW20" s="43">
        <f t="shared" si="17"/>
        <v>2.444234927071591E-2</v>
      </c>
      <c r="AX20" s="43">
        <f t="shared" si="17"/>
        <v>3.1615169533091045E-3</v>
      </c>
      <c r="AY20" s="43">
        <f t="shared" si="17"/>
        <v>2.454504567391531E-3</v>
      </c>
      <c r="AZ20" s="29">
        <f t="shared" si="17"/>
        <v>2.4147561630514569E-2</v>
      </c>
      <c r="BA20" s="43">
        <f t="shared" si="17"/>
        <v>3.0319191238507692E-2</v>
      </c>
      <c r="BB20" s="43">
        <f t="shared" si="17"/>
        <v>2.6854953539040475E-3</v>
      </c>
      <c r="BC20" s="44">
        <f t="shared" si="17"/>
        <v>1.1483785474603976E-2</v>
      </c>
      <c r="BD20" s="2"/>
      <c r="BE20" s="42" t="s">
        <v>518</v>
      </c>
      <c r="BF20" s="62">
        <v>1</v>
      </c>
      <c r="BG20" s="62">
        <v>1</v>
      </c>
      <c r="BH20" s="62">
        <v>1</v>
      </c>
      <c r="BI20" s="62">
        <v>1</v>
      </c>
      <c r="BJ20" s="36">
        <v>1</v>
      </c>
      <c r="BK20" s="62">
        <v>1</v>
      </c>
      <c r="BL20" s="62">
        <v>1</v>
      </c>
      <c r="BM20" s="62">
        <v>1</v>
      </c>
      <c r="BN20" s="36">
        <v>1</v>
      </c>
      <c r="BO20" s="62">
        <v>1</v>
      </c>
      <c r="BP20" s="62">
        <v>1</v>
      </c>
      <c r="BQ20" s="54">
        <v>1</v>
      </c>
      <c r="BR20" s="2"/>
      <c r="BS20" s="42" t="s">
        <v>518</v>
      </c>
      <c r="BT20" s="67">
        <f t="shared" si="66"/>
        <v>44801.074000000001</v>
      </c>
      <c r="BU20" s="67">
        <f t="shared" si="18"/>
        <v>38808.337</v>
      </c>
      <c r="BV20" s="67">
        <f t="shared" si="19"/>
        <v>2796.8959</v>
      </c>
      <c r="BW20" s="67">
        <f t="shared" si="20"/>
        <v>1254.2443999999998</v>
      </c>
      <c r="BX20" s="30">
        <f t="shared" si="21"/>
        <v>1083.8594700000001</v>
      </c>
      <c r="BY20" s="67">
        <f t="shared" si="22"/>
        <v>2406.6442000000002</v>
      </c>
      <c r="BZ20" s="67">
        <f t="shared" si="23"/>
        <v>311.28949</v>
      </c>
      <c r="CA20" s="67">
        <f t="shared" si="24"/>
        <v>241.67559</v>
      </c>
      <c r="CB20" s="30">
        <f t="shared" si="25"/>
        <v>2377.6187999999997</v>
      </c>
      <c r="CC20" s="67">
        <f t="shared" si="26"/>
        <v>2985.2901999999999</v>
      </c>
      <c r="CD20" s="67">
        <f t="shared" si="27"/>
        <v>264.41942</v>
      </c>
      <c r="CE20" s="68">
        <f t="shared" si="28"/>
        <v>1130.7172399999999</v>
      </c>
      <c r="CF20" s="2"/>
      <c r="CG20" s="37" t="str">
        <f t="shared" si="67"/>
        <v>abanb</v>
      </c>
      <c r="CH20" s="42" t="s">
        <v>518</v>
      </c>
      <c r="CI20" s="67">
        <f t="shared" si="68"/>
        <v>44801.074000000001</v>
      </c>
      <c r="CJ20" s="67">
        <f t="shared" si="29"/>
        <v>38808.337</v>
      </c>
      <c r="CK20" s="67">
        <f t="shared" si="29"/>
        <v>2796.8959</v>
      </c>
      <c r="CL20" s="67">
        <f t="shared" si="29"/>
        <v>1254.2443999999998</v>
      </c>
      <c r="CM20" s="30">
        <f t="shared" si="29"/>
        <v>1083.8594700000001</v>
      </c>
      <c r="CN20" s="67">
        <f t="shared" si="29"/>
        <v>2406.6442000000002</v>
      </c>
      <c r="CO20" s="67">
        <f t="shared" si="29"/>
        <v>311.28949</v>
      </c>
      <c r="CP20" s="67">
        <f t="shared" si="29"/>
        <v>241.67559</v>
      </c>
      <c r="CQ20" s="30">
        <f t="shared" si="29"/>
        <v>2377.6187999999997</v>
      </c>
      <c r="CR20" s="67">
        <f t="shared" si="29"/>
        <v>2985.2901999999999</v>
      </c>
      <c r="CS20" s="67">
        <f t="shared" si="29"/>
        <v>264.41942</v>
      </c>
      <c r="CT20" s="68">
        <f t="shared" si="29"/>
        <v>1130.7172399999999</v>
      </c>
      <c r="CU20" s="2"/>
      <c r="CV20" s="42" t="s">
        <v>518</v>
      </c>
      <c r="CW20" s="67">
        <f t="shared" si="69"/>
        <v>0</v>
      </c>
      <c r="CX20" s="67">
        <f t="shared" si="30"/>
        <v>0</v>
      </c>
      <c r="CY20" s="67">
        <f t="shared" si="30"/>
        <v>0</v>
      </c>
      <c r="CZ20" s="67">
        <f t="shared" si="30"/>
        <v>0</v>
      </c>
      <c r="DA20" s="30">
        <f t="shared" si="30"/>
        <v>0</v>
      </c>
      <c r="DB20" s="67">
        <f t="shared" si="30"/>
        <v>0</v>
      </c>
      <c r="DC20" s="67">
        <f t="shared" si="30"/>
        <v>0</v>
      </c>
      <c r="DD20" s="67">
        <f t="shared" si="30"/>
        <v>0</v>
      </c>
      <c r="DE20" s="30">
        <f t="shared" si="30"/>
        <v>0</v>
      </c>
      <c r="DF20" s="67">
        <f t="shared" si="30"/>
        <v>0</v>
      </c>
      <c r="DG20" s="67">
        <f t="shared" si="30"/>
        <v>0</v>
      </c>
      <c r="DH20" s="68">
        <f t="shared" si="30"/>
        <v>0</v>
      </c>
      <c r="DI20" s="2"/>
      <c r="DJ20" s="37" t="s">
        <v>517</v>
      </c>
      <c r="DK20" s="76" t="s">
        <v>518</v>
      </c>
      <c r="DL20" s="67">
        <f t="shared" si="70"/>
        <v>15978.58</v>
      </c>
      <c r="DM20" s="67">
        <f t="shared" si="31"/>
        <v>14227.8</v>
      </c>
      <c r="DN20" s="67">
        <f t="shared" si="32"/>
        <v>1437.1569999999999</v>
      </c>
      <c r="DO20" s="67">
        <f t="shared" si="33"/>
        <v>511.4375</v>
      </c>
      <c r="DP20" s="30">
        <f t="shared" si="34"/>
        <v>396.02339999999998</v>
      </c>
      <c r="DQ20" s="67">
        <f t="shared" si="35"/>
        <v>1485.3689999999999</v>
      </c>
      <c r="DR20" s="67">
        <f t="shared" si="36"/>
        <v>129.5771</v>
      </c>
      <c r="DS20" s="67">
        <f t="shared" si="37"/>
        <v>93.074759999999998</v>
      </c>
      <c r="DT20" s="30">
        <f t="shared" si="38"/>
        <v>718.64459999999997</v>
      </c>
      <c r="DU20" s="67">
        <f t="shared" si="39"/>
        <v>1700.704</v>
      </c>
      <c r="DV20" s="67">
        <f t="shared" si="40"/>
        <v>114.50320000000001</v>
      </c>
      <c r="DW20" s="68">
        <f t="shared" si="41"/>
        <v>528.13919999999996</v>
      </c>
      <c r="DX20" s="2"/>
      <c r="DY20" s="81" t="s">
        <v>518</v>
      </c>
      <c r="DZ20" s="82"/>
      <c r="EA20" s="82"/>
      <c r="EB20" s="82">
        <v>1</v>
      </c>
      <c r="EC20" s="83"/>
      <c r="ED20" s="84"/>
      <c r="EE20" s="2"/>
      <c r="EF20" s="38" t="s">
        <v>518</v>
      </c>
      <c r="EG20" s="93" t="s">
        <v>518</v>
      </c>
      <c r="EH20" s="94"/>
      <c r="EI20" s="94"/>
      <c r="EJ20" s="94"/>
      <c r="EK20" s="94"/>
      <c r="EL20" s="94"/>
      <c r="EM20" s="94"/>
      <c r="EN20" s="94"/>
      <c r="EO20" s="94"/>
      <c r="EP20" s="94"/>
      <c r="EQ20" s="94"/>
      <c r="ER20" s="94"/>
      <c r="ES20" s="95"/>
      <c r="ET20" s="38" t="s">
        <v>518</v>
      </c>
      <c r="EU20" s="93" t="s">
        <v>518</v>
      </c>
      <c r="EV20" s="94"/>
      <c r="EW20" s="94"/>
      <c r="EX20" s="94"/>
      <c r="EY20" s="94"/>
      <c r="EZ20" s="94"/>
      <c r="FA20" s="94"/>
      <c r="FB20" s="94"/>
      <c r="FC20" s="94"/>
      <c r="FD20" s="94"/>
      <c r="FE20" s="94"/>
      <c r="FF20" s="94"/>
      <c r="FG20" s="95"/>
      <c r="FH20" s="38" t="s">
        <v>518</v>
      </c>
      <c r="FI20" s="93" t="s">
        <v>518</v>
      </c>
      <c r="FJ20" s="94">
        <v>15978.58</v>
      </c>
      <c r="FK20" s="94">
        <v>14227.8</v>
      </c>
      <c r="FL20" s="94">
        <v>1437.1569999999999</v>
      </c>
      <c r="FM20" s="94">
        <v>511.4375</v>
      </c>
      <c r="FN20" s="94">
        <v>396.02339999999998</v>
      </c>
      <c r="FO20" s="94">
        <v>1485.3689999999999</v>
      </c>
      <c r="FP20" s="94">
        <v>129.5771</v>
      </c>
      <c r="FQ20" s="94">
        <v>93.074759999999998</v>
      </c>
      <c r="FR20" s="94">
        <v>718.64459999999997</v>
      </c>
      <c r="FS20" s="94">
        <v>1700.704</v>
      </c>
      <c r="FT20" s="94">
        <v>114.50320000000001</v>
      </c>
      <c r="FU20" s="95">
        <v>528.13919999999996</v>
      </c>
      <c r="FV20" s="38" t="s">
        <v>518</v>
      </c>
      <c r="FW20" s="93" t="s">
        <v>518</v>
      </c>
      <c r="FX20" s="94"/>
      <c r="FY20" s="94"/>
      <c r="FZ20" s="94"/>
      <c r="GA20" s="94"/>
      <c r="GB20" s="94"/>
      <c r="GC20" s="94"/>
      <c r="GD20" s="94"/>
      <c r="GE20" s="94"/>
      <c r="GF20" s="94"/>
      <c r="GG20" s="94"/>
      <c r="GH20" s="94"/>
      <c r="GI20" s="95"/>
      <c r="GJ20" s="38" t="s">
        <v>518</v>
      </c>
      <c r="GK20" s="93" t="s">
        <v>518</v>
      </c>
      <c r="GL20" s="94"/>
      <c r="GM20" s="94"/>
      <c r="GN20" s="94"/>
      <c r="GO20" s="94"/>
      <c r="GP20" s="94"/>
      <c r="GQ20" s="94"/>
      <c r="GR20" s="94"/>
      <c r="GS20" s="94"/>
      <c r="GT20" s="94"/>
      <c r="GU20" s="94"/>
      <c r="GV20" s="94"/>
      <c r="GW20" s="95"/>
      <c r="GX20" s="38"/>
    </row>
    <row r="21" spans="1:206" x14ac:dyDescent="0.35">
      <c r="A21" s="2"/>
      <c r="B21" s="2"/>
      <c r="C21" s="42" t="s">
        <v>519</v>
      </c>
      <c r="D21" s="43">
        <f t="shared" si="42"/>
        <v>0.42768851449743706</v>
      </c>
      <c r="E21" s="43">
        <f t="shared" si="0"/>
        <v>0.37047951130916906</v>
      </c>
      <c r="F21" s="43">
        <f t="shared" si="1"/>
        <v>2.6700258406192941E-2</v>
      </c>
      <c r="G21" s="43">
        <f t="shared" si="2"/>
        <v>1.1973505908646946E-2</v>
      </c>
      <c r="H21" s="43">
        <f t="shared" si="3"/>
        <v>1.0718163005374363E-2</v>
      </c>
      <c r="I21" s="43">
        <f t="shared" si="4"/>
        <v>2.379903072816144E-2</v>
      </c>
      <c r="J21" s="43">
        <f t="shared" si="5"/>
        <v>3.0783063561550575E-3</v>
      </c>
      <c r="K21" s="43">
        <f t="shared" si="6"/>
        <v>2.3899024179214134E-3</v>
      </c>
      <c r="L21" s="43">
        <f t="shared" si="7"/>
        <v>4.3334714973489778E-2</v>
      </c>
      <c r="M21" s="43">
        <f t="shared" si="8"/>
        <v>5.4410193900785234E-2</v>
      </c>
      <c r="N21" s="43">
        <f t="shared" si="9"/>
        <v>4.8193344530904122E-3</v>
      </c>
      <c r="O21" s="44">
        <f t="shared" si="10"/>
        <v>2.0608564043576305E-2</v>
      </c>
      <c r="P21" s="115">
        <f t="shared" si="43"/>
        <v>1</v>
      </c>
      <c r="Q21" s="2"/>
      <c r="R21" s="42" t="s">
        <v>519</v>
      </c>
      <c r="S21" s="43">
        <f t="shared" si="44"/>
        <v>0.42768851449743706</v>
      </c>
      <c r="T21" s="43">
        <f t="shared" si="45"/>
        <v>0.37047951130916906</v>
      </c>
      <c r="U21" s="43">
        <f t="shared" si="46"/>
        <v>2.6700258406192941E-2</v>
      </c>
      <c r="V21" s="43">
        <f t="shared" si="47"/>
        <v>1.1973505908646946E-2</v>
      </c>
      <c r="W21" s="29">
        <f t="shared" si="48"/>
        <v>1.0718163005374363E-2</v>
      </c>
      <c r="X21" s="43">
        <f t="shared" si="49"/>
        <v>2.379903072816144E-2</v>
      </c>
      <c r="Y21" s="43">
        <f t="shared" si="50"/>
        <v>3.0783063561550575E-3</v>
      </c>
      <c r="Z21" s="43">
        <f t="shared" si="51"/>
        <v>2.3899024179214134E-3</v>
      </c>
      <c r="AA21" s="29">
        <f t="shared" si="52"/>
        <v>4.3334714973489778E-2</v>
      </c>
      <c r="AB21" s="43">
        <f t="shared" si="53"/>
        <v>5.4410193900785234E-2</v>
      </c>
      <c r="AC21" s="43">
        <f t="shared" si="54"/>
        <v>4.8193344530904122E-3</v>
      </c>
      <c r="AD21" s="43">
        <f t="shared" si="55"/>
        <v>2.0608564043576305E-2</v>
      </c>
      <c r="AE21" s="32">
        <f t="shared" si="56"/>
        <v>0.48174139247630121</v>
      </c>
      <c r="AF21" s="53">
        <f t="shared" si="57"/>
        <v>0.4486887359381157</v>
      </c>
      <c r="AG21" s="53">
        <f t="shared" si="58"/>
        <v>3.4597899215438412E-2</v>
      </c>
      <c r="AH21" s="53">
        <f t="shared" si="59"/>
        <v>3.4971972370144669E-2</v>
      </c>
      <c r="AI21" s="34">
        <f t="shared" si="60"/>
        <v>0.83684179012144599</v>
      </c>
      <c r="AJ21" s="35">
        <f t="shared" si="61"/>
        <v>3.9985402507612275E-2</v>
      </c>
      <c r="AK21" s="34">
        <f t="shared" si="62"/>
        <v>0.83684179012144599</v>
      </c>
      <c r="AL21" s="35">
        <f t="shared" si="63"/>
        <v>3.9985402507612275E-2</v>
      </c>
      <c r="AM21" s="35">
        <f t="shared" si="64"/>
        <v>0.12317280737094172</v>
      </c>
      <c r="AN21" s="36">
        <v>1</v>
      </c>
      <c r="AO21" s="54">
        <v>1</v>
      </c>
      <c r="AP21" s="2"/>
      <c r="AQ21" s="42" t="s">
        <v>519</v>
      </c>
      <c r="AR21" s="43">
        <f t="shared" si="65"/>
        <v>0.45500847130256711</v>
      </c>
      <c r="AS21" s="43">
        <f t="shared" si="17"/>
        <v>0.39414506206179012</v>
      </c>
      <c r="AT21" s="43">
        <f t="shared" si="17"/>
        <v>2.8405821874971513E-2</v>
      </c>
      <c r="AU21" s="43">
        <f t="shared" si="17"/>
        <v>1.2738351475319662E-2</v>
      </c>
      <c r="AV21" s="29">
        <f t="shared" si="17"/>
        <v>1.1007888796404984E-2</v>
      </c>
      <c r="AW21" s="43">
        <f t="shared" si="17"/>
        <v>2.444234927071591E-2</v>
      </c>
      <c r="AX21" s="43">
        <f t="shared" si="17"/>
        <v>3.1615169533091045E-3</v>
      </c>
      <c r="AY21" s="43">
        <f t="shared" si="17"/>
        <v>2.454504567391531E-3</v>
      </c>
      <c r="AZ21" s="29">
        <f t="shared" si="17"/>
        <v>2.4147561630514569E-2</v>
      </c>
      <c r="BA21" s="43">
        <f t="shared" si="17"/>
        <v>3.0319191238507692E-2</v>
      </c>
      <c r="BB21" s="43">
        <f t="shared" si="17"/>
        <v>2.6854953539040475E-3</v>
      </c>
      <c r="BC21" s="44">
        <f t="shared" si="17"/>
        <v>1.1483785474603976E-2</v>
      </c>
      <c r="BD21" s="2"/>
      <c r="BE21" s="42" t="s">
        <v>519</v>
      </c>
      <c r="BF21" s="62">
        <v>1</v>
      </c>
      <c r="BG21" s="62">
        <v>1</v>
      </c>
      <c r="BH21" s="62">
        <v>1</v>
      </c>
      <c r="BI21" s="62">
        <v>1</v>
      </c>
      <c r="BJ21" s="36">
        <v>1</v>
      </c>
      <c r="BK21" s="62">
        <v>1</v>
      </c>
      <c r="BL21" s="62">
        <v>1</v>
      </c>
      <c r="BM21" s="62">
        <v>1</v>
      </c>
      <c r="BN21" s="36">
        <v>1</v>
      </c>
      <c r="BO21" s="62">
        <v>1</v>
      </c>
      <c r="BP21" s="62">
        <v>1</v>
      </c>
      <c r="BQ21" s="54">
        <v>1</v>
      </c>
      <c r="BR21" s="2"/>
      <c r="BS21" s="42" t="s">
        <v>519</v>
      </c>
      <c r="BT21" s="67">
        <f t="shared" si="66"/>
        <v>44801.074000000001</v>
      </c>
      <c r="BU21" s="67">
        <f t="shared" si="18"/>
        <v>38808.337</v>
      </c>
      <c r="BV21" s="67">
        <f t="shared" si="19"/>
        <v>2796.8959</v>
      </c>
      <c r="BW21" s="67">
        <f t="shared" si="20"/>
        <v>1254.2443999999998</v>
      </c>
      <c r="BX21" s="30">
        <f t="shared" si="21"/>
        <v>1083.8594700000001</v>
      </c>
      <c r="BY21" s="67">
        <f t="shared" si="22"/>
        <v>2406.6442000000002</v>
      </c>
      <c r="BZ21" s="67">
        <f t="shared" si="23"/>
        <v>311.28949</v>
      </c>
      <c r="CA21" s="67">
        <f t="shared" si="24"/>
        <v>241.67559</v>
      </c>
      <c r="CB21" s="30">
        <f t="shared" si="25"/>
        <v>2377.6187999999997</v>
      </c>
      <c r="CC21" s="67">
        <f t="shared" si="26"/>
        <v>2985.2901999999999</v>
      </c>
      <c r="CD21" s="67">
        <f t="shared" si="27"/>
        <v>264.41942</v>
      </c>
      <c r="CE21" s="68">
        <f t="shared" si="28"/>
        <v>1130.7172399999999</v>
      </c>
      <c r="CF21" s="2"/>
      <c r="CG21" s="37" t="str">
        <f t="shared" si="67"/>
        <v>abanb</v>
      </c>
      <c r="CH21" s="42" t="s">
        <v>519</v>
      </c>
      <c r="CI21" s="67">
        <f t="shared" si="68"/>
        <v>44801.074000000001</v>
      </c>
      <c r="CJ21" s="67">
        <f t="shared" si="29"/>
        <v>38808.337</v>
      </c>
      <c r="CK21" s="67">
        <f t="shared" si="29"/>
        <v>2796.8959</v>
      </c>
      <c r="CL21" s="67">
        <f t="shared" si="29"/>
        <v>1254.2443999999998</v>
      </c>
      <c r="CM21" s="30">
        <f t="shared" si="29"/>
        <v>1083.8594700000001</v>
      </c>
      <c r="CN21" s="67">
        <f t="shared" si="29"/>
        <v>2406.6442000000002</v>
      </c>
      <c r="CO21" s="67">
        <f t="shared" si="29"/>
        <v>311.28949</v>
      </c>
      <c r="CP21" s="67">
        <f t="shared" si="29"/>
        <v>241.67559</v>
      </c>
      <c r="CQ21" s="30">
        <f t="shared" si="29"/>
        <v>2377.6187999999997</v>
      </c>
      <c r="CR21" s="67">
        <f t="shared" si="29"/>
        <v>2985.2901999999999</v>
      </c>
      <c r="CS21" s="67">
        <f t="shared" si="29"/>
        <v>264.41942</v>
      </c>
      <c r="CT21" s="68">
        <f t="shared" si="29"/>
        <v>1130.7172399999999</v>
      </c>
      <c r="CU21" s="2"/>
      <c r="CV21" s="42" t="s">
        <v>519</v>
      </c>
      <c r="CW21" s="67">
        <f t="shared" si="69"/>
        <v>0</v>
      </c>
      <c r="CX21" s="67">
        <f t="shared" si="30"/>
        <v>0</v>
      </c>
      <c r="CY21" s="67">
        <f t="shared" si="30"/>
        <v>0</v>
      </c>
      <c r="CZ21" s="67">
        <f t="shared" si="30"/>
        <v>0</v>
      </c>
      <c r="DA21" s="30">
        <f t="shared" si="30"/>
        <v>0</v>
      </c>
      <c r="DB21" s="67">
        <f t="shared" si="30"/>
        <v>0</v>
      </c>
      <c r="DC21" s="67">
        <f t="shared" si="30"/>
        <v>0</v>
      </c>
      <c r="DD21" s="67">
        <f t="shared" si="30"/>
        <v>0</v>
      </c>
      <c r="DE21" s="30">
        <f t="shared" si="30"/>
        <v>0</v>
      </c>
      <c r="DF21" s="67">
        <f t="shared" si="30"/>
        <v>0</v>
      </c>
      <c r="DG21" s="67">
        <f t="shared" si="30"/>
        <v>0</v>
      </c>
      <c r="DH21" s="68">
        <f t="shared" si="30"/>
        <v>0</v>
      </c>
      <c r="DI21" s="2"/>
      <c r="DJ21" s="37" t="s">
        <v>517</v>
      </c>
      <c r="DK21" s="76" t="s">
        <v>519</v>
      </c>
      <c r="DL21" s="67">
        <f t="shared" si="70"/>
        <v>4455.424</v>
      </c>
      <c r="DM21" s="67">
        <f t="shared" si="31"/>
        <v>4983.4870000000001</v>
      </c>
      <c r="DN21" s="67">
        <f t="shared" si="32"/>
        <v>394.65719999999999</v>
      </c>
      <c r="DO21" s="67">
        <f t="shared" si="33"/>
        <v>245.5264</v>
      </c>
      <c r="DP21" s="30">
        <f t="shared" si="34"/>
        <v>92.177369999999996</v>
      </c>
      <c r="DQ21" s="67">
        <f t="shared" si="35"/>
        <v>234.2089</v>
      </c>
      <c r="DR21" s="67">
        <f t="shared" si="36"/>
        <v>93.967240000000004</v>
      </c>
      <c r="DS21" s="67">
        <f t="shared" si="37"/>
        <v>61.238900000000001</v>
      </c>
      <c r="DT21" s="30">
        <f t="shared" si="38"/>
        <v>680.65239999999994</v>
      </c>
      <c r="DU21" s="67">
        <f t="shared" si="39"/>
        <v>586.84889999999996</v>
      </c>
      <c r="DV21" s="67">
        <f t="shared" si="40"/>
        <v>24.013719999999999</v>
      </c>
      <c r="DW21" s="68">
        <f t="shared" si="41"/>
        <v>192.00360000000001</v>
      </c>
      <c r="DX21" s="2"/>
      <c r="DY21" s="81" t="s">
        <v>519</v>
      </c>
      <c r="DZ21" s="82"/>
      <c r="EA21" s="82"/>
      <c r="EB21" s="82">
        <v>1</v>
      </c>
      <c r="EC21" s="83"/>
      <c r="ED21" s="84"/>
      <c r="EE21" s="2"/>
      <c r="EF21" s="38" t="s">
        <v>519</v>
      </c>
      <c r="EG21" s="93" t="s">
        <v>519</v>
      </c>
      <c r="EH21" s="94"/>
      <c r="EI21" s="94"/>
      <c r="EJ21" s="94"/>
      <c r="EK21" s="94"/>
      <c r="EL21" s="94"/>
      <c r="EM21" s="94"/>
      <c r="EN21" s="94"/>
      <c r="EO21" s="94"/>
      <c r="EP21" s="94"/>
      <c r="EQ21" s="94"/>
      <c r="ER21" s="94"/>
      <c r="ES21" s="95"/>
      <c r="ET21" s="38" t="s">
        <v>519</v>
      </c>
      <c r="EU21" s="93" t="s">
        <v>519</v>
      </c>
      <c r="EV21" s="94"/>
      <c r="EW21" s="94"/>
      <c r="EX21" s="94"/>
      <c r="EY21" s="94"/>
      <c r="EZ21" s="94"/>
      <c r="FA21" s="94"/>
      <c r="FB21" s="94"/>
      <c r="FC21" s="94"/>
      <c r="FD21" s="94"/>
      <c r="FE21" s="94"/>
      <c r="FF21" s="94"/>
      <c r="FG21" s="95"/>
      <c r="FH21" s="38" t="s">
        <v>519</v>
      </c>
      <c r="FI21" s="93" t="s">
        <v>519</v>
      </c>
      <c r="FJ21" s="94">
        <v>4455.424</v>
      </c>
      <c r="FK21" s="94">
        <v>4983.4870000000001</v>
      </c>
      <c r="FL21" s="94">
        <v>394.65719999999999</v>
      </c>
      <c r="FM21" s="94">
        <v>245.5264</v>
      </c>
      <c r="FN21" s="94">
        <v>92.177369999999996</v>
      </c>
      <c r="FO21" s="94">
        <v>234.2089</v>
      </c>
      <c r="FP21" s="94">
        <v>93.967240000000004</v>
      </c>
      <c r="FQ21" s="94">
        <v>61.238900000000001</v>
      </c>
      <c r="FR21" s="94">
        <v>680.65239999999994</v>
      </c>
      <c r="FS21" s="94">
        <v>586.84889999999996</v>
      </c>
      <c r="FT21" s="94">
        <v>24.013719999999999</v>
      </c>
      <c r="FU21" s="95">
        <v>192.00360000000001</v>
      </c>
      <c r="FV21" s="38" t="s">
        <v>519</v>
      </c>
      <c r="FW21" s="93" t="s">
        <v>519</v>
      </c>
      <c r="FX21" s="94"/>
      <c r="FY21" s="94"/>
      <c r="FZ21" s="94"/>
      <c r="GA21" s="94"/>
      <c r="GB21" s="94"/>
      <c r="GC21" s="94"/>
      <c r="GD21" s="94"/>
      <c r="GE21" s="94"/>
      <c r="GF21" s="94"/>
      <c r="GG21" s="94"/>
      <c r="GH21" s="94"/>
      <c r="GI21" s="95"/>
      <c r="GJ21" s="38" t="s">
        <v>519</v>
      </c>
      <c r="GK21" s="93" t="s">
        <v>519</v>
      </c>
      <c r="GL21" s="94"/>
      <c r="GM21" s="94"/>
      <c r="GN21" s="94"/>
      <c r="GO21" s="94"/>
      <c r="GP21" s="94"/>
      <c r="GQ21" s="94"/>
      <c r="GR21" s="94"/>
      <c r="GS21" s="94"/>
      <c r="GT21" s="94"/>
      <c r="GU21" s="94"/>
      <c r="GV21" s="94"/>
      <c r="GW21" s="95"/>
      <c r="GX21" s="38"/>
    </row>
    <row r="22" spans="1:206" x14ac:dyDescent="0.35">
      <c r="A22" s="2"/>
      <c r="B22" s="2"/>
      <c r="C22" s="42" t="s">
        <v>480</v>
      </c>
      <c r="D22" s="43">
        <f t="shared" si="42"/>
        <v>0.45656547357525518</v>
      </c>
      <c r="E22" s="43">
        <f t="shared" si="0"/>
        <v>0.39549379465932211</v>
      </c>
      <c r="F22" s="43">
        <f t="shared" si="1"/>
        <v>2.8503024305269766E-2</v>
      </c>
      <c r="G22" s="43">
        <f t="shared" si="2"/>
        <v>1.2781941086169311E-2</v>
      </c>
      <c r="H22" s="43">
        <f t="shared" si="3"/>
        <v>9.9646378833817759E-3</v>
      </c>
      <c r="I22" s="43">
        <f t="shared" si="4"/>
        <v>2.2125873907934784E-2</v>
      </c>
      <c r="J22" s="43">
        <f t="shared" si="5"/>
        <v>2.8618904300873912E-3</v>
      </c>
      <c r="K22" s="43">
        <f t="shared" si="6"/>
        <v>2.2218837462412368E-3</v>
      </c>
      <c r="L22" s="43">
        <f t="shared" si="7"/>
        <v>2.4445007088919602E-2</v>
      </c>
      <c r="M22" s="43">
        <f t="shared" si="8"/>
        <v>3.0692657755516661E-2</v>
      </c>
      <c r="N22" s="43">
        <f t="shared" si="9"/>
        <v>2.7185748179430654E-3</v>
      </c>
      <c r="O22" s="44">
        <f t="shared" si="10"/>
        <v>1.1625240743959295E-2</v>
      </c>
      <c r="P22" s="115">
        <f t="shared" si="43"/>
        <v>1</v>
      </c>
      <c r="Q22" s="2"/>
      <c r="R22" s="42" t="s">
        <v>480</v>
      </c>
      <c r="S22" s="43">
        <f t="shared" si="44"/>
        <v>0.45656547357525512</v>
      </c>
      <c r="T22" s="43">
        <f t="shared" si="45"/>
        <v>0.39549379465932205</v>
      </c>
      <c r="U22" s="43">
        <f t="shared" si="46"/>
        <v>2.8503024305269763E-2</v>
      </c>
      <c r="V22" s="43">
        <f t="shared" si="47"/>
        <v>1.2781941086169309E-2</v>
      </c>
      <c r="W22" s="29">
        <f t="shared" si="48"/>
        <v>9.9646378833817741E-3</v>
      </c>
      <c r="X22" s="43">
        <f t="shared" si="49"/>
        <v>2.212587390793478E-2</v>
      </c>
      <c r="Y22" s="43">
        <f t="shared" si="50"/>
        <v>2.8618904300873908E-3</v>
      </c>
      <c r="Z22" s="43">
        <f t="shared" si="51"/>
        <v>2.2218837462412364E-3</v>
      </c>
      <c r="AA22" s="29">
        <f t="shared" si="52"/>
        <v>2.4445007088919599E-2</v>
      </c>
      <c r="AB22" s="43">
        <f t="shared" si="53"/>
        <v>3.0692657755516658E-2</v>
      </c>
      <c r="AC22" s="43">
        <f t="shared" si="54"/>
        <v>2.7185748179430649E-3</v>
      </c>
      <c r="AD22" s="43">
        <f t="shared" si="55"/>
        <v>1.1625240743959294E-2</v>
      </c>
      <c r="AE22" s="32">
        <f t="shared" si="56"/>
        <v>0.49097511854755649</v>
      </c>
      <c r="AF22" s="53">
        <f t="shared" si="57"/>
        <v>0.44831232632277351</v>
      </c>
      <c r="AG22" s="53">
        <f t="shared" si="58"/>
        <v>3.4083489553300213E-2</v>
      </c>
      <c r="AH22" s="53">
        <f t="shared" si="59"/>
        <v>2.6629065576369841E-2</v>
      </c>
      <c r="AI22" s="34">
        <f t="shared" si="60"/>
        <v>0.89334423362601623</v>
      </c>
      <c r="AJ22" s="35">
        <f t="shared" si="61"/>
        <v>3.7174285967645181E-2</v>
      </c>
      <c r="AK22" s="34">
        <f t="shared" si="62"/>
        <v>0.89334423362601623</v>
      </c>
      <c r="AL22" s="35">
        <f t="shared" si="63"/>
        <v>3.7174285967645181E-2</v>
      </c>
      <c r="AM22" s="35">
        <f t="shared" si="64"/>
        <v>6.9481480406338614E-2</v>
      </c>
      <c r="AN22" s="36">
        <v>1</v>
      </c>
      <c r="AO22" s="54">
        <v>1</v>
      </c>
      <c r="AP22" s="2"/>
      <c r="AQ22" s="42" t="s">
        <v>480</v>
      </c>
      <c r="AR22" s="43">
        <f t="shared" si="65"/>
        <v>0.45500847130256711</v>
      </c>
      <c r="AS22" s="43">
        <f t="shared" si="17"/>
        <v>0.39414506206179012</v>
      </c>
      <c r="AT22" s="43">
        <f t="shared" si="17"/>
        <v>2.8405821874971513E-2</v>
      </c>
      <c r="AU22" s="43">
        <f t="shared" si="17"/>
        <v>1.2738351475319662E-2</v>
      </c>
      <c r="AV22" s="29">
        <f t="shared" si="17"/>
        <v>1.1007888796404984E-2</v>
      </c>
      <c r="AW22" s="43">
        <f t="shared" si="17"/>
        <v>2.444234927071591E-2</v>
      </c>
      <c r="AX22" s="43">
        <f t="shared" si="17"/>
        <v>3.1615169533091045E-3</v>
      </c>
      <c r="AY22" s="43">
        <f t="shared" si="17"/>
        <v>2.454504567391531E-3</v>
      </c>
      <c r="AZ22" s="29">
        <f t="shared" si="17"/>
        <v>2.4147561630514569E-2</v>
      </c>
      <c r="BA22" s="43">
        <f t="shared" si="17"/>
        <v>3.0319191238507692E-2</v>
      </c>
      <c r="BB22" s="43">
        <f t="shared" si="17"/>
        <v>2.6854953539040475E-3</v>
      </c>
      <c r="BC22" s="44">
        <f t="shared" si="17"/>
        <v>1.1483785474603976E-2</v>
      </c>
      <c r="BD22" s="2"/>
      <c r="BE22" s="42" t="s">
        <v>480</v>
      </c>
      <c r="BF22" s="62">
        <v>1</v>
      </c>
      <c r="BG22" s="62">
        <v>1</v>
      </c>
      <c r="BH22" s="62">
        <v>1</v>
      </c>
      <c r="BI22" s="62">
        <v>1</v>
      </c>
      <c r="BJ22" s="36">
        <v>1</v>
      </c>
      <c r="BK22" s="62">
        <v>1</v>
      </c>
      <c r="BL22" s="62">
        <v>1</v>
      </c>
      <c r="BM22" s="62">
        <v>1</v>
      </c>
      <c r="BN22" s="36">
        <v>1</v>
      </c>
      <c r="BO22" s="62">
        <v>1</v>
      </c>
      <c r="BP22" s="62">
        <v>1</v>
      </c>
      <c r="BQ22" s="54">
        <v>1</v>
      </c>
      <c r="BR22" s="2"/>
      <c r="BS22" s="42" t="s">
        <v>480</v>
      </c>
      <c r="BT22" s="67">
        <f t="shared" si="66"/>
        <v>44801.074000000001</v>
      </c>
      <c r="BU22" s="67">
        <f t="shared" si="18"/>
        <v>38808.337</v>
      </c>
      <c r="BV22" s="67">
        <f t="shared" si="19"/>
        <v>2796.8959</v>
      </c>
      <c r="BW22" s="67">
        <f t="shared" si="20"/>
        <v>1254.2443999999998</v>
      </c>
      <c r="BX22" s="30">
        <f t="shared" si="21"/>
        <v>1083.8594700000001</v>
      </c>
      <c r="BY22" s="67">
        <f t="shared" si="22"/>
        <v>2406.6442000000002</v>
      </c>
      <c r="BZ22" s="67">
        <f t="shared" si="23"/>
        <v>311.28949</v>
      </c>
      <c r="CA22" s="67">
        <f t="shared" si="24"/>
        <v>241.67559</v>
      </c>
      <c r="CB22" s="30">
        <f t="shared" si="25"/>
        <v>2377.6187999999997</v>
      </c>
      <c r="CC22" s="67">
        <f t="shared" si="26"/>
        <v>2985.2901999999999</v>
      </c>
      <c r="CD22" s="67">
        <f t="shared" si="27"/>
        <v>264.41942</v>
      </c>
      <c r="CE22" s="68">
        <f t="shared" si="28"/>
        <v>1130.7172399999999</v>
      </c>
      <c r="CF22" s="2"/>
      <c r="CG22" s="37" t="str">
        <f t="shared" si="67"/>
        <v>abanb</v>
      </c>
      <c r="CH22" s="42" t="s">
        <v>480</v>
      </c>
      <c r="CI22" s="67">
        <f t="shared" si="68"/>
        <v>44801.074000000001</v>
      </c>
      <c r="CJ22" s="67">
        <f t="shared" si="29"/>
        <v>38808.337</v>
      </c>
      <c r="CK22" s="67">
        <f t="shared" si="29"/>
        <v>2796.8959</v>
      </c>
      <c r="CL22" s="67">
        <f t="shared" si="29"/>
        <v>1254.2443999999998</v>
      </c>
      <c r="CM22" s="30">
        <f t="shared" si="29"/>
        <v>1083.8594700000001</v>
      </c>
      <c r="CN22" s="67">
        <f t="shared" si="29"/>
        <v>2406.6442000000002</v>
      </c>
      <c r="CO22" s="67">
        <f t="shared" si="29"/>
        <v>311.28949</v>
      </c>
      <c r="CP22" s="67">
        <f t="shared" si="29"/>
        <v>241.67559</v>
      </c>
      <c r="CQ22" s="30">
        <f t="shared" si="29"/>
        <v>2377.6187999999997</v>
      </c>
      <c r="CR22" s="67">
        <f t="shared" si="29"/>
        <v>2985.2901999999999</v>
      </c>
      <c r="CS22" s="67">
        <f t="shared" si="29"/>
        <v>264.41942</v>
      </c>
      <c r="CT22" s="68">
        <f t="shared" si="29"/>
        <v>1130.7172399999999</v>
      </c>
      <c r="CU22" s="2"/>
      <c r="CV22" s="42" t="s">
        <v>480</v>
      </c>
      <c r="CW22" s="67">
        <f t="shared" si="69"/>
        <v>0</v>
      </c>
      <c r="CX22" s="67">
        <f t="shared" si="30"/>
        <v>0</v>
      </c>
      <c r="CY22" s="67">
        <f t="shared" si="30"/>
        <v>0</v>
      </c>
      <c r="CZ22" s="67">
        <f t="shared" si="30"/>
        <v>0</v>
      </c>
      <c r="DA22" s="30">
        <f t="shared" si="30"/>
        <v>0</v>
      </c>
      <c r="DB22" s="67">
        <f t="shared" si="30"/>
        <v>0</v>
      </c>
      <c r="DC22" s="67">
        <f t="shared" si="30"/>
        <v>0</v>
      </c>
      <c r="DD22" s="67">
        <f t="shared" si="30"/>
        <v>0</v>
      </c>
      <c r="DE22" s="30">
        <f t="shared" si="30"/>
        <v>0</v>
      </c>
      <c r="DF22" s="67">
        <f t="shared" si="30"/>
        <v>0</v>
      </c>
      <c r="DG22" s="67">
        <f t="shared" si="30"/>
        <v>0</v>
      </c>
      <c r="DH22" s="68">
        <f t="shared" si="30"/>
        <v>0</v>
      </c>
      <c r="DI22" s="2"/>
      <c r="DJ22" s="37" t="s">
        <v>517</v>
      </c>
      <c r="DK22" s="76" t="s">
        <v>480</v>
      </c>
      <c r="DL22" s="67">
        <f t="shared" si="70"/>
        <v>11419.9</v>
      </c>
      <c r="DM22" s="67">
        <f t="shared" si="31"/>
        <v>8477.85</v>
      </c>
      <c r="DN22" s="67">
        <f t="shared" si="32"/>
        <v>538.40899999999999</v>
      </c>
      <c r="DO22" s="67">
        <f t="shared" si="33"/>
        <v>154.34270000000001</v>
      </c>
      <c r="DP22" s="30">
        <f t="shared" si="34"/>
        <v>378.1696</v>
      </c>
      <c r="DQ22" s="67">
        <f t="shared" si="35"/>
        <v>372.32670000000002</v>
      </c>
      <c r="DR22" s="67">
        <f t="shared" si="36"/>
        <v>61.754199999999997</v>
      </c>
      <c r="DS22" s="67">
        <f t="shared" si="37"/>
        <v>44.571730000000002</v>
      </c>
      <c r="DT22" s="30">
        <f t="shared" si="38"/>
        <v>644.60540000000003</v>
      </c>
      <c r="DU22" s="67">
        <f t="shared" si="39"/>
        <v>438.73419999999999</v>
      </c>
      <c r="DV22" s="67">
        <f t="shared" si="40"/>
        <v>125.9025</v>
      </c>
      <c r="DW22" s="68">
        <f t="shared" si="41"/>
        <v>392.22179999999997</v>
      </c>
      <c r="DX22" s="2"/>
      <c r="DY22" s="81" t="s">
        <v>480</v>
      </c>
      <c r="DZ22" s="82"/>
      <c r="EA22" s="82"/>
      <c r="EB22" s="82">
        <v>1</v>
      </c>
      <c r="EC22" s="83"/>
      <c r="ED22" s="84"/>
      <c r="EE22" s="2"/>
      <c r="EF22" s="38" t="s">
        <v>480</v>
      </c>
      <c r="EG22" s="93" t="s">
        <v>480</v>
      </c>
      <c r="EH22" s="94"/>
      <c r="EI22" s="94"/>
      <c r="EJ22" s="94"/>
      <c r="EK22" s="94"/>
      <c r="EL22" s="94"/>
      <c r="EM22" s="94"/>
      <c r="EN22" s="94"/>
      <c r="EO22" s="94"/>
      <c r="EP22" s="94"/>
      <c r="EQ22" s="94"/>
      <c r="ER22" s="94"/>
      <c r="ES22" s="95"/>
      <c r="ET22" s="38" t="s">
        <v>480</v>
      </c>
      <c r="EU22" s="93" t="s">
        <v>480</v>
      </c>
      <c r="EV22" s="94"/>
      <c r="EW22" s="94"/>
      <c r="EX22" s="94"/>
      <c r="EY22" s="94"/>
      <c r="EZ22" s="94"/>
      <c r="FA22" s="94"/>
      <c r="FB22" s="94"/>
      <c r="FC22" s="94"/>
      <c r="FD22" s="94"/>
      <c r="FE22" s="94"/>
      <c r="FF22" s="94"/>
      <c r="FG22" s="95"/>
      <c r="FH22" s="38" t="s">
        <v>480</v>
      </c>
      <c r="FI22" s="93" t="s">
        <v>480</v>
      </c>
      <c r="FJ22" s="94">
        <v>11419.9</v>
      </c>
      <c r="FK22" s="94">
        <v>8477.85</v>
      </c>
      <c r="FL22" s="94">
        <v>538.40899999999999</v>
      </c>
      <c r="FM22" s="94">
        <v>154.34270000000001</v>
      </c>
      <c r="FN22" s="94">
        <v>378.1696</v>
      </c>
      <c r="FO22" s="94">
        <v>372.32670000000002</v>
      </c>
      <c r="FP22" s="94">
        <v>61.754199999999997</v>
      </c>
      <c r="FQ22" s="94">
        <v>44.571730000000002</v>
      </c>
      <c r="FR22" s="94">
        <v>644.60540000000003</v>
      </c>
      <c r="FS22" s="94">
        <v>438.73419999999999</v>
      </c>
      <c r="FT22" s="94">
        <v>125.9025</v>
      </c>
      <c r="FU22" s="95">
        <v>392.22179999999997</v>
      </c>
      <c r="FV22" s="38" t="s">
        <v>480</v>
      </c>
      <c r="FW22" s="93" t="s">
        <v>480</v>
      </c>
      <c r="FX22" s="94"/>
      <c r="FY22" s="94"/>
      <c r="FZ22" s="94"/>
      <c r="GA22" s="94"/>
      <c r="GB22" s="94"/>
      <c r="GC22" s="94"/>
      <c r="GD22" s="94"/>
      <c r="GE22" s="94"/>
      <c r="GF22" s="94"/>
      <c r="GG22" s="94"/>
      <c r="GH22" s="94"/>
      <c r="GI22" s="95"/>
      <c r="GJ22" s="38" t="s">
        <v>480</v>
      </c>
      <c r="GK22" s="93" t="s">
        <v>480</v>
      </c>
      <c r="GL22" s="94"/>
      <c r="GM22" s="94"/>
      <c r="GN22" s="94"/>
      <c r="GO22" s="94"/>
      <c r="GP22" s="94"/>
      <c r="GQ22" s="94"/>
      <c r="GR22" s="94"/>
      <c r="GS22" s="94"/>
      <c r="GT22" s="94"/>
      <c r="GU22" s="94"/>
      <c r="GV22" s="94"/>
      <c r="GW22" s="95"/>
      <c r="GX22" s="38"/>
    </row>
    <row r="23" spans="1:206" x14ac:dyDescent="0.35">
      <c r="A23" s="2"/>
      <c r="B23" s="2"/>
      <c r="C23" s="42" t="s">
        <v>459</v>
      </c>
      <c r="D23" s="43">
        <f t="shared" si="42"/>
        <v>0.5087628487384509</v>
      </c>
      <c r="E23" s="43">
        <f t="shared" si="0"/>
        <v>0.38630888473854597</v>
      </c>
      <c r="F23" s="43">
        <f t="shared" si="1"/>
        <v>3.1382561167211734E-2</v>
      </c>
      <c r="G23" s="43">
        <f t="shared" si="2"/>
        <v>1.3944388581266454E-2</v>
      </c>
      <c r="H23" s="43">
        <f t="shared" si="3"/>
        <v>1.0793710408811191E-2</v>
      </c>
      <c r="I23" s="43">
        <f t="shared" si="4"/>
        <v>1.3101393545598314E-2</v>
      </c>
      <c r="J23" s="43">
        <f t="shared" si="5"/>
        <v>1.7378196911987977E-3</v>
      </c>
      <c r="K23" s="43">
        <f t="shared" si="6"/>
        <v>9.9966361712359596E-4</v>
      </c>
      <c r="L23" s="43">
        <f t="shared" si="7"/>
        <v>1.3628966698360008E-2</v>
      </c>
      <c r="M23" s="43">
        <f t="shared" si="8"/>
        <v>1.243403184217208E-2</v>
      </c>
      <c r="N23" s="43">
        <f t="shared" si="9"/>
        <v>1.3635677215222289E-3</v>
      </c>
      <c r="O23" s="44">
        <f t="shared" si="10"/>
        <v>5.5421632497387697E-3</v>
      </c>
      <c r="P23" s="115">
        <f t="shared" si="43"/>
        <v>1</v>
      </c>
      <c r="Q23" s="2"/>
      <c r="R23" s="42" t="s">
        <v>459</v>
      </c>
      <c r="S23" s="43">
        <f t="shared" si="44"/>
        <v>0.5087628487384509</v>
      </c>
      <c r="T23" s="43">
        <f t="shared" si="45"/>
        <v>0.38630888473854597</v>
      </c>
      <c r="U23" s="43">
        <f t="shared" si="46"/>
        <v>3.1382561167211734E-2</v>
      </c>
      <c r="V23" s="43">
        <f t="shared" si="47"/>
        <v>1.3944388581266454E-2</v>
      </c>
      <c r="W23" s="29">
        <f t="shared" si="48"/>
        <v>1.0793710408811191E-2</v>
      </c>
      <c r="X23" s="43">
        <f t="shared" si="49"/>
        <v>1.3101393545598314E-2</v>
      </c>
      <c r="Y23" s="43">
        <f t="shared" si="50"/>
        <v>1.7378196911987977E-3</v>
      </c>
      <c r="Z23" s="43">
        <f t="shared" si="51"/>
        <v>9.9966361712359596E-4</v>
      </c>
      <c r="AA23" s="29">
        <f t="shared" si="52"/>
        <v>1.3628966698360008E-2</v>
      </c>
      <c r="AB23" s="43">
        <f t="shared" si="53"/>
        <v>1.243403184217208E-2</v>
      </c>
      <c r="AC23" s="43">
        <f t="shared" si="54"/>
        <v>1.3635677215222289E-3</v>
      </c>
      <c r="AD23" s="43">
        <f t="shared" si="55"/>
        <v>5.5421632497387697E-3</v>
      </c>
      <c r="AE23" s="32">
        <f t="shared" si="56"/>
        <v>0.53318552584562207</v>
      </c>
      <c r="AF23" s="53">
        <f t="shared" si="57"/>
        <v>0.41184431012631634</v>
      </c>
      <c r="AG23" s="53">
        <f t="shared" si="58"/>
        <v>3.4483948579932755E-2</v>
      </c>
      <c r="AH23" s="53">
        <f t="shared" si="59"/>
        <v>2.0486215448128821E-2</v>
      </c>
      <c r="AI23" s="34">
        <f t="shared" si="60"/>
        <v>0.94039868322547504</v>
      </c>
      <c r="AJ23" s="35">
        <f t="shared" si="61"/>
        <v>2.6632587262731898E-2</v>
      </c>
      <c r="AK23" s="34">
        <f t="shared" si="62"/>
        <v>0.94039868322547504</v>
      </c>
      <c r="AL23" s="35">
        <f t="shared" si="63"/>
        <v>2.6632587262731898E-2</v>
      </c>
      <c r="AM23" s="35">
        <f t="shared" si="64"/>
        <v>3.2968729511793082E-2</v>
      </c>
      <c r="AN23" s="36">
        <v>1</v>
      </c>
      <c r="AO23" s="54">
        <v>1</v>
      </c>
      <c r="AP23" s="2"/>
      <c r="AQ23" s="42" t="s">
        <v>459</v>
      </c>
      <c r="AR23" s="43">
        <f t="shared" si="65"/>
        <v>0.50426186231960402</v>
      </c>
      <c r="AS23" s="43">
        <f t="shared" ref="AS23:AS86" si="71">IF(SUM($BT23:$CE23),BU23/SUM($BT23:$CE23),0)</f>
        <v>0.38289123927170493</v>
      </c>
      <c r="AT23" s="43">
        <f t="shared" ref="AT23:AT86" si="72">IF(SUM($BT23:$CE23),BV23/SUM($BT23:$CE23),0)</f>
        <v>3.1104922023645128E-2</v>
      </c>
      <c r="AU23" s="43">
        <f t="shared" ref="AU23:AU86" si="73">IF(SUM($BT23:$CE23),BW23/SUM($BT23:$CE23),0)</f>
        <v>1.3821023630820415E-2</v>
      </c>
      <c r="AV23" s="29">
        <f t="shared" ref="AV23:AV86" si="74">IF(SUM($BT23:$CE23),BX23/SUM($BT23:$CE23),0)</f>
        <v>1.0659007346526585E-2</v>
      </c>
      <c r="AW23" s="43">
        <f t="shared" ref="AW23:AW86" si="75">IF(SUM($BT23:$CE23),BY23/SUM($BT23:$CE23),0)</f>
        <v>1.2937891120209247E-2</v>
      </c>
      <c r="AX23" s="43">
        <f t="shared" ref="AX23:AX86" si="76">IF(SUM($BT23:$CE23),BZ23/SUM($BT23:$CE23),0)</f>
        <v>1.7161320948823474E-3</v>
      </c>
      <c r="AY23" s="43">
        <f t="shared" ref="AY23:AY86" si="77">IF(SUM($BT23:$CE23),CA23/SUM($BT23:$CE23),0)</f>
        <v>9.871880414984496E-4</v>
      </c>
      <c r="AZ23" s="29">
        <f t="shared" ref="AZ23:AZ86" si="78">IF(SUM($BT23:$CE23),CB23/SUM($BT23:$CE23),0)</f>
        <v>1.7205625091007749E-2</v>
      </c>
      <c r="BA23" s="43">
        <f t="shared" ref="BA23:BA86" si="79">IF(SUM($BT23:$CE23),CC23/SUM($BT23:$CE23),0)</f>
        <v>1.5697102721060164E-2</v>
      </c>
      <c r="BB23" s="43">
        <f t="shared" ref="BB23:BB86" si="80">IF(SUM($BT23:$CE23),CD23/SUM($BT23:$CE23),0)</f>
        <v>1.7214096653075121E-3</v>
      </c>
      <c r="BC23" s="44">
        <f t="shared" ref="BC23:BC86" si="81">IF(SUM($BT23:$CE23),CE23/SUM($BT23:$CE23),0)</f>
        <v>6.9965966737332175E-3</v>
      </c>
      <c r="BD23" s="2"/>
      <c r="BE23" s="42" t="s">
        <v>459</v>
      </c>
      <c r="BF23" s="62">
        <v>1</v>
      </c>
      <c r="BG23" s="62">
        <v>1</v>
      </c>
      <c r="BH23" s="62">
        <v>1</v>
      </c>
      <c r="BI23" s="62">
        <v>1</v>
      </c>
      <c r="BJ23" s="36">
        <v>1</v>
      </c>
      <c r="BK23" s="62">
        <v>1</v>
      </c>
      <c r="BL23" s="62">
        <v>1</v>
      </c>
      <c r="BM23" s="62">
        <v>1</v>
      </c>
      <c r="BN23" s="36">
        <v>1</v>
      </c>
      <c r="BO23" s="62">
        <v>1</v>
      </c>
      <c r="BP23" s="62">
        <v>1</v>
      </c>
      <c r="BQ23" s="54">
        <v>1</v>
      </c>
      <c r="BR23" s="2"/>
      <c r="BS23" s="42" t="s">
        <v>459</v>
      </c>
      <c r="BT23" s="67">
        <f t="shared" si="66"/>
        <v>7520.9259000000011</v>
      </c>
      <c r="BU23" s="67">
        <f t="shared" si="18"/>
        <v>5710.7166999999999</v>
      </c>
      <c r="BV23" s="67">
        <f t="shared" si="19"/>
        <v>463.92129</v>
      </c>
      <c r="BW23" s="67">
        <f t="shared" si="20"/>
        <v>206.13673640000002</v>
      </c>
      <c r="BX23" s="30">
        <f t="shared" si="21"/>
        <v>158.97613999999999</v>
      </c>
      <c r="BY23" s="67">
        <f t="shared" si="22"/>
        <v>192.96505980000001</v>
      </c>
      <c r="BZ23" s="67">
        <f t="shared" si="23"/>
        <v>25.595634499999999</v>
      </c>
      <c r="CA23" s="67">
        <f t="shared" si="24"/>
        <v>14.723635999999999</v>
      </c>
      <c r="CB23" s="30">
        <f t="shared" si="25"/>
        <v>256.61712899999998</v>
      </c>
      <c r="CC23" s="67">
        <f t="shared" si="26"/>
        <v>234.11793600000001</v>
      </c>
      <c r="CD23" s="67">
        <f t="shared" si="27"/>
        <v>25.674348000000002</v>
      </c>
      <c r="CE23" s="68">
        <f t="shared" si="28"/>
        <v>104.3523</v>
      </c>
      <c r="CF23" s="2"/>
      <c r="CG23" s="37" t="str">
        <f t="shared" si="67"/>
        <v>agnut</v>
      </c>
      <c r="CH23" s="42" t="s">
        <v>459</v>
      </c>
      <c r="CI23" s="67">
        <f t="shared" si="68"/>
        <v>7520.9259000000011</v>
      </c>
      <c r="CJ23" s="67">
        <f t="shared" ref="CJ23:CJ86" si="82">SUMIF($CV$7:$CV$110,$CG23,CX$7:CX$110)</f>
        <v>5710.7166999999999</v>
      </c>
      <c r="CK23" s="67">
        <f t="shared" ref="CK23:CK86" si="83">SUMIF($CV$7:$CV$110,$CG23,CY$7:CY$110)</f>
        <v>463.92129</v>
      </c>
      <c r="CL23" s="67">
        <f t="shared" ref="CL23:CL86" si="84">SUMIF($CV$7:$CV$110,$CG23,CZ$7:CZ$110)</f>
        <v>206.13673640000002</v>
      </c>
      <c r="CM23" s="30">
        <f t="shared" ref="CM23:CM86" si="85">SUMIF($CV$7:$CV$110,$CG23,DA$7:DA$110)</f>
        <v>158.97613999999999</v>
      </c>
      <c r="CN23" s="67">
        <f t="shared" ref="CN23:CN86" si="86">SUMIF($CV$7:$CV$110,$CG23,DB$7:DB$110)</f>
        <v>192.96505980000001</v>
      </c>
      <c r="CO23" s="67">
        <f t="shared" ref="CO23:CO86" si="87">SUMIF($CV$7:$CV$110,$CG23,DC$7:DC$110)</f>
        <v>25.595634499999999</v>
      </c>
      <c r="CP23" s="67">
        <f t="shared" ref="CP23:CP86" si="88">SUMIF($CV$7:$CV$110,$CG23,DD$7:DD$110)</f>
        <v>14.723635999999999</v>
      </c>
      <c r="CQ23" s="30">
        <f t="shared" ref="CQ23:CQ86" si="89">SUMIF($CV$7:$CV$110,$CG23,DE$7:DE$110)</f>
        <v>256.61712899999998</v>
      </c>
      <c r="CR23" s="67">
        <f t="shared" ref="CR23:CR86" si="90">SUMIF($CV$7:$CV$110,$CG23,DF$7:DF$110)</f>
        <v>234.11793600000001</v>
      </c>
      <c r="CS23" s="67">
        <f t="shared" ref="CS23:CS86" si="91">SUMIF($CV$7:$CV$110,$CG23,DG$7:DG$110)</f>
        <v>25.674348000000002</v>
      </c>
      <c r="CT23" s="68">
        <f t="shared" ref="CT23:CT86" si="92">SUMIF($CV$7:$CV$110,$CG23,DH$7:DH$110)</f>
        <v>104.3523</v>
      </c>
      <c r="CU23" s="2"/>
      <c r="CV23" s="42" t="s">
        <v>459</v>
      </c>
      <c r="CW23" s="67">
        <f t="shared" si="69"/>
        <v>7520.9259000000011</v>
      </c>
      <c r="CX23" s="67">
        <f t="shared" ref="CX23:CX86" si="93">SUMIF($DJ$7:$DJ$110,$CV23,DM$7:DM$110)</f>
        <v>5710.7166999999999</v>
      </c>
      <c r="CY23" s="67">
        <f t="shared" ref="CY23:CY86" si="94">SUMIF($DJ$7:$DJ$110,$CV23,DN$7:DN$110)</f>
        <v>463.92129</v>
      </c>
      <c r="CZ23" s="67">
        <f t="shared" ref="CZ23:CZ86" si="95">SUMIF($DJ$7:$DJ$110,$CV23,DO$7:DO$110)</f>
        <v>206.13673640000002</v>
      </c>
      <c r="DA23" s="30">
        <f t="shared" ref="DA23:DA86" si="96">SUMIF($DJ$7:$DJ$110,$CV23,DP$7:DP$110)</f>
        <v>158.97613999999999</v>
      </c>
      <c r="DB23" s="67">
        <f t="shared" ref="DB23:DB86" si="97">SUMIF($DJ$7:$DJ$110,$CV23,DQ$7:DQ$110)</f>
        <v>192.96505980000001</v>
      </c>
      <c r="DC23" s="67">
        <f t="shared" ref="DC23:DC86" si="98">SUMIF($DJ$7:$DJ$110,$CV23,DR$7:DR$110)</f>
        <v>25.595634499999999</v>
      </c>
      <c r="DD23" s="67">
        <f t="shared" ref="DD23:DD86" si="99">SUMIF($DJ$7:$DJ$110,$CV23,DS$7:DS$110)</f>
        <v>14.723635999999999</v>
      </c>
      <c r="DE23" s="30">
        <f t="shared" ref="DE23:DE86" si="100">SUMIF($DJ$7:$DJ$110,$CV23,DT$7:DT$110)</f>
        <v>256.61712899999998</v>
      </c>
      <c r="DF23" s="67">
        <f t="shared" ref="DF23:DF86" si="101">SUMIF($DJ$7:$DJ$110,$CV23,DU$7:DU$110)</f>
        <v>234.11793600000001</v>
      </c>
      <c r="DG23" s="67">
        <f t="shared" ref="DG23:DG86" si="102">SUMIF($DJ$7:$DJ$110,$CV23,DV$7:DV$110)</f>
        <v>25.674348000000002</v>
      </c>
      <c r="DH23" s="68">
        <f t="shared" ref="DH23:DH86" si="103">SUMIF($DJ$7:$DJ$110,$CV23,DW$7:DW$110)</f>
        <v>104.3523</v>
      </c>
      <c r="DI23" s="2"/>
      <c r="DJ23" s="37" t="s">
        <v>459</v>
      </c>
      <c r="DK23" s="76" t="s">
        <v>459</v>
      </c>
      <c r="DL23" s="67">
        <f t="shared" si="70"/>
        <v>4834.1180000000004</v>
      </c>
      <c r="DM23" s="67">
        <f t="shared" si="31"/>
        <v>3688.7269999999999</v>
      </c>
      <c r="DN23" s="67">
        <f t="shared" si="32"/>
        <v>294.56180000000001</v>
      </c>
      <c r="DO23" s="67">
        <f t="shared" si="33"/>
        <v>123.4164</v>
      </c>
      <c r="DP23" s="30">
        <f t="shared" si="34"/>
        <v>107.8758</v>
      </c>
      <c r="DQ23" s="67">
        <f t="shared" si="35"/>
        <v>133.21770000000001</v>
      </c>
      <c r="DR23" s="67">
        <f t="shared" si="36"/>
        <v>6.8375729999999999</v>
      </c>
      <c r="DS23" s="67">
        <f t="shared" si="37"/>
        <v>5.2777609999999999</v>
      </c>
      <c r="DT23" s="30">
        <f t="shared" si="38"/>
        <v>171.84299999999999</v>
      </c>
      <c r="DU23" s="67">
        <f t="shared" si="39"/>
        <v>97.449539999999999</v>
      </c>
      <c r="DV23" s="67">
        <f t="shared" si="40"/>
        <v>24.372630000000001</v>
      </c>
      <c r="DW23" s="68">
        <f t="shared" si="41"/>
        <v>19.784420000000001</v>
      </c>
      <c r="DX23" s="2"/>
      <c r="DY23" s="81" t="s">
        <v>459</v>
      </c>
      <c r="DZ23" s="82"/>
      <c r="EA23" s="82"/>
      <c r="EB23" s="82">
        <v>1</v>
      </c>
      <c r="EC23" s="83"/>
      <c r="ED23" s="84"/>
      <c r="EE23" s="2"/>
      <c r="EF23" s="38" t="s">
        <v>459</v>
      </c>
      <c r="EG23" s="93" t="s">
        <v>459</v>
      </c>
      <c r="EH23" s="94"/>
      <c r="EI23" s="94"/>
      <c r="EJ23" s="94"/>
      <c r="EK23" s="94"/>
      <c r="EL23" s="94"/>
      <c r="EM23" s="94"/>
      <c r="EN23" s="94"/>
      <c r="EO23" s="94"/>
      <c r="EP23" s="94"/>
      <c r="EQ23" s="94"/>
      <c r="ER23" s="94"/>
      <c r="ES23" s="95"/>
      <c r="ET23" s="38" t="s">
        <v>459</v>
      </c>
      <c r="EU23" s="93" t="s">
        <v>459</v>
      </c>
      <c r="EV23" s="94"/>
      <c r="EW23" s="94"/>
      <c r="EX23" s="94"/>
      <c r="EY23" s="94"/>
      <c r="EZ23" s="94"/>
      <c r="FA23" s="94"/>
      <c r="FB23" s="94"/>
      <c r="FC23" s="94"/>
      <c r="FD23" s="94"/>
      <c r="FE23" s="94"/>
      <c r="FF23" s="94"/>
      <c r="FG23" s="95"/>
      <c r="FH23" s="38" t="s">
        <v>459</v>
      </c>
      <c r="FI23" s="93" t="s">
        <v>459</v>
      </c>
      <c r="FJ23" s="94">
        <v>4834.1180000000004</v>
      </c>
      <c r="FK23" s="94">
        <v>3688.7269999999999</v>
      </c>
      <c r="FL23" s="94">
        <v>294.56180000000001</v>
      </c>
      <c r="FM23" s="94">
        <v>123.4164</v>
      </c>
      <c r="FN23" s="94">
        <v>107.8758</v>
      </c>
      <c r="FO23" s="94">
        <v>133.21770000000001</v>
      </c>
      <c r="FP23" s="94">
        <v>6.8375729999999999</v>
      </c>
      <c r="FQ23" s="94">
        <v>5.2777609999999999</v>
      </c>
      <c r="FR23" s="94">
        <v>171.84299999999999</v>
      </c>
      <c r="FS23" s="94">
        <v>97.449539999999999</v>
      </c>
      <c r="FT23" s="94">
        <v>24.372630000000001</v>
      </c>
      <c r="FU23" s="95">
        <v>19.784420000000001</v>
      </c>
      <c r="FV23" s="38" t="s">
        <v>459</v>
      </c>
      <c r="FW23" s="93" t="s">
        <v>459</v>
      </c>
      <c r="FX23" s="94"/>
      <c r="FY23" s="94"/>
      <c r="FZ23" s="94"/>
      <c r="GA23" s="94"/>
      <c r="GB23" s="94"/>
      <c r="GC23" s="94"/>
      <c r="GD23" s="94"/>
      <c r="GE23" s="94"/>
      <c r="GF23" s="94"/>
      <c r="GG23" s="94"/>
      <c r="GH23" s="94"/>
      <c r="GI23" s="95"/>
      <c r="GJ23" s="38" t="s">
        <v>459</v>
      </c>
      <c r="GK23" s="93" t="s">
        <v>459</v>
      </c>
      <c r="GL23" s="94"/>
      <c r="GM23" s="94"/>
      <c r="GN23" s="94"/>
      <c r="GO23" s="94"/>
      <c r="GP23" s="94"/>
      <c r="GQ23" s="94"/>
      <c r="GR23" s="94"/>
      <c r="GS23" s="94"/>
      <c r="GT23" s="94"/>
      <c r="GU23" s="94"/>
      <c r="GV23" s="94"/>
      <c r="GW23" s="95"/>
      <c r="GX23" s="38"/>
    </row>
    <row r="24" spans="1:206" x14ac:dyDescent="0.35">
      <c r="A24" s="2"/>
      <c r="B24" s="2"/>
      <c r="C24" s="42" t="s">
        <v>520</v>
      </c>
      <c r="D24" s="43">
        <f t="shared" si="42"/>
        <v>0.49019411572168603</v>
      </c>
      <c r="E24" s="43">
        <f t="shared" si="0"/>
        <v>0.37220945401065109</v>
      </c>
      <c r="F24" s="43">
        <f t="shared" si="1"/>
        <v>3.0237166213273534E-2</v>
      </c>
      <c r="G24" s="43">
        <f t="shared" si="2"/>
        <v>1.3435448847774487E-2</v>
      </c>
      <c r="H24" s="43">
        <f t="shared" si="3"/>
        <v>1.1769890404755895E-2</v>
      </c>
      <c r="I24" s="43">
        <f t="shared" si="4"/>
        <v>1.4286279725958676E-2</v>
      </c>
      <c r="J24" s="43">
        <f t="shared" si="5"/>
        <v>1.8949875931393793E-3</v>
      </c>
      <c r="K24" s="43">
        <f t="shared" si="6"/>
        <v>1.0900729007479897E-3</v>
      </c>
      <c r="L24" s="43">
        <f t="shared" si="7"/>
        <v>2.6821858096032169E-2</v>
      </c>
      <c r="M24" s="43">
        <f t="shared" si="8"/>
        <v>2.4470221772015625E-2</v>
      </c>
      <c r="N24" s="43">
        <f t="shared" si="9"/>
        <v>2.6835064418640089E-3</v>
      </c>
      <c r="O24" s="44">
        <f t="shared" si="10"/>
        <v>1.0906998272101228E-2</v>
      </c>
      <c r="P24" s="115">
        <f t="shared" si="43"/>
        <v>1</v>
      </c>
      <c r="Q24" s="2"/>
      <c r="R24" s="42" t="s">
        <v>520</v>
      </c>
      <c r="S24" s="43">
        <f t="shared" si="44"/>
        <v>0.49019411572168597</v>
      </c>
      <c r="T24" s="43">
        <f t="shared" si="45"/>
        <v>0.37220945401065103</v>
      </c>
      <c r="U24" s="43">
        <f t="shared" si="46"/>
        <v>3.023716621327353E-2</v>
      </c>
      <c r="V24" s="43">
        <f t="shared" si="47"/>
        <v>1.3435448847774485E-2</v>
      </c>
      <c r="W24" s="29">
        <f t="shared" si="48"/>
        <v>1.1769890404755894E-2</v>
      </c>
      <c r="X24" s="43">
        <f t="shared" si="49"/>
        <v>1.4286279725958674E-2</v>
      </c>
      <c r="Y24" s="43">
        <f t="shared" si="50"/>
        <v>1.8949875931393791E-3</v>
      </c>
      <c r="Z24" s="43">
        <f t="shared" si="51"/>
        <v>1.0900729007479895E-3</v>
      </c>
      <c r="AA24" s="29">
        <f t="shared" si="52"/>
        <v>2.6821858096032165E-2</v>
      </c>
      <c r="AB24" s="43">
        <f t="shared" si="53"/>
        <v>2.4470221772015622E-2</v>
      </c>
      <c r="AC24" s="43">
        <f t="shared" si="54"/>
        <v>2.6835064418640085E-3</v>
      </c>
      <c r="AD24" s="43">
        <f t="shared" si="55"/>
        <v>1.0906998272101226E-2</v>
      </c>
      <c r="AE24" s="32">
        <f t="shared" si="56"/>
        <v>0.52878586422247409</v>
      </c>
      <c r="AF24" s="53">
        <f t="shared" si="57"/>
        <v>0.41096595550862536</v>
      </c>
      <c r="AG24" s="53">
        <f t="shared" si="58"/>
        <v>3.4815660248276918E-2</v>
      </c>
      <c r="AH24" s="53">
        <f t="shared" si="59"/>
        <v>2.5432520020623701E-2</v>
      </c>
      <c r="AI24" s="34">
        <f t="shared" si="60"/>
        <v>0.90607618479338503</v>
      </c>
      <c r="AJ24" s="35">
        <f t="shared" si="61"/>
        <v>2.9041230624601937E-2</v>
      </c>
      <c r="AK24" s="34">
        <f t="shared" si="62"/>
        <v>0.90607618479338503</v>
      </c>
      <c r="AL24" s="35">
        <f t="shared" si="63"/>
        <v>2.9041230624601937E-2</v>
      </c>
      <c r="AM24" s="35">
        <f t="shared" si="64"/>
        <v>6.4882584582013014E-2</v>
      </c>
      <c r="AN24" s="36">
        <v>1</v>
      </c>
      <c r="AO24" s="54">
        <v>1</v>
      </c>
      <c r="AP24" s="2"/>
      <c r="AQ24" s="42" t="s">
        <v>520</v>
      </c>
      <c r="AR24" s="43">
        <f t="shared" si="65"/>
        <v>0.50426186231960402</v>
      </c>
      <c r="AS24" s="43">
        <f t="shared" si="71"/>
        <v>0.38289123927170493</v>
      </c>
      <c r="AT24" s="43">
        <f t="shared" si="72"/>
        <v>3.1104922023645128E-2</v>
      </c>
      <c r="AU24" s="43">
        <f t="shared" si="73"/>
        <v>1.3821023630820415E-2</v>
      </c>
      <c r="AV24" s="29">
        <f t="shared" si="74"/>
        <v>1.0659007346526585E-2</v>
      </c>
      <c r="AW24" s="43">
        <f t="shared" si="75"/>
        <v>1.2937891120209247E-2</v>
      </c>
      <c r="AX24" s="43">
        <f t="shared" si="76"/>
        <v>1.7161320948823474E-3</v>
      </c>
      <c r="AY24" s="43">
        <f t="shared" si="77"/>
        <v>9.871880414984496E-4</v>
      </c>
      <c r="AZ24" s="29">
        <f t="shared" si="78"/>
        <v>1.7205625091007749E-2</v>
      </c>
      <c r="BA24" s="43">
        <f t="shared" si="79"/>
        <v>1.5697102721060164E-2</v>
      </c>
      <c r="BB24" s="43">
        <f t="shared" si="80"/>
        <v>1.7214096653075121E-3</v>
      </c>
      <c r="BC24" s="44">
        <f t="shared" si="81"/>
        <v>6.9965966737332175E-3</v>
      </c>
      <c r="BD24" s="2"/>
      <c r="BE24" s="42" t="s">
        <v>520</v>
      </c>
      <c r="BF24" s="62">
        <v>1</v>
      </c>
      <c r="BG24" s="62">
        <v>1</v>
      </c>
      <c r="BH24" s="62">
        <v>1</v>
      </c>
      <c r="BI24" s="62">
        <v>1</v>
      </c>
      <c r="BJ24" s="36">
        <v>1</v>
      </c>
      <c r="BK24" s="62">
        <v>1</v>
      </c>
      <c r="BL24" s="62">
        <v>1</v>
      </c>
      <c r="BM24" s="62">
        <v>1</v>
      </c>
      <c r="BN24" s="36">
        <v>1</v>
      </c>
      <c r="BO24" s="62">
        <v>1</v>
      </c>
      <c r="BP24" s="62">
        <v>1</v>
      </c>
      <c r="BQ24" s="54">
        <v>1</v>
      </c>
      <c r="BR24" s="2"/>
      <c r="BS24" s="42" t="s">
        <v>520</v>
      </c>
      <c r="BT24" s="67">
        <f t="shared" si="66"/>
        <v>7520.9259000000011</v>
      </c>
      <c r="BU24" s="67">
        <f t="shared" si="18"/>
        <v>5710.7166999999999</v>
      </c>
      <c r="BV24" s="67">
        <f t="shared" si="19"/>
        <v>463.92129</v>
      </c>
      <c r="BW24" s="67">
        <f t="shared" si="20"/>
        <v>206.13673640000002</v>
      </c>
      <c r="BX24" s="30">
        <f t="shared" si="21"/>
        <v>158.97613999999999</v>
      </c>
      <c r="BY24" s="67">
        <f t="shared" si="22"/>
        <v>192.96505980000001</v>
      </c>
      <c r="BZ24" s="67">
        <f t="shared" si="23"/>
        <v>25.595634499999999</v>
      </c>
      <c r="CA24" s="67">
        <f t="shared" si="24"/>
        <v>14.723635999999999</v>
      </c>
      <c r="CB24" s="30">
        <f t="shared" si="25"/>
        <v>256.61712899999998</v>
      </c>
      <c r="CC24" s="67">
        <f t="shared" si="26"/>
        <v>234.11793600000001</v>
      </c>
      <c r="CD24" s="67">
        <f t="shared" si="27"/>
        <v>25.674348000000002</v>
      </c>
      <c r="CE24" s="68">
        <f t="shared" si="28"/>
        <v>104.3523</v>
      </c>
      <c r="CF24" s="2"/>
      <c r="CG24" s="37" t="str">
        <f t="shared" si="67"/>
        <v>agnut</v>
      </c>
      <c r="CH24" s="42" t="s">
        <v>520</v>
      </c>
      <c r="CI24" s="67">
        <f t="shared" si="68"/>
        <v>7520.9259000000011</v>
      </c>
      <c r="CJ24" s="67">
        <f t="shared" si="82"/>
        <v>5710.7166999999999</v>
      </c>
      <c r="CK24" s="67">
        <f t="shared" si="83"/>
        <v>463.92129</v>
      </c>
      <c r="CL24" s="67">
        <f t="shared" si="84"/>
        <v>206.13673640000002</v>
      </c>
      <c r="CM24" s="30">
        <f t="shared" si="85"/>
        <v>158.97613999999999</v>
      </c>
      <c r="CN24" s="67">
        <f t="shared" si="86"/>
        <v>192.96505980000001</v>
      </c>
      <c r="CO24" s="67">
        <f t="shared" si="87"/>
        <v>25.595634499999999</v>
      </c>
      <c r="CP24" s="67">
        <f t="shared" si="88"/>
        <v>14.723635999999999</v>
      </c>
      <c r="CQ24" s="30">
        <f t="shared" si="89"/>
        <v>256.61712899999998</v>
      </c>
      <c r="CR24" s="67">
        <f t="shared" si="90"/>
        <v>234.11793600000001</v>
      </c>
      <c r="CS24" s="67">
        <f t="shared" si="91"/>
        <v>25.674348000000002</v>
      </c>
      <c r="CT24" s="68">
        <f t="shared" si="92"/>
        <v>104.3523</v>
      </c>
      <c r="CU24" s="2"/>
      <c r="CV24" s="42" t="s">
        <v>520</v>
      </c>
      <c r="CW24" s="67">
        <f t="shared" si="69"/>
        <v>0</v>
      </c>
      <c r="CX24" s="67">
        <f t="shared" si="93"/>
        <v>0</v>
      </c>
      <c r="CY24" s="67">
        <f t="shared" si="94"/>
        <v>0</v>
      </c>
      <c r="CZ24" s="67">
        <f t="shared" si="95"/>
        <v>0</v>
      </c>
      <c r="DA24" s="30">
        <f t="shared" si="96"/>
        <v>0</v>
      </c>
      <c r="DB24" s="67">
        <f t="shared" si="97"/>
        <v>0</v>
      </c>
      <c r="DC24" s="67">
        <f t="shared" si="98"/>
        <v>0</v>
      </c>
      <c r="DD24" s="67">
        <f t="shared" si="99"/>
        <v>0</v>
      </c>
      <c r="DE24" s="30">
        <f t="shared" si="100"/>
        <v>0</v>
      </c>
      <c r="DF24" s="67">
        <f t="shared" si="101"/>
        <v>0</v>
      </c>
      <c r="DG24" s="67">
        <f t="shared" si="102"/>
        <v>0</v>
      </c>
      <c r="DH24" s="68">
        <f t="shared" si="103"/>
        <v>0</v>
      </c>
      <c r="DI24" s="2"/>
      <c r="DJ24" s="37" t="s">
        <v>459</v>
      </c>
      <c r="DK24" s="76" t="s">
        <v>520</v>
      </c>
      <c r="DL24" s="67">
        <f t="shared" si="70"/>
        <v>2210.502</v>
      </c>
      <c r="DM24" s="67">
        <f t="shared" si="31"/>
        <v>1788.3620000000001</v>
      </c>
      <c r="DN24" s="67">
        <f t="shared" si="32"/>
        <v>153.34229999999999</v>
      </c>
      <c r="DO24" s="67">
        <f t="shared" si="33"/>
        <v>82.191730000000007</v>
      </c>
      <c r="DP24" s="30">
        <f t="shared" si="34"/>
        <v>48.888509999999997</v>
      </c>
      <c r="DQ24" s="67">
        <f t="shared" si="35"/>
        <v>58.945039999999999</v>
      </c>
      <c r="DR24" s="67">
        <f t="shared" si="36"/>
        <v>18.439990000000002</v>
      </c>
      <c r="DS24" s="67">
        <f t="shared" si="37"/>
        <v>9.4458749999999991</v>
      </c>
      <c r="DT24" s="30">
        <f t="shared" si="38"/>
        <v>82.271090000000001</v>
      </c>
      <c r="DU24" s="67">
        <f t="shared" si="39"/>
        <v>135.07740000000001</v>
      </c>
      <c r="DV24" s="67">
        <f t="shared" si="40"/>
        <v>1.3017179999999999</v>
      </c>
      <c r="DW24" s="68">
        <f t="shared" si="41"/>
        <v>84.567880000000002</v>
      </c>
      <c r="DX24" s="2"/>
      <c r="DY24" s="81" t="s">
        <v>520</v>
      </c>
      <c r="DZ24" s="82"/>
      <c r="EA24" s="82"/>
      <c r="EB24" s="82">
        <v>1</v>
      </c>
      <c r="EC24" s="83"/>
      <c r="ED24" s="84"/>
      <c r="EE24" s="2"/>
      <c r="EF24" s="38" t="s">
        <v>520</v>
      </c>
      <c r="EG24" s="93" t="s">
        <v>520</v>
      </c>
      <c r="EH24" s="94"/>
      <c r="EI24" s="94"/>
      <c r="EJ24" s="94"/>
      <c r="EK24" s="94"/>
      <c r="EL24" s="94"/>
      <c r="EM24" s="94"/>
      <c r="EN24" s="94"/>
      <c r="EO24" s="94"/>
      <c r="EP24" s="94"/>
      <c r="EQ24" s="94"/>
      <c r="ER24" s="94"/>
      <c r="ES24" s="95"/>
      <c r="ET24" s="38" t="s">
        <v>520</v>
      </c>
      <c r="EU24" s="93" t="s">
        <v>520</v>
      </c>
      <c r="EV24" s="94"/>
      <c r="EW24" s="94"/>
      <c r="EX24" s="94"/>
      <c r="EY24" s="94"/>
      <c r="EZ24" s="94"/>
      <c r="FA24" s="94"/>
      <c r="FB24" s="94"/>
      <c r="FC24" s="94"/>
      <c r="FD24" s="94"/>
      <c r="FE24" s="94"/>
      <c r="FF24" s="94"/>
      <c r="FG24" s="95"/>
      <c r="FH24" s="38" t="s">
        <v>520</v>
      </c>
      <c r="FI24" s="93" t="s">
        <v>520</v>
      </c>
      <c r="FJ24" s="94">
        <v>2210.502</v>
      </c>
      <c r="FK24" s="94">
        <v>1788.3620000000001</v>
      </c>
      <c r="FL24" s="94">
        <v>153.34229999999999</v>
      </c>
      <c r="FM24" s="94">
        <v>82.191730000000007</v>
      </c>
      <c r="FN24" s="94">
        <v>48.888509999999997</v>
      </c>
      <c r="FO24" s="94">
        <v>58.945039999999999</v>
      </c>
      <c r="FP24" s="94">
        <v>18.439990000000002</v>
      </c>
      <c r="FQ24" s="94">
        <v>9.4458749999999991</v>
      </c>
      <c r="FR24" s="94">
        <v>82.271090000000001</v>
      </c>
      <c r="FS24" s="94">
        <v>135.07740000000001</v>
      </c>
      <c r="FT24" s="94">
        <v>1.3017179999999999</v>
      </c>
      <c r="FU24" s="95">
        <v>84.567880000000002</v>
      </c>
      <c r="FV24" s="38" t="s">
        <v>520</v>
      </c>
      <c r="FW24" s="93" t="s">
        <v>520</v>
      </c>
      <c r="FX24" s="94"/>
      <c r="FY24" s="94"/>
      <c r="FZ24" s="94"/>
      <c r="GA24" s="94"/>
      <c r="GB24" s="94"/>
      <c r="GC24" s="94"/>
      <c r="GD24" s="94"/>
      <c r="GE24" s="94"/>
      <c r="GF24" s="94"/>
      <c r="GG24" s="94"/>
      <c r="GH24" s="94"/>
      <c r="GI24" s="95"/>
      <c r="GJ24" s="38" t="s">
        <v>520</v>
      </c>
      <c r="GK24" s="93" t="s">
        <v>520</v>
      </c>
      <c r="GL24" s="94"/>
      <c r="GM24" s="94"/>
      <c r="GN24" s="94"/>
      <c r="GO24" s="94"/>
      <c r="GP24" s="94"/>
      <c r="GQ24" s="94"/>
      <c r="GR24" s="94"/>
      <c r="GS24" s="94"/>
      <c r="GT24" s="94"/>
      <c r="GU24" s="94"/>
      <c r="GV24" s="94"/>
      <c r="GW24" s="95"/>
      <c r="GX24" s="38"/>
    </row>
    <row r="25" spans="1:206" x14ac:dyDescent="0.35">
      <c r="A25" s="2"/>
      <c r="B25" s="2"/>
      <c r="C25" s="42" t="s">
        <v>461</v>
      </c>
      <c r="D25" s="43">
        <f t="shared" si="42"/>
        <v>0.53553325843680188</v>
      </c>
      <c r="E25" s="43">
        <f t="shared" si="0"/>
        <v>0.40663593326460767</v>
      </c>
      <c r="F25" s="43">
        <f t="shared" si="1"/>
        <v>3.3033868887327351E-2</v>
      </c>
      <c r="G25" s="43">
        <f t="shared" si="2"/>
        <v>1.4678123358165261E-2</v>
      </c>
      <c r="H25" s="43">
        <f t="shared" si="3"/>
        <v>1.8401405963017377E-3</v>
      </c>
      <c r="I25" s="43">
        <f t="shared" si="4"/>
        <v>2.2335605846624065E-3</v>
      </c>
      <c r="J25" s="43">
        <f t="shared" si="5"/>
        <v>2.962681452169573E-4</v>
      </c>
      <c r="K25" s="43">
        <f t="shared" si="6"/>
        <v>1.7042532501273299E-4</v>
      </c>
      <c r="L25" s="43">
        <f t="shared" si="7"/>
        <v>2.3060676174606553E-3</v>
      </c>
      <c r="M25" s="43">
        <f t="shared" si="8"/>
        <v>2.1038805670541435E-3</v>
      </c>
      <c r="N25" s="43">
        <f t="shared" si="9"/>
        <v>2.3072030597854495E-4</v>
      </c>
      <c r="O25" s="44">
        <f t="shared" si="10"/>
        <v>9.3775291141044411E-4</v>
      </c>
      <c r="P25" s="115">
        <f t="shared" si="43"/>
        <v>0.99999999999999989</v>
      </c>
      <c r="Q25" s="2"/>
      <c r="R25" s="42" t="s">
        <v>461</v>
      </c>
      <c r="S25" s="43">
        <f t="shared" si="44"/>
        <v>0.535533258436802</v>
      </c>
      <c r="T25" s="43">
        <f t="shared" si="45"/>
        <v>0.40663593326460779</v>
      </c>
      <c r="U25" s="43">
        <f t="shared" si="46"/>
        <v>3.3033868887327358E-2</v>
      </c>
      <c r="V25" s="43">
        <f t="shared" si="47"/>
        <v>1.4678123358165264E-2</v>
      </c>
      <c r="W25" s="29">
        <f t="shared" si="48"/>
        <v>1.8401405963017381E-3</v>
      </c>
      <c r="X25" s="43">
        <f t="shared" si="49"/>
        <v>2.2335605846624069E-3</v>
      </c>
      <c r="Y25" s="43">
        <f t="shared" si="50"/>
        <v>2.9626814521695736E-4</v>
      </c>
      <c r="Z25" s="43">
        <f t="shared" si="51"/>
        <v>1.7042532501273302E-4</v>
      </c>
      <c r="AA25" s="29">
        <f t="shared" si="52"/>
        <v>2.3060676174606557E-3</v>
      </c>
      <c r="AB25" s="43">
        <f t="shared" si="53"/>
        <v>2.1038805670541439E-3</v>
      </c>
      <c r="AC25" s="43">
        <f t="shared" si="54"/>
        <v>2.30720305978545E-4</v>
      </c>
      <c r="AD25" s="43">
        <f t="shared" si="55"/>
        <v>9.3775291141044432E-4</v>
      </c>
      <c r="AE25" s="32">
        <f t="shared" si="56"/>
        <v>0.53967946665056443</v>
      </c>
      <c r="AF25" s="53">
        <f t="shared" si="57"/>
        <v>0.41097337441632431</v>
      </c>
      <c r="AG25" s="53">
        <f t="shared" si="58"/>
        <v>3.3560857338522862E-2</v>
      </c>
      <c r="AH25" s="53">
        <f t="shared" si="59"/>
        <v>1.5786301594588444E-2</v>
      </c>
      <c r="AI25" s="34">
        <f t="shared" si="60"/>
        <v>0.98988118394690239</v>
      </c>
      <c r="AJ25" s="35">
        <f t="shared" si="61"/>
        <v>4.5403946511938355E-3</v>
      </c>
      <c r="AK25" s="34">
        <f t="shared" si="62"/>
        <v>0.98988118394690239</v>
      </c>
      <c r="AL25" s="35">
        <f t="shared" si="63"/>
        <v>4.5403946511938355E-3</v>
      </c>
      <c r="AM25" s="35">
        <f t="shared" si="64"/>
        <v>5.5784214019037881E-3</v>
      </c>
      <c r="AN25" s="36">
        <v>1</v>
      </c>
      <c r="AO25" s="54">
        <v>1</v>
      </c>
      <c r="AP25" s="2"/>
      <c r="AQ25" s="42" t="s">
        <v>461</v>
      </c>
      <c r="AR25" s="43">
        <f t="shared" si="65"/>
        <v>0.50426186231960402</v>
      </c>
      <c r="AS25" s="43">
        <f t="shared" si="71"/>
        <v>0.38289123927170493</v>
      </c>
      <c r="AT25" s="43">
        <f t="shared" si="72"/>
        <v>3.1104922023645128E-2</v>
      </c>
      <c r="AU25" s="43">
        <f t="shared" si="73"/>
        <v>1.3821023630820415E-2</v>
      </c>
      <c r="AV25" s="29">
        <f t="shared" si="74"/>
        <v>1.0659007346526585E-2</v>
      </c>
      <c r="AW25" s="43">
        <f t="shared" si="75"/>
        <v>1.2937891120209247E-2</v>
      </c>
      <c r="AX25" s="43">
        <f t="shared" si="76"/>
        <v>1.7161320948823474E-3</v>
      </c>
      <c r="AY25" s="43">
        <f t="shared" si="77"/>
        <v>9.871880414984496E-4</v>
      </c>
      <c r="AZ25" s="29">
        <f t="shared" si="78"/>
        <v>1.7205625091007749E-2</v>
      </c>
      <c r="BA25" s="43">
        <f t="shared" si="79"/>
        <v>1.5697102721060164E-2</v>
      </c>
      <c r="BB25" s="43">
        <f t="shared" si="80"/>
        <v>1.7214096653075121E-3</v>
      </c>
      <c r="BC25" s="44">
        <f t="shared" si="81"/>
        <v>6.9965966737332175E-3</v>
      </c>
      <c r="BD25" s="2"/>
      <c r="BE25" s="42" t="s">
        <v>461</v>
      </c>
      <c r="BF25" s="62">
        <v>1</v>
      </c>
      <c r="BG25" s="62">
        <v>1</v>
      </c>
      <c r="BH25" s="62">
        <v>1</v>
      </c>
      <c r="BI25" s="62">
        <v>1</v>
      </c>
      <c r="BJ25" s="36">
        <v>1</v>
      </c>
      <c r="BK25" s="62">
        <v>1</v>
      </c>
      <c r="BL25" s="62">
        <v>1</v>
      </c>
      <c r="BM25" s="62">
        <v>1</v>
      </c>
      <c r="BN25" s="36">
        <v>1</v>
      </c>
      <c r="BO25" s="62">
        <v>1</v>
      </c>
      <c r="BP25" s="62">
        <v>1</v>
      </c>
      <c r="BQ25" s="54">
        <v>1</v>
      </c>
      <c r="BR25" s="2"/>
      <c r="BS25" s="42" t="s">
        <v>461</v>
      </c>
      <c r="BT25" s="67">
        <f t="shared" si="66"/>
        <v>7520.9259000000011</v>
      </c>
      <c r="BU25" s="67">
        <f t="shared" si="18"/>
        <v>5710.7166999999999</v>
      </c>
      <c r="BV25" s="67">
        <f t="shared" si="19"/>
        <v>463.92129</v>
      </c>
      <c r="BW25" s="67">
        <f t="shared" si="20"/>
        <v>206.13673640000002</v>
      </c>
      <c r="BX25" s="30">
        <f t="shared" si="21"/>
        <v>158.97613999999999</v>
      </c>
      <c r="BY25" s="67">
        <f t="shared" si="22"/>
        <v>192.96505980000001</v>
      </c>
      <c r="BZ25" s="67">
        <f t="shared" si="23"/>
        <v>25.595634499999999</v>
      </c>
      <c r="CA25" s="67">
        <f t="shared" si="24"/>
        <v>14.723635999999999</v>
      </c>
      <c r="CB25" s="30">
        <f t="shared" si="25"/>
        <v>256.61712899999998</v>
      </c>
      <c r="CC25" s="67">
        <f t="shared" si="26"/>
        <v>234.11793600000001</v>
      </c>
      <c r="CD25" s="67">
        <f t="shared" si="27"/>
        <v>25.674348000000002</v>
      </c>
      <c r="CE25" s="68">
        <f t="shared" si="28"/>
        <v>104.3523</v>
      </c>
      <c r="CF25" s="2"/>
      <c r="CG25" s="37" t="str">
        <f t="shared" si="67"/>
        <v>agnut</v>
      </c>
      <c r="CH25" s="42" t="s">
        <v>461</v>
      </c>
      <c r="CI25" s="67">
        <f t="shared" si="68"/>
        <v>7520.9259000000011</v>
      </c>
      <c r="CJ25" s="67">
        <f t="shared" si="82"/>
        <v>5710.7166999999999</v>
      </c>
      <c r="CK25" s="67">
        <f t="shared" si="83"/>
        <v>463.92129</v>
      </c>
      <c r="CL25" s="67">
        <f t="shared" si="84"/>
        <v>206.13673640000002</v>
      </c>
      <c r="CM25" s="30">
        <f t="shared" si="85"/>
        <v>158.97613999999999</v>
      </c>
      <c r="CN25" s="67">
        <f t="shared" si="86"/>
        <v>192.96505980000001</v>
      </c>
      <c r="CO25" s="67">
        <f t="shared" si="87"/>
        <v>25.595634499999999</v>
      </c>
      <c r="CP25" s="67">
        <f t="shared" si="88"/>
        <v>14.723635999999999</v>
      </c>
      <c r="CQ25" s="30">
        <f t="shared" si="89"/>
        <v>256.61712899999998</v>
      </c>
      <c r="CR25" s="67">
        <f t="shared" si="90"/>
        <v>234.11793600000001</v>
      </c>
      <c r="CS25" s="67">
        <f t="shared" si="91"/>
        <v>25.674348000000002</v>
      </c>
      <c r="CT25" s="68">
        <f t="shared" si="92"/>
        <v>104.3523</v>
      </c>
      <c r="CU25" s="2"/>
      <c r="CV25" s="42" t="s">
        <v>461</v>
      </c>
      <c r="CW25" s="67">
        <f t="shared" si="69"/>
        <v>0</v>
      </c>
      <c r="CX25" s="67">
        <f t="shared" si="93"/>
        <v>0</v>
      </c>
      <c r="CY25" s="67">
        <f t="shared" si="94"/>
        <v>0</v>
      </c>
      <c r="CZ25" s="67">
        <f t="shared" si="95"/>
        <v>0</v>
      </c>
      <c r="DA25" s="30">
        <f t="shared" si="96"/>
        <v>0</v>
      </c>
      <c r="DB25" s="67">
        <f t="shared" si="97"/>
        <v>0</v>
      </c>
      <c r="DC25" s="67">
        <f t="shared" si="98"/>
        <v>0</v>
      </c>
      <c r="DD25" s="67">
        <f t="shared" si="99"/>
        <v>0</v>
      </c>
      <c r="DE25" s="30">
        <f t="shared" si="100"/>
        <v>0</v>
      </c>
      <c r="DF25" s="67">
        <f t="shared" si="101"/>
        <v>0</v>
      </c>
      <c r="DG25" s="67">
        <f t="shared" si="102"/>
        <v>0</v>
      </c>
      <c r="DH25" s="68">
        <f t="shared" si="103"/>
        <v>0</v>
      </c>
      <c r="DI25" s="2"/>
      <c r="DJ25" s="37" t="s">
        <v>459</v>
      </c>
      <c r="DK25" s="76" t="s">
        <v>461</v>
      </c>
      <c r="DL25" s="67">
        <f t="shared" si="70"/>
        <v>476.30590000000001</v>
      </c>
      <c r="DM25" s="67">
        <f t="shared" si="31"/>
        <v>233.6277</v>
      </c>
      <c r="DN25" s="67">
        <f t="shared" si="32"/>
        <v>16.017189999999999</v>
      </c>
      <c r="DO25" s="67">
        <f t="shared" si="33"/>
        <v>0.52860640000000003</v>
      </c>
      <c r="DP25" s="30">
        <f t="shared" si="34"/>
        <v>2.21183</v>
      </c>
      <c r="DQ25" s="67">
        <f t="shared" si="35"/>
        <v>0.80231980000000003</v>
      </c>
      <c r="DR25" s="67">
        <f t="shared" si="36"/>
        <v>0.31807150000000001</v>
      </c>
      <c r="DS25" s="67">
        <f t="shared" si="37"/>
        <v>0</v>
      </c>
      <c r="DT25" s="30">
        <f t="shared" si="38"/>
        <v>2.5030389999999998</v>
      </c>
      <c r="DU25" s="67">
        <f t="shared" si="39"/>
        <v>1.5909960000000001</v>
      </c>
      <c r="DV25" s="67">
        <f t="shared" si="40"/>
        <v>0</v>
      </c>
      <c r="DW25" s="68">
        <f t="shared" si="41"/>
        <v>0</v>
      </c>
      <c r="DX25" s="2"/>
      <c r="DY25" s="81" t="s">
        <v>461</v>
      </c>
      <c r="DZ25" s="82"/>
      <c r="EA25" s="82"/>
      <c r="EB25" s="82">
        <v>1</v>
      </c>
      <c r="EC25" s="83"/>
      <c r="ED25" s="84"/>
      <c r="EE25" s="2"/>
      <c r="EF25" s="38" t="s">
        <v>461</v>
      </c>
      <c r="EG25" s="93" t="s">
        <v>461</v>
      </c>
      <c r="EH25" s="94"/>
      <c r="EI25" s="94"/>
      <c r="EJ25" s="94"/>
      <c r="EK25" s="94"/>
      <c r="EL25" s="94"/>
      <c r="EM25" s="94"/>
      <c r="EN25" s="94"/>
      <c r="EO25" s="94"/>
      <c r="EP25" s="94"/>
      <c r="EQ25" s="94"/>
      <c r="ER25" s="94"/>
      <c r="ES25" s="95"/>
      <c r="ET25" s="38" t="s">
        <v>461</v>
      </c>
      <c r="EU25" s="93" t="s">
        <v>461</v>
      </c>
      <c r="EV25" s="94"/>
      <c r="EW25" s="94"/>
      <c r="EX25" s="94"/>
      <c r="EY25" s="94"/>
      <c r="EZ25" s="94"/>
      <c r="FA25" s="94"/>
      <c r="FB25" s="94"/>
      <c r="FC25" s="94"/>
      <c r="FD25" s="94"/>
      <c r="FE25" s="94"/>
      <c r="FF25" s="94"/>
      <c r="FG25" s="95"/>
      <c r="FH25" s="38" t="s">
        <v>461</v>
      </c>
      <c r="FI25" s="93" t="s">
        <v>461</v>
      </c>
      <c r="FJ25" s="94">
        <v>476.30590000000001</v>
      </c>
      <c r="FK25" s="94">
        <v>233.6277</v>
      </c>
      <c r="FL25" s="94">
        <v>16.017189999999999</v>
      </c>
      <c r="FM25" s="94">
        <v>0.52860640000000003</v>
      </c>
      <c r="FN25" s="94">
        <v>2.21183</v>
      </c>
      <c r="FO25" s="94">
        <v>0.80231980000000003</v>
      </c>
      <c r="FP25" s="94">
        <v>0.31807150000000001</v>
      </c>
      <c r="FQ25" s="94"/>
      <c r="FR25" s="94">
        <v>2.5030389999999998</v>
      </c>
      <c r="FS25" s="94">
        <v>1.5909960000000001</v>
      </c>
      <c r="FT25" s="94"/>
      <c r="FU25" s="95"/>
      <c r="FV25" s="38" t="s">
        <v>461</v>
      </c>
      <c r="FW25" s="93" t="s">
        <v>461</v>
      </c>
      <c r="FX25" s="94"/>
      <c r="FY25" s="94"/>
      <c r="FZ25" s="94"/>
      <c r="GA25" s="94"/>
      <c r="GB25" s="94"/>
      <c r="GC25" s="94"/>
      <c r="GD25" s="94"/>
      <c r="GE25" s="94"/>
      <c r="GF25" s="94"/>
      <c r="GG25" s="94"/>
      <c r="GH25" s="94"/>
      <c r="GI25" s="95"/>
      <c r="GJ25" s="38" t="s">
        <v>461</v>
      </c>
      <c r="GK25" s="93" t="s">
        <v>461</v>
      </c>
      <c r="GL25" s="94"/>
      <c r="GM25" s="94"/>
      <c r="GN25" s="94"/>
      <c r="GO25" s="94"/>
      <c r="GP25" s="94"/>
      <c r="GQ25" s="94"/>
      <c r="GR25" s="94"/>
      <c r="GS25" s="94"/>
      <c r="GT25" s="94"/>
      <c r="GU25" s="94"/>
      <c r="GV25" s="94"/>
      <c r="GW25" s="95"/>
      <c r="GX25" s="38"/>
    </row>
    <row r="26" spans="1:206" x14ac:dyDescent="0.35">
      <c r="A26" s="2"/>
      <c r="B26" s="2"/>
      <c r="C26" s="42" t="s">
        <v>482</v>
      </c>
      <c r="D26" s="43">
        <f t="shared" si="42"/>
        <v>0.5014451303630858</v>
      </c>
      <c r="E26" s="43">
        <f t="shared" si="0"/>
        <v>0.45886274140946598</v>
      </c>
      <c r="F26" s="43">
        <f t="shared" si="1"/>
        <v>2.2078290595401246E-2</v>
      </c>
      <c r="G26" s="43">
        <f t="shared" si="2"/>
        <v>3.7005319976626165E-3</v>
      </c>
      <c r="H26" s="43">
        <f t="shared" si="3"/>
        <v>2.5406411903913686E-3</v>
      </c>
      <c r="I26" s="43">
        <f t="shared" si="4"/>
        <v>5.3065677710692934E-3</v>
      </c>
      <c r="J26" s="43">
        <f t="shared" si="5"/>
        <v>1.0540726770143815E-4</v>
      </c>
      <c r="K26" s="43">
        <f t="shared" si="6"/>
        <v>3.9235304100807564E-4</v>
      </c>
      <c r="L26" s="43">
        <f t="shared" si="7"/>
        <v>5.4567393020174037E-3</v>
      </c>
      <c r="M26" s="43">
        <f t="shared" si="8"/>
        <v>1.1159706219687354E-4</v>
      </c>
      <c r="N26" s="43">
        <f t="shared" si="9"/>
        <v>0</v>
      </c>
      <c r="O26" s="44">
        <f t="shared" si="10"/>
        <v>0</v>
      </c>
      <c r="P26" s="115">
        <f t="shared" si="43"/>
        <v>1</v>
      </c>
      <c r="Q26" s="2"/>
      <c r="R26" s="42" t="s">
        <v>482</v>
      </c>
      <c r="S26" s="43">
        <f t="shared" si="44"/>
        <v>0.5014451303630858</v>
      </c>
      <c r="T26" s="43">
        <f t="shared" si="45"/>
        <v>0.45886274140946598</v>
      </c>
      <c r="U26" s="43">
        <f t="shared" si="46"/>
        <v>2.2078290595401246E-2</v>
      </c>
      <c r="V26" s="43">
        <f t="shared" si="47"/>
        <v>3.7005319976626165E-3</v>
      </c>
      <c r="W26" s="29">
        <f t="shared" si="48"/>
        <v>2.5406411903913686E-3</v>
      </c>
      <c r="X26" s="43">
        <f t="shared" si="49"/>
        <v>5.3065677710692934E-3</v>
      </c>
      <c r="Y26" s="43">
        <f t="shared" si="50"/>
        <v>1.0540726770143815E-4</v>
      </c>
      <c r="Z26" s="43">
        <f t="shared" si="51"/>
        <v>3.9235304100807564E-4</v>
      </c>
      <c r="AA26" s="29">
        <f t="shared" si="52"/>
        <v>5.4567393020174037E-3</v>
      </c>
      <c r="AB26" s="43">
        <f t="shared" si="53"/>
        <v>1.1159706219687354E-4</v>
      </c>
      <c r="AC26" s="43">
        <f t="shared" si="54"/>
        <v>0</v>
      </c>
      <c r="AD26" s="43">
        <f t="shared" si="55"/>
        <v>0</v>
      </c>
      <c r="AE26" s="32">
        <f t="shared" si="56"/>
        <v>0.50944251085549452</v>
      </c>
      <c r="AF26" s="53">
        <f t="shared" si="57"/>
        <v>0.46428090624273216</v>
      </c>
      <c r="AG26" s="53">
        <f t="shared" si="58"/>
        <v>2.2183697863102685E-2</v>
      </c>
      <c r="AH26" s="53">
        <f t="shared" si="59"/>
        <v>4.0928850386706926E-3</v>
      </c>
      <c r="AI26" s="34">
        <f t="shared" si="60"/>
        <v>0.98608669436561558</v>
      </c>
      <c r="AJ26" s="35">
        <f t="shared" si="61"/>
        <v>8.3449692701701751E-3</v>
      </c>
      <c r="AK26" s="34">
        <f t="shared" si="62"/>
        <v>0.98608669436561558</v>
      </c>
      <c r="AL26" s="35">
        <f t="shared" si="63"/>
        <v>8.3449692701701751E-3</v>
      </c>
      <c r="AM26" s="35">
        <f t="shared" si="64"/>
        <v>5.5683363642142769E-3</v>
      </c>
      <c r="AN26" s="36">
        <v>1</v>
      </c>
      <c r="AO26" s="54">
        <v>1</v>
      </c>
      <c r="AP26" s="2"/>
      <c r="AQ26" s="42" t="s">
        <v>482</v>
      </c>
      <c r="AR26" s="43">
        <f t="shared" si="65"/>
        <v>0.5025299609344922</v>
      </c>
      <c r="AS26" s="43">
        <f t="shared" si="71"/>
        <v>0.45985544888595481</v>
      </c>
      <c r="AT26" s="43">
        <f t="shared" si="72"/>
        <v>2.2126054953158482E-2</v>
      </c>
      <c r="AU26" s="43">
        <f t="shared" si="73"/>
        <v>3.708537759406928E-3</v>
      </c>
      <c r="AV26" s="29">
        <f t="shared" si="74"/>
        <v>2.2652551795934741E-3</v>
      </c>
      <c r="AW26" s="43">
        <f t="shared" si="75"/>
        <v>4.731376541772434E-3</v>
      </c>
      <c r="AX26" s="43">
        <f t="shared" si="76"/>
        <v>9.3981928668446525E-5</v>
      </c>
      <c r="AY26" s="43">
        <f t="shared" si="77"/>
        <v>3.4982498187234525E-4</v>
      </c>
      <c r="AZ26" s="29">
        <f t="shared" si="78"/>
        <v>4.252588151999223E-3</v>
      </c>
      <c r="BA26" s="43">
        <f t="shared" si="79"/>
        <v>8.6970683081907514E-5</v>
      </c>
      <c r="BB26" s="43">
        <f t="shared" si="80"/>
        <v>0</v>
      </c>
      <c r="BC26" s="44">
        <f t="shared" si="81"/>
        <v>0</v>
      </c>
      <c r="BD26" s="2"/>
      <c r="BE26" s="42" t="s">
        <v>482</v>
      </c>
      <c r="BF26" s="62">
        <v>1</v>
      </c>
      <c r="BG26" s="62">
        <v>1</v>
      </c>
      <c r="BH26" s="62">
        <v>1</v>
      </c>
      <c r="BI26" s="62">
        <v>1</v>
      </c>
      <c r="BJ26" s="36">
        <v>1</v>
      </c>
      <c r="BK26" s="62">
        <v>1</v>
      </c>
      <c r="BL26" s="62">
        <v>1</v>
      </c>
      <c r="BM26" s="62">
        <v>1</v>
      </c>
      <c r="BN26" s="36">
        <v>1</v>
      </c>
      <c r="BO26" s="62">
        <v>1</v>
      </c>
      <c r="BP26" s="62">
        <v>1</v>
      </c>
      <c r="BQ26" s="54">
        <v>1</v>
      </c>
      <c r="BR26" s="2"/>
      <c r="BS26" s="42" t="s">
        <v>482</v>
      </c>
      <c r="BT26" s="67">
        <f t="shared" si="66"/>
        <v>6608.6360000000004</v>
      </c>
      <c r="BU26" s="67">
        <f t="shared" si="18"/>
        <v>6047.4350000000004</v>
      </c>
      <c r="BV26" s="67">
        <f t="shared" si="19"/>
        <v>290.97378200000003</v>
      </c>
      <c r="BW26" s="67">
        <f t="shared" si="20"/>
        <v>48.769979999999997</v>
      </c>
      <c r="BX26" s="30">
        <f t="shared" si="21"/>
        <v>29.789760000000001</v>
      </c>
      <c r="BY26" s="67">
        <f t="shared" si="22"/>
        <v>62.221057000000002</v>
      </c>
      <c r="BZ26" s="67">
        <f t="shared" si="23"/>
        <v>1.2359309999999999</v>
      </c>
      <c r="CA26" s="67">
        <f t="shared" si="24"/>
        <v>4.600454</v>
      </c>
      <c r="CB26" s="30">
        <f t="shared" si="25"/>
        <v>55.924639999999997</v>
      </c>
      <c r="CC26" s="67">
        <f t="shared" si="26"/>
        <v>1.1437280000000001</v>
      </c>
      <c r="CD26" s="67">
        <f t="shared" si="27"/>
        <v>0</v>
      </c>
      <c r="CE26" s="68">
        <f t="shared" si="28"/>
        <v>0</v>
      </c>
      <c r="CF26" s="2"/>
      <c r="CG26" s="37" t="str">
        <f t="shared" si="67"/>
        <v>acoff</v>
      </c>
      <c r="CH26" s="42" t="s">
        <v>482</v>
      </c>
      <c r="CI26" s="67">
        <f t="shared" si="68"/>
        <v>6608.6360000000004</v>
      </c>
      <c r="CJ26" s="67">
        <f t="shared" si="82"/>
        <v>6047.4350000000004</v>
      </c>
      <c r="CK26" s="67">
        <f t="shared" si="83"/>
        <v>290.97378200000003</v>
      </c>
      <c r="CL26" s="67">
        <f t="shared" si="84"/>
        <v>48.769979999999997</v>
      </c>
      <c r="CM26" s="30">
        <f t="shared" si="85"/>
        <v>29.789760000000001</v>
      </c>
      <c r="CN26" s="67">
        <f t="shared" si="86"/>
        <v>62.221057000000002</v>
      </c>
      <c r="CO26" s="67">
        <f t="shared" si="87"/>
        <v>1.2359309999999999</v>
      </c>
      <c r="CP26" s="67">
        <f t="shared" si="88"/>
        <v>4.600454</v>
      </c>
      <c r="CQ26" s="30">
        <f t="shared" si="89"/>
        <v>55.924639999999997</v>
      </c>
      <c r="CR26" s="67">
        <f t="shared" si="90"/>
        <v>1.1437280000000001</v>
      </c>
      <c r="CS26" s="67">
        <f t="shared" si="91"/>
        <v>0</v>
      </c>
      <c r="CT26" s="68">
        <f t="shared" si="92"/>
        <v>0</v>
      </c>
      <c r="CU26" s="2"/>
      <c r="CV26" s="42" t="s">
        <v>482</v>
      </c>
      <c r="CW26" s="67">
        <f t="shared" si="69"/>
        <v>6608.6360000000004</v>
      </c>
      <c r="CX26" s="67">
        <f t="shared" si="93"/>
        <v>6047.4350000000004</v>
      </c>
      <c r="CY26" s="67">
        <f t="shared" si="94"/>
        <v>290.97378200000003</v>
      </c>
      <c r="CZ26" s="67">
        <f t="shared" si="95"/>
        <v>48.769979999999997</v>
      </c>
      <c r="DA26" s="30">
        <f t="shared" si="96"/>
        <v>29.789760000000001</v>
      </c>
      <c r="DB26" s="67">
        <f t="shared" si="97"/>
        <v>62.221057000000002</v>
      </c>
      <c r="DC26" s="67">
        <f t="shared" si="98"/>
        <v>1.2359309999999999</v>
      </c>
      <c r="DD26" s="67">
        <f t="shared" si="99"/>
        <v>4.600454</v>
      </c>
      <c r="DE26" s="30">
        <f t="shared" si="100"/>
        <v>55.924639999999997</v>
      </c>
      <c r="DF26" s="67">
        <f t="shared" si="101"/>
        <v>1.1437280000000001</v>
      </c>
      <c r="DG26" s="67">
        <f t="shared" si="102"/>
        <v>0</v>
      </c>
      <c r="DH26" s="68">
        <f t="shared" si="103"/>
        <v>0</v>
      </c>
      <c r="DI26" s="2"/>
      <c r="DJ26" s="37" t="s">
        <v>482</v>
      </c>
      <c r="DK26" s="76" t="s">
        <v>482</v>
      </c>
      <c r="DL26" s="67">
        <f t="shared" si="70"/>
        <v>5524.9260000000004</v>
      </c>
      <c r="DM26" s="67">
        <f t="shared" si="31"/>
        <v>4243.0230000000001</v>
      </c>
      <c r="DN26" s="67">
        <f t="shared" si="32"/>
        <v>289.41590000000002</v>
      </c>
      <c r="DO26" s="67">
        <f t="shared" si="33"/>
        <v>48.769979999999997</v>
      </c>
      <c r="DP26" s="30">
        <f t="shared" si="34"/>
        <v>19.72655</v>
      </c>
      <c r="DQ26" s="67">
        <f t="shared" si="35"/>
        <v>59.962389999999999</v>
      </c>
      <c r="DR26" s="67">
        <f t="shared" si="36"/>
        <v>1.2359309999999999</v>
      </c>
      <c r="DS26" s="67">
        <f t="shared" si="37"/>
        <v>4.600454</v>
      </c>
      <c r="DT26" s="30">
        <f t="shared" si="38"/>
        <v>55.924639999999997</v>
      </c>
      <c r="DU26" s="67">
        <f t="shared" si="39"/>
        <v>1.1437280000000001</v>
      </c>
      <c r="DV26" s="67">
        <f t="shared" si="40"/>
        <v>0</v>
      </c>
      <c r="DW26" s="68">
        <f t="shared" si="41"/>
        <v>0</v>
      </c>
      <c r="DX26" s="2"/>
      <c r="DY26" s="81" t="s">
        <v>482</v>
      </c>
      <c r="DZ26" s="82"/>
      <c r="EA26" s="82"/>
      <c r="EB26" s="82">
        <v>1</v>
      </c>
      <c r="EC26" s="83"/>
      <c r="ED26" s="84"/>
      <c r="EE26" s="2"/>
      <c r="EF26" s="38" t="s">
        <v>482</v>
      </c>
      <c r="EG26" s="93" t="s">
        <v>482</v>
      </c>
      <c r="EH26" s="94"/>
      <c r="EI26" s="94"/>
      <c r="EJ26" s="94"/>
      <c r="EK26" s="94"/>
      <c r="EL26" s="94"/>
      <c r="EM26" s="94"/>
      <c r="EN26" s="94"/>
      <c r="EO26" s="94"/>
      <c r="EP26" s="94"/>
      <c r="EQ26" s="94"/>
      <c r="ER26" s="94"/>
      <c r="ES26" s="95"/>
      <c r="ET26" s="38" t="s">
        <v>482</v>
      </c>
      <c r="EU26" s="93" t="s">
        <v>482</v>
      </c>
      <c r="EV26" s="94"/>
      <c r="EW26" s="94"/>
      <c r="EX26" s="94"/>
      <c r="EY26" s="94"/>
      <c r="EZ26" s="94"/>
      <c r="FA26" s="94"/>
      <c r="FB26" s="94"/>
      <c r="FC26" s="94"/>
      <c r="FD26" s="94"/>
      <c r="FE26" s="94"/>
      <c r="FF26" s="94"/>
      <c r="FG26" s="95"/>
      <c r="FH26" s="38" t="s">
        <v>482</v>
      </c>
      <c r="FI26" s="93" t="s">
        <v>482</v>
      </c>
      <c r="FJ26" s="94">
        <v>5524.9260000000004</v>
      </c>
      <c r="FK26" s="94">
        <v>4243.0230000000001</v>
      </c>
      <c r="FL26" s="94">
        <v>289.41590000000002</v>
      </c>
      <c r="FM26" s="94">
        <v>48.769979999999997</v>
      </c>
      <c r="FN26" s="94">
        <v>19.72655</v>
      </c>
      <c r="FO26" s="94">
        <v>59.962389999999999</v>
      </c>
      <c r="FP26" s="94">
        <v>1.2359309999999999</v>
      </c>
      <c r="FQ26" s="94">
        <v>4.600454</v>
      </c>
      <c r="FR26" s="94">
        <v>55.924639999999997</v>
      </c>
      <c r="FS26" s="94">
        <v>1.1437280000000001</v>
      </c>
      <c r="FT26" s="94"/>
      <c r="FU26" s="95"/>
      <c r="FV26" s="38" t="s">
        <v>482</v>
      </c>
      <c r="FW26" s="93" t="s">
        <v>482</v>
      </c>
      <c r="FX26" s="94"/>
      <c r="FY26" s="94"/>
      <c r="FZ26" s="94"/>
      <c r="GA26" s="94"/>
      <c r="GB26" s="94"/>
      <c r="GC26" s="94"/>
      <c r="GD26" s="94"/>
      <c r="GE26" s="94"/>
      <c r="GF26" s="94"/>
      <c r="GG26" s="94"/>
      <c r="GH26" s="94"/>
      <c r="GI26" s="95"/>
      <c r="GJ26" s="38" t="s">
        <v>482</v>
      </c>
      <c r="GK26" s="93" t="s">
        <v>482</v>
      </c>
      <c r="GL26" s="94"/>
      <c r="GM26" s="94"/>
      <c r="GN26" s="94"/>
      <c r="GO26" s="94"/>
      <c r="GP26" s="94"/>
      <c r="GQ26" s="94"/>
      <c r="GR26" s="94"/>
      <c r="GS26" s="94"/>
      <c r="GT26" s="94"/>
      <c r="GU26" s="94"/>
      <c r="GV26" s="94"/>
      <c r="GW26" s="95"/>
      <c r="GX26" s="38"/>
    </row>
    <row r="27" spans="1:206" x14ac:dyDescent="0.35">
      <c r="A27" s="2"/>
      <c r="B27" s="2"/>
      <c r="C27" s="42" t="s">
        <v>481</v>
      </c>
      <c r="D27" s="43">
        <f t="shared" si="42"/>
        <v>0.50636115574323282</v>
      </c>
      <c r="E27" s="43">
        <f t="shared" si="0"/>
        <v>0.46336130116442736</v>
      </c>
      <c r="F27" s="43">
        <f t="shared" si="1"/>
        <v>2.2294739874385495E-2</v>
      </c>
      <c r="G27" s="43">
        <f t="shared" si="2"/>
        <v>3.7368109604424184E-3</v>
      </c>
      <c r="H27" s="43">
        <f t="shared" si="3"/>
        <v>1.2927001255808883E-3</v>
      </c>
      <c r="I27" s="43">
        <f t="shared" si="4"/>
        <v>2.7000273985985659E-3</v>
      </c>
      <c r="J27" s="43">
        <f t="shared" si="5"/>
        <v>5.3632125901964721E-5</v>
      </c>
      <c r="K27" s="43">
        <f t="shared" si="6"/>
        <v>1.9963260743050963E-4</v>
      </c>
      <c r="L27" s="43">
        <f t="shared" si="7"/>
        <v>0</v>
      </c>
      <c r="M27" s="43">
        <f t="shared" si="8"/>
        <v>0</v>
      </c>
      <c r="N27" s="43">
        <f t="shared" si="9"/>
        <v>0</v>
      </c>
      <c r="O27" s="44">
        <f t="shared" si="10"/>
        <v>0</v>
      </c>
      <c r="P27" s="115">
        <f t="shared" si="43"/>
        <v>0.99999999999999989</v>
      </c>
      <c r="Q27" s="2"/>
      <c r="R27" s="42" t="s">
        <v>481</v>
      </c>
      <c r="S27" s="43">
        <f t="shared" si="44"/>
        <v>0.50636115574323293</v>
      </c>
      <c r="T27" s="43">
        <f t="shared" si="45"/>
        <v>0.46336130116442747</v>
      </c>
      <c r="U27" s="43">
        <f t="shared" si="46"/>
        <v>2.2294739874385499E-2</v>
      </c>
      <c r="V27" s="43">
        <f t="shared" si="47"/>
        <v>3.7368109604424193E-3</v>
      </c>
      <c r="W27" s="29">
        <f t="shared" si="48"/>
        <v>1.2927001255808885E-3</v>
      </c>
      <c r="X27" s="43">
        <f t="shared" si="49"/>
        <v>2.7000273985985663E-3</v>
      </c>
      <c r="Y27" s="43">
        <f t="shared" si="50"/>
        <v>5.3632125901964734E-5</v>
      </c>
      <c r="Z27" s="43">
        <f t="shared" si="51"/>
        <v>1.9963260743050969E-4</v>
      </c>
      <c r="AA27" s="29">
        <f t="shared" si="52"/>
        <v>0</v>
      </c>
      <c r="AB27" s="43">
        <f t="shared" si="53"/>
        <v>0</v>
      </c>
      <c r="AC27" s="43">
        <f t="shared" si="54"/>
        <v>0</v>
      </c>
      <c r="AD27" s="43">
        <f t="shared" si="55"/>
        <v>0</v>
      </c>
      <c r="AE27" s="32">
        <f t="shared" si="56"/>
        <v>0.50765385586881384</v>
      </c>
      <c r="AF27" s="53">
        <f t="shared" si="57"/>
        <v>0.46606132856302607</v>
      </c>
      <c r="AG27" s="53">
        <f t="shared" si="58"/>
        <v>2.2348372000287463E-2</v>
      </c>
      <c r="AH27" s="53">
        <f t="shared" si="59"/>
        <v>3.9364435678729288E-3</v>
      </c>
      <c r="AI27" s="34">
        <f t="shared" si="60"/>
        <v>0.99575400774248812</v>
      </c>
      <c r="AJ27" s="35">
        <f t="shared" si="61"/>
        <v>4.245992257511929E-3</v>
      </c>
      <c r="AK27" s="34">
        <f t="shared" si="62"/>
        <v>0.99575400774248812</v>
      </c>
      <c r="AL27" s="35">
        <f t="shared" si="63"/>
        <v>4.245992257511929E-3</v>
      </c>
      <c r="AM27" s="35">
        <f t="shared" si="64"/>
        <v>0</v>
      </c>
      <c r="AN27" s="36">
        <v>1</v>
      </c>
      <c r="AO27" s="54">
        <v>1</v>
      </c>
      <c r="AP27" s="2"/>
      <c r="AQ27" s="42" t="s">
        <v>481</v>
      </c>
      <c r="AR27" s="43">
        <f t="shared" si="65"/>
        <v>0.5025299609344922</v>
      </c>
      <c r="AS27" s="43">
        <f t="shared" si="71"/>
        <v>0.45985544888595481</v>
      </c>
      <c r="AT27" s="43">
        <f t="shared" si="72"/>
        <v>2.2126054953158482E-2</v>
      </c>
      <c r="AU27" s="43">
        <f t="shared" si="73"/>
        <v>3.708537759406928E-3</v>
      </c>
      <c r="AV27" s="29">
        <f t="shared" si="74"/>
        <v>2.2652551795934741E-3</v>
      </c>
      <c r="AW27" s="43">
        <f t="shared" si="75"/>
        <v>4.731376541772434E-3</v>
      </c>
      <c r="AX27" s="43">
        <f t="shared" si="76"/>
        <v>9.3981928668446525E-5</v>
      </c>
      <c r="AY27" s="43">
        <f t="shared" si="77"/>
        <v>3.4982498187234525E-4</v>
      </c>
      <c r="AZ27" s="29">
        <f t="shared" si="78"/>
        <v>4.252588151999223E-3</v>
      </c>
      <c r="BA27" s="43">
        <f t="shared" si="79"/>
        <v>8.6970683081907514E-5</v>
      </c>
      <c r="BB27" s="43">
        <f t="shared" si="80"/>
        <v>0</v>
      </c>
      <c r="BC27" s="44">
        <f t="shared" si="81"/>
        <v>0</v>
      </c>
      <c r="BD27" s="2"/>
      <c r="BE27" s="42" t="s">
        <v>481</v>
      </c>
      <c r="BF27" s="62">
        <v>1</v>
      </c>
      <c r="BG27" s="62">
        <v>1</v>
      </c>
      <c r="BH27" s="62">
        <v>1</v>
      </c>
      <c r="BI27" s="62">
        <v>1</v>
      </c>
      <c r="BJ27" s="36">
        <v>1</v>
      </c>
      <c r="BK27" s="62">
        <v>1</v>
      </c>
      <c r="BL27" s="62">
        <v>1</v>
      </c>
      <c r="BM27" s="62">
        <v>1</v>
      </c>
      <c r="BN27" s="36">
        <v>1</v>
      </c>
      <c r="BO27" s="62">
        <v>1</v>
      </c>
      <c r="BP27" s="62">
        <v>1</v>
      </c>
      <c r="BQ27" s="54">
        <v>1</v>
      </c>
      <c r="BR27" s="2"/>
      <c r="BS27" s="42" t="s">
        <v>481</v>
      </c>
      <c r="BT27" s="67">
        <f t="shared" si="66"/>
        <v>6608.6360000000004</v>
      </c>
      <c r="BU27" s="67">
        <f t="shared" si="18"/>
        <v>6047.4350000000004</v>
      </c>
      <c r="BV27" s="67">
        <f t="shared" si="19"/>
        <v>290.97378200000003</v>
      </c>
      <c r="BW27" s="67">
        <f t="shared" si="20"/>
        <v>48.769979999999997</v>
      </c>
      <c r="BX27" s="30">
        <f t="shared" si="21"/>
        <v>29.789760000000001</v>
      </c>
      <c r="BY27" s="67">
        <f t="shared" si="22"/>
        <v>62.221057000000002</v>
      </c>
      <c r="BZ27" s="67">
        <f t="shared" si="23"/>
        <v>1.2359309999999999</v>
      </c>
      <c r="CA27" s="67">
        <f t="shared" si="24"/>
        <v>4.600454</v>
      </c>
      <c r="CB27" s="30">
        <f t="shared" si="25"/>
        <v>55.924639999999997</v>
      </c>
      <c r="CC27" s="67">
        <f t="shared" si="26"/>
        <v>1.1437280000000001</v>
      </c>
      <c r="CD27" s="67">
        <f t="shared" si="27"/>
        <v>0</v>
      </c>
      <c r="CE27" s="68">
        <f t="shared" si="28"/>
        <v>0</v>
      </c>
      <c r="CF27" s="2"/>
      <c r="CG27" s="37" t="str">
        <f t="shared" si="67"/>
        <v>acoff</v>
      </c>
      <c r="CH27" s="42" t="s">
        <v>481</v>
      </c>
      <c r="CI27" s="67">
        <f t="shared" si="68"/>
        <v>6608.6360000000004</v>
      </c>
      <c r="CJ27" s="67">
        <f t="shared" si="82"/>
        <v>6047.4350000000004</v>
      </c>
      <c r="CK27" s="67">
        <f t="shared" si="83"/>
        <v>290.97378200000003</v>
      </c>
      <c r="CL27" s="67">
        <f t="shared" si="84"/>
        <v>48.769979999999997</v>
      </c>
      <c r="CM27" s="30">
        <f t="shared" si="85"/>
        <v>29.789760000000001</v>
      </c>
      <c r="CN27" s="67">
        <f t="shared" si="86"/>
        <v>62.221057000000002</v>
      </c>
      <c r="CO27" s="67">
        <f t="shared" si="87"/>
        <v>1.2359309999999999</v>
      </c>
      <c r="CP27" s="67">
        <f t="shared" si="88"/>
        <v>4.600454</v>
      </c>
      <c r="CQ27" s="30">
        <f t="shared" si="89"/>
        <v>55.924639999999997</v>
      </c>
      <c r="CR27" s="67">
        <f t="shared" si="90"/>
        <v>1.1437280000000001</v>
      </c>
      <c r="CS27" s="67">
        <f t="shared" si="91"/>
        <v>0</v>
      </c>
      <c r="CT27" s="68">
        <f t="shared" si="92"/>
        <v>0</v>
      </c>
      <c r="CU27" s="2"/>
      <c r="CV27" s="42" t="s">
        <v>481</v>
      </c>
      <c r="CW27" s="67">
        <f t="shared" si="69"/>
        <v>0</v>
      </c>
      <c r="CX27" s="67">
        <f t="shared" si="93"/>
        <v>0</v>
      </c>
      <c r="CY27" s="67">
        <f t="shared" si="94"/>
        <v>0</v>
      </c>
      <c r="CZ27" s="67">
        <f t="shared" si="95"/>
        <v>0</v>
      </c>
      <c r="DA27" s="30">
        <f t="shared" si="96"/>
        <v>0</v>
      </c>
      <c r="DB27" s="67">
        <f t="shared" si="97"/>
        <v>0</v>
      </c>
      <c r="DC27" s="67">
        <f t="shared" si="98"/>
        <v>0</v>
      </c>
      <c r="DD27" s="67">
        <f t="shared" si="99"/>
        <v>0</v>
      </c>
      <c r="DE27" s="30">
        <f t="shared" si="100"/>
        <v>0</v>
      </c>
      <c r="DF27" s="67">
        <f t="shared" si="101"/>
        <v>0</v>
      </c>
      <c r="DG27" s="67">
        <f t="shared" si="102"/>
        <v>0</v>
      </c>
      <c r="DH27" s="68">
        <f t="shared" si="103"/>
        <v>0</v>
      </c>
      <c r="DI27" s="2"/>
      <c r="DJ27" s="37" t="s">
        <v>482</v>
      </c>
      <c r="DK27" s="76" t="s">
        <v>481</v>
      </c>
      <c r="DL27" s="67">
        <f t="shared" si="70"/>
        <v>1083.71</v>
      </c>
      <c r="DM27" s="67">
        <f t="shared" si="31"/>
        <v>1804.412</v>
      </c>
      <c r="DN27" s="67">
        <f t="shared" si="32"/>
        <v>1.557882</v>
      </c>
      <c r="DO27" s="67">
        <f t="shared" si="33"/>
        <v>0</v>
      </c>
      <c r="DP27" s="30">
        <f t="shared" si="34"/>
        <v>10.06321</v>
      </c>
      <c r="DQ27" s="67">
        <f t="shared" si="35"/>
        <v>2.258667</v>
      </c>
      <c r="DR27" s="67">
        <f t="shared" si="36"/>
        <v>0</v>
      </c>
      <c r="DS27" s="67">
        <f t="shared" si="37"/>
        <v>0</v>
      </c>
      <c r="DT27" s="30">
        <f t="shared" si="38"/>
        <v>0</v>
      </c>
      <c r="DU27" s="67">
        <f t="shared" si="39"/>
        <v>0</v>
      </c>
      <c r="DV27" s="67">
        <f t="shared" si="40"/>
        <v>0</v>
      </c>
      <c r="DW27" s="68">
        <f t="shared" si="41"/>
        <v>0</v>
      </c>
      <c r="DX27" s="2"/>
      <c r="DY27" s="81" t="s">
        <v>481</v>
      </c>
      <c r="DZ27" s="82"/>
      <c r="EA27" s="82"/>
      <c r="EB27" s="82">
        <v>1</v>
      </c>
      <c r="EC27" s="83"/>
      <c r="ED27" s="84"/>
      <c r="EE27" s="2"/>
      <c r="EF27" s="38" t="s">
        <v>481</v>
      </c>
      <c r="EG27" s="93" t="s">
        <v>481</v>
      </c>
      <c r="EH27" s="94"/>
      <c r="EI27" s="94"/>
      <c r="EJ27" s="94"/>
      <c r="EK27" s="94"/>
      <c r="EL27" s="94"/>
      <c r="EM27" s="94"/>
      <c r="EN27" s="94"/>
      <c r="EO27" s="94"/>
      <c r="EP27" s="94"/>
      <c r="EQ27" s="94"/>
      <c r="ER27" s="94"/>
      <c r="ES27" s="95"/>
      <c r="ET27" s="38" t="s">
        <v>481</v>
      </c>
      <c r="EU27" s="93" t="s">
        <v>481</v>
      </c>
      <c r="EV27" s="94"/>
      <c r="EW27" s="94"/>
      <c r="EX27" s="94"/>
      <c r="EY27" s="94"/>
      <c r="EZ27" s="94"/>
      <c r="FA27" s="94"/>
      <c r="FB27" s="94"/>
      <c r="FC27" s="94"/>
      <c r="FD27" s="94"/>
      <c r="FE27" s="94"/>
      <c r="FF27" s="94"/>
      <c r="FG27" s="95"/>
      <c r="FH27" s="38" t="s">
        <v>481</v>
      </c>
      <c r="FI27" s="93" t="s">
        <v>481</v>
      </c>
      <c r="FJ27" s="94">
        <v>1083.71</v>
      </c>
      <c r="FK27" s="94">
        <v>1804.412</v>
      </c>
      <c r="FL27" s="94">
        <v>1.557882</v>
      </c>
      <c r="FM27" s="94"/>
      <c r="FN27" s="94">
        <v>10.06321</v>
      </c>
      <c r="FO27" s="94">
        <v>2.258667</v>
      </c>
      <c r="FP27" s="94"/>
      <c r="FQ27" s="94"/>
      <c r="FR27" s="94"/>
      <c r="FS27" s="94"/>
      <c r="FT27" s="94"/>
      <c r="FU27" s="95"/>
      <c r="FV27" s="38" t="s">
        <v>481</v>
      </c>
      <c r="FW27" s="93" t="s">
        <v>481</v>
      </c>
      <c r="FX27" s="94"/>
      <c r="FY27" s="94"/>
      <c r="FZ27" s="94"/>
      <c r="GA27" s="94"/>
      <c r="GB27" s="94"/>
      <c r="GC27" s="94"/>
      <c r="GD27" s="94"/>
      <c r="GE27" s="94"/>
      <c r="GF27" s="94"/>
      <c r="GG27" s="94"/>
      <c r="GH27" s="94"/>
      <c r="GI27" s="95"/>
      <c r="GJ27" s="38" t="s">
        <v>481</v>
      </c>
      <c r="GK27" s="93" t="s">
        <v>481</v>
      </c>
      <c r="GL27" s="94"/>
      <c r="GM27" s="94"/>
      <c r="GN27" s="94"/>
      <c r="GO27" s="94"/>
      <c r="GP27" s="94"/>
      <c r="GQ27" s="94"/>
      <c r="GR27" s="94"/>
      <c r="GS27" s="94"/>
      <c r="GT27" s="94"/>
      <c r="GU27" s="94"/>
      <c r="GV27" s="94"/>
      <c r="GW27" s="95"/>
      <c r="GX27" s="38"/>
    </row>
    <row r="28" spans="1:206" x14ac:dyDescent="0.35">
      <c r="A28" s="2"/>
      <c r="B28" s="2"/>
      <c r="C28" s="42" t="s">
        <v>476</v>
      </c>
      <c r="D28" s="43">
        <f t="shared" si="42"/>
        <v>0.47435483002409928</v>
      </c>
      <c r="E28" s="43">
        <f t="shared" si="0"/>
        <v>0.41292124319892493</v>
      </c>
      <c r="F28" s="43">
        <f t="shared" si="1"/>
        <v>1.5001696120432222E-2</v>
      </c>
      <c r="G28" s="43">
        <f t="shared" si="2"/>
        <v>1.3018906294144587E-2</v>
      </c>
      <c r="H28" s="43">
        <f t="shared" si="3"/>
        <v>1.1577802717855457E-2</v>
      </c>
      <c r="I28" s="43">
        <f t="shared" si="4"/>
        <v>4.3419007401076038E-3</v>
      </c>
      <c r="J28" s="43">
        <f t="shared" si="5"/>
        <v>1.9413394943861911E-3</v>
      </c>
      <c r="K28" s="43">
        <f t="shared" si="6"/>
        <v>5.8423151148165918E-3</v>
      </c>
      <c r="L28" s="43">
        <f t="shared" si="7"/>
        <v>9.0356316415167656E-3</v>
      </c>
      <c r="M28" s="43">
        <f t="shared" si="8"/>
        <v>5.0113198466359546E-2</v>
      </c>
      <c r="N28" s="43">
        <f t="shared" si="9"/>
        <v>9.1472102615688551E-5</v>
      </c>
      <c r="O28" s="44">
        <f t="shared" si="10"/>
        <v>1.7596640847409521E-3</v>
      </c>
      <c r="P28" s="115">
        <f t="shared" si="43"/>
        <v>1</v>
      </c>
      <c r="Q28" s="2"/>
      <c r="R28" s="42" t="s">
        <v>476</v>
      </c>
      <c r="S28" s="43">
        <f t="shared" si="44"/>
        <v>0.47435483002409939</v>
      </c>
      <c r="T28" s="43">
        <f t="shared" si="45"/>
        <v>0.41292124319892504</v>
      </c>
      <c r="U28" s="43">
        <f t="shared" si="46"/>
        <v>1.5001696120432225E-2</v>
      </c>
      <c r="V28" s="43">
        <f t="shared" si="47"/>
        <v>1.3018906294144591E-2</v>
      </c>
      <c r="W28" s="29">
        <f t="shared" si="48"/>
        <v>1.1577802717855459E-2</v>
      </c>
      <c r="X28" s="43">
        <f t="shared" si="49"/>
        <v>4.3419007401076046E-3</v>
      </c>
      <c r="Y28" s="43">
        <f t="shared" si="50"/>
        <v>1.9413394943861915E-3</v>
      </c>
      <c r="Z28" s="43">
        <f t="shared" si="51"/>
        <v>5.8423151148165927E-3</v>
      </c>
      <c r="AA28" s="29">
        <f t="shared" si="52"/>
        <v>9.0356316415167674E-3</v>
      </c>
      <c r="AB28" s="43">
        <f t="shared" si="53"/>
        <v>5.011319846635956E-2</v>
      </c>
      <c r="AC28" s="43">
        <f t="shared" si="54"/>
        <v>9.1472102615688564E-5</v>
      </c>
      <c r="AD28" s="43">
        <f t="shared" si="55"/>
        <v>1.7596640847409525E-3</v>
      </c>
      <c r="AE28" s="32">
        <f t="shared" si="56"/>
        <v>0.49496826438347163</v>
      </c>
      <c r="AF28" s="53">
        <f t="shared" si="57"/>
        <v>0.46737634240539216</v>
      </c>
      <c r="AG28" s="53">
        <f t="shared" si="58"/>
        <v>1.7034507717434106E-2</v>
      </c>
      <c r="AH28" s="53">
        <f t="shared" si="59"/>
        <v>2.0620885493702133E-2</v>
      </c>
      <c r="AI28" s="34">
        <f t="shared" si="60"/>
        <v>0</v>
      </c>
      <c r="AJ28" s="35">
        <f t="shared" si="61"/>
        <v>0</v>
      </c>
      <c r="AK28" s="34">
        <f>AK29</f>
        <v>0.9152966756376012</v>
      </c>
      <c r="AL28" s="35">
        <f>AL29</f>
        <v>2.3703358067165847E-2</v>
      </c>
      <c r="AM28" s="35">
        <f t="shared" si="64"/>
        <v>6.0999966295232966E-2</v>
      </c>
      <c r="AN28" s="36">
        <v>1</v>
      </c>
      <c r="AO28" s="54">
        <v>1</v>
      </c>
      <c r="AP28" s="2"/>
      <c r="AQ28" s="42" t="s">
        <v>476</v>
      </c>
      <c r="AR28" s="43">
        <f t="shared" si="65"/>
        <v>0.4735075753418041</v>
      </c>
      <c r="AS28" s="43">
        <f t="shared" si="71"/>
        <v>0.4121837162790416</v>
      </c>
      <c r="AT28" s="43">
        <f t="shared" si="72"/>
        <v>1.4974901289904703E-2</v>
      </c>
      <c r="AU28" s="43">
        <f t="shared" si="73"/>
        <v>1.2995652964320759E-2</v>
      </c>
      <c r="AV28" s="29">
        <f t="shared" si="74"/>
        <v>2.1538993494125573E-2</v>
      </c>
      <c r="AW28" s="43">
        <f t="shared" si="75"/>
        <v>8.0775406242748031E-3</v>
      </c>
      <c r="AX28" s="43">
        <f t="shared" si="76"/>
        <v>3.6116091937709624E-3</v>
      </c>
      <c r="AY28" s="43">
        <f t="shared" si="77"/>
        <v>1.0868866080659458E-2</v>
      </c>
      <c r="AZ28" s="29">
        <f t="shared" si="78"/>
        <v>6.2569776197575096E-3</v>
      </c>
      <c r="BA28" s="43">
        <f t="shared" si="79"/>
        <v>3.4702295721944991E-2</v>
      </c>
      <c r="BB28" s="43">
        <f t="shared" si="80"/>
        <v>6.3342433778370582E-5</v>
      </c>
      <c r="BC28" s="44">
        <f t="shared" si="81"/>
        <v>1.2185289566172485E-3</v>
      </c>
      <c r="BD28" s="2"/>
      <c r="BE28" s="42" t="s">
        <v>476</v>
      </c>
      <c r="BF28" s="62">
        <v>1</v>
      </c>
      <c r="BG28" s="62">
        <v>1</v>
      </c>
      <c r="BH28" s="62">
        <v>1</v>
      </c>
      <c r="BI28" s="62">
        <v>1</v>
      </c>
      <c r="BJ28" s="36">
        <v>1</v>
      </c>
      <c r="BK28" s="62">
        <v>1</v>
      </c>
      <c r="BL28" s="62">
        <v>1</v>
      </c>
      <c r="BM28" s="62">
        <v>1</v>
      </c>
      <c r="BN28" s="36">
        <v>1</v>
      </c>
      <c r="BO28" s="62">
        <v>1</v>
      </c>
      <c r="BP28" s="62">
        <v>1</v>
      </c>
      <c r="BQ28" s="54">
        <v>1</v>
      </c>
      <c r="BR28" s="2"/>
      <c r="BS28" s="42" t="s">
        <v>476</v>
      </c>
      <c r="BT28" s="67">
        <f t="shared" si="66"/>
        <v>2765.0083</v>
      </c>
      <c r="BU28" s="67">
        <f t="shared" si="18"/>
        <v>2406.9126999999999</v>
      </c>
      <c r="BV28" s="67">
        <f t="shared" si="19"/>
        <v>87.444696799999988</v>
      </c>
      <c r="BW28" s="67">
        <f t="shared" si="20"/>
        <v>75.887039999999999</v>
      </c>
      <c r="BX28" s="30">
        <f t="shared" si="21"/>
        <v>125.77516999999999</v>
      </c>
      <c r="BY28" s="67">
        <f t="shared" si="22"/>
        <v>47.168129999999998</v>
      </c>
      <c r="BZ28" s="67">
        <f t="shared" si="23"/>
        <v>21.089693</v>
      </c>
      <c r="CA28" s="67">
        <f t="shared" si="24"/>
        <v>63.467843999999999</v>
      </c>
      <c r="CB28" s="30">
        <f t="shared" si="25"/>
        <v>36.537103000000002</v>
      </c>
      <c r="CC28" s="67">
        <f t="shared" si="26"/>
        <v>202.64118400000001</v>
      </c>
      <c r="CD28" s="67">
        <f t="shared" si="27"/>
        <v>0.36988290000000001</v>
      </c>
      <c r="CE28" s="68">
        <f t="shared" si="28"/>
        <v>7.1154989999999998</v>
      </c>
      <c r="CF28" s="2"/>
      <c r="CG28" s="37" t="str">
        <f t="shared" si="67"/>
        <v>atoba</v>
      </c>
      <c r="CH28" s="42" t="s">
        <v>476</v>
      </c>
      <c r="CI28" s="67">
        <f t="shared" si="68"/>
        <v>2765.0083</v>
      </c>
      <c r="CJ28" s="67">
        <f t="shared" si="82"/>
        <v>2406.9126999999999</v>
      </c>
      <c r="CK28" s="67">
        <f t="shared" si="83"/>
        <v>87.444696799999988</v>
      </c>
      <c r="CL28" s="67">
        <f t="shared" si="84"/>
        <v>75.887039999999999</v>
      </c>
      <c r="CM28" s="30">
        <f t="shared" si="85"/>
        <v>125.77516999999999</v>
      </c>
      <c r="CN28" s="67">
        <f t="shared" si="86"/>
        <v>47.168129999999998</v>
      </c>
      <c r="CO28" s="67">
        <f t="shared" si="87"/>
        <v>21.089693</v>
      </c>
      <c r="CP28" s="67">
        <f t="shared" si="88"/>
        <v>63.467843999999999</v>
      </c>
      <c r="CQ28" s="30">
        <f t="shared" si="89"/>
        <v>36.537103000000002</v>
      </c>
      <c r="CR28" s="67">
        <f t="shared" si="90"/>
        <v>202.64118400000001</v>
      </c>
      <c r="CS28" s="67">
        <f t="shared" si="91"/>
        <v>0.36988290000000001</v>
      </c>
      <c r="CT28" s="68">
        <f t="shared" si="92"/>
        <v>7.1154989999999998</v>
      </c>
      <c r="CU28" s="2"/>
      <c r="CV28" s="42" t="s">
        <v>476</v>
      </c>
      <c r="CW28" s="67">
        <f t="shared" si="69"/>
        <v>2765.0083</v>
      </c>
      <c r="CX28" s="67">
        <f t="shared" si="93"/>
        <v>2406.9126999999999</v>
      </c>
      <c r="CY28" s="67">
        <f t="shared" si="94"/>
        <v>87.444696799999988</v>
      </c>
      <c r="CZ28" s="67">
        <f t="shared" si="95"/>
        <v>75.887039999999999</v>
      </c>
      <c r="DA28" s="30">
        <f t="shared" si="96"/>
        <v>125.77516999999999</v>
      </c>
      <c r="DB28" s="67">
        <f t="shared" si="97"/>
        <v>47.168129999999998</v>
      </c>
      <c r="DC28" s="67">
        <f t="shared" si="98"/>
        <v>21.089693</v>
      </c>
      <c r="DD28" s="67">
        <f t="shared" si="99"/>
        <v>63.467843999999999</v>
      </c>
      <c r="DE28" s="30">
        <f t="shared" si="100"/>
        <v>36.537103000000002</v>
      </c>
      <c r="DF28" s="67">
        <f t="shared" si="101"/>
        <v>202.64118400000001</v>
      </c>
      <c r="DG28" s="67">
        <f t="shared" si="102"/>
        <v>0.36988290000000001</v>
      </c>
      <c r="DH28" s="68">
        <f t="shared" si="103"/>
        <v>7.1154989999999998</v>
      </c>
      <c r="DI28" s="2"/>
      <c r="DJ28" s="37" t="s">
        <v>476</v>
      </c>
      <c r="DK28" s="76" t="s">
        <v>476</v>
      </c>
      <c r="DL28" s="67">
        <f t="shared" si="70"/>
        <v>0</v>
      </c>
      <c r="DM28" s="67">
        <f t="shared" si="31"/>
        <v>0</v>
      </c>
      <c r="DN28" s="67">
        <f t="shared" si="32"/>
        <v>0</v>
      </c>
      <c r="DO28" s="67">
        <f t="shared" si="33"/>
        <v>0</v>
      </c>
      <c r="DP28" s="30">
        <f t="shared" si="34"/>
        <v>0</v>
      </c>
      <c r="DQ28" s="67">
        <f t="shared" si="35"/>
        <v>0</v>
      </c>
      <c r="DR28" s="67">
        <f t="shared" si="36"/>
        <v>0</v>
      </c>
      <c r="DS28" s="67">
        <f t="shared" si="37"/>
        <v>0</v>
      </c>
      <c r="DT28" s="30">
        <f t="shared" si="38"/>
        <v>0</v>
      </c>
      <c r="DU28" s="67">
        <f t="shared" si="39"/>
        <v>0</v>
      </c>
      <c r="DV28" s="67">
        <f t="shared" si="40"/>
        <v>0</v>
      </c>
      <c r="DW28" s="68">
        <f t="shared" si="41"/>
        <v>0</v>
      </c>
      <c r="DX28" s="2"/>
      <c r="DY28" s="81" t="s">
        <v>476</v>
      </c>
      <c r="DZ28" s="82"/>
      <c r="EA28" s="82"/>
      <c r="EB28" s="82">
        <v>1</v>
      </c>
      <c r="EC28" s="83"/>
      <c r="ED28" s="84"/>
      <c r="EE28" s="2"/>
      <c r="EF28" s="38" t="s">
        <v>476</v>
      </c>
      <c r="EG28" s="93" t="s">
        <v>476</v>
      </c>
      <c r="EH28" s="94"/>
      <c r="EI28" s="94"/>
      <c r="EJ28" s="94"/>
      <c r="EK28" s="94"/>
      <c r="EL28" s="94"/>
      <c r="EM28" s="94"/>
      <c r="EN28" s="94"/>
      <c r="EO28" s="94"/>
      <c r="EP28" s="94"/>
      <c r="EQ28" s="94"/>
      <c r="ER28" s="94"/>
      <c r="ES28" s="95"/>
      <c r="ET28" s="38" t="s">
        <v>476</v>
      </c>
      <c r="EU28" s="93" t="s">
        <v>476</v>
      </c>
      <c r="EV28" s="94"/>
      <c r="EW28" s="94"/>
      <c r="EX28" s="94"/>
      <c r="EY28" s="94"/>
      <c r="EZ28" s="94"/>
      <c r="FA28" s="94"/>
      <c r="FB28" s="94"/>
      <c r="FC28" s="94"/>
      <c r="FD28" s="94"/>
      <c r="FE28" s="94"/>
      <c r="FF28" s="94"/>
      <c r="FG28" s="95"/>
      <c r="FH28" s="38" t="s">
        <v>476</v>
      </c>
      <c r="FI28" s="93" t="s">
        <v>476</v>
      </c>
      <c r="FJ28" s="94"/>
      <c r="FK28" s="94"/>
      <c r="FL28" s="94"/>
      <c r="FM28" s="94"/>
      <c r="FN28" s="94"/>
      <c r="FO28" s="94"/>
      <c r="FP28" s="94"/>
      <c r="FQ28" s="94"/>
      <c r="FR28" s="94"/>
      <c r="FS28" s="94"/>
      <c r="FT28" s="94"/>
      <c r="FU28" s="95"/>
      <c r="FV28" s="38" t="s">
        <v>476</v>
      </c>
      <c r="FW28" s="93" t="s">
        <v>476</v>
      </c>
      <c r="FX28" s="94"/>
      <c r="FY28" s="94"/>
      <c r="FZ28" s="94"/>
      <c r="GA28" s="94"/>
      <c r="GB28" s="94"/>
      <c r="GC28" s="94"/>
      <c r="GD28" s="94"/>
      <c r="GE28" s="94"/>
      <c r="GF28" s="94"/>
      <c r="GG28" s="94"/>
      <c r="GH28" s="94"/>
      <c r="GI28" s="95"/>
      <c r="GJ28" s="38" t="s">
        <v>476</v>
      </c>
      <c r="GK28" s="93" t="s">
        <v>476</v>
      </c>
      <c r="GL28" s="94"/>
      <c r="GM28" s="94"/>
      <c r="GN28" s="94"/>
      <c r="GO28" s="94"/>
      <c r="GP28" s="94"/>
      <c r="GQ28" s="94"/>
      <c r="GR28" s="94"/>
      <c r="GS28" s="94"/>
      <c r="GT28" s="94"/>
      <c r="GU28" s="94"/>
      <c r="GV28" s="94"/>
      <c r="GW28" s="95"/>
      <c r="GX28" s="38"/>
    </row>
    <row r="29" spans="1:206" x14ac:dyDescent="0.35">
      <c r="A29" s="2"/>
      <c r="B29" s="2"/>
      <c r="C29" s="42" t="s">
        <v>474</v>
      </c>
      <c r="D29" s="43">
        <f t="shared" si="42"/>
        <v>0.47435483002409928</v>
      </c>
      <c r="E29" s="43">
        <f t="shared" si="0"/>
        <v>0.41292124319892493</v>
      </c>
      <c r="F29" s="43">
        <f t="shared" si="1"/>
        <v>1.5001696120432222E-2</v>
      </c>
      <c r="G29" s="43">
        <f t="shared" si="2"/>
        <v>1.3018906294144587E-2</v>
      </c>
      <c r="H29" s="43">
        <f t="shared" si="3"/>
        <v>1.1577802717855457E-2</v>
      </c>
      <c r="I29" s="43">
        <f t="shared" si="4"/>
        <v>4.3419007401076038E-3</v>
      </c>
      <c r="J29" s="43">
        <f t="shared" si="5"/>
        <v>1.9413394943861911E-3</v>
      </c>
      <c r="K29" s="43">
        <f t="shared" si="6"/>
        <v>5.8423151148165918E-3</v>
      </c>
      <c r="L29" s="43">
        <f t="shared" si="7"/>
        <v>9.0356316415167656E-3</v>
      </c>
      <c r="M29" s="43">
        <f t="shared" si="8"/>
        <v>5.0113198466359546E-2</v>
      </c>
      <c r="N29" s="43">
        <f t="shared" si="9"/>
        <v>9.1472102615688551E-5</v>
      </c>
      <c r="O29" s="44">
        <f t="shared" si="10"/>
        <v>1.7596640847409521E-3</v>
      </c>
      <c r="P29" s="115">
        <f t="shared" si="43"/>
        <v>1</v>
      </c>
      <c r="Q29" s="2"/>
      <c r="R29" s="42" t="s">
        <v>474</v>
      </c>
      <c r="S29" s="43">
        <f t="shared" si="44"/>
        <v>0.47435483002409939</v>
      </c>
      <c r="T29" s="43">
        <f t="shared" si="45"/>
        <v>0.41292124319892504</v>
      </c>
      <c r="U29" s="43">
        <f t="shared" si="46"/>
        <v>1.5001696120432225E-2</v>
      </c>
      <c r="V29" s="43">
        <f t="shared" si="47"/>
        <v>1.3018906294144591E-2</v>
      </c>
      <c r="W29" s="29">
        <f t="shared" si="48"/>
        <v>1.1577802717855459E-2</v>
      </c>
      <c r="X29" s="43">
        <f t="shared" si="49"/>
        <v>4.3419007401076046E-3</v>
      </c>
      <c r="Y29" s="43">
        <f t="shared" si="50"/>
        <v>1.9413394943861915E-3</v>
      </c>
      <c r="Z29" s="43">
        <f t="shared" si="51"/>
        <v>5.8423151148165927E-3</v>
      </c>
      <c r="AA29" s="29">
        <f t="shared" si="52"/>
        <v>9.0356316415167674E-3</v>
      </c>
      <c r="AB29" s="43">
        <f t="shared" si="53"/>
        <v>5.011319846635956E-2</v>
      </c>
      <c r="AC29" s="43">
        <f t="shared" si="54"/>
        <v>9.1472102615688564E-5</v>
      </c>
      <c r="AD29" s="43">
        <f t="shared" si="55"/>
        <v>1.7596640847409525E-3</v>
      </c>
      <c r="AE29" s="32">
        <f t="shared" si="56"/>
        <v>0.49496826438347163</v>
      </c>
      <c r="AF29" s="53">
        <f t="shared" si="57"/>
        <v>0.46737634240539216</v>
      </c>
      <c r="AG29" s="53">
        <f t="shared" si="58"/>
        <v>1.7034507717434106E-2</v>
      </c>
      <c r="AH29" s="53">
        <f t="shared" si="59"/>
        <v>2.0620885493702133E-2</v>
      </c>
      <c r="AI29" s="34">
        <f t="shared" si="60"/>
        <v>0.9152966756376012</v>
      </c>
      <c r="AJ29" s="35">
        <f t="shared" si="61"/>
        <v>2.3703358067165847E-2</v>
      </c>
      <c r="AK29" s="34">
        <f t="shared" si="62"/>
        <v>0.9152966756376012</v>
      </c>
      <c r="AL29" s="35">
        <f t="shared" si="63"/>
        <v>2.3703358067165847E-2</v>
      </c>
      <c r="AM29" s="35">
        <f t="shared" si="64"/>
        <v>6.0999966295232966E-2</v>
      </c>
      <c r="AN29" s="36">
        <v>1</v>
      </c>
      <c r="AO29" s="54">
        <v>1</v>
      </c>
      <c r="AP29" s="2"/>
      <c r="AQ29" s="42" t="s">
        <v>474</v>
      </c>
      <c r="AR29" s="43">
        <f t="shared" si="65"/>
        <v>0.4735075753418041</v>
      </c>
      <c r="AS29" s="43">
        <f t="shared" si="71"/>
        <v>0.4121837162790416</v>
      </c>
      <c r="AT29" s="43">
        <f t="shared" si="72"/>
        <v>1.4974901289904703E-2</v>
      </c>
      <c r="AU29" s="43">
        <f t="shared" si="73"/>
        <v>1.2995652964320759E-2</v>
      </c>
      <c r="AV29" s="29">
        <f t="shared" si="74"/>
        <v>2.1538993494125573E-2</v>
      </c>
      <c r="AW29" s="43">
        <f t="shared" si="75"/>
        <v>8.0775406242748031E-3</v>
      </c>
      <c r="AX29" s="43">
        <f t="shared" si="76"/>
        <v>3.6116091937709624E-3</v>
      </c>
      <c r="AY29" s="43">
        <f t="shared" si="77"/>
        <v>1.0868866080659458E-2</v>
      </c>
      <c r="AZ29" s="29">
        <f t="shared" si="78"/>
        <v>6.2569776197575096E-3</v>
      </c>
      <c r="BA29" s="43">
        <f t="shared" si="79"/>
        <v>3.4702295721944991E-2</v>
      </c>
      <c r="BB29" s="43">
        <f t="shared" si="80"/>
        <v>6.3342433778370582E-5</v>
      </c>
      <c r="BC29" s="44">
        <f t="shared" si="81"/>
        <v>1.2185289566172485E-3</v>
      </c>
      <c r="BD29" s="2"/>
      <c r="BE29" s="42" t="s">
        <v>474</v>
      </c>
      <c r="BF29" s="62">
        <v>1</v>
      </c>
      <c r="BG29" s="62">
        <v>1</v>
      </c>
      <c r="BH29" s="62">
        <v>1</v>
      </c>
      <c r="BI29" s="62">
        <v>1</v>
      </c>
      <c r="BJ29" s="36">
        <v>1</v>
      </c>
      <c r="BK29" s="62">
        <v>1</v>
      </c>
      <c r="BL29" s="62">
        <v>1</v>
      </c>
      <c r="BM29" s="62">
        <v>1</v>
      </c>
      <c r="BN29" s="36">
        <v>1</v>
      </c>
      <c r="BO29" s="62">
        <v>1</v>
      </c>
      <c r="BP29" s="62">
        <v>1</v>
      </c>
      <c r="BQ29" s="54">
        <v>1</v>
      </c>
      <c r="BR29" s="2"/>
      <c r="BS29" s="42" t="s">
        <v>474</v>
      </c>
      <c r="BT29" s="67">
        <f t="shared" si="66"/>
        <v>2765.0083</v>
      </c>
      <c r="BU29" s="67">
        <f t="shared" si="18"/>
        <v>2406.9126999999999</v>
      </c>
      <c r="BV29" s="67">
        <f t="shared" si="19"/>
        <v>87.444696799999988</v>
      </c>
      <c r="BW29" s="67">
        <f t="shared" si="20"/>
        <v>75.887039999999999</v>
      </c>
      <c r="BX29" s="30">
        <f t="shared" si="21"/>
        <v>125.77516999999999</v>
      </c>
      <c r="BY29" s="67">
        <f t="shared" si="22"/>
        <v>47.168129999999998</v>
      </c>
      <c r="BZ29" s="67">
        <f t="shared" si="23"/>
        <v>21.089693</v>
      </c>
      <c r="CA29" s="67">
        <f t="shared" si="24"/>
        <v>63.467843999999999</v>
      </c>
      <c r="CB29" s="30">
        <f t="shared" si="25"/>
        <v>36.537103000000002</v>
      </c>
      <c r="CC29" s="67">
        <f t="shared" si="26"/>
        <v>202.64118400000001</v>
      </c>
      <c r="CD29" s="67">
        <f t="shared" si="27"/>
        <v>0.36988290000000001</v>
      </c>
      <c r="CE29" s="68">
        <f t="shared" si="28"/>
        <v>7.1154989999999998</v>
      </c>
      <c r="CF29" s="2"/>
      <c r="CG29" s="37" t="str">
        <f t="shared" si="67"/>
        <v>atoba</v>
      </c>
      <c r="CH29" s="42" t="s">
        <v>474</v>
      </c>
      <c r="CI29" s="67">
        <f t="shared" si="68"/>
        <v>2765.0083</v>
      </c>
      <c r="CJ29" s="67">
        <f t="shared" si="82"/>
        <v>2406.9126999999999</v>
      </c>
      <c r="CK29" s="67">
        <f t="shared" si="83"/>
        <v>87.444696799999988</v>
      </c>
      <c r="CL29" s="67">
        <f t="shared" si="84"/>
        <v>75.887039999999999</v>
      </c>
      <c r="CM29" s="30">
        <f t="shared" si="85"/>
        <v>125.77516999999999</v>
      </c>
      <c r="CN29" s="67">
        <f t="shared" si="86"/>
        <v>47.168129999999998</v>
      </c>
      <c r="CO29" s="67">
        <f t="shared" si="87"/>
        <v>21.089693</v>
      </c>
      <c r="CP29" s="67">
        <f t="shared" si="88"/>
        <v>63.467843999999999</v>
      </c>
      <c r="CQ29" s="30">
        <f t="shared" si="89"/>
        <v>36.537103000000002</v>
      </c>
      <c r="CR29" s="67">
        <f t="shared" si="90"/>
        <v>202.64118400000001</v>
      </c>
      <c r="CS29" s="67">
        <f t="shared" si="91"/>
        <v>0.36988290000000001</v>
      </c>
      <c r="CT29" s="68">
        <f t="shared" si="92"/>
        <v>7.1154989999999998</v>
      </c>
      <c r="CU29" s="2"/>
      <c r="CV29" s="42" t="s">
        <v>474</v>
      </c>
      <c r="CW29" s="67">
        <f t="shared" si="69"/>
        <v>0</v>
      </c>
      <c r="CX29" s="67">
        <f t="shared" si="93"/>
        <v>0</v>
      </c>
      <c r="CY29" s="67">
        <f t="shared" si="94"/>
        <v>0</v>
      </c>
      <c r="CZ29" s="67">
        <f t="shared" si="95"/>
        <v>0</v>
      </c>
      <c r="DA29" s="30">
        <f t="shared" si="96"/>
        <v>0</v>
      </c>
      <c r="DB29" s="67">
        <f t="shared" si="97"/>
        <v>0</v>
      </c>
      <c r="DC29" s="67">
        <f t="shared" si="98"/>
        <v>0</v>
      </c>
      <c r="DD29" s="67">
        <f t="shared" si="99"/>
        <v>0</v>
      </c>
      <c r="DE29" s="30">
        <f t="shared" si="100"/>
        <v>0</v>
      </c>
      <c r="DF29" s="67">
        <f t="shared" si="101"/>
        <v>0</v>
      </c>
      <c r="DG29" s="67">
        <f t="shared" si="102"/>
        <v>0</v>
      </c>
      <c r="DH29" s="68">
        <f t="shared" si="103"/>
        <v>0</v>
      </c>
      <c r="DI29" s="2"/>
      <c r="DJ29" s="37" t="s">
        <v>476</v>
      </c>
      <c r="DK29" s="76" t="s">
        <v>474</v>
      </c>
      <c r="DL29" s="67">
        <f t="shared" si="70"/>
        <v>1562.7339999999999</v>
      </c>
      <c r="DM29" s="67">
        <f t="shared" si="31"/>
        <v>1700.999</v>
      </c>
      <c r="DN29" s="67">
        <f t="shared" si="32"/>
        <v>16.912089999999999</v>
      </c>
      <c r="DO29" s="67">
        <f t="shared" si="33"/>
        <v>37.28416</v>
      </c>
      <c r="DP29" s="30">
        <f t="shared" si="34"/>
        <v>58.388300000000001</v>
      </c>
      <c r="DQ29" s="67">
        <f t="shared" si="35"/>
        <v>10.283910000000001</v>
      </c>
      <c r="DR29" s="67">
        <f t="shared" si="36"/>
        <v>12.18777</v>
      </c>
      <c r="DS29" s="67">
        <f t="shared" si="37"/>
        <v>5.0641439999999998</v>
      </c>
      <c r="DT29" s="30">
        <f t="shared" si="38"/>
        <v>27.730049999999999</v>
      </c>
      <c r="DU29" s="67">
        <f t="shared" si="39"/>
        <v>190.4624</v>
      </c>
      <c r="DV29" s="67">
        <f t="shared" si="40"/>
        <v>0</v>
      </c>
      <c r="DW29" s="68">
        <f t="shared" si="41"/>
        <v>2.9310149999999999</v>
      </c>
      <c r="DX29" s="2"/>
      <c r="DY29" s="81" t="s">
        <v>474</v>
      </c>
      <c r="DZ29" s="82"/>
      <c r="EA29" s="82"/>
      <c r="EB29" s="82">
        <v>1</v>
      </c>
      <c r="EC29" s="83"/>
      <c r="ED29" s="84"/>
      <c r="EE29" s="2"/>
      <c r="EF29" s="38" t="s">
        <v>474</v>
      </c>
      <c r="EG29" s="93" t="s">
        <v>474</v>
      </c>
      <c r="EH29" s="94"/>
      <c r="EI29" s="94"/>
      <c r="EJ29" s="94"/>
      <c r="EK29" s="94"/>
      <c r="EL29" s="94"/>
      <c r="EM29" s="94"/>
      <c r="EN29" s="94"/>
      <c r="EO29" s="94"/>
      <c r="EP29" s="94"/>
      <c r="EQ29" s="94"/>
      <c r="ER29" s="94"/>
      <c r="ES29" s="95"/>
      <c r="ET29" s="38" t="s">
        <v>474</v>
      </c>
      <c r="EU29" s="93" t="s">
        <v>474</v>
      </c>
      <c r="EV29" s="94"/>
      <c r="EW29" s="94"/>
      <c r="EX29" s="94"/>
      <c r="EY29" s="94"/>
      <c r="EZ29" s="94"/>
      <c r="FA29" s="94"/>
      <c r="FB29" s="94"/>
      <c r="FC29" s="94"/>
      <c r="FD29" s="94"/>
      <c r="FE29" s="94"/>
      <c r="FF29" s="94"/>
      <c r="FG29" s="95"/>
      <c r="FH29" s="38" t="s">
        <v>474</v>
      </c>
      <c r="FI29" s="93" t="s">
        <v>474</v>
      </c>
      <c r="FJ29" s="94">
        <v>1562.7339999999999</v>
      </c>
      <c r="FK29" s="94">
        <v>1700.999</v>
      </c>
      <c r="FL29" s="94">
        <v>16.912089999999999</v>
      </c>
      <c r="FM29" s="94">
        <v>37.28416</v>
      </c>
      <c r="FN29" s="94">
        <v>58.388300000000001</v>
      </c>
      <c r="FO29" s="94">
        <v>10.283910000000001</v>
      </c>
      <c r="FP29" s="94">
        <v>12.18777</v>
      </c>
      <c r="FQ29" s="94">
        <v>5.0641439999999998</v>
      </c>
      <c r="FR29" s="94">
        <v>27.730049999999999</v>
      </c>
      <c r="FS29" s="94">
        <v>190.4624</v>
      </c>
      <c r="FT29" s="94"/>
      <c r="FU29" s="95">
        <v>2.9310149999999999</v>
      </c>
      <c r="FV29" s="38" t="s">
        <v>474</v>
      </c>
      <c r="FW29" s="93" t="s">
        <v>474</v>
      </c>
      <c r="FX29" s="94"/>
      <c r="FY29" s="94"/>
      <c r="FZ29" s="94"/>
      <c r="GA29" s="94"/>
      <c r="GB29" s="94"/>
      <c r="GC29" s="94"/>
      <c r="GD29" s="94"/>
      <c r="GE29" s="94"/>
      <c r="GF29" s="94"/>
      <c r="GG29" s="94"/>
      <c r="GH29" s="94"/>
      <c r="GI29" s="95"/>
      <c r="GJ29" s="38" t="s">
        <v>474</v>
      </c>
      <c r="GK29" s="93" t="s">
        <v>474</v>
      </c>
      <c r="GL29" s="94"/>
      <c r="GM29" s="94"/>
      <c r="GN29" s="94"/>
      <c r="GO29" s="94"/>
      <c r="GP29" s="94"/>
      <c r="GQ29" s="94"/>
      <c r="GR29" s="94"/>
      <c r="GS29" s="94"/>
      <c r="GT29" s="94"/>
      <c r="GU29" s="94"/>
      <c r="GV29" s="94"/>
      <c r="GW29" s="95"/>
      <c r="GX29" s="38"/>
    </row>
    <row r="30" spans="1:206" x14ac:dyDescent="0.35">
      <c r="A30" s="2"/>
      <c r="B30" s="2"/>
      <c r="C30" s="42" t="s">
        <v>521</v>
      </c>
      <c r="D30" s="43">
        <f t="shared" si="42"/>
        <v>0.4653304827845709</v>
      </c>
      <c r="E30" s="43">
        <f t="shared" si="0"/>
        <v>0.40506563713075111</v>
      </c>
      <c r="F30" s="43">
        <f t="shared" si="1"/>
        <v>1.4716296865689125E-2</v>
      </c>
      <c r="G30" s="43">
        <f t="shared" si="2"/>
        <v>1.2771228556634729E-2</v>
      </c>
      <c r="H30" s="43">
        <f t="shared" si="3"/>
        <v>4.6716589782738599E-2</v>
      </c>
      <c r="I30" s="43">
        <f t="shared" si="4"/>
        <v>1.751962792043045E-2</v>
      </c>
      <c r="J30" s="43">
        <f t="shared" si="5"/>
        <v>7.8333309867511525E-3</v>
      </c>
      <c r="K30" s="43">
        <f t="shared" si="6"/>
        <v>2.3573820115232982E-2</v>
      </c>
      <c r="L30" s="43">
        <f t="shared" si="7"/>
        <v>9.5881226463867314E-4</v>
      </c>
      <c r="M30" s="43">
        <f t="shared" si="8"/>
        <v>5.3177410518864092E-3</v>
      </c>
      <c r="N30" s="43">
        <f t="shared" si="9"/>
        <v>9.706523831408307E-6</v>
      </c>
      <c r="O30" s="44">
        <f t="shared" si="10"/>
        <v>1.8672601684441742E-4</v>
      </c>
      <c r="P30" s="115">
        <f t="shared" si="43"/>
        <v>1</v>
      </c>
      <c r="Q30" s="2"/>
      <c r="R30" s="42" t="s">
        <v>521</v>
      </c>
      <c r="S30" s="43">
        <f t="shared" si="44"/>
        <v>0.4653304827845709</v>
      </c>
      <c r="T30" s="43">
        <f t="shared" si="45"/>
        <v>0.40506563713075111</v>
      </c>
      <c r="U30" s="43">
        <f t="shared" si="46"/>
        <v>1.4716296865689125E-2</v>
      </c>
      <c r="V30" s="43">
        <f t="shared" si="47"/>
        <v>1.2771228556634729E-2</v>
      </c>
      <c r="W30" s="29">
        <f t="shared" si="48"/>
        <v>4.6716589782738599E-2</v>
      </c>
      <c r="X30" s="43">
        <f t="shared" si="49"/>
        <v>1.751962792043045E-2</v>
      </c>
      <c r="Y30" s="43">
        <f t="shared" si="50"/>
        <v>7.8333309867511525E-3</v>
      </c>
      <c r="Z30" s="43">
        <f t="shared" si="51"/>
        <v>2.3573820115232982E-2</v>
      </c>
      <c r="AA30" s="29">
        <f t="shared" si="52"/>
        <v>9.5881226463867314E-4</v>
      </c>
      <c r="AB30" s="43">
        <f t="shared" si="53"/>
        <v>5.3177410518864092E-3</v>
      </c>
      <c r="AC30" s="43">
        <f t="shared" si="54"/>
        <v>9.706523831408307E-6</v>
      </c>
      <c r="AD30" s="43">
        <f t="shared" si="55"/>
        <v>1.8672601684441742E-4</v>
      </c>
      <c r="AE30" s="32">
        <f t="shared" si="56"/>
        <v>0.5130058848319482</v>
      </c>
      <c r="AF30" s="53">
        <f t="shared" si="57"/>
        <v>0.42790300610306797</v>
      </c>
      <c r="AG30" s="53">
        <f t="shared" si="58"/>
        <v>2.2559334376271684E-2</v>
      </c>
      <c r="AH30" s="53">
        <f t="shared" si="59"/>
        <v>3.6531774688712132E-2</v>
      </c>
      <c r="AI30" s="34">
        <f t="shared" si="60"/>
        <v>0.89788364533764586</v>
      </c>
      <c r="AJ30" s="35">
        <f t="shared" si="61"/>
        <v>9.5643368805153173E-2</v>
      </c>
      <c r="AK30" s="34">
        <f t="shared" si="62"/>
        <v>0.89788364533764586</v>
      </c>
      <c r="AL30" s="35">
        <f t="shared" si="63"/>
        <v>9.5643368805153173E-2</v>
      </c>
      <c r="AM30" s="35">
        <f t="shared" si="64"/>
        <v>6.472985857201019E-3</v>
      </c>
      <c r="AN30" s="36">
        <v>1</v>
      </c>
      <c r="AO30" s="54">
        <v>1</v>
      </c>
      <c r="AP30" s="2"/>
      <c r="AQ30" s="42" t="s">
        <v>521</v>
      </c>
      <c r="AR30" s="43">
        <f t="shared" si="65"/>
        <v>0.4735075753418041</v>
      </c>
      <c r="AS30" s="43">
        <f t="shared" si="71"/>
        <v>0.4121837162790416</v>
      </c>
      <c r="AT30" s="43">
        <f t="shared" si="72"/>
        <v>1.4974901289904703E-2</v>
      </c>
      <c r="AU30" s="43">
        <f t="shared" si="73"/>
        <v>1.2995652964320759E-2</v>
      </c>
      <c r="AV30" s="29">
        <f t="shared" si="74"/>
        <v>2.1538993494125573E-2</v>
      </c>
      <c r="AW30" s="43">
        <f t="shared" si="75"/>
        <v>8.0775406242748031E-3</v>
      </c>
      <c r="AX30" s="43">
        <f t="shared" si="76"/>
        <v>3.6116091937709624E-3</v>
      </c>
      <c r="AY30" s="43">
        <f t="shared" si="77"/>
        <v>1.0868866080659458E-2</v>
      </c>
      <c r="AZ30" s="29">
        <f t="shared" si="78"/>
        <v>6.2569776197575096E-3</v>
      </c>
      <c r="BA30" s="43">
        <f t="shared" si="79"/>
        <v>3.4702295721944991E-2</v>
      </c>
      <c r="BB30" s="43">
        <f t="shared" si="80"/>
        <v>6.3342433778370582E-5</v>
      </c>
      <c r="BC30" s="44">
        <f t="shared" si="81"/>
        <v>1.2185289566172485E-3</v>
      </c>
      <c r="BD30" s="2"/>
      <c r="BE30" s="42" t="s">
        <v>521</v>
      </c>
      <c r="BF30" s="62">
        <v>1</v>
      </c>
      <c r="BG30" s="62">
        <v>1</v>
      </c>
      <c r="BH30" s="62">
        <v>1</v>
      </c>
      <c r="BI30" s="62">
        <v>1</v>
      </c>
      <c r="BJ30" s="36">
        <v>1</v>
      </c>
      <c r="BK30" s="62">
        <v>1</v>
      </c>
      <c r="BL30" s="62">
        <v>1</v>
      </c>
      <c r="BM30" s="62">
        <v>1</v>
      </c>
      <c r="BN30" s="36">
        <v>1</v>
      </c>
      <c r="BO30" s="62">
        <v>1</v>
      </c>
      <c r="BP30" s="62">
        <v>1</v>
      </c>
      <c r="BQ30" s="54">
        <v>1</v>
      </c>
      <c r="BR30" s="2"/>
      <c r="BS30" s="42" t="s">
        <v>521</v>
      </c>
      <c r="BT30" s="67">
        <f t="shared" si="66"/>
        <v>2765.0083</v>
      </c>
      <c r="BU30" s="67">
        <f t="shared" si="18"/>
        <v>2406.9126999999999</v>
      </c>
      <c r="BV30" s="67">
        <f t="shared" si="19"/>
        <v>87.444696799999988</v>
      </c>
      <c r="BW30" s="67">
        <f t="shared" si="20"/>
        <v>75.887039999999999</v>
      </c>
      <c r="BX30" s="30">
        <f t="shared" si="21"/>
        <v>125.77516999999999</v>
      </c>
      <c r="BY30" s="67">
        <f t="shared" si="22"/>
        <v>47.168129999999998</v>
      </c>
      <c r="BZ30" s="67">
        <f t="shared" si="23"/>
        <v>21.089693</v>
      </c>
      <c r="CA30" s="67">
        <f t="shared" si="24"/>
        <v>63.467843999999999</v>
      </c>
      <c r="CB30" s="30">
        <f t="shared" si="25"/>
        <v>36.537103000000002</v>
      </c>
      <c r="CC30" s="67">
        <f t="shared" si="26"/>
        <v>202.64118400000001</v>
      </c>
      <c r="CD30" s="67">
        <f t="shared" si="27"/>
        <v>0.36988290000000001</v>
      </c>
      <c r="CE30" s="68">
        <f t="shared" si="28"/>
        <v>7.1154989999999998</v>
      </c>
      <c r="CF30" s="2"/>
      <c r="CG30" s="37" t="str">
        <f t="shared" si="67"/>
        <v>atoba</v>
      </c>
      <c r="CH30" s="42" t="s">
        <v>521</v>
      </c>
      <c r="CI30" s="67">
        <f t="shared" si="68"/>
        <v>2765.0083</v>
      </c>
      <c r="CJ30" s="67">
        <f t="shared" si="82"/>
        <v>2406.9126999999999</v>
      </c>
      <c r="CK30" s="67">
        <f t="shared" si="83"/>
        <v>87.444696799999988</v>
      </c>
      <c r="CL30" s="67">
        <f t="shared" si="84"/>
        <v>75.887039999999999</v>
      </c>
      <c r="CM30" s="30">
        <f t="shared" si="85"/>
        <v>125.77516999999999</v>
      </c>
      <c r="CN30" s="67">
        <f t="shared" si="86"/>
        <v>47.168129999999998</v>
      </c>
      <c r="CO30" s="67">
        <f t="shared" si="87"/>
        <v>21.089693</v>
      </c>
      <c r="CP30" s="67">
        <f t="shared" si="88"/>
        <v>63.467843999999999</v>
      </c>
      <c r="CQ30" s="30">
        <f t="shared" si="89"/>
        <v>36.537103000000002</v>
      </c>
      <c r="CR30" s="67">
        <f t="shared" si="90"/>
        <v>202.64118400000001</v>
      </c>
      <c r="CS30" s="67">
        <f t="shared" si="91"/>
        <v>0.36988290000000001</v>
      </c>
      <c r="CT30" s="68">
        <f t="shared" si="92"/>
        <v>7.1154989999999998</v>
      </c>
      <c r="CU30" s="2"/>
      <c r="CV30" s="42" t="s">
        <v>521</v>
      </c>
      <c r="CW30" s="67">
        <f t="shared" si="69"/>
        <v>0</v>
      </c>
      <c r="CX30" s="67">
        <f t="shared" si="93"/>
        <v>0</v>
      </c>
      <c r="CY30" s="67">
        <f t="shared" si="94"/>
        <v>0</v>
      </c>
      <c r="CZ30" s="67">
        <f t="shared" si="95"/>
        <v>0</v>
      </c>
      <c r="DA30" s="30">
        <f t="shared" si="96"/>
        <v>0</v>
      </c>
      <c r="DB30" s="67">
        <f t="shared" si="97"/>
        <v>0</v>
      </c>
      <c r="DC30" s="67">
        <f t="shared" si="98"/>
        <v>0</v>
      </c>
      <c r="DD30" s="67">
        <f t="shared" si="99"/>
        <v>0</v>
      </c>
      <c r="DE30" s="30">
        <f t="shared" si="100"/>
        <v>0</v>
      </c>
      <c r="DF30" s="67">
        <f t="shared" si="101"/>
        <v>0</v>
      </c>
      <c r="DG30" s="67">
        <f t="shared" si="102"/>
        <v>0</v>
      </c>
      <c r="DH30" s="68">
        <f t="shared" si="103"/>
        <v>0</v>
      </c>
      <c r="DI30" s="2"/>
      <c r="DJ30" s="37" t="s">
        <v>476</v>
      </c>
      <c r="DK30" s="76" t="s">
        <v>521</v>
      </c>
      <c r="DL30" s="67">
        <f t="shared" si="70"/>
        <v>552.11180000000002</v>
      </c>
      <c r="DM30" s="67">
        <f t="shared" si="31"/>
        <v>169.4579</v>
      </c>
      <c r="DN30" s="67">
        <f t="shared" si="32"/>
        <v>0.56517680000000003</v>
      </c>
      <c r="DO30" s="67">
        <f t="shared" si="33"/>
        <v>20.88842</v>
      </c>
      <c r="DP30" s="30">
        <f t="shared" si="34"/>
        <v>56.971359999999997</v>
      </c>
      <c r="DQ30" s="67">
        <f t="shared" si="35"/>
        <v>14.227119999999999</v>
      </c>
      <c r="DR30" s="67">
        <f t="shared" si="36"/>
        <v>7.9490259999999999</v>
      </c>
      <c r="DS30" s="67">
        <f t="shared" si="37"/>
        <v>0</v>
      </c>
      <c r="DT30" s="30">
        <f t="shared" si="38"/>
        <v>0</v>
      </c>
      <c r="DU30" s="67">
        <f t="shared" si="39"/>
        <v>5.356573</v>
      </c>
      <c r="DV30" s="67">
        <f t="shared" si="40"/>
        <v>0</v>
      </c>
      <c r="DW30" s="68">
        <f t="shared" si="41"/>
        <v>0</v>
      </c>
      <c r="DX30" s="2"/>
      <c r="DY30" s="81" t="s">
        <v>521</v>
      </c>
      <c r="DZ30" s="82"/>
      <c r="EA30" s="82"/>
      <c r="EB30" s="82">
        <v>1</v>
      </c>
      <c r="EC30" s="83"/>
      <c r="ED30" s="84"/>
      <c r="EE30" s="2"/>
      <c r="EF30" s="38" t="s">
        <v>521</v>
      </c>
      <c r="EG30" s="93" t="s">
        <v>521</v>
      </c>
      <c r="EH30" s="94"/>
      <c r="EI30" s="94"/>
      <c r="EJ30" s="94"/>
      <c r="EK30" s="94"/>
      <c r="EL30" s="94"/>
      <c r="EM30" s="94"/>
      <c r="EN30" s="94"/>
      <c r="EO30" s="94"/>
      <c r="EP30" s="94"/>
      <c r="EQ30" s="94"/>
      <c r="ER30" s="94"/>
      <c r="ES30" s="95"/>
      <c r="ET30" s="38" t="s">
        <v>521</v>
      </c>
      <c r="EU30" s="93" t="s">
        <v>521</v>
      </c>
      <c r="EV30" s="94"/>
      <c r="EW30" s="94"/>
      <c r="EX30" s="94"/>
      <c r="EY30" s="94"/>
      <c r="EZ30" s="94"/>
      <c r="FA30" s="94"/>
      <c r="FB30" s="94"/>
      <c r="FC30" s="94"/>
      <c r="FD30" s="94"/>
      <c r="FE30" s="94"/>
      <c r="FF30" s="94"/>
      <c r="FG30" s="95"/>
      <c r="FH30" s="38" t="s">
        <v>521</v>
      </c>
      <c r="FI30" s="93" t="s">
        <v>521</v>
      </c>
      <c r="FJ30" s="94">
        <v>552.11180000000002</v>
      </c>
      <c r="FK30" s="94">
        <v>169.4579</v>
      </c>
      <c r="FL30" s="94">
        <v>0.56517680000000003</v>
      </c>
      <c r="FM30" s="94">
        <v>20.88842</v>
      </c>
      <c r="FN30" s="94">
        <v>56.971359999999997</v>
      </c>
      <c r="FO30" s="94">
        <v>14.227119999999999</v>
      </c>
      <c r="FP30" s="94">
        <v>7.9490259999999999</v>
      </c>
      <c r="FQ30" s="94"/>
      <c r="FR30" s="94"/>
      <c r="FS30" s="94">
        <v>5.356573</v>
      </c>
      <c r="FT30" s="94"/>
      <c r="FU30" s="95"/>
      <c r="FV30" s="38" t="s">
        <v>521</v>
      </c>
      <c r="FW30" s="93" t="s">
        <v>521</v>
      </c>
      <c r="FX30" s="94"/>
      <c r="FY30" s="94"/>
      <c r="FZ30" s="94"/>
      <c r="GA30" s="94"/>
      <c r="GB30" s="94"/>
      <c r="GC30" s="94"/>
      <c r="GD30" s="94"/>
      <c r="GE30" s="94"/>
      <c r="GF30" s="94"/>
      <c r="GG30" s="94"/>
      <c r="GH30" s="94"/>
      <c r="GI30" s="95"/>
      <c r="GJ30" s="38" t="s">
        <v>521</v>
      </c>
      <c r="GK30" s="93" t="s">
        <v>521</v>
      </c>
      <c r="GL30" s="94"/>
      <c r="GM30" s="94"/>
      <c r="GN30" s="94"/>
      <c r="GO30" s="94"/>
      <c r="GP30" s="94"/>
      <c r="GQ30" s="94"/>
      <c r="GR30" s="94"/>
      <c r="GS30" s="94"/>
      <c r="GT30" s="94"/>
      <c r="GU30" s="94"/>
      <c r="GV30" s="94"/>
      <c r="GW30" s="95"/>
      <c r="GX30" s="38"/>
    </row>
    <row r="31" spans="1:206" x14ac:dyDescent="0.35">
      <c r="A31" s="2"/>
      <c r="B31" s="2"/>
      <c r="C31" s="42" t="s">
        <v>483</v>
      </c>
      <c r="D31" s="43">
        <f t="shared" si="42"/>
        <v>0.47617211830244055</v>
      </c>
      <c r="E31" s="43">
        <f t="shared" si="0"/>
        <v>0.41450317488307237</v>
      </c>
      <c r="F31" s="43">
        <f t="shared" si="1"/>
        <v>1.5059168722774048E-2</v>
      </c>
      <c r="G31" s="43">
        <f t="shared" si="2"/>
        <v>1.3068782682678399E-2</v>
      </c>
      <c r="H31" s="43">
        <f t="shared" si="3"/>
        <v>3.2551894346530802E-2</v>
      </c>
      <c r="I31" s="43">
        <f t="shared" si="4"/>
        <v>1.2207592200300189E-2</v>
      </c>
      <c r="J31" s="43">
        <f t="shared" si="5"/>
        <v>5.4582272346502926E-3</v>
      </c>
      <c r="K31" s="43">
        <f t="shared" si="6"/>
        <v>1.6426124109314259E-2</v>
      </c>
      <c r="L31" s="43">
        <f t="shared" si="7"/>
        <v>2.1556536829506509E-3</v>
      </c>
      <c r="M31" s="43">
        <f t="shared" si="8"/>
        <v>1.1955633554392107E-2</v>
      </c>
      <c r="N31" s="43">
        <f t="shared" si="9"/>
        <v>2.1822732788789177E-5</v>
      </c>
      <c r="O31" s="44">
        <f t="shared" si="10"/>
        <v>4.1980754810751349E-4</v>
      </c>
      <c r="P31" s="115">
        <f t="shared" si="43"/>
        <v>1</v>
      </c>
      <c r="Q31" s="2"/>
      <c r="R31" s="42" t="s">
        <v>483</v>
      </c>
      <c r="S31" s="43">
        <f t="shared" si="44"/>
        <v>0.47617211830244055</v>
      </c>
      <c r="T31" s="43">
        <f t="shared" si="45"/>
        <v>0.41450317488307237</v>
      </c>
      <c r="U31" s="43">
        <f t="shared" si="46"/>
        <v>1.5059168722774048E-2</v>
      </c>
      <c r="V31" s="43">
        <f t="shared" si="47"/>
        <v>1.3068782682678399E-2</v>
      </c>
      <c r="W31" s="29">
        <f t="shared" si="48"/>
        <v>3.2551894346530802E-2</v>
      </c>
      <c r="X31" s="43">
        <f t="shared" si="49"/>
        <v>1.2207592200300189E-2</v>
      </c>
      <c r="Y31" s="43">
        <f t="shared" si="50"/>
        <v>5.4582272346502926E-3</v>
      </c>
      <c r="Z31" s="43">
        <f t="shared" si="51"/>
        <v>1.6426124109314259E-2</v>
      </c>
      <c r="AA31" s="29">
        <f t="shared" si="52"/>
        <v>2.1556536829506509E-3</v>
      </c>
      <c r="AB31" s="43">
        <f t="shared" si="53"/>
        <v>1.1955633554392107E-2</v>
      </c>
      <c r="AC31" s="43">
        <f t="shared" si="54"/>
        <v>2.1822732788789177E-5</v>
      </c>
      <c r="AD31" s="43">
        <f t="shared" si="55"/>
        <v>4.1980754810751349E-4</v>
      </c>
      <c r="AE31" s="32">
        <f t="shared" si="56"/>
        <v>0.51087966633192206</v>
      </c>
      <c r="AF31" s="53">
        <f t="shared" si="57"/>
        <v>0.43866640063776469</v>
      </c>
      <c r="AG31" s="53">
        <f t="shared" si="58"/>
        <v>2.0539218690213131E-2</v>
      </c>
      <c r="AH31" s="53">
        <f t="shared" si="59"/>
        <v>2.9914714340100172E-2</v>
      </c>
      <c r="AI31" s="34">
        <f t="shared" si="60"/>
        <v>0.91880324459096541</v>
      </c>
      <c r="AJ31" s="35">
        <f t="shared" si="61"/>
        <v>6.6643837890795546E-2</v>
      </c>
      <c r="AK31" s="34">
        <f t="shared" si="62"/>
        <v>0.91880324459096541</v>
      </c>
      <c r="AL31" s="35">
        <f t="shared" si="63"/>
        <v>6.6643837890795546E-2</v>
      </c>
      <c r="AM31" s="35">
        <f t="shared" si="64"/>
        <v>1.4552917518239061E-2</v>
      </c>
      <c r="AN31" s="36">
        <v>1</v>
      </c>
      <c r="AO31" s="54">
        <v>1</v>
      </c>
      <c r="AP31" s="2"/>
      <c r="AQ31" s="42" t="s">
        <v>483</v>
      </c>
      <c r="AR31" s="43">
        <f t="shared" si="65"/>
        <v>0.4735075753418041</v>
      </c>
      <c r="AS31" s="43">
        <f t="shared" si="71"/>
        <v>0.4121837162790416</v>
      </c>
      <c r="AT31" s="43">
        <f t="shared" si="72"/>
        <v>1.4974901289904703E-2</v>
      </c>
      <c r="AU31" s="43">
        <f t="shared" si="73"/>
        <v>1.2995652964320759E-2</v>
      </c>
      <c r="AV31" s="29">
        <f t="shared" si="74"/>
        <v>2.1538993494125573E-2</v>
      </c>
      <c r="AW31" s="43">
        <f t="shared" si="75"/>
        <v>8.0775406242748031E-3</v>
      </c>
      <c r="AX31" s="43">
        <f t="shared" si="76"/>
        <v>3.6116091937709624E-3</v>
      </c>
      <c r="AY31" s="43">
        <f t="shared" si="77"/>
        <v>1.0868866080659458E-2</v>
      </c>
      <c r="AZ31" s="29">
        <f t="shared" si="78"/>
        <v>6.2569776197575096E-3</v>
      </c>
      <c r="BA31" s="43">
        <f t="shared" si="79"/>
        <v>3.4702295721944991E-2</v>
      </c>
      <c r="BB31" s="43">
        <f t="shared" si="80"/>
        <v>6.3342433778370582E-5</v>
      </c>
      <c r="BC31" s="44">
        <f t="shared" si="81"/>
        <v>1.2185289566172485E-3</v>
      </c>
      <c r="BD31" s="2"/>
      <c r="BE31" s="42" t="s">
        <v>483</v>
      </c>
      <c r="BF31" s="62">
        <v>1</v>
      </c>
      <c r="BG31" s="62">
        <v>1</v>
      </c>
      <c r="BH31" s="62">
        <v>1</v>
      </c>
      <c r="BI31" s="62">
        <v>1</v>
      </c>
      <c r="BJ31" s="36">
        <v>1</v>
      </c>
      <c r="BK31" s="62">
        <v>1</v>
      </c>
      <c r="BL31" s="62">
        <v>1</v>
      </c>
      <c r="BM31" s="62">
        <v>1</v>
      </c>
      <c r="BN31" s="36">
        <v>1</v>
      </c>
      <c r="BO31" s="62">
        <v>1</v>
      </c>
      <c r="BP31" s="62">
        <v>1</v>
      </c>
      <c r="BQ31" s="54">
        <v>1</v>
      </c>
      <c r="BR31" s="2"/>
      <c r="BS31" s="42" t="s">
        <v>483</v>
      </c>
      <c r="BT31" s="67">
        <f t="shared" si="66"/>
        <v>2765.0083</v>
      </c>
      <c r="BU31" s="67">
        <f t="shared" si="18"/>
        <v>2406.9126999999999</v>
      </c>
      <c r="BV31" s="67">
        <f t="shared" si="19"/>
        <v>87.444696799999988</v>
      </c>
      <c r="BW31" s="67">
        <f t="shared" si="20"/>
        <v>75.887039999999999</v>
      </c>
      <c r="BX31" s="30">
        <f t="shared" si="21"/>
        <v>125.77516999999999</v>
      </c>
      <c r="BY31" s="67">
        <f t="shared" si="22"/>
        <v>47.168129999999998</v>
      </c>
      <c r="BZ31" s="67">
        <f t="shared" si="23"/>
        <v>21.089693</v>
      </c>
      <c r="CA31" s="67">
        <f t="shared" si="24"/>
        <v>63.467843999999999</v>
      </c>
      <c r="CB31" s="30">
        <f t="shared" si="25"/>
        <v>36.537103000000002</v>
      </c>
      <c r="CC31" s="67">
        <f t="shared" si="26"/>
        <v>202.64118400000001</v>
      </c>
      <c r="CD31" s="67">
        <f t="shared" si="27"/>
        <v>0.36988290000000001</v>
      </c>
      <c r="CE31" s="68">
        <f t="shared" si="28"/>
        <v>7.1154989999999998</v>
      </c>
      <c r="CF31" s="2"/>
      <c r="CG31" s="37" t="str">
        <f t="shared" si="67"/>
        <v>atoba</v>
      </c>
      <c r="CH31" s="42" t="s">
        <v>483</v>
      </c>
      <c r="CI31" s="67">
        <f t="shared" si="68"/>
        <v>2765.0083</v>
      </c>
      <c r="CJ31" s="67">
        <f t="shared" si="82"/>
        <v>2406.9126999999999</v>
      </c>
      <c r="CK31" s="67">
        <f t="shared" si="83"/>
        <v>87.444696799999988</v>
      </c>
      <c r="CL31" s="67">
        <f t="shared" si="84"/>
        <v>75.887039999999999</v>
      </c>
      <c r="CM31" s="30">
        <f t="shared" si="85"/>
        <v>125.77516999999999</v>
      </c>
      <c r="CN31" s="67">
        <f t="shared" si="86"/>
        <v>47.168129999999998</v>
      </c>
      <c r="CO31" s="67">
        <f t="shared" si="87"/>
        <v>21.089693</v>
      </c>
      <c r="CP31" s="67">
        <f t="shared" si="88"/>
        <v>63.467843999999999</v>
      </c>
      <c r="CQ31" s="30">
        <f t="shared" si="89"/>
        <v>36.537103000000002</v>
      </c>
      <c r="CR31" s="67">
        <f t="shared" si="90"/>
        <v>202.64118400000001</v>
      </c>
      <c r="CS31" s="67">
        <f t="shared" si="91"/>
        <v>0.36988290000000001</v>
      </c>
      <c r="CT31" s="68">
        <f t="shared" si="92"/>
        <v>7.1154989999999998</v>
      </c>
      <c r="CU31" s="2"/>
      <c r="CV31" s="42" t="s">
        <v>483</v>
      </c>
      <c r="CW31" s="67">
        <f t="shared" si="69"/>
        <v>0</v>
      </c>
      <c r="CX31" s="67">
        <f t="shared" si="93"/>
        <v>0</v>
      </c>
      <c r="CY31" s="67">
        <f t="shared" si="94"/>
        <v>0</v>
      </c>
      <c r="CZ31" s="67">
        <f t="shared" si="95"/>
        <v>0</v>
      </c>
      <c r="DA31" s="30">
        <f t="shared" si="96"/>
        <v>0</v>
      </c>
      <c r="DB31" s="67">
        <f t="shared" si="97"/>
        <v>0</v>
      </c>
      <c r="DC31" s="67">
        <f t="shared" si="98"/>
        <v>0</v>
      </c>
      <c r="DD31" s="67">
        <f t="shared" si="99"/>
        <v>0</v>
      </c>
      <c r="DE31" s="30">
        <f t="shared" si="100"/>
        <v>0</v>
      </c>
      <c r="DF31" s="67">
        <f t="shared" si="101"/>
        <v>0</v>
      </c>
      <c r="DG31" s="67">
        <f t="shared" si="102"/>
        <v>0</v>
      </c>
      <c r="DH31" s="68">
        <f t="shared" si="103"/>
        <v>0</v>
      </c>
      <c r="DI31" s="2"/>
      <c r="DJ31" s="37" t="s">
        <v>476</v>
      </c>
      <c r="DK31" s="76" t="s">
        <v>483</v>
      </c>
      <c r="DL31" s="67">
        <f t="shared" si="70"/>
        <v>650.16250000000002</v>
      </c>
      <c r="DM31" s="67">
        <f t="shared" si="31"/>
        <v>536.45579999999995</v>
      </c>
      <c r="DN31" s="67">
        <f t="shared" si="32"/>
        <v>69.967429999999993</v>
      </c>
      <c r="DO31" s="67">
        <f t="shared" si="33"/>
        <v>17.714459999999999</v>
      </c>
      <c r="DP31" s="30">
        <f t="shared" si="34"/>
        <v>10.415509999999999</v>
      </c>
      <c r="DQ31" s="67">
        <f t="shared" si="35"/>
        <v>22.6571</v>
      </c>
      <c r="DR31" s="67">
        <f t="shared" si="36"/>
        <v>0.95289699999999999</v>
      </c>
      <c r="DS31" s="67">
        <f t="shared" si="37"/>
        <v>58.403700000000001</v>
      </c>
      <c r="DT31" s="30">
        <f t="shared" si="38"/>
        <v>8.8070529999999998</v>
      </c>
      <c r="DU31" s="67">
        <f t="shared" si="39"/>
        <v>6.8222110000000002</v>
      </c>
      <c r="DV31" s="67">
        <f t="shared" si="40"/>
        <v>0.36988290000000001</v>
      </c>
      <c r="DW31" s="68">
        <f t="shared" si="41"/>
        <v>4.1844840000000003</v>
      </c>
      <c r="DX31" s="2"/>
      <c r="DY31" s="81" t="s">
        <v>483</v>
      </c>
      <c r="DZ31" s="82"/>
      <c r="EA31" s="82"/>
      <c r="EB31" s="82">
        <v>1</v>
      </c>
      <c r="EC31" s="83"/>
      <c r="ED31" s="84"/>
      <c r="EE31" s="2"/>
      <c r="EF31" s="38" t="s">
        <v>483</v>
      </c>
      <c r="EG31" s="93" t="s">
        <v>483</v>
      </c>
      <c r="EH31" s="94"/>
      <c r="EI31" s="94"/>
      <c r="EJ31" s="94"/>
      <c r="EK31" s="94"/>
      <c r="EL31" s="94"/>
      <c r="EM31" s="94"/>
      <c r="EN31" s="94"/>
      <c r="EO31" s="94"/>
      <c r="EP31" s="94"/>
      <c r="EQ31" s="94"/>
      <c r="ER31" s="94"/>
      <c r="ES31" s="95"/>
      <c r="ET31" s="38" t="s">
        <v>483</v>
      </c>
      <c r="EU31" s="93" t="s">
        <v>483</v>
      </c>
      <c r="EV31" s="94"/>
      <c r="EW31" s="94"/>
      <c r="EX31" s="94"/>
      <c r="EY31" s="94"/>
      <c r="EZ31" s="94"/>
      <c r="FA31" s="94"/>
      <c r="FB31" s="94"/>
      <c r="FC31" s="94"/>
      <c r="FD31" s="94"/>
      <c r="FE31" s="94"/>
      <c r="FF31" s="94"/>
      <c r="FG31" s="95"/>
      <c r="FH31" s="38" t="s">
        <v>483</v>
      </c>
      <c r="FI31" s="93" t="s">
        <v>483</v>
      </c>
      <c r="FJ31" s="94">
        <v>650.16250000000002</v>
      </c>
      <c r="FK31" s="94">
        <v>536.45579999999995</v>
      </c>
      <c r="FL31" s="94">
        <v>69.967429999999993</v>
      </c>
      <c r="FM31" s="94">
        <v>17.714459999999999</v>
      </c>
      <c r="FN31" s="94">
        <v>10.415509999999999</v>
      </c>
      <c r="FO31" s="94">
        <v>22.6571</v>
      </c>
      <c r="FP31" s="94">
        <v>0.95289699999999999</v>
      </c>
      <c r="FQ31" s="94">
        <v>58.403700000000001</v>
      </c>
      <c r="FR31" s="94">
        <v>8.8070529999999998</v>
      </c>
      <c r="FS31" s="94">
        <v>6.8222110000000002</v>
      </c>
      <c r="FT31" s="94">
        <v>0.36988290000000001</v>
      </c>
      <c r="FU31" s="95">
        <v>4.1844840000000003</v>
      </c>
      <c r="FV31" s="38" t="s">
        <v>483</v>
      </c>
      <c r="FW31" s="93" t="s">
        <v>483</v>
      </c>
      <c r="FX31" s="94"/>
      <c r="FY31" s="94"/>
      <c r="FZ31" s="94"/>
      <c r="GA31" s="94"/>
      <c r="GB31" s="94"/>
      <c r="GC31" s="94"/>
      <c r="GD31" s="94"/>
      <c r="GE31" s="94"/>
      <c r="GF31" s="94"/>
      <c r="GG31" s="94"/>
      <c r="GH31" s="94"/>
      <c r="GI31" s="95"/>
      <c r="GJ31" s="38" t="s">
        <v>483</v>
      </c>
      <c r="GK31" s="93" t="s">
        <v>483</v>
      </c>
      <c r="GL31" s="94"/>
      <c r="GM31" s="94"/>
      <c r="GN31" s="94"/>
      <c r="GO31" s="94"/>
      <c r="GP31" s="94"/>
      <c r="GQ31" s="94"/>
      <c r="GR31" s="94"/>
      <c r="GS31" s="94"/>
      <c r="GT31" s="94"/>
      <c r="GU31" s="94"/>
      <c r="GV31" s="94"/>
      <c r="GW31" s="95"/>
      <c r="GX31" s="38"/>
    </row>
    <row r="32" spans="1:206" x14ac:dyDescent="0.35">
      <c r="A32" s="2"/>
      <c r="B32" s="2"/>
      <c r="C32" s="42" t="s">
        <v>441</v>
      </c>
      <c r="D32" s="43">
        <f t="shared" si="42"/>
        <v>0.44064905368687585</v>
      </c>
      <c r="E32" s="43">
        <f t="shared" si="0"/>
        <v>0.29085561071656757</v>
      </c>
      <c r="F32" s="43">
        <f t="shared" si="1"/>
        <v>2.7823024330345173E-2</v>
      </c>
      <c r="G32" s="43">
        <f t="shared" si="2"/>
        <v>1.5604799041342625E-2</v>
      </c>
      <c r="H32" s="43">
        <f t="shared" si="3"/>
        <v>1.7860947156772455E-2</v>
      </c>
      <c r="I32" s="43">
        <f t="shared" si="4"/>
        <v>2.5417589360508943E-2</v>
      </c>
      <c r="J32" s="43">
        <f t="shared" si="5"/>
        <v>2.2653569302983165E-2</v>
      </c>
      <c r="K32" s="43">
        <f t="shared" si="6"/>
        <v>1.5675611546229259E-2</v>
      </c>
      <c r="L32" s="43">
        <f t="shared" si="7"/>
        <v>6.8493240692999002E-2</v>
      </c>
      <c r="M32" s="43">
        <f t="shared" si="8"/>
        <v>2.3932959028527892E-2</v>
      </c>
      <c r="N32" s="43">
        <f t="shared" si="9"/>
        <v>2.1546982223798066E-2</v>
      </c>
      <c r="O32" s="44">
        <f t="shared" si="10"/>
        <v>2.9486612913050072E-2</v>
      </c>
      <c r="P32" s="115">
        <f t="shared" si="43"/>
        <v>1</v>
      </c>
      <c r="Q32" s="2"/>
      <c r="R32" s="42" t="s">
        <v>441</v>
      </c>
      <c r="S32" s="43">
        <f t="shared" si="44"/>
        <v>0.44064905368687579</v>
      </c>
      <c r="T32" s="43">
        <f t="shared" si="45"/>
        <v>0.29085561071656751</v>
      </c>
      <c r="U32" s="43">
        <f t="shared" si="46"/>
        <v>2.782302433034517E-2</v>
      </c>
      <c r="V32" s="43">
        <f t="shared" si="47"/>
        <v>1.5604799041342623E-2</v>
      </c>
      <c r="W32" s="29">
        <f t="shared" si="48"/>
        <v>1.7860947156772451E-2</v>
      </c>
      <c r="X32" s="43">
        <f t="shared" si="49"/>
        <v>2.541758936050894E-2</v>
      </c>
      <c r="Y32" s="43">
        <f t="shared" si="50"/>
        <v>2.2653569302983161E-2</v>
      </c>
      <c r="Z32" s="43">
        <f t="shared" si="51"/>
        <v>1.5675611546229255E-2</v>
      </c>
      <c r="AA32" s="29">
        <f t="shared" si="52"/>
        <v>6.8493240692998988E-2</v>
      </c>
      <c r="AB32" s="43">
        <f t="shared" si="53"/>
        <v>2.3932959028527889E-2</v>
      </c>
      <c r="AC32" s="43">
        <f t="shared" si="54"/>
        <v>2.1546982223798063E-2</v>
      </c>
      <c r="AD32" s="43">
        <f t="shared" si="55"/>
        <v>2.9486612913050068E-2</v>
      </c>
      <c r="AE32" s="32">
        <f t="shared" si="56"/>
        <v>0.52700324153664724</v>
      </c>
      <c r="AF32" s="53">
        <f t="shared" si="57"/>
        <v>0.34020615910560431</v>
      </c>
      <c r="AG32" s="53">
        <f t="shared" si="58"/>
        <v>7.2023575857126404E-2</v>
      </c>
      <c r="AH32" s="53">
        <f t="shared" si="59"/>
        <v>6.0767023500621943E-2</v>
      </c>
      <c r="AI32" s="34">
        <f t="shared" si="60"/>
        <v>0.77493248777513113</v>
      </c>
      <c r="AJ32" s="35">
        <f t="shared" si="61"/>
        <v>8.1607717366493818E-2</v>
      </c>
      <c r="AK32" s="34">
        <f t="shared" si="62"/>
        <v>0.77493248777513113</v>
      </c>
      <c r="AL32" s="35">
        <f t="shared" si="63"/>
        <v>8.1607717366493818E-2</v>
      </c>
      <c r="AM32" s="35">
        <f t="shared" si="64"/>
        <v>0.14345979485837501</v>
      </c>
      <c r="AN32" s="36">
        <v>1</v>
      </c>
      <c r="AO32" s="54">
        <v>1</v>
      </c>
      <c r="AP32" s="2"/>
      <c r="AQ32" s="42" t="s">
        <v>441</v>
      </c>
      <c r="AR32" s="43">
        <f t="shared" si="65"/>
        <v>0.44064905368687579</v>
      </c>
      <c r="AS32" s="43">
        <f t="shared" si="71"/>
        <v>0.29085561071656751</v>
      </c>
      <c r="AT32" s="43">
        <f t="shared" si="72"/>
        <v>2.7823024330345173E-2</v>
      </c>
      <c r="AU32" s="43">
        <f t="shared" si="73"/>
        <v>1.5604799041342623E-2</v>
      </c>
      <c r="AV32" s="29">
        <f t="shared" si="74"/>
        <v>1.7860947156772455E-2</v>
      </c>
      <c r="AW32" s="43">
        <f t="shared" si="75"/>
        <v>2.5417589360508943E-2</v>
      </c>
      <c r="AX32" s="43">
        <f t="shared" si="76"/>
        <v>2.2653569302983165E-2</v>
      </c>
      <c r="AY32" s="43">
        <f t="shared" si="77"/>
        <v>1.5675611546229259E-2</v>
      </c>
      <c r="AZ32" s="29">
        <f t="shared" si="78"/>
        <v>6.8493240692999016E-2</v>
      </c>
      <c r="BA32" s="43">
        <f t="shared" si="79"/>
        <v>2.3932959028527899E-2</v>
      </c>
      <c r="BB32" s="43">
        <f t="shared" si="80"/>
        <v>2.154698222379807E-2</v>
      </c>
      <c r="BC32" s="44">
        <f t="shared" si="81"/>
        <v>2.9486612913050082E-2</v>
      </c>
      <c r="BD32" s="2"/>
      <c r="BE32" s="42" t="s">
        <v>441</v>
      </c>
      <c r="BF32" s="62">
        <v>1</v>
      </c>
      <c r="BG32" s="62">
        <v>1</v>
      </c>
      <c r="BH32" s="62">
        <v>1</v>
      </c>
      <c r="BI32" s="62">
        <v>1</v>
      </c>
      <c r="BJ32" s="36">
        <v>1</v>
      </c>
      <c r="BK32" s="62">
        <v>1</v>
      </c>
      <c r="BL32" s="62">
        <v>1</v>
      </c>
      <c r="BM32" s="62">
        <v>1</v>
      </c>
      <c r="BN32" s="36">
        <v>1</v>
      </c>
      <c r="BO32" s="62">
        <v>1</v>
      </c>
      <c r="BP32" s="62">
        <v>1</v>
      </c>
      <c r="BQ32" s="54">
        <v>1</v>
      </c>
      <c r="BR32" s="2"/>
      <c r="BS32" s="42" t="s">
        <v>441</v>
      </c>
      <c r="BT32" s="67">
        <f t="shared" si="66"/>
        <v>114679.2</v>
      </c>
      <c r="BU32" s="67">
        <f t="shared" si="18"/>
        <v>75695.360000000001</v>
      </c>
      <c r="BV32" s="67">
        <f t="shared" si="19"/>
        <v>7240.96</v>
      </c>
      <c r="BW32" s="67">
        <f t="shared" si="20"/>
        <v>4061.1590000000001</v>
      </c>
      <c r="BX32" s="30">
        <f t="shared" si="21"/>
        <v>4648.3230000000003</v>
      </c>
      <c r="BY32" s="67">
        <f t="shared" si="22"/>
        <v>6614.9440000000004</v>
      </c>
      <c r="BZ32" s="67">
        <f t="shared" si="23"/>
        <v>5895.6059999999998</v>
      </c>
      <c r="CA32" s="67">
        <f t="shared" si="24"/>
        <v>4079.5880000000002</v>
      </c>
      <c r="CB32" s="30">
        <f t="shared" si="25"/>
        <v>17825.41</v>
      </c>
      <c r="CC32" s="67">
        <f t="shared" si="26"/>
        <v>6228.5680000000002</v>
      </c>
      <c r="CD32" s="67">
        <f t="shared" si="27"/>
        <v>5607.616</v>
      </c>
      <c r="CE32" s="68">
        <f t="shared" si="28"/>
        <v>7673.91</v>
      </c>
      <c r="CF32" s="2"/>
      <c r="CG32" s="37" t="str">
        <f t="shared" si="67"/>
        <v>acatt</v>
      </c>
      <c r="CH32" s="42" t="s">
        <v>441</v>
      </c>
      <c r="CI32" s="67">
        <f t="shared" si="68"/>
        <v>114679.2</v>
      </c>
      <c r="CJ32" s="67">
        <f t="shared" si="82"/>
        <v>75695.360000000001</v>
      </c>
      <c r="CK32" s="67">
        <f t="shared" si="83"/>
        <v>7240.96</v>
      </c>
      <c r="CL32" s="67">
        <f t="shared" si="84"/>
        <v>4061.1590000000001</v>
      </c>
      <c r="CM32" s="30">
        <f t="shared" si="85"/>
        <v>4648.3230000000003</v>
      </c>
      <c r="CN32" s="67">
        <f t="shared" si="86"/>
        <v>6614.9440000000004</v>
      </c>
      <c r="CO32" s="67">
        <f t="shared" si="87"/>
        <v>5895.6059999999998</v>
      </c>
      <c r="CP32" s="67">
        <f t="shared" si="88"/>
        <v>4079.5880000000002</v>
      </c>
      <c r="CQ32" s="30">
        <f t="shared" si="89"/>
        <v>17825.41</v>
      </c>
      <c r="CR32" s="67">
        <f t="shared" si="90"/>
        <v>6228.5680000000002</v>
      </c>
      <c r="CS32" s="67">
        <f t="shared" si="91"/>
        <v>5607.616</v>
      </c>
      <c r="CT32" s="68">
        <f t="shared" si="92"/>
        <v>7673.91</v>
      </c>
      <c r="CU32" s="2"/>
      <c r="CV32" s="42" t="s">
        <v>441</v>
      </c>
      <c r="CW32" s="67">
        <f t="shared" si="69"/>
        <v>114679.2</v>
      </c>
      <c r="CX32" s="67">
        <f t="shared" si="93"/>
        <v>75695.360000000001</v>
      </c>
      <c r="CY32" s="67">
        <f t="shared" si="94"/>
        <v>7240.96</v>
      </c>
      <c r="CZ32" s="67">
        <f t="shared" si="95"/>
        <v>4061.1590000000001</v>
      </c>
      <c r="DA32" s="30">
        <f t="shared" si="96"/>
        <v>4648.3230000000003</v>
      </c>
      <c r="DB32" s="67">
        <f t="shared" si="97"/>
        <v>6614.9440000000004</v>
      </c>
      <c r="DC32" s="67">
        <f t="shared" si="98"/>
        <v>5895.6059999999998</v>
      </c>
      <c r="DD32" s="67">
        <f t="shared" si="99"/>
        <v>4079.5880000000002</v>
      </c>
      <c r="DE32" s="30">
        <f t="shared" si="100"/>
        <v>17825.41</v>
      </c>
      <c r="DF32" s="67">
        <f t="shared" si="101"/>
        <v>6228.5680000000002</v>
      </c>
      <c r="DG32" s="67">
        <f t="shared" si="102"/>
        <v>5607.616</v>
      </c>
      <c r="DH32" s="68">
        <f t="shared" si="103"/>
        <v>7673.91</v>
      </c>
      <c r="DI32" s="2"/>
      <c r="DJ32" s="37" t="s">
        <v>441</v>
      </c>
      <c r="DK32" s="76" t="s">
        <v>441</v>
      </c>
      <c r="DL32" s="67">
        <f t="shared" si="70"/>
        <v>114679.2</v>
      </c>
      <c r="DM32" s="67">
        <f t="shared" si="31"/>
        <v>75695.360000000001</v>
      </c>
      <c r="DN32" s="67">
        <f t="shared" si="32"/>
        <v>7240.96</v>
      </c>
      <c r="DO32" s="67">
        <f t="shared" si="33"/>
        <v>4061.1590000000001</v>
      </c>
      <c r="DP32" s="30">
        <f t="shared" si="34"/>
        <v>4648.3230000000003</v>
      </c>
      <c r="DQ32" s="67">
        <f t="shared" si="35"/>
        <v>6614.9440000000004</v>
      </c>
      <c r="DR32" s="67">
        <f t="shared" si="36"/>
        <v>5895.6059999999998</v>
      </c>
      <c r="DS32" s="67">
        <f t="shared" si="37"/>
        <v>4079.5880000000002</v>
      </c>
      <c r="DT32" s="30">
        <f t="shared" si="38"/>
        <v>17825.41</v>
      </c>
      <c r="DU32" s="67">
        <f t="shared" si="39"/>
        <v>6228.5680000000002</v>
      </c>
      <c r="DV32" s="67">
        <f t="shared" si="40"/>
        <v>5607.616</v>
      </c>
      <c r="DW32" s="68">
        <f t="shared" si="41"/>
        <v>7673.91</v>
      </c>
      <c r="DX32" s="2"/>
      <c r="DY32" s="81" t="s">
        <v>441</v>
      </c>
      <c r="DZ32" s="82"/>
      <c r="EA32" s="82"/>
      <c r="EB32" s="82"/>
      <c r="EC32" s="82">
        <v>1</v>
      </c>
      <c r="ED32" s="84"/>
      <c r="EE32" s="2"/>
      <c r="EF32" s="38" t="s">
        <v>441</v>
      </c>
      <c r="EG32" s="93" t="s">
        <v>441</v>
      </c>
      <c r="EH32" s="94"/>
      <c r="EI32" s="94"/>
      <c r="EJ32" s="94"/>
      <c r="EK32" s="94"/>
      <c r="EL32" s="94"/>
      <c r="EM32" s="94"/>
      <c r="EN32" s="94"/>
      <c r="EO32" s="94"/>
      <c r="EP32" s="94"/>
      <c r="EQ32" s="94"/>
      <c r="ER32" s="94"/>
      <c r="ES32" s="95"/>
      <c r="ET32" s="38" t="s">
        <v>441</v>
      </c>
      <c r="EU32" s="93" t="s">
        <v>441</v>
      </c>
      <c r="EV32" s="94"/>
      <c r="EW32" s="94"/>
      <c r="EX32" s="94"/>
      <c r="EY32" s="94"/>
      <c r="EZ32" s="94"/>
      <c r="FA32" s="94"/>
      <c r="FB32" s="94"/>
      <c r="FC32" s="94"/>
      <c r="FD32" s="94"/>
      <c r="FE32" s="94"/>
      <c r="FF32" s="94"/>
      <c r="FG32" s="95"/>
      <c r="FH32" s="38" t="s">
        <v>441</v>
      </c>
      <c r="FI32" s="93" t="s">
        <v>441</v>
      </c>
      <c r="FJ32" s="94"/>
      <c r="FK32" s="94"/>
      <c r="FL32" s="94"/>
      <c r="FM32" s="94"/>
      <c r="FN32" s="94"/>
      <c r="FO32" s="94"/>
      <c r="FP32" s="94"/>
      <c r="FQ32" s="94"/>
      <c r="FR32" s="94"/>
      <c r="FS32" s="94"/>
      <c r="FT32" s="94"/>
      <c r="FU32" s="95"/>
      <c r="FV32" s="38" t="s">
        <v>441</v>
      </c>
      <c r="FW32" s="93" t="s">
        <v>441</v>
      </c>
      <c r="FX32" s="94">
        <v>114679.2</v>
      </c>
      <c r="FY32" s="94">
        <v>75695.360000000001</v>
      </c>
      <c r="FZ32" s="94">
        <v>7240.96</v>
      </c>
      <c r="GA32" s="94">
        <v>4061.1590000000001</v>
      </c>
      <c r="GB32" s="94">
        <v>4648.3230000000003</v>
      </c>
      <c r="GC32" s="94">
        <v>6614.9440000000004</v>
      </c>
      <c r="GD32" s="94">
        <v>5895.6059999999998</v>
      </c>
      <c r="GE32" s="94">
        <v>4079.5880000000002</v>
      </c>
      <c r="GF32" s="94">
        <v>17825.41</v>
      </c>
      <c r="GG32" s="94">
        <v>6228.5680000000002</v>
      </c>
      <c r="GH32" s="94">
        <v>5607.616</v>
      </c>
      <c r="GI32" s="95">
        <v>7673.91</v>
      </c>
      <c r="GJ32" s="38" t="s">
        <v>441</v>
      </c>
      <c r="GK32" s="93" t="s">
        <v>441</v>
      </c>
      <c r="GL32" s="94"/>
      <c r="GM32" s="94"/>
      <c r="GN32" s="94"/>
      <c r="GO32" s="94"/>
      <c r="GP32" s="94"/>
      <c r="GQ32" s="94"/>
      <c r="GR32" s="94"/>
      <c r="GS32" s="94"/>
      <c r="GT32" s="94"/>
      <c r="GU32" s="94"/>
      <c r="GV32" s="94"/>
      <c r="GW32" s="95"/>
      <c r="GX32" s="38"/>
    </row>
    <row r="33" spans="1:206" x14ac:dyDescent="0.35">
      <c r="A33" s="2"/>
      <c r="B33" s="2"/>
      <c r="C33" s="42" t="s">
        <v>455</v>
      </c>
      <c r="D33" s="43">
        <f t="shared" si="42"/>
        <v>0.47916601172289786</v>
      </c>
      <c r="E33" s="43">
        <f t="shared" si="0"/>
        <v>0.34824835897143525</v>
      </c>
      <c r="F33" s="43">
        <f t="shared" si="1"/>
        <v>2.9219210438447503E-2</v>
      </c>
      <c r="G33" s="43">
        <f t="shared" si="2"/>
        <v>1.3476399328822955E-2</v>
      </c>
      <c r="H33" s="43">
        <f t="shared" si="3"/>
        <v>1.8838164694877955E-2</v>
      </c>
      <c r="I33" s="43">
        <f t="shared" si="4"/>
        <v>2.518802142301596E-2</v>
      </c>
      <c r="J33" s="43">
        <f t="shared" si="5"/>
        <v>4.7544790277420836E-3</v>
      </c>
      <c r="K33" s="43">
        <f t="shared" si="6"/>
        <v>3.855228102335519E-3</v>
      </c>
      <c r="L33" s="43">
        <f t="shared" si="7"/>
        <v>1.9568563806111071E-2</v>
      </c>
      <c r="M33" s="43">
        <f t="shared" si="8"/>
        <v>3.283098615249979E-2</v>
      </c>
      <c r="N33" s="43">
        <f t="shared" si="9"/>
        <v>3.1900614749010934E-3</v>
      </c>
      <c r="O33" s="44">
        <f t="shared" si="10"/>
        <v>2.1664514856912984E-2</v>
      </c>
      <c r="P33" s="115">
        <f t="shared" si="43"/>
        <v>1</v>
      </c>
      <c r="Q33" s="2"/>
      <c r="R33" s="42" t="s">
        <v>455</v>
      </c>
      <c r="S33" s="43">
        <f t="shared" si="44"/>
        <v>0.47916601172289786</v>
      </c>
      <c r="T33" s="43">
        <f t="shared" si="45"/>
        <v>0.34824835897143525</v>
      </c>
      <c r="U33" s="43">
        <f t="shared" si="46"/>
        <v>2.9219210438447503E-2</v>
      </c>
      <c r="V33" s="43">
        <f t="shared" si="47"/>
        <v>1.3476399328822955E-2</v>
      </c>
      <c r="W33" s="29">
        <f t="shared" si="48"/>
        <v>1.8838164694877955E-2</v>
      </c>
      <c r="X33" s="43">
        <f t="shared" si="49"/>
        <v>2.518802142301596E-2</v>
      </c>
      <c r="Y33" s="43">
        <f t="shared" si="50"/>
        <v>4.7544790277420836E-3</v>
      </c>
      <c r="Z33" s="43">
        <f t="shared" si="51"/>
        <v>3.855228102335519E-3</v>
      </c>
      <c r="AA33" s="29">
        <f t="shared" si="52"/>
        <v>1.9568563806111071E-2</v>
      </c>
      <c r="AB33" s="43">
        <f t="shared" si="53"/>
        <v>3.283098615249979E-2</v>
      </c>
      <c r="AC33" s="43">
        <f t="shared" si="54"/>
        <v>3.1900614749010934E-3</v>
      </c>
      <c r="AD33" s="43">
        <f t="shared" si="55"/>
        <v>2.1664514856912984E-2</v>
      </c>
      <c r="AE33" s="32">
        <f t="shared" si="56"/>
        <v>0.51757274022388688</v>
      </c>
      <c r="AF33" s="53">
        <f t="shared" si="57"/>
        <v>0.406267366546951</v>
      </c>
      <c r="AG33" s="53">
        <f t="shared" si="58"/>
        <v>3.716375094109068E-2</v>
      </c>
      <c r="AH33" s="53">
        <f t="shared" si="59"/>
        <v>3.8996142288071453E-2</v>
      </c>
      <c r="AI33" s="34">
        <f t="shared" si="60"/>
        <v>0.87010998046160359</v>
      </c>
      <c r="AJ33" s="35">
        <f t="shared" si="61"/>
        <v>5.2635893247971514E-2</v>
      </c>
      <c r="AK33" s="34">
        <f t="shared" si="62"/>
        <v>0.87010998046160359</v>
      </c>
      <c r="AL33" s="35">
        <f t="shared" si="63"/>
        <v>5.2635893247971514E-2</v>
      </c>
      <c r="AM33" s="35">
        <f t="shared" si="64"/>
        <v>7.725412629042494E-2</v>
      </c>
      <c r="AN33" s="36">
        <v>1</v>
      </c>
      <c r="AO33" s="54">
        <v>1</v>
      </c>
      <c r="AP33" s="2"/>
      <c r="AQ33" s="42" t="s">
        <v>455</v>
      </c>
      <c r="AR33" s="43">
        <f t="shared" si="65"/>
        <v>0.47805839364526825</v>
      </c>
      <c r="AS33" s="43">
        <f t="shared" si="71"/>
        <v>0.34744336410855947</v>
      </c>
      <c r="AT33" s="43">
        <f t="shared" si="72"/>
        <v>2.9151668657720356E-2</v>
      </c>
      <c r="AU33" s="43">
        <f t="shared" si="73"/>
        <v>1.3445247904989096E-2</v>
      </c>
      <c r="AV33" s="29">
        <f t="shared" si="74"/>
        <v>1.9434952479717639E-2</v>
      </c>
      <c r="AW33" s="43">
        <f t="shared" si="75"/>
        <v>2.5985970891714644E-2</v>
      </c>
      <c r="AX33" s="43">
        <f t="shared" si="76"/>
        <v>4.9050995925895933E-3</v>
      </c>
      <c r="AY33" s="43">
        <f t="shared" si="77"/>
        <v>3.9773606495613154E-3</v>
      </c>
      <c r="AZ33" s="29">
        <f t="shared" si="78"/>
        <v>1.9655652759683766E-2</v>
      </c>
      <c r="BA33" s="43">
        <f t="shared" si="79"/>
        <v>3.2977098879887992E-2</v>
      </c>
      <c r="BB33" s="43">
        <f t="shared" si="80"/>
        <v>3.204258690314263E-3</v>
      </c>
      <c r="BC33" s="44">
        <f t="shared" si="81"/>
        <v>2.1760931739993567E-2</v>
      </c>
      <c r="BD33" s="2"/>
      <c r="BE33" s="42" t="s">
        <v>455</v>
      </c>
      <c r="BF33" s="62">
        <v>1</v>
      </c>
      <c r="BG33" s="62">
        <v>1</v>
      </c>
      <c r="BH33" s="62">
        <v>1</v>
      </c>
      <c r="BI33" s="62">
        <v>1</v>
      </c>
      <c r="BJ33" s="36">
        <v>1</v>
      </c>
      <c r="BK33" s="62">
        <v>1</v>
      </c>
      <c r="BL33" s="62">
        <v>1</v>
      </c>
      <c r="BM33" s="62">
        <v>1</v>
      </c>
      <c r="BN33" s="36">
        <v>1</v>
      </c>
      <c r="BO33" s="62">
        <v>1</v>
      </c>
      <c r="BP33" s="62">
        <v>1</v>
      </c>
      <c r="BQ33" s="54">
        <v>1</v>
      </c>
      <c r="BR33" s="2"/>
      <c r="BS33" s="42" t="s">
        <v>455</v>
      </c>
      <c r="BT33" s="67">
        <f t="shared" si="66"/>
        <v>24000.981100000005</v>
      </c>
      <c r="BU33" s="67">
        <f t="shared" si="18"/>
        <v>17443.437300000001</v>
      </c>
      <c r="BV33" s="67">
        <f t="shared" si="19"/>
        <v>1463.56315</v>
      </c>
      <c r="BW33" s="67">
        <f t="shared" si="20"/>
        <v>675.02034299999991</v>
      </c>
      <c r="BX33" s="30">
        <f t="shared" si="21"/>
        <v>975.73420599999997</v>
      </c>
      <c r="BY33" s="67">
        <f t="shared" si="22"/>
        <v>1304.6289000000002</v>
      </c>
      <c r="BZ33" s="67">
        <f t="shared" si="23"/>
        <v>246.261135</v>
      </c>
      <c r="CA33" s="67">
        <f t="shared" si="24"/>
        <v>199.683886</v>
      </c>
      <c r="CB33" s="30">
        <f t="shared" si="25"/>
        <v>986.81449099999998</v>
      </c>
      <c r="CC33" s="67">
        <f t="shared" si="26"/>
        <v>1655.6193499999997</v>
      </c>
      <c r="CD33" s="67">
        <f t="shared" si="27"/>
        <v>160.870206</v>
      </c>
      <c r="CE33" s="68">
        <f t="shared" si="28"/>
        <v>1092.510284</v>
      </c>
      <c r="CF33" s="2"/>
      <c r="CG33" s="37" t="str">
        <f t="shared" si="67"/>
        <v>asmlr</v>
      </c>
      <c r="CH33" s="42" t="s">
        <v>455</v>
      </c>
      <c r="CI33" s="67">
        <f t="shared" si="68"/>
        <v>24000.981100000005</v>
      </c>
      <c r="CJ33" s="67">
        <f t="shared" si="82"/>
        <v>17443.437300000001</v>
      </c>
      <c r="CK33" s="67">
        <f t="shared" si="83"/>
        <v>1463.56315</v>
      </c>
      <c r="CL33" s="67">
        <f t="shared" si="84"/>
        <v>675.02034299999991</v>
      </c>
      <c r="CM33" s="30">
        <f t="shared" si="85"/>
        <v>975.73420599999997</v>
      </c>
      <c r="CN33" s="67">
        <f t="shared" si="86"/>
        <v>1304.6289000000002</v>
      </c>
      <c r="CO33" s="67">
        <f t="shared" si="87"/>
        <v>246.261135</v>
      </c>
      <c r="CP33" s="67">
        <f t="shared" si="88"/>
        <v>199.683886</v>
      </c>
      <c r="CQ33" s="30">
        <f t="shared" si="89"/>
        <v>986.81449099999998</v>
      </c>
      <c r="CR33" s="67">
        <f t="shared" si="90"/>
        <v>1655.6193499999997</v>
      </c>
      <c r="CS33" s="67">
        <f t="shared" si="91"/>
        <v>160.870206</v>
      </c>
      <c r="CT33" s="68">
        <f t="shared" si="92"/>
        <v>1092.510284</v>
      </c>
      <c r="CU33" s="2"/>
      <c r="CV33" s="42" t="s">
        <v>455</v>
      </c>
      <c r="CW33" s="67">
        <f t="shared" si="69"/>
        <v>24000.981100000005</v>
      </c>
      <c r="CX33" s="67">
        <f t="shared" si="93"/>
        <v>17443.437300000001</v>
      </c>
      <c r="CY33" s="67">
        <f t="shared" si="94"/>
        <v>1463.56315</v>
      </c>
      <c r="CZ33" s="67">
        <f t="shared" si="95"/>
        <v>675.02034299999991</v>
      </c>
      <c r="DA33" s="30">
        <f t="shared" si="96"/>
        <v>975.73420599999997</v>
      </c>
      <c r="DB33" s="67">
        <f t="shared" si="97"/>
        <v>1304.6289000000002</v>
      </c>
      <c r="DC33" s="67">
        <f t="shared" si="98"/>
        <v>246.261135</v>
      </c>
      <c r="DD33" s="67">
        <f t="shared" si="99"/>
        <v>199.683886</v>
      </c>
      <c r="DE33" s="30">
        <f t="shared" si="100"/>
        <v>986.81449099999998</v>
      </c>
      <c r="DF33" s="67">
        <f t="shared" si="101"/>
        <v>1655.6193499999997</v>
      </c>
      <c r="DG33" s="67">
        <f t="shared" si="102"/>
        <v>160.870206</v>
      </c>
      <c r="DH33" s="68">
        <f t="shared" si="103"/>
        <v>1092.510284</v>
      </c>
      <c r="DI33" s="2"/>
      <c r="DJ33" s="37" t="s">
        <v>455</v>
      </c>
      <c r="DK33" s="76" t="s">
        <v>455</v>
      </c>
      <c r="DL33" s="67">
        <f t="shared" si="70"/>
        <v>22601.63</v>
      </c>
      <c r="DM33" s="67">
        <f t="shared" si="31"/>
        <v>16473.32</v>
      </c>
      <c r="DN33" s="67">
        <f t="shared" si="32"/>
        <v>1407.538</v>
      </c>
      <c r="DO33" s="67">
        <f t="shared" si="33"/>
        <v>649.70399999999995</v>
      </c>
      <c r="DP33" s="30">
        <f t="shared" si="34"/>
        <v>949.32439999999997</v>
      </c>
      <c r="DQ33" s="67">
        <f t="shared" si="35"/>
        <v>1176.124</v>
      </c>
      <c r="DR33" s="67">
        <f t="shared" si="36"/>
        <v>209.48310000000001</v>
      </c>
      <c r="DS33" s="67">
        <f t="shared" si="37"/>
        <v>153.2938</v>
      </c>
      <c r="DT33" s="30">
        <f t="shared" si="38"/>
        <v>905.54300000000001</v>
      </c>
      <c r="DU33" s="67">
        <f t="shared" si="39"/>
        <v>1518.7049999999999</v>
      </c>
      <c r="DV33" s="67">
        <f t="shared" si="40"/>
        <v>155.3974</v>
      </c>
      <c r="DW33" s="68">
        <f t="shared" si="41"/>
        <v>1072.3430000000001</v>
      </c>
      <c r="DX33" s="2"/>
      <c r="DY33" s="81" t="s">
        <v>455</v>
      </c>
      <c r="DZ33" s="82"/>
      <c r="EA33" s="82"/>
      <c r="EB33" s="82"/>
      <c r="EC33" s="82">
        <v>1</v>
      </c>
      <c r="ED33" s="84"/>
      <c r="EE33" s="2"/>
      <c r="EF33" s="38" t="s">
        <v>455</v>
      </c>
      <c r="EG33" s="93" t="s">
        <v>455</v>
      </c>
      <c r="EH33" s="94"/>
      <c r="EI33" s="94"/>
      <c r="EJ33" s="94"/>
      <c r="EK33" s="94"/>
      <c r="EL33" s="94"/>
      <c r="EM33" s="94"/>
      <c r="EN33" s="94"/>
      <c r="EO33" s="94"/>
      <c r="EP33" s="94"/>
      <c r="EQ33" s="94"/>
      <c r="ER33" s="94"/>
      <c r="ES33" s="95"/>
      <c r="ET33" s="38" t="s">
        <v>455</v>
      </c>
      <c r="EU33" s="93" t="s">
        <v>455</v>
      </c>
      <c r="EV33" s="94"/>
      <c r="EW33" s="94"/>
      <c r="EX33" s="94"/>
      <c r="EY33" s="94"/>
      <c r="EZ33" s="94"/>
      <c r="FA33" s="94"/>
      <c r="FB33" s="94"/>
      <c r="FC33" s="94"/>
      <c r="FD33" s="94"/>
      <c r="FE33" s="94"/>
      <c r="FF33" s="94"/>
      <c r="FG33" s="95"/>
      <c r="FH33" s="38" t="s">
        <v>455</v>
      </c>
      <c r="FI33" s="93" t="s">
        <v>455</v>
      </c>
      <c r="FJ33" s="94"/>
      <c r="FK33" s="94"/>
      <c r="FL33" s="94"/>
      <c r="FM33" s="94"/>
      <c r="FN33" s="94"/>
      <c r="FO33" s="94"/>
      <c r="FP33" s="94"/>
      <c r="FQ33" s="94"/>
      <c r="FR33" s="94"/>
      <c r="FS33" s="94"/>
      <c r="FT33" s="94"/>
      <c r="FU33" s="95"/>
      <c r="FV33" s="38" t="s">
        <v>455</v>
      </c>
      <c r="FW33" s="93" t="s">
        <v>455</v>
      </c>
      <c r="FX33" s="94">
        <v>22601.63</v>
      </c>
      <c r="FY33" s="94">
        <v>16473.32</v>
      </c>
      <c r="FZ33" s="94">
        <v>1407.538</v>
      </c>
      <c r="GA33" s="94">
        <v>649.70399999999995</v>
      </c>
      <c r="GB33" s="94">
        <v>949.32439999999997</v>
      </c>
      <c r="GC33" s="94">
        <v>1176.124</v>
      </c>
      <c r="GD33" s="94">
        <v>209.48310000000001</v>
      </c>
      <c r="GE33" s="94">
        <v>153.2938</v>
      </c>
      <c r="GF33" s="94">
        <v>905.54300000000001</v>
      </c>
      <c r="GG33" s="94">
        <v>1518.7049999999999</v>
      </c>
      <c r="GH33" s="94">
        <v>155.3974</v>
      </c>
      <c r="GI33" s="95">
        <v>1072.3430000000001</v>
      </c>
      <c r="GJ33" s="38" t="s">
        <v>455</v>
      </c>
      <c r="GK33" s="93" t="s">
        <v>455</v>
      </c>
      <c r="GL33" s="94"/>
      <c r="GM33" s="94"/>
      <c r="GN33" s="94"/>
      <c r="GO33" s="94"/>
      <c r="GP33" s="94"/>
      <c r="GQ33" s="94"/>
      <c r="GR33" s="94"/>
      <c r="GS33" s="94"/>
      <c r="GT33" s="94"/>
      <c r="GU33" s="94"/>
      <c r="GV33" s="94"/>
      <c r="GW33" s="95"/>
      <c r="GX33" s="38"/>
    </row>
    <row r="34" spans="1:206" x14ac:dyDescent="0.35">
      <c r="A34" s="2"/>
      <c r="B34" s="2"/>
      <c r="C34" s="42" t="s">
        <v>447</v>
      </c>
      <c r="D34" s="43">
        <f t="shared" si="42"/>
        <v>0.46923066275797454</v>
      </c>
      <c r="E34" s="43">
        <f t="shared" si="0"/>
        <v>0.25192720444151129</v>
      </c>
      <c r="F34" s="43">
        <f t="shared" si="1"/>
        <v>2.5170528187821666E-2</v>
      </c>
      <c r="G34" s="43">
        <f t="shared" si="2"/>
        <v>3.6820588189109826E-2</v>
      </c>
      <c r="H34" s="43">
        <f t="shared" si="3"/>
        <v>1.6914831185890683E-2</v>
      </c>
      <c r="I34" s="43">
        <f t="shared" si="4"/>
        <v>4.1870870669680829E-2</v>
      </c>
      <c r="J34" s="43">
        <f t="shared" si="5"/>
        <v>1.2848247797487914E-2</v>
      </c>
      <c r="K34" s="43">
        <f t="shared" si="6"/>
        <v>5.1554100958223242E-2</v>
      </c>
      <c r="L34" s="43">
        <f t="shared" si="7"/>
        <v>1.6781459004994399E-2</v>
      </c>
      <c r="M34" s="43">
        <f t="shared" si="8"/>
        <v>4.8480432461045643E-2</v>
      </c>
      <c r="N34" s="43">
        <f t="shared" si="9"/>
        <v>1.1799066517447053E-2</v>
      </c>
      <c r="O34" s="44">
        <f t="shared" si="10"/>
        <v>1.6602007828813083E-2</v>
      </c>
      <c r="P34" s="115">
        <f t="shared" si="43"/>
        <v>1</v>
      </c>
      <c r="Q34" s="2"/>
      <c r="R34" s="42" t="s">
        <v>447</v>
      </c>
      <c r="S34" s="43">
        <f t="shared" si="44"/>
        <v>0.46923066275797448</v>
      </c>
      <c r="T34" s="43">
        <f t="shared" si="45"/>
        <v>0.25192720444151123</v>
      </c>
      <c r="U34" s="43">
        <f t="shared" si="46"/>
        <v>2.5170528187821662E-2</v>
      </c>
      <c r="V34" s="43">
        <f t="shared" si="47"/>
        <v>3.6820588189109819E-2</v>
      </c>
      <c r="W34" s="29">
        <f t="shared" si="48"/>
        <v>1.691483118589068E-2</v>
      </c>
      <c r="X34" s="43">
        <f t="shared" si="49"/>
        <v>4.1870870669680822E-2</v>
      </c>
      <c r="Y34" s="43">
        <f t="shared" si="50"/>
        <v>1.2848247797487913E-2</v>
      </c>
      <c r="Z34" s="43">
        <f t="shared" si="51"/>
        <v>5.1554100958223235E-2</v>
      </c>
      <c r="AA34" s="29">
        <f t="shared" si="52"/>
        <v>1.6781459004994396E-2</v>
      </c>
      <c r="AB34" s="43">
        <f t="shared" si="53"/>
        <v>4.8480432461045636E-2</v>
      </c>
      <c r="AC34" s="43">
        <f t="shared" si="54"/>
        <v>1.1799066517447051E-2</v>
      </c>
      <c r="AD34" s="43">
        <f t="shared" si="55"/>
        <v>1.6602007828813079E-2</v>
      </c>
      <c r="AE34" s="32">
        <f t="shared" si="56"/>
        <v>0.50292695294885958</v>
      </c>
      <c r="AF34" s="53">
        <f t="shared" si="57"/>
        <v>0.34227850757223766</v>
      </c>
      <c r="AG34" s="53">
        <f t="shared" si="58"/>
        <v>4.9817842502756629E-2</v>
      </c>
      <c r="AH34" s="53">
        <f t="shared" si="59"/>
        <v>0.10497669697614613</v>
      </c>
      <c r="AI34" s="34">
        <f t="shared" si="60"/>
        <v>0.78314898357641716</v>
      </c>
      <c r="AJ34" s="35">
        <f t="shared" si="61"/>
        <v>0.12318805061128266</v>
      </c>
      <c r="AK34" s="34">
        <f t="shared" si="62"/>
        <v>0.78314898357641716</v>
      </c>
      <c r="AL34" s="35">
        <f t="shared" si="63"/>
        <v>0.12318805061128266</v>
      </c>
      <c r="AM34" s="35">
        <f t="shared" si="64"/>
        <v>9.3662965812300158E-2</v>
      </c>
      <c r="AN34" s="36">
        <v>1</v>
      </c>
      <c r="AO34" s="54">
        <v>1</v>
      </c>
      <c r="AP34" s="2"/>
      <c r="AQ34" s="42" t="s">
        <v>447</v>
      </c>
      <c r="AR34" s="43">
        <f t="shared" si="65"/>
        <v>0.46923066275797454</v>
      </c>
      <c r="AS34" s="43">
        <f t="shared" si="71"/>
        <v>0.25192720444151123</v>
      </c>
      <c r="AT34" s="43">
        <f t="shared" si="72"/>
        <v>2.5170528187821666E-2</v>
      </c>
      <c r="AU34" s="43">
        <f t="shared" si="73"/>
        <v>3.6820588189109826E-2</v>
      </c>
      <c r="AV34" s="29">
        <f t="shared" si="74"/>
        <v>1.691483118589068E-2</v>
      </c>
      <c r="AW34" s="43">
        <f t="shared" si="75"/>
        <v>4.1870870669680822E-2</v>
      </c>
      <c r="AX34" s="43">
        <f t="shared" si="76"/>
        <v>1.2848247797487913E-2</v>
      </c>
      <c r="AY34" s="43">
        <f t="shared" si="77"/>
        <v>5.1554100958223235E-2</v>
      </c>
      <c r="AZ34" s="29">
        <f t="shared" si="78"/>
        <v>1.678145900499442E-2</v>
      </c>
      <c r="BA34" s="43">
        <f t="shared" si="79"/>
        <v>4.8480432461045705E-2</v>
      </c>
      <c r="BB34" s="43">
        <f t="shared" si="80"/>
        <v>1.1799066517447067E-2</v>
      </c>
      <c r="BC34" s="44">
        <f t="shared" si="81"/>
        <v>1.6602007828813103E-2</v>
      </c>
      <c r="BD34" s="2"/>
      <c r="BE34" s="42" t="s">
        <v>447</v>
      </c>
      <c r="BF34" s="62">
        <v>1</v>
      </c>
      <c r="BG34" s="62">
        <v>1</v>
      </c>
      <c r="BH34" s="62">
        <v>1</v>
      </c>
      <c r="BI34" s="62">
        <v>1</v>
      </c>
      <c r="BJ34" s="36">
        <v>1</v>
      </c>
      <c r="BK34" s="62">
        <v>1</v>
      </c>
      <c r="BL34" s="62">
        <v>1</v>
      </c>
      <c r="BM34" s="62">
        <v>1</v>
      </c>
      <c r="BN34" s="36">
        <v>1</v>
      </c>
      <c r="BO34" s="62">
        <v>1</v>
      </c>
      <c r="BP34" s="62">
        <v>1</v>
      </c>
      <c r="BQ34" s="54">
        <v>1</v>
      </c>
      <c r="BR34" s="2"/>
      <c r="BS34" s="42" t="s">
        <v>447</v>
      </c>
      <c r="BT34" s="67">
        <f t="shared" si="66"/>
        <v>3433.768</v>
      </c>
      <c r="BU34" s="67">
        <f t="shared" si="18"/>
        <v>1843.57</v>
      </c>
      <c r="BV34" s="67">
        <f t="shared" si="19"/>
        <v>184.19460000000001</v>
      </c>
      <c r="BW34" s="67">
        <f t="shared" si="20"/>
        <v>269.44819999999999</v>
      </c>
      <c r="BX34" s="30">
        <f t="shared" si="21"/>
        <v>123.7805</v>
      </c>
      <c r="BY34" s="67">
        <f t="shared" si="22"/>
        <v>306.40550000000002</v>
      </c>
      <c r="BZ34" s="67">
        <f t="shared" si="23"/>
        <v>94.021780000000007</v>
      </c>
      <c r="CA34" s="67">
        <f t="shared" si="24"/>
        <v>377.26609999999999</v>
      </c>
      <c r="CB34" s="30">
        <f t="shared" si="25"/>
        <v>122.8045</v>
      </c>
      <c r="CC34" s="67">
        <f t="shared" si="26"/>
        <v>354.77339999999998</v>
      </c>
      <c r="CD34" s="67">
        <f t="shared" si="27"/>
        <v>86.344009999999997</v>
      </c>
      <c r="CE34" s="68">
        <f t="shared" si="28"/>
        <v>121.4913</v>
      </c>
      <c r="CF34" s="2"/>
      <c r="CG34" s="37" t="str">
        <f t="shared" si="67"/>
        <v>apoul</v>
      </c>
      <c r="CH34" s="42" t="s">
        <v>447</v>
      </c>
      <c r="CI34" s="67">
        <f t="shared" si="68"/>
        <v>3433.768</v>
      </c>
      <c r="CJ34" s="67">
        <f t="shared" si="82"/>
        <v>1843.57</v>
      </c>
      <c r="CK34" s="67">
        <f t="shared" si="83"/>
        <v>184.19460000000001</v>
      </c>
      <c r="CL34" s="67">
        <f t="shared" si="84"/>
        <v>269.44819999999999</v>
      </c>
      <c r="CM34" s="30">
        <f t="shared" si="85"/>
        <v>123.7805</v>
      </c>
      <c r="CN34" s="67">
        <f t="shared" si="86"/>
        <v>306.40550000000002</v>
      </c>
      <c r="CO34" s="67">
        <f t="shared" si="87"/>
        <v>94.021780000000007</v>
      </c>
      <c r="CP34" s="67">
        <f t="shared" si="88"/>
        <v>377.26609999999999</v>
      </c>
      <c r="CQ34" s="30">
        <f t="shared" si="89"/>
        <v>122.8045</v>
      </c>
      <c r="CR34" s="67">
        <f t="shared" si="90"/>
        <v>354.77339999999998</v>
      </c>
      <c r="CS34" s="67">
        <f t="shared" si="91"/>
        <v>86.344009999999997</v>
      </c>
      <c r="CT34" s="68">
        <f t="shared" si="92"/>
        <v>121.4913</v>
      </c>
      <c r="CU34" s="2"/>
      <c r="CV34" s="42" t="s">
        <v>447</v>
      </c>
      <c r="CW34" s="67">
        <f t="shared" si="69"/>
        <v>3433.768</v>
      </c>
      <c r="CX34" s="67">
        <f t="shared" si="93"/>
        <v>1843.57</v>
      </c>
      <c r="CY34" s="67">
        <f t="shared" si="94"/>
        <v>184.19460000000001</v>
      </c>
      <c r="CZ34" s="67">
        <f t="shared" si="95"/>
        <v>269.44819999999999</v>
      </c>
      <c r="DA34" s="30">
        <f t="shared" si="96"/>
        <v>123.7805</v>
      </c>
      <c r="DB34" s="67">
        <f t="shared" si="97"/>
        <v>306.40550000000002</v>
      </c>
      <c r="DC34" s="67">
        <f t="shared" si="98"/>
        <v>94.021780000000007</v>
      </c>
      <c r="DD34" s="67">
        <f t="shared" si="99"/>
        <v>377.26609999999999</v>
      </c>
      <c r="DE34" s="30">
        <f t="shared" si="100"/>
        <v>122.8045</v>
      </c>
      <c r="DF34" s="67">
        <f t="shared" si="101"/>
        <v>354.77339999999998</v>
      </c>
      <c r="DG34" s="67">
        <f t="shared" si="102"/>
        <v>86.344009999999997</v>
      </c>
      <c r="DH34" s="68">
        <f t="shared" si="103"/>
        <v>121.4913</v>
      </c>
      <c r="DI34" s="2"/>
      <c r="DJ34" s="37" t="s">
        <v>447</v>
      </c>
      <c r="DK34" s="76" t="s">
        <v>447</v>
      </c>
      <c r="DL34" s="67">
        <f t="shared" si="70"/>
        <v>3433.768</v>
      </c>
      <c r="DM34" s="67">
        <f t="shared" si="31"/>
        <v>1843.57</v>
      </c>
      <c r="DN34" s="67">
        <f t="shared" si="32"/>
        <v>184.19460000000001</v>
      </c>
      <c r="DO34" s="67">
        <f t="shared" si="33"/>
        <v>269.44819999999999</v>
      </c>
      <c r="DP34" s="30">
        <f t="shared" si="34"/>
        <v>123.7805</v>
      </c>
      <c r="DQ34" s="67">
        <f t="shared" si="35"/>
        <v>306.40550000000002</v>
      </c>
      <c r="DR34" s="67">
        <f t="shared" si="36"/>
        <v>94.021780000000007</v>
      </c>
      <c r="DS34" s="67">
        <f t="shared" si="37"/>
        <v>377.26609999999999</v>
      </c>
      <c r="DT34" s="30">
        <f t="shared" si="38"/>
        <v>122.8045</v>
      </c>
      <c r="DU34" s="67">
        <f t="shared" si="39"/>
        <v>354.77339999999998</v>
      </c>
      <c r="DV34" s="67">
        <f t="shared" si="40"/>
        <v>86.344009999999997</v>
      </c>
      <c r="DW34" s="68">
        <f t="shared" si="41"/>
        <v>121.4913</v>
      </c>
      <c r="DX34" s="2"/>
      <c r="DY34" s="81" t="s">
        <v>447</v>
      </c>
      <c r="DZ34" s="82"/>
      <c r="EA34" s="82"/>
      <c r="EB34" s="82"/>
      <c r="EC34" s="82">
        <v>1</v>
      </c>
      <c r="ED34" s="84"/>
      <c r="EE34" s="2"/>
      <c r="EF34" s="38" t="s">
        <v>447</v>
      </c>
      <c r="EG34" s="93" t="s">
        <v>447</v>
      </c>
      <c r="EH34" s="94"/>
      <c r="EI34" s="94"/>
      <c r="EJ34" s="94"/>
      <c r="EK34" s="94"/>
      <c r="EL34" s="94"/>
      <c r="EM34" s="94"/>
      <c r="EN34" s="94"/>
      <c r="EO34" s="94"/>
      <c r="EP34" s="94"/>
      <c r="EQ34" s="94"/>
      <c r="ER34" s="94"/>
      <c r="ES34" s="95"/>
      <c r="ET34" s="38" t="s">
        <v>447</v>
      </c>
      <c r="EU34" s="93" t="s">
        <v>447</v>
      </c>
      <c r="EV34" s="94"/>
      <c r="EW34" s="94"/>
      <c r="EX34" s="94"/>
      <c r="EY34" s="94"/>
      <c r="EZ34" s="94"/>
      <c r="FA34" s="94"/>
      <c r="FB34" s="94"/>
      <c r="FC34" s="94"/>
      <c r="FD34" s="94"/>
      <c r="FE34" s="94"/>
      <c r="FF34" s="94"/>
      <c r="FG34" s="95"/>
      <c r="FH34" s="38" t="s">
        <v>447</v>
      </c>
      <c r="FI34" s="93" t="s">
        <v>447</v>
      </c>
      <c r="FJ34" s="94"/>
      <c r="FK34" s="94"/>
      <c r="FL34" s="94"/>
      <c r="FM34" s="94"/>
      <c r="FN34" s="94"/>
      <c r="FO34" s="94"/>
      <c r="FP34" s="94"/>
      <c r="FQ34" s="94"/>
      <c r="FR34" s="94"/>
      <c r="FS34" s="94"/>
      <c r="FT34" s="94"/>
      <c r="FU34" s="95"/>
      <c r="FV34" s="38" t="s">
        <v>447</v>
      </c>
      <c r="FW34" s="93" t="s">
        <v>447</v>
      </c>
      <c r="FX34" s="94">
        <v>3433.768</v>
      </c>
      <c r="FY34" s="94">
        <v>1843.57</v>
      </c>
      <c r="FZ34" s="94">
        <v>184.19460000000001</v>
      </c>
      <c r="GA34" s="94">
        <v>269.44819999999999</v>
      </c>
      <c r="GB34" s="94">
        <v>123.7805</v>
      </c>
      <c r="GC34" s="94">
        <v>306.40550000000002</v>
      </c>
      <c r="GD34" s="94">
        <v>94.021780000000007</v>
      </c>
      <c r="GE34" s="94">
        <v>377.26609999999999</v>
      </c>
      <c r="GF34" s="94">
        <v>122.8045</v>
      </c>
      <c r="GG34" s="94">
        <v>354.77339999999998</v>
      </c>
      <c r="GH34" s="94">
        <v>86.344009999999997</v>
      </c>
      <c r="GI34" s="95">
        <v>121.4913</v>
      </c>
      <c r="GJ34" s="38" t="s">
        <v>447</v>
      </c>
      <c r="GK34" s="93" t="s">
        <v>447</v>
      </c>
      <c r="GL34" s="94"/>
      <c r="GM34" s="94"/>
      <c r="GN34" s="94"/>
      <c r="GO34" s="94"/>
      <c r="GP34" s="94"/>
      <c r="GQ34" s="94"/>
      <c r="GR34" s="94"/>
      <c r="GS34" s="94"/>
      <c r="GT34" s="94"/>
      <c r="GU34" s="94"/>
      <c r="GV34" s="94"/>
      <c r="GW34" s="95"/>
      <c r="GX34" s="38"/>
    </row>
    <row r="35" spans="1:206" x14ac:dyDescent="0.35">
      <c r="A35" s="2"/>
      <c r="B35" s="2"/>
      <c r="C35" s="42" t="s">
        <v>457</v>
      </c>
      <c r="D35" s="43">
        <f t="shared" si="42"/>
        <v>0.46424309375190365</v>
      </c>
      <c r="E35" s="43">
        <f t="shared" si="0"/>
        <v>0.33740267800216517</v>
      </c>
      <c r="F35" s="43">
        <f t="shared" si="1"/>
        <v>2.8309221270012216E-2</v>
      </c>
      <c r="G35" s="43">
        <f t="shared" si="2"/>
        <v>1.3056696768941294E-2</v>
      </c>
      <c r="H35" s="43">
        <f t="shared" si="3"/>
        <v>1.9186691357804073E-2</v>
      </c>
      <c r="I35" s="43">
        <f t="shared" si="4"/>
        <v>2.5654027384555422E-2</v>
      </c>
      <c r="J35" s="43">
        <f t="shared" si="5"/>
        <v>4.8424420929520252E-3</v>
      </c>
      <c r="K35" s="43">
        <f t="shared" si="6"/>
        <v>3.9265540413051117E-3</v>
      </c>
      <c r="L35" s="43">
        <f t="shared" si="7"/>
        <v>2.6185923471624822E-2</v>
      </c>
      <c r="M35" s="43">
        <f t="shared" si="8"/>
        <v>4.3933203244014001E-2</v>
      </c>
      <c r="N35" s="43">
        <f t="shared" si="9"/>
        <v>4.2688214873209847E-3</v>
      </c>
      <c r="O35" s="44">
        <f t="shared" si="10"/>
        <v>2.8990647127401275E-2</v>
      </c>
      <c r="P35" s="115">
        <f t="shared" si="43"/>
        <v>1</v>
      </c>
      <c r="Q35" s="2"/>
      <c r="R35" s="42" t="s">
        <v>457</v>
      </c>
      <c r="S35" s="43">
        <f t="shared" si="44"/>
        <v>0.46424309375190365</v>
      </c>
      <c r="T35" s="43">
        <f t="shared" si="45"/>
        <v>0.33740267800216517</v>
      </c>
      <c r="U35" s="43">
        <f t="shared" si="46"/>
        <v>2.8309221270012216E-2</v>
      </c>
      <c r="V35" s="43">
        <f t="shared" si="47"/>
        <v>1.3056696768941294E-2</v>
      </c>
      <c r="W35" s="29">
        <f t="shared" si="48"/>
        <v>1.9186691357804073E-2</v>
      </c>
      <c r="X35" s="43">
        <f t="shared" si="49"/>
        <v>2.5654027384555422E-2</v>
      </c>
      <c r="Y35" s="43">
        <f t="shared" si="50"/>
        <v>4.8424420929520252E-3</v>
      </c>
      <c r="Z35" s="43">
        <f t="shared" si="51"/>
        <v>3.9265540413051117E-3</v>
      </c>
      <c r="AA35" s="29">
        <f t="shared" si="52"/>
        <v>2.6185923471624822E-2</v>
      </c>
      <c r="AB35" s="43">
        <f t="shared" si="53"/>
        <v>4.3933203244014001E-2</v>
      </c>
      <c r="AC35" s="43">
        <f t="shared" si="54"/>
        <v>4.2688214873209847E-3</v>
      </c>
      <c r="AD35" s="43">
        <f t="shared" si="55"/>
        <v>2.8990647127401275E-2</v>
      </c>
      <c r="AE35" s="32">
        <f t="shared" si="56"/>
        <v>0.50961570858133254</v>
      </c>
      <c r="AF35" s="53">
        <f t="shared" si="57"/>
        <v>0.40698990863073459</v>
      </c>
      <c r="AG35" s="53">
        <f t="shared" si="58"/>
        <v>3.7420484850285221E-2</v>
      </c>
      <c r="AH35" s="53">
        <f t="shared" si="59"/>
        <v>4.5973897937647681E-2</v>
      </c>
      <c r="AI35" s="34">
        <f t="shared" si="60"/>
        <v>0.84301168979302232</v>
      </c>
      <c r="AJ35" s="35">
        <f t="shared" si="61"/>
        <v>5.3609714876616629E-2</v>
      </c>
      <c r="AK35" s="34">
        <f t="shared" si="62"/>
        <v>0.84301168979302232</v>
      </c>
      <c r="AL35" s="35">
        <f t="shared" si="63"/>
        <v>5.3609714876616629E-2</v>
      </c>
      <c r="AM35" s="35">
        <f t="shared" si="64"/>
        <v>0.10337859533036109</v>
      </c>
      <c r="AN35" s="36">
        <v>1</v>
      </c>
      <c r="AO35" s="54">
        <v>1</v>
      </c>
      <c r="AP35" s="2"/>
      <c r="AQ35" s="42" t="s">
        <v>457</v>
      </c>
      <c r="AR35" s="43">
        <f t="shared" si="65"/>
        <v>0.47805839364526825</v>
      </c>
      <c r="AS35" s="43">
        <f t="shared" si="71"/>
        <v>0.34744336410855947</v>
      </c>
      <c r="AT35" s="43">
        <f t="shared" si="72"/>
        <v>2.9151668657720356E-2</v>
      </c>
      <c r="AU35" s="43">
        <f t="shared" si="73"/>
        <v>1.3445247904989096E-2</v>
      </c>
      <c r="AV35" s="29">
        <f t="shared" si="74"/>
        <v>1.9434952479717639E-2</v>
      </c>
      <c r="AW35" s="43">
        <f t="shared" si="75"/>
        <v>2.5985970891714644E-2</v>
      </c>
      <c r="AX35" s="43">
        <f t="shared" si="76"/>
        <v>4.9050995925895933E-3</v>
      </c>
      <c r="AY35" s="43">
        <f t="shared" si="77"/>
        <v>3.9773606495613154E-3</v>
      </c>
      <c r="AZ35" s="29">
        <f t="shared" si="78"/>
        <v>1.9655652759683766E-2</v>
      </c>
      <c r="BA35" s="43">
        <f t="shared" si="79"/>
        <v>3.2977098879887992E-2</v>
      </c>
      <c r="BB35" s="43">
        <f t="shared" si="80"/>
        <v>3.204258690314263E-3</v>
      </c>
      <c r="BC35" s="44">
        <f t="shared" si="81"/>
        <v>2.1760931739993567E-2</v>
      </c>
      <c r="BD35" s="2"/>
      <c r="BE35" s="42" t="s">
        <v>457</v>
      </c>
      <c r="BF35" s="62">
        <v>1</v>
      </c>
      <c r="BG35" s="62">
        <v>1</v>
      </c>
      <c r="BH35" s="62">
        <v>1</v>
      </c>
      <c r="BI35" s="62">
        <v>1</v>
      </c>
      <c r="BJ35" s="36">
        <v>1</v>
      </c>
      <c r="BK35" s="62">
        <v>1</v>
      </c>
      <c r="BL35" s="62">
        <v>1</v>
      </c>
      <c r="BM35" s="62">
        <v>1</v>
      </c>
      <c r="BN35" s="36">
        <v>1</v>
      </c>
      <c r="BO35" s="62">
        <v>1</v>
      </c>
      <c r="BP35" s="62">
        <v>1</v>
      </c>
      <c r="BQ35" s="54">
        <v>1</v>
      </c>
      <c r="BR35" s="2"/>
      <c r="BS35" s="42" t="s">
        <v>457</v>
      </c>
      <c r="BT35" s="67">
        <f t="shared" si="66"/>
        <v>24000.981100000005</v>
      </c>
      <c r="BU35" s="67">
        <f t="shared" si="18"/>
        <v>17443.437300000001</v>
      </c>
      <c r="BV35" s="67">
        <f t="shared" si="19"/>
        <v>1463.56315</v>
      </c>
      <c r="BW35" s="67">
        <f t="shared" si="20"/>
        <v>675.02034299999991</v>
      </c>
      <c r="BX35" s="30">
        <f t="shared" si="21"/>
        <v>975.73420599999997</v>
      </c>
      <c r="BY35" s="67">
        <f t="shared" si="22"/>
        <v>1304.6289000000002</v>
      </c>
      <c r="BZ35" s="67">
        <f t="shared" si="23"/>
        <v>246.261135</v>
      </c>
      <c r="CA35" s="67">
        <f t="shared" si="24"/>
        <v>199.683886</v>
      </c>
      <c r="CB35" s="30">
        <f t="shared" si="25"/>
        <v>986.81449099999998</v>
      </c>
      <c r="CC35" s="67">
        <f t="shared" si="26"/>
        <v>1655.6193499999997</v>
      </c>
      <c r="CD35" s="67">
        <f t="shared" si="27"/>
        <v>160.870206</v>
      </c>
      <c r="CE35" s="68">
        <f t="shared" si="28"/>
        <v>1092.510284</v>
      </c>
      <c r="CF35" s="2"/>
      <c r="CG35" s="37" t="str">
        <f t="shared" si="67"/>
        <v>asmlr</v>
      </c>
      <c r="CH35" s="42" t="s">
        <v>457</v>
      </c>
      <c r="CI35" s="67">
        <f t="shared" si="68"/>
        <v>24000.981100000005</v>
      </c>
      <c r="CJ35" s="67">
        <f t="shared" si="82"/>
        <v>17443.437300000001</v>
      </c>
      <c r="CK35" s="67">
        <f t="shared" si="83"/>
        <v>1463.56315</v>
      </c>
      <c r="CL35" s="67">
        <f t="shared" si="84"/>
        <v>675.02034299999991</v>
      </c>
      <c r="CM35" s="30">
        <f t="shared" si="85"/>
        <v>975.73420599999997</v>
      </c>
      <c r="CN35" s="67">
        <f t="shared" si="86"/>
        <v>1304.6289000000002</v>
      </c>
      <c r="CO35" s="67">
        <f t="shared" si="87"/>
        <v>246.261135</v>
      </c>
      <c r="CP35" s="67">
        <f t="shared" si="88"/>
        <v>199.683886</v>
      </c>
      <c r="CQ35" s="30">
        <f t="shared" si="89"/>
        <v>986.81449099999998</v>
      </c>
      <c r="CR35" s="67">
        <f t="shared" si="90"/>
        <v>1655.6193499999997</v>
      </c>
      <c r="CS35" s="67">
        <f t="shared" si="91"/>
        <v>160.870206</v>
      </c>
      <c r="CT35" s="68">
        <f t="shared" si="92"/>
        <v>1092.510284</v>
      </c>
      <c r="CU35" s="2"/>
      <c r="CV35" s="42" t="s">
        <v>457</v>
      </c>
      <c r="CW35" s="67">
        <f t="shared" si="69"/>
        <v>0</v>
      </c>
      <c r="CX35" s="67">
        <f t="shared" si="93"/>
        <v>0</v>
      </c>
      <c r="CY35" s="67">
        <f t="shared" si="94"/>
        <v>0</v>
      </c>
      <c r="CZ35" s="67">
        <f t="shared" si="95"/>
        <v>0</v>
      </c>
      <c r="DA35" s="30">
        <f t="shared" si="96"/>
        <v>0</v>
      </c>
      <c r="DB35" s="67">
        <f t="shared" si="97"/>
        <v>0</v>
      </c>
      <c r="DC35" s="67">
        <f t="shared" si="98"/>
        <v>0</v>
      </c>
      <c r="DD35" s="67">
        <f t="shared" si="99"/>
        <v>0</v>
      </c>
      <c r="DE35" s="30">
        <f t="shared" si="100"/>
        <v>0</v>
      </c>
      <c r="DF35" s="67">
        <f t="shared" si="101"/>
        <v>0</v>
      </c>
      <c r="DG35" s="67">
        <f t="shared" si="102"/>
        <v>0</v>
      </c>
      <c r="DH35" s="68">
        <f t="shared" si="103"/>
        <v>0</v>
      </c>
      <c r="DI35" s="2"/>
      <c r="DJ35" s="37" t="s">
        <v>455</v>
      </c>
      <c r="DK35" s="76" t="s">
        <v>457</v>
      </c>
      <c r="DL35" s="67">
        <f t="shared" si="70"/>
        <v>823.75900000000001</v>
      </c>
      <c r="DM35" s="67">
        <f t="shared" si="31"/>
        <v>553.4769</v>
      </c>
      <c r="DN35" s="67">
        <f t="shared" si="32"/>
        <v>34.911189999999998</v>
      </c>
      <c r="DO35" s="67">
        <f t="shared" si="33"/>
        <v>7.4143230000000004</v>
      </c>
      <c r="DP35" s="30">
        <f t="shared" si="34"/>
        <v>16.623850000000001</v>
      </c>
      <c r="DQ35" s="67">
        <f t="shared" si="35"/>
        <v>61.042760000000001</v>
      </c>
      <c r="DR35" s="67">
        <f t="shared" si="36"/>
        <v>9.6343449999999997</v>
      </c>
      <c r="DS35" s="67">
        <f t="shared" si="37"/>
        <v>2.9733360000000002</v>
      </c>
      <c r="DT35" s="30">
        <f t="shared" si="38"/>
        <v>72.230810000000005</v>
      </c>
      <c r="DU35" s="67">
        <f t="shared" si="39"/>
        <v>85.333979999999997</v>
      </c>
      <c r="DV35" s="67">
        <f t="shared" si="40"/>
        <v>4.0074870000000002</v>
      </c>
      <c r="DW35" s="68">
        <f t="shared" si="41"/>
        <v>12.508660000000001</v>
      </c>
      <c r="DX35" s="2"/>
      <c r="DY35" s="81" t="s">
        <v>457</v>
      </c>
      <c r="DZ35" s="82"/>
      <c r="EA35" s="82"/>
      <c r="EB35" s="82"/>
      <c r="EC35" s="82">
        <v>1</v>
      </c>
      <c r="ED35" s="84"/>
      <c r="EE35" s="2"/>
      <c r="EF35" s="38" t="s">
        <v>457</v>
      </c>
      <c r="EG35" s="93" t="s">
        <v>457</v>
      </c>
      <c r="EH35" s="94"/>
      <c r="EI35" s="94"/>
      <c r="EJ35" s="94"/>
      <c r="EK35" s="94"/>
      <c r="EL35" s="94"/>
      <c r="EM35" s="94"/>
      <c r="EN35" s="94"/>
      <c r="EO35" s="94"/>
      <c r="EP35" s="94"/>
      <c r="EQ35" s="94"/>
      <c r="ER35" s="94"/>
      <c r="ES35" s="95"/>
      <c r="ET35" s="38" t="s">
        <v>457</v>
      </c>
      <c r="EU35" s="93" t="s">
        <v>457</v>
      </c>
      <c r="EV35" s="94"/>
      <c r="EW35" s="94"/>
      <c r="EX35" s="94"/>
      <c r="EY35" s="94"/>
      <c r="EZ35" s="94"/>
      <c r="FA35" s="94"/>
      <c r="FB35" s="94"/>
      <c r="FC35" s="94"/>
      <c r="FD35" s="94"/>
      <c r="FE35" s="94"/>
      <c r="FF35" s="94"/>
      <c r="FG35" s="95"/>
      <c r="FH35" s="38" t="s">
        <v>457</v>
      </c>
      <c r="FI35" s="93" t="s">
        <v>457</v>
      </c>
      <c r="FJ35" s="94">
        <v>1348.83</v>
      </c>
      <c r="FK35" s="94">
        <v>1023.383</v>
      </c>
      <c r="FL35" s="94">
        <v>106.3439</v>
      </c>
      <c r="FM35" s="94">
        <v>23.064599999999999</v>
      </c>
      <c r="FN35" s="94">
        <v>50.742640000000002</v>
      </c>
      <c r="FO35" s="94">
        <v>178.07939999999999</v>
      </c>
      <c r="FP35" s="94">
        <v>21.726009999999999</v>
      </c>
      <c r="FQ35" s="94">
        <v>0</v>
      </c>
      <c r="FR35" s="94">
        <v>71.31156</v>
      </c>
      <c r="FS35" s="94">
        <v>64.265619999999998</v>
      </c>
      <c r="FT35" s="94"/>
      <c r="FU35" s="95">
        <v>9.4378810000000009</v>
      </c>
      <c r="FV35" s="38" t="s">
        <v>457</v>
      </c>
      <c r="FW35" s="93" t="s">
        <v>457</v>
      </c>
      <c r="FX35" s="94">
        <v>823.75900000000001</v>
      </c>
      <c r="FY35" s="94">
        <v>553.4769</v>
      </c>
      <c r="FZ35" s="94">
        <v>34.911189999999998</v>
      </c>
      <c r="GA35" s="94">
        <v>7.4143230000000004</v>
      </c>
      <c r="GB35" s="94">
        <v>16.623850000000001</v>
      </c>
      <c r="GC35" s="94">
        <v>61.042760000000001</v>
      </c>
      <c r="GD35" s="94">
        <v>9.6343449999999997</v>
      </c>
      <c r="GE35" s="94">
        <v>2.9733360000000002</v>
      </c>
      <c r="GF35" s="94">
        <v>72.230810000000005</v>
      </c>
      <c r="GG35" s="94">
        <v>85.333979999999997</v>
      </c>
      <c r="GH35" s="94">
        <v>4.0074870000000002</v>
      </c>
      <c r="GI35" s="95">
        <v>12.508660000000001</v>
      </c>
      <c r="GJ35" s="38" t="s">
        <v>457</v>
      </c>
      <c r="GK35" s="93" t="s">
        <v>457</v>
      </c>
      <c r="GL35" s="94"/>
      <c r="GM35" s="94"/>
      <c r="GN35" s="94"/>
      <c r="GO35" s="94"/>
      <c r="GP35" s="94"/>
      <c r="GQ35" s="94"/>
      <c r="GR35" s="94"/>
      <c r="GS35" s="94"/>
      <c r="GT35" s="94"/>
      <c r="GU35" s="94"/>
      <c r="GV35" s="94"/>
      <c r="GW35" s="95"/>
      <c r="GX35" s="38"/>
    </row>
    <row r="36" spans="1:206" x14ac:dyDescent="0.35">
      <c r="A36" s="2"/>
      <c r="B36" s="2"/>
      <c r="C36" s="42" t="s">
        <v>444</v>
      </c>
      <c r="D36" s="43">
        <f t="shared" si="42"/>
        <v>0.24418869301902429</v>
      </c>
      <c r="E36" s="43">
        <f t="shared" si="0"/>
        <v>0.1664700494048055</v>
      </c>
      <c r="F36" s="43">
        <f t="shared" si="1"/>
        <v>2.2646827391997585E-2</v>
      </c>
      <c r="G36" s="43">
        <f t="shared" si="2"/>
        <v>8.6551801651410139E-3</v>
      </c>
      <c r="H36" s="43">
        <f t="shared" si="3"/>
        <v>1.8401586328788671E-2</v>
      </c>
      <c r="I36" s="43">
        <f t="shared" si="4"/>
        <v>3.5405889830143589E-2</v>
      </c>
      <c r="J36" s="43">
        <f t="shared" si="5"/>
        <v>2.6246360956784114E-2</v>
      </c>
      <c r="K36" s="43">
        <f t="shared" si="6"/>
        <v>1.8773569996358076E-2</v>
      </c>
      <c r="L36" s="43">
        <f t="shared" si="7"/>
        <v>1.4639833471358502E-2</v>
      </c>
      <c r="M36" s="43">
        <f t="shared" si="8"/>
        <v>7.8754759475479191E-2</v>
      </c>
      <c r="N36" s="43">
        <f t="shared" si="9"/>
        <v>0.25388554768230331</v>
      </c>
      <c r="O36" s="44">
        <f t="shared" si="10"/>
        <v>0.11193170227781618</v>
      </c>
      <c r="P36" s="115">
        <f t="shared" si="43"/>
        <v>1</v>
      </c>
      <c r="Q36" s="2"/>
      <c r="R36" s="42" t="s">
        <v>444</v>
      </c>
      <c r="S36" s="43">
        <f t="shared" si="44"/>
        <v>0.24418869301902429</v>
      </c>
      <c r="T36" s="43">
        <f t="shared" si="45"/>
        <v>0.1664700494048055</v>
      </c>
      <c r="U36" s="43">
        <f t="shared" si="46"/>
        <v>2.2646827391997585E-2</v>
      </c>
      <c r="V36" s="43">
        <f t="shared" si="47"/>
        <v>8.6551801651410139E-3</v>
      </c>
      <c r="W36" s="29">
        <f t="shared" si="48"/>
        <v>1.8401586328788671E-2</v>
      </c>
      <c r="X36" s="43">
        <f t="shared" si="49"/>
        <v>3.5405889830143589E-2</v>
      </c>
      <c r="Y36" s="43">
        <f t="shared" si="50"/>
        <v>2.6246360956784114E-2</v>
      </c>
      <c r="Z36" s="43">
        <f t="shared" si="51"/>
        <v>1.8773569996358076E-2</v>
      </c>
      <c r="AA36" s="29">
        <f t="shared" si="52"/>
        <v>1.4639833471358502E-2</v>
      </c>
      <c r="AB36" s="43">
        <f t="shared" si="53"/>
        <v>7.8754759475479191E-2</v>
      </c>
      <c r="AC36" s="43">
        <f t="shared" si="54"/>
        <v>0.25388554768230331</v>
      </c>
      <c r="AD36" s="43">
        <f t="shared" si="55"/>
        <v>0.11193170227781618</v>
      </c>
      <c r="AE36" s="32">
        <f t="shared" si="56"/>
        <v>0.27723011281917148</v>
      </c>
      <c r="AF36" s="53">
        <f t="shared" si="57"/>
        <v>0.28063069871042828</v>
      </c>
      <c r="AG36" s="53">
        <f t="shared" si="58"/>
        <v>0.30277873603108502</v>
      </c>
      <c r="AH36" s="53">
        <f t="shared" si="59"/>
        <v>0.13936045243931527</v>
      </c>
      <c r="AI36" s="34">
        <f t="shared" si="60"/>
        <v>0.44196074998096835</v>
      </c>
      <c r="AJ36" s="35">
        <f t="shared" si="61"/>
        <v>9.8827407112074453E-2</v>
      </c>
      <c r="AK36" s="34">
        <f t="shared" si="62"/>
        <v>0.44196074998096835</v>
      </c>
      <c r="AL36" s="35">
        <f t="shared" si="63"/>
        <v>9.8827407112074453E-2</v>
      </c>
      <c r="AM36" s="35">
        <f t="shared" si="64"/>
        <v>0.45921184290695716</v>
      </c>
      <c r="AN36" s="36">
        <v>1</v>
      </c>
      <c r="AO36" s="54">
        <v>1</v>
      </c>
      <c r="AP36" s="2"/>
      <c r="AQ36" s="42" t="s">
        <v>444</v>
      </c>
      <c r="AR36" s="43">
        <f t="shared" si="65"/>
        <v>0.24418869301902427</v>
      </c>
      <c r="AS36" s="43">
        <f t="shared" si="71"/>
        <v>0.16647004940480548</v>
      </c>
      <c r="AT36" s="43">
        <f t="shared" si="72"/>
        <v>2.2646827391997582E-2</v>
      </c>
      <c r="AU36" s="43">
        <f t="shared" si="73"/>
        <v>8.6551801651410121E-3</v>
      </c>
      <c r="AV36" s="29">
        <f t="shared" si="74"/>
        <v>1.8401586328788674E-2</v>
      </c>
      <c r="AW36" s="43">
        <f t="shared" si="75"/>
        <v>3.5405889830143596E-2</v>
      </c>
      <c r="AX36" s="43">
        <f t="shared" si="76"/>
        <v>2.6246360956784121E-2</v>
      </c>
      <c r="AY36" s="43">
        <f t="shared" si="77"/>
        <v>1.877356999635808E-2</v>
      </c>
      <c r="AZ36" s="29">
        <f t="shared" si="78"/>
        <v>1.4639833471358506E-2</v>
      </c>
      <c r="BA36" s="43">
        <f t="shared" si="79"/>
        <v>7.8754759475479219E-2</v>
      </c>
      <c r="BB36" s="43">
        <f t="shared" si="80"/>
        <v>0.25388554768230337</v>
      </c>
      <c r="BC36" s="44">
        <f t="shared" si="81"/>
        <v>0.11193170227781621</v>
      </c>
      <c r="BD36" s="2"/>
      <c r="BE36" s="42" t="s">
        <v>444</v>
      </c>
      <c r="BF36" s="62">
        <v>1</v>
      </c>
      <c r="BG36" s="62">
        <v>1</v>
      </c>
      <c r="BH36" s="62">
        <v>1</v>
      </c>
      <c r="BI36" s="62">
        <v>1</v>
      </c>
      <c r="BJ36" s="36">
        <v>1</v>
      </c>
      <c r="BK36" s="62">
        <v>1</v>
      </c>
      <c r="BL36" s="62">
        <v>1</v>
      </c>
      <c r="BM36" s="62">
        <v>1</v>
      </c>
      <c r="BN36" s="36">
        <v>1</v>
      </c>
      <c r="BO36" s="62">
        <v>1</v>
      </c>
      <c r="BP36" s="62">
        <v>1</v>
      </c>
      <c r="BQ36" s="54">
        <v>1</v>
      </c>
      <c r="BR36" s="2"/>
      <c r="BS36" s="42" t="s">
        <v>444</v>
      </c>
      <c r="BT36" s="67">
        <f t="shared" si="66"/>
        <v>6255.5749999999998</v>
      </c>
      <c r="BU36" s="67">
        <f t="shared" si="18"/>
        <v>4264.5950000000003</v>
      </c>
      <c r="BV36" s="67">
        <f t="shared" si="19"/>
        <v>580.1617</v>
      </c>
      <c r="BW36" s="67">
        <f t="shared" si="20"/>
        <v>221.72659999999999</v>
      </c>
      <c r="BX36" s="30">
        <f t="shared" si="21"/>
        <v>471.40800000000002</v>
      </c>
      <c r="BY36" s="67">
        <f t="shared" si="22"/>
        <v>907.02070000000003</v>
      </c>
      <c r="BZ36" s="67">
        <f t="shared" si="23"/>
        <v>672.37379999999996</v>
      </c>
      <c r="CA36" s="67">
        <f t="shared" si="24"/>
        <v>480.93740000000003</v>
      </c>
      <c r="CB36" s="30">
        <f t="shared" si="25"/>
        <v>375.04020000000003</v>
      </c>
      <c r="CC36" s="67">
        <f t="shared" si="26"/>
        <v>2017.5229999999999</v>
      </c>
      <c r="CD36" s="67">
        <f t="shared" si="27"/>
        <v>6503.9870000000001</v>
      </c>
      <c r="CE36" s="68">
        <f t="shared" si="28"/>
        <v>2867.4430000000002</v>
      </c>
      <c r="CF36" s="2"/>
      <c r="CG36" s="37" t="str">
        <f t="shared" si="67"/>
        <v>amilk</v>
      </c>
      <c r="CH36" s="42" t="s">
        <v>444</v>
      </c>
      <c r="CI36" s="67">
        <f t="shared" si="68"/>
        <v>6255.5749999999998</v>
      </c>
      <c r="CJ36" s="67">
        <f t="shared" si="82"/>
        <v>4264.5950000000003</v>
      </c>
      <c r="CK36" s="67">
        <f t="shared" si="83"/>
        <v>580.1617</v>
      </c>
      <c r="CL36" s="67">
        <f t="shared" si="84"/>
        <v>221.72659999999999</v>
      </c>
      <c r="CM36" s="30">
        <f t="shared" si="85"/>
        <v>471.40800000000002</v>
      </c>
      <c r="CN36" s="67">
        <f t="shared" si="86"/>
        <v>907.02070000000003</v>
      </c>
      <c r="CO36" s="67">
        <f t="shared" si="87"/>
        <v>672.37379999999996</v>
      </c>
      <c r="CP36" s="67">
        <f t="shared" si="88"/>
        <v>480.93740000000003</v>
      </c>
      <c r="CQ36" s="30">
        <f t="shared" si="89"/>
        <v>375.04020000000003</v>
      </c>
      <c r="CR36" s="67">
        <f t="shared" si="90"/>
        <v>2017.5229999999999</v>
      </c>
      <c r="CS36" s="67">
        <f t="shared" si="91"/>
        <v>6503.9870000000001</v>
      </c>
      <c r="CT36" s="68">
        <f t="shared" si="92"/>
        <v>2867.4430000000002</v>
      </c>
      <c r="CU36" s="2"/>
      <c r="CV36" s="42" t="s">
        <v>444</v>
      </c>
      <c r="CW36" s="67">
        <f t="shared" si="69"/>
        <v>6255.5749999999998</v>
      </c>
      <c r="CX36" s="67">
        <f t="shared" si="93"/>
        <v>4264.5950000000003</v>
      </c>
      <c r="CY36" s="67">
        <f t="shared" si="94"/>
        <v>580.1617</v>
      </c>
      <c r="CZ36" s="67">
        <f t="shared" si="95"/>
        <v>221.72659999999999</v>
      </c>
      <c r="DA36" s="30">
        <f t="shared" si="96"/>
        <v>471.40800000000002</v>
      </c>
      <c r="DB36" s="67">
        <f t="shared" si="97"/>
        <v>907.02070000000003</v>
      </c>
      <c r="DC36" s="67">
        <f t="shared" si="98"/>
        <v>672.37379999999996</v>
      </c>
      <c r="DD36" s="67">
        <f t="shared" si="99"/>
        <v>480.93740000000003</v>
      </c>
      <c r="DE36" s="30">
        <f t="shared" si="100"/>
        <v>375.04020000000003</v>
      </c>
      <c r="DF36" s="67">
        <f t="shared" si="101"/>
        <v>2017.5229999999999</v>
      </c>
      <c r="DG36" s="67">
        <f t="shared" si="102"/>
        <v>6503.9870000000001</v>
      </c>
      <c r="DH36" s="68">
        <f t="shared" si="103"/>
        <v>2867.4430000000002</v>
      </c>
      <c r="DI36" s="2"/>
      <c r="DJ36" s="37" t="s">
        <v>444</v>
      </c>
      <c r="DK36" s="76" t="s">
        <v>444</v>
      </c>
      <c r="DL36" s="67">
        <f t="shared" si="70"/>
        <v>6255.5749999999998</v>
      </c>
      <c r="DM36" s="67">
        <f t="shared" si="31"/>
        <v>4264.5950000000003</v>
      </c>
      <c r="DN36" s="67">
        <f t="shared" si="32"/>
        <v>580.1617</v>
      </c>
      <c r="DO36" s="67">
        <f t="shared" si="33"/>
        <v>221.72659999999999</v>
      </c>
      <c r="DP36" s="30">
        <f t="shared" si="34"/>
        <v>471.40800000000002</v>
      </c>
      <c r="DQ36" s="67">
        <f t="shared" si="35"/>
        <v>907.02070000000003</v>
      </c>
      <c r="DR36" s="67">
        <f t="shared" si="36"/>
        <v>672.37379999999996</v>
      </c>
      <c r="DS36" s="67">
        <f t="shared" si="37"/>
        <v>480.93740000000003</v>
      </c>
      <c r="DT36" s="30">
        <f t="shared" si="38"/>
        <v>375.04020000000003</v>
      </c>
      <c r="DU36" s="67">
        <f t="shared" si="39"/>
        <v>2017.5229999999999</v>
      </c>
      <c r="DV36" s="67">
        <f t="shared" si="40"/>
        <v>6503.9870000000001</v>
      </c>
      <c r="DW36" s="68">
        <f t="shared" si="41"/>
        <v>2867.4430000000002</v>
      </c>
      <c r="DX36" s="2"/>
      <c r="DY36" s="81" t="s">
        <v>444</v>
      </c>
      <c r="DZ36" s="82"/>
      <c r="EA36" s="82"/>
      <c r="EB36" s="82"/>
      <c r="EC36" s="82">
        <v>1</v>
      </c>
      <c r="ED36" s="84"/>
      <c r="EE36" s="2"/>
      <c r="EF36" s="38" t="s">
        <v>444</v>
      </c>
      <c r="EG36" s="93" t="s">
        <v>444</v>
      </c>
      <c r="EH36" s="94"/>
      <c r="EI36" s="94"/>
      <c r="EJ36" s="94"/>
      <c r="EK36" s="94"/>
      <c r="EL36" s="94"/>
      <c r="EM36" s="94"/>
      <c r="EN36" s="94"/>
      <c r="EO36" s="94"/>
      <c r="EP36" s="94"/>
      <c r="EQ36" s="94"/>
      <c r="ER36" s="94"/>
      <c r="ES36" s="95"/>
      <c r="ET36" s="38" t="s">
        <v>444</v>
      </c>
      <c r="EU36" s="93" t="s">
        <v>444</v>
      </c>
      <c r="EV36" s="94"/>
      <c r="EW36" s="94"/>
      <c r="EX36" s="94"/>
      <c r="EY36" s="94"/>
      <c r="EZ36" s="94"/>
      <c r="FA36" s="94"/>
      <c r="FB36" s="94"/>
      <c r="FC36" s="94"/>
      <c r="FD36" s="94"/>
      <c r="FE36" s="94"/>
      <c r="FF36" s="94"/>
      <c r="FG36" s="95"/>
      <c r="FH36" s="38" t="s">
        <v>444</v>
      </c>
      <c r="FI36" s="93" t="s">
        <v>444</v>
      </c>
      <c r="FJ36" s="94"/>
      <c r="FK36" s="94"/>
      <c r="FL36" s="94"/>
      <c r="FM36" s="94"/>
      <c r="FN36" s="94"/>
      <c r="FO36" s="94"/>
      <c r="FP36" s="94"/>
      <c r="FQ36" s="94"/>
      <c r="FR36" s="94"/>
      <c r="FS36" s="94"/>
      <c r="FT36" s="94"/>
      <c r="FU36" s="95"/>
      <c r="FV36" s="38" t="s">
        <v>444</v>
      </c>
      <c r="FW36" s="93" t="s">
        <v>444</v>
      </c>
      <c r="FX36" s="94">
        <v>6255.5749999999998</v>
      </c>
      <c r="FY36" s="94">
        <v>4264.5950000000003</v>
      </c>
      <c r="FZ36" s="94">
        <v>580.1617</v>
      </c>
      <c r="GA36" s="94">
        <v>221.72659999999999</v>
      </c>
      <c r="GB36" s="94">
        <v>471.40800000000002</v>
      </c>
      <c r="GC36" s="94">
        <v>907.02070000000003</v>
      </c>
      <c r="GD36" s="94">
        <v>672.37379999999996</v>
      </c>
      <c r="GE36" s="94">
        <v>480.93740000000003</v>
      </c>
      <c r="GF36" s="94">
        <v>375.04020000000003</v>
      </c>
      <c r="GG36" s="94">
        <v>2017.5229999999999</v>
      </c>
      <c r="GH36" s="94">
        <v>6503.9870000000001</v>
      </c>
      <c r="GI36" s="95">
        <v>2867.4430000000002</v>
      </c>
      <c r="GJ36" s="38" t="s">
        <v>444</v>
      </c>
      <c r="GK36" s="93" t="s">
        <v>444</v>
      </c>
      <c r="GL36" s="94"/>
      <c r="GM36" s="94"/>
      <c r="GN36" s="94"/>
      <c r="GO36" s="94"/>
      <c r="GP36" s="94"/>
      <c r="GQ36" s="94"/>
      <c r="GR36" s="94"/>
      <c r="GS36" s="94"/>
      <c r="GT36" s="94"/>
      <c r="GU36" s="94"/>
      <c r="GV36" s="94"/>
      <c r="GW36" s="95"/>
      <c r="GX36" s="38"/>
    </row>
    <row r="37" spans="1:206" x14ac:dyDescent="0.35">
      <c r="A37" s="2"/>
      <c r="B37" s="2"/>
      <c r="C37" s="42" t="s">
        <v>451</v>
      </c>
      <c r="D37" s="43">
        <f t="shared" si="42"/>
        <v>0.29290896872344119</v>
      </c>
      <c r="E37" s="43">
        <f t="shared" si="0"/>
        <v>0.30232267339643643</v>
      </c>
      <c r="F37" s="43">
        <f t="shared" si="1"/>
        <v>1.3736515522438531E-2</v>
      </c>
      <c r="G37" s="43">
        <f t="shared" si="2"/>
        <v>5.9268309787225771E-3</v>
      </c>
      <c r="H37" s="43">
        <f t="shared" si="3"/>
        <v>1.832561278166793E-2</v>
      </c>
      <c r="I37" s="43">
        <f t="shared" si="4"/>
        <v>9.1038584582034E-3</v>
      </c>
      <c r="J37" s="43">
        <f t="shared" si="5"/>
        <v>4.7548965206534516E-3</v>
      </c>
      <c r="K37" s="43">
        <f t="shared" si="6"/>
        <v>0.16574322780287185</v>
      </c>
      <c r="L37" s="43">
        <f t="shared" si="7"/>
        <v>8.1369039968326382E-2</v>
      </c>
      <c r="M37" s="43">
        <f t="shared" si="8"/>
        <v>1.7147724117802739E-2</v>
      </c>
      <c r="N37" s="43">
        <f t="shared" si="9"/>
        <v>8.6675452051421867E-2</v>
      </c>
      <c r="O37" s="44">
        <f t="shared" si="10"/>
        <v>1.9851996780138052E-3</v>
      </c>
      <c r="P37" s="115">
        <f t="shared" si="43"/>
        <v>1</v>
      </c>
      <c r="Q37" s="2"/>
      <c r="R37" s="42" t="s">
        <v>451</v>
      </c>
      <c r="S37" s="43">
        <f t="shared" si="44"/>
        <v>0.29290896872344119</v>
      </c>
      <c r="T37" s="43">
        <f t="shared" si="45"/>
        <v>0.30232267339643643</v>
      </c>
      <c r="U37" s="43">
        <f t="shared" si="46"/>
        <v>1.3736515522438531E-2</v>
      </c>
      <c r="V37" s="43">
        <f t="shared" si="47"/>
        <v>5.9268309787225771E-3</v>
      </c>
      <c r="W37" s="29">
        <f t="shared" si="48"/>
        <v>1.832561278166793E-2</v>
      </c>
      <c r="X37" s="43">
        <f t="shared" si="49"/>
        <v>9.1038584582034E-3</v>
      </c>
      <c r="Y37" s="43">
        <f t="shared" si="50"/>
        <v>4.7548965206534516E-3</v>
      </c>
      <c r="Z37" s="43">
        <f t="shared" si="51"/>
        <v>0.16574322780287185</v>
      </c>
      <c r="AA37" s="29">
        <f t="shared" si="52"/>
        <v>8.1369039968326382E-2</v>
      </c>
      <c r="AB37" s="43">
        <f t="shared" si="53"/>
        <v>1.7147724117802739E-2</v>
      </c>
      <c r="AC37" s="43">
        <f t="shared" si="54"/>
        <v>8.6675452051421867E-2</v>
      </c>
      <c r="AD37" s="43">
        <f t="shared" si="55"/>
        <v>1.9851996780138052E-3</v>
      </c>
      <c r="AE37" s="32">
        <f t="shared" si="56"/>
        <v>0.39260362147343553</v>
      </c>
      <c r="AF37" s="53">
        <f t="shared" si="57"/>
        <v>0.32857425597244255</v>
      </c>
      <c r="AG37" s="53">
        <f t="shared" si="58"/>
        <v>0.10516686409451385</v>
      </c>
      <c r="AH37" s="53">
        <f t="shared" si="59"/>
        <v>0.17365525845960822</v>
      </c>
      <c r="AI37" s="34">
        <f t="shared" si="60"/>
        <v>0.61489498862103864</v>
      </c>
      <c r="AJ37" s="35">
        <f t="shared" si="61"/>
        <v>0.19792759556339662</v>
      </c>
      <c r="AK37" s="34">
        <f t="shared" si="62"/>
        <v>0.61489498862103864</v>
      </c>
      <c r="AL37" s="35">
        <f t="shared" si="63"/>
        <v>0.19792759556339662</v>
      </c>
      <c r="AM37" s="35">
        <f t="shared" si="64"/>
        <v>0.1871774158155648</v>
      </c>
      <c r="AN37" s="36">
        <v>1</v>
      </c>
      <c r="AO37" s="54">
        <v>1</v>
      </c>
      <c r="AP37" s="2"/>
      <c r="AQ37" s="42" t="s">
        <v>451</v>
      </c>
      <c r="AR37" s="43">
        <f t="shared" si="65"/>
        <v>0.29290896872344108</v>
      </c>
      <c r="AS37" s="43">
        <f t="shared" si="71"/>
        <v>0.30232267339643631</v>
      </c>
      <c r="AT37" s="43">
        <f t="shared" si="72"/>
        <v>1.3736515522438524E-2</v>
      </c>
      <c r="AU37" s="43">
        <f t="shared" si="73"/>
        <v>5.9268309787225753E-3</v>
      </c>
      <c r="AV37" s="29">
        <f t="shared" si="74"/>
        <v>1.832561278166793E-2</v>
      </c>
      <c r="AW37" s="43">
        <f t="shared" si="75"/>
        <v>9.1038584582034E-3</v>
      </c>
      <c r="AX37" s="43">
        <f t="shared" si="76"/>
        <v>4.7548965206534516E-3</v>
      </c>
      <c r="AY37" s="43">
        <f t="shared" si="77"/>
        <v>0.16574322780287185</v>
      </c>
      <c r="AZ37" s="29">
        <f t="shared" si="78"/>
        <v>8.1369039968326395E-2</v>
      </c>
      <c r="BA37" s="43">
        <f t="shared" si="79"/>
        <v>1.7147724117802739E-2</v>
      </c>
      <c r="BB37" s="43">
        <f t="shared" si="80"/>
        <v>8.6675452051421881E-2</v>
      </c>
      <c r="BC37" s="44">
        <f t="shared" si="81"/>
        <v>1.9851996780138052E-3</v>
      </c>
      <c r="BD37" s="2"/>
      <c r="BE37" s="42" t="s">
        <v>451</v>
      </c>
      <c r="BF37" s="62">
        <v>1</v>
      </c>
      <c r="BG37" s="62">
        <v>1</v>
      </c>
      <c r="BH37" s="62">
        <v>1</v>
      </c>
      <c r="BI37" s="62">
        <v>1</v>
      </c>
      <c r="BJ37" s="36">
        <v>1</v>
      </c>
      <c r="BK37" s="62">
        <v>1</v>
      </c>
      <c r="BL37" s="62">
        <v>1</v>
      </c>
      <c r="BM37" s="62">
        <v>1</v>
      </c>
      <c r="BN37" s="36">
        <v>1</v>
      </c>
      <c r="BO37" s="62">
        <v>1</v>
      </c>
      <c r="BP37" s="62">
        <v>1</v>
      </c>
      <c r="BQ37" s="54">
        <v>1</v>
      </c>
      <c r="BR37" s="2"/>
      <c r="BS37" s="42" t="s">
        <v>451</v>
      </c>
      <c r="BT37" s="67">
        <f t="shared" si="66"/>
        <v>520.12419999999997</v>
      </c>
      <c r="BU37" s="67">
        <f t="shared" si="18"/>
        <v>536.84029999999996</v>
      </c>
      <c r="BV37" s="67">
        <f t="shared" si="19"/>
        <v>24.392199999999999</v>
      </c>
      <c r="BW37" s="67">
        <f t="shared" si="20"/>
        <v>10.52439</v>
      </c>
      <c r="BX37" s="30">
        <f t="shared" si="21"/>
        <v>32.541150000000002</v>
      </c>
      <c r="BY37" s="67">
        <f t="shared" si="22"/>
        <v>16.165900000000001</v>
      </c>
      <c r="BZ37" s="67">
        <f t="shared" si="23"/>
        <v>8.4433629999999997</v>
      </c>
      <c r="CA37" s="67">
        <f t="shared" si="24"/>
        <v>294.31349999999998</v>
      </c>
      <c r="CB37" s="30">
        <f t="shared" si="25"/>
        <v>144.48859999999999</v>
      </c>
      <c r="CC37" s="67">
        <f t="shared" si="26"/>
        <v>30.449549999999999</v>
      </c>
      <c r="CD37" s="67">
        <f t="shared" si="27"/>
        <v>153.91130000000001</v>
      </c>
      <c r="CE37" s="68">
        <f t="shared" si="28"/>
        <v>3.5251579999999998</v>
      </c>
      <c r="CF37" s="2"/>
      <c r="CG37" s="37" t="str">
        <f t="shared" si="67"/>
        <v>aeggs</v>
      </c>
      <c r="CH37" s="42" t="s">
        <v>451</v>
      </c>
      <c r="CI37" s="67">
        <f t="shared" si="68"/>
        <v>520.12419999999997</v>
      </c>
      <c r="CJ37" s="67">
        <f t="shared" si="82"/>
        <v>536.84029999999996</v>
      </c>
      <c r="CK37" s="67">
        <f t="shared" si="83"/>
        <v>24.392199999999999</v>
      </c>
      <c r="CL37" s="67">
        <f t="shared" si="84"/>
        <v>10.52439</v>
      </c>
      <c r="CM37" s="30">
        <f t="shared" si="85"/>
        <v>32.541150000000002</v>
      </c>
      <c r="CN37" s="67">
        <f t="shared" si="86"/>
        <v>16.165900000000001</v>
      </c>
      <c r="CO37" s="67">
        <f t="shared" si="87"/>
        <v>8.4433629999999997</v>
      </c>
      <c r="CP37" s="67">
        <f t="shared" si="88"/>
        <v>294.31349999999998</v>
      </c>
      <c r="CQ37" s="30">
        <f t="shared" si="89"/>
        <v>144.48859999999999</v>
      </c>
      <c r="CR37" s="67">
        <f t="shared" si="90"/>
        <v>30.449549999999999</v>
      </c>
      <c r="CS37" s="67">
        <f t="shared" si="91"/>
        <v>153.91130000000001</v>
      </c>
      <c r="CT37" s="68">
        <f t="shared" si="92"/>
        <v>3.5251579999999998</v>
      </c>
      <c r="CU37" s="2"/>
      <c r="CV37" s="42" t="s">
        <v>451</v>
      </c>
      <c r="CW37" s="67">
        <f t="shared" si="69"/>
        <v>520.12419999999997</v>
      </c>
      <c r="CX37" s="67">
        <f t="shared" si="93"/>
        <v>536.84029999999996</v>
      </c>
      <c r="CY37" s="67">
        <f t="shared" si="94"/>
        <v>24.392199999999999</v>
      </c>
      <c r="CZ37" s="67">
        <f t="shared" si="95"/>
        <v>10.52439</v>
      </c>
      <c r="DA37" s="30">
        <f t="shared" si="96"/>
        <v>32.541150000000002</v>
      </c>
      <c r="DB37" s="67">
        <f t="shared" si="97"/>
        <v>16.165900000000001</v>
      </c>
      <c r="DC37" s="67">
        <f t="shared" si="98"/>
        <v>8.4433629999999997</v>
      </c>
      <c r="DD37" s="67">
        <f t="shared" si="99"/>
        <v>294.31349999999998</v>
      </c>
      <c r="DE37" s="30">
        <f t="shared" si="100"/>
        <v>144.48859999999999</v>
      </c>
      <c r="DF37" s="67">
        <f t="shared" si="101"/>
        <v>30.449549999999999</v>
      </c>
      <c r="DG37" s="67">
        <f t="shared" si="102"/>
        <v>153.91130000000001</v>
      </c>
      <c r="DH37" s="68">
        <f t="shared" si="103"/>
        <v>3.5251579999999998</v>
      </c>
      <c r="DI37" s="2"/>
      <c r="DJ37" s="37" t="s">
        <v>451</v>
      </c>
      <c r="DK37" s="76" t="s">
        <v>451</v>
      </c>
      <c r="DL37" s="67">
        <f t="shared" si="70"/>
        <v>520.12419999999997</v>
      </c>
      <c r="DM37" s="67">
        <f t="shared" si="31"/>
        <v>536.84029999999996</v>
      </c>
      <c r="DN37" s="67">
        <f t="shared" si="32"/>
        <v>24.392199999999999</v>
      </c>
      <c r="DO37" s="67">
        <f t="shared" si="33"/>
        <v>10.52439</v>
      </c>
      <c r="DP37" s="30">
        <f t="shared" si="34"/>
        <v>32.541150000000002</v>
      </c>
      <c r="DQ37" s="67">
        <f t="shared" si="35"/>
        <v>16.165900000000001</v>
      </c>
      <c r="DR37" s="67">
        <f t="shared" si="36"/>
        <v>8.4433629999999997</v>
      </c>
      <c r="DS37" s="67">
        <f t="shared" si="37"/>
        <v>294.31349999999998</v>
      </c>
      <c r="DT37" s="30">
        <f t="shared" si="38"/>
        <v>144.48859999999999</v>
      </c>
      <c r="DU37" s="67">
        <f t="shared" si="39"/>
        <v>30.449549999999999</v>
      </c>
      <c r="DV37" s="67">
        <f t="shared" si="40"/>
        <v>153.91130000000001</v>
      </c>
      <c r="DW37" s="68">
        <f t="shared" si="41"/>
        <v>3.5251579999999998</v>
      </c>
      <c r="DX37" s="2"/>
      <c r="DY37" s="81" t="s">
        <v>451</v>
      </c>
      <c r="DZ37" s="82"/>
      <c r="EA37" s="82"/>
      <c r="EB37" s="82"/>
      <c r="EC37" s="82">
        <v>1</v>
      </c>
      <c r="ED37" s="84"/>
      <c r="EE37" s="2"/>
      <c r="EF37" s="38" t="s">
        <v>451</v>
      </c>
      <c r="EG37" s="93" t="s">
        <v>451</v>
      </c>
      <c r="EH37" s="94"/>
      <c r="EI37" s="94"/>
      <c r="EJ37" s="94"/>
      <c r="EK37" s="94"/>
      <c r="EL37" s="94"/>
      <c r="EM37" s="94"/>
      <c r="EN37" s="94"/>
      <c r="EO37" s="94"/>
      <c r="EP37" s="94"/>
      <c r="EQ37" s="94"/>
      <c r="ER37" s="94"/>
      <c r="ES37" s="95"/>
      <c r="ET37" s="38" t="s">
        <v>451</v>
      </c>
      <c r="EU37" s="93" t="s">
        <v>451</v>
      </c>
      <c r="EV37" s="94"/>
      <c r="EW37" s="94"/>
      <c r="EX37" s="94"/>
      <c r="EY37" s="94"/>
      <c r="EZ37" s="94"/>
      <c r="FA37" s="94"/>
      <c r="FB37" s="94"/>
      <c r="FC37" s="94"/>
      <c r="FD37" s="94"/>
      <c r="FE37" s="94"/>
      <c r="FF37" s="94"/>
      <c r="FG37" s="95"/>
      <c r="FH37" s="38" t="s">
        <v>451</v>
      </c>
      <c r="FI37" s="93" t="s">
        <v>451</v>
      </c>
      <c r="FJ37" s="94"/>
      <c r="FK37" s="94"/>
      <c r="FL37" s="94"/>
      <c r="FM37" s="94"/>
      <c r="FN37" s="94"/>
      <c r="FO37" s="94"/>
      <c r="FP37" s="94"/>
      <c r="FQ37" s="94"/>
      <c r="FR37" s="94"/>
      <c r="FS37" s="94"/>
      <c r="FT37" s="94"/>
      <c r="FU37" s="95"/>
      <c r="FV37" s="38" t="s">
        <v>451</v>
      </c>
      <c r="FW37" s="93" t="s">
        <v>451</v>
      </c>
      <c r="FX37" s="94">
        <v>520.12419999999997</v>
      </c>
      <c r="FY37" s="94">
        <v>536.84029999999996</v>
      </c>
      <c r="FZ37" s="94">
        <v>24.392199999999999</v>
      </c>
      <c r="GA37" s="94">
        <v>10.52439</v>
      </c>
      <c r="GB37" s="94">
        <v>32.541150000000002</v>
      </c>
      <c r="GC37" s="94">
        <v>16.165900000000001</v>
      </c>
      <c r="GD37" s="94">
        <v>8.4433629999999997</v>
      </c>
      <c r="GE37" s="94">
        <v>294.31349999999998</v>
      </c>
      <c r="GF37" s="94">
        <v>144.48859999999999</v>
      </c>
      <c r="GG37" s="94">
        <v>30.449549999999999</v>
      </c>
      <c r="GH37" s="94">
        <v>153.91130000000001</v>
      </c>
      <c r="GI37" s="95">
        <v>3.5251579999999998</v>
      </c>
      <c r="GJ37" s="38" t="s">
        <v>451</v>
      </c>
      <c r="GK37" s="93" t="s">
        <v>451</v>
      </c>
      <c r="GL37" s="94"/>
      <c r="GM37" s="94"/>
      <c r="GN37" s="94"/>
      <c r="GO37" s="94"/>
      <c r="GP37" s="94"/>
      <c r="GQ37" s="94"/>
      <c r="GR37" s="94"/>
      <c r="GS37" s="94"/>
      <c r="GT37" s="94"/>
      <c r="GU37" s="94"/>
      <c r="GV37" s="94"/>
      <c r="GW37" s="95"/>
      <c r="GX37" s="38"/>
    </row>
    <row r="38" spans="1:206" x14ac:dyDescent="0.35">
      <c r="A38" s="2"/>
      <c r="B38" s="2"/>
      <c r="C38" s="42" t="s">
        <v>522</v>
      </c>
      <c r="D38" s="43">
        <f t="shared" si="42"/>
        <v>0.46424309375190365</v>
      </c>
      <c r="E38" s="43">
        <f t="shared" si="0"/>
        <v>0.33740267800216517</v>
      </c>
      <c r="F38" s="43">
        <f t="shared" si="1"/>
        <v>2.8309221270012216E-2</v>
      </c>
      <c r="G38" s="43">
        <f t="shared" si="2"/>
        <v>1.3056696768941294E-2</v>
      </c>
      <c r="H38" s="43">
        <f t="shared" si="3"/>
        <v>1.9186691357804073E-2</v>
      </c>
      <c r="I38" s="43">
        <f t="shared" si="4"/>
        <v>2.5654027384555422E-2</v>
      </c>
      <c r="J38" s="43">
        <f t="shared" si="5"/>
        <v>4.8424420929520252E-3</v>
      </c>
      <c r="K38" s="43">
        <f t="shared" si="6"/>
        <v>3.9265540413051117E-3</v>
      </c>
      <c r="L38" s="43">
        <f t="shared" si="7"/>
        <v>2.6185923471624822E-2</v>
      </c>
      <c r="M38" s="43">
        <f t="shared" si="8"/>
        <v>4.3933203244014001E-2</v>
      </c>
      <c r="N38" s="43">
        <f t="shared" si="9"/>
        <v>4.2688214873209847E-3</v>
      </c>
      <c r="O38" s="44">
        <f t="shared" si="10"/>
        <v>2.8990647127401275E-2</v>
      </c>
      <c r="P38" s="115">
        <f t="shared" si="43"/>
        <v>1</v>
      </c>
      <c r="Q38" s="2"/>
      <c r="R38" s="42" t="s">
        <v>522</v>
      </c>
      <c r="S38" s="43">
        <f t="shared" si="44"/>
        <v>0.46424309375190365</v>
      </c>
      <c r="T38" s="43">
        <f t="shared" si="45"/>
        <v>0.33740267800216517</v>
      </c>
      <c r="U38" s="43">
        <f t="shared" si="46"/>
        <v>2.8309221270012216E-2</v>
      </c>
      <c r="V38" s="43">
        <f t="shared" si="47"/>
        <v>1.3056696768941294E-2</v>
      </c>
      <c r="W38" s="29">
        <f t="shared" si="48"/>
        <v>1.9186691357804073E-2</v>
      </c>
      <c r="X38" s="43">
        <f t="shared" si="49"/>
        <v>2.5654027384555422E-2</v>
      </c>
      <c r="Y38" s="43">
        <f t="shared" si="50"/>
        <v>4.8424420929520252E-3</v>
      </c>
      <c r="Z38" s="43">
        <f t="shared" si="51"/>
        <v>3.9265540413051117E-3</v>
      </c>
      <c r="AA38" s="29">
        <f t="shared" si="52"/>
        <v>2.6185923471624822E-2</v>
      </c>
      <c r="AB38" s="43">
        <f t="shared" si="53"/>
        <v>4.3933203244014001E-2</v>
      </c>
      <c r="AC38" s="43">
        <f t="shared" si="54"/>
        <v>4.2688214873209847E-3</v>
      </c>
      <c r="AD38" s="43">
        <f t="shared" si="55"/>
        <v>2.8990647127401275E-2</v>
      </c>
      <c r="AE38" s="32">
        <f t="shared" si="56"/>
        <v>0.50961570858133254</v>
      </c>
      <c r="AF38" s="53">
        <f t="shared" si="57"/>
        <v>0.40698990863073459</v>
      </c>
      <c r="AG38" s="53">
        <f t="shared" si="58"/>
        <v>3.7420484850285221E-2</v>
      </c>
      <c r="AH38" s="53">
        <f t="shared" si="59"/>
        <v>4.5973897937647681E-2</v>
      </c>
      <c r="AI38" s="34">
        <f t="shared" si="60"/>
        <v>0</v>
      </c>
      <c r="AJ38" s="35">
        <f t="shared" si="61"/>
        <v>0</v>
      </c>
      <c r="AK38" s="34">
        <f>AK35</f>
        <v>0.84301168979302232</v>
      </c>
      <c r="AL38" s="35">
        <f t="shared" ref="AL38" si="104">AL35</f>
        <v>5.3609714876616629E-2</v>
      </c>
      <c r="AM38" s="35">
        <f t="shared" si="64"/>
        <v>0.10337859533036109</v>
      </c>
      <c r="AN38" s="36">
        <v>1</v>
      </c>
      <c r="AO38" s="54">
        <v>1</v>
      </c>
      <c r="AP38" s="2"/>
      <c r="AQ38" s="42" t="s">
        <v>522</v>
      </c>
      <c r="AR38" s="43">
        <f t="shared" si="65"/>
        <v>0.47805839364526825</v>
      </c>
      <c r="AS38" s="43">
        <f t="shared" si="71"/>
        <v>0.34744336410855947</v>
      </c>
      <c r="AT38" s="43">
        <f t="shared" si="72"/>
        <v>2.9151668657720356E-2</v>
      </c>
      <c r="AU38" s="43">
        <f t="shared" si="73"/>
        <v>1.3445247904989096E-2</v>
      </c>
      <c r="AV38" s="29">
        <f t="shared" si="74"/>
        <v>1.9434952479717639E-2</v>
      </c>
      <c r="AW38" s="43">
        <f t="shared" si="75"/>
        <v>2.5985970891714644E-2</v>
      </c>
      <c r="AX38" s="43">
        <f t="shared" si="76"/>
        <v>4.9050995925895933E-3</v>
      </c>
      <c r="AY38" s="43">
        <f t="shared" si="77"/>
        <v>3.9773606495613154E-3</v>
      </c>
      <c r="AZ38" s="29">
        <f t="shared" si="78"/>
        <v>1.9655652759683766E-2</v>
      </c>
      <c r="BA38" s="43">
        <f t="shared" si="79"/>
        <v>3.2977098879887992E-2</v>
      </c>
      <c r="BB38" s="43">
        <f t="shared" si="80"/>
        <v>3.204258690314263E-3</v>
      </c>
      <c r="BC38" s="44">
        <f t="shared" si="81"/>
        <v>2.1760931739993567E-2</v>
      </c>
      <c r="BD38" s="2"/>
      <c r="BE38" s="42" t="s">
        <v>522</v>
      </c>
      <c r="BF38" s="62">
        <v>1</v>
      </c>
      <c r="BG38" s="62">
        <v>1</v>
      </c>
      <c r="BH38" s="62">
        <v>1</v>
      </c>
      <c r="BI38" s="62">
        <v>1</v>
      </c>
      <c r="BJ38" s="36">
        <v>1</v>
      </c>
      <c r="BK38" s="62">
        <v>1</v>
      </c>
      <c r="BL38" s="62">
        <v>1</v>
      </c>
      <c r="BM38" s="62">
        <v>1</v>
      </c>
      <c r="BN38" s="36">
        <v>1</v>
      </c>
      <c r="BO38" s="62">
        <v>1</v>
      </c>
      <c r="BP38" s="62">
        <v>1</v>
      </c>
      <c r="BQ38" s="54">
        <v>1</v>
      </c>
      <c r="BR38" s="2"/>
      <c r="BS38" s="42" t="s">
        <v>522</v>
      </c>
      <c r="BT38" s="67">
        <f t="shared" si="66"/>
        <v>24000.981100000005</v>
      </c>
      <c r="BU38" s="67">
        <f t="shared" si="18"/>
        <v>17443.437300000001</v>
      </c>
      <c r="BV38" s="67">
        <f t="shared" si="19"/>
        <v>1463.56315</v>
      </c>
      <c r="BW38" s="67">
        <f t="shared" si="20"/>
        <v>675.02034299999991</v>
      </c>
      <c r="BX38" s="30">
        <f t="shared" si="21"/>
        <v>975.73420599999997</v>
      </c>
      <c r="BY38" s="67">
        <f t="shared" si="22"/>
        <v>1304.6289000000002</v>
      </c>
      <c r="BZ38" s="67">
        <f t="shared" si="23"/>
        <v>246.261135</v>
      </c>
      <c r="CA38" s="67">
        <f t="shared" si="24"/>
        <v>199.683886</v>
      </c>
      <c r="CB38" s="30">
        <f t="shared" si="25"/>
        <v>986.81449099999998</v>
      </c>
      <c r="CC38" s="67">
        <f t="shared" si="26"/>
        <v>1655.6193499999997</v>
      </c>
      <c r="CD38" s="67">
        <f t="shared" si="27"/>
        <v>160.870206</v>
      </c>
      <c r="CE38" s="68">
        <f t="shared" si="28"/>
        <v>1092.510284</v>
      </c>
      <c r="CF38" s="2"/>
      <c r="CG38" s="37" t="str">
        <f t="shared" si="67"/>
        <v>asmlr</v>
      </c>
      <c r="CH38" s="42" t="s">
        <v>522</v>
      </c>
      <c r="CI38" s="67">
        <f t="shared" si="68"/>
        <v>24000.981100000005</v>
      </c>
      <c r="CJ38" s="67">
        <f t="shared" si="82"/>
        <v>17443.437300000001</v>
      </c>
      <c r="CK38" s="67">
        <f t="shared" si="83"/>
        <v>1463.56315</v>
      </c>
      <c r="CL38" s="67">
        <f t="shared" si="84"/>
        <v>675.02034299999991</v>
      </c>
      <c r="CM38" s="30">
        <f t="shared" si="85"/>
        <v>975.73420599999997</v>
      </c>
      <c r="CN38" s="67">
        <f t="shared" si="86"/>
        <v>1304.6289000000002</v>
      </c>
      <c r="CO38" s="67">
        <f t="shared" si="87"/>
        <v>246.261135</v>
      </c>
      <c r="CP38" s="67">
        <f t="shared" si="88"/>
        <v>199.683886</v>
      </c>
      <c r="CQ38" s="30">
        <f t="shared" si="89"/>
        <v>986.81449099999998</v>
      </c>
      <c r="CR38" s="67">
        <f t="shared" si="90"/>
        <v>1655.6193499999997</v>
      </c>
      <c r="CS38" s="67">
        <f t="shared" si="91"/>
        <v>160.870206</v>
      </c>
      <c r="CT38" s="68">
        <f t="shared" si="92"/>
        <v>1092.510284</v>
      </c>
      <c r="CU38" s="2"/>
      <c r="CV38" s="42" t="s">
        <v>522</v>
      </c>
      <c r="CW38" s="67">
        <f t="shared" si="69"/>
        <v>0</v>
      </c>
      <c r="CX38" s="67">
        <f t="shared" si="93"/>
        <v>0</v>
      </c>
      <c r="CY38" s="67">
        <f t="shared" si="94"/>
        <v>0</v>
      </c>
      <c r="CZ38" s="67">
        <f t="shared" si="95"/>
        <v>0</v>
      </c>
      <c r="DA38" s="30">
        <f t="shared" si="96"/>
        <v>0</v>
      </c>
      <c r="DB38" s="67">
        <f t="shared" si="97"/>
        <v>0</v>
      </c>
      <c r="DC38" s="67">
        <f t="shared" si="98"/>
        <v>0</v>
      </c>
      <c r="DD38" s="67">
        <f t="shared" si="99"/>
        <v>0</v>
      </c>
      <c r="DE38" s="30">
        <f t="shared" si="100"/>
        <v>0</v>
      </c>
      <c r="DF38" s="67">
        <f t="shared" si="101"/>
        <v>0</v>
      </c>
      <c r="DG38" s="67">
        <f t="shared" si="102"/>
        <v>0</v>
      </c>
      <c r="DH38" s="68">
        <f t="shared" si="103"/>
        <v>0</v>
      </c>
      <c r="DI38" s="2"/>
      <c r="DJ38" s="37" t="s">
        <v>455</v>
      </c>
      <c r="DK38" s="76" t="s">
        <v>522</v>
      </c>
      <c r="DL38" s="67">
        <f t="shared" si="70"/>
        <v>0</v>
      </c>
      <c r="DM38" s="67">
        <f t="shared" si="31"/>
        <v>0</v>
      </c>
      <c r="DN38" s="67">
        <f t="shared" si="32"/>
        <v>0</v>
      </c>
      <c r="DO38" s="67">
        <f t="shared" si="33"/>
        <v>0</v>
      </c>
      <c r="DP38" s="30">
        <f t="shared" si="34"/>
        <v>0</v>
      </c>
      <c r="DQ38" s="67">
        <f t="shared" si="35"/>
        <v>0</v>
      </c>
      <c r="DR38" s="67">
        <f t="shared" si="36"/>
        <v>0</v>
      </c>
      <c r="DS38" s="67">
        <f t="shared" si="37"/>
        <v>0</v>
      </c>
      <c r="DT38" s="30">
        <f t="shared" si="38"/>
        <v>0</v>
      </c>
      <c r="DU38" s="67">
        <f t="shared" si="39"/>
        <v>0</v>
      </c>
      <c r="DV38" s="67">
        <f t="shared" si="40"/>
        <v>0</v>
      </c>
      <c r="DW38" s="68">
        <f t="shared" si="41"/>
        <v>0</v>
      </c>
      <c r="DX38" s="2"/>
      <c r="DY38" s="81" t="s">
        <v>522</v>
      </c>
      <c r="DZ38" s="82"/>
      <c r="EA38" s="82"/>
      <c r="EB38" s="82"/>
      <c r="EC38" s="82">
        <v>1</v>
      </c>
      <c r="ED38" s="84"/>
      <c r="EE38" s="2"/>
      <c r="EF38" s="38" t="s">
        <v>522</v>
      </c>
      <c r="EG38" s="93" t="s">
        <v>522</v>
      </c>
      <c r="EH38" s="94"/>
      <c r="EI38" s="94"/>
      <c r="EJ38" s="94"/>
      <c r="EK38" s="94"/>
      <c r="EL38" s="94"/>
      <c r="EM38" s="94"/>
      <c r="EN38" s="94"/>
      <c r="EO38" s="94"/>
      <c r="EP38" s="94"/>
      <c r="EQ38" s="94"/>
      <c r="ER38" s="94"/>
      <c r="ES38" s="95"/>
      <c r="ET38" s="38" t="s">
        <v>522</v>
      </c>
      <c r="EU38" s="93" t="s">
        <v>522</v>
      </c>
      <c r="EV38" s="94"/>
      <c r="EW38" s="94"/>
      <c r="EX38" s="94"/>
      <c r="EY38" s="94"/>
      <c r="EZ38" s="94"/>
      <c r="FA38" s="94"/>
      <c r="FB38" s="94"/>
      <c r="FC38" s="94"/>
      <c r="FD38" s="94"/>
      <c r="FE38" s="94"/>
      <c r="FF38" s="94"/>
      <c r="FG38" s="95"/>
      <c r="FH38" s="38" t="s">
        <v>522</v>
      </c>
      <c r="FI38" s="93" t="s">
        <v>522</v>
      </c>
      <c r="FJ38" s="94"/>
      <c r="FK38" s="94"/>
      <c r="FL38" s="94"/>
      <c r="FM38" s="94"/>
      <c r="FN38" s="94"/>
      <c r="FO38" s="94"/>
      <c r="FP38" s="94"/>
      <c r="FQ38" s="94"/>
      <c r="FR38" s="94"/>
      <c r="FS38" s="94"/>
      <c r="FT38" s="94"/>
      <c r="FU38" s="95"/>
      <c r="FV38" s="38" t="s">
        <v>522</v>
      </c>
      <c r="FW38" s="93" t="s">
        <v>522</v>
      </c>
      <c r="FX38" s="94"/>
      <c r="FY38" s="94"/>
      <c r="FZ38" s="94"/>
      <c r="GA38" s="94"/>
      <c r="GB38" s="94"/>
      <c r="GC38" s="94"/>
      <c r="GD38" s="94"/>
      <c r="GE38" s="94"/>
      <c r="GF38" s="94"/>
      <c r="GG38" s="94"/>
      <c r="GH38" s="94"/>
      <c r="GI38" s="95"/>
      <c r="GJ38" s="38" t="s">
        <v>522</v>
      </c>
      <c r="GK38" s="93" t="s">
        <v>522</v>
      </c>
      <c r="GL38" s="94"/>
      <c r="GM38" s="94"/>
      <c r="GN38" s="94"/>
      <c r="GO38" s="94"/>
      <c r="GP38" s="94"/>
      <c r="GQ38" s="94"/>
      <c r="GR38" s="94"/>
      <c r="GS38" s="94"/>
      <c r="GT38" s="94"/>
      <c r="GU38" s="94"/>
      <c r="GV38" s="94"/>
      <c r="GW38" s="95"/>
      <c r="GX38" s="38"/>
    </row>
    <row r="39" spans="1:206" x14ac:dyDescent="0.35">
      <c r="A39" s="2"/>
      <c r="B39" s="2"/>
      <c r="C39" s="42" t="s">
        <v>523</v>
      </c>
      <c r="D39" s="43">
        <f t="shared" si="42"/>
        <v>0.45475929778977742</v>
      </c>
      <c r="E39" s="43">
        <f t="shared" si="0"/>
        <v>0.33051004309103055</v>
      </c>
      <c r="F39" s="43">
        <f t="shared" si="1"/>
        <v>2.7730905982213973E-2</v>
      </c>
      <c r="G39" s="43">
        <f t="shared" si="2"/>
        <v>1.2789967872458953E-2</v>
      </c>
      <c r="H39" s="43">
        <f t="shared" si="3"/>
        <v>4.2360640528737968E-2</v>
      </c>
      <c r="I39" s="43">
        <f t="shared" si="4"/>
        <v>5.6639313776709846E-2</v>
      </c>
      <c r="J39" s="43">
        <f t="shared" si="5"/>
        <v>1.0691210118274784E-2</v>
      </c>
      <c r="K39" s="43">
        <f t="shared" si="6"/>
        <v>8.6690999067296111E-3</v>
      </c>
      <c r="L39" s="43">
        <f t="shared" si="7"/>
        <v>1.4146751331190454E-2</v>
      </c>
      <c r="M39" s="43">
        <f t="shared" si="8"/>
        <v>2.3734587865468594E-2</v>
      </c>
      <c r="N39" s="43">
        <f t="shared" si="9"/>
        <v>2.3061992113362494E-3</v>
      </c>
      <c r="O39" s="44">
        <f t="shared" si="10"/>
        <v>1.5661982526071622E-2</v>
      </c>
      <c r="P39" s="115">
        <f t="shared" si="43"/>
        <v>1</v>
      </c>
      <c r="Q39" s="2"/>
      <c r="R39" s="42" t="s">
        <v>523</v>
      </c>
      <c r="S39" s="43">
        <f t="shared" si="44"/>
        <v>0.45475929778977742</v>
      </c>
      <c r="T39" s="43">
        <f t="shared" si="45"/>
        <v>0.33051004309103055</v>
      </c>
      <c r="U39" s="43">
        <f t="shared" si="46"/>
        <v>2.7730905982213973E-2</v>
      </c>
      <c r="V39" s="43">
        <f t="shared" si="47"/>
        <v>1.2789967872458953E-2</v>
      </c>
      <c r="W39" s="29">
        <f t="shared" si="48"/>
        <v>4.2360640528737968E-2</v>
      </c>
      <c r="X39" s="43">
        <f t="shared" si="49"/>
        <v>5.6639313776709846E-2</v>
      </c>
      <c r="Y39" s="43">
        <f t="shared" si="50"/>
        <v>1.0691210118274784E-2</v>
      </c>
      <c r="Z39" s="43">
        <f t="shared" si="51"/>
        <v>8.6690999067296111E-3</v>
      </c>
      <c r="AA39" s="29">
        <f t="shared" si="52"/>
        <v>1.4146751331190454E-2</v>
      </c>
      <c r="AB39" s="43">
        <f t="shared" si="53"/>
        <v>2.3734587865468594E-2</v>
      </c>
      <c r="AC39" s="43">
        <f t="shared" si="54"/>
        <v>2.3061992113362494E-3</v>
      </c>
      <c r="AD39" s="43">
        <f t="shared" si="55"/>
        <v>1.5661982526071622E-2</v>
      </c>
      <c r="AE39" s="32">
        <f t="shared" si="56"/>
        <v>0.51126668964970579</v>
      </c>
      <c r="AF39" s="53">
        <f t="shared" si="57"/>
        <v>0.41088394473320899</v>
      </c>
      <c r="AG39" s="53">
        <f t="shared" si="58"/>
        <v>4.0728315311825004E-2</v>
      </c>
      <c r="AH39" s="53">
        <f t="shared" si="59"/>
        <v>3.7121050305260188E-2</v>
      </c>
      <c r="AI39" s="34">
        <f t="shared" si="60"/>
        <v>0.82579021473548087</v>
      </c>
      <c r="AJ39" s="35">
        <f t="shared" si="61"/>
        <v>0.1183602643304522</v>
      </c>
      <c r="AK39" s="34">
        <f t="shared" si="62"/>
        <v>0.82579021473548087</v>
      </c>
      <c r="AL39" s="35">
        <f t="shared" si="63"/>
        <v>0.1183602643304522</v>
      </c>
      <c r="AM39" s="35">
        <f t="shared" si="64"/>
        <v>5.5849520934066921E-2</v>
      </c>
      <c r="AN39" s="36">
        <v>1</v>
      </c>
      <c r="AO39" s="54">
        <v>1</v>
      </c>
      <c r="AP39" s="2"/>
      <c r="AQ39" s="42" t="s">
        <v>523</v>
      </c>
      <c r="AR39" s="43">
        <f t="shared" si="65"/>
        <v>0.47805839364526825</v>
      </c>
      <c r="AS39" s="43">
        <f t="shared" si="71"/>
        <v>0.34744336410855947</v>
      </c>
      <c r="AT39" s="43">
        <f t="shared" si="72"/>
        <v>2.9151668657720356E-2</v>
      </c>
      <c r="AU39" s="43">
        <f t="shared" si="73"/>
        <v>1.3445247904989096E-2</v>
      </c>
      <c r="AV39" s="29">
        <f t="shared" si="74"/>
        <v>1.9434952479717639E-2</v>
      </c>
      <c r="AW39" s="43">
        <f t="shared" si="75"/>
        <v>2.5985970891714644E-2</v>
      </c>
      <c r="AX39" s="43">
        <f t="shared" si="76"/>
        <v>4.9050995925895933E-3</v>
      </c>
      <c r="AY39" s="43">
        <f t="shared" si="77"/>
        <v>3.9773606495613154E-3</v>
      </c>
      <c r="AZ39" s="29">
        <f t="shared" si="78"/>
        <v>1.9655652759683766E-2</v>
      </c>
      <c r="BA39" s="43">
        <f t="shared" si="79"/>
        <v>3.2977098879887992E-2</v>
      </c>
      <c r="BB39" s="43">
        <f t="shared" si="80"/>
        <v>3.204258690314263E-3</v>
      </c>
      <c r="BC39" s="44">
        <f t="shared" si="81"/>
        <v>2.1760931739993567E-2</v>
      </c>
      <c r="BD39" s="2"/>
      <c r="BE39" s="42" t="s">
        <v>523</v>
      </c>
      <c r="BF39" s="62">
        <v>1</v>
      </c>
      <c r="BG39" s="62">
        <v>1</v>
      </c>
      <c r="BH39" s="62">
        <v>1</v>
      </c>
      <c r="BI39" s="62">
        <v>1</v>
      </c>
      <c r="BJ39" s="36">
        <v>1</v>
      </c>
      <c r="BK39" s="62">
        <v>1</v>
      </c>
      <c r="BL39" s="62">
        <v>1</v>
      </c>
      <c r="BM39" s="62">
        <v>1</v>
      </c>
      <c r="BN39" s="36">
        <v>1</v>
      </c>
      <c r="BO39" s="62">
        <v>1</v>
      </c>
      <c r="BP39" s="62">
        <v>1</v>
      </c>
      <c r="BQ39" s="54">
        <v>1</v>
      </c>
      <c r="BR39" s="2"/>
      <c r="BS39" s="42" t="s">
        <v>523</v>
      </c>
      <c r="BT39" s="67">
        <f t="shared" si="66"/>
        <v>24000.981100000005</v>
      </c>
      <c r="BU39" s="67">
        <f t="shared" si="18"/>
        <v>17443.437300000001</v>
      </c>
      <c r="BV39" s="67">
        <f t="shared" si="19"/>
        <v>1463.56315</v>
      </c>
      <c r="BW39" s="67">
        <f t="shared" si="20"/>
        <v>675.02034299999991</v>
      </c>
      <c r="BX39" s="30">
        <f t="shared" si="21"/>
        <v>975.73420599999997</v>
      </c>
      <c r="BY39" s="67">
        <f t="shared" si="22"/>
        <v>1304.6289000000002</v>
      </c>
      <c r="BZ39" s="67">
        <f t="shared" si="23"/>
        <v>246.261135</v>
      </c>
      <c r="CA39" s="67">
        <f t="shared" si="24"/>
        <v>199.683886</v>
      </c>
      <c r="CB39" s="30">
        <f t="shared" si="25"/>
        <v>986.81449099999998</v>
      </c>
      <c r="CC39" s="67">
        <f t="shared" si="26"/>
        <v>1655.6193499999997</v>
      </c>
      <c r="CD39" s="67">
        <f t="shared" si="27"/>
        <v>160.870206</v>
      </c>
      <c r="CE39" s="68">
        <f t="shared" si="28"/>
        <v>1092.510284</v>
      </c>
      <c r="CF39" s="2"/>
      <c r="CG39" s="37" t="str">
        <f t="shared" si="67"/>
        <v>asmlr</v>
      </c>
      <c r="CH39" s="42" t="s">
        <v>523</v>
      </c>
      <c r="CI39" s="67">
        <f t="shared" si="68"/>
        <v>24000.981100000005</v>
      </c>
      <c r="CJ39" s="67">
        <f t="shared" si="82"/>
        <v>17443.437300000001</v>
      </c>
      <c r="CK39" s="67">
        <f t="shared" si="83"/>
        <v>1463.56315</v>
      </c>
      <c r="CL39" s="67">
        <f t="shared" si="84"/>
        <v>675.02034299999991</v>
      </c>
      <c r="CM39" s="30">
        <f t="shared" si="85"/>
        <v>975.73420599999997</v>
      </c>
      <c r="CN39" s="67">
        <f t="shared" si="86"/>
        <v>1304.6289000000002</v>
      </c>
      <c r="CO39" s="67">
        <f t="shared" si="87"/>
        <v>246.261135</v>
      </c>
      <c r="CP39" s="67">
        <f t="shared" si="88"/>
        <v>199.683886</v>
      </c>
      <c r="CQ39" s="30">
        <f t="shared" si="89"/>
        <v>986.81449099999998</v>
      </c>
      <c r="CR39" s="67">
        <f t="shared" si="90"/>
        <v>1655.6193499999997</v>
      </c>
      <c r="CS39" s="67">
        <f t="shared" si="91"/>
        <v>160.870206</v>
      </c>
      <c r="CT39" s="68">
        <f t="shared" si="92"/>
        <v>1092.510284</v>
      </c>
      <c r="CU39" s="2"/>
      <c r="CV39" s="42" t="s">
        <v>523</v>
      </c>
      <c r="CW39" s="67">
        <f t="shared" si="69"/>
        <v>0</v>
      </c>
      <c r="CX39" s="67">
        <f t="shared" si="93"/>
        <v>0</v>
      </c>
      <c r="CY39" s="67">
        <f t="shared" si="94"/>
        <v>0</v>
      </c>
      <c r="CZ39" s="67">
        <f t="shared" si="95"/>
        <v>0</v>
      </c>
      <c r="DA39" s="30">
        <f t="shared" si="96"/>
        <v>0</v>
      </c>
      <c r="DB39" s="67">
        <f t="shared" si="97"/>
        <v>0</v>
      </c>
      <c r="DC39" s="67">
        <f t="shared" si="98"/>
        <v>0</v>
      </c>
      <c r="DD39" s="67">
        <f t="shared" si="99"/>
        <v>0</v>
      </c>
      <c r="DE39" s="30">
        <f t="shared" si="100"/>
        <v>0</v>
      </c>
      <c r="DF39" s="67">
        <f t="shared" si="101"/>
        <v>0</v>
      </c>
      <c r="DG39" s="67">
        <f t="shared" si="102"/>
        <v>0</v>
      </c>
      <c r="DH39" s="68">
        <f t="shared" si="103"/>
        <v>0</v>
      </c>
      <c r="DI39" s="2"/>
      <c r="DJ39" s="37" t="s">
        <v>455</v>
      </c>
      <c r="DK39" s="76" t="s">
        <v>523</v>
      </c>
      <c r="DL39" s="67">
        <f t="shared" si="70"/>
        <v>575.59209999999996</v>
      </c>
      <c r="DM39" s="67">
        <f t="shared" si="31"/>
        <v>416.6404</v>
      </c>
      <c r="DN39" s="67">
        <f t="shared" si="32"/>
        <v>21.113959999999999</v>
      </c>
      <c r="DO39" s="67">
        <f t="shared" si="33"/>
        <v>17.90202</v>
      </c>
      <c r="DP39" s="30">
        <f t="shared" si="34"/>
        <v>9.7859560000000005</v>
      </c>
      <c r="DQ39" s="67">
        <f t="shared" si="35"/>
        <v>67.462140000000005</v>
      </c>
      <c r="DR39" s="67">
        <f t="shared" si="36"/>
        <v>27.143689999999999</v>
      </c>
      <c r="DS39" s="67">
        <f t="shared" si="37"/>
        <v>43.41675</v>
      </c>
      <c r="DT39" s="30">
        <f t="shared" si="38"/>
        <v>9.0406809999999993</v>
      </c>
      <c r="DU39" s="67">
        <f t="shared" si="39"/>
        <v>51.580370000000002</v>
      </c>
      <c r="DV39" s="67">
        <f t="shared" si="40"/>
        <v>1.465319</v>
      </c>
      <c r="DW39" s="68">
        <f t="shared" si="41"/>
        <v>7.6586239999999997</v>
      </c>
      <c r="DX39" s="2"/>
      <c r="DY39" s="81" t="s">
        <v>523</v>
      </c>
      <c r="DZ39" s="82"/>
      <c r="EA39" s="82"/>
      <c r="EB39" s="82"/>
      <c r="EC39" s="82">
        <v>1</v>
      </c>
      <c r="ED39" s="84"/>
      <c r="EE39" s="2"/>
      <c r="EF39" s="38" t="s">
        <v>523</v>
      </c>
      <c r="EG39" s="93" t="s">
        <v>523</v>
      </c>
      <c r="EH39" s="94"/>
      <c r="EI39" s="94"/>
      <c r="EJ39" s="94"/>
      <c r="EK39" s="94"/>
      <c r="EL39" s="94"/>
      <c r="EM39" s="94"/>
      <c r="EN39" s="94"/>
      <c r="EO39" s="94"/>
      <c r="EP39" s="94"/>
      <c r="EQ39" s="94"/>
      <c r="ER39" s="94"/>
      <c r="ES39" s="95"/>
      <c r="ET39" s="38" t="s">
        <v>523</v>
      </c>
      <c r="EU39" s="93" t="s">
        <v>523</v>
      </c>
      <c r="EV39" s="94"/>
      <c r="EW39" s="94"/>
      <c r="EX39" s="94"/>
      <c r="EY39" s="94"/>
      <c r="EZ39" s="94"/>
      <c r="FA39" s="94"/>
      <c r="FB39" s="94"/>
      <c r="FC39" s="94"/>
      <c r="FD39" s="94"/>
      <c r="FE39" s="94"/>
      <c r="FF39" s="94"/>
      <c r="FG39" s="95"/>
      <c r="FH39" s="38" t="s">
        <v>523</v>
      </c>
      <c r="FI39" s="93" t="s">
        <v>523</v>
      </c>
      <c r="FJ39" s="94">
        <v>77.809780000000003</v>
      </c>
      <c r="FK39" s="94">
        <v>66.303880000000007</v>
      </c>
      <c r="FL39" s="94">
        <v>0.78583559999999997</v>
      </c>
      <c r="FM39" s="94">
        <v>15.383649999999999</v>
      </c>
      <c r="FN39" s="94">
        <v>2.6517520000000001</v>
      </c>
      <c r="FO39" s="94">
        <v>0.25349480000000002</v>
      </c>
      <c r="FP39" s="94"/>
      <c r="FQ39" s="94"/>
      <c r="FR39" s="94">
        <v>40.284610000000001</v>
      </c>
      <c r="FS39" s="94"/>
      <c r="FT39" s="94"/>
      <c r="FU39" s="95">
        <v>0.47417569999999998</v>
      </c>
      <c r="FV39" s="38" t="s">
        <v>523</v>
      </c>
      <c r="FW39" s="93" t="s">
        <v>523</v>
      </c>
      <c r="FX39" s="94">
        <v>575.59209999999996</v>
      </c>
      <c r="FY39" s="94">
        <v>416.6404</v>
      </c>
      <c r="FZ39" s="94">
        <v>21.113959999999999</v>
      </c>
      <c r="GA39" s="94">
        <v>17.90202</v>
      </c>
      <c r="GB39" s="94">
        <v>9.7859560000000005</v>
      </c>
      <c r="GC39" s="94">
        <v>67.462140000000005</v>
      </c>
      <c r="GD39" s="94">
        <v>27.143689999999999</v>
      </c>
      <c r="GE39" s="94">
        <v>43.41675</v>
      </c>
      <c r="GF39" s="94">
        <v>9.0406809999999993</v>
      </c>
      <c r="GG39" s="94">
        <v>51.580370000000002</v>
      </c>
      <c r="GH39" s="94">
        <v>1.465319</v>
      </c>
      <c r="GI39" s="95">
        <v>7.6586239999999997</v>
      </c>
      <c r="GJ39" s="38" t="s">
        <v>523</v>
      </c>
      <c r="GK39" s="93" t="s">
        <v>523</v>
      </c>
      <c r="GL39" s="94"/>
      <c r="GM39" s="94"/>
      <c r="GN39" s="94"/>
      <c r="GO39" s="94"/>
      <c r="GP39" s="94"/>
      <c r="GQ39" s="94"/>
      <c r="GR39" s="94"/>
      <c r="GS39" s="94"/>
      <c r="GT39" s="94"/>
      <c r="GU39" s="94"/>
      <c r="GV39" s="94"/>
      <c r="GW39" s="95"/>
      <c r="GX39" s="38"/>
    </row>
    <row r="40" spans="1:206" x14ac:dyDescent="0.35">
      <c r="A40" s="2"/>
      <c r="B40" s="2"/>
      <c r="C40" s="42" t="s">
        <v>524</v>
      </c>
      <c r="D40" s="43">
        <f t="shared" si="42"/>
        <v>0.39428799806669668</v>
      </c>
      <c r="E40" s="43">
        <f t="shared" si="0"/>
        <v>0.49627498094031552</v>
      </c>
      <c r="F40" s="43">
        <f t="shared" si="1"/>
        <v>2.5290127505063265E-2</v>
      </c>
      <c r="G40" s="43">
        <f t="shared" si="2"/>
        <v>0</v>
      </c>
      <c r="H40" s="43">
        <f t="shared" si="3"/>
        <v>3.5301789210145658E-2</v>
      </c>
      <c r="I40" s="43">
        <f t="shared" si="4"/>
        <v>1.2803404371014886E-2</v>
      </c>
      <c r="J40" s="43">
        <f t="shared" si="5"/>
        <v>0</v>
      </c>
      <c r="K40" s="43">
        <f t="shared" si="6"/>
        <v>0</v>
      </c>
      <c r="L40" s="43">
        <f t="shared" si="7"/>
        <v>5.4799674611483605E-3</v>
      </c>
      <c r="M40" s="43">
        <f t="shared" si="8"/>
        <v>3.0561732445615726E-2</v>
      </c>
      <c r="N40" s="43">
        <f t="shared" si="9"/>
        <v>0</v>
      </c>
      <c r="O40" s="44">
        <f t="shared" si="10"/>
        <v>0</v>
      </c>
      <c r="P40" s="115">
        <f t="shared" si="43"/>
        <v>1</v>
      </c>
      <c r="Q40" s="2"/>
      <c r="R40" s="42" t="s">
        <v>524</v>
      </c>
      <c r="S40" s="43">
        <f t="shared" si="44"/>
        <v>0.39428799806669668</v>
      </c>
      <c r="T40" s="43">
        <f t="shared" si="45"/>
        <v>0.49627498094031552</v>
      </c>
      <c r="U40" s="43">
        <f t="shared" si="46"/>
        <v>2.5290127505063265E-2</v>
      </c>
      <c r="V40" s="43">
        <f t="shared" si="47"/>
        <v>0</v>
      </c>
      <c r="W40" s="29">
        <f t="shared" si="48"/>
        <v>3.5301789210145658E-2</v>
      </c>
      <c r="X40" s="43">
        <f t="shared" si="49"/>
        <v>1.2803404371014886E-2</v>
      </c>
      <c r="Y40" s="43">
        <f t="shared" si="50"/>
        <v>0</v>
      </c>
      <c r="Z40" s="43">
        <f t="shared" si="51"/>
        <v>0</v>
      </c>
      <c r="AA40" s="29">
        <f t="shared" si="52"/>
        <v>5.4799674611483605E-3</v>
      </c>
      <c r="AB40" s="43">
        <f t="shared" si="53"/>
        <v>3.0561732445615726E-2</v>
      </c>
      <c r="AC40" s="43">
        <f t="shared" si="54"/>
        <v>0</v>
      </c>
      <c r="AD40" s="43">
        <f t="shared" si="55"/>
        <v>0</v>
      </c>
      <c r="AE40" s="32">
        <f t="shared" si="56"/>
        <v>0.4350697547379907</v>
      </c>
      <c r="AF40" s="53">
        <f t="shared" si="57"/>
        <v>0.5396401177569462</v>
      </c>
      <c r="AG40" s="53">
        <f t="shared" si="58"/>
        <v>2.5290127505063265E-2</v>
      </c>
      <c r="AH40" s="53">
        <f t="shared" si="59"/>
        <v>0</v>
      </c>
      <c r="AI40" s="34">
        <f t="shared" si="60"/>
        <v>0.91585310651207541</v>
      </c>
      <c r="AJ40" s="35">
        <f t="shared" si="61"/>
        <v>4.8105193581160548E-2</v>
      </c>
      <c r="AK40" s="34">
        <f t="shared" si="62"/>
        <v>0.91585310651207541</v>
      </c>
      <c r="AL40" s="35">
        <f t="shared" si="63"/>
        <v>4.8105193581160548E-2</v>
      </c>
      <c r="AM40" s="35">
        <f t="shared" si="64"/>
        <v>3.6041699906764091E-2</v>
      </c>
      <c r="AN40" s="36">
        <v>1</v>
      </c>
      <c r="AO40" s="54">
        <v>1</v>
      </c>
      <c r="AP40" s="2"/>
      <c r="AQ40" s="42" t="s">
        <v>524</v>
      </c>
      <c r="AR40" s="43">
        <f t="shared" si="65"/>
        <v>0.39428799806669668</v>
      </c>
      <c r="AS40" s="43">
        <f t="shared" si="71"/>
        <v>0.49627498094031552</v>
      </c>
      <c r="AT40" s="43">
        <f t="shared" si="72"/>
        <v>2.5290127505063265E-2</v>
      </c>
      <c r="AU40" s="43">
        <f t="shared" si="73"/>
        <v>0</v>
      </c>
      <c r="AV40" s="29">
        <f t="shared" si="74"/>
        <v>3.5301789210145665E-2</v>
      </c>
      <c r="AW40" s="43">
        <f t="shared" si="75"/>
        <v>1.280340437101489E-2</v>
      </c>
      <c r="AX40" s="43">
        <f t="shared" si="76"/>
        <v>0</v>
      </c>
      <c r="AY40" s="43">
        <f t="shared" si="77"/>
        <v>0</v>
      </c>
      <c r="AZ40" s="29">
        <f t="shared" si="78"/>
        <v>5.4799674611483839E-3</v>
      </c>
      <c r="BA40" s="43">
        <f t="shared" si="79"/>
        <v>3.0561732445615858E-2</v>
      </c>
      <c r="BB40" s="43">
        <f t="shared" si="80"/>
        <v>0</v>
      </c>
      <c r="BC40" s="44">
        <f t="shared" si="81"/>
        <v>0</v>
      </c>
      <c r="BD40" s="2"/>
      <c r="BE40" s="42" t="s">
        <v>524</v>
      </c>
      <c r="BF40" s="62">
        <v>1</v>
      </c>
      <c r="BG40" s="62">
        <v>1</v>
      </c>
      <c r="BH40" s="62">
        <v>1</v>
      </c>
      <c r="BI40" s="62">
        <v>1</v>
      </c>
      <c r="BJ40" s="36">
        <v>1</v>
      </c>
      <c r="BK40" s="62">
        <v>1</v>
      </c>
      <c r="BL40" s="62">
        <v>1</v>
      </c>
      <c r="BM40" s="62">
        <v>1</v>
      </c>
      <c r="BN40" s="36">
        <v>1</v>
      </c>
      <c r="BO40" s="62">
        <v>1</v>
      </c>
      <c r="BP40" s="62">
        <v>1</v>
      </c>
      <c r="BQ40" s="54">
        <v>1</v>
      </c>
      <c r="BR40" s="2"/>
      <c r="BS40" s="42" t="s">
        <v>524</v>
      </c>
      <c r="BT40" s="67">
        <f t="shared" si="66"/>
        <v>5420.5050000000001</v>
      </c>
      <c r="BU40" s="67">
        <f t="shared" si="18"/>
        <v>6822.5789999999997</v>
      </c>
      <c r="BV40" s="67">
        <f t="shared" si="19"/>
        <v>347.678</v>
      </c>
      <c r="BW40" s="67">
        <f t="shared" si="20"/>
        <v>0</v>
      </c>
      <c r="BX40" s="30">
        <f t="shared" si="21"/>
        <v>485.3141</v>
      </c>
      <c r="BY40" s="67">
        <f t="shared" si="22"/>
        <v>176.01580000000001</v>
      </c>
      <c r="BZ40" s="67">
        <f t="shared" si="23"/>
        <v>0</v>
      </c>
      <c r="CA40" s="67">
        <f t="shared" si="24"/>
        <v>0</v>
      </c>
      <c r="CB40" s="30">
        <f t="shared" si="25"/>
        <v>75.336280000000002</v>
      </c>
      <c r="CC40" s="67">
        <f t="shared" si="26"/>
        <v>420.14980000000003</v>
      </c>
      <c r="CD40" s="67">
        <f t="shared" si="27"/>
        <v>0</v>
      </c>
      <c r="CE40" s="68">
        <f t="shared" si="28"/>
        <v>0</v>
      </c>
      <c r="CF40" s="2"/>
      <c r="CG40" s="37" t="str">
        <f t="shared" si="67"/>
        <v>afuel</v>
      </c>
      <c r="CH40" s="42" t="s">
        <v>524</v>
      </c>
      <c r="CI40" s="67">
        <f t="shared" si="68"/>
        <v>5420.5050000000001</v>
      </c>
      <c r="CJ40" s="67">
        <f t="shared" si="82"/>
        <v>6822.5789999999997</v>
      </c>
      <c r="CK40" s="67">
        <f t="shared" si="83"/>
        <v>347.678</v>
      </c>
      <c r="CL40" s="67">
        <f t="shared" si="84"/>
        <v>0</v>
      </c>
      <c r="CM40" s="30">
        <f t="shared" si="85"/>
        <v>485.3141</v>
      </c>
      <c r="CN40" s="67">
        <f t="shared" si="86"/>
        <v>176.01580000000001</v>
      </c>
      <c r="CO40" s="67">
        <f t="shared" si="87"/>
        <v>0</v>
      </c>
      <c r="CP40" s="67">
        <f t="shared" si="88"/>
        <v>0</v>
      </c>
      <c r="CQ40" s="30">
        <f t="shared" si="89"/>
        <v>75.336280000000002</v>
      </c>
      <c r="CR40" s="67">
        <f t="shared" si="90"/>
        <v>420.14980000000003</v>
      </c>
      <c r="CS40" s="67">
        <f t="shared" si="91"/>
        <v>0</v>
      </c>
      <c r="CT40" s="68">
        <f t="shared" si="92"/>
        <v>0</v>
      </c>
      <c r="CU40" s="2"/>
      <c r="CV40" s="42" t="s">
        <v>524</v>
      </c>
      <c r="CW40" s="67">
        <f t="shared" si="69"/>
        <v>5420.5050000000001</v>
      </c>
      <c r="CX40" s="67">
        <f t="shared" si="93"/>
        <v>6822.5789999999997</v>
      </c>
      <c r="CY40" s="67">
        <f t="shared" si="94"/>
        <v>347.678</v>
      </c>
      <c r="CZ40" s="67">
        <f t="shared" si="95"/>
        <v>0</v>
      </c>
      <c r="DA40" s="30">
        <f t="shared" si="96"/>
        <v>485.3141</v>
      </c>
      <c r="DB40" s="67">
        <f t="shared" si="97"/>
        <v>176.01580000000001</v>
      </c>
      <c r="DC40" s="67">
        <f t="shared" si="98"/>
        <v>0</v>
      </c>
      <c r="DD40" s="67">
        <f t="shared" si="99"/>
        <v>0</v>
      </c>
      <c r="DE40" s="30">
        <f t="shared" si="100"/>
        <v>75.336280000000002</v>
      </c>
      <c r="DF40" s="67">
        <f t="shared" si="101"/>
        <v>420.14980000000003</v>
      </c>
      <c r="DG40" s="67">
        <f t="shared" si="102"/>
        <v>0</v>
      </c>
      <c r="DH40" s="68">
        <f t="shared" si="103"/>
        <v>0</v>
      </c>
      <c r="DI40" s="2"/>
      <c r="DJ40" s="37" t="s">
        <v>524</v>
      </c>
      <c r="DK40" s="76" t="s">
        <v>524</v>
      </c>
      <c r="DL40" s="67">
        <f t="shared" si="70"/>
        <v>5420.5050000000001</v>
      </c>
      <c r="DM40" s="67">
        <f t="shared" si="31"/>
        <v>6822.5789999999997</v>
      </c>
      <c r="DN40" s="67">
        <f t="shared" si="32"/>
        <v>347.678</v>
      </c>
      <c r="DO40" s="67">
        <f t="shared" si="33"/>
        <v>0</v>
      </c>
      <c r="DP40" s="30">
        <f t="shared" si="34"/>
        <v>485.3141</v>
      </c>
      <c r="DQ40" s="67">
        <f t="shared" si="35"/>
        <v>176.01580000000001</v>
      </c>
      <c r="DR40" s="67">
        <f t="shared" si="36"/>
        <v>0</v>
      </c>
      <c r="DS40" s="67">
        <f t="shared" si="37"/>
        <v>0</v>
      </c>
      <c r="DT40" s="30">
        <f t="shared" si="38"/>
        <v>75.336280000000002</v>
      </c>
      <c r="DU40" s="67">
        <f t="shared" si="39"/>
        <v>420.14980000000003</v>
      </c>
      <c r="DV40" s="67">
        <f t="shared" si="40"/>
        <v>0</v>
      </c>
      <c r="DW40" s="68">
        <f t="shared" si="41"/>
        <v>0</v>
      </c>
      <c r="DX40" s="2"/>
      <c r="DY40" s="81" t="s">
        <v>524</v>
      </c>
      <c r="DZ40" s="82"/>
      <c r="EA40" s="82"/>
      <c r="EB40" s="82"/>
      <c r="EC40" s="83"/>
      <c r="ED40" s="84">
        <v>1</v>
      </c>
      <c r="EE40" s="2"/>
      <c r="EF40" s="38" t="s">
        <v>524</v>
      </c>
      <c r="EG40" s="93" t="s">
        <v>524</v>
      </c>
      <c r="EH40" s="94"/>
      <c r="EI40" s="94"/>
      <c r="EJ40" s="94"/>
      <c r="EK40" s="94"/>
      <c r="EL40" s="94"/>
      <c r="EM40" s="94"/>
      <c r="EN40" s="94"/>
      <c r="EO40" s="94"/>
      <c r="EP40" s="94"/>
      <c r="EQ40" s="94"/>
      <c r="ER40" s="94"/>
      <c r="ES40" s="95"/>
      <c r="ET40" s="38" t="s">
        <v>524</v>
      </c>
      <c r="EU40" s="93" t="s">
        <v>524</v>
      </c>
      <c r="EV40" s="94"/>
      <c r="EW40" s="94"/>
      <c r="EX40" s="94"/>
      <c r="EY40" s="94"/>
      <c r="EZ40" s="94"/>
      <c r="FA40" s="94"/>
      <c r="FB40" s="94"/>
      <c r="FC40" s="94"/>
      <c r="FD40" s="94"/>
      <c r="FE40" s="94"/>
      <c r="FF40" s="94"/>
      <c r="FG40" s="95"/>
      <c r="FH40" s="38" t="s">
        <v>524</v>
      </c>
      <c r="FI40" s="93" t="s">
        <v>524</v>
      </c>
      <c r="FJ40" s="94"/>
      <c r="FK40" s="94"/>
      <c r="FL40" s="94"/>
      <c r="FM40" s="94"/>
      <c r="FN40" s="94"/>
      <c r="FO40" s="94"/>
      <c r="FP40" s="94"/>
      <c r="FQ40" s="94"/>
      <c r="FR40" s="94"/>
      <c r="FS40" s="94"/>
      <c r="FT40" s="94"/>
      <c r="FU40" s="95"/>
      <c r="FV40" s="38" t="s">
        <v>524</v>
      </c>
      <c r="FW40" s="93" t="s">
        <v>524</v>
      </c>
      <c r="FX40" s="94"/>
      <c r="FY40" s="94"/>
      <c r="FZ40" s="94"/>
      <c r="GA40" s="94"/>
      <c r="GB40" s="94"/>
      <c r="GC40" s="94"/>
      <c r="GD40" s="94"/>
      <c r="GE40" s="94"/>
      <c r="GF40" s="94"/>
      <c r="GG40" s="94"/>
      <c r="GH40" s="94"/>
      <c r="GI40" s="95"/>
      <c r="GJ40" s="38" t="s">
        <v>524</v>
      </c>
      <c r="GK40" s="93" t="s">
        <v>524</v>
      </c>
      <c r="GL40" s="94">
        <v>5420.5050000000001</v>
      </c>
      <c r="GM40" s="94">
        <v>6822.5789999999997</v>
      </c>
      <c r="GN40" s="94">
        <v>347.678</v>
      </c>
      <c r="GO40" s="94"/>
      <c r="GP40" s="94">
        <v>485.3141</v>
      </c>
      <c r="GQ40" s="94">
        <v>176.01580000000001</v>
      </c>
      <c r="GR40" s="94"/>
      <c r="GS40" s="94"/>
      <c r="GT40" s="94">
        <v>75.336280000000002</v>
      </c>
      <c r="GU40" s="94">
        <v>420.14980000000003</v>
      </c>
      <c r="GV40" s="94">
        <v>0</v>
      </c>
      <c r="GW40" s="95"/>
      <c r="GX40" s="38"/>
    </row>
    <row r="41" spans="1:206" x14ac:dyDescent="0.35">
      <c r="A41" s="2"/>
      <c r="B41" s="2"/>
      <c r="C41" s="42" t="s">
        <v>525</v>
      </c>
      <c r="D41" s="43">
        <f t="shared" si="42"/>
        <v>0.39428799806669668</v>
      </c>
      <c r="E41" s="43">
        <f t="shared" si="0"/>
        <v>0.49627498094031552</v>
      </c>
      <c r="F41" s="43">
        <f t="shared" si="1"/>
        <v>2.5290127505063265E-2</v>
      </c>
      <c r="G41" s="43">
        <f t="shared" si="2"/>
        <v>0</v>
      </c>
      <c r="H41" s="43">
        <f t="shared" si="3"/>
        <v>3.5301789210145658E-2</v>
      </c>
      <c r="I41" s="43">
        <f t="shared" si="4"/>
        <v>1.2803404371014886E-2</v>
      </c>
      <c r="J41" s="43">
        <f t="shared" si="5"/>
        <v>0</v>
      </c>
      <c r="K41" s="43">
        <f t="shared" si="6"/>
        <v>0</v>
      </c>
      <c r="L41" s="43">
        <f t="shared" si="7"/>
        <v>5.4799674611483605E-3</v>
      </c>
      <c r="M41" s="43">
        <f t="shared" si="8"/>
        <v>3.0561732445615726E-2</v>
      </c>
      <c r="N41" s="43">
        <f t="shared" si="9"/>
        <v>0</v>
      </c>
      <c r="O41" s="44">
        <f t="shared" si="10"/>
        <v>0</v>
      </c>
      <c r="P41" s="115">
        <f t="shared" si="43"/>
        <v>1</v>
      </c>
      <c r="Q41" s="2"/>
      <c r="R41" s="42" t="s">
        <v>525</v>
      </c>
      <c r="S41" s="43">
        <f t="shared" si="44"/>
        <v>0.39428799806669668</v>
      </c>
      <c r="T41" s="43">
        <f t="shared" si="45"/>
        <v>0.49627498094031552</v>
      </c>
      <c r="U41" s="43">
        <f t="shared" si="46"/>
        <v>2.5290127505063265E-2</v>
      </c>
      <c r="V41" s="43">
        <f t="shared" si="47"/>
        <v>0</v>
      </c>
      <c r="W41" s="29">
        <f t="shared" si="48"/>
        <v>3.5301789210145658E-2</v>
      </c>
      <c r="X41" s="43">
        <f t="shared" si="49"/>
        <v>1.2803404371014886E-2</v>
      </c>
      <c r="Y41" s="43">
        <f t="shared" si="50"/>
        <v>0</v>
      </c>
      <c r="Z41" s="43">
        <f t="shared" si="51"/>
        <v>0</v>
      </c>
      <c r="AA41" s="29">
        <f t="shared" si="52"/>
        <v>5.4799674611483605E-3</v>
      </c>
      <c r="AB41" s="43">
        <f t="shared" si="53"/>
        <v>3.0561732445615726E-2</v>
      </c>
      <c r="AC41" s="43">
        <f t="shared" si="54"/>
        <v>0</v>
      </c>
      <c r="AD41" s="43">
        <f t="shared" si="55"/>
        <v>0</v>
      </c>
      <c r="AE41" s="32">
        <f t="shared" si="56"/>
        <v>0.4350697547379907</v>
      </c>
      <c r="AF41" s="53">
        <f t="shared" si="57"/>
        <v>0.5396401177569462</v>
      </c>
      <c r="AG41" s="53">
        <f t="shared" si="58"/>
        <v>2.5290127505063265E-2</v>
      </c>
      <c r="AH41" s="53">
        <f t="shared" si="59"/>
        <v>0</v>
      </c>
      <c r="AI41" s="34">
        <f t="shared" si="60"/>
        <v>0</v>
      </c>
      <c r="AJ41" s="35">
        <f t="shared" si="61"/>
        <v>0</v>
      </c>
      <c r="AK41" s="34">
        <f>AK40</f>
        <v>0.91585310651207541</v>
      </c>
      <c r="AL41" s="35">
        <f t="shared" ref="AL41:AL42" si="105">AL40</f>
        <v>4.8105193581160548E-2</v>
      </c>
      <c r="AM41" s="35">
        <f t="shared" si="64"/>
        <v>3.6041699906764091E-2</v>
      </c>
      <c r="AN41" s="36">
        <v>1</v>
      </c>
      <c r="AO41" s="54">
        <v>1</v>
      </c>
      <c r="AP41" s="2"/>
      <c r="AQ41" s="42" t="s">
        <v>525</v>
      </c>
      <c r="AR41" s="43">
        <f t="shared" si="65"/>
        <v>0.39428799806669668</v>
      </c>
      <c r="AS41" s="43">
        <f t="shared" si="71"/>
        <v>0.49627498094031552</v>
      </c>
      <c r="AT41" s="43">
        <f t="shared" si="72"/>
        <v>2.5290127505063265E-2</v>
      </c>
      <c r="AU41" s="43">
        <f t="shared" si="73"/>
        <v>0</v>
      </c>
      <c r="AV41" s="29">
        <f t="shared" si="74"/>
        <v>3.5301789210145665E-2</v>
      </c>
      <c r="AW41" s="43">
        <f t="shared" si="75"/>
        <v>1.280340437101489E-2</v>
      </c>
      <c r="AX41" s="43">
        <f t="shared" si="76"/>
        <v>0</v>
      </c>
      <c r="AY41" s="43">
        <f t="shared" si="77"/>
        <v>0</v>
      </c>
      <c r="AZ41" s="29">
        <f t="shared" si="78"/>
        <v>5.4799674611483839E-3</v>
      </c>
      <c r="BA41" s="43">
        <f t="shared" si="79"/>
        <v>3.0561732445615858E-2</v>
      </c>
      <c r="BB41" s="43">
        <f t="shared" si="80"/>
        <v>0</v>
      </c>
      <c r="BC41" s="44">
        <f t="shared" si="81"/>
        <v>0</v>
      </c>
      <c r="BD41" s="2"/>
      <c r="BE41" s="42" t="s">
        <v>525</v>
      </c>
      <c r="BF41" s="62">
        <v>1</v>
      </c>
      <c r="BG41" s="62">
        <v>1</v>
      </c>
      <c r="BH41" s="62">
        <v>1</v>
      </c>
      <c r="BI41" s="62">
        <v>1</v>
      </c>
      <c r="BJ41" s="36">
        <v>1</v>
      </c>
      <c r="BK41" s="62">
        <v>1</v>
      </c>
      <c r="BL41" s="62">
        <v>1</v>
      </c>
      <c r="BM41" s="62">
        <v>1</v>
      </c>
      <c r="BN41" s="36">
        <v>1</v>
      </c>
      <c r="BO41" s="62">
        <v>1</v>
      </c>
      <c r="BP41" s="62">
        <v>1</v>
      </c>
      <c r="BQ41" s="54">
        <v>1</v>
      </c>
      <c r="BR41" s="2"/>
      <c r="BS41" s="42" t="s">
        <v>525</v>
      </c>
      <c r="BT41" s="67">
        <f t="shared" si="66"/>
        <v>5420.5050000000001</v>
      </c>
      <c r="BU41" s="67">
        <f t="shared" si="18"/>
        <v>6822.5789999999997</v>
      </c>
      <c r="BV41" s="67">
        <f t="shared" si="19"/>
        <v>347.678</v>
      </c>
      <c r="BW41" s="67">
        <f t="shared" si="20"/>
        <v>0</v>
      </c>
      <c r="BX41" s="30">
        <f t="shared" si="21"/>
        <v>485.3141</v>
      </c>
      <c r="BY41" s="67">
        <f t="shared" si="22"/>
        <v>176.01580000000001</v>
      </c>
      <c r="BZ41" s="67">
        <f t="shared" si="23"/>
        <v>0</v>
      </c>
      <c r="CA41" s="67">
        <f t="shared" si="24"/>
        <v>0</v>
      </c>
      <c r="CB41" s="30">
        <f t="shared" si="25"/>
        <v>75.336280000000002</v>
      </c>
      <c r="CC41" s="67">
        <f t="shared" si="26"/>
        <v>420.14980000000003</v>
      </c>
      <c r="CD41" s="67">
        <f t="shared" si="27"/>
        <v>0</v>
      </c>
      <c r="CE41" s="68">
        <f t="shared" si="28"/>
        <v>0</v>
      </c>
      <c r="CF41" s="2"/>
      <c r="CG41" s="37" t="str">
        <f t="shared" si="67"/>
        <v>afuel</v>
      </c>
      <c r="CH41" s="42" t="s">
        <v>525</v>
      </c>
      <c r="CI41" s="67">
        <f t="shared" si="68"/>
        <v>5420.5050000000001</v>
      </c>
      <c r="CJ41" s="67">
        <f t="shared" si="82"/>
        <v>6822.5789999999997</v>
      </c>
      <c r="CK41" s="67">
        <f t="shared" si="83"/>
        <v>347.678</v>
      </c>
      <c r="CL41" s="67">
        <f t="shared" si="84"/>
        <v>0</v>
      </c>
      <c r="CM41" s="30">
        <f t="shared" si="85"/>
        <v>485.3141</v>
      </c>
      <c r="CN41" s="67">
        <f t="shared" si="86"/>
        <v>176.01580000000001</v>
      </c>
      <c r="CO41" s="67">
        <f t="shared" si="87"/>
        <v>0</v>
      </c>
      <c r="CP41" s="67">
        <f t="shared" si="88"/>
        <v>0</v>
      </c>
      <c r="CQ41" s="30">
        <f t="shared" si="89"/>
        <v>75.336280000000002</v>
      </c>
      <c r="CR41" s="67">
        <f t="shared" si="90"/>
        <v>420.14980000000003</v>
      </c>
      <c r="CS41" s="67">
        <f t="shared" si="91"/>
        <v>0</v>
      </c>
      <c r="CT41" s="68">
        <f t="shared" si="92"/>
        <v>0</v>
      </c>
      <c r="CU41" s="2"/>
      <c r="CV41" s="42" t="s">
        <v>525</v>
      </c>
      <c r="CW41" s="67">
        <f t="shared" si="69"/>
        <v>0</v>
      </c>
      <c r="CX41" s="67">
        <f t="shared" si="93"/>
        <v>0</v>
      </c>
      <c r="CY41" s="67">
        <f t="shared" si="94"/>
        <v>0</v>
      </c>
      <c r="CZ41" s="67">
        <f t="shared" si="95"/>
        <v>0</v>
      </c>
      <c r="DA41" s="30">
        <f t="shared" si="96"/>
        <v>0</v>
      </c>
      <c r="DB41" s="67">
        <f t="shared" si="97"/>
        <v>0</v>
      </c>
      <c r="DC41" s="67">
        <f t="shared" si="98"/>
        <v>0</v>
      </c>
      <c r="DD41" s="67">
        <f t="shared" si="99"/>
        <v>0</v>
      </c>
      <c r="DE41" s="30">
        <f t="shared" si="100"/>
        <v>0</v>
      </c>
      <c r="DF41" s="67">
        <f t="shared" si="101"/>
        <v>0</v>
      </c>
      <c r="DG41" s="67">
        <f t="shared" si="102"/>
        <v>0</v>
      </c>
      <c r="DH41" s="68">
        <f t="shared" si="103"/>
        <v>0</v>
      </c>
      <c r="DI41" s="2"/>
      <c r="DJ41" s="37" t="s">
        <v>524</v>
      </c>
      <c r="DK41" s="76" t="s">
        <v>525</v>
      </c>
      <c r="DL41" s="67">
        <f t="shared" si="70"/>
        <v>0</v>
      </c>
      <c r="DM41" s="67">
        <f t="shared" si="31"/>
        <v>0</v>
      </c>
      <c r="DN41" s="67">
        <f t="shared" si="32"/>
        <v>0</v>
      </c>
      <c r="DO41" s="67">
        <f t="shared" si="33"/>
        <v>0</v>
      </c>
      <c r="DP41" s="30">
        <f t="shared" si="34"/>
        <v>0</v>
      </c>
      <c r="DQ41" s="67">
        <f t="shared" si="35"/>
        <v>0</v>
      </c>
      <c r="DR41" s="67">
        <f t="shared" si="36"/>
        <v>0</v>
      </c>
      <c r="DS41" s="67">
        <f t="shared" si="37"/>
        <v>0</v>
      </c>
      <c r="DT41" s="30">
        <f t="shared" si="38"/>
        <v>0</v>
      </c>
      <c r="DU41" s="67">
        <f t="shared" si="39"/>
        <v>0</v>
      </c>
      <c r="DV41" s="67">
        <f t="shared" si="40"/>
        <v>0</v>
      </c>
      <c r="DW41" s="68">
        <f t="shared" si="41"/>
        <v>0</v>
      </c>
      <c r="DX41" s="2"/>
      <c r="DY41" s="81" t="s">
        <v>525</v>
      </c>
      <c r="DZ41" s="82"/>
      <c r="EA41" s="82"/>
      <c r="EB41" s="82"/>
      <c r="EC41" s="83"/>
      <c r="ED41" s="84">
        <v>1</v>
      </c>
      <c r="EE41" s="2"/>
      <c r="EF41" s="38" t="s">
        <v>525</v>
      </c>
      <c r="EG41" s="93" t="s">
        <v>525</v>
      </c>
      <c r="EH41" s="94"/>
      <c r="EI41" s="94"/>
      <c r="EJ41" s="94"/>
      <c r="EK41" s="94"/>
      <c r="EL41" s="94"/>
      <c r="EM41" s="94"/>
      <c r="EN41" s="94"/>
      <c r="EO41" s="94"/>
      <c r="EP41" s="94"/>
      <c r="EQ41" s="94"/>
      <c r="ER41" s="94"/>
      <c r="ES41" s="95"/>
      <c r="ET41" s="38" t="s">
        <v>525</v>
      </c>
      <c r="EU41" s="93" t="s">
        <v>525</v>
      </c>
      <c r="EV41" s="94"/>
      <c r="EW41" s="94"/>
      <c r="EX41" s="94"/>
      <c r="EY41" s="94"/>
      <c r="EZ41" s="94"/>
      <c r="FA41" s="94"/>
      <c r="FB41" s="94"/>
      <c r="FC41" s="94"/>
      <c r="FD41" s="94"/>
      <c r="FE41" s="94"/>
      <c r="FF41" s="94"/>
      <c r="FG41" s="95"/>
      <c r="FH41" s="38" t="s">
        <v>525</v>
      </c>
      <c r="FI41" s="93" t="s">
        <v>525</v>
      </c>
      <c r="FJ41" s="94"/>
      <c r="FK41" s="94"/>
      <c r="FL41" s="94"/>
      <c r="FM41" s="94"/>
      <c r="FN41" s="94"/>
      <c r="FO41" s="94"/>
      <c r="FP41" s="94"/>
      <c r="FQ41" s="94"/>
      <c r="FR41" s="94"/>
      <c r="FS41" s="94"/>
      <c r="FT41" s="94"/>
      <c r="FU41" s="95"/>
      <c r="FV41" s="38" t="s">
        <v>525</v>
      </c>
      <c r="FW41" s="93" t="s">
        <v>525</v>
      </c>
      <c r="FX41" s="94"/>
      <c r="FY41" s="94"/>
      <c r="FZ41" s="94"/>
      <c r="GA41" s="94"/>
      <c r="GB41" s="94"/>
      <c r="GC41" s="94"/>
      <c r="GD41" s="94"/>
      <c r="GE41" s="94"/>
      <c r="GF41" s="94"/>
      <c r="GG41" s="94"/>
      <c r="GH41" s="94"/>
      <c r="GI41" s="95"/>
      <c r="GJ41" s="38" t="s">
        <v>525</v>
      </c>
      <c r="GK41" s="93" t="s">
        <v>525</v>
      </c>
      <c r="GL41" s="94"/>
      <c r="GM41" s="94"/>
      <c r="GN41" s="94"/>
      <c r="GO41" s="94"/>
      <c r="GP41" s="94"/>
      <c r="GQ41" s="94"/>
      <c r="GR41" s="94"/>
      <c r="GS41" s="94"/>
      <c r="GT41" s="94"/>
      <c r="GU41" s="94"/>
      <c r="GV41" s="94"/>
      <c r="GW41" s="95"/>
      <c r="GX41" s="38"/>
    </row>
    <row r="42" spans="1:206" x14ac:dyDescent="0.35">
      <c r="A42" s="2"/>
      <c r="B42" s="2"/>
      <c r="C42" s="42" t="s">
        <v>485</v>
      </c>
      <c r="D42" s="43">
        <f t="shared" si="42"/>
        <v>0.39428799806669668</v>
      </c>
      <c r="E42" s="43">
        <f t="shared" si="0"/>
        <v>0.49627498094031552</v>
      </c>
      <c r="F42" s="43">
        <f t="shared" si="1"/>
        <v>2.5290127505063265E-2</v>
      </c>
      <c r="G42" s="43">
        <f t="shared" si="2"/>
        <v>0</v>
      </c>
      <c r="H42" s="43">
        <f t="shared" si="3"/>
        <v>3.5301789210145658E-2</v>
      </c>
      <c r="I42" s="43">
        <f t="shared" si="4"/>
        <v>1.2803404371014886E-2</v>
      </c>
      <c r="J42" s="43">
        <f t="shared" si="5"/>
        <v>0</v>
      </c>
      <c r="K42" s="43">
        <f t="shared" si="6"/>
        <v>0</v>
      </c>
      <c r="L42" s="43">
        <f t="shared" si="7"/>
        <v>5.4799674611483605E-3</v>
      </c>
      <c r="M42" s="43">
        <f t="shared" si="8"/>
        <v>3.0561732445615726E-2</v>
      </c>
      <c r="N42" s="43">
        <f t="shared" si="9"/>
        <v>0</v>
      </c>
      <c r="O42" s="44">
        <f t="shared" si="10"/>
        <v>0</v>
      </c>
      <c r="P42" s="115">
        <f t="shared" si="43"/>
        <v>1</v>
      </c>
      <c r="Q42" s="2"/>
      <c r="R42" s="42" t="s">
        <v>485</v>
      </c>
      <c r="S42" s="43">
        <f t="shared" si="44"/>
        <v>0.39428799806669668</v>
      </c>
      <c r="T42" s="43">
        <f t="shared" si="45"/>
        <v>0.49627498094031552</v>
      </c>
      <c r="U42" s="43">
        <f t="shared" si="46"/>
        <v>2.5290127505063265E-2</v>
      </c>
      <c r="V42" s="43">
        <f t="shared" si="47"/>
        <v>0</v>
      </c>
      <c r="W42" s="29">
        <f t="shared" si="48"/>
        <v>3.5301789210145658E-2</v>
      </c>
      <c r="X42" s="43">
        <f t="shared" si="49"/>
        <v>1.2803404371014886E-2</v>
      </c>
      <c r="Y42" s="43">
        <f t="shared" si="50"/>
        <v>0</v>
      </c>
      <c r="Z42" s="43">
        <f t="shared" si="51"/>
        <v>0</v>
      </c>
      <c r="AA42" s="29">
        <f t="shared" si="52"/>
        <v>5.4799674611483605E-3</v>
      </c>
      <c r="AB42" s="43">
        <f t="shared" si="53"/>
        <v>3.0561732445615726E-2</v>
      </c>
      <c r="AC42" s="43">
        <f t="shared" si="54"/>
        <v>0</v>
      </c>
      <c r="AD42" s="43">
        <f t="shared" si="55"/>
        <v>0</v>
      </c>
      <c r="AE42" s="32">
        <f t="shared" si="56"/>
        <v>0.4350697547379907</v>
      </c>
      <c r="AF42" s="53">
        <f t="shared" si="57"/>
        <v>0.5396401177569462</v>
      </c>
      <c r="AG42" s="53">
        <f t="shared" si="58"/>
        <v>2.5290127505063265E-2</v>
      </c>
      <c r="AH42" s="53">
        <f t="shared" si="59"/>
        <v>0</v>
      </c>
      <c r="AI42" s="34">
        <f t="shared" si="60"/>
        <v>0</v>
      </c>
      <c r="AJ42" s="35">
        <f t="shared" si="61"/>
        <v>0</v>
      </c>
      <c r="AK42" s="34">
        <f t="shared" ref="AK42" si="106">AK41</f>
        <v>0.91585310651207541</v>
      </c>
      <c r="AL42" s="35">
        <f t="shared" si="105"/>
        <v>4.8105193581160548E-2</v>
      </c>
      <c r="AM42" s="35">
        <f t="shared" si="64"/>
        <v>3.6041699906764091E-2</v>
      </c>
      <c r="AN42" s="36">
        <v>1</v>
      </c>
      <c r="AO42" s="54">
        <v>1</v>
      </c>
      <c r="AP42" s="2"/>
      <c r="AQ42" s="42" t="s">
        <v>485</v>
      </c>
      <c r="AR42" s="43">
        <f t="shared" si="65"/>
        <v>0.39428799806669668</v>
      </c>
      <c r="AS42" s="43">
        <f t="shared" si="71"/>
        <v>0.49627498094031552</v>
      </c>
      <c r="AT42" s="43">
        <f t="shared" si="72"/>
        <v>2.5290127505063265E-2</v>
      </c>
      <c r="AU42" s="43">
        <f t="shared" si="73"/>
        <v>0</v>
      </c>
      <c r="AV42" s="29">
        <f t="shared" si="74"/>
        <v>3.5301789210145665E-2</v>
      </c>
      <c r="AW42" s="43">
        <f t="shared" si="75"/>
        <v>1.280340437101489E-2</v>
      </c>
      <c r="AX42" s="43">
        <f t="shared" si="76"/>
        <v>0</v>
      </c>
      <c r="AY42" s="43">
        <f t="shared" si="77"/>
        <v>0</v>
      </c>
      <c r="AZ42" s="29">
        <f t="shared" si="78"/>
        <v>5.4799674611483839E-3</v>
      </c>
      <c r="BA42" s="43">
        <f t="shared" si="79"/>
        <v>3.0561732445615858E-2</v>
      </c>
      <c r="BB42" s="43">
        <f t="shared" si="80"/>
        <v>0</v>
      </c>
      <c r="BC42" s="44">
        <f t="shared" si="81"/>
        <v>0</v>
      </c>
      <c r="BD42" s="2"/>
      <c r="BE42" s="42" t="s">
        <v>485</v>
      </c>
      <c r="BF42" s="62">
        <v>1</v>
      </c>
      <c r="BG42" s="62">
        <v>1</v>
      </c>
      <c r="BH42" s="62">
        <v>1</v>
      </c>
      <c r="BI42" s="62">
        <v>1</v>
      </c>
      <c r="BJ42" s="36">
        <v>1</v>
      </c>
      <c r="BK42" s="62">
        <v>1</v>
      </c>
      <c r="BL42" s="62">
        <v>1</v>
      </c>
      <c r="BM42" s="62">
        <v>1</v>
      </c>
      <c r="BN42" s="36">
        <v>1</v>
      </c>
      <c r="BO42" s="62">
        <v>1</v>
      </c>
      <c r="BP42" s="62">
        <v>1</v>
      </c>
      <c r="BQ42" s="54">
        <v>1</v>
      </c>
      <c r="BR42" s="2"/>
      <c r="BS42" s="42" t="s">
        <v>485</v>
      </c>
      <c r="BT42" s="67">
        <f t="shared" si="66"/>
        <v>5420.5050000000001</v>
      </c>
      <c r="BU42" s="67">
        <f t="shared" si="18"/>
        <v>6822.5789999999997</v>
      </c>
      <c r="BV42" s="67">
        <f t="shared" si="19"/>
        <v>347.678</v>
      </c>
      <c r="BW42" s="67">
        <f t="shared" si="20"/>
        <v>0</v>
      </c>
      <c r="BX42" s="30">
        <f t="shared" si="21"/>
        <v>485.3141</v>
      </c>
      <c r="BY42" s="67">
        <f t="shared" si="22"/>
        <v>176.01580000000001</v>
      </c>
      <c r="BZ42" s="67">
        <f t="shared" si="23"/>
        <v>0</v>
      </c>
      <c r="CA42" s="67">
        <f t="shared" si="24"/>
        <v>0</v>
      </c>
      <c r="CB42" s="30">
        <f t="shared" si="25"/>
        <v>75.336280000000002</v>
      </c>
      <c r="CC42" s="67">
        <f t="shared" si="26"/>
        <v>420.14980000000003</v>
      </c>
      <c r="CD42" s="67">
        <f t="shared" si="27"/>
        <v>0</v>
      </c>
      <c r="CE42" s="68">
        <f t="shared" si="28"/>
        <v>0</v>
      </c>
      <c r="CF42" s="2"/>
      <c r="CG42" s="37" t="str">
        <f t="shared" si="67"/>
        <v>afuel</v>
      </c>
      <c r="CH42" s="42" t="s">
        <v>485</v>
      </c>
      <c r="CI42" s="67">
        <f t="shared" si="68"/>
        <v>5420.5050000000001</v>
      </c>
      <c r="CJ42" s="67">
        <f t="shared" si="82"/>
        <v>6822.5789999999997</v>
      </c>
      <c r="CK42" s="67">
        <f t="shared" si="83"/>
        <v>347.678</v>
      </c>
      <c r="CL42" s="67">
        <f t="shared" si="84"/>
        <v>0</v>
      </c>
      <c r="CM42" s="30">
        <f t="shared" si="85"/>
        <v>485.3141</v>
      </c>
      <c r="CN42" s="67">
        <f t="shared" si="86"/>
        <v>176.01580000000001</v>
      </c>
      <c r="CO42" s="67">
        <f t="shared" si="87"/>
        <v>0</v>
      </c>
      <c r="CP42" s="67">
        <f t="shared" si="88"/>
        <v>0</v>
      </c>
      <c r="CQ42" s="30">
        <f t="shared" si="89"/>
        <v>75.336280000000002</v>
      </c>
      <c r="CR42" s="67">
        <f t="shared" si="90"/>
        <v>420.14980000000003</v>
      </c>
      <c r="CS42" s="67">
        <f t="shared" si="91"/>
        <v>0</v>
      </c>
      <c r="CT42" s="68">
        <f t="shared" si="92"/>
        <v>0</v>
      </c>
      <c r="CU42" s="2"/>
      <c r="CV42" s="42" t="s">
        <v>485</v>
      </c>
      <c r="CW42" s="67">
        <f t="shared" si="69"/>
        <v>0</v>
      </c>
      <c r="CX42" s="67">
        <f t="shared" si="93"/>
        <v>0</v>
      </c>
      <c r="CY42" s="67">
        <f t="shared" si="94"/>
        <v>0</v>
      </c>
      <c r="CZ42" s="67">
        <f t="shared" si="95"/>
        <v>0</v>
      </c>
      <c r="DA42" s="30">
        <f t="shared" si="96"/>
        <v>0</v>
      </c>
      <c r="DB42" s="67">
        <f t="shared" si="97"/>
        <v>0</v>
      </c>
      <c r="DC42" s="67">
        <f t="shared" si="98"/>
        <v>0</v>
      </c>
      <c r="DD42" s="67">
        <f t="shared" si="99"/>
        <v>0</v>
      </c>
      <c r="DE42" s="30">
        <f t="shared" si="100"/>
        <v>0</v>
      </c>
      <c r="DF42" s="67">
        <f t="shared" si="101"/>
        <v>0</v>
      </c>
      <c r="DG42" s="67">
        <f t="shared" si="102"/>
        <v>0</v>
      </c>
      <c r="DH42" s="68">
        <f t="shared" si="103"/>
        <v>0</v>
      </c>
      <c r="DI42" s="2"/>
      <c r="DJ42" s="37" t="s">
        <v>524</v>
      </c>
      <c r="DK42" s="76" t="s">
        <v>485</v>
      </c>
      <c r="DL42" s="67">
        <f t="shared" si="70"/>
        <v>0</v>
      </c>
      <c r="DM42" s="67">
        <f t="shared" si="31"/>
        <v>0</v>
      </c>
      <c r="DN42" s="67">
        <f t="shared" si="32"/>
        <v>0</v>
      </c>
      <c r="DO42" s="67">
        <f t="shared" si="33"/>
        <v>0</v>
      </c>
      <c r="DP42" s="30">
        <f t="shared" si="34"/>
        <v>0</v>
      </c>
      <c r="DQ42" s="67">
        <f t="shared" si="35"/>
        <v>0</v>
      </c>
      <c r="DR42" s="67">
        <f t="shared" si="36"/>
        <v>0</v>
      </c>
      <c r="DS42" s="67">
        <f t="shared" si="37"/>
        <v>0</v>
      </c>
      <c r="DT42" s="30">
        <f t="shared" si="38"/>
        <v>0</v>
      </c>
      <c r="DU42" s="67">
        <f t="shared" si="39"/>
        <v>0</v>
      </c>
      <c r="DV42" s="67">
        <f t="shared" si="40"/>
        <v>0</v>
      </c>
      <c r="DW42" s="68">
        <f t="shared" si="41"/>
        <v>0</v>
      </c>
      <c r="DX42" s="2"/>
      <c r="DY42" s="81" t="s">
        <v>485</v>
      </c>
      <c r="DZ42" s="82"/>
      <c r="EA42" s="82"/>
      <c r="EB42" s="82"/>
      <c r="EC42" s="83"/>
      <c r="ED42" s="84">
        <v>1</v>
      </c>
      <c r="EE42" s="2"/>
      <c r="EF42" s="38" t="s">
        <v>485</v>
      </c>
      <c r="EG42" s="93" t="s">
        <v>485</v>
      </c>
      <c r="EH42" s="94"/>
      <c r="EI42" s="94"/>
      <c r="EJ42" s="94"/>
      <c r="EK42" s="94"/>
      <c r="EL42" s="94"/>
      <c r="EM42" s="94"/>
      <c r="EN42" s="94"/>
      <c r="EO42" s="94"/>
      <c r="EP42" s="94"/>
      <c r="EQ42" s="94"/>
      <c r="ER42" s="94"/>
      <c r="ES42" s="95"/>
      <c r="ET42" s="38" t="s">
        <v>485</v>
      </c>
      <c r="EU42" s="93" t="s">
        <v>485</v>
      </c>
      <c r="EV42" s="94"/>
      <c r="EW42" s="94"/>
      <c r="EX42" s="94"/>
      <c r="EY42" s="94"/>
      <c r="EZ42" s="94"/>
      <c r="FA42" s="94"/>
      <c r="FB42" s="94"/>
      <c r="FC42" s="94"/>
      <c r="FD42" s="94"/>
      <c r="FE42" s="94"/>
      <c r="FF42" s="94"/>
      <c r="FG42" s="95"/>
      <c r="FH42" s="38" t="s">
        <v>485</v>
      </c>
      <c r="FI42" s="93" t="s">
        <v>485</v>
      </c>
      <c r="FJ42" s="94"/>
      <c r="FK42" s="94"/>
      <c r="FL42" s="94"/>
      <c r="FM42" s="94"/>
      <c r="FN42" s="94"/>
      <c r="FO42" s="94"/>
      <c r="FP42" s="94"/>
      <c r="FQ42" s="94"/>
      <c r="FR42" s="94"/>
      <c r="FS42" s="94"/>
      <c r="FT42" s="94"/>
      <c r="FU42" s="95"/>
      <c r="FV42" s="38" t="s">
        <v>485</v>
      </c>
      <c r="FW42" s="93" t="s">
        <v>485</v>
      </c>
      <c r="FX42" s="94"/>
      <c r="FY42" s="94"/>
      <c r="FZ42" s="94"/>
      <c r="GA42" s="94"/>
      <c r="GB42" s="94"/>
      <c r="GC42" s="94"/>
      <c r="GD42" s="94"/>
      <c r="GE42" s="94"/>
      <c r="GF42" s="94"/>
      <c r="GG42" s="94"/>
      <c r="GH42" s="94"/>
      <c r="GI42" s="95"/>
      <c r="GJ42" s="38" t="s">
        <v>485</v>
      </c>
      <c r="GK42" s="93" t="s">
        <v>485</v>
      </c>
      <c r="GL42" s="94"/>
      <c r="GM42" s="94"/>
      <c r="GN42" s="94"/>
      <c r="GO42" s="94"/>
      <c r="GP42" s="94"/>
      <c r="GQ42" s="94"/>
      <c r="GR42" s="94"/>
      <c r="GS42" s="94"/>
      <c r="GT42" s="94"/>
      <c r="GU42" s="94"/>
      <c r="GV42" s="94"/>
      <c r="GW42" s="95"/>
      <c r="GX42" s="38"/>
    </row>
    <row r="43" spans="1:206" x14ac:dyDescent="0.35">
      <c r="A43" s="2"/>
      <c r="B43" s="2"/>
      <c r="C43" s="42" t="s">
        <v>484</v>
      </c>
      <c r="D43" s="43">
        <f t="shared" si="42"/>
        <v>0.52569482465599271</v>
      </c>
      <c r="E43" s="43">
        <f t="shared" si="0"/>
        <v>0.43704433481917754</v>
      </c>
      <c r="F43" s="43">
        <f t="shared" si="1"/>
        <v>3.7260840524829808E-2</v>
      </c>
      <c r="G43" s="43">
        <f t="shared" si="2"/>
        <v>0</v>
      </c>
      <c r="H43" s="43">
        <f t="shared" si="3"/>
        <v>0</v>
      </c>
      <c r="I43" s="43">
        <f t="shared" si="4"/>
        <v>0</v>
      </c>
      <c r="J43" s="43">
        <f t="shared" si="5"/>
        <v>0</v>
      </c>
      <c r="K43" s="43">
        <f t="shared" si="6"/>
        <v>0</v>
      </c>
      <c r="L43" s="43">
        <f t="shared" si="7"/>
        <v>0</v>
      </c>
      <c r="M43" s="43">
        <f t="shared" si="8"/>
        <v>0</v>
      </c>
      <c r="N43" s="43">
        <f t="shared" si="9"/>
        <v>0</v>
      </c>
      <c r="O43" s="44">
        <f t="shared" si="10"/>
        <v>0</v>
      </c>
      <c r="P43" s="115">
        <f t="shared" si="43"/>
        <v>1</v>
      </c>
      <c r="Q43" s="2"/>
      <c r="R43" s="42" t="s">
        <v>484</v>
      </c>
      <c r="S43" s="43">
        <f t="shared" si="44"/>
        <v>0.52569482465599271</v>
      </c>
      <c r="T43" s="43">
        <f t="shared" si="45"/>
        <v>0.43704433481917754</v>
      </c>
      <c r="U43" s="43">
        <f t="shared" si="46"/>
        <v>3.7260840524829808E-2</v>
      </c>
      <c r="V43" s="43">
        <f t="shared" si="47"/>
        <v>0</v>
      </c>
      <c r="W43" s="29">
        <f t="shared" si="48"/>
        <v>0</v>
      </c>
      <c r="X43" s="43">
        <f t="shared" si="49"/>
        <v>0</v>
      </c>
      <c r="Y43" s="43">
        <f t="shared" si="50"/>
        <v>0</v>
      </c>
      <c r="Z43" s="43">
        <f t="shared" si="51"/>
        <v>0</v>
      </c>
      <c r="AA43" s="29">
        <f t="shared" si="52"/>
        <v>0</v>
      </c>
      <c r="AB43" s="43">
        <f t="shared" si="53"/>
        <v>0</v>
      </c>
      <c r="AC43" s="43">
        <f t="shared" si="54"/>
        <v>0</v>
      </c>
      <c r="AD43" s="43">
        <f t="shared" si="55"/>
        <v>0</v>
      </c>
      <c r="AE43" s="32">
        <f t="shared" si="56"/>
        <v>0.52569482465599271</v>
      </c>
      <c r="AF43" s="53">
        <f t="shared" si="57"/>
        <v>0.43704433481917754</v>
      </c>
      <c r="AG43" s="53">
        <f t="shared" si="58"/>
        <v>3.7260840524829808E-2</v>
      </c>
      <c r="AH43" s="53">
        <f t="shared" si="59"/>
        <v>0</v>
      </c>
      <c r="AI43" s="34">
        <f t="shared" si="60"/>
        <v>1</v>
      </c>
      <c r="AJ43" s="35">
        <f t="shared" si="61"/>
        <v>0</v>
      </c>
      <c r="AK43" s="34">
        <f t="shared" si="62"/>
        <v>1</v>
      </c>
      <c r="AL43" s="35">
        <f t="shared" si="63"/>
        <v>0</v>
      </c>
      <c r="AM43" s="35">
        <f t="shared" si="64"/>
        <v>0</v>
      </c>
      <c r="AN43" s="36">
        <v>1</v>
      </c>
      <c r="AO43" s="54">
        <v>1</v>
      </c>
      <c r="AP43" s="2"/>
      <c r="AQ43" s="42" t="s">
        <v>484</v>
      </c>
      <c r="AR43" s="43">
        <f t="shared" si="65"/>
        <v>0.5256948246559926</v>
      </c>
      <c r="AS43" s="43">
        <f t="shared" si="71"/>
        <v>0.43704433481917748</v>
      </c>
      <c r="AT43" s="43">
        <f t="shared" si="72"/>
        <v>3.7260840524829801E-2</v>
      </c>
      <c r="AU43" s="43">
        <f t="shared" si="73"/>
        <v>0</v>
      </c>
      <c r="AV43" s="29">
        <f t="shared" si="74"/>
        <v>0</v>
      </c>
      <c r="AW43" s="43">
        <f t="shared" si="75"/>
        <v>0</v>
      </c>
      <c r="AX43" s="43">
        <f t="shared" si="76"/>
        <v>0</v>
      </c>
      <c r="AY43" s="43">
        <f t="shared" si="77"/>
        <v>0</v>
      </c>
      <c r="AZ43" s="29">
        <f t="shared" si="78"/>
        <v>0</v>
      </c>
      <c r="BA43" s="43">
        <f t="shared" si="79"/>
        <v>0</v>
      </c>
      <c r="BB43" s="43">
        <f t="shared" si="80"/>
        <v>0</v>
      </c>
      <c r="BC43" s="44">
        <f t="shared" si="81"/>
        <v>0</v>
      </c>
      <c r="BD43" s="2"/>
      <c r="BE43" s="42" t="s">
        <v>484</v>
      </c>
      <c r="BF43" s="62">
        <v>1</v>
      </c>
      <c r="BG43" s="62">
        <v>1</v>
      </c>
      <c r="BH43" s="62">
        <v>1</v>
      </c>
      <c r="BI43" s="62">
        <v>1</v>
      </c>
      <c r="BJ43" s="36">
        <v>1</v>
      </c>
      <c r="BK43" s="62">
        <v>1</v>
      </c>
      <c r="BL43" s="62">
        <v>1</v>
      </c>
      <c r="BM43" s="62">
        <v>1</v>
      </c>
      <c r="BN43" s="36">
        <v>1</v>
      </c>
      <c r="BO43" s="62">
        <v>1</v>
      </c>
      <c r="BP43" s="62">
        <v>1</v>
      </c>
      <c r="BQ43" s="54">
        <v>1</v>
      </c>
      <c r="BR43" s="2"/>
      <c r="BS43" s="42" t="s">
        <v>484</v>
      </c>
      <c r="BT43" s="67">
        <f t="shared" si="66"/>
        <v>1352.9110000000001</v>
      </c>
      <c r="BU43" s="67">
        <f t="shared" si="18"/>
        <v>1124.7629999999999</v>
      </c>
      <c r="BV43" s="67">
        <f t="shared" si="19"/>
        <v>95.893280000000004</v>
      </c>
      <c r="BW43" s="67">
        <f t="shared" si="20"/>
        <v>0</v>
      </c>
      <c r="BX43" s="30">
        <f t="shared" si="21"/>
        <v>0</v>
      </c>
      <c r="BY43" s="67">
        <f t="shared" si="22"/>
        <v>0</v>
      </c>
      <c r="BZ43" s="67">
        <f t="shared" si="23"/>
        <v>0</v>
      </c>
      <c r="CA43" s="67">
        <f t="shared" si="24"/>
        <v>0</v>
      </c>
      <c r="CB43" s="30">
        <f t="shared" si="25"/>
        <v>0</v>
      </c>
      <c r="CC43" s="67">
        <f t="shared" si="26"/>
        <v>0</v>
      </c>
      <c r="CD43" s="67">
        <f t="shared" si="27"/>
        <v>0</v>
      </c>
      <c r="CE43" s="68">
        <f t="shared" si="28"/>
        <v>0</v>
      </c>
      <c r="CF43" s="2"/>
      <c r="CG43" s="37" t="str">
        <f t="shared" si="67"/>
        <v>afish</v>
      </c>
      <c r="CH43" s="42" t="s">
        <v>484</v>
      </c>
      <c r="CI43" s="67">
        <f t="shared" si="68"/>
        <v>1352.9110000000001</v>
      </c>
      <c r="CJ43" s="67">
        <f t="shared" si="82"/>
        <v>1124.7629999999999</v>
      </c>
      <c r="CK43" s="67">
        <f t="shared" si="83"/>
        <v>95.893280000000004</v>
      </c>
      <c r="CL43" s="67">
        <f t="shared" si="84"/>
        <v>0</v>
      </c>
      <c r="CM43" s="30">
        <f t="shared" si="85"/>
        <v>0</v>
      </c>
      <c r="CN43" s="67">
        <f t="shared" si="86"/>
        <v>0</v>
      </c>
      <c r="CO43" s="67">
        <f t="shared" si="87"/>
        <v>0</v>
      </c>
      <c r="CP43" s="67">
        <f t="shared" si="88"/>
        <v>0</v>
      </c>
      <c r="CQ43" s="30">
        <f t="shared" si="89"/>
        <v>0</v>
      </c>
      <c r="CR43" s="67">
        <f t="shared" si="90"/>
        <v>0</v>
      </c>
      <c r="CS43" s="67">
        <f t="shared" si="91"/>
        <v>0</v>
      </c>
      <c r="CT43" s="68">
        <f t="shared" si="92"/>
        <v>0</v>
      </c>
      <c r="CU43" s="2"/>
      <c r="CV43" s="42" t="s">
        <v>484</v>
      </c>
      <c r="CW43" s="67">
        <f t="shared" si="69"/>
        <v>1352.9110000000001</v>
      </c>
      <c r="CX43" s="67">
        <f t="shared" si="93"/>
        <v>1124.7629999999999</v>
      </c>
      <c r="CY43" s="67">
        <f t="shared" si="94"/>
        <v>95.893280000000004</v>
      </c>
      <c r="CZ43" s="67">
        <f t="shared" si="95"/>
        <v>0</v>
      </c>
      <c r="DA43" s="30">
        <f t="shared" si="96"/>
        <v>0</v>
      </c>
      <c r="DB43" s="67">
        <f t="shared" si="97"/>
        <v>0</v>
      </c>
      <c r="DC43" s="67">
        <f t="shared" si="98"/>
        <v>0</v>
      </c>
      <c r="DD43" s="67">
        <f t="shared" si="99"/>
        <v>0</v>
      </c>
      <c r="DE43" s="30">
        <f t="shared" si="100"/>
        <v>0</v>
      </c>
      <c r="DF43" s="67">
        <f t="shared" si="101"/>
        <v>0</v>
      </c>
      <c r="DG43" s="67">
        <f t="shared" si="102"/>
        <v>0</v>
      </c>
      <c r="DH43" s="68">
        <f t="shared" si="103"/>
        <v>0</v>
      </c>
      <c r="DI43" s="2"/>
      <c r="DJ43" s="37" t="s">
        <v>484</v>
      </c>
      <c r="DK43" s="76" t="s">
        <v>484</v>
      </c>
      <c r="DL43" s="67">
        <f t="shared" si="70"/>
        <v>1352.9110000000001</v>
      </c>
      <c r="DM43" s="67">
        <f t="shared" si="31"/>
        <v>1124.7629999999999</v>
      </c>
      <c r="DN43" s="67">
        <f t="shared" si="32"/>
        <v>95.893280000000004</v>
      </c>
      <c r="DO43" s="67">
        <f t="shared" si="33"/>
        <v>0</v>
      </c>
      <c r="DP43" s="30">
        <f t="shared" si="34"/>
        <v>0</v>
      </c>
      <c r="DQ43" s="67">
        <f t="shared" si="35"/>
        <v>0</v>
      </c>
      <c r="DR43" s="67">
        <f t="shared" si="36"/>
        <v>0</v>
      </c>
      <c r="DS43" s="67">
        <f t="shared" si="37"/>
        <v>0</v>
      </c>
      <c r="DT43" s="30">
        <f t="shared" si="38"/>
        <v>0</v>
      </c>
      <c r="DU43" s="67">
        <f t="shared" si="39"/>
        <v>0</v>
      </c>
      <c r="DV43" s="67">
        <f t="shared" si="40"/>
        <v>0</v>
      </c>
      <c r="DW43" s="68">
        <f t="shared" si="41"/>
        <v>0</v>
      </c>
      <c r="DX43" s="2"/>
      <c r="DY43" s="81" t="s">
        <v>484</v>
      </c>
      <c r="DZ43" s="82"/>
      <c r="EA43" s="82"/>
      <c r="EB43" s="82"/>
      <c r="EC43" s="83"/>
      <c r="ED43" s="84">
        <v>1</v>
      </c>
      <c r="EE43" s="2"/>
      <c r="EF43" s="38" t="s">
        <v>484</v>
      </c>
      <c r="EG43" s="93" t="s">
        <v>484</v>
      </c>
      <c r="EH43" s="94"/>
      <c r="EI43" s="94"/>
      <c r="EJ43" s="94"/>
      <c r="EK43" s="94"/>
      <c r="EL43" s="94"/>
      <c r="EM43" s="94"/>
      <c r="EN43" s="94"/>
      <c r="EO43" s="94"/>
      <c r="EP43" s="94"/>
      <c r="EQ43" s="94"/>
      <c r="ER43" s="94"/>
      <c r="ES43" s="95"/>
      <c r="ET43" s="38" t="s">
        <v>484</v>
      </c>
      <c r="EU43" s="93" t="s">
        <v>484</v>
      </c>
      <c r="EV43" s="94"/>
      <c r="EW43" s="94"/>
      <c r="EX43" s="94"/>
      <c r="EY43" s="94"/>
      <c r="EZ43" s="94"/>
      <c r="FA43" s="94"/>
      <c r="FB43" s="94"/>
      <c r="FC43" s="94"/>
      <c r="FD43" s="94"/>
      <c r="FE43" s="94"/>
      <c r="FF43" s="94"/>
      <c r="FG43" s="95"/>
      <c r="FH43" s="38" t="s">
        <v>484</v>
      </c>
      <c r="FI43" s="93" t="s">
        <v>484</v>
      </c>
      <c r="FJ43" s="94">
        <v>532.37009999999998</v>
      </c>
      <c r="FK43" s="94">
        <v>313.25740000000002</v>
      </c>
      <c r="FL43" s="94">
        <v>4.3835170000000003</v>
      </c>
      <c r="FM43" s="94"/>
      <c r="FN43" s="94">
        <v>144.12119999999999</v>
      </c>
      <c r="FO43" s="94">
        <v>5.1350769999999999</v>
      </c>
      <c r="FP43" s="94"/>
      <c r="FQ43" s="94"/>
      <c r="FR43" s="94"/>
      <c r="FS43" s="94">
        <v>2.1315010000000001</v>
      </c>
      <c r="FT43" s="94"/>
      <c r="FU43" s="95"/>
      <c r="FV43" s="38" t="s">
        <v>484</v>
      </c>
      <c r="FW43" s="93" t="s">
        <v>484</v>
      </c>
      <c r="FX43" s="94"/>
      <c r="FY43" s="94"/>
      <c r="FZ43" s="94"/>
      <c r="GA43" s="94"/>
      <c r="GB43" s="94"/>
      <c r="GC43" s="94"/>
      <c r="GD43" s="94"/>
      <c r="GE43" s="94"/>
      <c r="GF43" s="94"/>
      <c r="GG43" s="94"/>
      <c r="GH43" s="94"/>
      <c r="GI43" s="95"/>
      <c r="GJ43" s="38" t="s">
        <v>484</v>
      </c>
      <c r="GK43" s="93" t="s">
        <v>484</v>
      </c>
      <c r="GL43" s="94">
        <v>1352.9110000000001</v>
      </c>
      <c r="GM43" s="94">
        <v>1124.7629999999999</v>
      </c>
      <c r="GN43" s="94">
        <v>95.893280000000004</v>
      </c>
      <c r="GO43" s="94"/>
      <c r="GP43" s="94"/>
      <c r="GQ43" s="94"/>
      <c r="GR43" s="94"/>
      <c r="GS43" s="94"/>
      <c r="GT43" s="94"/>
      <c r="GU43" s="94"/>
      <c r="GV43" s="94"/>
      <c r="GW43" s="95"/>
      <c r="GX43" s="38"/>
    </row>
    <row r="44" spans="1:206" x14ac:dyDescent="0.35">
      <c r="A44" s="2"/>
      <c r="B44" s="2"/>
      <c r="C44" s="42" t="s">
        <v>448</v>
      </c>
      <c r="D44" s="43">
        <f t="shared" si="42"/>
        <v>0.35876340980258448</v>
      </c>
      <c r="E44" s="43">
        <f t="shared" si="0"/>
        <v>0.56076169156710565</v>
      </c>
      <c r="F44" s="43">
        <f t="shared" si="1"/>
        <v>1.5585659848842632E-2</v>
      </c>
      <c r="G44" s="43">
        <f t="shared" si="2"/>
        <v>0</v>
      </c>
      <c r="H44" s="43">
        <f t="shared" si="3"/>
        <v>0</v>
      </c>
      <c r="I44" s="43">
        <f t="shared" si="4"/>
        <v>6.037508558438238E-3</v>
      </c>
      <c r="J44" s="43">
        <f t="shared" si="5"/>
        <v>0</v>
      </c>
      <c r="K44" s="43">
        <f t="shared" si="6"/>
        <v>0</v>
      </c>
      <c r="L44" s="43">
        <f t="shared" si="7"/>
        <v>2.767370974941358E-3</v>
      </c>
      <c r="M44" s="43">
        <f t="shared" si="8"/>
        <v>1.8647015178196984E-3</v>
      </c>
      <c r="N44" s="43">
        <f t="shared" si="9"/>
        <v>1.5420851111747362E-2</v>
      </c>
      <c r="O44" s="44">
        <f t="shared" si="10"/>
        <v>3.8798806618520615E-2</v>
      </c>
      <c r="P44" s="115">
        <f t="shared" si="43"/>
        <v>1</v>
      </c>
      <c r="Q44" s="2"/>
      <c r="R44" s="42" t="s">
        <v>448</v>
      </c>
      <c r="S44" s="43">
        <f t="shared" si="44"/>
        <v>0.35876340980258448</v>
      </c>
      <c r="T44" s="43">
        <f t="shared" si="45"/>
        <v>0.56076169156710565</v>
      </c>
      <c r="U44" s="43">
        <f t="shared" si="46"/>
        <v>1.5585659848842632E-2</v>
      </c>
      <c r="V44" s="43">
        <f t="shared" si="47"/>
        <v>0</v>
      </c>
      <c r="W44" s="29">
        <f t="shared" si="48"/>
        <v>0</v>
      </c>
      <c r="X44" s="43">
        <f t="shared" si="49"/>
        <v>6.037508558438238E-3</v>
      </c>
      <c r="Y44" s="43">
        <f t="shared" si="50"/>
        <v>0</v>
      </c>
      <c r="Z44" s="43">
        <f t="shared" si="51"/>
        <v>0</v>
      </c>
      <c r="AA44" s="29">
        <f t="shared" si="52"/>
        <v>2.767370974941358E-3</v>
      </c>
      <c r="AB44" s="43">
        <f t="shared" si="53"/>
        <v>1.8647015178196984E-3</v>
      </c>
      <c r="AC44" s="43">
        <f t="shared" si="54"/>
        <v>1.5420851111747362E-2</v>
      </c>
      <c r="AD44" s="43">
        <f t="shared" si="55"/>
        <v>3.8798806618520615E-2</v>
      </c>
      <c r="AE44" s="32">
        <f t="shared" si="56"/>
        <v>0.36153078077752582</v>
      </c>
      <c r="AF44" s="53">
        <f t="shared" si="57"/>
        <v>0.56866390164336356</v>
      </c>
      <c r="AG44" s="53">
        <f t="shared" si="58"/>
        <v>3.1006510960589994E-2</v>
      </c>
      <c r="AH44" s="53">
        <f t="shared" si="59"/>
        <v>3.8798806618520615E-2</v>
      </c>
      <c r="AI44" s="34">
        <f t="shared" si="60"/>
        <v>0</v>
      </c>
      <c r="AJ44" s="35">
        <f t="shared" si="61"/>
        <v>0</v>
      </c>
      <c r="AK44" s="34">
        <f>AVERAGE(AK45:AK46)</f>
        <v>0.93511076121853276</v>
      </c>
      <c r="AL44" s="35">
        <f t="shared" ref="AL44" si="107">AVERAGE(AL45:AL46)</f>
        <v>6.0375085584382371E-3</v>
      </c>
      <c r="AM44" s="35">
        <f t="shared" si="64"/>
        <v>5.8851730223029031E-2</v>
      </c>
      <c r="AN44" s="36">
        <v>1</v>
      </c>
      <c r="AO44" s="54">
        <v>1</v>
      </c>
      <c r="AP44" s="2"/>
      <c r="AQ44" s="42" t="s">
        <v>448</v>
      </c>
      <c r="AR44" s="43">
        <f t="shared" si="65"/>
        <v>0.36017788509381182</v>
      </c>
      <c r="AS44" s="43">
        <f t="shared" si="71"/>
        <v>0.56297257354479946</v>
      </c>
      <c r="AT44" s="43">
        <f t="shared" si="72"/>
        <v>1.5647108508743016E-2</v>
      </c>
      <c r="AU44" s="43">
        <f t="shared" si="73"/>
        <v>0</v>
      </c>
      <c r="AV44" s="29">
        <f t="shared" si="74"/>
        <v>0</v>
      </c>
      <c r="AW44" s="43">
        <f t="shared" si="75"/>
        <v>5.2982187234937115E-3</v>
      </c>
      <c r="AX44" s="43">
        <f t="shared" si="76"/>
        <v>0</v>
      </c>
      <c r="AY44" s="43">
        <f t="shared" si="77"/>
        <v>0</v>
      </c>
      <c r="AZ44" s="29">
        <f t="shared" si="78"/>
        <v>2.6287706235930404E-3</v>
      </c>
      <c r="BA44" s="43">
        <f t="shared" si="79"/>
        <v>1.7713102494029194E-3</v>
      </c>
      <c r="BB44" s="43">
        <f t="shared" si="80"/>
        <v>1.4648516863274017E-2</v>
      </c>
      <c r="BC44" s="44">
        <f t="shared" si="81"/>
        <v>3.6855616392881874E-2</v>
      </c>
      <c r="BD44" s="2"/>
      <c r="BE44" s="42" t="s">
        <v>448</v>
      </c>
      <c r="BF44" s="62">
        <v>1</v>
      </c>
      <c r="BG44" s="62">
        <v>1</v>
      </c>
      <c r="BH44" s="62">
        <v>1</v>
      </c>
      <c r="BI44" s="62">
        <v>1</v>
      </c>
      <c r="BJ44" s="36">
        <v>1</v>
      </c>
      <c r="BK44" s="62">
        <v>1</v>
      </c>
      <c r="BL44" s="62">
        <v>1</v>
      </c>
      <c r="BM44" s="62">
        <v>1</v>
      </c>
      <c r="BN44" s="36">
        <v>1</v>
      </c>
      <c r="BO44" s="62">
        <v>1</v>
      </c>
      <c r="BP44" s="62">
        <v>1</v>
      </c>
      <c r="BQ44" s="54">
        <v>1</v>
      </c>
      <c r="BR44" s="2"/>
      <c r="BS44" s="42" t="s">
        <v>448</v>
      </c>
      <c r="BT44" s="67">
        <f t="shared" si="66"/>
        <v>16360.422</v>
      </c>
      <c r="BU44" s="67">
        <f t="shared" si="18"/>
        <v>25572</v>
      </c>
      <c r="BV44" s="67">
        <f t="shared" si="19"/>
        <v>710.74130000000002</v>
      </c>
      <c r="BW44" s="67">
        <f t="shared" si="20"/>
        <v>0</v>
      </c>
      <c r="BX44" s="30">
        <f t="shared" si="21"/>
        <v>0</v>
      </c>
      <c r="BY44" s="67">
        <f t="shared" si="22"/>
        <v>240.6619</v>
      </c>
      <c r="BZ44" s="67">
        <f t="shared" si="23"/>
        <v>0</v>
      </c>
      <c r="CA44" s="67">
        <f t="shared" si="24"/>
        <v>0</v>
      </c>
      <c r="CB44" s="30">
        <f t="shared" si="25"/>
        <v>119.4071</v>
      </c>
      <c r="CC44" s="67">
        <f t="shared" si="26"/>
        <v>80.458529999999996</v>
      </c>
      <c r="CD44" s="67">
        <f t="shared" si="27"/>
        <v>665.38210000000004</v>
      </c>
      <c r="CE44" s="68">
        <f t="shared" si="28"/>
        <v>1674.0989999999999</v>
      </c>
      <c r="CF44" s="2"/>
      <c r="CG44" s="37" t="str">
        <f t="shared" si="67"/>
        <v>amore</v>
      </c>
      <c r="CH44" s="42" t="s">
        <v>448</v>
      </c>
      <c r="CI44" s="67">
        <f t="shared" si="68"/>
        <v>16360.422</v>
      </c>
      <c r="CJ44" s="67">
        <f t="shared" si="82"/>
        <v>25572</v>
      </c>
      <c r="CK44" s="67">
        <f t="shared" si="83"/>
        <v>710.74130000000002</v>
      </c>
      <c r="CL44" s="67">
        <f t="shared" si="84"/>
        <v>0</v>
      </c>
      <c r="CM44" s="30">
        <f t="shared" si="85"/>
        <v>0</v>
      </c>
      <c r="CN44" s="67">
        <f t="shared" si="86"/>
        <v>240.6619</v>
      </c>
      <c r="CO44" s="67">
        <f t="shared" si="87"/>
        <v>0</v>
      </c>
      <c r="CP44" s="67">
        <f t="shared" si="88"/>
        <v>0</v>
      </c>
      <c r="CQ44" s="30">
        <f t="shared" si="89"/>
        <v>119.4071</v>
      </c>
      <c r="CR44" s="67">
        <f t="shared" si="90"/>
        <v>80.458529999999996</v>
      </c>
      <c r="CS44" s="67">
        <f t="shared" si="91"/>
        <v>665.38210000000004</v>
      </c>
      <c r="CT44" s="68">
        <f t="shared" si="92"/>
        <v>1674.0989999999999</v>
      </c>
      <c r="CU44" s="2"/>
      <c r="CV44" s="42" t="s">
        <v>448</v>
      </c>
      <c r="CW44" s="67">
        <f t="shared" si="69"/>
        <v>0</v>
      </c>
      <c r="CX44" s="67">
        <f t="shared" si="93"/>
        <v>0</v>
      </c>
      <c r="CY44" s="67">
        <f t="shared" si="94"/>
        <v>0</v>
      </c>
      <c r="CZ44" s="67">
        <f t="shared" si="95"/>
        <v>0</v>
      </c>
      <c r="DA44" s="30">
        <f t="shared" si="96"/>
        <v>0</v>
      </c>
      <c r="DB44" s="67">
        <f t="shared" si="97"/>
        <v>0</v>
      </c>
      <c r="DC44" s="67">
        <f t="shared" si="98"/>
        <v>0</v>
      </c>
      <c r="DD44" s="67">
        <f t="shared" si="99"/>
        <v>0</v>
      </c>
      <c r="DE44" s="30">
        <f t="shared" si="100"/>
        <v>0</v>
      </c>
      <c r="DF44" s="67">
        <f t="shared" si="101"/>
        <v>0</v>
      </c>
      <c r="DG44" s="67">
        <f t="shared" si="102"/>
        <v>0</v>
      </c>
      <c r="DH44" s="68">
        <f t="shared" si="103"/>
        <v>0</v>
      </c>
      <c r="DI44" s="2"/>
      <c r="DJ44" s="37" t="s">
        <v>526</v>
      </c>
      <c r="DK44" s="76" t="s">
        <v>448</v>
      </c>
      <c r="DL44" s="67">
        <f t="shared" si="70"/>
        <v>0</v>
      </c>
      <c r="DM44" s="67">
        <f t="shared" si="31"/>
        <v>0</v>
      </c>
      <c r="DN44" s="67">
        <f t="shared" si="32"/>
        <v>0</v>
      </c>
      <c r="DO44" s="67">
        <f t="shared" si="33"/>
        <v>0</v>
      </c>
      <c r="DP44" s="30">
        <f t="shared" si="34"/>
        <v>0</v>
      </c>
      <c r="DQ44" s="67">
        <f t="shared" si="35"/>
        <v>0</v>
      </c>
      <c r="DR44" s="67">
        <f t="shared" si="36"/>
        <v>0</v>
      </c>
      <c r="DS44" s="67">
        <f t="shared" si="37"/>
        <v>0</v>
      </c>
      <c r="DT44" s="30">
        <f t="shared" si="38"/>
        <v>0</v>
      </c>
      <c r="DU44" s="67">
        <f t="shared" si="39"/>
        <v>0</v>
      </c>
      <c r="DV44" s="67">
        <f t="shared" si="40"/>
        <v>0</v>
      </c>
      <c r="DW44" s="68">
        <f t="shared" si="41"/>
        <v>0</v>
      </c>
      <c r="DX44" s="2"/>
      <c r="DY44" s="81" t="s">
        <v>448</v>
      </c>
      <c r="DZ44" s="82"/>
      <c r="EA44" s="82"/>
      <c r="EB44" s="82"/>
      <c r="EC44" s="83"/>
      <c r="ED44" s="84">
        <v>1</v>
      </c>
      <c r="EE44" s="2"/>
      <c r="EF44" s="38" t="s">
        <v>448</v>
      </c>
      <c r="EG44" s="93" t="s">
        <v>448</v>
      </c>
      <c r="EH44" s="94">
        <v>13902.79</v>
      </c>
      <c r="EI44" s="94">
        <v>11448.54</v>
      </c>
      <c r="EJ44" s="94">
        <v>1796.4110000000001</v>
      </c>
      <c r="EK44" s="94">
        <v>173.05369999999999</v>
      </c>
      <c r="EL44" s="94">
        <v>244.3914</v>
      </c>
      <c r="EM44" s="94">
        <v>233.99860000000001</v>
      </c>
      <c r="EN44" s="94">
        <v>98.667299999999997</v>
      </c>
      <c r="EO44" s="94"/>
      <c r="EP44" s="94">
        <v>1073.0719999999999</v>
      </c>
      <c r="EQ44" s="94">
        <v>822.24300000000005</v>
      </c>
      <c r="ER44" s="94">
        <v>122.7852</v>
      </c>
      <c r="ES44" s="95"/>
      <c r="ET44" s="38" t="s">
        <v>448</v>
      </c>
      <c r="EU44" s="93" t="s">
        <v>448</v>
      </c>
      <c r="EV44" s="94">
        <v>19925.12</v>
      </c>
      <c r="EW44" s="94">
        <v>11599.89</v>
      </c>
      <c r="EX44" s="94">
        <v>824.81830000000002</v>
      </c>
      <c r="EY44" s="94"/>
      <c r="EZ44" s="94"/>
      <c r="FA44" s="94"/>
      <c r="FB44" s="94"/>
      <c r="FC44" s="94"/>
      <c r="FD44" s="94">
        <v>21960.05</v>
      </c>
      <c r="FE44" s="94">
        <v>25420.9</v>
      </c>
      <c r="FF44" s="94">
        <v>3628.232</v>
      </c>
      <c r="FG44" s="95">
        <v>18141.16</v>
      </c>
      <c r="FH44" s="38" t="s">
        <v>448</v>
      </c>
      <c r="FI44" s="93" t="s">
        <v>448</v>
      </c>
      <c r="FJ44" s="94"/>
      <c r="FK44" s="94"/>
      <c r="FL44" s="94"/>
      <c r="FM44" s="94"/>
      <c r="FN44" s="94"/>
      <c r="FO44" s="94"/>
      <c r="FP44" s="94"/>
      <c r="FQ44" s="94"/>
      <c r="FR44" s="94"/>
      <c r="FS44" s="94"/>
      <c r="FT44" s="94"/>
      <c r="FU44" s="95"/>
      <c r="FV44" s="38" t="s">
        <v>448</v>
      </c>
      <c r="FW44" s="93" t="s">
        <v>448</v>
      </c>
      <c r="FX44" s="94"/>
      <c r="FY44" s="94"/>
      <c r="FZ44" s="94"/>
      <c r="GA44" s="94"/>
      <c r="GB44" s="94"/>
      <c r="GC44" s="94"/>
      <c r="GD44" s="94"/>
      <c r="GE44" s="94"/>
      <c r="GF44" s="94"/>
      <c r="GG44" s="94"/>
      <c r="GH44" s="94"/>
      <c r="GI44" s="95"/>
      <c r="GJ44" s="38" t="s">
        <v>448</v>
      </c>
      <c r="GK44" s="93" t="s">
        <v>448</v>
      </c>
      <c r="GL44" s="94"/>
      <c r="GM44" s="94"/>
      <c r="GN44" s="94"/>
      <c r="GO44" s="94"/>
      <c r="GP44" s="94"/>
      <c r="GQ44" s="94"/>
      <c r="GR44" s="94"/>
      <c r="GS44" s="94"/>
      <c r="GT44" s="94"/>
      <c r="GU44" s="94"/>
      <c r="GV44" s="94"/>
      <c r="GW44" s="95"/>
      <c r="GX44" s="38"/>
    </row>
    <row r="45" spans="1:206" x14ac:dyDescent="0.35">
      <c r="A45" s="2"/>
      <c r="B45" s="2"/>
      <c r="C45" s="42" t="s">
        <v>526</v>
      </c>
      <c r="D45" s="43">
        <f t="shared" si="42"/>
        <v>0.34721190960222598</v>
      </c>
      <c r="E45" s="43">
        <f t="shared" si="0"/>
        <v>0.54270623045958855</v>
      </c>
      <c r="F45" s="43">
        <f t="shared" si="1"/>
        <v>1.5083831212065838E-2</v>
      </c>
      <c r="G45" s="43">
        <f t="shared" si="2"/>
        <v>0</v>
      </c>
      <c r="H45" s="43">
        <f t="shared" si="3"/>
        <v>0</v>
      </c>
      <c r="I45" s="43">
        <f t="shared" si="4"/>
        <v>1.2075017116876476E-2</v>
      </c>
      <c r="J45" s="43">
        <f t="shared" si="5"/>
        <v>0</v>
      </c>
      <c r="K45" s="43">
        <f t="shared" si="6"/>
        <v>0</v>
      </c>
      <c r="L45" s="43">
        <f t="shared" si="7"/>
        <v>3.8992691397941016E-3</v>
      </c>
      <c r="M45" s="43">
        <f t="shared" si="8"/>
        <v>2.6273937065902937E-3</v>
      </c>
      <c r="N45" s="43">
        <f t="shared" si="9"/>
        <v>2.1728221259049028E-2</v>
      </c>
      <c r="O45" s="44">
        <f t="shared" si="10"/>
        <v>5.4668127503809776E-2</v>
      </c>
      <c r="P45" s="115">
        <f t="shared" si="43"/>
        <v>1</v>
      </c>
      <c r="Q45" s="2"/>
      <c r="R45" s="42" t="s">
        <v>526</v>
      </c>
      <c r="S45" s="43">
        <f t="shared" si="44"/>
        <v>0.34721190960222598</v>
      </c>
      <c r="T45" s="43">
        <f t="shared" si="45"/>
        <v>0.54270623045958855</v>
      </c>
      <c r="U45" s="43">
        <f t="shared" si="46"/>
        <v>1.5083831212065838E-2</v>
      </c>
      <c r="V45" s="43">
        <f t="shared" si="47"/>
        <v>0</v>
      </c>
      <c r="W45" s="29">
        <f t="shared" si="48"/>
        <v>0</v>
      </c>
      <c r="X45" s="43">
        <f t="shared" si="49"/>
        <v>1.2075017116876476E-2</v>
      </c>
      <c r="Y45" s="43">
        <f t="shared" si="50"/>
        <v>0</v>
      </c>
      <c r="Z45" s="43">
        <f t="shared" si="51"/>
        <v>0</v>
      </c>
      <c r="AA45" s="29">
        <f t="shared" si="52"/>
        <v>3.8992691397941016E-3</v>
      </c>
      <c r="AB45" s="43">
        <f t="shared" si="53"/>
        <v>2.6273937065902937E-3</v>
      </c>
      <c r="AC45" s="43">
        <f t="shared" si="54"/>
        <v>2.1728221259049028E-2</v>
      </c>
      <c r="AD45" s="43">
        <f t="shared" si="55"/>
        <v>5.4668127503809776E-2</v>
      </c>
      <c r="AE45" s="32">
        <f t="shared" si="56"/>
        <v>0.35111117874202008</v>
      </c>
      <c r="AF45" s="53">
        <f t="shared" si="57"/>
        <v>0.55740864128305534</v>
      </c>
      <c r="AG45" s="53">
        <f t="shared" si="58"/>
        <v>3.6812052471114867E-2</v>
      </c>
      <c r="AH45" s="53">
        <f t="shared" si="59"/>
        <v>5.4668127503809776E-2</v>
      </c>
      <c r="AI45" s="34">
        <f t="shared" si="60"/>
        <v>0.90500197127388038</v>
      </c>
      <c r="AJ45" s="35">
        <f t="shared" si="61"/>
        <v>1.2075017116876474E-2</v>
      </c>
      <c r="AK45" s="34">
        <f t="shared" si="62"/>
        <v>0.90500197127388038</v>
      </c>
      <c r="AL45" s="35">
        <f t="shared" si="63"/>
        <v>1.2075017116876474E-2</v>
      </c>
      <c r="AM45" s="35">
        <f t="shared" si="64"/>
        <v>8.2923011609243202E-2</v>
      </c>
      <c r="AN45" s="36">
        <v>1</v>
      </c>
      <c r="AO45" s="54">
        <v>1</v>
      </c>
      <c r="AP45" s="2"/>
      <c r="AQ45" s="42" t="s">
        <v>526</v>
      </c>
      <c r="AR45" s="43">
        <f t="shared" si="65"/>
        <v>0.36017788509381182</v>
      </c>
      <c r="AS45" s="43">
        <f t="shared" si="71"/>
        <v>0.56297257354479946</v>
      </c>
      <c r="AT45" s="43">
        <f t="shared" si="72"/>
        <v>1.5647108508743016E-2</v>
      </c>
      <c r="AU45" s="43">
        <f t="shared" si="73"/>
        <v>0</v>
      </c>
      <c r="AV45" s="29">
        <f t="shared" si="74"/>
        <v>0</v>
      </c>
      <c r="AW45" s="43">
        <f t="shared" si="75"/>
        <v>5.2982187234937115E-3</v>
      </c>
      <c r="AX45" s="43">
        <f t="shared" si="76"/>
        <v>0</v>
      </c>
      <c r="AY45" s="43">
        <f t="shared" si="77"/>
        <v>0</v>
      </c>
      <c r="AZ45" s="29">
        <f t="shared" si="78"/>
        <v>2.6287706235930404E-3</v>
      </c>
      <c r="BA45" s="43">
        <f t="shared" si="79"/>
        <v>1.7713102494029194E-3</v>
      </c>
      <c r="BB45" s="43">
        <f t="shared" si="80"/>
        <v>1.4648516863274017E-2</v>
      </c>
      <c r="BC45" s="44">
        <f t="shared" si="81"/>
        <v>3.6855616392881874E-2</v>
      </c>
      <c r="BD45" s="2"/>
      <c r="BE45" s="42" t="s">
        <v>526</v>
      </c>
      <c r="BF45" s="62">
        <v>1</v>
      </c>
      <c r="BG45" s="62">
        <v>1</v>
      </c>
      <c r="BH45" s="62">
        <v>1</v>
      </c>
      <c r="BI45" s="62">
        <v>1</v>
      </c>
      <c r="BJ45" s="36">
        <v>1</v>
      </c>
      <c r="BK45" s="62">
        <v>1</v>
      </c>
      <c r="BL45" s="62">
        <v>1</v>
      </c>
      <c r="BM45" s="62">
        <v>1</v>
      </c>
      <c r="BN45" s="36">
        <v>1</v>
      </c>
      <c r="BO45" s="62">
        <v>1</v>
      </c>
      <c r="BP45" s="62">
        <v>1</v>
      </c>
      <c r="BQ45" s="54">
        <v>1</v>
      </c>
      <c r="BR45" s="2"/>
      <c r="BS45" s="42" t="s">
        <v>526</v>
      </c>
      <c r="BT45" s="67">
        <f t="shared" si="66"/>
        <v>16360.422</v>
      </c>
      <c r="BU45" s="67">
        <f t="shared" si="18"/>
        <v>25572</v>
      </c>
      <c r="BV45" s="67">
        <f t="shared" si="19"/>
        <v>710.74130000000002</v>
      </c>
      <c r="BW45" s="67">
        <f t="shared" si="20"/>
        <v>0</v>
      </c>
      <c r="BX45" s="30">
        <f t="shared" si="21"/>
        <v>0</v>
      </c>
      <c r="BY45" s="67">
        <f t="shared" si="22"/>
        <v>240.6619</v>
      </c>
      <c r="BZ45" s="67">
        <f t="shared" si="23"/>
        <v>0</v>
      </c>
      <c r="CA45" s="67">
        <f t="shared" si="24"/>
        <v>0</v>
      </c>
      <c r="CB45" s="30">
        <f t="shared" si="25"/>
        <v>119.4071</v>
      </c>
      <c r="CC45" s="67">
        <f t="shared" si="26"/>
        <v>80.458529999999996</v>
      </c>
      <c r="CD45" s="67">
        <f t="shared" si="27"/>
        <v>665.38210000000004</v>
      </c>
      <c r="CE45" s="68">
        <f t="shared" si="28"/>
        <v>1674.0989999999999</v>
      </c>
      <c r="CF45" s="2"/>
      <c r="CG45" s="37" t="str">
        <f t="shared" si="67"/>
        <v>amore</v>
      </c>
      <c r="CH45" s="42" t="s">
        <v>526</v>
      </c>
      <c r="CI45" s="67">
        <f t="shared" si="68"/>
        <v>16360.422</v>
      </c>
      <c r="CJ45" s="67">
        <f t="shared" si="82"/>
        <v>25572</v>
      </c>
      <c r="CK45" s="67">
        <f t="shared" si="83"/>
        <v>710.74130000000002</v>
      </c>
      <c r="CL45" s="67">
        <f t="shared" si="84"/>
        <v>0</v>
      </c>
      <c r="CM45" s="30">
        <f t="shared" si="85"/>
        <v>0</v>
      </c>
      <c r="CN45" s="67">
        <f t="shared" si="86"/>
        <v>240.6619</v>
      </c>
      <c r="CO45" s="67">
        <f t="shared" si="87"/>
        <v>0</v>
      </c>
      <c r="CP45" s="67">
        <f t="shared" si="88"/>
        <v>0</v>
      </c>
      <c r="CQ45" s="30">
        <f t="shared" si="89"/>
        <v>119.4071</v>
      </c>
      <c r="CR45" s="67">
        <f t="shared" si="90"/>
        <v>80.458529999999996</v>
      </c>
      <c r="CS45" s="67">
        <f t="shared" si="91"/>
        <v>665.38210000000004</v>
      </c>
      <c r="CT45" s="68">
        <f t="shared" si="92"/>
        <v>1674.0989999999999</v>
      </c>
      <c r="CU45" s="2"/>
      <c r="CV45" s="42" t="s">
        <v>526</v>
      </c>
      <c r="CW45" s="67">
        <f t="shared" si="69"/>
        <v>16360.422</v>
      </c>
      <c r="CX45" s="67">
        <f t="shared" si="93"/>
        <v>25572</v>
      </c>
      <c r="CY45" s="67">
        <f t="shared" si="94"/>
        <v>710.74130000000002</v>
      </c>
      <c r="CZ45" s="67">
        <f t="shared" si="95"/>
        <v>0</v>
      </c>
      <c r="DA45" s="30">
        <f t="shared" si="96"/>
        <v>0</v>
      </c>
      <c r="DB45" s="67">
        <f t="shared" si="97"/>
        <v>240.6619</v>
      </c>
      <c r="DC45" s="67">
        <f t="shared" si="98"/>
        <v>0</v>
      </c>
      <c r="DD45" s="67">
        <f t="shared" si="99"/>
        <v>0</v>
      </c>
      <c r="DE45" s="30">
        <f t="shared" si="100"/>
        <v>119.4071</v>
      </c>
      <c r="DF45" s="67">
        <f t="shared" si="101"/>
        <v>80.458529999999996</v>
      </c>
      <c r="DG45" s="67">
        <f t="shared" si="102"/>
        <v>665.38210000000004</v>
      </c>
      <c r="DH45" s="68">
        <f t="shared" si="103"/>
        <v>1674.0989999999999</v>
      </c>
      <c r="DI45" s="2"/>
      <c r="DJ45" s="37" t="s">
        <v>526</v>
      </c>
      <c r="DK45" s="76" t="s">
        <v>526</v>
      </c>
      <c r="DL45" s="67">
        <f t="shared" si="70"/>
        <v>7277.5720000000001</v>
      </c>
      <c r="DM45" s="67">
        <f t="shared" si="31"/>
        <v>10235.1</v>
      </c>
      <c r="DN45" s="67">
        <f t="shared" si="32"/>
        <v>524.52760000000001</v>
      </c>
      <c r="DO45" s="67">
        <f t="shared" si="33"/>
        <v>0</v>
      </c>
      <c r="DP45" s="30">
        <f t="shared" si="34"/>
        <v>0</v>
      </c>
      <c r="DQ45" s="67">
        <f t="shared" si="35"/>
        <v>240.6619</v>
      </c>
      <c r="DR45" s="67">
        <f t="shared" si="36"/>
        <v>0</v>
      </c>
      <c r="DS45" s="67">
        <f t="shared" si="37"/>
        <v>0</v>
      </c>
      <c r="DT45" s="30">
        <f t="shared" si="38"/>
        <v>24.36242</v>
      </c>
      <c r="DU45" s="67">
        <f t="shared" si="39"/>
        <v>48.034660000000002</v>
      </c>
      <c r="DV45" s="67">
        <f t="shared" si="40"/>
        <v>665.38210000000004</v>
      </c>
      <c r="DW45" s="68">
        <f t="shared" si="41"/>
        <v>914.92319999999995</v>
      </c>
      <c r="DX45" s="2"/>
      <c r="DY45" s="81" t="s">
        <v>526</v>
      </c>
      <c r="DZ45" s="82"/>
      <c r="EA45" s="82"/>
      <c r="EB45" s="82"/>
      <c r="EC45" s="83"/>
      <c r="ED45" s="84">
        <v>1</v>
      </c>
      <c r="EE45" s="2"/>
      <c r="EF45" s="38" t="s">
        <v>526</v>
      </c>
      <c r="EG45" s="93" t="s">
        <v>526</v>
      </c>
      <c r="EH45" s="94"/>
      <c r="EI45" s="94"/>
      <c r="EJ45" s="94"/>
      <c r="EK45" s="94"/>
      <c r="EL45" s="94"/>
      <c r="EM45" s="94"/>
      <c r="EN45" s="94"/>
      <c r="EO45" s="94"/>
      <c r="EP45" s="94"/>
      <c r="EQ45" s="94"/>
      <c r="ER45" s="94"/>
      <c r="ES45" s="95"/>
      <c r="ET45" s="38" t="s">
        <v>526</v>
      </c>
      <c r="EU45" s="93" t="s">
        <v>526</v>
      </c>
      <c r="EV45" s="94"/>
      <c r="EW45" s="94"/>
      <c r="EX45" s="94"/>
      <c r="EY45" s="94"/>
      <c r="EZ45" s="94"/>
      <c r="FA45" s="94"/>
      <c r="FB45" s="94"/>
      <c r="FC45" s="94"/>
      <c r="FD45" s="94"/>
      <c r="FE45" s="94"/>
      <c r="FF45" s="94"/>
      <c r="FG45" s="95"/>
      <c r="FH45" s="38" t="s">
        <v>526</v>
      </c>
      <c r="FI45" s="93" t="s">
        <v>526</v>
      </c>
      <c r="FJ45" s="94"/>
      <c r="FK45" s="94"/>
      <c r="FL45" s="94"/>
      <c r="FM45" s="94"/>
      <c r="FN45" s="94"/>
      <c r="FO45" s="94"/>
      <c r="FP45" s="94"/>
      <c r="FQ45" s="94"/>
      <c r="FR45" s="94"/>
      <c r="FS45" s="94"/>
      <c r="FT45" s="94"/>
      <c r="FU45" s="95"/>
      <c r="FV45" s="38" t="s">
        <v>526</v>
      </c>
      <c r="FW45" s="93" t="s">
        <v>526</v>
      </c>
      <c r="FX45" s="94"/>
      <c r="FY45" s="94"/>
      <c r="FZ45" s="94"/>
      <c r="GA45" s="94"/>
      <c r="GB45" s="94"/>
      <c r="GC45" s="94"/>
      <c r="GD45" s="94"/>
      <c r="GE45" s="94"/>
      <c r="GF45" s="94"/>
      <c r="GG45" s="94"/>
      <c r="GH45" s="94"/>
      <c r="GI45" s="95"/>
      <c r="GJ45" s="38" t="s">
        <v>526</v>
      </c>
      <c r="GK45" s="93" t="s">
        <v>526</v>
      </c>
      <c r="GL45" s="94">
        <v>7277.5720000000001</v>
      </c>
      <c r="GM45" s="94">
        <v>10235.1</v>
      </c>
      <c r="GN45" s="94">
        <v>524.52760000000001</v>
      </c>
      <c r="GO45" s="94"/>
      <c r="GP45" s="94"/>
      <c r="GQ45" s="94">
        <v>240.6619</v>
      </c>
      <c r="GR45" s="94"/>
      <c r="GS45" s="94"/>
      <c r="GT45" s="94">
        <v>24.36242</v>
      </c>
      <c r="GU45" s="94">
        <v>48.034660000000002</v>
      </c>
      <c r="GV45" s="94">
        <v>665.38210000000004</v>
      </c>
      <c r="GW45" s="95">
        <v>914.92319999999995</v>
      </c>
      <c r="GX45" s="38"/>
    </row>
    <row r="46" spans="1:206" x14ac:dyDescent="0.35">
      <c r="A46" s="2"/>
      <c r="B46" s="2"/>
      <c r="C46" s="42" t="s">
        <v>452</v>
      </c>
      <c r="D46" s="43">
        <f t="shared" si="42"/>
        <v>0.37031491000294298</v>
      </c>
      <c r="E46" s="43">
        <f t="shared" si="0"/>
        <v>0.57881715267462275</v>
      </c>
      <c r="F46" s="43">
        <f t="shared" si="1"/>
        <v>1.6087488485619424E-2</v>
      </c>
      <c r="G46" s="43">
        <f t="shared" si="2"/>
        <v>0</v>
      </c>
      <c r="H46" s="43">
        <f t="shared" si="3"/>
        <v>0</v>
      </c>
      <c r="I46" s="43">
        <f t="shared" si="4"/>
        <v>0</v>
      </c>
      <c r="J46" s="43">
        <f t="shared" si="5"/>
        <v>0</v>
      </c>
      <c r="K46" s="43">
        <f t="shared" si="6"/>
        <v>0</v>
      </c>
      <c r="L46" s="43">
        <f t="shared" si="7"/>
        <v>1.6354728100886151E-3</v>
      </c>
      <c r="M46" s="43">
        <f t="shared" si="8"/>
        <v>1.102009329049103E-3</v>
      </c>
      <c r="N46" s="43">
        <f t="shared" si="9"/>
        <v>9.1134809644456988E-3</v>
      </c>
      <c r="O46" s="44">
        <f t="shared" si="10"/>
        <v>2.2929485733231444E-2</v>
      </c>
      <c r="P46" s="115">
        <f t="shared" si="43"/>
        <v>1</v>
      </c>
      <c r="Q46" s="2"/>
      <c r="R46" s="42" t="s">
        <v>452</v>
      </c>
      <c r="S46" s="43">
        <f t="shared" si="44"/>
        <v>0.37031491000294298</v>
      </c>
      <c r="T46" s="43">
        <f t="shared" si="45"/>
        <v>0.57881715267462275</v>
      </c>
      <c r="U46" s="43">
        <f t="shared" si="46"/>
        <v>1.6087488485619424E-2</v>
      </c>
      <c r="V46" s="43">
        <f t="shared" si="47"/>
        <v>0</v>
      </c>
      <c r="W46" s="29">
        <f t="shared" si="48"/>
        <v>0</v>
      </c>
      <c r="X46" s="43">
        <f t="shared" si="49"/>
        <v>0</v>
      </c>
      <c r="Y46" s="43">
        <f t="shared" si="50"/>
        <v>0</v>
      </c>
      <c r="Z46" s="43">
        <f t="shared" si="51"/>
        <v>0</v>
      </c>
      <c r="AA46" s="29">
        <f t="shared" si="52"/>
        <v>1.6354728100886151E-3</v>
      </c>
      <c r="AB46" s="43">
        <f t="shared" si="53"/>
        <v>1.102009329049103E-3</v>
      </c>
      <c r="AC46" s="43">
        <f t="shared" si="54"/>
        <v>9.1134809644456988E-3</v>
      </c>
      <c r="AD46" s="43">
        <f t="shared" si="55"/>
        <v>2.2929485733231444E-2</v>
      </c>
      <c r="AE46" s="32">
        <f t="shared" si="56"/>
        <v>0.37195038281303161</v>
      </c>
      <c r="AF46" s="53">
        <f t="shared" si="57"/>
        <v>0.57991916200367188</v>
      </c>
      <c r="AG46" s="53">
        <f t="shared" si="58"/>
        <v>2.5200969450065121E-2</v>
      </c>
      <c r="AH46" s="53">
        <f t="shared" si="59"/>
        <v>2.2929485733231444E-2</v>
      </c>
      <c r="AI46" s="34">
        <f t="shared" si="60"/>
        <v>0.96521955116318514</v>
      </c>
      <c r="AJ46" s="35">
        <f t="shared" si="61"/>
        <v>0</v>
      </c>
      <c r="AK46" s="34">
        <f t="shared" si="62"/>
        <v>0.96521955116318514</v>
      </c>
      <c r="AL46" s="35">
        <f t="shared" si="63"/>
        <v>0</v>
      </c>
      <c r="AM46" s="35">
        <f t="shared" si="64"/>
        <v>3.4780448836814859E-2</v>
      </c>
      <c r="AN46" s="36">
        <v>1</v>
      </c>
      <c r="AO46" s="54">
        <v>1</v>
      </c>
      <c r="AP46" s="2"/>
      <c r="AQ46" s="42" t="s">
        <v>452</v>
      </c>
      <c r="AR46" s="43">
        <f t="shared" si="65"/>
        <v>0.36017788509381182</v>
      </c>
      <c r="AS46" s="43">
        <f t="shared" si="71"/>
        <v>0.56297257354479946</v>
      </c>
      <c r="AT46" s="43">
        <f t="shared" si="72"/>
        <v>1.5647108508743016E-2</v>
      </c>
      <c r="AU46" s="43">
        <f t="shared" si="73"/>
        <v>0</v>
      </c>
      <c r="AV46" s="29">
        <f t="shared" si="74"/>
        <v>0</v>
      </c>
      <c r="AW46" s="43">
        <f t="shared" si="75"/>
        <v>5.2982187234937115E-3</v>
      </c>
      <c r="AX46" s="43">
        <f t="shared" si="76"/>
        <v>0</v>
      </c>
      <c r="AY46" s="43">
        <f t="shared" si="77"/>
        <v>0</v>
      </c>
      <c r="AZ46" s="29">
        <f t="shared" si="78"/>
        <v>2.6287706235930404E-3</v>
      </c>
      <c r="BA46" s="43">
        <f t="shared" si="79"/>
        <v>1.7713102494029194E-3</v>
      </c>
      <c r="BB46" s="43">
        <f t="shared" si="80"/>
        <v>1.4648516863274017E-2</v>
      </c>
      <c r="BC46" s="44">
        <f t="shared" si="81"/>
        <v>3.6855616392881874E-2</v>
      </c>
      <c r="BD46" s="2"/>
      <c r="BE46" s="42" t="s">
        <v>452</v>
      </c>
      <c r="BF46" s="62">
        <v>1</v>
      </c>
      <c r="BG46" s="62">
        <v>1</v>
      </c>
      <c r="BH46" s="62">
        <v>1</v>
      </c>
      <c r="BI46" s="62">
        <v>1</v>
      </c>
      <c r="BJ46" s="36">
        <v>1</v>
      </c>
      <c r="BK46" s="62">
        <v>1</v>
      </c>
      <c r="BL46" s="62">
        <v>1</v>
      </c>
      <c r="BM46" s="62">
        <v>1</v>
      </c>
      <c r="BN46" s="36">
        <v>1</v>
      </c>
      <c r="BO46" s="62">
        <v>1</v>
      </c>
      <c r="BP46" s="62">
        <v>1</v>
      </c>
      <c r="BQ46" s="54">
        <v>1</v>
      </c>
      <c r="BR46" s="2"/>
      <c r="BS46" s="42" t="s">
        <v>452</v>
      </c>
      <c r="BT46" s="67">
        <f t="shared" si="66"/>
        <v>16360.422</v>
      </c>
      <c r="BU46" s="67">
        <f t="shared" si="18"/>
        <v>25572</v>
      </c>
      <c r="BV46" s="67">
        <f t="shared" si="19"/>
        <v>710.74130000000002</v>
      </c>
      <c r="BW46" s="67">
        <f t="shared" si="20"/>
        <v>0</v>
      </c>
      <c r="BX46" s="30">
        <f t="shared" si="21"/>
        <v>0</v>
      </c>
      <c r="BY46" s="67">
        <f t="shared" si="22"/>
        <v>240.6619</v>
      </c>
      <c r="BZ46" s="67">
        <f t="shared" si="23"/>
        <v>0</v>
      </c>
      <c r="CA46" s="67">
        <f t="shared" si="24"/>
        <v>0</v>
      </c>
      <c r="CB46" s="30">
        <f t="shared" si="25"/>
        <v>119.4071</v>
      </c>
      <c r="CC46" s="67">
        <f t="shared" si="26"/>
        <v>80.458529999999996</v>
      </c>
      <c r="CD46" s="67">
        <f t="shared" si="27"/>
        <v>665.38210000000004</v>
      </c>
      <c r="CE46" s="68">
        <f t="shared" si="28"/>
        <v>1674.0989999999999</v>
      </c>
      <c r="CF46" s="2"/>
      <c r="CG46" s="37" t="str">
        <f t="shared" si="67"/>
        <v>amore</v>
      </c>
      <c r="CH46" s="42" t="s">
        <v>452</v>
      </c>
      <c r="CI46" s="67">
        <f t="shared" si="68"/>
        <v>16360.422</v>
      </c>
      <c r="CJ46" s="67">
        <f t="shared" si="82"/>
        <v>25572</v>
      </c>
      <c r="CK46" s="67">
        <f t="shared" si="83"/>
        <v>710.74130000000002</v>
      </c>
      <c r="CL46" s="67">
        <f t="shared" si="84"/>
        <v>0</v>
      </c>
      <c r="CM46" s="30">
        <f t="shared" si="85"/>
        <v>0</v>
      </c>
      <c r="CN46" s="67">
        <f t="shared" si="86"/>
        <v>240.6619</v>
      </c>
      <c r="CO46" s="67">
        <f t="shared" si="87"/>
        <v>0</v>
      </c>
      <c r="CP46" s="67">
        <f t="shared" si="88"/>
        <v>0</v>
      </c>
      <c r="CQ46" s="30">
        <f t="shared" si="89"/>
        <v>119.4071</v>
      </c>
      <c r="CR46" s="67">
        <f t="shared" si="90"/>
        <v>80.458529999999996</v>
      </c>
      <c r="CS46" s="67">
        <f t="shared" si="91"/>
        <v>665.38210000000004</v>
      </c>
      <c r="CT46" s="68">
        <f t="shared" si="92"/>
        <v>1674.0989999999999</v>
      </c>
      <c r="CU46" s="2"/>
      <c r="CV46" s="42" t="s">
        <v>452</v>
      </c>
      <c r="CW46" s="67">
        <f t="shared" si="69"/>
        <v>0</v>
      </c>
      <c r="CX46" s="67">
        <f t="shared" si="93"/>
        <v>0</v>
      </c>
      <c r="CY46" s="67">
        <f t="shared" si="94"/>
        <v>0</v>
      </c>
      <c r="CZ46" s="67">
        <f t="shared" si="95"/>
        <v>0</v>
      </c>
      <c r="DA46" s="30">
        <f t="shared" si="96"/>
        <v>0</v>
      </c>
      <c r="DB46" s="67">
        <f t="shared" si="97"/>
        <v>0</v>
      </c>
      <c r="DC46" s="67">
        <f t="shared" si="98"/>
        <v>0</v>
      </c>
      <c r="DD46" s="67">
        <f t="shared" si="99"/>
        <v>0</v>
      </c>
      <c r="DE46" s="30">
        <f t="shared" si="100"/>
        <v>0</v>
      </c>
      <c r="DF46" s="67">
        <f t="shared" si="101"/>
        <v>0</v>
      </c>
      <c r="DG46" s="67">
        <f t="shared" si="102"/>
        <v>0</v>
      </c>
      <c r="DH46" s="68">
        <f t="shared" si="103"/>
        <v>0</v>
      </c>
      <c r="DI46" s="2"/>
      <c r="DJ46" s="37" t="s">
        <v>526</v>
      </c>
      <c r="DK46" s="76" t="s">
        <v>452</v>
      </c>
      <c r="DL46" s="67">
        <f t="shared" si="70"/>
        <v>9082.85</v>
      </c>
      <c r="DM46" s="67">
        <f t="shared" si="31"/>
        <v>15336.9</v>
      </c>
      <c r="DN46" s="67">
        <f t="shared" si="32"/>
        <v>186.21369999999999</v>
      </c>
      <c r="DO46" s="67">
        <f t="shared" si="33"/>
        <v>0</v>
      </c>
      <c r="DP46" s="30">
        <f t="shared" si="34"/>
        <v>0</v>
      </c>
      <c r="DQ46" s="67">
        <f t="shared" si="35"/>
        <v>0</v>
      </c>
      <c r="DR46" s="67">
        <f t="shared" si="36"/>
        <v>0</v>
      </c>
      <c r="DS46" s="67">
        <f t="shared" si="37"/>
        <v>0</v>
      </c>
      <c r="DT46" s="30">
        <f t="shared" si="38"/>
        <v>95.04468</v>
      </c>
      <c r="DU46" s="67">
        <f t="shared" si="39"/>
        <v>32.423870000000001</v>
      </c>
      <c r="DV46" s="67">
        <f t="shared" si="40"/>
        <v>0</v>
      </c>
      <c r="DW46" s="68">
        <f t="shared" si="41"/>
        <v>759.17579999999998</v>
      </c>
      <c r="DX46" s="2"/>
      <c r="DY46" s="81" t="s">
        <v>452</v>
      </c>
      <c r="DZ46" s="82"/>
      <c r="EA46" s="82"/>
      <c r="EB46" s="82"/>
      <c r="EC46" s="83"/>
      <c r="ED46" s="84">
        <v>1</v>
      </c>
      <c r="EE46" s="2"/>
      <c r="EF46" s="38" t="s">
        <v>452</v>
      </c>
      <c r="EG46" s="93" t="s">
        <v>452</v>
      </c>
      <c r="EH46" s="94"/>
      <c r="EI46" s="94"/>
      <c r="EJ46" s="94"/>
      <c r="EK46" s="94"/>
      <c r="EL46" s="94"/>
      <c r="EM46" s="94"/>
      <c r="EN46" s="94"/>
      <c r="EO46" s="94"/>
      <c r="EP46" s="94"/>
      <c r="EQ46" s="94"/>
      <c r="ER46" s="94"/>
      <c r="ES46" s="95"/>
      <c r="ET46" s="38" t="s">
        <v>452</v>
      </c>
      <c r="EU46" s="93" t="s">
        <v>452</v>
      </c>
      <c r="EV46" s="94"/>
      <c r="EW46" s="94"/>
      <c r="EX46" s="94"/>
      <c r="EY46" s="94"/>
      <c r="EZ46" s="94"/>
      <c r="FA46" s="94"/>
      <c r="FB46" s="94"/>
      <c r="FC46" s="94"/>
      <c r="FD46" s="94"/>
      <c r="FE46" s="94"/>
      <c r="FF46" s="94"/>
      <c r="FG46" s="95"/>
      <c r="FH46" s="38" t="s">
        <v>452</v>
      </c>
      <c r="FI46" s="93" t="s">
        <v>452</v>
      </c>
      <c r="FJ46" s="94"/>
      <c r="FK46" s="94"/>
      <c r="FL46" s="94"/>
      <c r="FM46" s="94"/>
      <c r="FN46" s="94"/>
      <c r="FO46" s="94"/>
      <c r="FP46" s="94"/>
      <c r="FQ46" s="94"/>
      <c r="FR46" s="94"/>
      <c r="FS46" s="94"/>
      <c r="FT46" s="94"/>
      <c r="FU46" s="95"/>
      <c r="FV46" s="38" t="s">
        <v>452</v>
      </c>
      <c r="FW46" s="93" t="s">
        <v>452</v>
      </c>
      <c r="FX46" s="94"/>
      <c r="FY46" s="94"/>
      <c r="FZ46" s="94"/>
      <c r="GA46" s="94"/>
      <c r="GB46" s="94"/>
      <c r="GC46" s="94"/>
      <c r="GD46" s="94"/>
      <c r="GE46" s="94"/>
      <c r="GF46" s="94"/>
      <c r="GG46" s="94"/>
      <c r="GH46" s="94"/>
      <c r="GI46" s="95"/>
      <c r="GJ46" s="38" t="s">
        <v>452</v>
      </c>
      <c r="GK46" s="93" t="s">
        <v>452</v>
      </c>
      <c r="GL46" s="94">
        <v>9082.85</v>
      </c>
      <c r="GM46" s="94">
        <v>15336.9</v>
      </c>
      <c r="GN46" s="94">
        <v>186.21369999999999</v>
      </c>
      <c r="GO46" s="94"/>
      <c r="GP46" s="94"/>
      <c r="GQ46" s="94"/>
      <c r="GR46" s="94"/>
      <c r="GS46" s="94"/>
      <c r="GT46" s="94">
        <v>95.04468</v>
      </c>
      <c r="GU46" s="94">
        <v>32.423870000000001</v>
      </c>
      <c r="GV46" s="94"/>
      <c r="GW46" s="95">
        <v>759.17579999999998</v>
      </c>
      <c r="GX46" s="38"/>
    </row>
    <row r="47" spans="1:206" x14ac:dyDescent="0.35">
      <c r="A47" s="2"/>
      <c r="B47" s="2"/>
      <c r="C47" s="42" t="s">
        <v>486</v>
      </c>
      <c r="D47" s="43">
        <f t="shared" si="42"/>
        <v>0.23432434047667877</v>
      </c>
      <c r="E47" s="43">
        <f t="shared" si="0"/>
        <v>0.42270003091251379</v>
      </c>
      <c r="F47" s="43">
        <f t="shared" si="1"/>
        <v>8.895950047050652E-2</v>
      </c>
      <c r="G47" s="43">
        <f t="shared" si="2"/>
        <v>5.0460745184886524E-2</v>
      </c>
      <c r="H47" s="43">
        <f t="shared" si="3"/>
        <v>2.3204384490738732E-2</v>
      </c>
      <c r="I47" s="43">
        <f t="shared" si="4"/>
        <v>3.2578796020781176E-2</v>
      </c>
      <c r="J47" s="43">
        <f t="shared" si="5"/>
        <v>2.2611435218958868E-2</v>
      </c>
      <c r="K47" s="43">
        <f t="shared" si="6"/>
        <v>0</v>
      </c>
      <c r="L47" s="43">
        <f t="shared" si="7"/>
        <v>3.3328844749791468E-2</v>
      </c>
      <c r="M47" s="43">
        <f t="shared" si="8"/>
        <v>3.1274110654516699E-2</v>
      </c>
      <c r="N47" s="43">
        <f t="shared" si="9"/>
        <v>2.9595016606250833E-2</v>
      </c>
      <c r="O47" s="44">
        <f t="shared" si="10"/>
        <v>3.0962795214376646E-2</v>
      </c>
      <c r="P47" s="115">
        <f t="shared" si="43"/>
        <v>1</v>
      </c>
      <c r="Q47" s="2"/>
      <c r="R47" s="42" t="s">
        <v>486</v>
      </c>
      <c r="S47" s="43">
        <f t="shared" si="44"/>
        <v>0.23432434047667877</v>
      </c>
      <c r="T47" s="43">
        <f t="shared" si="45"/>
        <v>0.42270003091251379</v>
      </c>
      <c r="U47" s="43">
        <f t="shared" si="46"/>
        <v>8.895950047050652E-2</v>
      </c>
      <c r="V47" s="43">
        <f t="shared" si="47"/>
        <v>5.0460745184886524E-2</v>
      </c>
      <c r="W47" s="29">
        <f t="shared" si="48"/>
        <v>2.3204384490738732E-2</v>
      </c>
      <c r="X47" s="43">
        <f t="shared" si="49"/>
        <v>3.2578796020781176E-2</v>
      </c>
      <c r="Y47" s="43">
        <f t="shared" si="50"/>
        <v>2.2611435218958868E-2</v>
      </c>
      <c r="Z47" s="43">
        <f t="shared" si="51"/>
        <v>0</v>
      </c>
      <c r="AA47" s="29">
        <f t="shared" si="52"/>
        <v>3.3328844749791468E-2</v>
      </c>
      <c r="AB47" s="43">
        <f t="shared" si="53"/>
        <v>3.1274110654516699E-2</v>
      </c>
      <c r="AC47" s="43">
        <f t="shared" si="54"/>
        <v>2.9595016606250833E-2</v>
      </c>
      <c r="AD47" s="43">
        <f t="shared" si="55"/>
        <v>3.0962795214376646E-2</v>
      </c>
      <c r="AE47" s="32">
        <f t="shared" si="56"/>
        <v>0.290857569717209</v>
      </c>
      <c r="AF47" s="53">
        <f t="shared" si="57"/>
        <v>0.48655293758781165</v>
      </c>
      <c r="AG47" s="53">
        <f t="shared" si="58"/>
        <v>0.14116595229571621</v>
      </c>
      <c r="AH47" s="53">
        <f t="shared" si="59"/>
        <v>8.1423540399263167E-2</v>
      </c>
      <c r="AI47" s="34">
        <f t="shared" si="60"/>
        <v>0.71101994361675336</v>
      </c>
      <c r="AJ47" s="35">
        <f t="shared" si="61"/>
        <v>8.0931702550029211E-2</v>
      </c>
      <c r="AK47" s="34">
        <f>AVERAGE(AI$47,AI32:AI35)</f>
        <v>0.79644461704458558</v>
      </c>
      <c r="AL47" s="35">
        <f>AVERAGE(AJ$47,AJ32:AJ35)</f>
        <v>7.8394615730478776E-2</v>
      </c>
      <c r="AM47" s="35">
        <f t="shared" si="64"/>
        <v>0.12516076722493563</v>
      </c>
      <c r="AN47" s="36">
        <v>1</v>
      </c>
      <c r="AO47" s="54">
        <v>1</v>
      </c>
      <c r="AP47" s="2"/>
      <c r="AQ47" s="42" t="s">
        <v>486</v>
      </c>
      <c r="AR47" s="43">
        <f t="shared" si="65"/>
        <v>0.20919129313976409</v>
      </c>
      <c r="AS47" s="43">
        <f t="shared" si="71"/>
        <v>0.37736227443092951</v>
      </c>
      <c r="AT47" s="43">
        <f t="shared" si="72"/>
        <v>7.9417925182829363E-2</v>
      </c>
      <c r="AU47" s="43">
        <f t="shared" si="73"/>
        <v>4.5048450863230408E-2</v>
      </c>
      <c r="AV47" s="29">
        <f t="shared" si="74"/>
        <v>2.3955348539719271E-2</v>
      </c>
      <c r="AW47" s="43">
        <f t="shared" si="75"/>
        <v>3.3633144373802194E-2</v>
      </c>
      <c r="AX47" s="43">
        <f t="shared" si="76"/>
        <v>2.3343209636507743E-2</v>
      </c>
      <c r="AY47" s="43">
        <f t="shared" si="77"/>
        <v>0</v>
      </c>
      <c r="AZ47" s="29">
        <f t="shared" si="78"/>
        <v>5.5400837172045796E-2</v>
      </c>
      <c r="BA47" s="43">
        <f t="shared" si="79"/>
        <v>5.1985357580756321E-2</v>
      </c>
      <c r="BB47" s="43">
        <f t="shared" si="80"/>
        <v>4.9194285262982369E-2</v>
      </c>
      <c r="BC47" s="44">
        <f t="shared" si="81"/>
        <v>5.1467873817432931E-2</v>
      </c>
      <c r="BD47" s="2"/>
      <c r="BE47" s="42" t="s">
        <v>486</v>
      </c>
      <c r="BF47" s="62">
        <v>1</v>
      </c>
      <c r="BG47" s="62">
        <v>1</v>
      </c>
      <c r="BH47" s="62">
        <v>1</v>
      </c>
      <c r="BI47" s="62">
        <v>1</v>
      </c>
      <c r="BJ47" s="36">
        <v>1</v>
      </c>
      <c r="BK47" s="62">
        <v>1</v>
      </c>
      <c r="BL47" s="62">
        <v>1</v>
      </c>
      <c r="BM47" s="62">
        <v>1</v>
      </c>
      <c r="BN47" s="36">
        <v>1</v>
      </c>
      <c r="BO47" s="62">
        <v>1</v>
      </c>
      <c r="BP47" s="62">
        <v>1</v>
      </c>
      <c r="BQ47" s="54">
        <v>1</v>
      </c>
      <c r="BR47" s="2"/>
      <c r="BS47" s="42" t="s">
        <v>486</v>
      </c>
      <c r="BT47" s="67">
        <f t="shared" si="66"/>
        <v>5787.201</v>
      </c>
      <c r="BU47" s="67">
        <f t="shared" si="18"/>
        <v>10439.59</v>
      </c>
      <c r="BV47" s="67">
        <f t="shared" si="19"/>
        <v>2197.0680000000002</v>
      </c>
      <c r="BW47" s="67">
        <f t="shared" si="20"/>
        <v>1246.249</v>
      </c>
      <c r="BX47" s="30">
        <f t="shared" si="21"/>
        <v>662.71600000000001</v>
      </c>
      <c r="BY47" s="67">
        <f t="shared" si="22"/>
        <v>930.44870000000003</v>
      </c>
      <c r="BZ47" s="67">
        <f t="shared" si="23"/>
        <v>645.78139999999996</v>
      </c>
      <c r="CA47" s="67">
        <f t="shared" si="24"/>
        <v>0</v>
      </c>
      <c r="CB47" s="30">
        <f t="shared" si="25"/>
        <v>1532.644</v>
      </c>
      <c r="CC47" s="67">
        <f t="shared" si="26"/>
        <v>1438.1559999999999</v>
      </c>
      <c r="CD47" s="67">
        <f t="shared" si="27"/>
        <v>1360.942</v>
      </c>
      <c r="CE47" s="68">
        <f t="shared" si="28"/>
        <v>1423.84</v>
      </c>
      <c r="CF47" s="2"/>
      <c r="CG47" s="37" t="str">
        <f t="shared" si="67"/>
        <v>ameat</v>
      </c>
      <c r="CH47" s="42" t="s">
        <v>486</v>
      </c>
      <c r="CI47" s="67">
        <f t="shared" si="68"/>
        <v>5787.201</v>
      </c>
      <c r="CJ47" s="67">
        <f t="shared" si="82"/>
        <v>10439.59</v>
      </c>
      <c r="CK47" s="67">
        <f t="shared" si="83"/>
        <v>2197.0680000000002</v>
      </c>
      <c r="CL47" s="67">
        <f t="shared" si="84"/>
        <v>1246.249</v>
      </c>
      <c r="CM47" s="30">
        <f t="shared" si="85"/>
        <v>662.71600000000001</v>
      </c>
      <c r="CN47" s="67">
        <f t="shared" si="86"/>
        <v>930.44870000000003</v>
      </c>
      <c r="CO47" s="67">
        <f t="shared" si="87"/>
        <v>645.78139999999996</v>
      </c>
      <c r="CP47" s="67">
        <f t="shared" si="88"/>
        <v>0</v>
      </c>
      <c r="CQ47" s="30">
        <f t="shared" si="89"/>
        <v>1532.644</v>
      </c>
      <c r="CR47" s="67">
        <f t="shared" si="90"/>
        <v>1438.1559999999999</v>
      </c>
      <c r="CS47" s="67">
        <f t="shared" si="91"/>
        <v>1360.942</v>
      </c>
      <c r="CT47" s="68">
        <f t="shared" si="92"/>
        <v>1423.84</v>
      </c>
      <c r="CU47" s="2"/>
      <c r="CV47" s="42" t="s">
        <v>486</v>
      </c>
      <c r="CW47" s="67">
        <f t="shared" si="69"/>
        <v>5787.201</v>
      </c>
      <c r="CX47" s="67">
        <f t="shared" si="93"/>
        <v>10439.59</v>
      </c>
      <c r="CY47" s="67">
        <f t="shared" si="94"/>
        <v>2197.0680000000002</v>
      </c>
      <c r="CZ47" s="67">
        <f t="shared" si="95"/>
        <v>1246.249</v>
      </c>
      <c r="DA47" s="30">
        <f t="shared" si="96"/>
        <v>662.71600000000001</v>
      </c>
      <c r="DB47" s="67">
        <f t="shared" si="97"/>
        <v>930.44870000000003</v>
      </c>
      <c r="DC47" s="67">
        <f t="shared" si="98"/>
        <v>645.78139999999996</v>
      </c>
      <c r="DD47" s="67">
        <f t="shared" si="99"/>
        <v>0</v>
      </c>
      <c r="DE47" s="30">
        <f t="shared" si="100"/>
        <v>1532.644</v>
      </c>
      <c r="DF47" s="67">
        <f t="shared" si="101"/>
        <v>1438.1559999999999</v>
      </c>
      <c r="DG47" s="67">
        <f t="shared" si="102"/>
        <v>1360.942</v>
      </c>
      <c r="DH47" s="68">
        <f t="shared" si="103"/>
        <v>1423.84</v>
      </c>
      <c r="DI47" s="2"/>
      <c r="DJ47" s="37" t="s">
        <v>486</v>
      </c>
      <c r="DK47" s="76" t="s">
        <v>486</v>
      </c>
      <c r="DL47" s="67">
        <f t="shared" si="70"/>
        <v>5787.201</v>
      </c>
      <c r="DM47" s="67">
        <f t="shared" si="31"/>
        <v>10439.59</v>
      </c>
      <c r="DN47" s="67">
        <f t="shared" si="32"/>
        <v>2197.0680000000002</v>
      </c>
      <c r="DO47" s="67">
        <f t="shared" si="33"/>
        <v>1246.249</v>
      </c>
      <c r="DP47" s="30">
        <f t="shared" si="34"/>
        <v>662.71600000000001</v>
      </c>
      <c r="DQ47" s="67">
        <f t="shared" si="35"/>
        <v>930.44870000000003</v>
      </c>
      <c r="DR47" s="67">
        <f t="shared" si="36"/>
        <v>645.78139999999996</v>
      </c>
      <c r="DS47" s="67">
        <f t="shared" si="37"/>
        <v>0</v>
      </c>
      <c r="DT47" s="30">
        <f t="shared" si="38"/>
        <v>1532.644</v>
      </c>
      <c r="DU47" s="67">
        <f t="shared" si="39"/>
        <v>1438.1559999999999</v>
      </c>
      <c r="DV47" s="67">
        <f t="shared" si="40"/>
        <v>1360.942</v>
      </c>
      <c r="DW47" s="68">
        <f t="shared" si="41"/>
        <v>1423.84</v>
      </c>
      <c r="DX47" s="2"/>
      <c r="DY47" s="81" t="s">
        <v>486</v>
      </c>
      <c r="DZ47" s="82"/>
      <c r="EA47" s="82"/>
      <c r="EB47" s="82"/>
      <c r="EC47" s="83"/>
      <c r="ED47" s="84">
        <v>1</v>
      </c>
      <c r="EE47" s="2"/>
      <c r="EF47" s="38" t="s">
        <v>486</v>
      </c>
      <c r="EG47" s="93" t="s">
        <v>486</v>
      </c>
      <c r="EH47" s="94">
        <v>7828.2950000000001</v>
      </c>
      <c r="EI47" s="94">
        <v>10397.26</v>
      </c>
      <c r="EJ47" s="94">
        <v>4621.0069999999996</v>
      </c>
      <c r="EK47" s="94">
        <v>1792.925</v>
      </c>
      <c r="EL47" s="94">
        <v>842.68110000000001</v>
      </c>
      <c r="EM47" s="94">
        <v>3118.9679999999998</v>
      </c>
      <c r="EN47" s="94">
        <v>3313.8330000000001</v>
      </c>
      <c r="EO47" s="94">
        <v>574.37609999999995</v>
      </c>
      <c r="EP47" s="94">
        <v>5419.058</v>
      </c>
      <c r="EQ47" s="94">
        <v>14401.3</v>
      </c>
      <c r="ER47" s="94">
        <v>3695.9949999999999</v>
      </c>
      <c r="ES47" s="95">
        <v>6341.1570000000002</v>
      </c>
      <c r="ET47" s="38" t="s">
        <v>486</v>
      </c>
      <c r="EU47" s="93" t="s">
        <v>486</v>
      </c>
      <c r="EV47" s="94">
        <v>72366.5</v>
      </c>
      <c r="EW47" s="94">
        <v>36464.53</v>
      </c>
      <c r="EX47" s="94">
        <v>7305.4740000000002</v>
      </c>
      <c r="EY47" s="94">
        <v>2379.2939999999999</v>
      </c>
      <c r="EZ47" s="94">
        <v>9094.5310000000009</v>
      </c>
      <c r="FA47" s="94">
        <v>10839.34</v>
      </c>
      <c r="FB47" s="94">
        <v>8248.1530000000002</v>
      </c>
      <c r="FC47" s="94">
        <v>594.87459999999999</v>
      </c>
      <c r="FD47" s="94">
        <v>23771.200000000001</v>
      </c>
      <c r="FE47" s="94">
        <v>40136.86</v>
      </c>
      <c r="FF47" s="94">
        <v>12309.55</v>
      </c>
      <c r="FG47" s="95">
        <v>14572.07</v>
      </c>
      <c r="FH47" s="38" t="s">
        <v>486</v>
      </c>
      <c r="FI47" s="93" t="s">
        <v>486</v>
      </c>
      <c r="FJ47" s="94"/>
      <c r="FK47" s="94"/>
      <c r="FL47" s="94"/>
      <c r="FM47" s="94"/>
      <c r="FN47" s="94"/>
      <c r="FO47" s="94"/>
      <c r="FP47" s="94"/>
      <c r="FQ47" s="94"/>
      <c r="FR47" s="94"/>
      <c r="FS47" s="94"/>
      <c r="FT47" s="94"/>
      <c r="FU47" s="95"/>
      <c r="FV47" s="38" t="s">
        <v>486</v>
      </c>
      <c r="FW47" s="93" t="s">
        <v>486</v>
      </c>
      <c r="FX47" s="94"/>
      <c r="FY47" s="94"/>
      <c r="FZ47" s="94"/>
      <c r="GA47" s="94"/>
      <c r="GB47" s="94"/>
      <c r="GC47" s="94"/>
      <c r="GD47" s="94"/>
      <c r="GE47" s="94"/>
      <c r="GF47" s="94"/>
      <c r="GG47" s="94"/>
      <c r="GH47" s="94"/>
      <c r="GI47" s="95"/>
      <c r="GJ47" s="38" t="s">
        <v>486</v>
      </c>
      <c r="GK47" s="93" t="s">
        <v>486</v>
      </c>
      <c r="GL47" s="94">
        <v>5787.201</v>
      </c>
      <c r="GM47" s="94">
        <v>10439.59</v>
      </c>
      <c r="GN47" s="94">
        <v>2197.0680000000002</v>
      </c>
      <c r="GO47" s="94">
        <v>1246.249</v>
      </c>
      <c r="GP47" s="94">
        <v>662.71600000000001</v>
      </c>
      <c r="GQ47" s="94">
        <v>930.44870000000003</v>
      </c>
      <c r="GR47" s="94">
        <v>645.78139999999996</v>
      </c>
      <c r="GS47" s="94"/>
      <c r="GT47" s="94">
        <v>1532.644</v>
      </c>
      <c r="GU47" s="94">
        <v>1438.1559999999999</v>
      </c>
      <c r="GV47" s="94">
        <v>1360.942</v>
      </c>
      <c r="GW47" s="95">
        <v>1423.84</v>
      </c>
      <c r="GX47" s="38"/>
    </row>
    <row r="48" spans="1:206" x14ac:dyDescent="0.35">
      <c r="A48" s="2"/>
      <c r="B48" s="2"/>
      <c r="C48" s="42" t="s">
        <v>487</v>
      </c>
      <c r="D48" s="43">
        <f t="shared" si="42"/>
        <v>0.25170213424142912</v>
      </c>
      <c r="E48" s="43">
        <f t="shared" si="0"/>
        <v>0.45404800759563746</v>
      </c>
      <c r="F48" s="43">
        <f t="shared" si="1"/>
        <v>9.5556851174436186E-2</v>
      </c>
      <c r="G48" s="43">
        <f t="shared" si="2"/>
        <v>5.4202978796873795E-2</v>
      </c>
      <c r="H48" s="43">
        <f t="shared" si="3"/>
        <v>1.1977674269859632E-2</v>
      </c>
      <c r="I48" s="43">
        <f t="shared" si="4"/>
        <v>1.6816572186901094E-2</v>
      </c>
      <c r="J48" s="43">
        <f t="shared" si="5"/>
        <v>1.167160481825387E-2</v>
      </c>
      <c r="K48" s="43">
        <f t="shared" si="6"/>
        <v>0</v>
      </c>
      <c r="L48" s="43">
        <f t="shared" si="7"/>
        <v>2.7700418586022894E-2</v>
      </c>
      <c r="M48" s="43">
        <f t="shared" si="8"/>
        <v>2.5992678790378154E-2</v>
      </c>
      <c r="N48" s="43">
        <f t="shared" si="9"/>
        <v>2.4597142631491181E-2</v>
      </c>
      <c r="O48" s="44">
        <f t="shared" si="10"/>
        <v>2.5733936908716459E-2</v>
      </c>
      <c r="P48" s="115">
        <f t="shared" si="43"/>
        <v>1</v>
      </c>
      <c r="Q48" s="2"/>
      <c r="R48" s="42" t="s">
        <v>487</v>
      </c>
      <c r="S48" s="43">
        <f t="shared" si="44"/>
        <v>0.25170213424142918</v>
      </c>
      <c r="T48" s="43">
        <f t="shared" si="45"/>
        <v>0.45404800759563757</v>
      </c>
      <c r="U48" s="43">
        <f t="shared" si="46"/>
        <v>9.5556851174436214E-2</v>
      </c>
      <c r="V48" s="43">
        <f t="shared" si="47"/>
        <v>5.4202978796873809E-2</v>
      </c>
      <c r="W48" s="29">
        <f t="shared" si="48"/>
        <v>1.1977674269859635E-2</v>
      </c>
      <c r="X48" s="43">
        <f t="shared" si="49"/>
        <v>1.6816572186901097E-2</v>
      </c>
      <c r="Y48" s="43">
        <f t="shared" si="50"/>
        <v>1.1671604818253871E-2</v>
      </c>
      <c r="Z48" s="43">
        <f t="shared" si="51"/>
        <v>0</v>
      </c>
      <c r="AA48" s="29">
        <f t="shared" si="52"/>
        <v>2.7700418586022901E-2</v>
      </c>
      <c r="AB48" s="43">
        <f t="shared" si="53"/>
        <v>2.599267879037816E-2</v>
      </c>
      <c r="AC48" s="43">
        <f t="shared" si="54"/>
        <v>2.4597142631491188E-2</v>
      </c>
      <c r="AD48" s="43">
        <f t="shared" si="55"/>
        <v>2.5733936908716466E-2</v>
      </c>
      <c r="AE48" s="32">
        <f t="shared" si="56"/>
        <v>0.29138022709731171</v>
      </c>
      <c r="AF48" s="53">
        <f t="shared" si="57"/>
        <v>0.49685725857291679</v>
      </c>
      <c r="AG48" s="53">
        <f t="shared" si="58"/>
        <v>0.13182559862418128</v>
      </c>
      <c r="AH48" s="53">
        <f t="shared" si="59"/>
        <v>7.9936915705590278E-2</v>
      </c>
      <c r="AI48" s="34">
        <f t="shared" si="60"/>
        <v>0</v>
      </c>
      <c r="AJ48" s="35">
        <f t="shared" si="61"/>
        <v>0</v>
      </c>
      <c r="AK48" s="34">
        <f>AVERAGE(AI$47,AK43)</f>
        <v>0.85550997180837673</v>
      </c>
      <c r="AL48" s="35">
        <f t="shared" ref="AL48" si="108">AVERAGE(AJ$47,AL43)</f>
        <v>4.0465851275014605E-2</v>
      </c>
      <c r="AM48" s="35">
        <f t="shared" si="64"/>
        <v>0.1040241769166087</v>
      </c>
      <c r="AN48" s="36">
        <v>1</v>
      </c>
      <c r="AO48" s="54">
        <v>1</v>
      </c>
      <c r="AP48" s="2"/>
      <c r="AQ48" s="42" t="s">
        <v>487</v>
      </c>
      <c r="AR48" s="43">
        <f t="shared" si="65"/>
        <v>0.20919129313976409</v>
      </c>
      <c r="AS48" s="43">
        <f t="shared" si="71"/>
        <v>0.37736227443092951</v>
      </c>
      <c r="AT48" s="43">
        <f t="shared" si="72"/>
        <v>7.9417925182829363E-2</v>
      </c>
      <c r="AU48" s="43">
        <f t="shared" si="73"/>
        <v>4.5048450863230408E-2</v>
      </c>
      <c r="AV48" s="29">
        <f t="shared" si="74"/>
        <v>2.3955348539719271E-2</v>
      </c>
      <c r="AW48" s="43">
        <f t="shared" si="75"/>
        <v>3.3633144373802194E-2</v>
      </c>
      <c r="AX48" s="43">
        <f t="shared" si="76"/>
        <v>2.3343209636507743E-2</v>
      </c>
      <c r="AY48" s="43">
        <f t="shared" si="77"/>
        <v>0</v>
      </c>
      <c r="AZ48" s="29">
        <f t="shared" si="78"/>
        <v>5.5400837172045796E-2</v>
      </c>
      <c r="BA48" s="43">
        <f t="shared" si="79"/>
        <v>5.1985357580756321E-2</v>
      </c>
      <c r="BB48" s="43">
        <f t="shared" si="80"/>
        <v>4.9194285262982369E-2</v>
      </c>
      <c r="BC48" s="44">
        <f t="shared" si="81"/>
        <v>5.1467873817432931E-2</v>
      </c>
      <c r="BD48" s="2"/>
      <c r="BE48" s="42" t="s">
        <v>487</v>
      </c>
      <c r="BF48" s="62">
        <v>1</v>
      </c>
      <c r="BG48" s="62">
        <v>1</v>
      </c>
      <c r="BH48" s="62">
        <v>1</v>
      </c>
      <c r="BI48" s="62">
        <v>1</v>
      </c>
      <c r="BJ48" s="36">
        <v>1</v>
      </c>
      <c r="BK48" s="62">
        <v>1</v>
      </c>
      <c r="BL48" s="62">
        <v>1</v>
      </c>
      <c r="BM48" s="62">
        <v>1</v>
      </c>
      <c r="BN48" s="36">
        <v>1</v>
      </c>
      <c r="BO48" s="62">
        <v>1</v>
      </c>
      <c r="BP48" s="62">
        <v>1</v>
      </c>
      <c r="BQ48" s="54">
        <v>1</v>
      </c>
      <c r="BR48" s="2"/>
      <c r="BS48" s="42" t="s">
        <v>487</v>
      </c>
      <c r="BT48" s="67">
        <f t="shared" si="66"/>
        <v>5787.201</v>
      </c>
      <c r="BU48" s="67">
        <f t="shared" si="18"/>
        <v>10439.59</v>
      </c>
      <c r="BV48" s="67">
        <f t="shared" si="19"/>
        <v>2197.0680000000002</v>
      </c>
      <c r="BW48" s="67">
        <f t="shared" si="20"/>
        <v>1246.249</v>
      </c>
      <c r="BX48" s="30">
        <f t="shared" si="21"/>
        <v>662.71600000000001</v>
      </c>
      <c r="BY48" s="67">
        <f t="shared" si="22"/>
        <v>930.44870000000003</v>
      </c>
      <c r="BZ48" s="67">
        <f t="shared" si="23"/>
        <v>645.78139999999996</v>
      </c>
      <c r="CA48" s="67">
        <f t="shared" si="24"/>
        <v>0</v>
      </c>
      <c r="CB48" s="30">
        <f t="shared" si="25"/>
        <v>1532.644</v>
      </c>
      <c r="CC48" s="67">
        <f t="shared" si="26"/>
        <v>1438.1559999999999</v>
      </c>
      <c r="CD48" s="67">
        <f t="shared" si="27"/>
        <v>1360.942</v>
      </c>
      <c r="CE48" s="68">
        <f t="shared" si="28"/>
        <v>1423.84</v>
      </c>
      <c r="CF48" s="2"/>
      <c r="CG48" s="37" t="str">
        <f t="shared" si="67"/>
        <v>ameat</v>
      </c>
      <c r="CH48" s="42" t="s">
        <v>487</v>
      </c>
      <c r="CI48" s="67">
        <f t="shared" si="68"/>
        <v>5787.201</v>
      </c>
      <c r="CJ48" s="67">
        <f t="shared" si="82"/>
        <v>10439.59</v>
      </c>
      <c r="CK48" s="67">
        <f t="shared" si="83"/>
        <v>2197.0680000000002</v>
      </c>
      <c r="CL48" s="67">
        <f t="shared" si="84"/>
        <v>1246.249</v>
      </c>
      <c r="CM48" s="30">
        <f t="shared" si="85"/>
        <v>662.71600000000001</v>
      </c>
      <c r="CN48" s="67">
        <f t="shared" si="86"/>
        <v>930.44870000000003</v>
      </c>
      <c r="CO48" s="67">
        <f t="shared" si="87"/>
        <v>645.78139999999996</v>
      </c>
      <c r="CP48" s="67">
        <f t="shared" si="88"/>
        <v>0</v>
      </c>
      <c r="CQ48" s="30">
        <f t="shared" si="89"/>
        <v>1532.644</v>
      </c>
      <c r="CR48" s="67">
        <f t="shared" si="90"/>
        <v>1438.1559999999999</v>
      </c>
      <c r="CS48" s="67">
        <f t="shared" si="91"/>
        <v>1360.942</v>
      </c>
      <c r="CT48" s="68">
        <f t="shared" si="92"/>
        <v>1423.84</v>
      </c>
      <c r="CU48" s="2"/>
      <c r="CV48" s="42" t="s">
        <v>487</v>
      </c>
      <c r="CW48" s="67">
        <f t="shared" si="69"/>
        <v>0</v>
      </c>
      <c r="CX48" s="67">
        <f t="shared" si="93"/>
        <v>0</v>
      </c>
      <c r="CY48" s="67">
        <f t="shared" si="94"/>
        <v>0</v>
      </c>
      <c r="CZ48" s="67">
        <f t="shared" si="95"/>
        <v>0</v>
      </c>
      <c r="DA48" s="30">
        <f t="shared" si="96"/>
        <v>0</v>
      </c>
      <c r="DB48" s="67">
        <f t="shared" si="97"/>
        <v>0</v>
      </c>
      <c r="DC48" s="67">
        <f t="shared" si="98"/>
        <v>0</v>
      </c>
      <c r="DD48" s="67">
        <f t="shared" si="99"/>
        <v>0</v>
      </c>
      <c r="DE48" s="30">
        <f t="shared" si="100"/>
        <v>0</v>
      </c>
      <c r="DF48" s="67">
        <f t="shared" si="101"/>
        <v>0</v>
      </c>
      <c r="DG48" s="67">
        <f t="shared" si="102"/>
        <v>0</v>
      </c>
      <c r="DH48" s="68">
        <f t="shared" si="103"/>
        <v>0</v>
      </c>
      <c r="DI48" s="2"/>
      <c r="DJ48" s="37" t="s">
        <v>486</v>
      </c>
      <c r="DK48" s="76" t="s">
        <v>487</v>
      </c>
      <c r="DL48" s="67">
        <f t="shared" si="70"/>
        <v>0</v>
      </c>
      <c r="DM48" s="67">
        <f t="shared" si="31"/>
        <v>0</v>
      </c>
      <c r="DN48" s="67">
        <f t="shared" si="32"/>
        <v>0</v>
      </c>
      <c r="DO48" s="67">
        <f t="shared" si="33"/>
        <v>0</v>
      </c>
      <c r="DP48" s="30">
        <f t="shared" si="34"/>
        <v>0</v>
      </c>
      <c r="DQ48" s="67">
        <f t="shared" si="35"/>
        <v>0</v>
      </c>
      <c r="DR48" s="67">
        <f t="shared" si="36"/>
        <v>0</v>
      </c>
      <c r="DS48" s="67">
        <f t="shared" si="37"/>
        <v>0</v>
      </c>
      <c r="DT48" s="30">
        <f t="shared" si="38"/>
        <v>0</v>
      </c>
      <c r="DU48" s="67">
        <f t="shared" si="39"/>
        <v>0</v>
      </c>
      <c r="DV48" s="67">
        <f t="shared" si="40"/>
        <v>0</v>
      </c>
      <c r="DW48" s="68">
        <f t="shared" si="41"/>
        <v>0</v>
      </c>
      <c r="DX48" s="2"/>
      <c r="DY48" s="81" t="s">
        <v>487</v>
      </c>
      <c r="DZ48" s="82"/>
      <c r="EA48" s="82"/>
      <c r="EB48" s="82"/>
      <c r="EC48" s="83"/>
      <c r="ED48" s="84">
        <v>1</v>
      </c>
      <c r="EE48" s="2"/>
      <c r="EF48" s="38" t="s">
        <v>487</v>
      </c>
      <c r="EG48" s="93" t="s">
        <v>487</v>
      </c>
      <c r="EH48" s="94"/>
      <c r="EI48" s="94"/>
      <c r="EJ48" s="94"/>
      <c r="EK48" s="94"/>
      <c r="EL48" s="94"/>
      <c r="EM48" s="94"/>
      <c r="EN48" s="94"/>
      <c r="EO48" s="94"/>
      <c r="EP48" s="94"/>
      <c r="EQ48" s="94"/>
      <c r="ER48" s="94"/>
      <c r="ES48" s="95"/>
      <c r="ET48" s="38" t="s">
        <v>487</v>
      </c>
      <c r="EU48" s="93" t="s">
        <v>487</v>
      </c>
      <c r="EV48" s="94"/>
      <c r="EW48" s="94"/>
      <c r="EX48" s="94"/>
      <c r="EY48" s="94"/>
      <c r="EZ48" s="94"/>
      <c r="FA48" s="94"/>
      <c r="FB48" s="94"/>
      <c r="FC48" s="94"/>
      <c r="FD48" s="94"/>
      <c r="FE48" s="94"/>
      <c r="FF48" s="94"/>
      <c r="FG48" s="95"/>
      <c r="FH48" s="38" t="s">
        <v>487</v>
      </c>
      <c r="FI48" s="93" t="s">
        <v>487</v>
      </c>
      <c r="FJ48" s="94"/>
      <c r="FK48" s="94"/>
      <c r="FL48" s="94"/>
      <c r="FM48" s="94"/>
      <c r="FN48" s="94"/>
      <c r="FO48" s="94"/>
      <c r="FP48" s="94"/>
      <c r="FQ48" s="94"/>
      <c r="FR48" s="94"/>
      <c r="FS48" s="94"/>
      <c r="FT48" s="94"/>
      <c r="FU48" s="95"/>
      <c r="FV48" s="38" t="s">
        <v>487</v>
      </c>
      <c r="FW48" s="93" t="s">
        <v>487</v>
      </c>
      <c r="FX48" s="94"/>
      <c r="FY48" s="94"/>
      <c r="FZ48" s="94"/>
      <c r="GA48" s="94"/>
      <c r="GB48" s="94"/>
      <c r="GC48" s="94"/>
      <c r="GD48" s="94"/>
      <c r="GE48" s="94"/>
      <c r="GF48" s="94"/>
      <c r="GG48" s="94"/>
      <c r="GH48" s="94"/>
      <c r="GI48" s="95"/>
      <c r="GJ48" s="38" t="s">
        <v>487</v>
      </c>
      <c r="GK48" s="93" t="s">
        <v>487</v>
      </c>
      <c r="GL48" s="94"/>
      <c r="GM48" s="94"/>
      <c r="GN48" s="94"/>
      <c r="GO48" s="94"/>
      <c r="GP48" s="94"/>
      <c r="GQ48" s="94"/>
      <c r="GR48" s="94"/>
      <c r="GS48" s="94"/>
      <c r="GT48" s="94"/>
      <c r="GU48" s="94"/>
      <c r="GV48" s="94"/>
      <c r="GW48" s="95"/>
      <c r="GX48" s="38"/>
    </row>
    <row r="49" spans="1:206" x14ac:dyDescent="0.35">
      <c r="A49" s="2"/>
      <c r="B49" s="2"/>
      <c r="C49" s="42" t="s">
        <v>489</v>
      </c>
      <c r="D49" s="43">
        <f t="shared" si="42"/>
        <v>0.25158408382358</v>
      </c>
      <c r="E49" s="43">
        <f t="shared" si="0"/>
        <v>0.45383505526139623</v>
      </c>
      <c r="F49" s="43">
        <f t="shared" si="1"/>
        <v>9.5512034207573815E-2</v>
      </c>
      <c r="G49" s="43">
        <f t="shared" si="2"/>
        <v>5.4177557143954877E-2</v>
      </c>
      <c r="H49" s="43">
        <f t="shared" si="3"/>
        <v>1.4966547729758223E-2</v>
      </c>
      <c r="I49" s="43">
        <f t="shared" si="4"/>
        <v>2.1012929940791365E-2</v>
      </c>
      <c r="J49" s="43">
        <f t="shared" si="5"/>
        <v>1.4584102611209154E-2</v>
      </c>
      <c r="K49" s="43">
        <f t="shared" si="6"/>
        <v>0</v>
      </c>
      <c r="L49" s="43">
        <f t="shared" si="7"/>
        <v>2.5118357624218966E-2</v>
      </c>
      <c r="M49" s="43">
        <f t="shared" si="8"/>
        <v>2.356980272484429E-2</v>
      </c>
      <c r="N49" s="43">
        <f t="shared" si="9"/>
        <v>2.2304349778435054E-2</v>
      </c>
      <c r="O49" s="44">
        <f t="shared" si="10"/>
        <v>2.3335179154237991E-2</v>
      </c>
      <c r="P49" s="115">
        <f t="shared" si="43"/>
        <v>1</v>
      </c>
      <c r="Q49" s="2"/>
      <c r="R49" s="42" t="s">
        <v>489</v>
      </c>
      <c r="S49" s="43">
        <f t="shared" si="44"/>
        <v>0.25158408382358</v>
      </c>
      <c r="T49" s="43">
        <f t="shared" si="45"/>
        <v>0.45383505526139623</v>
      </c>
      <c r="U49" s="43">
        <f t="shared" si="46"/>
        <v>9.5512034207573815E-2</v>
      </c>
      <c r="V49" s="43">
        <f t="shared" si="47"/>
        <v>5.4177557143954877E-2</v>
      </c>
      <c r="W49" s="29">
        <f t="shared" si="48"/>
        <v>1.4966547729758223E-2</v>
      </c>
      <c r="X49" s="43">
        <f t="shared" si="49"/>
        <v>2.1012929940791365E-2</v>
      </c>
      <c r="Y49" s="43">
        <f t="shared" si="50"/>
        <v>1.4584102611209154E-2</v>
      </c>
      <c r="Z49" s="43">
        <f t="shared" si="51"/>
        <v>0</v>
      </c>
      <c r="AA49" s="29">
        <f t="shared" si="52"/>
        <v>2.5118357624218966E-2</v>
      </c>
      <c r="AB49" s="43">
        <f t="shared" si="53"/>
        <v>2.356980272484429E-2</v>
      </c>
      <c r="AC49" s="43">
        <f t="shared" si="54"/>
        <v>2.2304349778435054E-2</v>
      </c>
      <c r="AD49" s="43">
        <f t="shared" si="55"/>
        <v>2.3335179154237991E-2</v>
      </c>
      <c r="AE49" s="32">
        <f t="shared" si="56"/>
        <v>0.29166898917755724</v>
      </c>
      <c r="AF49" s="53">
        <f t="shared" si="57"/>
        <v>0.49841778792703184</v>
      </c>
      <c r="AG49" s="53">
        <f t="shared" si="58"/>
        <v>0.13240048659721804</v>
      </c>
      <c r="AH49" s="53">
        <f t="shared" si="59"/>
        <v>7.7512736298192872E-2</v>
      </c>
      <c r="AI49" s="34">
        <f t="shared" si="60"/>
        <v>0</v>
      </c>
      <c r="AJ49" s="35">
        <f t="shared" si="61"/>
        <v>0</v>
      </c>
      <c r="AK49" s="34">
        <f>AVERAGE(AI$47,AK18:AK22)</f>
        <v>0.85510873043650493</v>
      </c>
      <c r="AL49" s="35">
        <f t="shared" ref="AL49" si="109">AVERAGE(AJ$47,AL18:AL22)</f>
        <v>5.0563580281758745E-2</v>
      </c>
      <c r="AM49" s="35">
        <f t="shared" si="64"/>
        <v>9.4327689281736293E-2</v>
      </c>
      <c r="AN49" s="36">
        <v>1</v>
      </c>
      <c r="AO49" s="54">
        <v>1</v>
      </c>
      <c r="AP49" s="2"/>
      <c r="AQ49" s="42" t="s">
        <v>489</v>
      </c>
      <c r="AR49" s="43">
        <f t="shared" si="65"/>
        <v>0.20919129313976409</v>
      </c>
      <c r="AS49" s="43">
        <f t="shared" si="71"/>
        <v>0.37736227443092951</v>
      </c>
      <c r="AT49" s="43">
        <f t="shared" si="72"/>
        <v>7.9417925182829363E-2</v>
      </c>
      <c r="AU49" s="43">
        <f t="shared" si="73"/>
        <v>4.5048450863230408E-2</v>
      </c>
      <c r="AV49" s="29">
        <f t="shared" si="74"/>
        <v>2.3955348539719271E-2</v>
      </c>
      <c r="AW49" s="43">
        <f t="shared" si="75"/>
        <v>3.3633144373802194E-2</v>
      </c>
      <c r="AX49" s="43">
        <f t="shared" si="76"/>
        <v>2.3343209636507743E-2</v>
      </c>
      <c r="AY49" s="43">
        <f t="shared" si="77"/>
        <v>0</v>
      </c>
      <c r="AZ49" s="29">
        <f t="shared" si="78"/>
        <v>5.5400837172045796E-2</v>
      </c>
      <c r="BA49" s="43">
        <f t="shared" si="79"/>
        <v>5.1985357580756321E-2</v>
      </c>
      <c r="BB49" s="43">
        <f t="shared" si="80"/>
        <v>4.9194285262982369E-2</v>
      </c>
      <c r="BC49" s="44">
        <f t="shared" si="81"/>
        <v>5.1467873817432931E-2</v>
      </c>
      <c r="BD49" s="2"/>
      <c r="BE49" s="42" t="s">
        <v>489</v>
      </c>
      <c r="BF49" s="62">
        <v>1</v>
      </c>
      <c r="BG49" s="62">
        <v>1</v>
      </c>
      <c r="BH49" s="62">
        <v>1</v>
      </c>
      <c r="BI49" s="62">
        <v>1</v>
      </c>
      <c r="BJ49" s="36">
        <v>1</v>
      </c>
      <c r="BK49" s="62">
        <v>1</v>
      </c>
      <c r="BL49" s="62">
        <v>1</v>
      </c>
      <c r="BM49" s="62">
        <v>1</v>
      </c>
      <c r="BN49" s="36">
        <v>1</v>
      </c>
      <c r="BO49" s="62">
        <v>1</v>
      </c>
      <c r="BP49" s="62">
        <v>1</v>
      </c>
      <c r="BQ49" s="54">
        <v>1</v>
      </c>
      <c r="BR49" s="2"/>
      <c r="BS49" s="42" t="s">
        <v>489</v>
      </c>
      <c r="BT49" s="67">
        <f t="shared" si="66"/>
        <v>5787.201</v>
      </c>
      <c r="BU49" s="67">
        <f t="shared" si="18"/>
        <v>10439.59</v>
      </c>
      <c r="BV49" s="67">
        <f t="shared" si="19"/>
        <v>2197.0680000000002</v>
      </c>
      <c r="BW49" s="67">
        <f t="shared" si="20"/>
        <v>1246.249</v>
      </c>
      <c r="BX49" s="30">
        <f t="shared" si="21"/>
        <v>662.71600000000001</v>
      </c>
      <c r="BY49" s="67">
        <f t="shared" si="22"/>
        <v>930.44870000000003</v>
      </c>
      <c r="BZ49" s="67">
        <f t="shared" si="23"/>
        <v>645.78139999999996</v>
      </c>
      <c r="CA49" s="67">
        <f t="shared" si="24"/>
        <v>0</v>
      </c>
      <c r="CB49" s="30">
        <f t="shared" si="25"/>
        <v>1532.644</v>
      </c>
      <c r="CC49" s="67">
        <f t="shared" si="26"/>
        <v>1438.1559999999999</v>
      </c>
      <c r="CD49" s="67">
        <f t="shared" si="27"/>
        <v>1360.942</v>
      </c>
      <c r="CE49" s="68">
        <f t="shared" si="28"/>
        <v>1423.84</v>
      </c>
      <c r="CF49" s="2"/>
      <c r="CG49" s="37" t="str">
        <f t="shared" si="67"/>
        <v>ameat</v>
      </c>
      <c r="CH49" s="42" t="s">
        <v>489</v>
      </c>
      <c r="CI49" s="67">
        <f t="shared" si="68"/>
        <v>5787.201</v>
      </c>
      <c r="CJ49" s="67">
        <f t="shared" si="82"/>
        <v>10439.59</v>
      </c>
      <c r="CK49" s="67">
        <f t="shared" si="83"/>
        <v>2197.0680000000002</v>
      </c>
      <c r="CL49" s="67">
        <f t="shared" si="84"/>
        <v>1246.249</v>
      </c>
      <c r="CM49" s="30">
        <f t="shared" si="85"/>
        <v>662.71600000000001</v>
      </c>
      <c r="CN49" s="67">
        <f t="shared" si="86"/>
        <v>930.44870000000003</v>
      </c>
      <c r="CO49" s="67">
        <f t="shared" si="87"/>
        <v>645.78139999999996</v>
      </c>
      <c r="CP49" s="67">
        <f t="shared" si="88"/>
        <v>0</v>
      </c>
      <c r="CQ49" s="30">
        <f t="shared" si="89"/>
        <v>1532.644</v>
      </c>
      <c r="CR49" s="67">
        <f t="shared" si="90"/>
        <v>1438.1559999999999</v>
      </c>
      <c r="CS49" s="67">
        <f t="shared" si="91"/>
        <v>1360.942</v>
      </c>
      <c r="CT49" s="68">
        <f t="shared" si="92"/>
        <v>1423.84</v>
      </c>
      <c r="CU49" s="2"/>
      <c r="CV49" s="42" t="s">
        <v>489</v>
      </c>
      <c r="CW49" s="67">
        <f t="shared" si="69"/>
        <v>0</v>
      </c>
      <c r="CX49" s="67">
        <f t="shared" si="93"/>
        <v>0</v>
      </c>
      <c r="CY49" s="67">
        <f t="shared" si="94"/>
        <v>0</v>
      </c>
      <c r="CZ49" s="67">
        <f t="shared" si="95"/>
        <v>0</v>
      </c>
      <c r="DA49" s="30">
        <f t="shared" si="96"/>
        <v>0</v>
      </c>
      <c r="DB49" s="67">
        <f t="shared" si="97"/>
        <v>0</v>
      </c>
      <c r="DC49" s="67">
        <f t="shared" si="98"/>
        <v>0</v>
      </c>
      <c r="DD49" s="67">
        <f t="shared" si="99"/>
        <v>0</v>
      </c>
      <c r="DE49" s="30">
        <f t="shared" si="100"/>
        <v>0</v>
      </c>
      <c r="DF49" s="67">
        <f t="shared" si="101"/>
        <v>0</v>
      </c>
      <c r="DG49" s="67">
        <f t="shared" si="102"/>
        <v>0</v>
      </c>
      <c r="DH49" s="68">
        <f t="shared" si="103"/>
        <v>0</v>
      </c>
      <c r="DI49" s="2"/>
      <c r="DJ49" s="37" t="s">
        <v>486</v>
      </c>
      <c r="DK49" s="76" t="s">
        <v>489</v>
      </c>
      <c r="DL49" s="67">
        <f t="shared" si="70"/>
        <v>0</v>
      </c>
      <c r="DM49" s="67">
        <f t="shared" si="31"/>
        <v>0</v>
      </c>
      <c r="DN49" s="67">
        <f t="shared" si="32"/>
        <v>0</v>
      </c>
      <c r="DO49" s="67">
        <f t="shared" si="33"/>
        <v>0</v>
      </c>
      <c r="DP49" s="30">
        <f t="shared" si="34"/>
        <v>0</v>
      </c>
      <c r="DQ49" s="67">
        <f t="shared" si="35"/>
        <v>0</v>
      </c>
      <c r="DR49" s="67">
        <f t="shared" si="36"/>
        <v>0</v>
      </c>
      <c r="DS49" s="67">
        <f t="shared" si="37"/>
        <v>0</v>
      </c>
      <c r="DT49" s="30">
        <f t="shared" si="38"/>
        <v>0</v>
      </c>
      <c r="DU49" s="67">
        <f t="shared" si="39"/>
        <v>0</v>
      </c>
      <c r="DV49" s="67">
        <f t="shared" si="40"/>
        <v>0</v>
      </c>
      <c r="DW49" s="68">
        <f t="shared" si="41"/>
        <v>0</v>
      </c>
      <c r="DX49" s="2"/>
      <c r="DY49" s="81" t="s">
        <v>489</v>
      </c>
      <c r="DZ49" s="82"/>
      <c r="EA49" s="82"/>
      <c r="EB49" s="82"/>
      <c r="EC49" s="83"/>
      <c r="ED49" s="84">
        <v>1</v>
      </c>
      <c r="EE49" s="2"/>
      <c r="EF49" s="38" t="s">
        <v>489</v>
      </c>
      <c r="EG49" s="93" t="s">
        <v>489</v>
      </c>
      <c r="EH49" s="94"/>
      <c r="EI49" s="94"/>
      <c r="EJ49" s="94"/>
      <c r="EK49" s="94"/>
      <c r="EL49" s="94"/>
      <c r="EM49" s="94"/>
      <c r="EN49" s="94"/>
      <c r="EO49" s="94"/>
      <c r="EP49" s="94"/>
      <c r="EQ49" s="94"/>
      <c r="ER49" s="94"/>
      <c r="ES49" s="95"/>
      <c r="ET49" s="38" t="s">
        <v>489</v>
      </c>
      <c r="EU49" s="93" t="s">
        <v>489</v>
      </c>
      <c r="EV49" s="94"/>
      <c r="EW49" s="94"/>
      <c r="EX49" s="94"/>
      <c r="EY49" s="94"/>
      <c r="EZ49" s="94"/>
      <c r="FA49" s="94"/>
      <c r="FB49" s="94"/>
      <c r="FC49" s="94"/>
      <c r="FD49" s="94"/>
      <c r="FE49" s="94"/>
      <c r="FF49" s="94"/>
      <c r="FG49" s="95"/>
      <c r="FH49" s="38" t="s">
        <v>489</v>
      </c>
      <c r="FI49" s="93" t="s">
        <v>489</v>
      </c>
      <c r="FJ49" s="94"/>
      <c r="FK49" s="94"/>
      <c r="FL49" s="94"/>
      <c r="FM49" s="94"/>
      <c r="FN49" s="94"/>
      <c r="FO49" s="94"/>
      <c r="FP49" s="94"/>
      <c r="FQ49" s="94"/>
      <c r="FR49" s="94"/>
      <c r="FS49" s="94"/>
      <c r="FT49" s="94"/>
      <c r="FU49" s="95"/>
      <c r="FV49" s="38" t="s">
        <v>489</v>
      </c>
      <c r="FW49" s="93" t="s">
        <v>489</v>
      </c>
      <c r="FX49" s="94"/>
      <c r="FY49" s="94"/>
      <c r="FZ49" s="94"/>
      <c r="GA49" s="94"/>
      <c r="GB49" s="94"/>
      <c r="GC49" s="94"/>
      <c r="GD49" s="94"/>
      <c r="GE49" s="94"/>
      <c r="GF49" s="94"/>
      <c r="GG49" s="94"/>
      <c r="GH49" s="94"/>
      <c r="GI49" s="95"/>
      <c r="GJ49" s="38" t="s">
        <v>489</v>
      </c>
      <c r="GK49" s="93" t="s">
        <v>489</v>
      </c>
      <c r="GL49" s="94"/>
      <c r="GM49" s="94"/>
      <c r="GN49" s="94"/>
      <c r="GO49" s="94"/>
      <c r="GP49" s="94"/>
      <c r="GQ49" s="94"/>
      <c r="GR49" s="94"/>
      <c r="GS49" s="94"/>
      <c r="GT49" s="94"/>
      <c r="GU49" s="94"/>
      <c r="GV49" s="94"/>
      <c r="GW49" s="95"/>
      <c r="GX49" s="38"/>
    </row>
    <row r="50" spans="1:206" x14ac:dyDescent="0.35">
      <c r="A50" s="2"/>
      <c r="B50" s="2"/>
      <c r="C50" s="42" t="s">
        <v>490</v>
      </c>
      <c r="D50" s="43">
        <f t="shared" si="42"/>
        <v>0.26092101158025077</v>
      </c>
      <c r="E50" s="43">
        <f t="shared" si="0"/>
        <v>0.47067803300474093</v>
      </c>
      <c r="F50" s="43">
        <f t="shared" si="1"/>
        <v>9.9056729681688688E-2</v>
      </c>
      <c r="G50" s="43">
        <f t="shared" si="2"/>
        <v>5.618822462894859E-2</v>
      </c>
      <c r="H50" s="43">
        <f t="shared" si="3"/>
        <v>1.0444607874194475E-2</v>
      </c>
      <c r="I50" s="43">
        <f t="shared" si="4"/>
        <v>1.4664157525326103E-2</v>
      </c>
      <c r="J50" s="43">
        <f t="shared" si="5"/>
        <v>1.0177713372618637E-2</v>
      </c>
      <c r="K50" s="43">
        <f t="shared" si="6"/>
        <v>0</v>
      </c>
      <c r="L50" s="43">
        <f t="shared" si="7"/>
        <v>2.0735740744439259E-2</v>
      </c>
      <c r="M50" s="43">
        <f t="shared" si="8"/>
        <v>1.9457375598025236E-2</v>
      </c>
      <c r="N50" s="43">
        <f t="shared" si="9"/>
        <v>1.8412717160814027E-2</v>
      </c>
      <c r="O50" s="44">
        <f t="shared" si="10"/>
        <v>1.9263688828953358E-2</v>
      </c>
      <c r="P50" s="115">
        <f t="shared" si="43"/>
        <v>1</v>
      </c>
      <c r="Q50" s="2"/>
      <c r="R50" s="42" t="s">
        <v>490</v>
      </c>
      <c r="S50" s="43">
        <f t="shared" si="44"/>
        <v>0.26092101158025077</v>
      </c>
      <c r="T50" s="43">
        <f t="shared" si="45"/>
        <v>0.47067803300474093</v>
      </c>
      <c r="U50" s="43">
        <f t="shared" si="46"/>
        <v>9.9056729681688688E-2</v>
      </c>
      <c r="V50" s="43">
        <f t="shared" si="47"/>
        <v>5.618822462894859E-2</v>
      </c>
      <c r="W50" s="29">
        <f t="shared" si="48"/>
        <v>1.0444607874194475E-2</v>
      </c>
      <c r="X50" s="43">
        <f t="shared" si="49"/>
        <v>1.4664157525326103E-2</v>
      </c>
      <c r="Y50" s="43">
        <f t="shared" si="50"/>
        <v>1.0177713372618637E-2</v>
      </c>
      <c r="Z50" s="43">
        <f t="shared" si="51"/>
        <v>0</v>
      </c>
      <c r="AA50" s="29">
        <f t="shared" si="52"/>
        <v>2.0735740744439259E-2</v>
      </c>
      <c r="AB50" s="43">
        <f t="shared" si="53"/>
        <v>1.9457375598025236E-2</v>
      </c>
      <c r="AC50" s="43">
        <f t="shared" si="54"/>
        <v>1.8412717160814027E-2</v>
      </c>
      <c r="AD50" s="43">
        <f t="shared" si="55"/>
        <v>1.9263688828953358E-2</v>
      </c>
      <c r="AE50" s="32">
        <f t="shared" si="56"/>
        <v>0.2921013601988845</v>
      </c>
      <c r="AF50" s="53">
        <f t="shared" si="57"/>
        <v>0.50479956612809229</v>
      </c>
      <c r="AG50" s="53">
        <f t="shared" si="58"/>
        <v>0.12764716021512135</v>
      </c>
      <c r="AH50" s="53">
        <f t="shared" si="59"/>
        <v>7.5451913457901948E-2</v>
      </c>
      <c r="AI50" s="34">
        <f t="shared" si="60"/>
        <v>0</v>
      </c>
      <c r="AJ50" s="35">
        <f t="shared" si="61"/>
        <v>0</v>
      </c>
      <c r="AK50" s="34">
        <f>AVERAGE(AI$47,AK23:AK25)</f>
        <v>0.88684399889562893</v>
      </c>
      <c r="AL50" s="35">
        <f>AVERAGE(AJ$47,AL23:AL25)</f>
        <v>3.5286478772139217E-2</v>
      </c>
      <c r="AM50" s="35">
        <f t="shared" si="64"/>
        <v>7.7869522332231877E-2</v>
      </c>
      <c r="AN50" s="36">
        <v>1</v>
      </c>
      <c r="AO50" s="54">
        <v>1</v>
      </c>
      <c r="AP50" s="2"/>
      <c r="AQ50" s="42" t="s">
        <v>490</v>
      </c>
      <c r="AR50" s="43">
        <f t="shared" si="65"/>
        <v>0.20919129313976409</v>
      </c>
      <c r="AS50" s="43">
        <f t="shared" si="71"/>
        <v>0.37736227443092951</v>
      </c>
      <c r="AT50" s="43">
        <f t="shared" si="72"/>
        <v>7.9417925182829363E-2</v>
      </c>
      <c r="AU50" s="43">
        <f t="shared" si="73"/>
        <v>4.5048450863230408E-2</v>
      </c>
      <c r="AV50" s="29">
        <f t="shared" si="74"/>
        <v>2.3955348539719271E-2</v>
      </c>
      <c r="AW50" s="43">
        <f t="shared" si="75"/>
        <v>3.3633144373802194E-2</v>
      </c>
      <c r="AX50" s="43">
        <f t="shared" si="76"/>
        <v>2.3343209636507743E-2</v>
      </c>
      <c r="AY50" s="43">
        <f t="shared" si="77"/>
        <v>0</v>
      </c>
      <c r="AZ50" s="29">
        <f t="shared" si="78"/>
        <v>5.5400837172045796E-2</v>
      </c>
      <c r="BA50" s="43">
        <f t="shared" si="79"/>
        <v>5.1985357580756321E-2</v>
      </c>
      <c r="BB50" s="43">
        <f t="shared" si="80"/>
        <v>4.9194285262982369E-2</v>
      </c>
      <c r="BC50" s="44">
        <f t="shared" si="81"/>
        <v>5.1467873817432931E-2</v>
      </c>
      <c r="BD50" s="2"/>
      <c r="BE50" s="42" t="s">
        <v>490</v>
      </c>
      <c r="BF50" s="62">
        <v>1</v>
      </c>
      <c r="BG50" s="62">
        <v>1</v>
      </c>
      <c r="BH50" s="62">
        <v>1</v>
      </c>
      <c r="BI50" s="62">
        <v>1</v>
      </c>
      <c r="BJ50" s="36">
        <v>1</v>
      </c>
      <c r="BK50" s="62">
        <v>1</v>
      </c>
      <c r="BL50" s="62">
        <v>1</v>
      </c>
      <c r="BM50" s="62">
        <v>1</v>
      </c>
      <c r="BN50" s="36">
        <v>1</v>
      </c>
      <c r="BO50" s="62">
        <v>1</v>
      </c>
      <c r="BP50" s="62">
        <v>1</v>
      </c>
      <c r="BQ50" s="54">
        <v>1</v>
      </c>
      <c r="BR50" s="2"/>
      <c r="BS50" s="42" t="s">
        <v>490</v>
      </c>
      <c r="BT50" s="67">
        <f t="shared" si="66"/>
        <v>5787.201</v>
      </c>
      <c r="BU50" s="67">
        <f t="shared" si="18"/>
        <v>10439.59</v>
      </c>
      <c r="BV50" s="67">
        <f t="shared" si="19"/>
        <v>2197.0680000000002</v>
      </c>
      <c r="BW50" s="67">
        <f t="shared" si="20"/>
        <v>1246.249</v>
      </c>
      <c r="BX50" s="30">
        <f t="shared" si="21"/>
        <v>662.71600000000001</v>
      </c>
      <c r="BY50" s="67">
        <f t="shared" si="22"/>
        <v>930.44870000000003</v>
      </c>
      <c r="BZ50" s="67">
        <f t="shared" si="23"/>
        <v>645.78139999999996</v>
      </c>
      <c r="CA50" s="67">
        <f t="shared" si="24"/>
        <v>0</v>
      </c>
      <c r="CB50" s="30">
        <f t="shared" si="25"/>
        <v>1532.644</v>
      </c>
      <c r="CC50" s="67">
        <f t="shared" si="26"/>
        <v>1438.1559999999999</v>
      </c>
      <c r="CD50" s="67">
        <f t="shared" si="27"/>
        <v>1360.942</v>
      </c>
      <c r="CE50" s="68">
        <f t="shared" si="28"/>
        <v>1423.84</v>
      </c>
      <c r="CF50" s="2"/>
      <c r="CG50" s="37" t="str">
        <f t="shared" si="67"/>
        <v>ameat</v>
      </c>
      <c r="CH50" s="42" t="s">
        <v>490</v>
      </c>
      <c r="CI50" s="67">
        <f t="shared" si="68"/>
        <v>5787.201</v>
      </c>
      <c r="CJ50" s="67">
        <f t="shared" si="82"/>
        <v>10439.59</v>
      </c>
      <c r="CK50" s="67">
        <f t="shared" si="83"/>
        <v>2197.0680000000002</v>
      </c>
      <c r="CL50" s="67">
        <f t="shared" si="84"/>
        <v>1246.249</v>
      </c>
      <c r="CM50" s="30">
        <f t="shared" si="85"/>
        <v>662.71600000000001</v>
      </c>
      <c r="CN50" s="67">
        <f t="shared" si="86"/>
        <v>930.44870000000003</v>
      </c>
      <c r="CO50" s="67">
        <f t="shared" si="87"/>
        <v>645.78139999999996</v>
      </c>
      <c r="CP50" s="67">
        <f t="shared" si="88"/>
        <v>0</v>
      </c>
      <c r="CQ50" s="30">
        <f t="shared" si="89"/>
        <v>1532.644</v>
      </c>
      <c r="CR50" s="67">
        <f t="shared" si="90"/>
        <v>1438.1559999999999</v>
      </c>
      <c r="CS50" s="67">
        <f t="shared" si="91"/>
        <v>1360.942</v>
      </c>
      <c r="CT50" s="68">
        <f t="shared" si="92"/>
        <v>1423.84</v>
      </c>
      <c r="CU50" s="2"/>
      <c r="CV50" s="42" t="s">
        <v>490</v>
      </c>
      <c r="CW50" s="67">
        <f t="shared" si="69"/>
        <v>0</v>
      </c>
      <c r="CX50" s="67">
        <f t="shared" si="93"/>
        <v>0</v>
      </c>
      <c r="CY50" s="67">
        <f t="shared" si="94"/>
        <v>0</v>
      </c>
      <c r="CZ50" s="67">
        <f t="shared" si="95"/>
        <v>0</v>
      </c>
      <c r="DA50" s="30">
        <f t="shared" si="96"/>
        <v>0</v>
      </c>
      <c r="DB50" s="67">
        <f t="shared" si="97"/>
        <v>0</v>
      </c>
      <c r="DC50" s="67">
        <f t="shared" si="98"/>
        <v>0</v>
      </c>
      <c r="DD50" s="67">
        <f t="shared" si="99"/>
        <v>0</v>
      </c>
      <c r="DE50" s="30">
        <f t="shared" si="100"/>
        <v>0</v>
      </c>
      <c r="DF50" s="67">
        <f t="shared" si="101"/>
        <v>0</v>
      </c>
      <c r="DG50" s="67">
        <f t="shared" si="102"/>
        <v>0</v>
      </c>
      <c r="DH50" s="68">
        <f t="shared" si="103"/>
        <v>0</v>
      </c>
      <c r="DI50" s="2"/>
      <c r="DJ50" s="37" t="s">
        <v>486</v>
      </c>
      <c r="DK50" s="76" t="s">
        <v>490</v>
      </c>
      <c r="DL50" s="67">
        <f t="shared" si="70"/>
        <v>0</v>
      </c>
      <c r="DM50" s="67">
        <f t="shared" si="31"/>
        <v>0</v>
      </c>
      <c r="DN50" s="67">
        <f t="shared" si="32"/>
        <v>0</v>
      </c>
      <c r="DO50" s="67">
        <f t="shared" si="33"/>
        <v>0</v>
      </c>
      <c r="DP50" s="30">
        <f t="shared" si="34"/>
        <v>0</v>
      </c>
      <c r="DQ50" s="67">
        <f t="shared" si="35"/>
        <v>0</v>
      </c>
      <c r="DR50" s="67">
        <f t="shared" si="36"/>
        <v>0</v>
      </c>
      <c r="DS50" s="67">
        <f t="shared" si="37"/>
        <v>0</v>
      </c>
      <c r="DT50" s="30">
        <f t="shared" si="38"/>
        <v>0</v>
      </c>
      <c r="DU50" s="67">
        <f t="shared" si="39"/>
        <v>0</v>
      </c>
      <c r="DV50" s="67">
        <f t="shared" si="40"/>
        <v>0</v>
      </c>
      <c r="DW50" s="68">
        <f t="shared" si="41"/>
        <v>0</v>
      </c>
      <c r="DX50" s="2"/>
      <c r="DY50" s="81" t="s">
        <v>490</v>
      </c>
      <c r="DZ50" s="82"/>
      <c r="EA50" s="82"/>
      <c r="EB50" s="82"/>
      <c r="EC50" s="83"/>
      <c r="ED50" s="84">
        <v>1</v>
      </c>
      <c r="EE50" s="2"/>
      <c r="EF50" s="38" t="s">
        <v>490</v>
      </c>
      <c r="EG50" s="93" t="s">
        <v>490</v>
      </c>
      <c r="EH50" s="94"/>
      <c r="EI50" s="94"/>
      <c r="EJ50" s="94"/>
      <c r="EK50" s="94"/>
      <c r="EL50" s="94"/>
      <c r="EM50" s="94"/>
      <c r="EN50" s="94"/>
      <c r="EO50" s="94"/>
      <c r="EP50" s="94"/>
      <c r="EQ50" s="94"/>
      <c r="ER50" s="94"/>
      <c r="ES50" s="95"/>
      <c r="ET50" s="38" t="s">
        <v>490</v>
      </c>
      <c r="EU50" s="93" t="s">
        <v>490</v>
      </c>
      <c r="EV50" s="94"/>
      <c r="EW50" s="94"/>
      <c r="EX50" s="94"/>
      <c r="EY50" s="94"/>
      <c r="EZ50" s="94"/>
      <c r="FA50" s="94"/>
      <c r="FB50" s="94"/>
      <c r="FC50" s="94"/>
      <c r="FD50" s="94"/>
      <c r="FE50" s="94"/>
      <c r="FF50" s="94"/>
      <c r="FG50" s="95"/>
      <c r="FH50" s="38" t="s">
        <v>490</v>
      </c>
      <c r="FI50" s="93" t="s">
        <v>490</v>
      </c>
      <c r="FJ50" s="94"/>
      <c r="FK50" s="94"/>
      <c r="FL50" s="94"/>
      <c r="FM50" s="94"/>
      <c r="FN50" s="94"/>
      <c r="FO50" s="94"/>
      <c r="FP50" s="94"/>
      <c r="FQ50" s="94"/>
      <c r="FR50" s="94"/>
      <c r="FS50" s="94"/>
      <c r="FT50" s="94"/>
      <c r="FU50" s="95"/>
      <c r="FV50" s="38" t="s">
        <v>490</v>
      </c>
      <c r="FW50" s="93" t="s">
        <v>490</v>
      </c>
      <c r="FX50" s="94"/>
      <c r="FY50" s="94"/>
      <c r="FZ50" s="94"/>
      <c r="GA50" s="94"/>
      <c r="GB50" s="94"/>
      <c r="GC50" s="94"/>
      <c r="GD50" s="94"/>
      <c r="GE50" s="94"/>
      <c r="GF50" s="94"/>
      <c r="GG50" s="94"/>
      <c r="GH50" s="94"/>
      <c r="GI50" s="95"/>
      <c r="GJ50" s="38" t="s">
        <v>490</v>
      </c>
      <c r="GK50" s="93" t="s">
        <v>490</v>
      </c>
      <c r="GL50" s="94"/>
      <c r="GM50" s="94"/>
      <c r="GN50" s="94"/>
      <c r="GO50" s="94"/>
      <c r="GP50" s="94"/>
      <c r="GQ50" s="94"/>
      <c r="GR50" s="94"/>
      <c r="GS50" s="94"/>
      <c r="GT50" s="94"/>
      <c r="GU50" s="94"/>
      <c r="GV50" s="94"/>
      <c r="GW50" s="95"/>
      <c r="GX50" s="38"/>
    </row>
    <row r="51" spans="1:206" x14ac:dyDescent="0.35">
      <c r="A51" s="2"/>
      <c r="B51" s="2"/>
      <c r="C51" s="42" t="s">
        <v>488</v>
      </c>
      <c r="D51" s="43">
        <f t="shared" si="42"/>
        <v>0.16961094018826509</v>
      </c>
      <c r="E51" s="43">
        <f t="shared" si="0"/>
        <v>0.30596287826878837</v>
      </c>
      <c r="F51" s="43">
        <f t="shared" si="1"/>
        <v>6.4391537314420433E-2</v>
      </c>
      <c r="G51" s="43">
        <f t="shared" si="2"/>
        <v>3.6524991027387023E-2</v>
      </c>
      <c r="H51" s="43">
        <f t="shared" si="3"/>
        <v>2.6603864675177013E-2</v>
      </c>
      <c r="I51" s="43">
        <f t="shared" si="4"/>
        <v>3.7351642788154171E-2</v>
      </c>
      <c r="J51" s="43">
        <f t="shared" si="5"/>
        <v>2.5924047367720651E-2</v>
      </c>
      <c r="K51" s="43">
        <f t="shared" si="6"/>
        <v>0</v>
      </c>
      <c r="L51" s="43">
        <f t="shared" si="7"/>
        <v>8.8841783243870751E-2</v>
      </c>
      <c r="M51" s="43">
        <f t="shared" si="8"/>
        <v>8.3364658474422107E-2</v>
      </c>
      <c r="N51" s="43">
        <f t="shared" si="9"/>
        <v>7.8888844488008925E-2</v>
      </c>
      <c r="O51" s="44">
        <f t="shared" si="10"/>
        <v>8.2534812163785526E-2</v>
      </c>
      <c r="P51" s="115">
        <f t="shared" si="43"/>
        <v>1</v>
      </c>
      <c r="Q51" s="2"/>
      <c r="R51" s="42" t="s">
        <v>488</v>
      </c>
      <c r="S51" s="43">
        <f t="shared" si="44"/>
        <v>0.16961094018826509</v>
      </c>
      <c r="T51" s="43">
        <f t="shared" si="45"/>
        <v>0.30596287826878837</v>
      </c>
      <c r="U51" s="43">
        <f t="shared" si="46"/>
        <v>6.4391537314420433E-2</v>
      </c>
      <c r="V51" s="43">
        <f t="shared" si="47"/>
        <v>3.6524991027387023E-2</v>
      </c>
      <c r="W51" s="29">
        <f t="shared" si="48"/>
        <v>2.6603864675177013E-2</v>
      </c>
      <c r="X51" s="43">
        <f t="shared" si="49"/>
        <v>3.7351642788154171E-2</v>
      </c>
      <c r="Y51" s="43">
        <f t="shared" si="50"/>
        <v>2.5924047367720651E-2</v>
      </c>
      <c r="Z51" s="43">
        <f t="shared" si="51"/>
        <v>0</v>
      </c>
      <c r="AA51" s="29">
        <f t="shared" si="52"/>
        <v>8.8841783243870751E-2</v>
      </c>
      <c r="AB51" s="43">
        <f t="shared" si="53"/>
        <v>8.3364658474422107E-2</v>
      </c>
      <c r="AC51" s="43">
        <f t="shared" si="54"/>
        <v>7.8888844488008925E-2</v>
      </c>
      <c r="AD51" s="43">
        <f t="shared" si="55"/>
        <v>8.2534812163785526E-2</v>
      </c>
      <c r="AE51" s="32">
        <f t="shared" si="56"/>
        <v>0.28505658810731282</v>
      </c>
      <c r="AF51" s="53">
        <f t="shared" si="57"/>
        <v>0.42667917953136464</v>
      </c>
      <c r="AG51" s="53">
        <f t="shared" si="58"/>
        <v>0.16920442917014999</v>
      </c>
      <c r="AH51" s="53">
        <f t="shared" si="59"/>
        <v>0.11905980319117254</v>
      </c>
      <c r="AI51" s="34">
        <f t="shared" si="60"/>
        <v>0</v>
      </c>
      <c r="AJ51" s="35">
        <f t="shared" si="61"/>
        <v>0</v>
      </c>
      <c r="AK51" s="34">
        <f>AVERAGE(AI$47,AK36)</f>
        <v>0.57649034679886091</v>
      </c>
      <c r="AL51" s="35">
        <f>AVERAGE(AJ$47,AL36)</f>
        <v>8.9879554831051839E-2</v>
      </c>
      <c r="AM51" s="35">
        <f t="shared" si="64"/>
        <v>0.33363009837008728</v>
      </c>
      <c r="AN51" s="36">
        <v>1</v>
      </c>
      <c r="AO51" s="54">
        <v>1</v>
      </c>
      <c r="AP51" s="2"/>
      <c r="AQ51" s="42" t="s">
        <v>488</v>
      </c>
      <c r="AR51" s="43">
        <f t="shared" si="65"/>
        <v>0.20919129313976409</v>
      </c>
      <c r="AS51" s="43">
        <f t="shared" si="71"/>
        <v>0.37736227443092951</v>
      </c>
      <c r="AT51" s="43">
        <f t="shared" si="72"/>
        <v>7.9417925182829363E-2</v>
      </c>
      <c r="AU51" s="43">
        <f t="shared" si="73"/>
        <v>4.5048450863230408E-2</v>
      </c>
      <c r="AV51" s="29">
        <f t="shared" si="74"/>
        <v>2.3955348539719271E-2</v>
      </c>
      <c r="AW51" s="43">
        <f t="shared" si="75"/>
        <v>3.3633144373802194E-2</v>
      </c>
      <c r="AX51" s="43">
        <f t="shared" si="76"/>
        <v>2.3343209636507743E-2</v>
      </c>
      <c r="AY51" s="43">
        <f t="shared" si="77"/>
        <v>0</v>
      </c>
      <c r="AZ51" s="29">
        <f t="shared" si="78"/>
        <v>5.5400837172045796E-2</v>
      </c>
      <c r="BA51" s="43">
        <f t="shared" si="79"/>
        <v>5.1985357580756321E-2</v>
      </c>
      <c r="BB51" s="43">
        <f t="shared" si="80"/>
        <v>4.9194285262982369E-2</v>
      </c>
      <c r="BC51" s="44">
        <f t="shared" si="81"/>
        <v>5.1467873817432931E-2</v>
      </c>
      <c r="BD51" s="2"/>
      <c r="BE51" s="42" t="s">
        <v>488</v>
      </c>
      <c r="BF51" s="62">
        <v>1</v>
      </c>
      <c r="BG51" s="62">
        <v>1</v>
      </c>
      <c r="BH51" s="62">
        <v>1</v>
      </c>
      <c r="BI51" s="62">
        <v>1</v>
      </c>
      <c r="BJ51" s="36">
        <v>1</v>
      </c>
      <c r="BK51" s="62">
        <v>1</v>
      </c>
      <c r="BL51" s="62">
        <v>1</v>
      </c>
      <c r="BM51" s="62">
        <v>1</v>
      </c>
      <c r="BN51" s="36">
        <v>1</v>
      </c>
      <c r="BO51" s="62">
        <v>1</v>
      </c>
      <c r="BP51" s="62">
        <v>1</v>
      </c>
      <c r="BQ51" s="54">
        <v>1</v>
      </c>
      <c r="BR51" s="2"/>
      <c r="BS51" s="42" t="s">
        <v>488</v>
      </c>
      <c r="BT51" s="67">
        <f t="shared" si="66"/>
        <v>5787.201</v>
      </c>
      <c r="BU51" s="67">
        <f t="shared" si="18"/>
        <v>10439.59</v>
      </c>
      <c r="BV51" s="67">
        <f t="shared" si="19"/>
        <v>2197.0680000000002</v>
      </c>
      <c r="BW51" s="67">
        <f t="shared" si="20"/>
        <v>1246.249</v>
      </c>
      <c r="BX51" s="30">
        <f t="shared" si="21"/>
        <v>662.71600000000001</v>
      </c>
      <c r="BY51" s="67">
        <f t="shared" si="22"/>
        <v>930.44870000000003</v>
      </c>
      <c r="BZ51" s="67">
        <f t="shared" si="23"/>
        <v>645.78139999999996</v>
      </c>
      <c r="CA51" s="67">
        <f t="shared" si="24"/>
        <v>0</v>
      </c>
      <c r="CB51" s="30">
        <f t="shared" si="25"/>
        <v>1532.644</v>
      </c>
      <c r="CC51" s="67">
        <f t="shared" si="26"/>
        <v>1438.1559999999999</v>
      </c>
      <c r="CD51" s="67">
        <f t="shared" si="27"/>
        <v>1360.942</v>
      </c>
      <c r="CE51" s="68">
        <f t="shared" si="28"/>
        <v>1423.84</v>
      </c>
      <c r="CF51" s="2"/>
      <c r="CG51" s="37" t="str">
        <f t="shared" si="67"/>
        <v>ameat</v>
      </c>
      <c r="CH51" s="42" t="s">
        <v>488</v>
      </c>
      <c r="CI51" s="67">
        <f t="shared" si="68"/>
        <v>5787.201</v>
      </c>
      <c r="CJ51" s="67">
        <f t="shared" si="82"/>
        <v>10439.59</v>
      </c>
      <c r="CK51" s="67">
        <f t="shared" si="83"/>
        <v>2197.0680000000002</v>
      </c>
      <c r="CL51" s="67">
        <f t="shared" si="84"/>
        <v>1246.249</v>
      </c>
      <c r="CM51" s="30">
        <f t="shared" si="85"/>
        <v>662.71600000000001</v>
      </c>
      <c r="CN51" s="67">
        <f t="shared" si="86"/>
        <v>930.44870000000003</v>
      </c>
      <c r="CO51" s="67">
        <f t="shared" si="87"/>
        <v>645.78139999999996</v>
      </c>
      <c r="CP51" s="67">
        <f t="shared" si="88"/>
        <v>0</v>
      </c>
      <c r="CQ51" s="30">
        <f t="shared" si="89"/>
        <v>1532.644</v>
      </c>
      <c r="CR51" s="67">
        <f t="shared" si="90"/>
        <v>1438.1559999999999</v>
      </c>
      <c r="CS51" s="67">
        <f t="shared" si="91"/>
        <v>1360.942</v>
      </c>
      <c r="CT51" s="68">
        <f t="shared" si="92"/>
        <v>1423.84</v>
      </c>
      <c r="CU51" s="2"/>
      <c r="CV51" s="42" t="s">
        <v>488</v>
      </c>
      <c r="CW51" s="67">
        <f t="shared" si="69"/>
        <v>0</v>
      </c>
      <c r="CX51" s="67">
        <f t="shared" si="93"/>
        <v>0</v>
      </c>
      <c r="CY51" s="67">
        <f t="shared" si="94"/>
        <v>0</v>
      </c>
      <c r="CZ51" s="67">
        <f t="shared" si="95"/>
        <v>0</v>
      </c>
      <c r="DA51" s="30">
        <f t="shared" si="96"/>
        <v>0</v>
      </c>
      <c r="DB51" s="67">
        <f t="shared" si="97"/>
        <v>0</v>
      </c>
      <c r="DC51" s="67">
        <f t="shared" si="98"/>
        <v>0</v>
      </c>
      <c r="DD51" s="67">
        <f t="shared" si="99"/>
        <v>0</v>
      </c>
      <c r="DE51" s="30">
        <f t="shared" si="100"/>
        <v>0</v>
      </c>
      <c r="DF51" s="67">
        <f t="shared" si="101"/>
        <v>0</v>
      </c>
      <c r="DG51" s="67">
        <f t="shared" si="102"/>
        <v>0</v>
      </c>
      <c r="DH51" s="68">
        <f t="shared" si="103"/>
        <v>0</v>
      </c>
      <c r="DI51" s="2"/>
      <c r="DJ51" s="37" t="s">
        <v>486</v>
      </c>
      <c r="DK51" s="76" t="s">
        <v>488</v>
      </c>
      <c r="DL51" s="67">
        <f t="shared" si="70"/>
        <v>0</v>
      </c>
      <c r="DM51" s="67">
        <f t="shared" si="31"/>
        <v>0</v>
      </c>
      <c r="DN51" s="67">
        <f t="shared" si="32"/>
        <v>0</v>
      </c>
      <c r="DO51" s="67">
        <f t="shared" si="33"/>
        <v>0</v>
      </c>
      <c r="DP51" s="30">
        <f t="shared" si="34"/>
        <v>0</v>
      </c>
      <c r="DQ51" s="67">
        <f t="shared" si="35"/>
        <v>0</v>
      </c>
      <c r="DR51" s="67">
        <f t="shared" si="36"/>
        <v>0</v>
      </c>
      <c r="DS51" s="67">
        <f t="shared" si="37"/>
        <v>0</v>
      </c>
      <c r="DT51" s="30">
        <f t="shared" si="38"/>
        <v>0</v>
      </c>
      <c r="DU51" s="67">
        <f t="shared" si="39"/>
        <v>0</v>
      </c>
      <c r="DV51" s="67">
        <f t="shared" si="40"/>
        <v>0</v>
      </c>
      <c r="DW51" s="68">
        <f t="shared" si="41"/>
        <v>0</v>
      </c>
      <c r="DX51" s="2"/>
      <c r="DY51" s="81" t="s">
        <v>488</v>
      </c>
      <c r="DZ51" s="82"/>
      <c r="EA51" s="82"/>
      <c r="EB51" s="82"/>
      <c r="EC51" s="83"/>
      <c r="ED51" s="84">
        <v>1</v>
      </c>
      <c r="EE51" s="2"/>
      <c r="EF51" s="38" t="s">
        <v>488</v>
      </c>
      <c r="EG51" s="93" t="s">
        <v>488</v>
      </c>
      <c r="EH51" s="94"/>
      <c r="EI51" s="94"/>
      <c r="EJ51" s="94"/>
      <c r="EK51" s="94"/>
      <c r="EL51" s="94"/>
      <c r="EM51" s="94"/>
      <c r="EN51" s="94"/>
      <c r="EO51" s="94"/>
      <c r="EP51" s="94"/>
      <c r="EQ51" s="94"/>
      <c r="ER51" s="94"/>
      <c r="ES51" s="95"/>
      <c r="ET51" s="38" t="s">
        <v>488</v>
      </c>
      <c r="EU51" s="93" t="s">
        <v>488</v>
      </c>
      <c r="EV51" s="94"/>
      <c r="EW51" s="94"/>
      <c r="EX51" s="94"/>
      <c r="EY51" s="94"/>
      <c r="EZ51" s="94"/>
      <c r="FA51" s="94"/>
      <c r="FB51" s="94"/>
      <c r="FC51" s="94"/>
      <c r="FD51" s="94"/>
      <c r="FE51" s="94"/>
      <c r="FF51" s="94"/>
      <c r="FG51" s="95"/>
      <c r="FH51" s="38" t="s">
        <v>488</v>
      </c>
      <c r="FI51" s="93" t="s">
        <v>488</v>
      </c>
      <c r="FJ51" s="94"/>
      <c r="FK51" s="94"/>
      <c r="FL51" s="94"/>
      <c r="FM51" s="94"/>
      <c r="FN51" s="94"/>
      <c r="FO51" s="94"/>
      <c r="FP51" s="94"/>
      <c r="FQ51" s="94"/>
      <c r="FR51" s="94"/>
      <c r="FS51" s="94"/>
      <c r="FT51" s="94"/>
      <c r="FU51" s="95"/>
      <c r="FV51" s="38" t="s">
        <v>488</v>
      </c>
      <c r="FW51" s="93" t="s">
        <v>488</v>
      </c>
      <c r="FX51" s="94"/>
      <c r="FY51" s="94"/>
      <c r="FZ51" s="94"/>
      <c r="GA51" s="94"/>
      <c r="GB51" s="94"/>
      <c r="GC51" s="94"/>
      <c r="GD51" s="94"/>
      <c r="GE51" s="94"/>
      <c r="GF51" s="94"/>
      <c r="GG51" s="94"/>
      <c r="GH51" s="94"/>
      <c r="GI51" s="95"/>
      <c r="GJ51" s="38" t="s">
        <v>488</v>
      </c>
      <c r="GK51" s="93" t="s">
        <v>488</v>
      </c>
      <c r="GL51" s="94"/>
      <c r="GM51" s="94"/>
      <c r="GN51" s="94"/>
      <c r="GO51" s="94"/>
      <c r="GP51" s="94"/>
      <c r="GQ51" s="94"/>
      <c r="GR51" s="94"/>
      <c r="GS51" s="94"/>
      <c r="GT51" s="94"/>
      <c r="GU51" s="94"/>
      <c r="GV51" s="94"/>
      <c r="GW51" s="95"/>
      <c r="GX51" s="38"/>
    </row>
    <row r="52" spans="1:206" x14ac:dyDescent="0.35">
      <c r="A52" s="2"/>
      <c r="B52" s="2"/>
      <c r="C52" s="42" t="s">
        <v>491</v>
      </c>
      <c r="D52" s="43">
        <f t="shared" si="42"/>
        <v>0.26514287930896774</v>
      </c>
      <c r="E52" s="43">
        <f t="shared" si="0"/>
        <v>0.4782939025973188</v>
      </c>
      <c r="F52" s="43">
        <f t="shared" si="1"/>
        <v>0.10065953049800674</v>
      </c>
      <c r="G52" s="43">
        <f t="shared" si="2"/>
        <v>5.7097385799442901E-2</v>
      </c>
      <c r="H52" s="43">
        <f t="shared" si="3"/>
        <v>1.2558725043202939E-2</v>
      </c>
      <c r="I52" s="43">
        <f t="shared" si="4"/>
        <v>1.7632363471088097E-2</v>
      </c>
      <c r="J52" s="43">
        <f t="shared" si="5"/>
        <v>1.2237807810004067E-2</v>
      </c>
      <c r="K52" s="43">
        <f t="shared" si="6"/>
        <v>0</v>
      </c>
      <c r="L52" s="43">
        <f t="shared" si="7"/>
        <v>1.5012642028587198E-2</v>
      </c>
      <c r="M52" s="43">
        <f t="shared" si="8"/>
        <v>1.4087107775363915E-2</v>
      </c>
      <c r="N52" s="43">
        <f t="shared" si="9"/>
        <v>1.3330776793351569E-2</v>
      </c>
      <c r="O52" s="44">
        <f t="shared" si="10"/>
        <v>1.3946878874666E-2</v>
      </c>
      <c r="P52" s="115">
        <f t="shared" si="43"/>
        <v>1</v>
      </c>
      <c r="Q52" s="2"/>
      <c r="R52" s="42" t="s">
        <v>491</v>
      </c>
      <c r="S52" s="43">
        <f t="shared" si="44"/>
        <v>0.26514287930896774</v>
      </c>
      <c r="T52" s="43">
        <f t="shared" si="45"/>
        <v>0.4782939025973188</v>
      </c>
      <c r="U52" s="43">
        <f t="shared" si="46"/>
        <v>0.10065953049800674</v>
      </c>
      <c r="V52" s="43">
        <f t="shared" si="47"/>
        <v>5.7097385799442901E-2</v>
      </c>
      <c r="W52" s="29">
        <f t="shared" si="48"/>
        <v>1.2558725043202939E-2</v>
      </c>
      <c r="X52" s="43">
        <f t="shared" si="49"/>
        <v>1.7632363471088097E-2</v>
      </c>
      <c r="Y52" s="43">
        <f t="shared" si="50"/>
        <v>1.2237807810004067E-2</v>
      </c>
      <c r="Z52" s="43">
        <f t="shared" si="51"/>
        <v>0</v>
      </c>
      <c r="AA52" s="29">
        <f t="shared" si="52"/>
        <v>1.5012642028587198E-2</v>
      </c>
      <c r="AB52" s="43">
        <f t="shared" si="53"/>
        <v>1.4087107775363915E-2</v>
      </c>
      <c r="AC52" s="43">
        <f t="shared" si="54"/>
        <v>1.3330776793351569E-2</v>
      </c>
      <c r="AD52" s="43">
        <f t="shared" si="55"/>
        <v>1.3946878874666E-2</v>
      </c>
      <c r="AE52" s="32">
        <f t="shared" si="56"/>
        <v>0.29271424638075788</v>
      </c>
      <c r="AF52" s="53">
        <f t="shared" si="57"/>
        <v>0.51001337384377077</v>
      </c>
      <c r="AG52" s="53">
        <f t="shared" si="58"/>
        <v>0.12622811510136239</v>
      </c>
      <c r="AH52" s="53">
        <f t="shared" si="59"/>
        <v>7.1044264674108903E-2</v>
      </c>
      <c r="AI52" s="34">
        <f t="shared" si="60"/>
        <v>0</v>
      </c>
      <c r="AJ52" s="35">
        <f t="shared" si="61"/>
        <v>0</v>
      </c>
      <c r="AK52" s="34">
        <f>AVERAGE(AI$47,AK7:AK11)</f>
        <v>0.90119369820373618</v>
      </c>
      <c r="AL52" s="35">
        <f>AVERAGE(AJ$47,AL7:AL11)</f>
        <v>4.2428896324295105E-2</v>
      </c>
      <c r="AM52" s="35">
        <f t="shared" si="64"/>
        <v>5.6377405471968678E-2</v>
      </c>
      <c r="AN52" s="36">
        <v>1</v>
      </c>
      <c r="AO52" s="54">
        <v>1</v>
      </c>
      <c r="AP52" s="2"/>
      <c r="AQ52" s="42" t="s">
        <v>491</v>
      </c>
      <c r="AR52" s="43">
        <f t="shared" si="65"/>
        <v>0.20919129313976409</v>
      </c>
      <c r="AS52" s="43">
        <f t="shared" si="71"/>
        <v>0.37736227443092951</v>
      </c>
      <c r="AT52" s="43">
        <f t="shared" si="72"/>
        <v>7.9417925182829363E-2</v>
      </c>
      <c r="AU52" s="43">
        <f t="shared" si="73"/>
        <v>4.5048450863230408E-2</v>
      </c>
      <c r="AV52" s="29">
        <f t="shared" si="74"/>
        <v>2.3955348539719271E-2</v>
      </c>
      <c r="AW52" s="43">
        <f t="shared" si="75"/>
        <v>3.3633144373802194E-2</v>
      </c>
      <c r="AX52" s="43">
        <f t="shared" si="76"/>
        <v>2.3343209636507743E-2</v>
      </c>
      <c r="AY52" s="43">
        <f t="shared" si="77"/>
        <v>0</v>
      </c>
      <c r="AZ52" s="29">
        <f t="shared" si="78"/>
        <v>5.5400837172045796E-2</v>
      </c>
      <c r="BA52" s="43">
        <f t="shared" si="79"/>
        <v>5.1985357580756321E-2</v>
      </c>
      <c r="BB52" s="43">
        <f t="shared" si="80"/>
        <v>4.9194285262982369E-2</v>
      </c>
      <c r="BC52" s="44">
        <f t="shared" si="81"/>
        <v>5.1467873817432931E-2</v>
      </c>
      <c r="BD52" s="2"/>
      <c r="BE52" s="42" t="s">
        <v>491</v>
      </c>
      <c r="BF52" s="62">
        <v>1</v>
      </c>
      <c r="BG52" s="62">
        <v>1</v>
      </c>
      <c r="BH52" s="62">
        <v>1</v>
      </c>
      <c r="BI52" s="62">
        <v>1</v>
      </c>
      <c r="BJ52" s="36">
        <v>1</v>
      </c>
      <c r="BK52" s="62">
        <v>1</v>
      </c>
      <c r="BL52" s="62">
        <v>1</v>
      </c>
      <c r="BM52" s="62">
        <v>1</v>
      </c>
      <c r="BN52" s="36">
        <v>1</v>
      </c>
      <c r="BO52" s="62">
        <v>1</v>
      </c>
      <c r="BP52" s="62">
        <v>1</v>
      </c>
      <c r="BQ52" s="54">
        <v>1</v>
      </c>
      <c r="BR52" s="2"/>
      <c r="BS52" s="42" t="s">
        <v>491</v>
      </c>
      <c r="BT52" s="67">
        <f t="shared" si="66"/>
        <v>5787.201</v>
      </c>
      <c r="BU52" s="67">
        <f t="shared" si="18"/>
        <v>10439.59</v>
      </c>
      <c r="BV52" s="67">
        <f t="shared" si="19"/>
        <v>2197.0680000000002</v>
      </c>
      <c r="BW52" s="67">
        <f t="shared" si="20"/>
        <v>1246.249</v>
      </c>
      <c r="BX52" s="30">
        <f t="shared" si="21"/>
        <v>662.71600000000001</v>
      </c>
      <c r="BY52" s="67">
        <f t="shared" si="22"/>
        <v>930.44870000000003</v>
      </c>
      <c r="BZ52" s="67">
        <f t="shared" si="23"/>
        <v>645.78139999999996</v>
      </c>
      <c r="CA52" s="67">
        <f t="shared" si="24"/>
        <v>0</v>
      </c>
      <c r="CB52" s="30">
        <f t="shared" si="25"/>
        <v>1532.644</v>
      </c>
      <c r="CC52" s="67">
        <f t="shared" si="26"/>
        <v>1438.1559999999999</v>
      </c>
      <c r="CD52" s="67">
        <f t="shared" si="27"/>
        <v>1360.942</v>
      </c>
      <c r="CE52" s="68">
        <f t="shared" si="28"/>
        <v>1423.84</v>
      </c>
      <c r="CF52" s="2"/>
      <c r="CG52" s="37" t="str">
        <f t="shared" si="67"/>
        <v>ameat</v>
      </c>
      <c r="CH52" s="42" t="s">
        <v>491</v>
      </c>
      <c r="CI52" s="67">
        <f t="shared" si="68"/>
        <v>5787.201</v>
      </c>
      <c r="CJ52" s="67">
        <f t="shared" si="82"/>
        <v>10439.59</v>
      </c>
      <c r="CK52" s="67">
        <f t="shared" si="83"/>
        <v>2197.0680000000002</v>
      </c>
      <c r="CL52" s="67">
        <f t="shared" si="84"/>
        <v>1246.249</v>
      </c>
      <c r="CM52" s="30">
        <f t="shared" si="85"/>
        <v>662.71600000000001</v>
      </c>
      <c r="CN52" s="67">
        <f t="shared" si="86"/>
        <v>930.44870000000003</v>
      </c>
      <c r="CO52" s="67">
        <f t="shared" si="87"/>
        <v>645.78139999999996</v>
      </c>
      <c r="CP52" s="67">
        <f t="shared" si="88"/>
        <v>0</v>
      </c>
      <c r="CQ52" s="30">
        <f t="shared" si="89"/>
        <v>1532.644</v>
      </c>
      <c r="CR52" s="67">
        <f t="shared" si="90"/>
        <v>1438.1559999999999</v>
      </c>
      <c r="CS52" s="67">
        <f t="shared" si="91"/>
        <v>1360.942</v>
      </c>
      <c r="CT52" s="68">
        <f t="shared" si="92"/>
        <v>1423.84</v>
      </c>
      <c r="CU52" s="2"/>
      <c r="CV52" s="42" t="s">
        <v>491</v>
      </c>
      <c r="CW52" s="67">
        <f t="shared" si="69"/>
        <v>0</v>
      </c>
      <c r="CX52" s="67">
        <f t="shared" si="93"/>
        <v>0</v>
      </c>
      <c r="CY52" s="67">
        <f t="shared" si="94"/>
        <v>0</v>
      </c>
      <c r="CZ52" s="67">
        <f t="shared" si="95"/>
        <v>0</v>
      </c>
      <c r="DA52" s="30">
        <f t="shared" si="96"/>
        <v>0</v>
      </c>
      <c r="DB52" s="67">
        <f t="shared" si="97"/>
        <v>0</v>
      </c>
      <c r="DC52" s="67">
        <f t="shared" si="98"/>
        <v>0</v>
      </c>
      <c r="DD52" s="67">
        <f t="shared" si="99"/>
        <v>0</v>
      </c>
      <c r="DE52" s="30">
        <f t="shared" si="100"/>
        <v>0</v>
      </c>
      <c r="DF52" s="67">
        <f t="shared" si="101"/>
        <v>0</v>
      </c>
      <c r="DG52" s="67">
        <f t="shared" si="102"/>
        <v>0</v>
      </c>
      <c r="DH52" s="68">
        <f t="shared" si="103"/>
        <v>0</v>
      </c>
      <c r="DI52" s="2"/>
      <c r="DJ52" s="37" t="s">
        <v>486</v>
      </c>
      <c r="DK52" s="76" t="s">
        <v>491</v>
      </c>
      <c r="DL52" s="67">
        <f t="shared" si="70"/>
        <v>0</v>
      </c>
      <c r="DM52" s="67">
        <f t="shared" si="31"/>
        <v>0</v>
      </c>
      <c r="DN52" s="67">
        <f t="shared" si="32"/>
        <v>0</v>
      </c>
      <c r="DO52" s="67">
        <f t="shared" si="33"/>
        <v>0</v>
      </c>
      <c r="DP52" s="30">
        <f t="shared" si="34"/>
        <v>0</v>
      </c>
      <c r="DQ52" s="67">
        <f t="shared" si="35"/>
        <v>0</v>
      </c>
      <c r="DR52" s="67">
        <f t="shared" si="36"/>
        <v>0</v>
      </c>
      <c r="DS52" s="67">
        <f t="shared" si="37"/>
        <v>0</v>
      </c>
      <c r="DT52" s="30">
        <f t="shared" si="38"/>
        <v>0</v>
      </c>
      <c r="DU52" s="67">
        <f t="shared" si="39"/>
        <v>0</v>
      </c>
      <c r="DV52" s="67">
        <f t="shared" si="40"/>
        <v>0</v>
      </c>
      <c r="DW52" s="68">
        <f t="shared" si="41"/>
        <v>0</v>
      </c>
      <c r="DX52" s="2"/>
      <c r="DY52" s="81" t="s">
        <v>491</v>
      </c>
      <c r="DZ52" s="82"/>
      <c r="EA52" s="82"/>
      <c r="EB52" s="82"/>
      <c r="EC52" s="83"/>
      <c r="ED52" s="84">
        <v>1</v>
      </c>
      <c r="EE52" s="2"/>
      <c r="EF52" s="38" t="s">
        <v>491</v>
      </c>
      <c r="EG52" s="93" t="s">
        <v>491</v>
      </c>
      <c r="EH52" s="94"/>
      <c r="EI52" s="94"/>
      <c r="EJ52" s="94"/>
      <c r="EK52" s="94"/>
      <c r="EL52" s="94"/>
      <c r="EM52" s="94"/>
      <c r="EN52" s="94"/>
      <c r="EO52" s="94"/>
      <c r="EP52" s="94"/>
      <c r="EQ52" s="94"/>
      <c r="ER52" s="94"/>
      <c r="ES52" s="95"/>
      <c r="ET52" s="38" t="s">
        <v>491</v>
      </c>
      <c r="EU52" s="93" t="s">
        <v>491</v>
      </c>
      <c r="EV52" s="94"/>
      <c r="EW52" s="94"/>
      <c r="EX52" s="94"/>
      <c r="EY52" s="94"/>
      <c r="EZ52" s="94"/>
      <c r="FA52" s="94"/>
      <c r="FB52" s="94"/>
      <c r="FC52" s="94"/>
      <c r="FD52" s="94"/>
      <c r="FE52" s="94"/>
      <c r="FF52" s="94"/>
      <c r="FG52" s="95"/>
      <c r="FH52" s="38" t="s">
        <v>491</v>
      </c>
      <c r="FI52" s="93" t="s">
        <v>491</v>
      </c>
      <c r="FJ52" s="94"/>
      <c r="FK52" s="94"/>
      <c r="FL52" s="94"/>
      <c r="FM52" s="94"/>
      <c r="FN52" s="94"/>
      <c r="FO52" s="94"/>
      <c r="FP52" s="94"/>
      <c r="FQ52" s="94"/>
      <c r="FR52" s="94"/>
      <c r="FS52" s="94"/>
      <c r="FT52" s="94"/>
      <c r="FU52" s="95"/>
      <c r="FV52" s="38" t="s">
        <v>491</v>
      </c>
      <c r="FW52" s="93" t="s">
        <v>491</v>
      </c>
      <c r="FX52" s="94"/>
      <c r="FY52" s="94"/>
      <c r="FZ52" s="94"/>
      <c r="GA52" s="94"/>
      <c r="GB52" s="94"/>
      <c r="GC52" s="94"/>
      <c r="GD52" s="94"/>
      <c r="GE52" s="94"/>
      <c r="GF52" s="94"/>
      <c r="GG52" s="94"/>
      <c r="GH52" s="94"/>
      <c r="GI52" s="95"/>
      <c r="GJ52" s="38" t="s">
        <v>491</v>
      </c>
      <c r="GK52" s="93" t="s">
        <v>491</v>
      </c>
      <c r="GL52" s="94"/>
      <c r="GM52" s="94"/>
      <c r="GN52" s="94"/>
      <c r="GO52" s="94"/>
      <c r="GP52" s="94"/>
      <c r="GQ52" s="94"/>
      <c r="GR52" s="94"/>
      <c r="GS52" s="94"/>
      <c r="GT52" s="94"/>
      <c r="GU52" s="94"/>
      <c r="GV52" s="94"/>
      <c r="GW52" s="95"/>
      <c r="GX52" s="38"/>
    </row>
    <row r="53" spans="1:206" x14ac:dyDescent="0.35">
      <c r="A53" s="2"/>
      <c r="B53" s="2"/>
      <c r="C53" s="42" t="s">
        <v>527</v>
      </c>
      <c r="D53" s="43">
        <f t="shared" si="42"/>
        <v>0.20919129313976415</v>
      </c>
      <c r="E53" s="43">
        <f t="shared" si="0"/>
        <v>0.37736227443092957</v>
      </c>
      <c r="F53" s="43">
        <f t="shared" si="1"/>
        <v>7.9417925182829377E-2</v>
      </c>
      <c r="G53" s="43">
        <f t="shared" si="2"/>
        <v>4.5048450863230408E-2</v>
      </c>
      <c r="H53" s="43">
        <f t="shared" si="3"/>
        <v>2.3955348539719274E-2</v>
      </c>
      <c r="I53" s="43">
        <f t="shared" si="4"/>
        <v>3.3633144373802201E-2</v>
      </c>
      <c r="J53" s="43">
        <f t="shared" si="5"/>
        <v>2.3343209636507746E-2</v>
      </c>
      <c r="K53" s="43">
        <f t="shared" si="6"/>
        <v>0</v>
      </c>
      <c r="L53" s="43">
        <f t="shared" si="7"/>
        <v>5.540083717204581E-2</v>
      </c>
      <c r="M53" s="43">
        <f t="shared" si="8"/>
        <v>5.1985357580756328E-2</v>
      </c>
      <c r="N53" s="43">
        <f t="shared" si="9"/>
        <v>4.9194285262982383E-2</v>
      </c>
      <c r="O53" s="44">
        <f t="shared" si="10"/>
        <v>5.1467873817432938E-2</v>
      </c>
      <c r="P53" s="115">
        <f t="shared" si="43"/>
        <v>1</v>
      </c>
      <c r="Q53" s="2"/>
      <c r="R53" s="42" t="s">
        <v>527</v>
      </c>
      <c r="S53" s="43">
        <f t="shared" si="44"/>
        <v>0.20919129313976412</v>
      </c>
      <c r="T53" s="43">
        <f t="shared" si="45"/>
        <v>0.37736227443092951</v>
      </c>
      <c r="U53" s="43">
        <f t="shared" si="46"/>
        <v>7.9417925182829363E-2</v>
      </c>
      <c r="V53" s="43">
        <f t="shared" si="47"/>
        <v>4.5048450863230401E-2</v>
      </c>
      <c r="W53" s="29">
        <f t="shared" si="48"/>
        <v>2.3955348539719271E-2</v>
      </c>
      <c r="X53" s="43">
        <f t="shared" si="49"/>
        <v>3.3633144373802194E-2</v>
      </c>
      <c r="Y53" s="43">
        <f t="shared" si="50"/>
        <v>2.3343209636507743E-2</v>
      </c>
      <c r="Z53" s="43">
        <f t="shared" si="51"/>
        <v>0</v>
      </c>
      <c r="AA53" s="29">
        <f t="shared" si="52"/>
        <v>5.5400837172045803E-2</v>
      </c>
      <c r="AB53" s="43">
        <f t="shared" si="53"/>
        <v>5.1985357580756321E-2</v>
      </c>
      <c r="AC53" s="43">
        <f t="shared" si="54"/>
        <v>4.9194285262982376E-2</v>
      </c>
      <c r="AD53" s="43">
        <f t="shared" si="55"/>
        <v>5.1467873817432931E-2</v>
      </c>
      <c r="AE53" s="32">
        <f t="shared" si="56"/>
        <v>0.2885474788515292</v>
      </c>
      <c r="AF53" s="53">
        <f t="shared" si="57"/>
        <v>0.46298077638548807</v>
      </c>
      <c r="AG53" s="53">
        <f t="shared" si="58"/>
        <v>0.15195542008231949</v>
      </c>
      <c r="AH53" s="53">
        <f t="shared" si="59"/>
        <v>9.6516324680663332E-2</v>
      </c>
      <c r="AI53" s="34">
        <f t="shared" si="60"/>
        <v>0</v>
      </c>
      <c r="AJ53" s="35">
        <f t="shared" si="61"/>
        <v>0</v>
      </c>
      <c r="AK53" s="34">
        <f>AI$47</f>
        <v>0.71101994361675336</v>
      </c>
      <c r="AL53" s="35">
        <f>AJ$47</f>
        <v>8.0931702550029211E-2</v>
      </c>
      <c r="AM53" s="35">
        <f t="shared" si="64"/>
        <v>0.2080483538332174</v>
      </c>
      <c r="AN53" s="36">
        <v>1</v>
      </c>
      <c r="AO53" s="54">
        <v>1</v>
      </c>
      <c r="AP53" s="2"/>
      <c r="AQ53" s="42" t="s">
        <v>527</v>
      </c>
      <c r="AR53" s="43">
        <f t="shared" si="65"/>
        <v>0.20919129313976409</v>
      </c>
      <c r="AS53" s="43">
        <f t="shared" si="71"/>
        <v>0.37736227443092951</v>
      </c>
      <c r="AT53" s="43">
        <f t="shared" si="72"/>
        <v>7.9417925182829363E-2</v>
      </c>
      <c r="AU53" s="43">
        <f t="shared" si="73"/>
        <v>4.5048450863230408E-2</v>
      </c>
      <c r="AV53" s="29">
        <f t="shared" si="74"/>
        <v>2.3955348539719271E-2</v>
      </c>
      <c r="AW53" s="43">
        <f t="shared" si="75"/>
        <v>3.3633144373802194E-2</v>
      </c>
      <c r="AX53" s="43">
        <f t="shared" si="76"/>
        <v>2.3343209636507743E-2</v>
      </c>
      <c r="AY53" s="43">
        <f t="shared" si="77"/>
        <v>0</v>
      </c>
      <c r="AZ53" s="29">
        <f t="shared" si="78"/>
        <v>5.5400837172045796E-2</v>
      </c>
      <c r="BA53" s="43">
        <f t="shared" si="79"/>
        <v>5.1985357580756321E-2</v>
      </c>
      <c r="BB53" s="43">
        <f t="shared" si="80"/>
        <v>4.9194285262982369E-2</v>
      </c>
      <c r="BC53" s="44">
        <f t="shared" si="81"/>
        <v>5.1467873817432931E-2</v>
      </c>
      <c r="BD53" s="2"/>
      <c r="BE53" s="42" t="s">
        <v>527</v>
      </c>
      <c r="BF53" s="62">
        <v>1</v>
      </c>
      <c r="BG53" s="62">
        <v>1</v>
      </c>
      <c r="BH53" s="62">
        <v>1</v>
      </c>
      <c r="BI53" s="62">
        <v>1</v>
      </c>
      <c r="BJ53" s="36">
        <v>1</v>
      </c>
      <c r="BK53" s="62">
        <v>1</v>
      </c>
      <c r="BL53" s="62">
        <v>1</v>
      </c>
      <c r="BM53" s="62">
        <v>1</v>
      </c>
      <c r="BN53" s="36">
        <v>1</v>
      </c>
      <c r="BO53" s="62">
        <v>1</v>
      </c>
      <c r="BP53" s="62">
        <v>1</v>
      </c>
      <c r="BQ53" s="54">
        <v>1</v>
      </c>
      <c r="BR53" s="2"/>
      <c r="BS53" s="42" t="s">
        <v>527</v>
      </c>
      <c r="BT53" s="67">
        <f t="shared" si="66"/>
        <v>5787.201</v>
      </c>
      <c r="BU53" s="67">
        <f t="shared" si="18"/>
        <v>10439.59</v>
      </c>
      <c r="BV53" s="67">
        <f t="shared" si="19"/>
        <v>2197.0680000000002</v>
      </c>
      <c r="BW53" s="67">
        <f t="shared" si="20"/>
        <v>1246.249</v>
      </c>
      <c r="BX53" s="30">
        <f t="shared" si="21"/>
        <v>662.71600000000001</v>
      </c>
      <c r="BY53" s="67">
        <f t="shared" si="22"/>
        <v>930.44870000000003</v>
      </c>
      <c r="BZ53" s="67">
        <f t="shared" si="23"/>
        <v>645.78139999999996</v>
      </c>
      <c r="CA53" s="67">
        <f t="shared" si="24"/>
        <v>0</v>
      </c>
      <c r="CB53" s="30">
        <f t="shared" si="25"/>
        <v>1532.644</v>
      </c>
      <c r="CC53" s="67">
        <f t="shared" si="26"/>
        <v>1438.1559999999999</v>
      </c>
      <c r="CD53" s="67">
        <f t="shared" si="27"/>
        <v>1360.942</v>
      </c>
      <c r="CE53" s="68">
        <f t="shared" si="28"/>
        <v>1423.84</v>
      </c>
      <c r="CF53" s="2"/>
      <c r="CG53" s="37" t="str">
        <f t="shared" si="67"/>
        <v>ameat</v>
      </c>
      <c r="CH53" s="42" t="s">
        <v>527</v>
      </c>
      <c r="CI53" s="67">
        <f t="shared" si="68"/>
        <v>5787.201</v>
      </c>
      <c r="CJ53" s="67">
        <f t="shared" si="82"/>
        <v>10439.59</v>
      </c>
      <c r="CK53" s="67">
        <f t="shared" si="83"/>
        <v>2197.0680000000002</v>
      </c>
      <c r="CL53" s="67">
        <f t="shared" si="84"/>
        <v>1246.249</v>
      </c>
      <c r="CM53" s="30">
        <f t="shared" si="85"/>
        <v>662.71600000000001</v>
      </c>
      <c r="CN53" s="67">
        <f t="shared" si="86"/>
        <v>930.44870000000003</v>
      </c>
      <c r="CO53" s="67">
        <f t="shared" si="87"/>
        <v>645.78139999999996</v>
      </c>
      <c r="CP53" s="67">
        <f t="shared" si="88"/>
        <v>0</v>
      </c>
      <c r="CQ53" s="30">
        <f t="shared" si="89"/>
        <v>1532.644</v>
      </c>
      <c r="CR53" s="67">
        <f t="shared" si="90"/>
        <v>1438.1559999999999</v>
      </c>
      <c r="CS53" s="67">
        <f t="shared" si="91"/>
        <v>1360.942</v>
      </c>
      <c r="CT53" s="68">
        <f t="shared" si="92"/>
        <v>1423.84</v>
      </c>
      <c r="CU53" s="2"/>
      <c r="CV53" s="42" t="s">
        <v>527</v>
      </c>
      <c r="CW53" s="67">
        <f t="shared" si="69"/>
        <v>0</v>
      </c>
      <c r="CX53" s="67">
        <f t="shared" si="93"/>
        <v>0</v>
      </c>
      <c r="CY53" s="67">
        <f t="shared" si="94"/>
        <v>0</v>
      </c>
      <c r="CZ53" s="67">
        <f t="shared" si="95"/>
        <v>0</v>
      </c>
      <c r="DA53" s="30">
        <f t="shared" si="96"/>
        <v>0</v>
      </c>
      <c r="DB53" s="67">
        <f t="shared" si="97"/>
        <v>0</v>
      </c>
      <c r="DC53" s="67">
        <f t="shared" si="98"/>
        <v>0</v>
      </c>
      <c r="DD53" s="67">
        <f t="shared" si="99"/>
        <v>0</v>
      </c>
      <c r="DE53" s="30">
        <f t="shared" si="100"/>
        <v>0</v>
      </c>
      <c r="DF53" s="67">
        <f t="shared" si="101"/>
        <v>0</v>
      </c>
      <c r="DG53" s="67">
        <f t="shared" si="102"/>
        <v>0</v>
      </c>
      <c r="DH53" s="68">
        <f t="shared" si="103"/>
        <v>0</v>
      </c>
      <c r="DI53" s="2"/>
      <c r="DJ53" s="37" t="s">
        <v>486</v>
      </c>
      <c r="DK53" s="76" t="s">
        <v>527</v>
      </c>
      <c r="DL53" s="67">
        <f t="shared" si="70"/>
        <v>0</v>
      </c>
      <c r="DM53" s="67">
        <f t="shared" si="31"/>
        <v>0</v>
      </c>
      <c r="DN53" s="67">
        <f t="shared" si="32"/>
        <v>0</v>
      </c>
      <c r="DO53" s="67">
        <f t="shared" si="33"/>
        <v>0</v>
      </c>
      <c r="DP53" s="30">
        <f t="shared" si="34"/>
        <v>0</v>
      </c>
      <c r="DQ53" s="67">
        <f t="shared" si="35"/>
        <v>0</v>
      </c>
      <c r="DR53" s="67">
        <f t="shared" si="36"/>
        <v>0</v>
      </c>
      <c r="DS53" s="67">
        <f t="shared" si="37"/>
        <v>0</v>
      </c>
      <c r="DT53" s="30">
        <f t="shared" si="38"/>
        <v>0</v>
      </c>
      <c r="DU53" s="67">
        <f t="shared" si="39"/>
        <v>0</v>
      </c>
      <c r="DV53" s="67">
        <f t="shared" si="40"/>
        <v>0</v>
      </c>
      <c r="DW53" s="68">
        <f t="shared" si="41"/>
        <v>0</v>
      </c>
      <c r="DX53" s="2"/>
      <c r="DY53" s="81" t="s">
        <v>527</v>
      </c>
      <c r="DZ53" s="82"/>
      <c r="EA53" s="82"/>
      <c r="EB53" s="82"/>
      <c r="EC53" s="83"/>
      <c r="ED53" s="84">
        <v>1</v>
      </c>
      <c r="EE53" s="2"/>
      <c r="EF53" s="38" t="s">
        <v>527</v>
      </c>
      <c r="EG53" s="93" t="s">
        <v>527</v>
      </c>
      <c r="EH53" s="94"/>
      <c r="EI53" s="94"/>
      <c r="EJ53" s="94"/>
      <c r="EK53" s="94"/>
      <c r="EL53" s="94"/>
      <c r="EM53" s="94"/>
      <c r="EN53" s="94"/>
      <c r="EO53" s="94"/>
      <c r="EP53" s="94"/>
      <c r="EQ53" s="94"/>
      <c r="ER53" s="94"/>
      <c r="ES53" s="95"/>
      <c r="ET53" s="38" t="s">
        <v>527</v>
      </c>
      <c r="EU53" s="93" t="s">
        <v>527</v>
      </c>
      <c r="EV53" s="94"/>
      <c r="EW53" s="94"/>
      <c r="EX53" s="94"/>
      <c r="EY53" s="94"/>
      <c r="EZ53" s="94"/>
      <c r="FA53" s="94"/>
      <c r="FB53" s="94"/>
      <c r="FC53" s="94"/>
      <c r="FD53" s="94"/>
      <c r="FE53" s="94"/>
      <c r="FF53" s="94"/>
      <c r="FG53" s="95"/>
      <c r="FH53" s="38" t="s">
        <v>527</v>
      </c>
      <c r="FI53" s="93" t="s">
        <v>527</v>
      </c>
      <c r="FJ53" s="94"/>
      <c r="FK53" s="94"/>
      <c r="FL53" s="94"/>
      <c r="FM53" s="94"/>
      <c r="FN53" s="94"/>
      <c r="FO53" s="94"/>
      <c r="FP53" s="94"/>
      <c r="FQ53" s="94"/>
      <c r="FR53" s="94"/>
      <c r="FS53" s="94"/>
      <c r="FT53" s="94"/>
      <c r="FU53" s="95"/>
      <c r="FV53" s="38" t="s">
        <v>527</v>
      </c>
      <c r="FW53" s="93" t="s">
        <v>527</v>
      </c>
      <c r="FX53" s="94"/>
      <c r="FY53" s="94"/>
      <c r="FZ53" s="94"/>
      <c r="GA53" s="94"/>
      <c r="GB53" s="94"/>
      <c r="GC53" s="94"/>
      <c r="GD53" s="94"/>
      <c r="GE53" s="94"/>
      <c r="GF53" s="94"/>
      <c r="GG53" s="94"/>
      <c r="GH53" s="94"/>
      <c r="GI53" s="95"/>
      <c r="GJ53" s="38" t="s">
        <v>527</v>
      </c>
      <c r="GK53" s="93" t="s">
        <v>527</v>
      </c>
      <c r="GL53" s="94"/>
      <c r="GM53" s="94"/>
      <c r="GN53" s="94"/>
      <c r="GO53" s="94"/>
      <c r="GP53" s="94"/>
      <c r="GQ53" s="94"/>
      <c r="GR53" s="94"/>
      <c r="GS53" s="94"/>
      <c r="GT53" s="94"/>
      <c r="GU53" s="94"/>
      <c r="GV53" s="94"/>
      <c r="GW53" s="95"/>
      <c r="GX53" s="38"/>
    </row>
    <row r="54" spans="1:206" x14ac:dyDescent="0.35">
      <c r="A54" s="2"/>
      <c r="B54" s="2"/>
      <c r="C54" s="42" t="s">
        <v>493</v>
      </c>
      <c r="D54" s="43">
        <f t="shared" si="42"/>
        <v>0.24847013689220657</v>
      </c>
      <c r="E54" s="43">
        <f t="shared" si="0"/>
        <v>0.44821777512108368</v>
      </c>
      <c r="F54" s="43">
        <f t="shared" si="1"/>
        <v>9.4329847316774823E-2</v>
      </c>
      <c r="G54" s="43">
        <f t="shared" si="2"/>
        <v>5.3506981981751724E-2</v>
      </c>
      <c r="H54" s="43">
        <f t="shared" si="3"/>
        <v>1.477993252611828E-2</v>
      </c>
      <c r="I54" s="43">
        <f t="shared" si="4"/>
        <v>2.0750923480064565E-2</v>
      </c>
      <c r="J54" s="43">
        <f t="shared" si="5"/>
        <v>1.4402256047269416E-2</v>
      </c>
      <c r="K54" s="43">
        <f t="shared" si="6"/>
        <v>0</v>
      </c>
      <c r="L54" s="43">
        <f t="shared" si="7"/>
        <v>2.8104636123130654E-2</v>
      </c>
      <c r="M54" s="43">
        <f t="shared" si="8"/>
        <v>2.6371976185139593E-2</v>
      </c>
      <c r="N54" s="43">
        <f t="shared" si="9"/>
        <v>2.4956075706221197E-2</v>
      </c>
      <c r="O54" s="44">
        <f t="shared" si="10"/>
        <v>2.6109458620239497E-2</v>
      </c>
      <c r="P54" s="115">
        <f t="shared" si="43"/>
        <v>1</v>
      </c>
      <c r="Q54" s="2"/>
      <c r="R54" s="42" t="s">
        <v>493</v>
      </c>
      <c r="S54" s="43">
        <f t="shared" si="44"/>
        <v>0.24847013689220657</v>
      </c>
      <c r="T54" s="43">
        <f t="shared" si="45"/>
        <v>0.44821777512108368</v>
      </c>
      <c r="U54" s="43">
        <f t="shared" si="46"/>
        <v>9.4329847316774823E-2</v>
      </c>
      <c r="V54" s="43">
        <f t="shared" si="47"/>
        <v>5.3506981981751724E-2</v>
      </c>
      <c r="W54" s="29">
        <f t="shared" si="48"/>
        <v>1.477993252611828E-2</v>
      </c>
      <c r="X54" s="43">
        <f t="shared" si="49"/>
        <v>2.0750923480064565E-2</v>
      </c>
      <c r="Y54" s="43">
        <f t="shared" si="50"/>
        <v>1.4402256047269416E-2</v>
      </c>
      <c r="Z54" s="43">
        <f t="shared" si="51"/>
        <v>0</v>
      </c>
      <c r="AA54" s="29">
        <f t="shared" si="52"/>
        <v>2.8104636123130654E-2</v>
      </c>
      <c r="AB54" s="43">
        <f t="shared" si="53"/>
        <v>2.6371976185139593E-2</v>
      </c>
      <c r="AC54" s="43">
        <f t="shared" si="54"/>
        <v>2.4956075706221197E-2</v>
      </c>
      <c r="AD54" s="43">
        <f t="shared" si="55"/>
        <v>2.6109458620239497E-2</v>
      </c>
      <c r="AE54" s="32">
        <f t="shared" si="56"/>
        <v>0.29135470554145548</v>
      </c>
      <c r="AF54" s="53">
        <f t="shared" si="57"/>
        <v>0.49534067478628785</v>
      </c>
      <c r="AG54" s="53">
        <f t="shared" si="58"/>
        <v>0.13368817907026542</v>
      </c>
      <c r="AH54" s="53">
        <f t="shared" si="59"/>
        <v>7.9616440601991217E-2</v>
      </c>
      <c r="AI54" s="34">
        <f t="shared" si="60"/>
        <v>0</v>
      </c>
      <c r="AJ54" s="35">
        <f t="shared" si="61"/>
        <v>0</v>
      </c>
      <c r="AK54" s="34">
        <f>AVERAGE(AI$47,AK8,AK24)</f>
        <v>0.84452474131181676</v>
      </c>
      <c r="AL54" s="35">
        <f t="shared" ref="AL54" si="110">AVERAGE(AJ$47,AL8,AL24)</f>
        <v>4.9933112053452265E-2</v>
      </c>
      <c r="AM54" s="35">
        <f t="shared" si="64"/>
        <v>0.10554214663473094</v>
      </c>
      <c r="AN54" s="36">
        <v>1</v>
      </c>
      <c r="AO54" s="54">
        <v>1</v>
      </c>
      <c r="AP54" s="2"/>
      <c r="AQ54" s="42" t="s">
        <v>493</v>
      </c>
      <c r="AR54" s="43">
        <f t="shared" si="65"/>
        <v>0.20919129313976409</v>
      </c>
      <c r="AS54" s="43">
        <f t="shared" si="71"/>
        <v>0.37736227443092951</v>
      </c>
      <c r="AT54" s="43">
        <f t="shared" si="72"/>
        <v>7.9417925182829363E-2</v>
      </c>
      <c r="AU54" s="43">
        <f t="shared" si="73"/>
        <v>4.5048450863230408E-2</v>
      </c>
      <c r="AV54" s="29">
        <f t="shared" si="74"/>
        <v>2.3955348539719271E-2</v>
      </c>
      <c r="AW54" s="43">
        <f t="shared" si="75"/>
        <v>3.3633144373802194E-2</v>
      </c>
      <c r="AX54" s="43">
        <f t="shared" si="76"/>
        <v>2.3343209636507743E-2</v>
      </c>
      <c r="AY54" s="43">
        <f t="shared" si="77"/>
        <v>0</v>
      </c>
      <c r="AZ54" s="29">
        <f t="shared" si="78"/>
        <v>5.5400837172045796E-2</v>
      </c>
      <c r="BA54" s="43">
        <f t="shared" si="79"/>
        <v>5.1985357580756321E-2</v>
      </c>
      <c r="BB54" s="43">
        <f t="shared" si="80"/>
        <v>4.9194285262982369E-2</v>
      </c>
      <c r="BC54" s="44">
        <f t="shared" si="81"/>
        <v>5.1467873817432931E-2</v>
      </c>
      <c r="BD54" s="2"/>
      <c r="BE54" s="42" t="s">
        <v>493</v>
      </c>
      <c r="BF54" s="62">
        <v>1</v>
      </c>
      <c r="BG54" s="62">
        <v>1</v>
      </c>
      <c r="BH54" s="62">
        <v>1</v>
      </c>
      <c r="BI54" s="62">
        <v>1</v>
      </c>
      <c r="BJ54" s="36">
        <v>1</v>
      </c>
      <c r="BK54" s="62">
        <v>1</v>
      </c>
      <c r="BL54" s="62">
        <v>1</v>
      </c>
      <c r="BM54" s="62">
        <v>1</v>
      </c>
      <c r="BN54" s="36">
        <v>1</v>
      </c>
      <c r="BO54" s="62">
        <v>1</v>
      </c>
      <c r="BP54" s="62">
        <v>1</v>
      </c>
      <c r="BQ54" s="54">
        <v>1</v>
      </c>
      <c r="BR54" s="2"/>
      <c r="BS54" s="42" t="s">
        <v>493</v>
      </c>
      <c r="BT54" s="67">
        <f t="shared" si="66"/>
        <v>5787.201</v>
      </c>
      <c r="BU54" s="67">
        <f t="shared" si="18"/>
        <v>10439.59</v>
      </c>
      <c r="BV54" s="67">
        <f t="shared" si="19"/>
        <v>2197.0680000000002</v>
      </c>
      <c r="BW54" s="67">
        <f t="shared" si="20"/>
        <v>1246.249</v>
      </c>
      <c r="BX54" s="30">
        <f t="shared" si="21"/>
        <v>662.71600000000001</v>
      </c>
      <c r="BY54" s="67">
        <f t="shared" si="22"/>
        <v>930.44870000000003</v>
      </c>
      <c r="BZ54" s="67">
        <f t="shared" si="23"/>
        <v>645.78139999999996</v>
      </c>
      <c r="CA54" s="67">
        <f t="shared" si="24"/>
        <v>0</v>
      </c>
      <c r="CB54" s="30">
        <f t="shared" si="25"/>
        <v>1532.644</v>
      </c>
      <c r="CC54" s="67">
        <f t="shared" si="26"/>
        <v>1438.1559999999999</v>
      </c>
      <c r="CD54" s="67">
        <f t="shared" si="27"/>
        <v>1360.942</v>
      </c>
      <c r="CE54" s="68">
        <f t="shared" si="28"/>
        <v>1423.84</v>
      </c>
      <c r="CF54" s="2"/>
      <c r="CG54" s="37" t="str">
        <f t="shared" si="67"/>
        <v>ameat</v>
      </c>
      <c r="CH54" s="42" t="s">
        <v>493</v>
      </c>
      <c r="CI54" s="67">
        <f t="shared" si="68"/>
        <v>5787.201</v>
      </c>
      <c r="CJ54" s="67">
        <f t="shared" si="82"/>
        <v>10439.59</v>
      </c>
      <c r="CK54" s="67">
        <f t="shared" si="83"/>
        <v>2197.0680000000002</v>
      </c>
      <c r="CL54" s="67">
        <f t="shared" si="84"/>
        <v>1246.249</v>
      </c>
      <c r="CM54" s="30">
        <f t="shared" si="85"/>
        <v>662.71600000000001</v>
      </c>
      <c r="CN54" s="67">
        <f t="shared" si="86"/>
        <v>930.44870000000003</v>
      </c>
      <c r="CO54" s="67">
        <f t="shared" si="87"/>
        <v>645.78139999999996</v>
      </c>
      <c r="CP54" s="67">
        <f t="shared" si="88"/>
        <v>0</v>
      </c>
      <c r="CQ54" s="30">
        <f t="shared" si="89"/>
        <v>1532.644</v>
      </c>
      <c r="CR54" s="67">
        <f t="shared" si="90"/>
        <v>1438.1559999999999</v>
      </c>
      <c r="CS54" s="67">
        <f t="shared" si="91"/>
        <v>1360.942</v>
      </c>
      <c r="CT54" s="68">
        <f t="shared" si="92"/>
        <v>1423.84</v>
      </c>
      <c r="CU54" s="2"/>
      <c r="CV54" s="42" t="s">
        <v>493</v>
      </c>
      <c r="CW54" s="67">
        <f t="shared" si="69"/>
        <v>0</v>
      </c>
      <c r="CX54" s="67">
        <f t="shared" si="93"/>
        <v>0</v>
      </c>
      <c r="CY54" s="67">
        <f t="shared" si="94"/>
        <v>0</v>
      </c>
      <c r="CZ54" s="67">
        <f t="shared" si="95"/>
        <v>0</v>
      </c>
      <c r="DA54" s="30">
        <f t="shared" si="96"/>
        <v>0</v>
      </c>
      <c r="DB54" s="67">
        <f t="shared" si="97"/>
        <v>0</v>
      </c>
      <c r="DC54" s="67">
        <f t="shared" si="98"/>
        <v>0</v>
      </c>
      <c r="DD54" s="67">
        <f t="shared" si="99"/>
        <v>0</v>
      </c>
      <c r="DE54" s="30">
        <f t="shared" si="100"/>
        <v>0</v>
      </c>
      <c r="DF54" s="67">
        <f t="shared" si="101"/>
        <v>0</v>
      </c>
      <c r="DG54" s="67">
        <f t="shared" si="102"/>
        <v>0</v>
      </c>
      <c r="DH54" s="68">
        <f t="shared" si="103"/>
        <v>0</v>
      </c>
      <c r="DI54" s="2"/>
      <c r="DJ54" s="37" t="s">
        <v>486</v>
      </c>
      <c r="DK54" s="76" t="s">
        <v>493</v>
      </c>
      <c r="DL54" s="67">
        <f t="shared" si="70"/>
        <v>0</v>
      </c>
      <c r="DM54" s="67">
        <f t="shared" si="31"/>
        <v>0</v>
      </c>
      <c r="DN54" s="67">
        <f t="shared" si="32"/>
        <v>0</v>
      </c>
      <c r="DO54" s="67">
        <f t="shared" si="33"/>
        <v>0</v>
      </c>
      <c r="DP54" s="30">
        <f t="shared" si="34"/>
        <v>0</v>
      </c>
      <c r="DQ54" s="67">
        <f t="shared" si="35"/>
        <v>0</v>
      </c>
      <c r="DR54" s="67">
        <f t="shared" si="36"/>
        <v>0</v>
      </c>
      <c r="DS54" s="67">
        <f t="shared" si="37"/>
        <v>0</v>
      </c>
      <c r="DT54" s="30">
        <f t="shared" si="38"/>
        <v>0</v>
      </c>
      <c r="DU54" s="67">
        <f t="shared" si="39"/>
        <v>0</v>
      </c>
      <c r="DV54" s="67">
        <f t="shared" si="40"/>
        <v>0</v>
      </c>
      <c r="DW54" s="68">
        <f t="shared" si="41"/>
        <v>0</v>
      </c>
      <c r="DX54" s="2"/>
      <c r="DY54" s="81" t="s">
        <v>493</v>
      </c>
      <c r="DZ54" s="82"/>
      <c r="EA54" s="82"/>
      <c r="EB54" s="82"/>
      <c r="EC54" s="83"/>
      <c r="ED54" s="84">
        <v>1</v>
      </c>
      <c r="EE54" s="2"/>
      <c r="EF54" s="38" t="s">
        <v>493</v>
      </c>
      <c r="EG54" s="93" t="s">
        <v>493</v>
      </c>
      <c r="EH54" s="94"/>
      <c r="EI54" s="94"/>
      <c r="EJ54" s="94"/>
      <c r="EK54" s="94"/>
      <c r="EL54" s="94"/>
      <c r="EM54" s="94"/>
      <c r="EN54" s="94"/>
      <c r="EO54" s="94"/>
      <c r="EP54" s="94"/>
      <c r="EQ54" s="94"/>
      <c r="ER54" s="94"/>
      <c r="ES54" s="95"/>
      <c r="ET54" s="38" t="s">
        <v>493</v>
      </c>
      <c r="EU54" s="93" t="s">
        <v>493</v>
      </c>
      <c r="EV54" s="94"/>
      <c r="EW54" s="94"/>
      <c r="EX54" s="94"/>
      <c r="EY54" s="94"/>
      <c r="EZ54" s="94"/>
      <c r="FA54" s="94"/>
      <c r="FB54" s="94"/>
      <c r="FC54" s="94"/>
      <c r="FD54" s="94"/>
      <c r="FE54" s="94"/>
      <c r="FF54" s="94"/>
      <c r="FG54" s="95"/>
      <c r="FH54" s="38" t="s">
        <v>493</v>
      </c>
      <c r="FI54" s="93" t="s">
        <v>493</v>
      </c>
      <c r="FJ54" s="94"/>
      <c r="FK54" s="94"/>
      <c r="FL54" s="94"/>
      <c r="FM54" s="94"/>
      <c r="FN54" s="94"/>
      <c r="FO54" s="94"/>
      <c r="FP54" s="94"/>
      <c r="FQ54" s="94"/>
      <c r="FR54" s="94"/>
      <c r="FS54" s="94"/>
      <c r="FT54" s="94"/>
      <c r="FU54" s="95"/>
      <c r="FV54" s="38" t="s">
        <v>493</v>
      </c>
      <c r="FW54" s="93" t="s">
        <v>493</v>
      </c>
      <c r="FX54" s="94"/>
      <c r="FY54" s="94"/>
      <c r="FZ54" s="94"/>
      <c r="GA54" s="94"/>
      <c r="GB54" s="94"/>
      <c r="GC54" s="94"/>
      <c r="GD54" s="94"/>
      <c r="GE54" s="94"/>
      <c r="GF54" s="94"/>
      <c r="GG54" s="94"/>
      <c r="GH54" s="94"/>
      <c r="GI54" s="95"/>
      <c r="GJ54" s="38" t="s">
        <v>493</v>
      </c>
      <c r="GK54" s="93" t="s">
        <v>493</v>
      </c>
      <c r="GL54" s="94"/>
      <c r="GM54" s="94"/>
      <c r="GN54" s="94"/>
      <c r="GO54" s="94"/>
      <c r="GP54" s="94"/>
      <c r="GQ54" s="94"/>
      <c r="GR54" s="94"/>
      <c r="GS54" s="94"/>
      <c r="GT54" s="94"/>
      <c r="GU54" s="94"/>
      <c r="GV54" s="94"/>
      <c r="GW54" s="95"/>
      <c r="GX54" s="38"/>
    </row>
    <row r="55" spans="1:206" x14ac:dyDescent="0.35">
      <c r="A55" s="2"/>
      <c r="B55" s="2"/>
      <c r="C55" s="42" t="s">
        <v>492</v>
      </c>
      <c r="D55" s="43">
        <f t="shared" si="42"/>
        <v>0.26600992602945117</v>
      </c>
      <c r="E55" s="43">
        <f t="shared" si="0"/>
        <v>0.47985797688343607</v>
      </c>
      <c r="F55" s="43">
        <f t="shared" si="1"/>
        <v>0.10098869836414431</v>
      </c>
      <c r="G55" s="43">
        <f t="shared" si="2"/>
        <v>5.7284100604813537E-2</v>
      </c>
      <c r="H55" s="43">
        <f t="shared" si="3"/>
        <v>1.3789068657829437E-2</v>
      </c>
      <c r="I55" s="43">
        <f t="shared" si="4"/>
        <v>1.9359757432879463E-2</v>
      </c>
      <c r="J55" s="43">
        <f t="shared" si="5"/>
        <v>1.3436712049428737E-2</v>
      </c>
      <c r="K55" s="43">
        <f t="shared" si="6"/>
        <v>0</v>
      </c>
      <c r="L55" s="43">
        <f t="shared" si="7"/>
        <v>1.3121024526754786E-2</v>
      </c>
      <c r="M55" s="43">
        <f t="shared" si="8"/>
        <v>1.2312109106419727E-2</v>
      </c>
      <c r="N55" s="43">
        <f t="shared" si="9"/>
        <v>1.1651077067793114E-2</v>
      </c>
      <c r="O55" s="44">
        <f t="shared" si="10"/>
        <v>1.2189549277049683E-2</v>
      </c>
      <c r="P55" s="115">
        <f t="shared" si="43"/>
        <v>1</v>
      </c>
      <c r="Q55" s="2"/>
      <c r="R55" s="42" t="s">
        <v>492</v>
      </c>
      <c r="S55" s="43">
        <f t="shared" si="44"/>
        <v>0.26600992602945117</v>
      </c>
      <c r="T55" s="43">
        <f t="shared" si="45"/>
        <v>0.47985797688343607</v>
      </c>
      <c r="U55" s="43">
        <f t="shared" si="46"/>
        <v>0.10098869836414431</v>
      </c>
      <c r="V55" s="43">
        <f t="shared" si="47"/>
        <v>5.7284100604813537E-2</v>
      </c>
      <c r="W55" s="29">
        <f t="shared" si="48"/>
        <v>1.3789068657829437E-2</v>
      </c>
      <c r="X55" s="43">
        <f t="shared" si="49"/>
        <v>1.9359757432879463E-2</v>
      </c>
      <c r="Y55" s="43">
        <f t="shared" si="50"/>
        <v>1.3436712049428737E-2</v>
      </c>
      <c r="Z55" s="43">
        <f t="shared" si="51"/>
        <v>0</v>
      </c>
      <c r="AA55" s="29">
        <f t="shared" si="52"/>
        <v>1.3121024526754786E-2</v>
      </c>
      <c r="AB55" s="43">
        <f t="shared" si="53"/>
        <v>1.2312109106419727E-2</v>
      </c>
      <c r="AC55" s="43">
        <f t="shared" si="54"/>
        <v>1.1651077067793114E-2</v>
      </c>
      <c r="AD55" s="43">
        <f t="shared" si="55"/>
        <v>1.2189549277049683E-2</v>
      </c>
      <c r="AE55" s="32">
        <f t="shared" si="56"/>
        <v>0.29292001921403538</v>
      </c>
      <c r="AF55" s="53">
        <f t="shared" si="57"/>
        <v>0.51152984342273533</v>
      </c>
      <c r="AG55" s="53">
        <f t="shared" si="58"/>
        <v>0.12607648748136618</v>
      </c>
      <c r="AH55" s="53">
        <f t="shared" si="59"/>
        <v>6.947364988186322E-2</v>
      </c>
      <c r="AI55" s="34">
        <f t="shared" si="60"/>
        <v>0</v>
      </c>
      <c r="AJ55" s="35">
        <f t="shared" si="61"/>
        <v>0</v>
      </c>
      <c r="AK55" s="34">
        <f>AVERAGE(AI$47,AK26:AK27,AK29:AK31)</f>
        <v>0.90414070188184503</v>
      </c>
      <c r="AL55" s="35">
        <f>AVERAGE(AJ$47,AL26:AL27,AL29:AL31)</f>
        <v>4.658553814013764E-2</v>
      </c>
      <c r="AM55" s="35">
        <f t="shared" si="64"/>
        <v>4.9273759978017306E-2</v>
      </c>
      <c r="AN55" s="36">
        <v>1</v>
      </c>
      <c r="AO55" s="54">
        <v>1</v>
      </c>
      <c r="AP55" s="2"/>
      <c r="AQ55" s="42" t="s">
        <v>492</v>
      </c>
      <c r="AR55" s="43">
        <f t="shared" si="65"/>
        <v>0.20919129313976409</v>
      </c>
      <c r="AS55" s="43">
        <f t="shared" si="71"/>
        <v>0.37736227443092951</v>
      </c>
      <c r="AT55" s="43">
        <f t="shared" si="72"/>
        <v>7.9417925182829363E-2</v>
      </c>
      <c r="AU55" s="43">
        <f t="shared" si="73"/>
        <v>4.5048450863230408E-2</v>
      </c>
      <c r="AV55" s="29">
        <f t="shared" si="74"/>
        <v>2.3955348539719271E-2</v>
      </c>
      <c r="AW55" s="43">
        <f t="shared" si="75"/>
        <v>3.3633144373802194E-2</v>
      </c>
      <c r="AX55" s="43">
        <f t="shared" si="76"/>
        <v>2.3343209636507743E-2</v>
      </c>
      <c r="AY55" s="43">
        <f t="shared" si="77"/>
        <v>0</v>
      </c>
      <c r="AZ55" s="29">
        <f t="shared" si="78"/>
        <v>5.5400837172045796E-2</v>
      </c>
      <c r="BA55" s="43">
        <f t="shared" si="79"/>
        <v>5.1985357580756321E-2</v>
      </c>
      <c r="BB55" s="43">
        <f t="shared" si="80"/>
        <v>4.9194285262982369E-2</v>
      </c>
      <c r="BC55" s="44">
        <f t="shared" si="81"/>
        <v>5.1467873817432931E-2</v>
      </c>
      <c r="BD55" s="2"/>
      <c r="BE55" s="42" t="s">
        <v>492</v>
      </c>
      <c r="BF55" s="62">
        <v>1</v>
      </c>
      <c r="BG55" s="62">
        <v>1</v>
      </c>
      <c r="BH55" s="62">
        <v>1</v>
      </c>
      <c r="BI55" s="62">
        <v>1</v>
      </c>
      <c r="BJ55" s="36">
        <v>1</v>
      </c>
      <c r="BK55" s="62">
        <v>1</v>
      </c>
      <c r="BL55" s="62">
        <v>1</v>
      </c>
      <c r="BM55" s="62">
        <v>1</v>
      </c>
      <c r="BN55" s="36">
        <v>1</v>
      </c>
      <c r="BO55" s="62">
        <v>1</v>
      </c>
      <c r="BP55" s="62">
        <v>1</v>
      </c>
      <c r="BQ55" s="54">
        <v>1</v>
      </c>
      <c r="BR55" s="2"/>
      <c r="BS55" s="42" t="s">
        <v>492</v>
      </c>
      <c r="BT55" s="67">
        <f t="shared" si="66"/>
        <v>5787.201</v>
      </c>
      <c r="BU55" s="67">
        <f t="shared" si="18"/>
        <v>10439.59</v>
      </c>
      <c r="BV55" s="67">
        <f t="shared" si="19"/>
        <v>2197.0680000000002</v>
      </c>
      <c r="BW55" s="67">
        <f t="shared" si="20"/>
        <v>1246.249</v>
      </c>
      <c r="BX55" s="30">
        <f t="shared" si="21"/>
        <v>662.71600000000001</v>
      </c>
      <c r="BY55" s="67">
        <f t="shared" si="22"/>
        <v>930.44870000000003</v>
      </c>
      <c r="BZ55" s="67">
        <f t="shared" si="23"/>
        <v>645.78139999999996</v>
      </c>
      <c r="CA55" s="67">
        <f t="shared" si="24"/>
        <v>0</v>
      </c>
      <c r="CB55" s="30">
        <f t="shared" si="25"/>
        <v>1532.644</v>
      </c>
      <c r="CC55" s="67">
        <f t="shared" si="26"/>
        <v>1438.1559999999999</v>
      </c>
      <c r="CD55" s="67">
        <f t="shared" si="27"/>
        <v>1360.942</v>
      </c>
      <c r="CE55" s="68">
        <f t="shared" si="28"/>
        <v>1423.84</v>
      </c>
      <c r="CF55" s="2"/>
      <c r="CG55" s="37" t="str">
        <f t="shared" si="67"/>
        <v>ameat</v>
      </c>
      <c r="CH55" s="42" t="s">
        <v>492</v>
      </c>
      <c r="CI55" s="67">
        <f t="shared" si="68"/>
        <v>5787.201</v>
      </c>
      <c r="CJ55" s="67">
        <f t="shared" si="82"/>
        <v>10439.59</v>
      </c>
      <c r="CK55" s="67">
        <f t="shared" si="83"/>
        <v>2197.0680000000002</v>
      </c>
      <c r="CL55" s="67">
        <f t="shared" si="84"/>
        <v>1246.249</v>
      </c>
      <c r="CM55" s="30">
        <f t="shared" si="85"/>
        <v>662.71600000000001</v>
      </c>
      <c r="CN55" s="67">
        <f t="shared" si="86"/>
        <v>930.44870000000003</v>
      </c>
      <c r="CO55" s="67">
        <f t="shared" si="87"/>
        <v>645.78139999999996</v>
      </c>
      <c r="CP55" s="67">
        <f t="shared" si="88"/>
        <v>0</v>
      </c>
      <c r="CQ55" s="30">
        <f t="shared" si="89"/>
        <v>1532.644</v>
      </c>
      <c r="CR55" s="67">
        <f t="shared" si="90"/>
        <v>1438.1559999999999</v>
      </c>
      <c r="CS55" s="67">
        <f t="shared" si="91"/>
        <v>1360.942</v>
      </c>
      <c r="CT55" s="68">
        <f t="shared" si="92"/>
        <v>1423.84</v>
      </c>
      <c r="CU55" s="2"/>
      <c r="CV55" s="42" t="s">
        <v>492</v>
      </c>
      <c r="CW55" s="67">
        <f t="shared" si="69"/>
        <v>0</v>
      </c>
      <c r="CX55" s="67">
        <f t="shared" si="93"/>
        <v>0</v>
      </c>
      <c r="CY55" s="67">
        <f t="shared" si="94"/>
        <v>0</v>
      </c>
      <c r="CZ55" s="67">
        <f t="shared" si="95"/>
        <v>0</v>
      </c>
      <c r="DA55" s="30">
        <f t="shared" si="96"/>
        <v>0</v>
      </c>
      <c r="DB55" s="67">
        <f t="shared" si="97"/>
        <v>0</v>
      </c>
      <c r="DC55" s="67">
        <f t="shared" si="98"/>
        <v>0</v>
      </c>
      <c r="DD55" s="67">
        <f t="shared" si="99"/>
        <v>0</v>
      </c>
      <c r="DE55" s="30">
        <f t="shared" si="100"/>
        <v>0</v>
      </c>
      <c r="DF55" s="67">
        <f t="shared" si="101"/>
        <v>0</v>
      </c>
      <c r="DG55" s="67">
        <f t="shared" si="102"/>
        <v>0</v>
      </c>
      <c r="DH55" s="68">
        <f t="shared" si="103"/>
        <v>0</v>
      </c>
      <c r="DI55" s="2"/>
      <c r="DJ55" s="37" t="s">
        <v>486</v>
      </c>
      <c r="DK55" s="76" t="s">
        <v>492</v>
      </c>
      <c r="DL55" s="67">
        <f t="shared" si="70"/>
        <v>0</v>
      </c>
      <c r="DM55" s="67">
        <f t="shared" si="31"/>
        <v>0</v>
      </c>
      <c r="DN55" s="67">
        <f t="shared" si="32"/>
        <v>0</v>
      </c>
      <c r="DO55" s="67">
        <f t="shared" si="33"/>
        <v>0</v>
      </c>
      <c r="DP55" s="30">
        <f t="shared" si="34"/>
        <v>0</v>
      </c>
      <c r="DQ55" s="67">
        <f t="shared" si="35"/>
        <v>0</v>
      </c>
      <c r="DR55" s="67">
        <f t="shared" si="36"/>
        <v>0</v>
      </c>
      <c r="DS55" s="67">
        <f t="shared" si="37"/>
        <v>0</v>
      </c>
      <c r="DT55" s="30">
        <f t="shared" si="38"/>
        <v>0</v>
      </c>
      <c r="DU55" s="67">
        <f t="shared" si="39"/>
        <v>0</v>
      </c>
      <c r="DV55" s="67">
        <f t="shared" si="40"/>
        <v>0</v>
      </c>
      <c r="DW55" s="68">
        <f t="shared" si="41"/>
        <v>0</v>
      </c>
      <c r="DX55" s="2"/>
      <c r="DY55" s="81" t="s">
        <v>492</v>
      </c>
      <c r="DZ55" s="82"/>
      <c r="EA55" s="82"/>
      <c r="EB55" s="82"/>
      <c r="EC55" s="83"/>
      <c r="ED55" s="84">
        <v>1</v>
      </c>
      <c r="EE55" s="2"/>
      <c r="EF55" s="38" t="s">
        <v>492</v>
      </c>
      <c r="EG55" s="93" t="s">
        <v>492</v>
      </c>
      <c r="EH55" s="94"/>
      <c r="EI55" s="94"/>
      <c r="EJ55" s="94"/>
      <c r="EK55" s="94"/>
      <c r="EL55" s="94"/>
      <c r="EM55" s="94"/>
      <c r="EN55" s="94"/>
      <c r="EO55" s="94"/>
      <c r="EP55" s="94"/>
      <c r="EQ55" s="94"/>
      <c r="ER55" s="94"/>
      <c r="ES55" s="95"/>
      <c r="ET55" s="38" t="s">
        <v>492</v>
      </c>
      <c r="EU55" s="93" t="s">
        <v>492</v>
      </c>
      <c r="EV55" s="94"/>
      <c r="EW55" s="94"/>
      <c r="EX55" s="94"/>
      <c r="EY55" s="94"/>
      <c r="EZ55" s="94"/>
      <c r="FA55" s="94"/>
      <c r="FB55" s="94"/>
      <c r="FC55" s="94"/>
      <c r="FD55" s="94"/>
      <c r="FE55" s="94"/>
      <c r="FF55" s="94"/>
      <c r="FG55" s="95"/>
      <c r="FH55" s="38" t="s">
        <v>492</v>
      </c>
      <c r="FI55" s="93" t="s">
        <v>492</v>
      </c>
      <c r="FJ55" s="94"/>
      <c r="FK55" s="94"/>
      <c r="FL55" s="94"/>
      <c r="FM55" s="94"/>
      <c r="FN55" s="94"/>
      <c r="FO55" s="94"/>
      <c r="FP55" s="94"/>
      <c r="FQ55" s="94"/>
      <c r="FR55" s="94"/>
      <c r="FS55" s="94"/>
      <c r="FT55" s="94"/>
      <c r="FU55" s="95"/>
      <c r="FV55" s="38" t="s">
        <v>492</v>
      </c>
      <c r="FW55" s="93" t="s">
        <v>492</v>
      </c>
      <c r="FX55" s="94"/>
      <c r="FY55" s="94"/>
      <c r="FZ55" s="94"/>
      <c r="GA55" s="94"/>
      <c r="GB55" s="94"/>
      <c r="GC55" s="94"/>
      <c r="GD55" s="94"/>
      <c r="GE55" s="94"/>
      <c r="GF55" s="94"/>
      <c r="GG55" s="94"/>
      <c r="GH55" s="94"/>
      <c r="GI55" s="95"/>
      <c r="GJ55" s="38" t="s">
        <v>492</v>
      </c>
      <c r="GK55" s="93" t="s">
        <v>492</v>
      </c>
      <c r="GL55" s="94"/>
      <c r="GM55" s="94"/>
      <c r="GN55" s="94"/>
      <c r="GO55" s="94"/>
      <c r="GP55" s="94"/>
      <c r="GQ55" s="94"/>
      <c r="GR55" s="94"/>
      <c r="GS55" s="94"/>
      <c r="GT55" s="94"/>
      <c r="GU55" s="94"/>
      <c r="GV55" s="94"/>
      <c r="GW55" s="95"/>
      <c r="GX55" s="38"/>
    </row>
    <row r="56" spans="1:206" x14ac:dyDescent="0.35">
      <c r="A56" s="2"/>
      <c r="B56" s="2"/>
      <c r="C56" s="42" t="s">
        <v>528</v>
      </c>
      <c r="D56" s="43">
        <f t="shared" si="42"/>
        <v>6.6087107242569151E-2</v>
      </c>
      <c r="E56" s="43">
        <f t="shared" si="0"/>
        <v>0.20042123417903282</v>
      </c>
      <c r="F56" s="43">
        <f t="shared" si="1"/>
        <v>1.7292857683876067E-3</v>
      </c>
      <c r="G56" s="43">
        <f t="shared" si="2"/>
        <v>0</v>
      </c>
      <c r="H56" s="43">
        <f t="shared" si="3"/>
        <v>1.0752762199499482E-2</v>
      </c>
      <c r="I56" s="43">
        <f t="shared" si="4"/>
        <v>1.2219039769952441E-2</v>
      </c>
      <c r="J56" s="43">
        <f t="shared" si="5"/>
        <v>7.3289257932515894E-2</v>
      </c>
      <c r="K56" s="43">
        <f t="shared" si="6"/>
        <v>0</v>
      </c>
      <c r="L56" s="43">
        <f t="shared" si="7"/>
        <v>6.5483149092795651E-2</v>
      </c>
      <c r="M56" s="43">
        <f t="shared" si="8"/>
        <v>4.3745094106653587E-2</v>
      </c>
      <c r="N56" s="43">
        <f t="shared" si="9"/>
        <v>7.5323513256312771E-2</v>
      </c>
      <c r="O56" s="44">
        <f t="shared" si="10"/>
        <v>0.45094955645228063</v>
      </c>
      <c r="P56" s="115">
        <f t="shared" si="43"/>
        <v>1</v>
      </c>
      <c r="Q56" s="2"/>
      <c r="R56" s="42" t="s">
        <v>528</v>
      </c>
      <c r="S56" s="43">
        <f t="shared" si="44"/>
        <v>6.6087107242569151E-2</v>
      </c>
      <c r="T56" s="43">
        <f t="shared" si="45"/>
        <v>0.20042123417903282</v>
      </c>
      <c r="U56" s="43">
        <f t="shared" si="46"/>
        <v>1.7292857683876067E-3</v>
      </c>
      <c r="V56" s="43">
        <f t="shared" si="47"/>
        <v>0</v>
      </c>
      <c r="W56" s="29">
        <f t="shared" si="48"/>
        <v>1.0752762199499482E-2</v>
      </c>
      <c r="X56" s="43">
        <f t="shared" si="49"/>
        <v>1.2219039769952441E-2</v>
      </c>
      <c r="Y56" s="43">
        <f t="shared" si="50"/>
        <v>7.3289257932515894E-2</v>
      </c>
      <c r="Z56" s="43">
        <f t="shared" si="51"/>
        <v>0</v>
      </c>
      <c r="AA56" s="29">
        <f t="shared" si="52"/>
        <v>6.5483149092795651E-2</v>
      </c>
      <c r="AB56" s="43">
        <f t="shared" si="53"/>
        <v>4.3745094106653587E-2</v>
      </c>
      <c r="AC56" s="43">
        <f t="shared" si="54"/>
        <v>7.5323513256312771E-2</v>
      </c>
      <c r="AD56" s="43">
        <f t="shared" si="55"/>
        <v>0.45094955645228063</v>
      </c>
      <c r="AE56" s="32">
        <f t="shared" si="56"/>
        <v>0.14232301853486429</v>
      </c>
      <c r="AF56" s="53">
        <f t="shared" si="57"/>
        <v>0.25638536805563883</v>
      </c>
      <c r="AG56" s="53">
        <f t="shared" si="58"/>
        <v>0.15034205695721625</v>
      </c>
      <c r="AH56" s="53">
        <f t="shared" si="59"/>
        <v>0.45094955645228063</v>
      </c>
      <c r="AI56" s="34">
        <f t="shared" si="60"/>
        <v>0.26823762718998956</v>
      </c>
      <c r="AJ56" s="35">
        <f t="shared" si="61"/>
        <v>9.6261059901967816E-2</v>
      </c>
      <c r="AK56" s="34">
        <f t="shared" si="62"/>
        <v>0.26823762718998956</v>
      </c>
      <c r="AL56" s="35">
        <f t="shared" si="63"/>
        <v>9.6261059901967816E-2</v>
      </c>
      <c r="AM56" s="35">
        <f t="shared" si="64"/>
        <v>0.63550131290804268</v>
      </c>
      <c r="AN56" s="36">
        <v>1</v>
      </c>
      <c r="AO56" s="54">
        <v>1</v>
      </c>
      <c r="AP56" s="2"/>
      <c r="AQ56" s="42" t="s">
        <v>528</v>
      </c>
      <c r="AR56" s="43">
        <f t="shared" si="65"/>
        <v>6.6087107242569151E-2</v>
      </c>
      <c r="AS56" s="43">
        <f t="shared" si="71"/>
        <v>0.20042123417903282</v>
      </c>
      <c r="AT56" s="43">
        <f t="shared" si="72"/>
        <v>1.7292857683876067E-3</v>
      </c>
      <c r="AU56" s="43">
        <f t="shared" si="73"/>
        <v>0</v>
      </c>
      <c r="AV56" s="29">
        <f t="shared" si="74"/>
        <v>1.075276219949948E-2</v>
      </c>
      <c r="AW56" s="43">
        <f t="shared" si="75"/>
        <v>1.2219039769952441E-2</v>
      </c>
      <c r="AX56" s="43">
        <f t="shared" si="76"/>
        <v>7.3289257932515894E-2</v>
      </c>
      <c r="AY56" s="43">
        <f t="shared" si="77"/>
        <v>0</v>
      </c>
      <c r="AZ56" s="29">
        <f t="shared" si="78"/>
        <v>6.5483149092795651E-2</v>
      </c>
      <c r="BA56" s="43">
        <f t="shared" si="79"/>
        <v>4.3745094106653587E-2</v>
      </c>
      <c r="BB56" s="43">
        <f t="shared" si="80"/>
        <v>7.5323513256312771E-2</v>
      </c>
      <c r="BC56" s="44">
        <f t="shared" si="81"/>
        <v>0.45094955645228069</v>
      </c>
      <c r="BD56" s="2"/>
      <c r="BE56" s="42" t="s">
        <v>528</v>
      </c>
      <c r="BF56" s="62">
        <v>1</v>
      </c>
      <c r="BG56" s="62">
        <v>1</v>
      </c>
      <c r="BH56" s="62">
        <v>1</v>
      </c>
      <c r="BI56" s="62">
        <v>1</v>
      </c>
      <c r="BJ56" s="36">
        <v>1</v>
      </c>
      <c r="BK56" s="62">
        <v>1</v>
      </c>
      <c r="BL56" s="62">
        <v>1</v>
      </c>
      <c r="BM56" s="62">
        <v>1</v>
      </c>
      <c r="BN56" s="36">
        <v>1</v>
      </c>
      <c r="BO56" s="62">
        <v>1</v>
      </c>
      <c r="BP56" s="62">
        <v>1</v>
      </c>
      <c r="BQ56" s="54">
        <v>1</v>
      </c>
      <c r="BR56" s="2"/>
      <c r="BS56" s="42" t="s">
        <v>528</v>
      </c>
      <c r="BT56" s="67">
        <f t="shared" si="66"/>
        <v>1578.3219999999999</v>
      </c>
      <c r="BU56" s="67">
        <f t="shared" si="18"/>
        <v>4786.55</v>
      </c>
      <c r="BV56" s="67">
        <f t="shared" si="19"/>
        <v>41.299579999999999</v>
      </c>
      <c r="BW56" s="67">
        <f t="shared" si="20"/>
        <v>0</v>
      </c>
      <c r="BX56" s="30">
        <f t="shared" si="21"/>
        <v>256.8023</v>
      </c>
      <c r="BY56" s="67">
        <f t="shared" si="22"/>
        <v>291.82060000000001</v>
      </c>
      <c r="BZ56" s="67">
        <f t="shared" si="23"/>
        <v>1750.327</v>
      </c>
      <c r="CA56" s="67">
        <f t="shared" si="24"/>
        <v>0</v>
      </c>
      <c r="CB56" s="30">
        <f t="shared" si="25"/>
        <v>1563.8979999999999</v>
      </c>
      <c r="CC56" s="67">
        <f t="shared" si="26"/>
        <v>1044.74</v>
      </c>
      <c r="CD56" s="67">
        <f t="shared" si="27"/>
        <v>1798.91</v>
      </c>
      <c r="CE56" s="68">
        <f t="shared" si="28"/>
        <v>10769.78</v>
      </c>
      <c r="CF56" s="2"/>
      <c r="CG56" s="37" t="str">
        <f t="shared" si="67"/>
        <v>aalco</v>
      </c>
      <c r="CH56" s="42" t="s">
        <v>528</v>
      </c>
      <c r="CI56" s="67">
        <f t="shared" si="68"/>
        <v>1578.3219999999999</v>
      </c>
      <c r="CJ56" s="67">
        <f t="shared" si="82"/>
        <v>4786.55</v>
      </c>
      <c r="CK56" s="67">
        <f t="shared" si="83"/>
        <v>41.299579999999999</v>
      </c>
      <c r="CL56" s="67">
        <f t="shared" si="84"/>
        <v>0</v>
      </c>
      <c r="CM56" s="30">
        <f t="shared" si="85"/>
        <v>256.8023</v>
      </c>
      <c r="CN56" s="67">
        <f t="shared" si="86"/>
        <v>291.82060000000001</v>
      </c>
      <c r="CO56" s="67">
        <f t="shared" si="87"/>
        <v>1750.327</v>
      </c>
      <c r="CP56" s="67">
        <f t="shared" si="88"/>
        <v>0</v>
      </c>
      <c r="CQ56" s="30">
        <f t="shared" si="89"/>
        <v>1563.8979999999999</v>
      </c>
      <c r="CR56" s="67">
        <f t="shared" si="90"/>
        <v>1044.74</v>
      </c>
      <c r="CS56" s="67">
        <f t="shared" si="91"/>
        <v>1798.91</v>
      </c>
      <c r="CT56" s="68">
        <f t="shared" si="92"/>
        <v>10769.78</v>
      </c>
      <c r="CU56" s="2"/>
      <c r="CV56" s="42" t="s">
        <v>528</v>
      </c>
      <c r="CW56" s="67">
        <f t="shared" si="69"/>
        <v>1578.3219999999999</v>
      </c>
      <c r="CX56" s="67">
        <f t="shared" si="93"/>
        <v>4786.55</v>
      </c>
      <c r="CY56" s="67">
        <f t="shared" si="94"/>
        <v>41.299579999999999</v>
      </c>
      <c r="CZ56" s="67">
        <f t="shared" si="95"/>
        <v>0</v>
      </c>
      <c r="DA56" s="30">
        <f t="shared" si="96"/>
        <v>256.8023</v>
      </c>
      <c r="DB56" s="67">
        <f t="shared" si="97"/>
        <v>291.82060000000001</v>
      </c>
      <c r="DC56" s="67">
        <f t="shared" si="98"/>
        <v>1750.327</v>
      </c>
      <c r="DD56" s="67">
        <f t="shared" si="99"/>
        <v>0</v>
      </c>
      <c r="DE56" s="30">
        <f t="shared" si="100"/>
        <v>1563.8979999999999</v>
      </c>
      <c r="DF56" s="67">
        <f t="shared" si="101"/>
        <v>1044.74</v>
      </c>
      <c r="DG56" s="67">
        <f t="shared" si="102"/>
        <v>1798.91</v>
      </c>
      <c r="DH56" s="68">
        <f t="shared" si="103"/>
        <v>10769.78</v>
      </c>
      <c r="DI56" s="2"/>
      <c r="DJ56" s="37" t="s">
        <v>528</v>
      </c>
      <c r="DK56" s="76" t="s">
        <v>528</v>
      </c>
      <c r="DL56" s="67">
        <f t="shared" si="70"/>
        <v>1578.3219999999999</v>
      </c>
      <c r="DM56" s="67">
        <f t="shared" si="31"/>
        <v>4786.55</v>
      </c>
      <c r="DN56" s="67">
        <f t="shared" si="32"/>
        <v>41.299579999999999</v>
      </c>
      <c r="DO56" s="67">
        <f t="shared" si="33"/>
        <v>0</v>
      </c>
      <c r="DP56" s="30">
        <f t="shared" si="34"/>
        <v>256.8023</v>
      </c>
      <c r="DQ56" s="67">
        <f t="shared" si="35"/>
        <v>291.82060000000001</v>
      </c>
      <c r="DR56" s="67">
        <f t="shared" si="36"/>
        <v>1750.327</v>
      </c>
      <c r="DS56" s="67">
        <f t="shared" si="37"/>
        <v>0</v>
      </c>
      <c r="DT56" s="30">
        <f t="shared" si="38"/>
        <v>1563.8979999999999</v>
      </c>
      <c r="DU56" s="67">
        <f t="shared" si="39"/>
        <v>1044.74</v>
      </c>
      <c r="DV56" s="67">
        <f t="shared" si="40"/>
        <v>1798.91</v>
      </c>
      <c r="DW56" s="68">
        <f t="shared" si="41"/>
        <v>10769.78</v>
      </c>
      <c r="DX56" s="2"/>
      <c r="DY56" s="81" t="s">
        <v>528</v>
      </c>
      <c r="DZ56" s="82"/>
      <c r="EA56" s="82"/>
      <c r="EB56" s="82"/>
      <c r="EC56" s="83"/>
      <c r="ED56" s="84">
        <v>1</v>
      </c>
      <c r="EE56" s="2"/>
      <c r="EF56" s="38" t="s">
        <v>528</v>
      </c>
      <c r="EG56" s="93" t="s">
        <v>528</v>
      </c>
      <c r="EH56" s="94"/>
      <c r="EI56" s="94"/>
      <c r="EJ56" s="94"/>
      <c r="EK56" s="94"/>
      <c r="EL56" s="94"/>
      <c r="EM56" s="94"/>
      <c r="EN56" s="94"/>
      <c r="EO56" s="94"/>
      <c r="EP56" s="94"/>
      <c r="EQ56" s="94"/>
      <c r="ER56" s="94"/>
      <c r="ES56" s="95"/>
      <c r="ET56" s="38" t="s">
        <v>528</v>
      </c>
      <c r="EU56" s="93" t="s">
        <v>528</v>
      </c>
      <c r="EV56" s="94"/>
      <c r="EW56" s="94"/>
      <c r="EX56" s="94"/>
      <c r="EY56" s="94"/>
      <c r="EZ56" s="94"/>
      <c r="FA56" s="94"/>
      <c r="FB56" s="94"/>
      <c r="FC56" s="94"/>
      <c r="FD56" s="94"/>
      <c r="FE56" s="94"/>
      <c r="FF56" s="94"/>
      <c r="FG56" s="95"/>
      <c r="FH56" s="38" t="s">
        <v>528</v>
      </c>
      <c r="FI56" s="93" t="s">
        <v>528</v>
      </c>
      <c r="FJ56" s="94"/>
      <c r="FK56" s="94"/>
      <c r="FL56" s="94"/>
      <c r="FM56" s="94"/>
      <c r="FN56" s="94"/>
      <c r="FO56" s="94"/>
      <c r="FP56" s="94"/>
      <c r="FQ56" s="94"/>
      <c r="FR56" s="94"/>
      <c r="FS56" s="94"/>
      <c r="FT56" s="94"/>
      <c r="FU56" s="95"/>
      <c r="FV56" s="38" t="s">
        <v>528</v>
      </c>
      <c r="FW56" s="93" t="s">
        <v>528</v>
      </c>
      <c r="FX56" s="94"/>
      <c r="FY56" s="94"/>
      <c r="FZ56" s="94"/>
      <c r="GA56" s="94"/>
      <c r="GB56" s="94"/>
      <c r="GC56" s="94"/>
      <c r="GD56" s="94"/>
      <c r="GE56" s="94"/>
      <c r="GF56" s="94"/>
      <c r="GG56" s="94"/>
      <c r="GH56" s="94"/>
      <c r="GI56" s="95"/>
      <c r="GJ56" s="38" t="s">
        <v>528</v>
      </c>
      <c r="GK56" s="93" t="s">
        <v>528</v>
      </c>
      <c r="GL56" s="94">
        <v>1578.3219999999999</v>
      </c>
      <c r="GM56" s="94">
        <v>4786.55</v>
      </c>
      <c r="GN56" s="94">
        <v>41.299579999999999</v>
      </c>
      <c r="GO56" s="94"/>
      <c r="GP56" s="94">
        <v>256.8023</v>
      </c>
      <c r="GQ56" s="94">
        <v>291.82060000000001</v>
      </c>
      <c r="GR56" s="94">
        <v>1750.327</v>
      </c>
      <c r="GS56" s="94"/>
      <c r="GT56" s="94">
        <v>1563.8979999999999</v>
      </c>
      <c r="GU56" s="94">
        <v>1044.74</v>
      </c>
      <c r="GV56" s="94">
        <v>1798.91</v>
      </c>
      <c r="GW56" s="95">
        <v>10769.78</v>
      </c>
      <c r="GX56" s="38"/>
    </row>
    <row r="57" spans="1:206" x14ac:dyDescent="0.35">
      <c r="A57" s="2"/>
      <c r="B57" s="2"/>
      <c r="C57" s="42" t="s">
        <v>494</v>
      </c>
      <c r="D57" s="43">
        <f t="shared" si="42"/>
        <v>6.6087107242569151E-2</v>
      </c>
      <c r="E57" s="43">
        <f t="shared" si="0"/>
        <v>0.20042123417903282</v>
      </c>
      <c r="F57" s="43">
        <f t="shared" si="1"/>
        <v>1.7292857683876067E-3</v>
      </c>
      <c r="G57" s="43">
        <f t="shared" si="2"/>
        <v>0</v>
      </c>
      <c r="H57" s="43">
        <f t="shared" si="3"/>
        <v>1.0752762199499482E-2</v>
      </c>
      <c r="I57" s="43">
        <f t="shared" si="4"/>
        <v>1.2219039769952441E-2</v>
      </c>
      <c r="J57" s="43">
        <f t="shared" si="5"/>
        <v>7.3289257932515894E-2</v>
      </c>
      <c r="K57" s="43">
        <f t="shared" si="6"/>
        <v>0</v>
      </c>
      <c r="L57" s="43">
        <f t="shared" si="7"/>
        <v>6.5483149092795651E-2</v>
      </c>
      <c r="M57" s="43">
        <f t="shared" si="8"/>
        <v>4.3745094106653587E-2</v>
      </c>
      <c r="N57" s="43">
        <f t="shared" si="9"/>
        <v>7.5323513256312771E-2</v>
      </c>
      <c r="O57" s="44">
        <f t="shared" si="10"/>
        <v>0.45094955645228063</v>
      </c>
      <c r="P57" s="115">
        <f t="shared" si="43"/>
        <v>1</v>
      </c>
      <c r="Q57" s="2"/>
      <c r="R57" s="42" t="s">
        <v>494</v>
      </c>
      <c r="S57" s="43">
        <f t="shared" si="44"/>
        <v>6.6087107242569151E-2</v>
      </c>
      <c r="T57" s="43">
        <f t="shared" si="45"/>
        <v>0.20042123417903282</v>
      </c>
      <c r="U57" s="43">
        <f t="shared" si="46"/>
        <v>1.7292857683876067E-3</v>
      </c>
      <c r="V57" s="43">
        <f t="shared" si="47"/>
        <v>0</v>
      </c>
      <c r="W57" s="29">
        <f t="shared" si="48"/>
        <v>1.0752762199499482E-2</v>
      </c>
      <c r="X57" s="43">
        <f t="shared" si="49"/>
        <v>1.2219039769952441E-2</v>
      </c>
      <c r="Y57" s="43">
        <f t="shared" si="50"/>
        <v>7.3289257932515894E-2</v>
      </c>
      <c r="Z57" s="43">
        <f t="shared" si="51"/>
        <v>0</v>
      </c>
      <c r="AA57" s="29">
        <f t="shared" si="52"/>
        <v>6.5483149092795651E-2</v>
      </c>
      <c r="AB57" s="43">
        <f t="shared" si="53"/>
        <v>4.3745094106653587E-2</v>
      </c>
      <c r="AC57" s="43">
        <f t="shared" si="54"/>
        <v>7.5323513256312771E-2</v>
      </c>
      <c r="AD57" s="43">
        <f t="shared" si="55"/>
        <v>0.45094955645228063</v>
      </c>
      <c r="AE57" s="32">
        <f t="shared" si="56"/>
        <v>0.14232301853486429</v>
      </c>
      <c r="AF57" s="53">
        <f t="shared" si="57"/>
        <v>0.25638536805563883</v>
      </c>
      <c r="AG57" s="53">
        <f t="shared" si="58"/>
        <v>0.15034205695721625</v>
      </c>
      <c r="AH57" s="53">
        <f t="shared" si="59"/>
        <v>0.45094955645228063</v>
      </c>
      <c r="AI57" s="34">
        <f t="shared" si="60"/>
        <v>0</v>
      </c>
      <c r="AJ57" s="35">
        <f t="shared" si="61"/>
        <v>0</v>
      </c>
      <c r="AK57" s="34">
        <f>AK56</f>
        <v>0.26823762718998956</v>
      </c>
      <c r="AL57" s="35">
        <f t="shared" ref="AL57" si="111">AL56</f>
        <v>9.6261059901967816E-2</v>
      </c>
      <c r="AM57" s="35">
        <f t="shared" si="64"/>
        <v>0.63550131290804268</v>
      </c>
      <c r="AN57" s="36">
        <v>1</v>
      </c>
      <c r="AO57" s="54">
        <v>1</v>
      </c>
      <c r="AP57" s="2"/>
      <c r="AQ57" s="42" t="s">
        <v>494</v>
      </c>
      <c r="AR57" s="43">
        <f t="shared" si="65"/>
        <v>6.6087107242569151E-2</v>
      </c>
      <c r="AS57" s="43">
        <f t="shared" si="71"/>
        <v>0.20042123417903282</v>
      </c>
      <c r="AT57" s="43">
        <f t="shared" si="72"/>
        <v>1.7292857683876067E-3</v>
      </c>
      <c r="AU57" s="43">
        <f t="shared" si="73"/>
        <v>0</v>
      </c>
      <c r="AV57" s="29">
        <f t="shared" si="74"/>
        <v>1.075276219949948E-2</v>
      </c>
      <c r="AW57" s="43">
        <f t="shared" si="75"/>
        <v>1.2219039769952441E-2</v>
      </c>
      <c r="AX57" s="43">
        <f t="shared" si="76"/>
        <v>7.3289257932515894E-2</v>
      </c>
      <c r="AY57" s="43">
        <f t="shared" si="77"/>
        <v>0</v>
      </c>
      <c r="AZ57" s="29">
        <f t="shared" si="78"/>
        <v>6.5483149092795651E-2</v>
      </c>
      <c r="BA57" s="43">
        <f t="shared" si="79"/>
        <v>4.3745094106653587E-2</v>
      </c>
      <c r="BB57" s="43">
        <f t="shared" si="80"/>
        <v>7.5323513256312771E-2</v>
      </c>
      <c r="BC57" s="44">
        <f t="shared" si="81"/>
        <v>0.45094955645228069</v>
      </c>
      <c r="BD57" s="2"/>
      <c r="BE57" s="42" t="s">
        <v>494</v>
      </c>
      <c r="BF57" s="62">
        <v>1</v>
      </c>
      <c r="BG57" s="62">
        <v>1</v>
      </c>
      <c r="BH57" s="62">
        <v>1</v>
      </c>
      <c r="BI57" s="62">
        <v>1</v>
      </c>
      <c r="BJ57" s="36">
        <v>1</v>
      </c>
      <c r="BK57" s="62">
        <v>1</v>
      </c>
      <c r="BL57" s="62">
        <v>1</v>
      </c>
      <c r="BM57" s="62">
        <v>1</v>
      </c>
      <c r="BN57" s="36">
        <v>1</v>
      </c>
      <c r="BO57" s="62">
        <v>1</v>
      </c>
      <c r="BP57" s="62">
        <v>1</v>
      </c>
      <c r="BQ57" s="54">
        <v>1</v>
      </c>
      <c r="BR57" s="2"/>
      <c r="BS57" s="42" t="s">
        <v>494</v>
      </c>
      <c r="BT57" s="67">
        <f t="shared" si="66"/>
        <v>1578.3219999999999</v>
      </c>
      <c r="BU57" s="67">
        <f t="shared" si="18"/>
        <v>4786.55</v>
      </c>
      <c r="BV57" s="67">
        <f t="shared" si="19"/>
        <v>41.299579999999999</v>
      </c>
      <c r="BW57" s="67">
        <f t="shared" si="20"/>
        <v>0</v>
      </c>
      <c r="BX57" s="30">
        <f t="shared" si="21"/>
        <v>256.8023</v>
      </c>
      <c r="BY57" s="67">
        <f t="shared" si="22"/>
        <v>291.82060000000001</v>
      </c>
      <c r="BZ57" s="67">
        <f t="shared" si="23"/>
        <v>1750.327</v>
      </c>
      <c r="CA57" s="67">
        <f t="shared" si="24"/>
        <v>0</v>
      </c>
      <c r="CB57" s="30">
        <f t="shared" si="25"/>
        <v>1563.8979999999999</v>
      </c>
      <c r="CC57" s="67">
        <f t="shared" si="26"/>
        <v>1044.74</v>
      </c>
      <c r="CD57" s="67">
        <f t="shared" si="27"/>
        <v>1798.91</v>
      </c>
      <c r="CE57" s="68">
        <f t="shared" si="28"/>
        <v>10769.78</v>
      </c>
      <c r="CF57" s="2"/>
      <c r="CG57" s="37" t="str">
        <f t="shared" si="67"/>
        <v>aalco</v>
      </c>
      <c r="CH57" s="42" t="s">
        <v>494</v>
      </c>
      <c r="CI57" s="67">
        <f t="shared" si="68"/>
        <v>1578.3219999999999</v>
      </c>
      <c r="CJ57" s="67">
        <f t="shared" si="82"/>
        <v>4786.55</v>
      </c>
      <c r="CK57" s="67">
        <f t="shared" si="83"/>
        <v>41.299579999999999</v>
      </c>
      <c r="CL57" s="67">
        <f t="shared" si="84"/>
        <v>0</v>
      </c>
      <c r="CM57" s="30">
        <f t="shared" si="85"/>
        <v>256.8023</v>
      </c>
      <c r="CN57" s="67">
        <f t="shared" si="86"/>
        <v>291.82060000000001</v>
      </c>
      <c r="CO57" s="67">
        <f t="shared" si="87"/>
        <v>1750.327</v>
      </c>
      <c r="CP57" s="67">
        <f t="shared" si="88"/>
        <v>0</v>
      </c>
      <c r="CQ57" s="30">
        <f t="shared" si="89"/>
        <v>1563.8979999999999</v>
      </c>
      <c r="CR57" s="67">
        <f t="shared" si="90"/>
        <v>1044.74</v>
      </c>
      <c r="CS57" s="67">
        <f t="shared" si="91"/>
        <v>1798.91</v>
      </c>
      <c r="CT57" s="68">
        <f t="shared" si="92"/>
        <v>10769.78</v>
      </c>
      <c r="CU57" s="2"/>
      <c r="CV57" s="42" t="s">
        <v>494</v>
      </c>
      <c r="CW57" s="67">
        <f t="shared" si="69"/>
        <v>0</v>
      </c>
      <c r="CX57" s="67">
        <f t="shared" si="93"/>
        <v>0</v>
      </c>
      <c r="CY57" s="67">
        <f t="shared" si="94"/>
        <v>0</v>
      </c>
      <c r="CZ57" s="67">
        <f t="shared" si="95"/>
        <v>0</v>
      </c>
      <c r="DA57" s="30">
        <f t="shared" si="96"/>
        <v>0</v>
      </c>
      <c r="DB57" s="67">
        <f t="shared" si="97"/>
        <v>0</v>
      </c>
      <c r="DC57" s="67">
        <f t="shared" si="98"/>
        <v>0</v>
      </c>
      <c r="DD57" s="67">
        <f t="shared" si="99"/>
        <v>0</v>
      </c>
      <c r="DE57" s="30">
        <f t="shared" si="100"/>
        <v>0</v>
      </c>
      <c r="DF57" s="67">
        <f t="shared" si="101"/>
        <v>0</v>
      </c>
      <c r="DG57" s="67">
        <f t="shared" si="102"/>
        <v>0</v>
      </c>
      <c r="DH57" s="68">
        <f t="shared" si="103"/>
        <v>0</v>
      </c>
      <c r="DI57" s="2"/>
      <c r="DJ57" s="37" t="s">
        <v>528</v>
      </c>
      <c r="DK57" s="76" t="s">
        <v>494</v>
      </c>
      <c r="DL57" s="67">
        <f t="shared" si="70"/>
        <v>0</v>
      </c>
      <c r="DM57" s="67">
        <f t="shared" si="31"/>
        <v>0</v>
      </c>
      <c r="DN57" s="67">
        <f t="shared" si="32"/>
        <v>0</v>
      </c>
      <c r="DO57" s="67">
        <f t="shared" si="33"/>
        <v>0</v>
      </c>
      <c r="DP57" s="30">
        <f t="shared" si="34"/>
        <v>0</v>
      </c>
      <c r="DQ57" s="67">
        <f t="shared" si="35"/>
        <v>0</v>
      </c>
      <c r="DR57" s="67">
        <f t="shared" si="36"/>
        <v>0</v>
      </c>
      <c r="DS57" s="67">
        <f t="shared" si="37"/>
        <v>0</v>
      </c>
      <c r="DT57" s="30">
        <f t="shared" si="38"/>
        <v>0</v>
      </c>
      <c r="DU57" s="67">
        <f t="shared" si="39"/>
        <v>0</v>
      </c>
      <c r="DV57" s="67">
        <f t="shared" si="40"/>
        <v>0</v>
      </c>
      <c r="DW57" s="68">
        <f t="shared" si="41"/>
        <v>0</v>
      </c>
      <c r="DX57" s="2"/>
      <c r="DY57" s="81" t="s">
        <v>494</v>
      </c>
      <c r="DZ57" s="82"/>
      <c r="EA57" s="82"/>
      <c r="EB57" s="82"/>
      <c r="EC57" s="83"/>
      <c r="ED57" s="84">
        <v>1</v>
      </c>
      <c r="EE57" s="2"/>
      <c r="EF57" s="38" t="s">
        <v>494</v>
      </c>
      <c r="EG57" s="93" t="s">
        <v>494</v>
      </c>
      <c r="EH57" s="94"/>
      <c r="EI57" s="94"/>
      <c r="EJ57" s="94"/>
      <c r="EK57" s="94"/>
      <c r="EL57" s="94"/>
      <c r="EM57" s="94"/>
      <c r="EN57" s="94"/>
      <c r="EO57" s="94"/>
      <c r="EP57" s="94"/>
      <c r="EQ57" s="94"/>
      <c r="ER57" s="94"/>
      <c r="ES57" s="95"/>
      <c r="ET57" s="38" t="s">
        <v>494</v>
      </c>
      <c r="EU57" s="93" t="s">
        <v>494</v>
      </c>
      <c r="EV57" s="94"/>
      <c r="EW57" s="94"/>
      <c r="EX57" s="94"/>
      <c r="EY57" s="94"/>
      <c r="EZ57" s="94"/>
      <c r="FA57" s="94"/>
      <c r="FB57" s="94"/>
      <c r="FC57" s="94"/>
      <c r="FD57" s="94"/>
      <c r="FE57" s="94"/>
      <c r="FF57" s="94"/>
      <c r="FG57" s="95"/>
      <c r="FH57" s="38" t="s">
        <v>494</v>
      </c>
      <c r="FI57" s="93" t="s">
        <v>494</v>
      </c>
      <c r="FJ57" s="94"/>
      <c r="FK57" s="94"/>
      <c r="FL57" s="94"/>
      <c r="FM57" s="94"/>
      <c r="FN57" s="94"/>
      <c r="FO57" s="94"/>
      <c r="FP57" s="94"/>
      <c r="FQ57" s="94"/>
      <c r="FR57" s="94"/>
      <c r="FS57" s="94"/>
      <c r="FT57" s="94"/>
      <c r="FU57" s="95"/>
      <c r="FV57" s="38" t="s">
        <v>494</v>
      </c>
      <c r="FW57" s="93" t="s">
        <v>494</v>
      </c>
      <c r="FX57" s="94"/>
      <c r="FY57" s="94"/>
      <c r="FZ57" s="94"/>
      <c r="GA57" s="94"/>
      <c r="GB57" s="94"/>
      <c r="GC57" s="94"/>
      <c r="GD57" s="94"/>
      <c r="GE57" s="94"/>
      <c r="GF57" s="94"/>
      <c r="GG57" s="94"/>
      <c r="GH57" s="94"/>
      <c r="GI57" s="95"/>
      <c r="GJ57" s="38" t="s">
        <v>494</v>
      </c>
      <c r="GK57" s="93" t="s">
        <v>494</v>
      </c>
      <c r="GL57" s="94"/>
      <c r="GM57" s="94"/>
      <c r="GN57" s="94"/>
      <c r="GO57" s="94"/>
      <c r="GP57" s="94"/>
      <c r="GQ57" s="94"/>
      <c r="GR57" s="94"/>
      <c r="GS57" s="94"/>
      <c r="GT57" s="94"/>
      <c r="GU57" s="94"/>
      <c r="GV57" s="94"/>
      <c r="GW57" s="95"/>
      <c r="GX57" s="38"/>
    </row>
    <row r="58" spans="1:206" x14ac:dyDescent="0.35">
      <c r="A58" s="2"/>
      <c r="B58" s="2"/>
      <c r="C58" s="42" t="s">
        <v>495</v>
      </c>
      <c r="D58" s="43">
        <f t="shared" si="42"/>
        <v>0.22550642948681207</v>
      </c>
      <c r="E58" s="43">
        <f t="shared" si="0"/>
        <v>0.6838894725284832</v>
      </c>
      <c r="F58" s="43">
        <f t="shared" si="1"/>
        <v>5.9007736223058117E-3</v>
      </c>
      <c r="G58" s="43">
        <f t="shared" si="2"/>
        <v>0</v>
      </c>
      <c r="H58" s="43">
        <f t="shared" si="3"/>
        <v>2.6477640375598198E-3</v>
      </c>
      <c r="I58" s="43">
        <f t="shared" si="4"/>
        <v>3.0088207547172628E-3</v>
      </c>
      <c r="J58" s="43">
        <f t="shared" si="5"/>
        <v>1.804677327488876E-2</v>
      </c>
      <c r="K58" s="43">
        <f t="shared" si="6"/>
        <v>0</v>
      </c>
      <c r="L58" s="43">
        <f t="shared" si="7"/>
        <v>6.2855415188485227E-3</v>
      </c>
      <c r="M58" s="43">
        <f t="shared" si="8"/>
        <v>4.1989673536265192E-3</v>
      </c>
      <c r="N58" s="43">
        <f t="shared" si="9"/>
        <v>7.2300901297090957E-3</v>
      </c>
      <c r="O58" s="44">
        <f t="shared" si="10"/>
        <v>4.3285367293048813E-2</v>
      </c>
      <c r="P58" s="115">
        <f t="shared" si="43"/>
        <v>1</v>
      </c>
      <c r="Q58" s="2"/>
      <c r="R58" s="42" t="s">
        <v>495</v>
      </c>
      <c r="S58" s="43">
        <f t="shared" si="44"/>
        <v>0.22550642948681213</v>
      </c>
      <c r="T58" s="43">
        <f t="shared" si="45"/>
        <v>0.68388947252848331</v>
      </c>
      <c r="U58" s="43">
        <f t="shared" si="46"/>
        <v>5.9007736223058134E-3</v>
      </c>
      <c r="V58" s="43">
        <f t="shared" si="47"/>
        <v>0</v>
      </c>
      <c r="W58" s="29">
        <f t="shared" si="48"/>
        <v>2.6477640375598202E-3</v>
      </c>
      <c r="X58" s="43">
        <f t="shared" si="49"/>
        <v>3.0088207547172637E-3</v>
      </c>
      <c r="Y58" s="43">
        <f t="shared" si="50"/>
        <v>1.8046773274888763E-2</v>
      </c>
      <c r="Z58" s="43">
        <f t="shared" si="51"/>
        <v>0</v>
      </c>
      <c r="AA58" s="29">
        <f t="shared" si="52"/>
        <v>6.2855415188485244E-3</v>
      </c>
      <c r="AB58" s="43">
        <f t="shared" si="53"/>
        <v>4.1989673536265201E-3</v>
      </c>
      <c r="AC58" s="43">
        <f t="shared" si="54"/>
        <v>7.2300901297090974E-3</v>
      </c>
      <c r="AD58" s="43">
        <f t="shared" si="55"/>
        <v>4.328536729304882E-2</v>
      </c>
      <c r="AE58" s="32">
        <f t="shared" si="56"/>
        <v>0.23443973504322047</v>
      </c>
      <c r="AF58" s="53">
        <f t="shared" si="57"/>
        <v>0.69109726063682719</v>
      </c>
      <c r="AG58" s="53">
        <f t="shared" si="58"/>
        <v>3.1177637026903675E-2</v>
      </c>
      <c r="AH58" s="53">
        <f t="shared" si="59"/>
        <v>4.328536729304882E-2</v>
      </c>
      <c r="AI58" s="34">
        <f t="shared" si="60"/>
        <v>0</v>
      </c>
      <c r="AJ58" s="35">
        <f t="shared" si="61"/>
        <v>0</v>
      </c>
      <c r="AK58" s="34">
        <f>AK28</f>
        <v>0.9152966756376012</v>
      </c>
      <c r="AL58" s="35">
        <f t="shared" ref="AL58" si="112">AL28</f>
        <v>2.3703358067165847E-2</v>
      </c>
      <c r="AM58" s="35">
        <f t="shared" si="64"/>
        <v>6.0999966295232966E-2</v>
      </c>
      <c r="AN58" s="36">
        <v>1</v>
      </c>
      <c r="AO58" s="54">
        <v>1</v>
      </c>
      <c r="AP58" s="2"/>
      <c r="AQ58" s="42" t="s">
        <v>495</v>
      </c>
      <c r="AR58" s="43">
        <f t="shared" si="65"/>
        <v>6.6087107242569151E-2</v>
      </c>
      <c r="AS58" s="43">
        <f t="shared" si="71"/>
        <v>0.20042123417903282</v>
      </c>
      <c r="AT58" s="43">
        <f t="shared" si="72"/>
        <v>1.7292857683876067E-3</v>
      </c>
      <c r="AU58" s="43">
        <f t="shared" si="73"/>
        <v>0</v>
      </c>
      <c r="AV58" s="29">
        <f t="shared" si="74"/>
        <v>1.075276219949948E-2</v>
      </c>
      <c r="AW58" s="43">
        <f t="shared" si="75"/>
        <v>1.2219039769952441E-2</v>
      </c>
      <c r="AX58" s="43">
        <f t="shared" si="76"/>
        <v>7.3289257932515894E-2</v>
      </c>
      <c r="AY58" s="43">
        <f t="shared" si="77"/>
        <v>0</v>
      </c>
      <c r="AZ58" s="29">
        <f t="shared" si="78"/>
        <v>6.5483149092795651E-2</v>
      </c>
      <c r="BA58" s="43">
        <f t="shared" si="79"/>
        <v>4.3745094106653587E-2</v>
      </c>
      <c r="BB58" s="43">
        <f t="shared" si="80"/>
        <v>7.5323513256312771E-2</v>
      </c>
      <c r="BC58" s="44">
        <f t="shared" si="81"/>
        <v>0.45094955645228069</v>
      </c>
      <c r="BD58" s="2"/>
      <c r="BE58" s="42" t="s">
        <v>495</v>
      </c>
      <c r="BF58" s="62">
        <v>1</v>
      </c>
      <c r="BG58" s="62">
        <v>1</v>
      </c>
      <c r="BH58" s="62">
        <v>1</v>
      </c>
      <c r="BI58" s="62">
        <v>1</v>
      </c>
      <c r="BJ58" s="36">
        <v>1</v>
      </c>
      <c r="BK58" s="62">
        <v>1</v>
      </c>
      <c r="BL58" s="62">
        <v>1</v>
      </c>
      <c r="BM58" s="62">
        <v>1</v>
      </c>
      <c r="BN58" s="36">
        <v>1</v>
      </c>
      <c r="BO58" s="62">
        <v>1</v>
      </c>
      <c r="BP58" s="62">
        <v>1</v>
      </c>
      <c r="BQ58" s="54">
        <v>1</v>
      </c>
      <c r="BR58" s="2"/>
      <c r="BS58" s="42" t="s">
        <v>495</v>
      </c>
      <c r="BT58" s="67">
        <f t="shared" si="66"/>
        <v>1578.3219999999999</v>
      </c>
      <c r="BU58" s="67">
        <f t="shared" si="18"/>
        <v>4786.55</v>
      </c>
      <c r="BV58" s="67">
        <f t="shared" si="19"/>
        <v>41.299579999999999</v>
      </c>
      <c r="BW58" s="67">
        <f t="shared" si="20"/>
        <v>0</v>
      </c>
      <c r="BX58" s="30">
        <f t="shared" si="21"/>
        <v>256.8023</v>
      </c>
      <c r="BY58" s="67">
        <f t="shared" si="22"/>
        <v>291.82060000000001</v>
      </c>
      <c r="BZ58" s="67">
        <f t="shared" si="23"/>
        <v>1750.327</v>
      </c>
      <c r="CA58" s="67">
        <f t="shared" si="24"/>
        <v>0</v>
      </c>
      <c r="CB58" s="30">
        <f t="shared" si="25"/>
        <v>1563.8979999999999</v>
      </c>
      <c r="CC58" s="67">
        <f t="shared" si="26"/>
        <v>1044.74</v>
      </c>
      <c r="CD58" s="67">
        <f t="shared" si="27"/>
        <v>1798.91</v>
      </c>
      <c r="CE58" s="68">
        <f t="shared" si="28"/>
        <v>10769.78</v>
      </c>
      <c r="CF58" s="2"/>
      <c r="CG58" s="37" t="str">
        <f t="shared" si="67"/>
        <v>aalco</v>
      </c>
      <c r="CH58" s="42" t="s">
        <v>495</v>
      </c>
      <c r="CI58" s="67">
        <f t="shared" si="68"/>
        <v>1578.3219999999999</v>
      </c>
      <c r="CJ58" s="67">
        <f t="shared" si="82"/>
        <v>4786.55</v>
      </c>
      <c r="CK58" s="67">
        <f t="shared" si="83"/>
        <v>41.299579999999999</v>
      </c>
      <c r="CL58" s="67">
        <f t="shared" si="84"/>
        <v>0</v>
      </c>
      <c r="CM58" s="30">
        <f t="shared" si="85"/>
        <v>256.8023</v>
      </c>
      <c r="CN58" s="67">
        <f t="shared" si="86"/>
        <v>291.82060000000001</v>
      </c>
      <c r="CO58" s="67">
        <f t="shared" si="87"/>
        <v>1750.327</v>
      </c>
      <c r="CP58" s="67">
        <f t="shared" si="88"/>
        <v>0</v>
      </c>
      <c r="CQ58" s="30">
        <f t="shared" si="89"/>
        <v>1563.8979999999999</v>
      </c>
      <c r="CR58" s="67">
        <f t="shared" si="90"/>
        <v>1044.74</v>
      </c>
      <c r="CS58" s="67">
        <f t="shared" si="91"/>
        <v>1798.91</v>
      </c>
      <c r="CT58" s="68">
        <f t="shared" si="92"/>
        <v>10769.78</v>
      </c>
      <c r="CU58" s="2"/>
      <c r="CV58" s="42" t="s">
        <v>495</v>
      </c>
      <c r="CW58" s="67">
        <f t="shared" si="69"/>
        <v>0</v>
      </c>
      <c r="CX58" s="67">
        <f t="shared" si="93"/>
        <v>0</v>
      </c>
      <c r="CY58" s="67">
        <f t="shared" si="94"/>
        <v>0</v>
      </c>
      <c r="CZ58" s="67">
        <f t="shared" si="95"/>
        <v>0</v>
      </c>
      <c r="DA58" s="30">
        <f t="shared" si="96"/>
        <v>0</v>
      </c>
      <c r="DB58" s="67">
        <f t="shared" si="97"/>
        <v>0</v>
      </c>
      <c r="DC58" s="67">
        <f t="shared" si="98"/>
        <v>0</v>
      </c>
      <c r="DD58" s="67">
        <f t="shared" si="99"/>
        <v>0</v>
      </c>
      <c r="DE58" s="30">
        <f t="shared" si="100"/>
        <v>0</v>
      </c>
      <c r="DF58" s="67">
        <f t="shared" si="101"/>
        <v>0</v>
      </c>
      <c r="DG58" s="67">
        <f t="shared" si="102"/>
        <v>0</v>
      </c>
      <c r="DH58" s="68">
        <f t="shared" si="103"/>
        <v>0</v>
      </c>
      <c r="DI58" s="2"/>
      <c r="DJ58" s="37" t="s">
        <v>528</v>
      </c>
      <c r="DK58" s="76" t="s">
        <v>495</v>
      </c>
      <c r="DL58" s="67">
        <f t="shared" si="70"/>
        <v>0</v>
      </c>
      <c r="DM58" s="67">
        <f t="shared" si="31"/>
        <v>0</v>
      </c>
      <c r="DN58" s="67">
        <f t="shared" si="32"/>
        <v>0</v>
      </c>
      <c r="DO58" s="67">
        <f t="shared" si="33"/>
        <v>0</v>
      </c>
      <c r="DP58" s="30">
        <f t="shared" si="34"/>
        <v>0</v>
      </c>
      <c r="DQ58" s="67">
        <f t="shared" si="35"/>
        <v>0</v>
      </c>
      <c r="DR58" s="67">
        <f t="shared" si="36"/>
        <v>0</v>
      </c>
      <c r="DS58" s="67">
        <f t="shared" si="37"/>
        <v>0</v>
      </c>
      <c r="DT58" s="30">
        <f t="shared" si="38"/>
        <v>0</v>
      </c>
      <c r="DU58" s="67">
        <f t="shared" si="39"/>
        <v>0</v>
      </c>
      <c r="DV58" s="67">
        <f t="shared" si="40"/>
        <v>0</v>
      </c>
      <c r="DW58" s="68">
        <f t="shared" si="41"/>
        <v>0</v>
      </c>
      <c r="DX58" s="2"/>
      <c r="DY58" s="81" t="s">
        <v>495</v>
      </c>
      <c r="DZ58" s="82"/>
      <c r="EA58" s="82"/>
      <c r="EB58" s="82"/>
      <c r="EC58" s="83"/>
      <c r="ED58" s="84">
        <v>1</v>
      </c>
      <c r="EE58" s="2"/>
      <c r="EF58" s="38" t="s">
        <v>495</v>
      </c>
      <c r="EG58" s="93" t="s">
        <v>495</v>
      </c>
      <c r="EH58" s="94"/>
      <c r="EI58" s="94"/>
      <c r="EJ58" s="94"/>
      <c r="EK58" s="94"/>
      <c r="EL58" s="94"/>
      <c r="EM58" s="94"/>
      <c r="EN58" s="94"/>
      <c r="EO58" s="94"/>
      <c r="EP58" s="94"/>
      <c r="EQ58" s="94"/>
      <c r="ER58" s="94"/>
      <c r="ES58" s="95"/>
      <c r="ET58" s="38" t="s">
        <v>495</v>
      </c>
      <c r="EU58" s="93" t="s">
        <v>495</v>
      </c>
      <c r="EV58" s="94"/>
      <c r="EW58" s="94"/>
      <c r="EX58" s="94"/>
      <c r="EY58" s="94"/>
      <c r="EZ58" s="94"/>
      <c r="FA58" s="94"/>
      <c r="FB58" s="94"/>
      <c r="FC58" s="94"/>
      <c r="FD58" s="94"/>
      <c r="FE58" s="94"/>
      <c r="FF58" s="94"/>
      <c r="FG58" s="95"/>
      <c r="FH58" s="38" t="s">
        <v>495</v>
      </c>
      <c r="FI58" s="93" t="s">
        <v>495</v>
      </c>
      <c r="FJ58" s="94"/>
      <c r="FK58" s="94"/>
      <c r="FL58" s="94"/>
      <c r="FM58" s="94"/>
      <c r="FN58" s="94"/>
      <c r="FO58" s="94"/>
      <c r="FP58" s="94"/>
      <c r="FQ58" s="94"/>
      <c r="FR58" s="94"/>
      <c r="FS58" s="94"/>
      <c r="FT58" s="94"/>
      <c r="FU58" s="95"/>
      <c r="FV58" s="38" t="s">
        <v>495</v>
      </c>
      <c r="FW58" s="93" t="s">
        <v>495</v>
      </c>
      <c r="FX58" s="94"/>
      <c r="FY58" s="94"/>
      <c r="FZ58" s="94"/>
      <c r="GA58" s="94"/>
      <c r="GB58" s="94"/>
      <c r="GC58" s="94"/>
      <c r="GD58" s="94"/>
      <c r="GE58" s="94"/>
      <c r="GF58" s="94"/>
      <c r="GG58" s="94"/>
      <c r="GH58" s="94"/>
      <c r="GI58" s="95"/>
      <c r="GJ58" s="38" t="s">
        <v>495</v>
      </c>
      <c r="GK58" s="93" t="s">
        <v>495</v>
      </c>
      <c r="GL58" s="94"/>
      <c r="GM58" s="94"/>
      <c r="GN58" s="94"/>
      <c r="GO58" s="94"/>
      <c r="GP58" s="94"/>
      <c r="GQ58" s="94"/>
      <c r="GR58" s="94"/>
      <c r="GS58" s="94"/>
      <c r="GT58" s="94"/>
      <c r="GU58" s="94"/>
      <c r="GV58" s="94"/>
      <c r="GW58" s="95"/>
      <c r="GX58" s="38"/>
    </row>
    <row r="59" spans="1:206" x14ac:dyDescent="0.35">
      <c r="A59" s="2"/>
      <c r="B59" s="2"/>
      <c r="C59" s="42" t="s">
        <v>496</v>
      </c>
      <c r="D59" s="43">
        <f t="shared" si="42"/>
        <v>0.13600282327795363</v>
      </c>
      <c r="E59" s="43">
        <f t="shared" si="0"/>
        <v>0.24397651554906577</v>
      </c>
      <c r="F59" s="43">
        <f t="shared" si="1"/>
        <v>0</v>
      </c>
      <c r="G59" s="43">
        <f t="shared" si="2"/>
        <v>0</v>
      </c>
      <c r="H59" s="43">
        <f t="shared" si="3"/>
        <v>0</v>
      </c>
      <c r="I59" s="43">
        <f t="shared" si="4"/>
        <v>5.5002121291176286E-2</v>
      </c>
      <c r="J59" s="43">
        <f t="shared" si="5"/>
        <v>2.8781100341034056E-2</v>
      </c>
      <c r="K59" s="43">
        <f t="shared" si="6"/>
        <v>0</v>
      </c>
      <c r="L59" s="43">
        <f t="shared" si="7"/>
        <v>0.16738078559536748</v>
      </c>
      <c r="M59" s="43">
        <f t="shared" si="8"/>
        <v>0.10841998859511032</v>
      </c>
      <c r="N59" s="43">
        <f t="shared" si="9"/>
        <v>0.12920699748931683</v>
      </c>
      <c r="O59" s="44">
        <f t="shared" si="10"/>
        <v>0.13122966786097567</v>
      </c>
      <c r="P59" s="115">
        <f t="shared" si="43"/>
        <v>1</v>
      </c>
      <c r="Q59" s="2"/>
      <c r="R59" s="42" t="s">
        <v>496</v>
      </c>
      <c r="S59" s="43">
        <f t="shared" si="44"/>
        <v>0.13600282327795363</v>
      </c>
      <c r="T59" s="43">
        <f t="shared" si="45"/>
        <v>0.24397651554906577</v>
      </c>
      <c r="U59" s="43">
        <f t="shared" si="46"/>
        <v>0</v>
      </c>
      <c r="V59" s="43">
        <f t="shared" si="47"/>
        <v>0</v>
      </c>
      <c r="W59" s="29">
        <f t="shared" si="48"/>
        <v>0</v>
      </c>
      <c r="X59" s="43">
        <f t="shared" si="49"/>
        <v>5.5002121291176286E-2</v>
      </c>
      <c r="Y59" s="43">
        <f t="shared" si="50"/>
        <v>2.8781100341034056E-2</v>
      </c>
      <c r="Z59" s="43">
        <f t="shared" si="51"/>
        <v>0</v>
      </c>
      <c r="AA59" s="29">
        <f t="shared" si="52"/>
        <v>0.16738078559536748</v>
      </c>
      <c r="AB59" s="43">
        <f t="shared" si="53"/>
        <v>0.10841998859511032</v>
      </c>
      <c r="AC59" s="43">
        <f t="shared" si="54"/>
        <v>0.12920699748931683</v>
      </c>
      <c r="AD59" s="43">
        <f t="shared" si="55"/>
        <v>0.13122966786097567</v>
      </c>
      <c r="AE59" s="32">
        <f t="shared" si="56"/>
        <v>0.30338360887332111</v>
      </c>
      <c r="AF59" s="53">
        <f t="shared" si="57"/>
        <v>0.40739862543535238</v>
      </c>
      <c r="AG59" s="53">
        <f t="shared" si="58"/>
        <v>0.15798809783035089</v>
      </c>
      <c r="AH59" s="53">
        <f t="shared" si="59"/>
        <v>0.13122966786097567</v>
      </c>
      <c r="AI59" s="34">
        <f t="shared" si="60"/>
        <v>0.37997933882701934</v>
      </c>
      <c r="AJ59" s="35">
        <f t="shared" si="61"/>
        <v>8.3783221632210345E-2</v>
      </c>
      <c r="AK59" s="34">
        <f t="shared" si="62"/>
        <v>0.37997933882701934</v>
      </c>
      <c r="AL59" s="35">
        <f t="shared" si="63"/>
        <v>8.3783221632210345E-2</v>
      </c>
      <c r="AM59" s="35">
        <f t="shared" si="64"/>
        <v>0.5362374395407703</v>
      </c>
      <c r="AN59" s="36">
        <v>1</v>
      </c>
      <c r="AO59" s="54">
        <v>1</v>
      </c>
      <c r="AP59" s="2"/>
      <c r="AQ59" s="42" t="s">
        <v>496</v>
      </c>
      <c r="AR59" s="43">
        <f t="shared" si="65"/>
        <v>0.1360028232779536</v>
      </c>
      <c r="AS59" s="43">
        <f t="shared" si="71"/>
        <v>0.24397651554906571</v>
      </c>
      <c r="AT59" s="43">
        <f t="shared" si="72"/>
        <v>0</v>
      </c>
      <c r="AU59" s="43">
        <f t="shared" si="73"/>
        <v>0</v>
      </c>
      <c r="AV59" s="29">
        <f t="shared" si="74"/>
        <v>0</v>
      </c>
      <c r="AW59" s="43">
        <f t="shared" si="75"/>
        <v>5.5002121291176286E-2</v>
      </c>
      <c r="AX59" s="43">
        <f t="shared" si="76"/>
        <v>2.8781100341034056E-2</v>
      </c>
      <c r="AY59" s="43">
        <f t="shared" si="77"/>
        <v>0</v>
      </c>
      <c r="AZ59" s="29">
        <f t="shared" si="78"/>
        <v>0.16738078559536745</v>
      </c>
      <c r="BA59" s="43">
        <f t="shared" si="79"/>
        <v>0.10841998859511029</v>
      </c>
      <c r="BB59" s="43">
        <f t="shared" si="80"/>
        <v>0.1292069974893168</v>
      </c>
      <c r="BC59" s="44">
        <f t="shared" si="81"/>
        <v>0.13122966786097565</v>
      </c>
      <c r="BD59" s="2"/>
      <c r="BE59" s="42" t="s">
        <v>496</v>
      </c>
      <c r="BF59" s="62">
        <v>1</v>
      </c>
      <c r="BG59" s="62">
        <v>1</v>
      </c>
      <c r="BH59" s="62">
        <v>1</v>
      </c>
      <c r="BI59" s="62">
        <v>1</v>
      </c>
      <c r="BJ59" s="36">
        <v>1</v>
      </c>
      <c r="BK59" s="62">
        <v>1</v>
      </c>
      <c r="BL59" s="62">
        <v>1</v>
      </c>
      <c r="BM59" s="62">
        <v>1</v>
      </c>
      <c r="BN59" s="36">
        <v>1</v>
      </c>
      <c r="BO59" s="62">
        <v>1</v>
      </c>
      <c r="BP59" s="62">
        <v>1</v>
      </c>
      <c r="BQ59" s="54">
        <v>1</v>
      </c>
      <c r="BR59" s="2"/>
      <c r="BS59" s="42" t="s">
        <v>496</v>
      </c>
      <c r="BT59" s="67">
        <f t="shared" si="66"/>
        <v>950.99149999999997</v>
      </c>
      <c r="BU59" s="67">
        <f t="shared" si="18"/>
        <v>1705.991</v>
      </c>
      <c r="BV59" s="67">
        <f t="shared" si="19"/>
        <v>0</v>
      </c>
      <c r="BW59" s="67">
        <f t="shared" si="20"/>
        <v>0</v>
      </c>
      <c r="BX59" s="30">
        <f t="shared" si="21"/>
        <v>0</v>
      </c>
      <c r="BY59" s="67">
        <f t="shared" si="22"/>
        <v>384.59899999999999</v>
      </c>
      <c r="BZ59" s="67">
        <f t="shared" si="23"/>
        <v>201.2501</v>
      </c>
      <c r="CA59" s="67">
        <f t="shared" si="24"/>
        <v>0</v>
      </c>
      <c r="CB59" s="30">
        <f t="shared" si="25"/>
        <v>1170.4000000000001</v>
      </c>
      <c r="CC59" s="67">
        <f t="shared" si="26"/>
        <v>758.12019999999995</v>
      </c>
      <c r="CD59" s="67">
        <f t="shared" si="27"/>
        <v>903.47209999999995</v>
      </c>
      <c r="CE59" s="68">
        <f t="shared" si="28"/>
        <v>917.6155</v>
      </c>
      <c r="CF59" s="2"/>
      <c r="CG59" s="37" t="str">
        <f t="shared" si="67"/>
        <v>atext</v>
      </c>
      <c r="CH59" s="42" t="s">
        <v>496</v>
      </c>
      <c r="CI59" s="67">
        <f t="shared" si="68"/>
        <v>950.99149999999997</v>
      </c>
      <c r="CJ59" s="67">
        <f t="shared" si="82"/>
        <v>1705.991</v>
      </c>
      <c r="CK59" s="67">
        <f t="shared" si="83"/>
        <v>0</v>
      </c>
      <c r="CL59" s="67">
        <f t="shared" si="84"/>
        <v>0</v>
      </c>
      <c r="CM59" s="30">
        <f t="shared" si="85"/>
        <v>0</v>
      </c>
      <c r="CN59" s="67">
        <f t="shared" si="86"/>
        <v>384.59899999999999</v>
      </c>
      <c r="CO59" s="67">
        <f t="shared" si="87"/>
        <v>201.2501</v>
      </c>
      <c r="CP59" s="67">
        <f t="shared" si="88"/>
        <v>0</v>
      </c>
      <c r="CQ59" s="30">
        <f t="shared" si="89"/>
        <v>1170.4000000000001</v>
      </c>
      <c r="CR59" s="67">
        <f t="shared" si="90"/>
        <v>758.12019999999995</v>
      </c>
      <c r="CS59" s="67">
        <f t="shared" si="91"/>
        <v>903.47209999999995</v>
      </c>
      <c r="CT59" s="68">
        <f t="shared" si="92"/>
        <v>917.6155</v>
      </c>
      <c r="CU59" s="2"/>
      <c r="CV59" s="42" t="s">
        <v>496</v>
      </c>
      <c r="CW59" s="67">
        <f t="shared" si="69"/>
        <v>950.99149999999997</v>
      </c>
      <c r="CX59" s="67">
        <f t="shared" si="93"/>
        <v>1705.991</v>
      </c>
      <c r="CY59" s="67">
        <f t="shared" si="94"/>
        <v>0</v>
      </c>
      <c r="CZ59" s="67">
        <f t="shared" si="95"/>
        <v>0</v>
      </c>
      <c r="DA59" s="30">
        <f t="shared" si="96"/>
        <v>0</v>
      </c>
      <c r="DB59" s="67">
        <f t="shared" si="97"/>
        <v>384.59899999999999</v>
      </c>
      <c r="DC59" s="67">
        <f t="shared" si="98"/>
        <v>201.2501</v>
      </c>
      <c r="DD59" s="67">
        <f t="shared" si="99"/>
        <v>0</v>
      </c>
      <c r="DE59" s="30">
        <f t="shared" si="100"/>
        <v>1170.4000000000001</v>
      </c>
      <c r="DF59" s="67">
        <f t="shared" si="101"/>
        <v>758.12019999999995</v>
      </c>
      <c r="DG59" s="67">
        <f t="shared" si="102"/>
        <v>903.47209999999995</v>
      </c>
      <c r="DH59" s="68">
        <f t="shared" si="103"/>
        <v>917.6155</v>
      </c>
      <c r="DI59" s="2"/>
      <c r="DJ59" s="37" t="s">
        <v>496</v>
      </c>
      <c r="DK59" s="76" t="s">
        <v>496</v>
      </c>
      <c r="DL59" s="67">
        <f t="shared" si="70"/>
        <v>950.99149999999997</v>
      </c>
      <c r="DM59" s="67">
        <f t="shared" si="31"/>
        <v>1705.991</v>
      </c>
      <c r="DN59" s="67">
        <f t="shared" si="32"/>
        <v>0</v>
      </c>
      <c r="DO59" s="67">
        <f t="shared" si="33"/>
        <v>0</v>
      </c>
      <c r="DP59" s="30">
        <f t="shared" si="34"/>
        <v>0</v>
      </c>
      <c r="DQ59" s="67">
        <f t="shared" si="35"/>
        <v>384.59899999999999</v>
      </c>
      <c r="DR59" s="67">
        <f t="shared" si="36"/>
        <v>201.2501</v>
      </c>
      <c r="DS59" s="67">
        <f t="shared" si="37"/>
        <v>0</v>
      </c>
      <c r="DT59" s="30">
        <f t="shared" si="38"/>
        <v>1170.4000000000001</v>
      </c>
      <c r="DU59" s="67">
        <f t="shared" si="39"/>
        <v>758.12019999999995</v>
      </c>
      <c r="DV59" s="67">
        <f t="shared" si="40"/>
        <v>903.47209999999995</v>
      </c>
      <c r="DW59" s="68">
        <f t="shared" si="41"/>
        <v>917.6155</v>
      </c>
      <c r="DX59" s="2"/>
      <c r="DY59" s="81" t="s">
        <v>496</v>
      </c>
      <c r="DZ59" s="82"/>
      <c r="EA59" s="82"/>
      <c r="EB59" s="82"/>
      <c r="EC59" s="83"/>
      <c r="ED59" s="84">
        <v>1</v>
      </c>
      <c r="EE59" s="2"/>
      <c r="EF59" s="38" t="s">
        <v>496</v>
      </c>
      <c r="EG59" s="93" t="s">
        <v>496</v>
      </c>
      <c r="EH59" s="94"/>
      <c r="EI59" s="94"/>
      <c r="EJ59" s="94"/>
      <c r="EK59" s="94"/>
      <c r="EL59" s="94"/>
      <c r="EM59" s="94"/>
      <c r="EN59" s="94"/>
      <c r="EO59" s="94"/>
      <c r="EP59" s="94"/>
      <c r="EQ59" s="94"/>
      <c r="ER59" s="94"/>
      <c r="ES59" s="95"/>
      <c r="ET59" s="38" t="s">
        <v>496</v>
      </c>
      <c r="EU59" s="93" t="s">
        <v>496</v>
      </c>
      <c r="EV59" s="94"/>
      <c r="EW59" s="94"/>
      <c r="EX59" s="94"/>
      <c r="EY59" s="94"/>
      <c r="EZ59" s="94"/>
      <c r="FA59" s="94"/>
      <c r="FB59" s="94"/>
      <c r="FC59" s="94"/>
      <c r="FD59" s="94"/>
      <c r="FE59" s="94"/>
      <c r="FF59" s="94"/>
      <c r="FG59" s="95"/>
      <c r="FH59" s="38" t="s">
        <v>496</v>
      </c>
      <c r="FI59" s="93" t="s">
        <v>496</v>
      </c>
      <c r="FJ59" s="94"/>
      <c r="FK59" s="94"/>
      <c r="FL59" s="94"/>
      <c r="FM59" s="94"/>
      <c r="FN59" s="94"/>
      <c r="FO59" s="94"/>
      <c r="FP59" s="94"/>
      <c r="FQ59" s="94"/>
      <c r="FR59" s="94"/>
      <c r="FS59" s="94"/>
      <c r="FT59" s="94"/>
      <c r="FU59" s="95"/>
      <c r="FV59" s="38" t="s">
        <v>496</v>
      </c>
      <c r="FW59" s="93" t="s">
        <v>496</v>
      </c>
      <c r="FX59" s="94"/>
      <c r="FY59" s="94"/>
      <c r="FZ59" s="94"/>
      <c r="GA59" s="94"/>
      <c r="GB59" s="94"/>
      <c r="GC59" s="94"/>
      <c r="GD59" s="94"/>
      <c r="GE59" s="94"/>
      <c r="GF59" s="94"/>
      <c r="GG59" s="94"/>
      <c r="GH59" s="94"/>
      <c r="GI59" s="95"/>
      <c r="GJ59" s="38" t="s">
        <v>496</v>
      </c>
      <c r="GK59" s="93" t="s">
        <v>496</v>
      </c>
      <c r="GL59" s="94">
        <v>950.99149999999997</v>
      </c>
      <c r="GM59" s="94">
        <v>1705.991</v>
      </c>
      <c r="GN59" s="94">
        <v>0</v>
      </c>
      <c r="GO59" s="94"/>
      <c r="GP59" s="94">
        <v>0</v>
      </c>
      <c r="GQ59" s="94">
        <v>384.59899999999999</v>
      </c>
      <c r="GR59" s="94">
        <v>201.2501</v>
      </c>
      <c r="GS59" s="94">
        <v>0</v>
      </c>
      <c r="GT59" s="94">
        <v>1170.4000000000001</v>
      </c>
      <c r="GU59" s="94">
        <v>758.12019999999995</v>
      </c>
      <c r="GV59" s="94">
        <v>903.47209999999995</v>
      </c>
      <c r="GW59" s="95">
        <v>917.6155</v>
      </c>
      <c r="GX59" s="38"/>
    </row>
    <row r="60" spans="1:206" x14ac:dyDescent="0.35">
      <c r="A60" s="2"/>
      <c r="B60" s="2"/>
      <c r="C60" s="42" t="s">
        <v>497</v>
      </c>
      <c r="D60" s="43">
        <f t="shared" si="42"/>
        <v>0.32282205081421556</v>
      </c>
      <c r="E60" s="43">
        <f t="shared" si="0"/>
        <v>0.25802627813154722</v>
      </c>
      <c r="F60" s="43">
        <f t="shared" si="1"/>
        <v>1.2132418740711276E-2</v>
      </c>
      <c r="G60" s="43">
        <f t="shared" si="2"/>
        <v>0</v>
      </c>
      <c r="H60" s="43">
        <f t="shared" si="3"/>
        <v>0</v>
      </c>
      <c r="I60" s="43">
        <f t="shared" si="4"/>
        <v>0</v>
      </c>
      <c r="J60" s="43">
        <f t="shared" si="5"/>
        <v>2.6693841996055796E-2</v>
      </c>
      <c r="K60" s="43">
        <f t="shared" si="6"/>
        <v>0</v>
      </c>
      <c r="L60" s="43">
        <f t="shared" si="7"/>
        <v>7.5339899637603533E-3</v>
      </c>
      <c r="M60" s="43">
        <f t="shared" si="8"/>
        <v>2.088355795277437E-2</v>
      </c>
      <c r="N60" s="43">
        <f t="shared" si="9"/>
        <v>0.24358914357077549</v>
      </c>
      <c r="O60" s="44">
        <f t="shared" si="10"/>
        <v>0.10831871883015995</v>
      </c>
      <c r="P60" s="115">
        <f t="shared" si="43"/>
        <v>1</v>
      </c>
      <c r="Q60" s="2"/>
      <c r="R60" s="42" t="s">
        <v>497</v>
      </c>
      <c r="S60" s="43">
        <f t="shared" si="44"/>
        <v>0.3228220508142155</v>
      </c>
      <c r="T60" s="43">
        <f t="shared" si="45"/>
        <v>0.25802627813154716</v>
      </c>
      <c r="U60" s="43">
        <f t="shared" si="46"/>
        <v>1.2132418740711274E-2</v>
      </c>
      <c r="V60" s="43">
        <f t="shared" si="47"/>
        <v>0</v>
      </c>
      <c r="W60" s="29">
        <f t="shared" si="48"/>
        <v>0</v>
      </c>
      <c r="X60" s="43">
        <f t="shared" si="49"/>
        <v>0</v>
      </c>
      <c r="Y60" s="43">
        <f t="shared" si="50"/>
        <v>2.6693841996055793E-2</v>
      </c>
      <c r="Z60" s="43">
        <f t="shared" si="51"/>
        <v>0</v>
      </c>
      <c r="AA60" s="29">
        <f t="shared" si="52"/>
        <v>7.5339899637603524E-3</v>
      </c>
      <c r="AB60" s="43">
        <f t="shared" si="53"/>
        <v>2.0883557952774367E-2</v>
      </c>
      <c r="AC60" s="43">
        <f t="shared" si="54"/>
        <v>0.24358914357077546</v>
      </c>
      <c r="AD60" s="43">
        <f t="shared" si="55"/>
        <v>0.10831871883015994</v>
      </c>
      <c r="AE60" s="32">
        <f t="shared" si="56"/>
        <v>0.33035604077797587</v>
      </c>
      <c r="AF60" s="53">
        <f t="shared" si="57"/>
        <v>0.27890983608432152</v>
      </c>
      <c r="AG60" s="53">
        <f t="shared" si="58"/>
        <v>0.28241540430754253</v>
      </c>
      <c r="AH60" s="53">
        <f t="shared" si="59"/>
        <v>0.10831871883015994</v>
      </c>
      <c r="AI60" s="34">
        <f t="shared" si="60"/>
        <v>0.59298074768647402</v>
      </c>
      <c r="AJ60" s="35">
        <f t="shared" si="61"/>
        <v>2.6693841996055793E-2</v>
      </c>
      <c r="AK60" s="34">
        <f t="shared" si="62"/>
        <v>0.59298074768647402</v>
      </c>
      <c r="AL60" s="35">
        <f t="shared" si="63"/>
        <v>2.6693841996055793E-2</v>
      </c>
      <c r="AM60" s="35">
        <f t="shared" si="64"/>
        <v>0.38032541031747014</v>
      </c>
      <c r="AN60" s="36">
        <v>1</v>
      </c>
      <c r="AO60" s="54">
        <v>1</v>
      </c>
      <c r="AP60" s="2"/>
      <c r="AQ60" s="42" t="s">
        <v>497</v>
      </c>
      <c r="AR60" s="43">
        <f t="shared" si="65"/>
        <v>0.22701476975884796</v>
      </c>
      <c r="AS60" s="43">
        <f t="shared" si="71"/>
        <v>0.18144911716540726</v>
      </c>
      <c r="AT60" s="43">
        <f t="shared" si="72"/>
        <v>8.5317537637029928E-3</v>
      </c>
      <c r="AU60" s="43">
        <f t="shared" si="73"/>
        <v>0</v>
      </c>
      <c r="AV60" s="29">
        <f t="shared" si="74"/>
        <v>0</v>
      </c>
      <c r="AW60" s="43">
        <f t="shared" si="75"/>
        <v>0</v>
      </c>
      <c r="AX60" s="43">
        <f t="shared" si="76"/>
        <v>1.8216068765388258E-2</v>
      </c>
      <c r="AY60" s="43">
        <f t="shared" si="77"/>
        <v>0</v>
      </c>
      <c r="AZ60" s="29">
        <f t="shared" si="78"/>
        <v>1.1188075256596645E-2</v>
      </c>
      <c r="BA60" s="43">
        <f t="shared" si="79"/>
        <v>3.1012361195729494E-2</v>
      </c>
      <c r="BB60" s="43">
        <f t="shared" si="80"/>
        <v>0.36173311659145307</v>
      </c>
      <c r="BC60" s="44">
        <f t="shared" si="81"/>
        <v>0.16085473750287438</v>
      </c>
      <c r="BD60" s="2"/>
      <c r="BE60" s="42" t="s">
        <v>497</v>
      </c>
      <c r="BF60" s="62">
        <v>1</v>
      </c>
      <c r="BG60" s="62">
        <v>1</v>
      </c>
      <c r="BH60" s="62">
        <v>1</v>
      </c>
      <c r="BI60" s="62">
        <v>1</v>
      </c>
      <c r="BJ60" s="36">
        <v>1</v>
      </c>
      <c r="BK60" s="62">
        <v>1</v>
      </c>
      <c r="BL60" s="62">
        <v>1</v>
      </c>
      <c r="BM60" s="62">
        <v>1</v>
      </c>
      <c r="BN60" s="36">
        <v>1</v>
      </c>
      <c r="BO60" s="62">
        <v>1</v>
      </c>
      <c r="BP60" s="62">
        <v>1</v>
      </c>
      <c r="BQ60" s="54">
        <v>1</v>
      </c>
      <c r="BR60" s="2"/>
      <c r="BS60" s="42" t="s">
        <v>497</v>
      </c>
      <c r="BT60" s="67">
        <f t="shared" si="66"/>
        <v>3846.5859999999998</v>
      </c>
      <c r="BU60" s="67">
        <f t="shared" si="18"/>
        <v>3074.5120000000002</v>
      </c>
      <c r="BV60" s="67">
        <f t="shared" si="19"/>
        <v>144.56383</v>
      </c>
      <c r="BW60" s="67">
        <f t="shared" si="20"/>
        <v>0</v>
      </c>
      <c r="BX60" s="30">
        <f t="shared" si="21"/>
        <v>0</v>
      </c>
      <c r="BY60" s="67">
        <f t="shared" si="22"/>
        <v>0</v>
      </c>
      <c r="BZ60" s="67">
        <f t="shared" si="23"/>
        <v>308.65690000000001</v>
      </c>
      <c r="CA60" s="67">
        <f t="shared" si="24"/>
        <v>0</v>
      </c>
      <c r="CB60" s="30">
        <f t="shared" si="25"/>
        <v>189.57310000000001</v>
      </c>
      <c r="CC60" s="67">
        <f t="shared" si="26"/>
        <v>525.47996999999998</v>
      </c>
      <c r="CD60" s="67">
        <f t="shared" si="27"/>
        <v>6129.2819999999992</v>
      </c>
      <c r="CE60" s="68">
        <f t="shared" si="28"/>
        <v>2725.5565000000001</v>
      </c>
      <c r="CF60" s="2"/>
      <c r="CG60" s="37" t="str">
        <f t="shared" si="67"/>
        <v>awood</v>
      </c>
      <c r="CH60" s="42" t="s">
        <v>497</v>
      </c>
      <c r="CI60" s="67">
        <f t="shared" si="68"/>
        <v>3846.5859999999998</v>
      </c>
      <c r="CJ60" s="67">
        <f t="shared" si="82"/>
        <v>3074.5120000000002</v>
      </c>
      <c r="CK60" s="67">
        <f t="shared" si="83"/>
        <v>144.56383</v>
      </c>
      <c r="CL60" s="67">
        <f t="shared" si="84"/>
        <v>0</v>
      </c>
      <c r="CM60" s="30">
        <f t="shared" si="85"/>
        <v>0</v>
      </c>
      <c r="CN60" s="67">
        <f t="shared" si="86"/>
        <v>0</v>
      </c>
      <c r="CO60" s="67">
        <f t="shared" si="87"/>
        <v>308.65690000000001</v>
      </c>
      <c r="CP60" s="67">
        <f t="shared" si="88"/>
        <v>0</v>
      </c>
      <c r="CQ60" s="30">
        <f t="shared" si="89"/>
        <v>189.57310000000001</v>
      </c>
      <c r="CR60" s="67">
        <f t="shared" si="90"/>
        <v>525.47996999999998</v>
      </c>
      <c r="CS60" s="67">
        <f t="shared" si="91"/>
        <v>6129.2819999999992</v>
      </c>
      <c r="CT60" s="68">
        <f t="shared" si="92"/>
        <v>2725.5565000000001</v>
      </c>
      <c r="CU60" s="2"/>
      <c r="CV60" s="42" t="s">
        <v>497</v>
      </c>
      <c r="CW60" s="67">
        <f t="shared" si="69"/>
        <v>3846.5859999999998</v>
      </c>
      <c r="CX60" s="67">
        <f t="shared" si="93"/>
        <v>3074.5120000000002</v>
      </c>
      <c r="CY60" s="67">
        <f t="shared" si="94"/>
        <v>144.56383</v>
      </c>
      <c r="CZ60" s="67">
        <f t="shared" si="95"/>
        <v>0</v>
      </c>
      <c r="DA60" s="30">
        <f t="shared" si="96"/>
        <v>0</v>
      </c>
      <c r="DB60" s="67">
        <f t="shared" si="97"/>
        <v>0</v>
      </c>
      <c r="DC60" s="67">
        <f t="shared" si="98"/>
        <v>308.65690000000001</v>
      </c>
      <c r="DD60" s="67">
        <f t="shared" si="99"/>
        <v>0</v>
      </c>
      <c r="DE60" s="30">
        <f t="shared" si="100"/>
        <v>189.57310000000001</v>
      </c>
      <c r="DF60" s="67">
        <f t="shared" si="101"/>
        <v>525.47996999999998</v>
      </c>
      <c r="DG60" s="67">
        <f t="shared" si="102"/>
        <v>6129.2819999999992</v>
      </c>
      <c r="DH60" s="68">
        <f t="shared" si="103"/>
        <v>2725.5565000000001</v>
      </c>
      <c r="DI60" s="2"/>
      <c r="DJ60" s="37" t="s">
        <v>497</v>
      </c>
      <c r="DK60" s="76" t="s">
        <v>497</v>
      </c>
      <c r="DL60" s="67">
        <f t="shared" si="70"/>
        <v>3735.973</v>
      </c>
      <c r="DM60" s="67">
        <f t="shared" si="31"/>
        <v>3074.5120000000002</v>
      </c>
      <c r="DN60" s="67">
        <f t="shared" si="32"/>
        <v>46.062640000000002</v>
      </c>
      <c r="DO60" s="67">
        <f t="shared" si="33"/>
        <v>0</v>
      </c>
      <c r="DP60" s="30">
        <f t="shared" si="34"/>
        <v>0</v>
      </c>
      <c r="DQ60" s="67">
        <f t="shared" si="35"/>
        <v>0</v>
      </c>
      <c r="DR60" s="67">
        <f t="shared" si="36"/>
        <v>308.65690000000001</v>
      </c>
      <c r="DS60" s="67">
        <f t="shared" si="37"/>
        <v>0</v>
      </c>
      <c r="DT60" s="30">
        <f t="shared" si="38"/>
        <v>189.57310000000001</v>
      </c>
      <c r="DU60" s="67">
        <f t="shared" si="39"/>
        <v>443.77170000000001</v>
      </c>
      <c r="DV60" s="67">
        <f t="shared" si="40"/>
        <v>1338.85</v>
      </c>
      <c r="DW60" s="68">
        <f t="shared" si="41"/>
        <v>2425.451</v>
      </c>
      <c r="DX60" s="2"/>
      <c r="DY60" s="81" t="s">
        <v>497</v>
      </c>
      <c r="DZ60" s="82"/>
      <c r="EA60" s="82"/>
      <c r="EB60" s="82"/>
      <c r="EC60" s="83"/>
      <c r="ED60" s="84">
        <v>1</v>
      </c>
      <c r="EE60" s="2"/>
      <c r="EF60" s="38" t="s">
        <v>497</v>
      </c>
      <c r="EG60" s="93" t="s">
        <v>497</v>
      </c>
      <c r="EH60" s="94"/>
      <c r="EI60" s="94"/>
      <c r="EJ60" s="94"/>
      <c r="EK60" s="94"/>
      <c r="EL60" s="94"/>
      <c r="EM60" s="94"/>
      <c r="EN60" s="94"/>
      <c r="EO60" s="94"/>
      <c r="EP60" s="94"/>
      <c r="EQ60" s="94"/>
      <c r="ER60" s="94"/>
      <c r="ES60" s="95"/>
      <c r="ET60" s="38" t="s">
        <v>497</v>
      </c>
      <c r="EU60" s="93" t="s">
        <v>497</v>
      </c>
      <c r="EV60" s="94"/>
      <c r="EW60" s="94"/>
      <c r="EX60" s="94"/>
      <c r="EY60" s="94"/>
      <c r="EZ60" s="94"/>
      <c r="FA60" s="94"/>
      <c r="FB60" s="94"/>
      <c r="FC60" s="94"/>
      <c r="FD60" s="94"/>
      <c r="FE60" s="94"/>
      <c r="FF60" s="94"/>
      <c r="FG60" s="95"/>
      <c r="FH60" s="38" t="s">
        <v>497</v>
      </c>
      <c r="FI60" s="93" t="s">
        <v>497</v>
      </c>
      <c r="FJ60" s="94"/>
      <c r="FK60" s="94"/>
      <c r="FL60" s="94"/>
      <c r="FM60" s="94"/>
      <c r="FN60" s="94"/>
      <c r="FO60" s="94"/>
      <c r="FP60" s="94"/>
      <c r="FQ60" s="94"/>
      <c r="FR60" s="94"/>
      <c r="FS60" s="94"/>
      <c r="FT60" s="94"/>
      <c r="FU60" s="95"/>
      <c r="FV60" s="38" t="s">
        <v>497</v>
      </c>
      <c r="FW60" s="93" t="s">
        <v>497</v>
      </c>
      <c r="FX60" s="94"/>
      <c r="FY60" s="94"/>
      <c r="FZ60" s="94"/>
      <c r="GA60" s="94"/>
      <c r="GB60" s="94"/>
      <c r="GC60" s="94"/>
      <c r="GD60" s="94"/>
      <c r="GE60" s="94"/>
      <c r="GF60" s="94"/>
      <c r="GG60" s="94"/>
      <c r="GH60" s="94"/>
      <c r="GI60" s="95"/>
      <c r="GJ60" s="38" t="s">
        <v>497</v>
      </c>
      <c r="GK60" s="93" t="s">
        <v>497</v>
      </c>
      <c r="GL60" s="94">
        <v>3735.973</v>
      </c>
      <c r="GM60" s="94">
        <v>3074.5120000000002</v>
      </c>
      <c r="GN60" s="94">
        <v>46.062640000000002</v>
      </c>
      <c r="GO60" s="94"/>
      <c r="GP60" s="94"/>
      <c r="GQ60" s="94"/>
      <c r="GR60" s="94">
        <v>308.65690000000001</v>
      </c>
      <c r="GS60" s="94"/>
      <c r="GT60" s="94">
        <v>189.57310000000001</v>
      </c>
      <c r="GU60" s="94">
        <v>443.77170000000001</v>
      </c>
      <c r="GV60" s="94">
        <v>1338.85</v>
      </c>
      <c r="GW60" s="95">
        <v>2425.451</v>
      </c>
      <c r="GX60" s="38"/>
    </row>
    <row r="61" spans="1:206" x14ac:dyDescent="0.35">
      <c r="A61" s="2"/>
      <c r="B61" s="2"/>
      <c r="C61" s="42" t="s">
        <v>529</v>
      </c>
      <c r="D61" s="43">
        <f t="shared" si="42"/>
        <v>2.115505017868205E-2</v>
      </c>
      <c r="E61" s="43">
        <f t="shared" si="0"/>
        <v>1.6908878583491986E-2</v>
      </c>
      <c r="F61" s="43">
        <f t="shared" si="1"/>
        <v>7.9505698759171418E-4</v>
      </c>
      <c r="G61" s="43">
        <f t="shared" si="2"/>
        <v>0</v>
      </c>
      <c r="H61" s="43">
        <f t="shared" si="3"/>
        <v>0</v>
      </c>
      <c r="I61" s="43">
        <f t="shared" si="4"/>
        <v>0</v>
      </c>
      <c r="J61" s="43">
        <f t="shared" si="5"/>
        <v>0</v>
      </c>
      <c r="K61" s="43">
        <f t="shared" si="6"/>
        <v>0</v>
      </c>
      <c r="L61" s="43">
        <f t="shared" si="7"/>
        <v>1.9039555492953313E-2</v>
      </c>
      <c r="M61" s="43">
        <f t="shared" si="8"/>
        <v>5.277597427720726E-2</v>
      </c>
      <c r="N61" s="43">
        <f t="shared" si="9"/>
        <v>0.6155873632438349</v>
      </c>
      <c r="O61" s="44">
        <f t="shared" si="10"/>
        <v>0.2737381212362387</v>
      </c>
      <c r="P61" s="115">
        <f t="shared" si="43"/>
        <v>1</v>
      </c>
      <c r="Q61" s="2"/>
      <c r="R61" s="42" t="s">
        <v>529</v>
      </c>
      <c r="S61" s="43">
        <f t="shared" si="44"/>
        <v>2.115505017868205E-2</v>
      </c>
      <c r="T61" s="43">
        <f t="shared" si="45"/>
        <v>1.6908878583491986E-2</v>
      </c>
      <c r="U61" s="43">
        <f t="shared" si="46"/>
        <v>7.9505698759171418E-4</v>
      </c>
      <c r="V61" s="43">
        <f t="shared" si="47"/>
        <v>0</v>
      </c>
      <c r="W61" s="29">
        <f t="shared" si="48"/>
        <v>0</v>
      </c>
      <c r="X61" s="43">
        <f t="shared" si="49"/>
        <v>0</v>
      </c>
      <c r="Y61" s="43">
        <f t="shared" si="50"/>
        <v>0</v>
      </c>
      <c r="Z61" s="43">
        <f t="shared" si="51"/>
        <v>0</v>
      </c>
      <c r="AA61" s="29">
        <f t="shared" si="52"/>
        <v>1.9039555492953313E-2</v>
      </c>
      <c r="AB61" s="43">
        <f t="shared" si="53"/>
        <v>5.277597427720726E-2</v>
      </c>
      <c r="AC61" s="43">
        <f t="shared" si="54"/>
        <v>0.6155873632438349</v>
      </c>
      <c r="AD61" s="43">
        <f t="shared" si="55"/>
        <v>0.2737381212362387</v>
      </c>
      <c r="AE61" s="32">
        <f t="shared" si="56"/>
        <v>4.0194605671635367E-2</v>
      </c>
      <c r="AF61" s="53">
        <f t="shared" si="57"/>
        <v>6.9684852860699253E-2</v>
      </c>
      <c r="AG61" s="53">
        <f t="shared" si="58"/>
        <v>0.61638242023142664</v>
      </c>
      <c r="AH61" s="53">
        <f t="shared" si="59"/>
        <v>0.2737381212362387</v>
      </c>
      <c r="AI61" s="34">
        <f t="shared" si="60"/>
        <v>3.8858985749765755E-2</v>
      </c>
      <c r="AJ61" s="35">
        <f t="shared" si="61"/>
        <v>0</v>
      </c>
      <c r="AK61" s="34">
        <f>AI61</f>
        <v>3.8858985749765755E-2</v>
      </c>
      <c r="AL61" s="35">
        <f t="shared" si="63"/>
        <v>0</v>
      </c>
      <c r="AM61" s="35">
        <f t="shared" si="64"/>
        <v>0.96114101425023424</v>
      </c>
      <c r="AN61" s="36">
        <v>1</v>
      </c>
      <c r="AO61" s="54">
        <v>1</v>
      </c>
      <c r="AP61" s="2"/>
      <c r="AQ61" s="42" t="s">
        <v>529</v>
      </c>
      <c r="AR61" s="43">
        <f t="shared" si="65"/>
        <v>0.22701476975884796</v>
      </c>
      <c r="AS61" s="43">
        <f t="shared" si="71"/>
        <v>0.18144911716540726</v>
      </c>
      <c r="AT61" s="43">
        <f t="shared" si="72"/>
        <v>8.5317537637029928E-3</v>
      </c>
      <c r="AU61" s="43">
        <f t="shared" si="73"/>
        <v>0</v>
      </c>
      <c r="AV61" s="29">
        <f t="shared" si="74"/>
        <v>0</v>
      </c>
      <c r="AW61" s="43">
        <f t="shared" si="75"/>
        <v>0</v>
      </c>
      <c r="AX61" s="43">
        <f t="shared" si="76"/>
        <v>1.8216068765388258E-2</v>
      </c>
      <c r="AY61" s="43">
        <f t="shared" si="77"/>
        <v>0</v>
      </c>
      <c r="AZ61" s="29">
        <f t="shared" si="78"/>
        <v>1.1188075256596645E-2</v>
      </c>
      <c r="BA61" s="43">
        <f t="shared" si="79"/>
        <v>3.1012361195729494E-2</v>
      </c>
      <c r="BB61" s="43">
        <f t="shared" si="80"/>
        <v>0.36173311659145307</v>
      </c>
      <c r="BC61" s="44">
        <f t="shared" si="81"/>
        <v>0.16085473750287438</v>
      </c>
      <c r="BD61" s="2"/>
      <c r="BE61" s="42" t="s">
        <v>529</v>
      </c>
      <c r="BF61" s="62">
        <v>1</v>
      </c>
      <c r="BG61" s="62">
        <v>1</v>
      </c>
      <c r="BH61" s="62">
        <v>1</v>
      </c>
      <c r="BI61" s="62">
        <v>1</v>
      </c>
      <c r="BJ61" s="36">
        <v>1</v>
      </c>
      <c r="BK61" s="62">
        <v>1</v>
      </c>
      <c r="BL61" s="62">
        <v>1</v>
      </c>
      <c r="BM61" s="62">
        <v>1</v>
      </c>
      <c r="BN61" s="36">
        <v>1</v>
      </c>
      <c r="BO61" s="62">
        <v>1</v>
      </c>
      <c r="BP61" s="62">
        <v>1</v>
      </c>
      <c r="BQ61" s="54">
        <v>1</v>
      </c>
      <c r="BR61" s="2"/>
      <c r="BS61" s="42" t="s">
        <v>529</v>
      </c>
      <c r="BT61" s="67">
        <f t="shared" si="66"/>
        <v>3846.5859999999998</v>
      </c>
      <c r="BU61" s="67">
        <f t="shared" si="18"/>
        <v>3074.5120000000002</v>
      </c>
      <c r="BV61" s="67">
        <f t="shared" si="19"/>
        <v>144.56383</v>
      </c>
      <c r="BW61" s="67">
        <f t="shared" si="20"/>
        <v>0</v>
      </c>
      <c r="BX61" s="30">
        <f t="shared" si="21"/>
        <v>0</v>
      </c>
      <c r="BY61" s="67">
        <f t="shared" si="22"/>
        <v>0</v>
      </c>
      <c r="BZ61" s="67">
        <f t="shared" si="23"/>
        <v>308.65690000000001</v>
      </c>
      <c r="CA61" s="67">
        <f t="shared" si="24"/>
        <v>0</v>
      </c>
      <c r="CB61" s="30">
        <f t="shared" si="25"/>
        <v>189.57310000000001</v>
      </c>
      <c r="CC61" s="67">
        <f t="shared" si="26"/>
        <v>525.47996999999998</v>
      </c>
      <c r="CD61" s="67">
        <f t="shared" si="27"/>
        <v>6129.2819999999992</v>
      </c>
      <c r="CE61" s="68">
        <f t="shared" si="28"/>
        <v>2725.5565000000001</v>
      </c>
      <c r="CF61" s="2"/>
      <c r="CG61" s="37" t="str">
        <f t="shared" si="67"/>
        <v>awood</v>
      </c>
      <c r="CH61" s="42" t="s">
        <v>529</v>
      </c>
      <c r="CI61" s="67">
        <f t="shared" si="68"/>
        <v>3846.5859999999998</v>
      </c>
      <c r="CJ61" s="67">
        <f t="shared" si="82"/>
        <v>3074.5120000000002</v>
      </c>
      <c r="CK61" s="67">
        <f t="shared" si="83"/>
        <v>144.56383</v>
      </c>
      <c r="CL61" s="67">
        <f t="shared" si="84"/>
        <v>0</v>
      </c>
      <c r="CM61" s="30">
        <f t="shared" si="85"/>
        <v>0</v>
      </c>
      <c r="CN61" s="67">
        <f t="shared" si="86"/>
        <v>0</v>
      </c>
      <c r="CO61" s="67">
        <f t="shared" si="87"/>
        <v>308.65690000000001</v>
      </c>
      <c r="CP61" s="67">
        <f t="shared" si="88"/>
        <v>0</v>
      </c>
      <c r="CQ61" s="30">
        <f t="shared" si="89"/>
        <v>189.57310000000001</v>
      </c>
      <c r="CR61" s="67">
        <f t="shared" si="90"/>
        <v>525.47996999999998</v>
      </c>
      <c r="CS61" s="67">
        <f t="shared" si="91"/>
        <v>6129.2819999999992</v>
      </c>
      <c r="CT61" s="68">
        <f t="shared" si="92"/>
        <v>2725.5565000000001</v>
      </c>
      <c r="CU61" s="2"/>
      <c r="CV61" s="42" t="s">
        <v>529</v>
      </c>
      <c r="CW61" s="67">
        <f t="shared" si="69"/>
        <v>0</v>
      </c>
      <c r="CX61" s="67">
        <f t="shared" si="93"/>
        <v>0</v>
      </c>
      <c r="CY61" s="67">
        <f t="shared" si="94"/>
        <v>0</v>
      </c>
      <c r="CZ61" s="67">
        <f t="shared" si="95"/>
        <v>0</v>
      </c>
      <c r="DA61" s="30">
        <f t="shared" si="96"/>
        <v>0</v>
      </c>
      <c r="DB61" s="67">
        <f t="shared" si="97"/>
        <v>0</v>
      </c>
      <c r="DC61" s="67">
        <f t="shared" si="98"/>
        <v>0</v>
      </c>
      <c r="DD61" s="67">
        <f t="shared" si="99"/>
        <v>0</v>
      </c>
      <c r="DE61" s="30">
        <f t="shared" si="100"/>
        <v>0</v>
      </c>
      <c r="DF61" s="67">
        <f t="shared" si="101"/>
        <v>0</v>
      </c>
      <c r="DG61" s="67">
        <f t="shared" si="102"/>
        <v>0</v>
      </c>
      <c r="DH61" s="68">
        <f t="shared" si="103"/>
        <v>0</v>
      </c>
      <c r="DI61" s="2"/>
      <c r="DJ61" s="37" t="s">
        <v>497</v>
      </c>
      <c r="DK61" s="76" t="s">
        <v>529</v>
      </c>
      <c r="DL61" s="67">
        <f t="shared" si="70"/>
        <v>110.613</v>
      </c>
      <c r="DM61" s="67">
        <f t="shared" si="31"/>
        <v>0</v>
      </c>
      <c r="DN61" s="67">
        <f t="shared" si="32"/>
        <v>98.501189999999994</v>
      </c>
      <c r="DO61" s="67">
        <f t="shared" si="33"/>
        <v>0</v>
      </c>
      <c r="DP61" s="30">
        <f t="shared" si="34"/>
        <v>0</v>
      </c>
      <c r="DQ61" s="67">
        <f t="shared" si="35"/>
        <v>0</v>
      </c>
      <c r="DR61" s="67">
        <f t="shared" si="36"/>
        <v>0</v>
      </c>
      <c r="DS61" s="67">
        <f t="shared" si="37"/>
        <v>0</v>
      </c>
      <c r="DT61" s="30">
        <f t="shared" si="38"/>
        <v>0</v>
      </c>
      <c r="DU61" s="67">
        <f t="shared" si="39"/>
        <v>81.708269999999999</v>
      </c>
      <c r="DV61" s="67">
        <f t="shared" si="40"/>
        <v>4790.4319999999998</v>
      </c>
      <c r="DW61" s="68">
        <f t="shared" si="41"/>
        <v>300.10550000000001</v>
      </c>
      <c r="DX61" s="2"/>
      <c r="DY61" s="81" t="s">
        <v>529</v>
      </c>
      <c r="DZ61" s="82"/>
      <c r="EA61" s="82"/>
      <c r="EB61" s="82"/>
      <c r="EC61" s="83"/>
      <c r="ED61" s="84">
        <v>1</v>
      </c>
      <c r="EE61" s="2"/>
      <c r="EF61" s="38" t="s">
        <v>529</v>
      </c>
      <c r="EG61" s="93" t="s">
        <v>529</v>
      </c>
      <c r="EH61" s="94"/>
      <c r="EI61" s="94"/>
      <c r="EJ61" s="94"/>
      <c r="EK61" s="94"/>
      <c r="EL61" s="94"/>
      <c r="EM61" s="94"/>
      <c r="EN61" s="94"/>
      <c r="EO61" s="94"/>
      <c r="EP61" s="94"/>
      <c r="EQ61" s="94"/>
      <c r="ER61" s="94"/>
      <c r="ES61" s="95"/>
      <c r="ET61" s="38" t="s">
        <v>529</v>
      </c>
      <c r="EU61" s="93" t="s">
        <v>529</v>
      </c>
      <c r="EV61" s="94"/>
      <c r="EW61" s="94"/>
      <c r="EX61" s="94"/>
      <c r="EY61" s="94"/>
      <c r="EZ61" s="94"/>
      <c r="FA61" s="94"/>
      <c r="FB61" s="94"/>
      <c r="FC61" s="94"/>
      <c r="FD61" s="94"/>
      <c r="FE61" s="94"/>
      <c r="FF61" s="94"/>
      <c r="FG61" s="95"/>
      <c r="FH61" s="38" t="s">
        <v>529</v>
      </c>
      <c r="FI61" s="93" t="s">
        <v>529</v>
      </c>
      <c r="FJ61" s="94"/>
      <c r="FK61" s="94"/>
      <c r="FL61" s="94"/>
      <c r="FM61" s="94"/>
      <c r="FN61" s="94"/>
      <c r="FO61" s="94"/>
      <c r="FP61" s="94"/>
      <c r="FQ61" s="94"/>
      <c r="FR61" s="94"/>
      <c r="FS61" s="94"/>
      <c r="FT61" s="94"/>
      <c r="FU61" s="95"/>
      <c r="FV61" s="38" t="s">
        <v>529</v>
      </c>
      <c r="FW61" s="93" t="s">
        <v>529</v>
      </c>
      <c r="FX61" s="94"/>
      <c r="FY61" s="94"/>
      <c r="FZ61" s="94"/>
      <c r="GA61" s="94"/>
      <c r="GB61" s="94"/>
      <c r="GC61" s="94"/>
      <c r="GD61" s="94"/>
      <c r="GE61" s="94"/>
      <c r="GF61" s="94"/>
      <c r="GG61" s="94"/>
      <c r="GH61" s="94"/>
      <c r="GI61" s="95"/>
      <c r="GJ61" s="38" t="s">
        <v>529</v>
      </c>
      <c r="GK61" s="93" t="s">
        <v>529</v>
      </c>
      <c r="GL61" s="94">
        <v>110.613</v>
      </c>
      <c r="GM61" s="94"/>
      <c r="GN61" s="94">
        <v>98.501189999999994</v>
      </c>
      <c r="GO61" s="94"/>
      <c r="GP61" s="94"/>
      <c r="GQ61" s="94"/>
      <c r="GR61" s="94"/>
      <c r="GS61" s="94"/>
      <c r="GT61" s="94"/>
      <c r="GU61" s="94">
        <v>81.708269999999999</v>
      </c>
      <c r="GV61" s="94">
        <v>4790.4319999999998</v>
      </c>
      <c r="GW61" s="95">
        <v>300.10550000000001</v>
      </c>
      <c r="GX61" s="38"/>
    </row>
    <row r="62" spans="1:206" x14ac:dyDescent="0.35">
      <c r="A62" s="2"/>
      <c r="B62" s="2"/>
      <c r="C62" s="42" t="s">
        <v>498</v>
      </c>
      <c r="D62" s="43">
        <f t="shared" si="42"/>
        <v>6.4986994487239186E-2</v>
      </c>
      <c r="E62" s="43">
        <f t="shared" si="0"/>
        <v>7.2591893440648217E-2</v>
      </c>
      <c r="F62" s="43">
        <f t="shared" si="1"/>
        <v>1.2672425988630245E-2</v>
      </c>
      <c r="G62" s="43">
        <f t="shared" si="2"/>
        <v>0</v>
      </c>
      <c r="H62" s="43">
        <f t="shared" si="3"/>
        <v>1.3139630828499789E-3</v>
      </c>
      <c r="I62" s="43">
        <f t="shared" si="4"/>
        <v>7.9025843976392278E-3</v>
      </c>
      <c r="J62" s="43">
        <f t="shared" si="5"/>
        <v>0</v>
      </c>
      <c r="K62" s="43">
        <f t="shared" si="6"/>
        <v>0</v>
      </c>
      <c r="L62" s="43">
        <f t="shared" si="7"/>
        <v>2.9086706428002932E-2</v>
      </c>
      <c r="M62" s="43">
        <f t="shared" si="8"/>
        <v>3.2923063063436987E-2</v>
      </c>
      <c r="N62" s="43">
        <f t="shared" si="9"/>
        <v>0.18947810162932027</v>
      </c>
      <c r="O62" s="44">
        <f t="shared" si="10"/>
        <v>0.58904426748223304</v>
      </c>
      <c r="P62" s="115">
        <f t="shared" si="43"/>
        <v>1</v>
      </c>
      <c r="Q62" s="2"/>
      <c r="R62" s="42" t="s">
        <v>498</v>
      </c>
      <c r="S62" s="43">
        <f t="shared" si="44"/>
        <v>6.4986994487239172E-2</v>
      </c>
      <c r="T62" s="43">
        <f t="shared" si="45"/>
        <v>7.2591893440648203E-2</v>
      </c>
      <c r="U62" s="43">
        <f t="shared" si="46"/>
        <v>1.2672425988630243E-2</v>
      </c>
      <c r="V62" s="43">
        <f t="shared" si="47"/>
        <v>0</v>
      </c>
      <c r="W62" s="29">
        <f t="shared" si="48"/>
        <v>1.3139630828499786E-3</v>
      </c>
      <c r="X62" s="43">
        <f t="shared" si="49"/>
        <v>7.9025843976392261E-3</v>
      </c>
      <c r="Y62" s="43">
        <f t="shared" si="50"/>
        <v>0</v>
      </c>
      <c r="Z62" s="43">
        <f t="shared" si="51"/>
        <v>0</v>
      </c>
      <c r="AA62" s="29">
        <f t="shared" si="52"/>
        <v>2.9086706428002929E-2</v>
      </c>
      <c r="AB62" s="43">
        <f t="shared" si="53"/>
        <v>3.292306306343698E-2</v>
      </c>
      <c r="AC62" s="43">
        <f t="shared" si="54"/>
        <v>0.18947810162932024</v>
      </c>
      <c r="AD62" s="43">
        <f t="shared" si="55"/>
        <v>0.58904426748223293</v>
      </c>
      <c r="AE62" s="32">
        <f t="shared" si="56"/>
        <v>9.5387663998092079E-2</v>
      </c>
      <c r="AF62" s="53">
        <f t="shared" si="57"/>
        <v>0.11341754090172441</v>
      </c>
      <c r="AG62" s="53">
        <f t="shared" si="58"/>
        <v>0.20215052761795049</v>
      </c>
      <c r="AH62" s="53">
        <f t="shared" si="59"/>
        <v>0.58904426748223293</v>
      </c>
      <c r="AI62" s="34">
        <f t="shared" si="60"/>
        <v>0</v>
      </c>
      <c r="AJ62" s="35">
        <f t="shared" si="61"/>
        <v>0</v>
      </c>
      <c r="AK62" s="34">
        <f>AVERAGE(AI62:AI68)</f>
        <v>0.15025131391651764</v>
      </c>
      <c r="AL62" s="35">
        <f t="shared" ref="AL62" si="113">AVERAGE(AJ62:AJ68)</f>
        <v>9.2165474804892043E-3</v>
      </c>
      <c r="AM62" s="35">
        <f t="shared" si="64"/>
        <v>0.84053213860299314</v>
      </c>
      <c r="AN62" s="36">
        <v>1</v>
      </c>
      <c r="AO62" s="54">
        <v>1</v>
      </c>
      <c r="AP62" s="2"/>
      <c r="AQ62" s="42" t="s">
        <v>498</v>
      </c>
      <c r="AR62" s="43">
        <f t="shared" si="65"/>
        <v>0.21658397863913731</v>
      </c>
      <c r="AS62" s="43">
        <f t="shared" si="71"/>
        <v>0.24192903860804174</v>
      </c>
      <c r="AT62" s="43">
        <f t="shared" si="72"/>
        <v>4.223374940298983E-2</v>
      </c>
      <c r="AU62" s="43">
        <f t="shared" si="73"/>
        <v>0</v>
      </c>
      <c r="AV62" s="29">
        <f t="shared" si="74"/>
        <v>4.5819812986964545E-3</v>
      </c>
      <c r="AW62" s="43">
        <f t="shared" si="75"/>
        <v>2.7557466715742975E-2</v>
      </c>
      <c r="AX62" s="43">
        <f t="shared" si="76"/>
        <v>0</v>
      </c>
      <c r="AY62" s="43">
        <f t="shared" si="77"/>
        <v>0</v>
      </c>
      <c r="AZ62" s="29">
        <f t="shared" si="78"/>
        <v>1.6164523542318877E-2</v>
      </c>
      <c r="BA62" s="43">
        <f t="shared" si="79"/>
        <v>1.8296524197109504E-2</v>
      </c>
      <c r="BB62" s="43">
        <f t="shared" si="80"/>
        <v>0.10529976097920575</v>
      </c>
      <c r="BC62" s="44">
        <f t="shared" si="81"/>
        <v>0.3273529766167575</v>
      </c>
      <c r="BD62" s="2"/>
      <c r="BE62" s="42" t="s">
        <v>498</v>
      </c>
      <c r="BF62" s="62">
        <v>1</v>
      </c>
      <c r="BG62" s="62">
        <v>1</v>
      </c>
      <c r="BH62" s="62">
        <v>1</v>
      </c>
      <c r="BI62" s="62">
        <v>1</v>
      </c>
      <c r="BJ62" s="36">
        <v>1</v>
      </c>
      <c r="BK62" s="62">
        <v>1</v>
      </c>
      <c r="BL62" s="62">
        <v>1</v>
      </c>
      <c r="BM62" s="62">
        <v>1</v>
      </c>
      <c r="BN62" s="36">
        <v>1</v>
      </c>
      <c r="BO62" s="62">
        <v>1</v>
      </c>
      <c r="BP62" s="62">
        <v>1</v>
      </c>
      <c r="BQ62" s="54">
        <v>1</v>
      </c>
      <c r="BR62" s="2"/>
      <c r="BS62" s="42" t="s">
        <v>498</v>
      </c>
      <c r="BT62" s="67">
        <f t="shared" si="66"/>
        <v>4788.8369000000002</v>
      </c>
      <c r="BU62" s="67">
        <f t="shared" si="18"/>
        <v>5349.2354999999998</v>
      </c>
      <c r="BV62" s="67">
        <f t="shared" si="19"/>
        <v>933.82040000000006</v>
      </c>
      <c r="BW62" s="67">
        <f t="shared" si="20"/>
        <v>0</v>
      </c>
      <c r="BX62" s="30">
        <f t="shared" si="21"/>
        <v>101.3111</v>
      </c>
      <c r="BY62" s="67">
        <f t="shared" si="22"/>
        <v>609.31659999999999</v>
      </c>
      <c r="BZ62" s="67">
        <f t="shared" si="23"/>
        <v>0</v>
      </c>
      <c r="CA62" s="67">
        <f t="shared" si="24"/>
        <v>0</v>
      </c>
      <c r="CB62" s="30">
        <f t="shared" si="25"/>
        <v>357.40994000000001</v>
      </c>
      <c r="CC62" s="67">
        <f t="shared" si="26"/>
        <v>404.55009999999999</v>
      </c>
      <c r="CD62" s="67">
        <f t="shared" si="27"/>
        <v>2328.2580000000003</v>
      </c>
      <c r="CE62" s="68">
        <f t="shared" si="28"/>
        <v>7238.0239000000001</v>
      </c>
      <c r="CF62" s="2"/>
      <c r="CG62" s="37" t="str">
        <f t="shared" si="67"/>
        <v>anmet</v>
      </c>
      <c r="CH62" s="42" t="s">
        <v>498</v>
      </c>
      <c r="CI62" s="67">
        <f t="shared" si="68"/>
        <v>4788.8369000000002</v>
      </c>
      <c r="CJ62" s="67">
        <f t="shared" si="82"/>
        <v>5349.2354999999998</v>
      </c>
      <c r="CK62" s="67">
        <f t="shared" si="83"/>
        <v>933.82040000000006</v>
      </c>
      <c r="CL62" s="67">
        <f t="shared" si="84"/>
        <v>0</v>
      </c>
      <c r="CM62" s="30">
        <f t="shared" si="85"/>
        <v>101.3111</v>
      </c>
      <c r="CN62" s="67">
        <f t="shared" si="86"/>
        <v>609.31659999999999</v>
      </c>
      <c r="CO62" s="67">
        <f t="shared" si="87"/>
        <v>0</v>
      </c>
      <c r="CP62" s="67">
        <f t="shared" si="88"/>
        <v>0</v>
      </c>
      <c r="CQ62" s="30">
        <f t="shared" si="89"/>
        <v>357.40994000000001</v>
      </c>
      <c r="CR62" s="67">
        <f t="shared" si="90"/>
        <v>404.55009999999999</v>
      </c>
      <c r="CS62" s="67">
        <f t="shared" si="91"/>
        <v>2328.2580000000003</v>
      </c>
      <c r="CT62" s="68">
        <f t="shared" si="92"/>
        <v>7238.0239000000001</v>
      </c>
      <c r="CU62" s="2"/>
      <c r="CV62" s="42" t="s">
        <v>498</v>
      </c>
      <c r="CW62" s="67">
        <f t="shared" si="69"/>
        <v>0</v>
      </c>
      <c r="CX62" s="67">
        <f t="shared" si="93"/>
        <v>0</v>
      </c>
      <c r="CY62" s="67">
        <f t="shared" si="94"/>
        <v>0</v>
      </c>
      <c r="CZ62" s="67">
        <f t="shared" si="95"/>
        <v>0</v>
      </c>
      <c r="DA62" s="30">
        <f t="shared" si="96"/>
        <v>0</v>
      </c>
      <c r="DB62" s="67">
        <f t="shared" si="97"/>
        <v>0</v>
      </c>
      <c r="DC62" s="67">
        <f t="shared" si="98"/>
        <v>0</v>
      </c>
      <c r="DD62" s="67">
        <f t="shared" si="99"/>
        <v>0</v>
      </c>
      <c r="DE62" s="30">
        <f t="shared" si="100"/>
        <v>0</v>
      </c>
      <c r="DF62" s="67">
        <f t="shared" si="101"/>
        <v>0</v>
      </c>
      <c r="DG62" s="67">
        <f t="shared" si="102"/>
        <v>0</v>
      </c>
      <c r="DH62" s="68">
        <f t="shared" si="103"/>
        <v>0</v>
      </c>
      <c r="DI62" s="2"/>
      <c r="DJ62" s="37" t="s">
        <v>500</v>
      </c>
      <c r="DK62" s="76" t="s">
        <v>498</v>
      </c>
      <c r="DL62" s="67">
        <f t="shared" si="70"/>
        <v>0</v>
      </c>
      <c r="DM62" s="67">
        <f t="shared" si="31"/>
        <v>0</v>
      </c>
      <c r="DN62" s="67">
        <f t="shared" si="32"/>
        <v>0</v>
      </c>
      <c r="DO62" s="67">
        <f t="shared" si="33"/>
        <v>0</v>
      </c>
      <c r="DP62" s="30">
        <f t="shared" si="34"/>
        <v>0</v>
      </c>
      <c r="DQ62" s="67">
        <f t="shared" si="35"/>
        <v>0</v>
      </c>
      <c r="DR62" s="67">
        <f t="shared" si="36"/>
        <v>0</v>
      </c>
      <c r="DS62" s="67">
        <f t="shared" si="37"/>
        <v>0</v>
      </c>
      <c r="DT62" s="30">
        <f t="shared" si="38"/>
        <v>0</v>
      </c>
      <c r="DU62" s="67">
        <f t="shared" si="39"/>
        <v>0</v>
      </c>
      <c r="DV62" s="67">
        <f t="shared" si="40"/>
        <v>0</v>
      </c>
      <c r="DW62" s="68">
        <f t="shared" si="41"/>
        <v>0</v>
      </c>
      <c r="DX62" s="2"/>
      <c r="DY62" s="81" t="s">
        <v>498</v>
      </c>
      <c r="DZ62" s="82"/>
      <c r="EA62" s="82"/>
      <c r="EB62" s="82"/>
      <c r="EC62" s="83"/>
      <c r="ED62" s="84">
        <v>1</v>
      </c>
      <c r="EE62" s="2"/>
      <c r="EF62" s="38" t="s">
        <v>498</v>
      </c>
      <c r="EG62" s="93" t="s">
        <v>498</v>
      </c>
      <c r="EH62" s="94"/>
      <c r="EI62" s="94"/>
      <c r="EJ62" s="94"/>
      <c r="EK62" s="94"/>
      <c r="EL62" s="94"/>
      <c r="EM62" s="94"/>
      <c r="EN62" s="94"/>
      <c r="EO62" s="94"/>
      <c r="EP62" s="94"/>
      <c r="EQ62" s="94"/>
      <c r="ER62" s="94"/>
      <c r="ES62" s="95"/>
      <c r="ET62" s="38" t="s">
        <v>498</v>
      </c>
      <c r="EU62" s="93" t="s">
        <v>498</v>
      </c>
      <c r="EV62" s="94"/>
      <c r="EW62" s="94"/>
      <c r="EX62" s="94"/>
      <c r="EY62" s="94"/>
      <c r="EZ62" s="94"/>
      <c r="FA62" s="94"/>
      <c r="FB62" s="94"/>
      <c r="FC62" s="94"/>
      <c r="FD62" s="94"/>
      <c r="FE62" s="94"/>
      <c r="FF62" s="94"/>
      <c r="FG62" s="95"/>
      <c r="FH62" s="38" t="s">
        <v>498</v>
      </c>
      <c r="FI62" s="93" t="s">
        <v>498</v>
      </c>
      <c r="FJ62" s="94"/>
      <c r="FK62" s="94"/>
      <c r="FL62" s="94"/>
      <c r="FM62" s="94"/>
      <c r="FN62" s="94"/>
      <c r="FO62" s="94"/>
      <c r="FP62" s="94"/>
      <c r="FQ62" s="94"/>
      <c r="FR62" s="94"/>
      <c r="FS62" s="94"/>
      <c r="FT62" s="94"/>
      <c r="FU62" s="95"/>
      <c r="FV62" s="38" t="s">
        <v>498</v>
      </c>
      <c r="FW62" s="93" t="s">
        <v>498</v>
      </c>
      <c r="FX62" s="94"/>
      <c r="FY62" s="94"/>
      <c r="FZ62" s="94"/>
      <c r="GA62" s="94"/>
      <c r="GB62" s="94"/>
      <c r="GC62" s="94"/>
      <c r="GD62" s="94"/>
      <c r="GE62" s="94"/>
      <c r="GF62" s="94"/>
      <c r="GG62" s="94"/>
      <c r="GH62" s="94"/>
      <c r="GI62" s="95"/>
      <c r="GJ62" s="38" t="s">
        <v>498</v>
      </c>
      <c r="GK62" s="93" t="s">
        <v>498</v>
      </c>
      <c r="GL62" s="94"/>
      <c r="GM62" s="94"/>
      <c r="GN62" s="94"/>
      <c r="GO62" s="94"/>
      <c r="GP62" s="94"/>
      <c r="GQ62" s="94"/>
      <c r="GR62" s="94"/>
      <c r="GS62" s="94"/>
      <c r="GT62" s="94"/>
      <c r="GU62" s="94"/>
      <c r="GV62" s="94"/>
      <c r="GW62" s="95"/>
      <c r="GX62" s="38"/>
    </row>
    <row r="63" spans="1:206" x14ac:dyDescent="0.35">
      <c r="A63" s="2"/>
      <c r="B63" s="2"/>
      <c r="C63" s="42" t="s">
        <v>499</v>
      </c>
      <c r="D63" s="43">
        <f t="shared" si="42"/>
        <v>6.4986994487239186E-2</v>
      </c>
      <c r="E63" s="43">
        <f t="shared" si="0"/>
        <v>7.2591893440648217E-2</v>
      </c>
      <c r="F63" s="43">
        <f t="shared" si="1"/>
        <v>1.2672425988630245E-2</v>
      </c>
      <c r="G63" s="43">
        <f t="shared" si="2"/>
        <v>0</v>
      </c>
      <c r="H63" s="43">
        <f t="shared" si="3"/>
        <v>1.3139630828499789E-3</v>
      </c>
      <c r="I63" s="43">
        <f t="shared" si="4"/>
        <v>7.9025843976392278E-3</v>
      </c>
      <c r="J63" s="43">
        <f t="shared" si="5"/>
        <v>0</v>
      </c>
      <c r="K63" s="43">
        <f t="shared" si="6"/>
        <v>0</v>
      </c>
      <c r="L63" s="43">
        <f t="shared" si="7"/>
        <v>2.9086706428002932E-2</v>
      </c>
      <c r="M63" s="43">
        <f t="shared" si="8"/>
        <v>3.2923063063436987E-2</v>
      </c>
      <c r="N63" s="43">
        <f t="shared" si="9"/>
        <v>0.18947810162932027</v>
      </c>
      <c r="O63" s="44">
        <f t="shared" si="10"/>
        <v>0.58904426748223304</v>
      </c>
      <c r="P63" s="115">
        <f t="shared" si="43"/>
        <v>1</v>
      </c>
      <c r="Q63" s="2"/>
      <c r="R63" s="42" t="s">
        <v>499</v>
      </c>
      <c r="S63" s="43">
        <f t="shared" si="44"/>
        <v>6.4986994487239172E-2</v>
      </c>
      <c r="T63" s="43">
        <f t="shared" si="45"/>
        <v>7.2591893440648203E-2</v>
      </c>
      <c r="U63" s="43">
        <f t="shared" si="46"/>
        <v>1.2672425988630243E-2</v>
      </c>
      <c r="V63" s="43">
        <f t="shared" si="47"/>
        <v>0</v>
      </c>
      <c r="W63" s="29">
        <f t="shared" si="48"/>
        <v>1.3139630828499786E-3</v>
      </c>
      <c r="X63" s="43">
        <f t="shared" si="49"/>
        <v>7.9025843976392261E-3</v>
      </c>
      <c r="Y63" s="43">
        <f t="shared" si="50"/>
        <v>0</v>
      </c>
      <c r="Z63" s="43">
        <f t="shared" si="51"/>
        <v>0</v>
      </c>
      <c r="AA63" s="29">
        <f t="shared" si="52"/>
        <v>2.9086706428002929E-2</v>
      </c>
      <c r="AB63" s="43">
        <f t="shared" si="53"/>
        <v>3.292306306343698E-2</v>
      </c>
      <c r="AC63" s="43">
        <f t="shared" si="54"/>
        <v>0.18947810162932024</v>
      </c>
      <c r="AD63" s="43">
        <f t="shared" si="55"/>
        <v>0.58904426748223293</v>
      </c>
      <c r="AE63" s="32">
        <f t="shared" si="56"/>
        <v>9.5387663998092079E-2</v>
      </c>
      <c r="AF63" s="53">
        <f t="shared" si="57"/>
        <v>0.11341754090172441</v>
      </c>
      <c r="AG63" s="53">
        <f t="shared" si="58"/>
        <v>0.20215052761795049</v>
      </c>
      <c r="AH63" s="53">
        <f t="shared" si="59"/>
        <v>0.58904426748223293</v>
      </c>
      <c r="AI63" s="34">
        <f t="shared" si="60"/>
        <v>0.16816057810593243</v>
      </c>
      <c r="AJ63" s="35">
        <f t="shared" si="61"/>
        <v>0</v>
      </c>
      <c r="AK63" s="34">
        <f>AK62</f>
        <v>0.15025131391651764</v>
      </c>
      <c r="AL63" s="35">
        <f t="shared" ref="AL63:AL65" si="114">AL62</f>
        <v>9.2165474804892043E-3</v>
      </c>
      <c r="AM63" s="35">
        <f t="shared" si="64"/>
        <v>0.84053213860299314</v>
      </c>
      <c r="AN63" s="36">
        <v>1</v>
      </c>
      <c r="AO63" s="54">
        <v>1</v>
      </c>
      <c r="AP63" s="2"/>
      <c r="AQ63" s="42" t="s">
        <v>499</v>
      </c>
      <c r="AR63" s="43">
        <f t="shared" si="65"/>
        <v>0.21658397863913731</v>
      </c>
      <c r="AS63" s="43">
        <f t="shared" si="71"/>
        <v>0.24192903860804174</v>
      </c>
      <c r="AT63" s="43">
        <f t="shared" si="72"/>
        <v>4.223374940298983E-2</v>
      </c>
      <c r="AU63" s="43">
        <f t="shared" si="73"/>
        <v>0</v>
      </c>
      <c r="AV63" s="29">
        <f t="shared" si="74"/>
        <v>4.5819812986964545E-3</v>
      </c>
      <c r="AW63" s="43">
        <f t="shared" si="75"/>
        <v>2.7557466715742975E-2</v>
      </c>
      <c r="AX63" s="43">
        <f t="shared" si="76"/>
        <v>0</v>
      </c>
      <c r="AY63" s="43">
        <f t="shared" si="77"/>
        <v>0</v>
      </c>
      <c r="AZ63" s="29">
        <f t="shared" si="78"/>
        <v>1.6164523542318877E-2</v>
      </c>
      <c r="BA63" s="43">
        <f t="shared" si="79"/>
        <v>1.8296524197109504E-2</v>
      </c>
      <c r="BB63" s="43">
        <f t="shared" si="80"/>
        <v>0.10529976097920575</v>
      </c>
      <c r="BC63" s="44">
        <f t="shared" si="81"/>
        <v>0.3273529766167575</v>
      </c>
      <c r="BD63" s="2"/>
      <c r="BE63" s="42" t="s">
        <v>499</v>
      </c>
      <c r="BF63" s="62">
        <v>1</v>
      </c>
      <c r="BG63" s="62">
        <v>1</v>
      </c>
      <c r="BH63" s="62">
        <v>1</v>
      </c>
      <c r="BI63" s="62">
        <v>1</v>
      </c>
      <c r="BJ63" s="36">
        <v>1</v>
      </c>
      <c r="BK63" s="62">
        <v>1</v>
      </c>
      <c r="BL63" s="62">
        <v>1</v>
      </c>
      <c r="BM63" s="62">
        <v>1</v>
      </c>
      <c r="BN63" s="36">
        <v>1</v>
      </c>
      <c r="BO63" s="62">
        <v>1</v>
      </c>
      <c r="BP63" s="62">
        <v>1</v>
      </c>
      <c r="BQ63" s="54">
        <v>1</v>
      </c>
      <c r="BR63" s="2"/>
      <c r="BS63" s="42" t="s">
        <v>499</v>
      </c>
      <c r="BT63" s="67">
        <f t="shared" si="66"/>
        <v>4788.8369000000002</v>
      </c>
      <c r="BU63" s="67">
        <f t="shared" si="18"/>
        <v>5349.2354999999998</v>
      </c>
      <c r="BV63" s="67">
        <f t="shared" si="19"/>
        <v>933.82040000000006</v>
      </c>
      <c r="BW63" s="67">
        <f t="shared" si="20"/>
        <v>0</v>
      </c>
      <c r="BX63" s="30">
        <f t="shared" si="21"/>
        <v>101.3111</v>
      </c>
      <c r="BY63" s="67">
        <f t="shared" si="22"/>
        <v>609.31659999999999</v>
      </c>
      <c r="BZ63" s="67">
        <f t="shared" si="23"/>
        <v>0</v>
      </c>
      <c r="CA63" s="67">
        <f t="shared" si="24"/>
        <v>0</v>
      </c>
      <c r="CB63" s="30">
        <f t="shared" si="25"/>
        <v>357.40994000000001</v>
      </c>
      <c r="CC63" s="67">
        <f t="shared" si="26"/>
        <v>404.55009999999999</v>
      </c>
      <c r="CD63" s="67">
        <f t="shared" si="27"/>
        <v>2328.2580000000003</v>
      </c>
      <c r="CE63" s="68">
        <f t="shared" si="28"/>
        <v>7238.0239000000001</v>
      </c>
      <c r="CF63" s="2"/>
      <c r="CG63" s="37" t="str">
        <f t="shared" si="67"/>
        <v>anmet</v>
      </c>
      <c r="CH63" s="42" t="s">
        <v>499</v>
      </c>
      <c r="CI63" s="67">
        <f t="shared" si="68"/>
        <v>4788.8369000000002</v>
      </c>
      <c r="CJ63" s="67">
        <f t="shared" si="82"/>
        <v>5349.2354999999998</v>
      </c>
      <c r="CK63" s="67">
        <f t="shared" si="83"/>
        <v>933.82040000000006</v>
      </c>
      <c r="CL63" s="67">
        <f t="shared" si="84"/>
        <v>0</v>
      </c>
      <c r="CM63" s="30">
        <f t="shared" si="85"/>
        <v>101.3111</v>
      </c>
      <c r="CN63" s="67">
        <f t="shared" si="86"/>
        <v>609.31659999999999</v>
      </c>
      <c r="CO63" s="67">
        <f t="shared" si="87"/>
        <v>0</v>
      </c>
      <c r="CP63" s="67">
        <f t="shared" si="88"/>
        <v>0</v>
      </c>
      <c r="CQ63" s="30">
        <f t="shared" si="89"/>
        <v>357.40994000000001</v>
      </c>
      <c r="CR63" s="67">
        <f t="shared" si="90"/>
        <v>404.55009999999999</v>
      </c>
      <c r="CS63" s="67">
        <f t="shared" si="91"/>
        <v>2328.2580000000003</v>
      </c>
      <c r="CT63" s="68">
        <f t="shared" si="92"/>
        <v>7238.0239000000001</v>
      </c>
      <c r="CU63" s="2"/>
      <c r="CV63" s="42" t="s">
        <v>499</v>
      </c>
      <c r="CW63" s="67">
        <f t="shared" si="69"/>
        <v>0</v>
      </c>
      <c r="CX63" s="67">
        <f t="shared" si="93"/>
        <v>0</v>
      </c>
      <c r="CY63" s="67">
        <f t="shared" si="94"/>
        <v>0</v>
      </c>
      <c r="CZ63" s="67">
        <f t="shared" si="95"/>
        <v>0</v>
      </c>
      <c r="DA63" s="30">
        <f t="shared" si="96"/>
        <v>0</v>
      </c>
      <c r="DB63" s="67">
        <f t="shared" si="97"/>
        <v>0</v>
      </c>
      <c r="DC63" s="67">
        <f t="shared" si="98"/>
        <v>0</v>
      </c>
      <c r="DD63" s="67">
        <f t="shared" si="99"/>
        <v>0</v>
      </c>
      <c r="DE63" s="30">
        <f t="shared" si="100"/>
        <v>0</v>
      </c>
      <c r="DF63" s="67">
        <f t="shared" si="101"/>
        <v>0</v>
      </c>
      <c r="DG63" s="67">
        <f t="shared" si="102"/>
        <v>0</v>
      </c>
      <c r="DH63" s="68">
        <f t="shared" si="103"/>
        <v>0</v>
      </c>
      <c r="DI63" s="2"/>
      <c r="DJ63" s="37" t="s">
        <v>500</v>
      </c>
      <c r="DK63" s="76" t="s">
        <v>499</v>
      </c>
      <c r="DL63" s="67">
        <f t="shared" si="70"/>
        <v>246.52090000000001</v>
      </c>
      <c r="DM63" s="67">
        <f t="shared" si="31"/>
        <v>946.16150000000005</v>
      </c>
      <c r="DN63" s="67">
        <f t="shared" si="32"/>
        <v>146.566</v>
      </c>
      <c r="DO63" s="67">
        <f t="shared" si="33"/>
        <v>0</v>
      </c>
      <c r="DP63" s="30">
        <f t="shared" si="34"/>
        <v>0</v>
      </c>
      <c r="DQ63" s="67">
        <f t="shared" si="35"/>
        <v>0</v>
      </c>
      <c r="DR63" s="67">
        <f t="shared" si="36"/>
        <v>0</v>
      </c>
      <c r="DS63" s="67">
        <f t="shared" si="37"/>
        <v>0</v>
      </c>
      <c r="DT63" s="30">
        <f t="shared" si="38"/>
        <v>318.8519</v>
      </c>
      <c r="DU63" s="67">
        <f t="shared" si="39"/>
        <v>287.24009999999998</v>
      </c>
      <c r="DV63" s="67">
        <f t="shared" si="40"/>
        <v>424.55</v>
      </c>
      <c r="DW63" s="68">
        <f t="shared" si="41"/>
        <v>5594.2139999999999</v>
      </c>
      <c r="DX63" s="2"/>
      <c r="DY63" s="81" t="s">
        <v>499</v>
      </c>
      <c r="DZ63" s="82"/>
      <c r="EA63" s="82"/>
      <c r="EB63" s="82"/>
      <c r="EC63" s="83"/>
      <c r="ED63" s="84">
        <v>1</v>
      </c>
      <c r="EE63" s="2"/>
      <c r="EF63" s="38" t="s">
        <v>499</v>
      </c>
      <c r="EG63" s="93" t="s">
        <v>499</v>
      </c>
      <c r="EH63" s="94"/>
      <c r="EI63" s="94"/>
      <c r="EJ63" s="94"/>
      <c r="EK63" s="94"/>
      <c r="EL63" s="94"/>
      <c r="EM63" s="94"/>
      <c r="EN63" s="94"/>
      <c r="EO63" s="94"/>
      <c r="EP63" s="94"/>
      <c r="EQ63" s="94"/>
      <c r="ER63" s="94"/>
      <c r="ES63" s="95"/>
      <c r="ET63" s="38" t="s">
        <v>499</v>
      </c>
      <c r="EU63" s="93" t="s">
        <v>499</v>
      </c>
      <c r="EV63" s="94"/>
      <c r="EW63" s="94"/>
      <c r="EX63" s="94"/>
      <c r="EY63" s="94"/>
      <c r="EZ63" s="94"/>
      <c r="FA63" s="94"/>
      <c r="FB63" s="94"/>
      <c r="FC63" s="94"/>
      <c r="FD63" s="94"/>
      <c r="FE63" s="94"/>
      <c r="FF63" s="94"/>
      <c r="FG63" s="95"/>
      <c r="FH63" s="38" t="s">
        <v>499</v>
      </c>
      <c r="FI63" s="93" t="s">
        <v>499</v>
      </c>
      <c r="FJ63" s="94"/>
      <c r="FK63" s="94"/>
      <c r="FL63" s="94"/>
      <c r="FM63" s="94"/>
      <c r="FN63" s="94"/>
      <c r="FO63" s="94"/>
      <c r="FP63" s="94"/>
      <c r="FQ63" s="94"/>
      <c r="FR63" s="94"/>
      <c r="FS63" s="94"/>
      <c r="FT63" s="94"/>
      <c r="FU63" s="95"/>
      <c r="FV63" s="38" t="s">
        <v>499</v>
      </c>
      <c r="FW63" s="93" t="s">
        <v>499</v>
      </c>
      <c r="FX63" s="94"/>
      <c r="FY63" s="94"/>
      <c r="FZ63" s="94"/>
      <c r="GA63" s="94"/>
      <c r="GB63" s="94"/>
      <c r="GC63" s="94"/>
      <c r="GD63" s="94"/>
      <c r="GE63" s="94"/>
      <c r="GF63" s="94"/>
      <c r="GG63" s="94"/>
      <c r="GH63" s="94"/>
      <c r="GI63" s="95"/>
      <c r="GJ63" s="38" t="s">
        <v>499</v>
      </c>
      <c r="GK63" s="93" t="s">
        <v>499</v>
      </c>
      <c r="GL63" s="94">
        <v>246.52090000000001</v>
      </c>
      <c r="GM63" s="94">
        <v>946.16150000000005</v>
      </c>
      <c r="GN63" s="94">
        <v>146.566</v>
      </c>
      <c r="GO63" s="94"/>
      <c r="GP63" s="94"/>
      <c r="GQ63" s="94"/>
      <c r="GR63" s="94"/>
      <c r="GS63" s="94"/>
      <c r="GT63" s="94">
        <v>318.8519</v>
      </c>
      <c r="GU63" s="94">
        <v>287.24009999999998</v>
      </c>
      <c r="GV63" s="94">
        <v>424.55</v>
      </c>
      <c r="GW63" s="95">
        <v>5594.2139999999999</v>
      </c>
      <c r="GX63" s="38"/>
    </row>
    <row r="64" spans="1:206" x14ac:dyDescent="0.35">
      <c r="A64" s="2"/>
      <c r="B64" s="2"/>
      <c r="C64" s="42" t="s">
        <v>530</v>
      </c>
      <c r="D64" s="43">
        <f t="shared" si="42"/>
        <v>6.4986994487239186E-2</v>
      </c>
      <c r="E64" s="43">
        <f t="shared" si="0"/>
        <v>7.2591893440648217E-2</v>
      </c>
      <c r="F64" s="43">
        <f t="shared" si="1"/>
        <v>1.2672425988630245E-2</v>
      </c>
      <c r="G64" s="43">
        <f t="shared" si="2"/>
        <v>0</v>
      </c>
      <c r="H64" s="43">
        <f t="shared" si="3"/>
        <v>1.3139630828499789E-3</v>
      </c>
      <c r="I64" s="43">
        <f t="shared" si="4"/>
        <v>7.9025843976392278E-3</v>
      </c>
      <c r="J64" s="43">
        <f t="shared" si="5"/>
        <v>0</v>
      </c>
      <c r="K64" s="43">
        <f t="shared" si="6"/>
        <v>0</v>
      </c>
      <c r="L64" s="43">
        <f t="shared" si="7"/>
        <v>2.9086706428002932E-2</v>
      </c>
      <c r="M64" s="43">
        <f t="shared" si="8"/>
        <v>3.2923063063436987E-2</v>
      </c>
      <c r="N64" s="43">
        <f t="shared" si="9"/>
        <v>0.18947810162932027</v>
      </c>
      <c r="O64" s="44">
        <f t="shared" si="10"/>
        <v>0.58904426748223304</v>
      </c>
      <c r="P64" s="115">
        <f t="shared" si="43"/>
        <v>1</v>
      </c>
      <c r="Q64" s="2"/>
      <c r="R64" s="42" t="s">
        <v>530</v>
      </c>
      <c r="S64" s="43">
        <f t="shared" si="44"/>
        <v>6.4986994487239172E-2</v>
      </c>
      <c r="T64" s="43">
        <f t="shared" si="45"/>
        <v>7.2591893440648203E-2</v>
      </c>
      <c r="U64" s="43">
        <f t="shared" si="46"/>
        <v>1.2672425988630243E-2</v>
      </c>
      <c r="V64" s="43">
        <f t="shared" si="47"/>
        <v>0</v>
      </c>
      <c r="W64" s="29">
        <f t="shared" si="48"/>
        <v>1.3139630828499786E-3</v>
      </c>
      <c r="X64" s="43">
        <f t="shared" si="49"/>
        <v>7.9025843976392261E-3</v>
      </c>
      <c r="Y64" s="43">
        <f t="shared" si="50"/>
        <v>0</v>
      </c>
      <c r="Z64" s="43">
        <f t="shared" si="51"/>
        <v>0</v>
      </c>
      <c r="AA64" s="29">
        <f t="shared" si="52"/>
        <v>2.9086706428002929E-2</v>
      </c>
      <c r="AB64" s="43">
        <f t="shared" si="53"/>
        <v>3.292306306343698E-2</v>
      </c>
      <c r="AC64" s="43">
        <f t="shared" si="54"/>
        <v>0.18947810162932024</v>
      </c>
      <c r="AD64" s="43">
        <f t="shared" si="55"/>
        <v>0.58904426748223293</v>
      </c>
      <c r="AE64" s="32">
        <f t="shared" si="56"/>
        <v>9.5387663998092079E-2</v>
      </c>
      <c r="AF64" s="53">
        <f t="shared" si="57"/>
        <v>0.11341754090172441</v>
      </c>
      <c r="AG64" s="53">
        <f t="shared" si="58"/>
        <v>0.20215052761795049</v>
      </c>
      <c r="AH64" s="53">
        <f t="shared" si="59"/>
        <v>0.58904426748223293</v>
      </c>
      <c r="AI64" s="34">
        <f t="shared" si="60"/>
        <v>0</v>
      </c>
      <c r="AJ64" s="35">
        <f t="shared" si="61"/>
        <v>0</v>
      </c>
      <c r="AK64" s="34">
        <f t="shared" ref="AK64:AK65" si="115">AK63</f>
        <v>0.15025131391651764</v>
      </c>
      <c r="AL64" s="35">
        <f t="shared" si="114"/>
        <v>9.2165474804892043E-3</v>
      </c>
      <c r="AM64" s="35">
        <f t="shared" si="64"/>
        <v>0.84053213860299314</v>
      </c>
      <c r="AN64" s="36">
        <v>1</v>
      </c>
      <c r="AO64" s="54">
        <v>1</v>
      </c>
      <c r="AP64" s="2"/>
      <c r="AQ64" s="42" t="s">
        <v>530</v>
      </c>
      <c r="AR64" s="43">
        <f t="shared" si="65"/>
        <v>0.21658397863913731</v>
      </c>
      <c r="AS64" s="43">
        <f t="shared" si="71"/>
        <v>0.24192903860804174</v>
      </c>
      <c r="AT64" s="43">
        <f t="shared" si="72"/>
        <v>4.223374940298983E-2</v>
      </c>
      <c r="AU64" s="43">
        <f t="shared" si="73"/>
        <v>0</v>
      </c>
      <c r="AV64" s="29">
        <f t="shared" si="74"/>
        <v>4.5819812986964545E-3</v>
      </c>
      <c r="AW64" s="43">
        <f t="shared" si="75"/>
        <v>2.7557466715742975E-2</v>
      </c>
      <c r="AX64" s="43">
        <f t="shared" si="76"/>
        <v>0</v>
      </c>
      <c r="AY64" s="43">
        <f t="shared" si="77"/>
        <v>0</v>
      </c>
      <c r="AZ64" s="29">
        <f t="shared" si="78"/>
        <v>1.6164523542318877E-2</v>
      </c>
      <c r="BA64" s="43">
        <f t="shared" si="79"/>
        <v>1.8296524197109504E-2</v>
      </c>
      <c r="BB64" s="43">
        <f t="shared" si="80"/>
        <v>0.10529976097920575</v>
      </c>
      <c r="BC64" s="44">
        <f t="shared" si="81"/>
        <v>0.3273529766167575</v>
      </c>
      <c r="BD64" s="2"/>
      <c r="BE64" s="42" t="s">
        <v>530</v>
      </c>
      <c r="BF64" s="62">
        <v>1</v>
      </c>
      <c r="BG64" s="62">
        <v>1</v>
      </c>
      <c r="BH64" s="62">
        <v>1</v>
      </c>
      <c r="BI64" s="62">
        <v>1</v>
      </c>
      <c r="BJ64" s="36">
        <v>1</v>
      </c>
      <c r="BK64" s="62">
        <v>1</v>
      </c>
      <c r="BL64" s="62">
        <v>1</v>
      </c>
      <c r="BM64" s="62">
        <v>1</v>
      </c>
      <c r="BN64" s="36">
        <v>1</v>
      </c>
      <c r="BO64" s="62">
        <v>1</v>
      </c>
      <c r="BP64" s="62">
        <v>1</v>
      </c>
      <c r="BQ64" s="54">
        <v>1</v>
      </c>
      <c r="BR64" s="2"/>
      <c r="BS64" s="42" t="s">
        <v>530</v>
      </c>
      <c r="BT64" s="67">
        <f t="shared" si="66"/>
        <v>4788.8369000000002</v>
      </c>
      <c r="BU64" s="67">
        <f t="shared" si="18"/>
        <v>5349.2354999999998</v>
      </c>
      <c r="BV64" s="67">
        <f t="shared" si="19"/>
        <v>933.82040000000006</v>
      </c>
      <c r="BW64" s="67">
        <f t="shared" si="20"/>
        <v>0</v>
      </c>
      <c r="BX64" s="30">
        <f t="shared" si="21"/>
        <v>101.3111</v>
      </c>
      <c r="BY64" s="67">
        <f t="shared" si="22"/>
        <v>609.31659999999999</v>
      </c>
      <c r="BZ64" s="67">
        <f t="shared" si="23"/>
        <v>0</v>
      </c>
      <c r="CA64" s="67">
        <f t="shared" si="24"/>
        <v>0</v>
      </c>
      <c r="CB64" s="30">
        <f t="shared" si="25"/>
        <v>357.40994000000001</v>
      </c>
      <c r="CC64" s="67">
        <f t="shared" si="26"/>
        <v>404.55009999999999</v>
      </c>
      <c r="CD64" s="67">
        <f t="shared" si="27"/>
        <v>2328.2580000000003</v>
      </c>
      <c r="CE64" s="68">
        <f t="shared" si="28"/>
        <v>7238.0239000000001</v>
      </c>
      <c r="CF64" s="2"/>
      <c r="CG64" s="37" t="str">
        <f t="shared" si="67"/>
        <v>anmet</v>
      </c>
      <c r="CH64" s="42" t="s">
        <v>530</v>
      </c>
      <c r="CI64" s="67">
        <f t="shared" si="68"/>
        <v>4788.8369000000002</v>
      </c>
      <c r="CJ64" s="67">
        <f t="shared" si="82"/>
        <v>5349.2354999999998</v>
      </c>
      <c r="CK64" s="67">
        <f t="shared" si="83"/>
        <v>933.82040000000006</v>
      </c>
      <c r="CL64" s="67">
        <f t="shared" si="84"/>
        <v>0</v>
      </c>
      <c r="CM64" s="30">
        <f t="shared" si="85"/>
        <v>101.3111</v>
      </c>
      <c r="CN64" s="67">
        <f t="shared" si="86"/>
        <v>609.31659999999999</v>
      </c>
      <c r="CO64" s="67">
        <f t="shared" si="87"/>
        <v>0</v>
      </c>
      <c r="CP64" s="67">
        <f t="shared" si="88"/>
        <v>0</v>
      </c>
      <c r="CQ64" s="30">
        <f t="shared" si="89"/>
        <v>357.40994000000001</v>
      </c>
      <c r="CR64" s="67">
        <f t="shared" si="90"/>
        <v>404.55009999999999</v>
      </c>
      <c r="CS64" s="67">
        <f t="shared" si="91"/>
        <v>2328.2580000000003</v>
      </c>
      <c r="CT64" s="68">
        <f t="shared" si="92"/>
        <v>7238.0239000000001</v>
      </c>
      <c r="CU64" s="2"/>
      <c r="CV64" s="42" t="s">
        <v>530</v>
      </c>
      <c r="CW64" s="67">
        <f t="shared" si="69"/>
        <v>0</v>
      </c>
      <c r="CX64" s="67">
        <f t="shared" si="93"/>
        <v>0</v>
      </c>
      <c r="CY64" s="67">
        <f t="shared" si="94"/>
        <v>0</v>
      </c>
      <c r="CZ64" s="67">
        <f t="shared" si="95"/>
        <v>0</v>
      </c>
      <c r="DA64" s="30">
        <f t="shared" si="96"/>
        <v>0</v>
      </c>
      <c r="DB64" s="67">
        <f t="shared" si="97"/>
        <v>0</v>
      </c>
      <c r="DC64" s="67">
        <f t="shared" si="98"/>
        <v>0</v>
      </c>
      <c r="DD64" s="67">
        <f t="shared" si="99"/>
        <v>0</v>
      </c>
      <c r="DE64" s="30">
        <f t="shared" si="100"/>
        <v>0</v>
      </c>
      <c r="DF64" s="67">
        <f t="shared" si="101"/>
        <v>0</v>
      </c>
      <c r="DG64" s="67">
        <f t="shared" si="102"/>
        <v>0</v>
      </c>
      <c r="DH64" s="68">
        <f t="shared" si="103"/>
        <v>0</v>
      </c>
      <c r="DI64" s="2"/>
      <c r="DJ64" s="37" t="s">
        <v>500</v>
      </c>
      <c r="DK64" s="76" t="s">
        <v>530</v>
      </c>
      <c r="DL64" s="67">
        <f t="shared" si="70"/>
        <v>0</v>
      </c>
      <c r="DM64" s="67">
        <f t="shared" si="31"/>
        <v>0</v>
      </c>
      <c r="DN64" s="67">
        <f t="shared" si="32"/>
        <v>0</v>
      </c>
      <c r="DO64" s="67">
        <f t="shared" si="33"/>
        <v>0</v>
      </c>
      <c r="DP64" s="30">
        <f t="shared" si="34"/>
        <v>0</v>
      </c>
      <c r="DQ64" s="67">
        <f t="shared" si="35"/>
        <v>0</v>
      </c>
      <c r="DR64" s="67">
        <f t="shared" si="36"/>
        <v>0</v>
      </c>
      <c r="DS64" s="67">
        <f t="shared" si="37"/>
        <v>0</v>
      </c>
      <c r="DT64" s="30">
        <f t="shared" si="38"/>
        <v>0</v>
      </c>
      <c r="DU64" s="67">
        <f t="shared" si="39"/>
        <v>0</v>
      </c>
      <c r="DV64" s="67">
        <f t="shared" si="40"/>
        <v>0</v>
      </c>
      <c r="DW64" s="68">
        <f t="shared" si="41"/>
        <v>0</v>
      </c>
      <c r="DX64" s="2"/>
      <c r="DY64" s="81" t="s">
        <v>530</v>
      </c>
      <c r="DZ64" s="82"/>
      <c r="EA64" s="82"/>
      <c r="EB64" s="82"/>
      <c r="EC64" s="83"/>
      <c r="ED64" s="84">
        <v>1</v>
      </c>
      <c r="EE64" s="2"/>
      <c r="EF64" s="38" t="s">
        <v>530</v>
      </c>
      <c r="EG64" s="93" t="s">
        <v>530</v>
      </c>
      <c r="EH64" s="94"/>
      <c r="EI64" s="94"/>
      <c r="EJ64" s="94"/>
      <c r="EK64" s="94"/>
      <c r="EL64" s="94"/>
      <c r="EM64" s="94"/>
      <c r="EN64" s="94"/>
      <c r="EO64" s="94"/>
      <c r="EP64" s="94"/>
      <c r="EQ64" s="94"/>
      <c r="ER64" s="94"/>
      <c r="ES64" s="95"/>
      <c r="ET64" s="38" t="s">
        <v>530</v>
      </c>
      <c r="EU64" s="93" t="s">
        <v>530</v>
      </c>
      <c r="EV64" s="94"/>
      <c r="EW64" s="94"/>
      <c r="EX64" s="94"/>
      <c r="EY64" s="94"/>
      <c r="EZ64" s="94"/>
      <c r="FA64" s="94"/>
      <c r="FB64" s="94"/>
      <c r="FC64" s="94"/>
      <c r="FD64" s="94"/>
      <c r="FE64" s="94"/>
      <c r="FF64" s="94"/>
      <c r="FG64" s="95"/>
      <c r="FH64" s="38" t="s">
        <v>530</v>
      </c>
      <c r="FI64" s="93" t="s">
        <v>530</v>
      </c>
      <c r="FJ64" s="94"/>
      <c r="FK64" s="94"/>
      <c r="FL64" s="94"/>
      <c r="FM64" s="94"/>
      <c r="FN64" s="94"/>
      <c r="FO64" s="94"/>
      <c r="FP64" s="94"/>
      <c r="FQ64" s="94"/>
      <c r="FR64" s="94"/>
      <c r="FS64" s="94"/>
      <c r="FT64" s="94"/>
      <c r="FU64" s="95"/>
      <c r="FV64" s="38" t="s">
        <v>530</v>
      </c>
      <c r="FW64" s="93" t="s">
        <v>530</v>
      </c>
      <c r="FX64" s="94"/>
      <c r="FY64" s="94"/>
      <c r="FZ64" s="94"/>
      <c r="GA64" s="94"/>
      <c r="GB64" s="94"/>
      <c r="GC64" s="94"/>
      <c r="GD64" s="94"/>
      <c r="GE64" s="94"/>
      <c r="GF64" s="94"/>
      <c r="GG64" s="94"/>
      <c r="GH64" s="94"/>
      <c r="GI64" s="95"/>
      <c r="GJ64" s="38" t="s">
        <v>530</v>
      </c>
      <c r="GK64" s="93" t="s">
        <v>530</v>
      </c>
      <c r="GL64" s="94"/>
      <c r="GM64" s="94"/>
      <c r="GN64" s="94"/>
      <c r="GO64" s="94"/>
      <c r="GP64" s="94"/>
      <c r="GQ64" s="94"/>
      <c r="GR64" s="94"/>
      <c r="GS64" s="94"/>
      <c r="GT64" s="94"/>
      <c r="GU64" s="94"/>
      <c r="GV64" s="94"/>
      <c r="GW64" s="95"/>
      <c r="GX64" s="38"/>
    </row>
    <row r="65" spans="1:206" x14ac:dyDescent="0.35">
      <c r="A65" s="2"/>
      <c r="B65" s="2"/>
      <c r="C65" s="42" t="s">
        <v>531</v>
      </c>
      <c r="D65" s="43">
        <f t="shared" si="42"/>
        <v>6.4986994487239186E-2</v>
      </c>
      <c r="E65" s="43">
        <f t="shared" si="0"/>
        <v>7.2591893440648217E-2</v>
      </c>
      <c r="F65" s="43">
        <f t="shared" si="1"/>
        <v>1.2672425988630245E-2</v>
      </c>
      <c r="G65" s="43">
        <f t="shared" si="2"/>
        <v>0</v>
      </c>
      <c r="H65" s="43">
        <f t="shared" si="3"/>
        <v>1.3139630828499789E-3</v>
      </c>
      <c r="I65" s="43">
        <f t="shared" si="4"/>
        <v>7.9025843976392278E-3</v>
      </c>
      <c r="J65" s="43">
        <f t="shared" si="5"/>
        <v>0</v>
      </c>
      <c r="K65" s="43">
        <f t="shared" si="6"/>
        <v>0</v>
      </c>
      <c r="L65" s="43">
        <f t="shared" si="7"/>
        <v>2.9086706428002932E-2</v>
      </c>
      <c r="M65" s="43">
        <f t="shared" si="8"/>
        <v>3.2923063063436987E-2</v>
      </c>
      <c r="N65" s="43">
        <f t="shared" si="9"/>
        <v>0.18947810162932027</v>
      </c>
      <c r="O65" s="44">
        <f t="shared" si="10"/>
        <v>0.58904426748223304</v>
      </c>
      <c r="P65" s="115">
        <f t="shared" si="43"/>
        <v>1</v>
      </c>
      <c r="Q65" s="2"/>
      <c r="R65" s="42" t="s">
        <v>531</v>
      </c>
      <c r="S65" s="43">
        <f t="shared" si="44"/>
        <v>6.4986994487239172E-2</v>
      </c>
      <c r="T65" s="43">
        <f t="shared" si="45"/>
        <v>7.2591893440648203E-2</v>
      </c>
      <c r="U65" s="43">
        <f t="shared" si="46"/>
        <v>1.2672425988630243E-2</v>
      </c>
      <c r="V65" s="43">
        <f t="shared" si="47"/>
        <v>0</v>
      </c>
      <c r="W65" s="29">
        <f t="shared" si="48"/>
        <v>1.3139630828499786E-3</v>
      </c>
      <c r="X65" s="43">
        <f t="shared" si="49"/>
        <v>7.9025843976392261E-3</v>
      </c>
      <c r="Y65" s="43">
        <f t="shared" si="50"/>
        <v>0</v>
      </c>
      <c r="Z65" s="43">
        <f t="shared" si="51"/>
        <v>0</v>
      </c>
      <c r="AA65" s="29">
        <f t="shared" si="52"/>
        <v>2.9086706428002929E-2</v>
      </c>
      <c r="AB65" s="43">
        <f t="shared" si="53"/>
        <v>3.292306306343698E-2</v>
      </c>
      <c r="AC65" s="43">
        <f t="shared" si="54"/>
        <v>0.18947810162932024</v>
      </c>
      <c r="AD65" s="43">
        <f t="shared" si="55"/>
        <v>0.58904426748223293</v>
      </c>
      <c r="AE65" s="32">
        <f t="shared" si="56"/>
        <v>9.5387663998092079E-2</v>
      </c>
      <c r="AF65" s="53">
        <f t="shared" si="57"/>
        <v>0.11341754090172441</v>
      </c>
      <c r="AG65" s="53">
        <f t="shared" si="58"/>
        <v>0.20215052761795049</v>
      </c>
      <c r="AH65" s="53">
        <f t="shared" si="59"/>
        <v>0.58904426748223293</v>
      </c>
      <c r="AI65" s="34">
        <f t="shared" si="60"/>
        <v>0</v>
      </c>
      <c r="AJ65" s="35">
        <f t="shared" si="61"/>
        <v>0</v>
      </c>
      <c r="AK65" s="34">
        <f t="shared" si="115"/>
        <v>0.15025131391651764</v>
      </c>
      <c r="AL65" s="35">
        <f t="shared" si="114"/>
        <v>9.2165474804892043E-3</v>
      </c>
      <c r="AM65" s="35">
        <f t="shared" si="64"/>
        <v>0.84053213860299314</v>
      </c>
      <c r="AN65" s="36">
        <v>1</v>
      </c>
      <c r="AO65" s="54">
        <v>1</v>
      </c>
      <c r="AP65" s="2"/>
      <c r="AQ65" s="42" t="s">
        <v>531</v>
      </c>
      <c r="AR65" s="43">
        <f t="shared" si="65"/>
        <v>0.21658397863913731</v>
      </c>
      <c r="AS65" s="43">
        <f t="shared" si="71"/>
        <v>0.24192903860804174</v>
      </c>
      <c r="AT65" s="43">
        <f t="shared" si="72"/>
        <v>4.223374940298983E-2</v>
      </c>
      <c r="AU65" s="43">
        <f t="shared" si="73"/>
        <v>0</v>
      </c>
      <c r="AV65" s="29">
        <f t="shared" si="74"/>
        <v>4.5819812986964545E-3</v>
      </c>
      <c r="AW65" s="43">
        <f t="shared" si="75"/>
        <v>2.7557466715742975E-2</v>
      </c>
      <c r="AX65" s="43">
        <f t="shared" si="76"/>
        <v>0</v>
      </c>
      <c r="AY65" s="43">
        <f t="shared" si="77"/>
        <v>0</v>
      </c>
      <c r="AZ65" s="29">
        <f t="shared" si="78"/>
        <v>1.6164523542318877E-2</v>
      </c>
      <c r="BA65" s="43">
        <f t="shared" si="79"/>
        <v>1.8296524197109504E-2</v>
      </c>
      <c r="BB65" s="43">
        <f t="shared" si="80"/>
        <v>0.10529976097920575</v>
      </c>
      <c r="BC65" s="44">
        <f t="shared" si="81"/>
        <v>0.3273529766167575</v>
      </c>
      <c r="BD65" s="2"/>
      <c r="BE65" s="42" t="s">
        <v>531</v>
      </c>
      <c r="BF65" s="62">
        <v>1</v>
      </c>
      <c r="BG65" s="62">
        <v>1</v>
      </c>
      <c r="BH65" s="62">
        <v>1</v>
      </c>
      <c r="BI65" s="62">
        <v>1</v>
      </c>
      <c r="BJ65" s="36">
        <v>1</v>
      </c>
      <c r="BK65" s="62">
        <v>1</v>
      </c>
      <c r="BL65" s="62">
        <v>1</v>
      </c>
      <c r="BM65" s="62">
        <v>1</v>
      </c>
      <c r="BN65" s="36">
        <v>1</v>
      </c>
      <c r="BO65" s="62">
        <v>1</v>
      </c>
      <c r="BP65" s="62">
        <v>1</v>
      </c>
      <c r="BQ65" s="54">
        <v>1</v>
      </c>
      <c r="BR65" s="2"/>
      <c r="BS65" s="42" t="s">
        <v>531</v>
      </c>
      <c r="BT65" s="67">
        <f t="shared" si="66"/>
        <v>4788.8369000000002</v>
      </c>
      <c r="BU65" s="67">
        <f t="shared" si="18"/>
        <v>5349.2354999999998</v>
      </c>
      <c r="BV65" s="67">
        <f t="shared" si="19"/>
        <v>933.82040000000006</v>
      </c>
      <c r="BW65" s="67">
        <f t="shared" si="20"/>
        <v>0</v>
      </c>
      <c r="BX65" s="30">
        <f t="shared" si="21"/>
        <v>101.3111</v>
      </c>
      <c r="BY65" s="67">
        <f t="shared" si="22"/>
        <v>609.31659999999999</v>
      </c>
      <c r="BZ65" s="67">
        <f t="shared" si="23"/>
        <v>0</v>
      </c>
      <c r="CA65" s="67">
        <f t="shared" si="24"/>
        <v>0</v>
      </c>
      <c r="CB65" s="30">
        <f t="shared" si="25"/>
        <v>357.40994000000001</v>
      </c>
      <c r="CC65" s="67">
        <f t="shared" si="26"/>
        <v>404.55009999999999</v>
      </c>
      <c r="CD65" s="67">
        <f t="shared" si="27"/>
        <v>2328.2580000000003</v>
      </c>
      <c r="CE65" s="68">
        <f t="shared" si="28"/>
        <v>7238.0239000000001</v>
      </c>
      <c r="CF65" s="2"/>
      <c r="CG65" s="37" t="str">
        <f t="shared" si="67"/>
        <v>anmet</v>
      </c>
      <c r="CH65" s="42" t="s">
        <v>531</v>
      </c>
      <c r="CI65" s="67">
        <f t="shared" si="68"/>
        <v>4788.8369000000002</v>
      </c>
      <c r="CJ65" s="67">
        <f t="shared" si="82"/>
        <v>5349.2354999999998</v>
      </c>
      <c r="CK65" s="67">
        <f t="shared" si="83"/>
        <v>933.82040000000006</v>
      </c>
      <c r="CL65" s="67">
        <f t="shared" si="84"/>
        <v>0</v>
      </c>
      <c r="CM65" s="30">
        <f t="shared" si="85"/>
        <v>101.3111</v>
      </c>
      <c r="CN65" s="67">
        <f t="shared" si="86"/>
        <v>609.31659999999999</v>
      </c>
      <c r="CO65" s="67">
        <f t="shared" si="87"/>
        <v>0</v>
      </c>
      <c r="CP65" s="67">
        <f t="shared" si="88"/>
        <v>0</v>
      </c>
      <c r="CQ65" s="30">
        <f t="shared" si="89"/>
        <v>357.40994000000001</v>
      </c>
      <c r="CR65" s="67">
        <f t="shared" si="90"/>
        <v>404.55009999999999</v>
      </c>
      <c r="CS65" s="67">
        <f t="shared" si="91"/>
        <v>2328.2580000000003</v>
      </c>
      <c r="CT65" s="68">
        <f t="shared" si="92"/>
        <v>7238.0239000000001</v>
      </c>
      <c r="CU65" s="2"/>
      <c r="CV65" s="42" t="s">
        <v>531</v>
      </c>
      <c r="CW65" s="67">
        <f t="shared" si="69"/>
        <v>0</v>
      </c>
      <c r="CX65" s="67">
        <f t="shared" si="93"/>
        <v>0</v>
      </c>
      <c r="CY65" s="67">
        <f t="shared" si="94"/>
        <v>0</v>
      </c>
      <c r="CZ65" s="67">
        <f t="shared" si="95"/>
        <v>0</v>
      </c>
      <c r="DA65" s="30">
        <f t="shared" si="96"/>
        <v>0</v>
      </c>
      <c r="DB65" s="67">
        <f t="shared" si="97"/>
        <v>0</v>
      </c>
      <c r="DC65" s="67">
        <f t="shared" si="98"/>
        <v>0</v>
      </c>
      <c r="DD65" s="67">
        <f t="shared" si="99"/>
        <v>0</v>
      </c>
      <c r="DE65" s="30">
        <f t="shared" si="100"/>
        <v>0</v>
      </c>
      <c r="DF65" s="67">
        <f t="shared" si="101"/>
        <v>0</v>
      </c>
      <c r="DG65" s="67">
        <f t="shared" si="102"/>
        <v>0</v>
      </c>
      <c r="DH65" s="68">
        <f t="shared" si="103"/>
        <v>0</v>
      </c>
      <c r="DI65" s="2"/>
      <c r="DJ65" s="37" t="s">
        <v>500</v>
      </c>
      <c r="DK65" s="76" t="s">
        <v>531</v>
      </c>
      <c r="DL65" s="67">
        <f t="shared" si="70"/>
        <v>0</v>
      </c>
      <c r="DM65" s="67">
        <f t="shared" si="31"/>
        <v>0</v>
      </c>
      <c r="DN65" s="67">
        <f t="shared" si="32"/>
        <v>0</v>
      </c>
      <c r="DO65" s="67">
        <f t="shared" si="33"/>
        <v>0</v>
      </c>
      <c r="DP65" s="30">
        <f t="shared" si="34"/>
        <v>0</v>
      </c>
      <c r="DQ65" s="67">
        <f t="shared" si="35"/>
        <v>0</v>
      </c>
      <c r="DR65" s="67">
        <f t="shared" si="36"/>
        <v>0</v>
      </c>
      <c r="DS65" s="67">
        <f t="shared" si="37"/>
        <v>0</v>
      </c>
      <c r="DT65" s="30">
        <f t="shared" si="38"/>
        <v>38.558039999999998</v>
      </c>
      <c r="DU65" s="67">
        <f t="shared" si="39"/>
        <v>0</v>
      </c>
      <c r="DV65" s="67">
        <f t="shared" si="40"/>
        <v>1903.7080000000001</v>
      </c>
      <c r="DW65" s="68">
        <f t="shared" si="41"/>
        <v>1189.6120000000001</v>
      </c>
      <c r="DX65" s="2"/>
      <c r="DY65" s="81" t="s">
        <v>531</v>
      </c>
      <c r="DZ65" s="82"/>
      <c r="EA65" s="82"/>
      <c r="EB65" s="82"/>
      <c r="EC65" s="83"/>
      <c r="ED65" s="84">
        <v>1</v>
      </c>
      <c r="EE65" s="2"/>
      <c r="EF65" s="38" t="s">
        <v>531</v>
      </c>
      <c r="EG65" s="93" t="s">
        <v>531</v>
      </c>
      <c r="EH65" s="94"/>
      <c r="EI65" s="94"/>
      <c r="EJ65" s="94"/>
      <c r="EK65" s="94"/>
      <c r="EL65" s="94"/>
      <c r="EM65" s="94"/>
      <c r="EN65" s="94"/>
      <c r="EO65" s="94"/>
      <c r="EP65" s="94"/>
      <c r="EQ65" s="94"/>
      <c r="ER65" s="94"/>
      <c r="ES65" s="95"/>
      <c r="ET65" s="38" t="s">
        <v>531</v>
      </c>
      <c r="EU65" s="93" t="s">
        <v>531</v>
      </c>
      <c r="EV65" s="94"/>
      <c r="EW65" s="94"/>
      <c r="EX65" s="94"/>
      <c r="EY65" s="94"/>
      <c r="EZ65" s="94"/>
      <c r="FA65" s="94"/>
      <c r="FB65" s="94"/>
      <c r="FC65" s="94"/>
      <c r="FD65" s="94"/>
      <c r="FE65" s="94"/>
      <c r="FF65" s="94"/>
      <c r="FG65" s="95"/>
      <c r="FH65" s="38" t="s">
        <v>531</v>
      </c>
      <c r="FI65" s="93" t="s">
        <v>531</v>
      </c>
      <c r="FJ65" s="94"/>
      <c r="FK65" s="94"/>
      <c r="FL65" s="94"/>
      <c r="FM65" s="94"/>
      <c r="FN65" s="94"/>
      <c r="FO65" s="94"/>
      <c r="FP65" s="94"/>
      <c r="FQ65" s="94"/>
      <c r="FR65" s="94"/>
      <c r="FS65" s="94"/>
      <c r="FT65" s="94"/>
      <c r="FU65" s="95"/>
      <c r="FV65" s="38" t="s">
        <v>531</v>
      </c>
      <c r="FW65" s="93" t="s">
        <v>531</v>
      </c>
      <c r="FX65" s="94"/>
      <c r="FY65" s="94"/>
      <c r="FZ65" s="94"/>
      <c r="GA65" s="94"/>
      <c r="GB65" s="94"/>
      <c r="GC65" s="94"/>
      <c r="GD65" s="94"/>
      <c r="GE65" s="94"/>
      <c r="GF65" s="94"/>
      <c r="GG65" s="94"/>
      <c r="GH65" s="94"/>
      <c r="GI65" s="95"/>
      <c r="GJ65" s="38" t="s">
        <v>531</v>
      </c>
      <c r="GK65" s="93" t="s">
        <v>531</v>
      </c>
      <c r="GL65" s="94"/>
      <c r="GM65" s="94"/>
      <c r="GN65" s="94"/>
      <c r="GO65" s="94"/>
      <c r="GP65" s="94"/>
      <c r="GQ65" s="94"/>
      <c r="GR65" s="94"/>
      <c r="GS65" s="94"/>
      <c r="GT65" s="94">
        <v>38.558039999999998</v>
      </c>
      <c r="GU65" s="94"/>
      <c r="GV65" s="94">
        <v>1903.7080000000001</v>
      </c>
      <c r="GW65" s="95">
        <v>1189.6120000000001</v>
      </c>
      <c r="GX65" s="38"/>
    </row>
    <row r="66" spans="1:206" x14ac:dyDescent="0.35">
      <c r="A66" s="2"/>
      <c r="B66" s="2"/>
      <c r="C66" s="42" t="s">
        <v>500</v>
      </c>
      <c r="D66" s="43">
        <f t="shared" si="42"/>
        <v>0.38217581667150008</v>
      </c>
      <c r="E66" s="43">
        <f t="shared" si="0"/>
        <v>0.42689874148369511</v>
      </c>
      <c r="F66" s="43">
        <f t="shared" si="1"/>
        <v>7.4524061154495988E-2</v>
      </c>
      <c r="G66" s="43">
        <f t="shared" si="2"/>
        <v>0</v>
      </c>
      <c r="H66" s="43">
        <f t="shared" si="3"/>
        <v>9.1977415799498526E-3</v>
      </c>
      <c r="I66" s="43">
        <f t="shared" si="4"/>
        <v>5.5318090783474584E-2</v>
      </c>
      <c r="J66" s="43">
        <f t="shared" si="5"/>
        <v>0</v>
      </c>
      <c r="K66" s="43">
        <f t="shared" si="6"/>
        <v>0</v>
      </c>
      <c r="L66" s="43">
        <f t="shared" si="7"/>
        <v>1.7955050648609089E-3</v>
      </c>
      <c r="M66" s="43">
        <f t="shared" si="8"/>
        <v>2.0323210751776719E-3</v>
      </c>
      <c r="N66" s="43">
        <f t="shared" si="9"/>
        <v>1.1696370367603459E-2</v>
      </c>
      <c r="O66" s="44">
        <f t="shared" si="10"/>
        <v>3.6361351819242382E-2</v>
      </c>
      <c r="P66" s="115">
        <f t="shared" si="43"/>
        <v>1</v>
      </c>
      <c r="Q66" s="2"/>
      <c r="R66" s="42" t="s">
        <v>500</v>
      </c>
      <c r="S66" s="43">
        <f t="shared" si="44"/>
        <v>0.38217581667150002</v>
      </c>
      <c r="T66" s="43">
        <f t="shared" si="45"/>
        <v>0.42689874148369505</v>
      </c>
      <c r="U66" s="43">
        <f t="shared" si="46"/>
        <v>7.4524061154495974E-2</v>
      </c>
      <c r="V66" s="43">
        <f t="shared" si="47"/>
        <v>0</v>
      </c>
      <c r="W66" s="29">
        <f t="shared" si="48"/>
        <v>9.1977415799498509E-3</v>
      </c>
      <c r="X66" s="43">
        <f t="shared" si="49"/>
        <v>5.5318090783474577E-2</v>
      </c>
      <c r="Y66" s="43">
        <f t="shared" si="50"/>
        <v>0</v>
      </c>
      <c r="Z66" s="43">
        <f t="shared" si="51"/>
        <v>0</v>
      </c>
      <c r="AA66" s="29">
        <f t="shared" si="52"/>
        <v>1.7955050648609087E-3</v>
      </c>
      <c r="AB66" s="43">
        <f t="shared" si="53"/>
        <v>2.0323210751776715E-3</v>
      </c>
      <c r="AC66" s="43">
        <f t="shared" si="54"/>
        <v>1.1696370367603457E-2</v>
      </c>
      <c r="AD66" s="43">
        <f t="shared" si="55"/>
        <v>3.6361351819242375E-2</v>
      </c>
      <c r="AE66" s="32">
        <f t="shared" si="56"/>
        <v>0.3931690633163108</v>
      </c>
      <c r="AF66" s="53">
        <f t="shared" si="57"/>
        <v>0.48424915334234725</v>
      </c>
      <c r="AG66" s="53">
        <f t="shared" si="58"/>
        <v>8.6220431522099433E-2</v>
      </c>
      <c r="AH66" s="53">
        <f t="shared" si="59"/>
        <v>3.6361351819242375E-2</v>
      </c>
      <c r="AI66" s="34">
        <f t="shared" si="60"/>
        <v>0.88359861930969119</v>
      </c>
      <c r="AJ66" s="35">
        <f t="shared" si="61"/>
        <v>6.4515832363424425E-2</v>
      </c>
      <c r="AK66" s="34">
        <f t="shared" si="62"/>
        <v>0.88359861930969119</v>
      </c>
      <c r="AL66" s="35">
        <f t="shared" si="63"/>
        <v>6.4515832363424425E-2</v>
      </c>
      <c r="AM66" s="35">
        <f t="shared" si="64"/>
        <v>5.1885548326884412E-2</v>
      </c>
      <c r="AN66" s="36">
        <v>1</v>
      </c>
      <c r="AO66" s="54">
        <v>1</v>
      </c>
      <c r="AP66" s="2"/>
      <c r="AQ66" s="42" t="s">
        <v>500</v>
      </c>
      <c r="AR66" s="43">
        <f t="shared" si="65"/>
        <v>0.21658397863913731</v>
      </c>
      <c r="AS66" s="43">
        <f t="shared" si="71"/>
        <v>0.24192903860804174</v>
      </c>
      <c r="AT66" s="43">
        <f t="shared" si="72"/>
        <v>4.223374940298983E-2</v>
      </c>
      <c r="AU66" s="43">
        <f t="shared" si="73"/>
        <v>0</v>
      </c>
      <c r="AV66" s="29">
        <f t="shared" si="74"/>
        <v>4.5819812986964545E-3</v>
      </c>
      <c r="AW66" s="43">
        <f t="shared" si="75"/>
        <v>2.7557466715742975E-2</v>
      </c>
      <c r="AX66" s="43">
        <f t="shared" si="76"/>
        <v>0</v>
      </c>
      <c r="AY66" s="43">
        <f t="shared" si="77"/>
        <v>0</v>
      </c>
      <c r="AZ66" s="29">
        <f t="shared" si="78"/>
        <v>1.6164523542318877E-2</v>
      </c>
      <c r="BA66" s="43">
        <f t="shared" si="79"/>
        <v>1.8296524197109504E-2</v>
      </c>
      <c r="BB66" s="43">
        <f t="shared" si="80"/>
        <v>0.10529976097920575</v>
      </c>
      <c r="BC66" s="44">
        <f t="shared" si="81"/>
        <v>0.3273529766167575</v>
      </c>
      <c r="BD66" s="2"/>
      <c r="BE66" s="42" t="s">
        <v>500</v>
      </c>
      <c r="BF66" s="62">
        <v>1</v>
      </c>
      <c r="BG66" s="62">
        <v>1</v>
      </c>
      <c r="BH66" s="62">
        <v>1</v>
      </c>
      <c r="BI66" s="62">
        <v>1</v>
      </c>
      <c r="BJ66" s="36">
        <v>1</v>
      </c>
      <c r="BK66" s="62">
        <v>1</v>
      </c>
      <c r="BL66" s="62">
        <v>1</v>
      </c>
      <c r="BM66" s="62">
        <v>1</v>
      </c>
      <c r="BN66" s="36">
        <v>1</v>
      </c>
      <c r="BO66" s="62">
        <v>1</v>
      </c>
      <c r="BP66" s="62">
        <v>1</v>
      </c>
      <c r="BQ66" s="54">
        <v>1</v>
      </c>
      <c r="BR66" s="2"/>
      <c r="BS66" s="42" t="s">
        <v>500</v>
      </c>
      <c r="BT66" s="67">
        <f t="shared" si="66"/>
        <v>4788.8369000000002</v>
      </c>
      <c r="BU66" s="67">
        <f t="shared" si="18"/>
        <v>5349.2354999999998</v>
      </c>
      <c r="BV66" s="67">
        <f t="shared" si="19"/>
        <v>933.82040000000006</v>
      </c>
      <c r="BW66" s="67">
        <f t="shared" si="20"/>
        <v>0</v>
      </c>
      <c r="BX66" s="30">
        <f t="shared" si="21"/>
        <v>101.3111</v>
      </c>
      <c r="BY66" s="67">
        <f t="shared" si="22"/>
        <v>609.31659999999999</v>
      </c>
      <c r="BZ66" s="67">
        <f t="shared" si="23"/>
        <v>0</v>
      </c>
      <c r="CA66" s="67">
        <f t="shared" si="24"/>
        <v>0</v>
      </c>
      <c r="CB66" s="30">
        <f t="shared" si="25"/>
        <v>357.40994000000001</v>
      </c>
      <c r="CC66" s="67">
        <f t="shared" si="26"/>
        <v>404.55009999999999</v>
      </c>
      <c r="CD66" s="67">
        <f t="shared" si="27"/>
        <v>2328.2580000000003</v>
      </c>
      <c r="CE66" s="68">
        <f t="shared" si="28"/>
        <v>7238.0239000000001</v>
      </c>
      <c r="CF66" s="2"/>
      <c r="CG66" s="37" t="str">
        <f t="shared" si="67"/>
        <v>anmet</v>
      </c>
      <c r="CH66" s="42" t="s">
        <v>500</v>
      </c>
      <c r="CI66" s="67">
        <f t="shared" si="68"/>
        <v>4788.8369000000002</v>
      </c>
      <c r="CJ66" s="67">
        <f t="shared" si="82"/>
        <v>5349.2354999999998</v>
      </c>
      <c r="CK66" s="67">
        <f t="shared" si="83"/>
        <v>933.82040000000006</v>
      </c>
      <c r="CL66" s="67">
        <f t="shared" si="84"/>
        <v>0</v>
      </c>
      <c r="CM66" s="30">
        <f t="shared" si="85"/>
        <v>101.3111</v>
      </c>
      <c r="CN66" s="67">
        <f t="shared" si="86"/>
        <v>609.31659999999999</v>
      </c>
      <c r="CO66" s="67">
        <f t="shared" si="87"/>
        <v>0</v>
      </c>
      <c r="CP66" s="67">
        <f t="shared" si="88"/>
        <v>0</v>
      </c>
      <c r="CQ66" s="30">
        <f t="shared" si="89"/>
        <v>357.40994000000001</v>
      </c>
      <c r="CR66" s="67">
        <f t="shared" si="90"/>
        <v>404.55009999999999</v>
      </c>
      <c r="CS66" s="67">
        <f t="shared" si="91"/>
        <v>2328.2580000000003</v>
      </c>
      <c r="CT66" s="68">
        <f t="shared" si="92"/>
        <v>7238.0239000000001</v>
      </c>
      <c r="CU66" s="2"/>
      <c r="CV66" s="42" t="s">
        <v>500</v>
      </c>
      <c r="CW66" s="67">
        <f t="shared" si="69"/>
        <v>4788.8369000000002</v>
      </c>
      <c r="CX66" s="67">
        <f t="shared" si="93"/>
        <v>5349.2354999999998</v>
      </c>
      <c r="CY66" s="67">
        <f t="shared" si="94"/>
        <v>933.82040000000006</v>
      </c>
      <c r="CZ66" s="67">
        <f t="shared" si="95"/>
        <v>0</v>
      </c>
      <c r="DA66" s="30">
        <f t="shared" si="96"/>
        <v>101.3111</v>
      </c>
      <c r="DB66" s="67">
        <f t="shared" si="97"/>
        <v>609.31659999999999</v>
      </c>
      <c r="DC66" s="67">
        <f t="shared" si="98"/>
        <v>0</v>
      </c>
      <c r="DD66" s="67">
        <f t="shared" si="99"/>
        <v>0</v>
      </c>
      <c r="DE66" s="30">
        <f t="shared" si="100"/>
        <v>357.40994000000001</v>
      </c>
      <c r="DF66" s="67">
        <f t="shared" si="101"/>
        <v>404.55009999999999</v>
      </c>
      <c r="DG66" s="67">
        <f t="shared" si="102"/>
        <v>2328.2580000000003</v>
      </c>
      <c r="DH66" s="68">
        <f t="shared" si="103"/>
        <v>7238.0239000000001</v>
      </c>
      <c r="DI66" s="2"/>
      <c r="DJ66" s="37" t="s">
        <v>500</v>
      </c>
      <c r="DK66" s="76" t="s">
        <v>500</v>
      </c>
      <c r="DL66" s="67">
        <f t="shared" si="70"/>
        <v>4542.3159999999998</v>
      </c>
      <c r="DM66" s="67">
        <f t="shared" si="31"/>
        <v>4403.0739999999996</v>
      </c>
      <c r="DN66" s="67">
        <f t="shared" si="32"/>
        <v>787.25440000000003</v>
      </c>
      <c r="DO66" s="67">
        <f t="shared" si="33"/>
        <v>0</v>
      </c>
      <c r="DP66" s="30">
        <f t="shared" si="34"/>
        <v>101.3111</v>
      </c>
      <c r="DQ66" s="67">
        <f t="shared" si="35"/>
        <v>609.31659999999999</v>
      </c>
      <c r="DR66" s="67">
        <f t="shared" si="36"/>
        <v>0</v>
      </c>
      <c r="DS66" s="67">
        <f t="shared" si="37"/>
        <v>0</v>
      </c>
      <c r="DT66" s="30">
        <f t="shared" si="38"/>
        <v>0</v>
      </c>
      <c r="DU66" s="67">
        <f t="shared" si="39"/>
        <v>117.31</v>
      </c>
      <c r="DV66" s="67">
        <f t="shared" si="40"/>
        <v>0</v>
      </c>
      <c r="DW66" s="68">
        <f t="shared" si="41"/>
        <v>454.1979</v>
      </c>
      <c r="DX66" s="2"/>
      <c r="DY66" s="81" t="s">
        <v>500</v>
      </c>
      <c r="DZ66" s="82"/>
      <c r="EA66" s="82"/>
      <c r="EB66" s="82"/>
      <c r="EC66" s="83"/>
      <c r="ED66" s="84">
        <v>1</v>
      </c>
      <c r="EE66" s="2"/>
      <c r="EF66" s="38" t="s">
        <v>500</v>
      </c>
      <c r="EG66" s="93" t="s">
        <v>500</v>
      </c>
      <c r="EH66" s="94"/>
      <c r="EI66" s="94"/>
      <c r="EJ66" s="94"/>
      <c r="EK66" s="94"/>
      <c r="EL66" s="94"/>
      <c r="EM66" s="94"/>
      <c r="EN66" s="94"/>
      <c r="EO66" s="94"/>
      <c r="EP66" s="94"/>
      <c r="EQ66" s="94"/>
      <c r="ER66" s="94"/>
      <c r="ES66" s="95"/>
      <c r="ET66" s="38" t="s">
        <v>500</v>
      </c>
      <c r="EU66" s="93" t="s">
        <v>500</v>
      </c>
      <c r="EV66" s="94"/>
      <c r="EW66" s="94"/>
      <c r="EX66" s="94"/>
      <c r="EY66" s="94"/>
      <c r="EZ66" s="94"/>
      <c r="FA66" s="94"/>
      <c r="FB66" s="94"/>
      <c r="FC66" s="94"/>
      <c r="FD66" s="94"/>
      <c r="FE66" s="94"/>
      <c r="FF66" s="94"/>
      <c r="FG66" s="95"/>
      <c r="FH66" s="38" t="s">
        <v>500</v>
      </c>
      <c r="FI66" s="93" t="s">
        <v>500</v>
      </c>
      <c r="FJ66" s="94"/>
      <c r="FK66" s="94"/>
      <c r="FL66" s="94"/>
      <c r="FM66" s="94"/>
      <c r="FN66" s="94"/>
      <c r="FO66" s="94"/>
      <c r="FP66" s="94"/>
      <c r="FQ66" s="94"/>
      <c r="FR66" s="94"/>
      <c r="FS66" s="94"/>
      <c r="FT66" s="94"/>
      <c r="FU66" s="95"/>
      <c r="FV66" s="38" t="s">
        <v>500</v>
      </c>
      <c r="FW66" s="93" t="s">
        <v>500</v>
      </c>
      <c r="FX66" s="94"/>
      <c r="FY66" s="94"/>
      <c r="FZ66" s="94"/>
      <c r="GA66" s="94"/>
      <c r="GB66" s="94"/>
      <c r="GC66" s="94"/>
      <c r="GD66" s="94"/>
      <c r="GE66" s="94"/>
      <c r="GF66" s="94"/>
      <c r="GG66" s="94"/>
      <c r="GH66" s="94"/>
      <c r="GI66" s="95"/>
      <c r="GJ66" s="38" t="s">
        <v>500</v>
      </c>
      <c r="GK66" s="93" t="s">
        <v>500</v>
      </c>
      <c r="GL66" s="94">
        <v>4542.3159999999998</v>
      </c>
      <c r="GM66" s="94">
        <v>4403.0739999999996</v>
      </c>
      <c r="GN66" s="94">
        <v>787.25440000000003</v>
      </c>
      <c r="GO66" s="94"/>
      <c r="GP66" s="94">
        <v>101.3111</v>
      </c>
      <c r="GQ66" s="94">
        <v>609.31659999999999</v>
      </c>
      <c r="GR66" s="94"/>
      <c r="GS66" s="94"/>
      <c r="GT66" s="94"/>
      <c r="GU66" s="94">
        <v>117.31</v>
      </c>
      <c r="GV66" s="94"/>
      <c r="GW66" s="95">
        <v>454.1979</v>
      </c>
      <c r="GX66" s="38"/>
    </row>
    <row r="67" spans="1:206" x14ac:dyDescent="0.35">
      <c r="A67" s="2"/>
      <c r="B67" s="2"/>
      <c r="C67" s="42" t="s">
        <v>532</v>
      </c>
      <c r="D67" s="43">
        <f t="shared" si="42"/>
        <v>0.38217581667150008</v>
      </c>
      <c r="E67" s="43">
        <f t="shared" si="0"/>
        <v>0.42689874148369511</v>
      </c>
      <c r="F67" s="43">
        <f t="shared" si="1"/>
        <v>7.4524061154495988E-2</v>
      </c>
      <c r="G67" s="43">
        <f t="shared" si="2"/>
        <v>0</v>
      </c>
      <c r="H67" s="43">
        <f t="shared" si="3"/>
        <v>9.1977415799498526E-3</v>
      </c>
      <c r="I67" s="43">
        <f t="shared" si="4"/>
        <v>5.5318090783474584E-2</v>
      </c>
      <c r="J67" s="43">
        <f t="shared" si="5"/>
        <v>0</v>
      </c>
      <c r="K67" s="43">
        <f t="shared" si="6"/>
        <v>0</v>
      </c>
      <c r="L67" s="43">
        <f t="shared" si="7"/>
        <v>1.7955050648609089E-3</v>
      </c>
      <c r="M67" s="43">
        <f t="shared" si="8"/>
        <v>2.0323210751776719E-3</v>
      </c>
      <c r="N67" s="43">
        <f t="shared" si="9"/>
        <v>1.1696370367603459E-2</v>
      </c>
      <c r="O67" s="44">
        <f t="shared" si="10"/>
        <v>3.6361351819242382E-2</v>
      </c>
      <c r="P67" s="115">
        <f t="shared" si="43"/>
        <v>1</v>
      </c>
      <c r="Q67" s="2"/>
      <c r="R67" s="42" t="s">
        <v>532</v>
      </c>
      <c r="S67" s="43">
        <f t="shared" si="44"/>
        <v>0.38217581667150002</v>
      </c>
      <c r="T67" s="43">
        <f t="shared" si="45"/>
        <v>0.42689874148369505</v>
      </c>
      <c r="U67" s="43">
        <f t="shared" si="46"/>
        <v>7.4524061154495974E-2</v>
      </c>
      <c r="V67" s="43">
        <f t="shared" si="47"/>
        <v>0</v>
      </c>
      <c r="W67" s="29">
        <f t="shared" si="48"/>
        <v>9.1977415799498509E-3</v>
      </c>
      <c r="X67" s="43">
        <f t="shared" si="49"/>
        <v>5.5318090783474577E-2</v>
      </c>
      <c r="Y67" s="43">
        <f t="shared" si="50"/>
        <v>0</v>
      </c>
      <c r="Z67" s="43">
        <f t="shared" si="51"/>
        <v>0</v>
      </c>
      <c r="AA67" s="29">
        <f t="shared" si="52"/>
        <v>1.7955050648609087E-3</v>
      </c>
      <c r="AB67" s="43">
        <f t="shared" si="53"/>
        <v>2.0323210751776715E-3</v>
      </c>
      <c r="AC67" s="43">
        <f t="shared" si="54"/>
        <v>1.1696370367603457E-2</v>
      </c>
      <c r="AD67" s="43">
        <f t="shared" si="55"/>
        <v>3.6361351819242375E-2</v>
      </c>
      <c r="AE67" s="32">
        <f t="shared" si="56"/>
        <v>0.3931690633163108</v>
      </c>
      <c r="AF67" s="53">
        <f t="shared" si="57"/>
        <v>0.48424915334234725</v>
      </c>
      <c r="AG67" s="53">
        <f t="shared" si="58"/>
        <v>8.6220431522099433E-2</v>
      </c>
      <c r="AH67" s="53">
        <f t="shared" si="59"/>
        <v>3.6361351819242375E-2</v>
      </c>
      <c r="AI67" s="34">
        <f t="shared" si="60"/>
        <v>0</v>
      </c>
      <c r="AJ67" s="35">
        <f t="shared" si="61"/>
        <v>0</v>
      </c>
      <c r="AK67" s="34">
        <f>AK66</f>
        <v>0.88359861930969119</v>
      </c>
      <c r="AL67" s="35">
        <f t="shared" ref="AL67:AL68" si="116">AL66</f>
        <v>6.4515832363424425E-2</v>
      </c>
      <c r="AM67" s="35">
        <f t="shared" si="64"/>
        <v>5.1885548326884412E-2</v>
      </c>
      <c r="AN67" s="36">
        <v>1</v>
      </c>
      <c r="AO67" s="54">
        <v>1</v>
      </c>
      <c r="AP67" s="2"/>
      <c r="AQ67" s="42" t="s">
        <v>532</v>
      </c>
      <c r="AR67" s="43">
        <f t="shared" si="65"/>
        <v>0.21658397863913731</v>
      </c>
      <c r="AS67" s="43">
        <f t="shared" si="71"/>
        <v>0.24192903860804174</v>
      </c>
      <c r="AT67" s="43">
        <f t="shared" si="72"/>
        <v>4.223374940298983E-2</v>
      </c>
      <c r="AU67" s="43">
        <f t="shared" si="73"/>
        <v>0</v>
      </c>
      <c r="AV67" s="29">
        <f t="shared" si="74"/>
        <v>4.5819812986964545E-3</v>
      </c>
      <c r="AW67" s="43">
        <f t="shared" si="75"/>
        <v>2.7557466715742975E-2</v>
      </c>
      <c r="AX67" s="43">
        <f t="shared" si="76"/>
        <v>0</v>
      </c>
      <c r="AY67" s="43">
        <f t="shared" si="77"/>
        <v>0</v>
      </c>
      <c r="AZ67" s="29">
        <f t="shared" si="78"/>
        <v>1.6164523542318877E-2</v>
      </c>
      <c r="BA67" s="43">
        <f t="shared" si="79"/>
        <v>1.8296524197109504E-2</v>
      </c>
      <c r="BB67" s="43">
        <f t="shared" si="80"/>
        <v>0.10529976097920575</v>
      </c>
      <c r="BC67" s="44">
        <f t="shared" si="81"/>
        <v>0.3273529766167575</v>
      </c>
      <c r="BD67" s="2"/>
      <c r="BE67" s="42" t="s">
        <v>532</v>
      </c>
      <c r="BF67" s="62">
        <v>1</v>
      </c>
      <c r="BG67" s="62">
        <v>1</v>
      </c>
      <c r="BH67" s="62">
        <v>1</v>
      </c>
      <c r="BI67" s="62">
        <v>1</v>
      </c>
      <c r="BJ67" s="36">
        <v>1</v>
      </c>
      <c r="BK67" s="62">
        <v>1</v>
      </c>
      <c r="BL67" s="62">
        <v>1</v>
      </c>
      <c r="BM67" s="62">
        <v>1</v>
      </c>
      <c r="BN67" s="36">
        <v>1</v>
      </c>
      <c r="BO67" s="62">
        <v>1</v>
      </c>
      <c r="BP67" s="62">
        <v>1</v>
      </c>
      <c r="BQ67" s="54">
        <v>1</v>
      </c>
      <c r="BR67" s="2"/>
      <c r="BS67" s="42" t="s">
        <v>532</v>
      </c>
      <c r="BT67" s="67">
        <f t="shared" si="66"/>
        <v>4788.8369000000002</v>
      </c>
      <c r="BU67" s="67">
        <f t="shared" si="18"/>
        <v>5349.2354999999998</v>
      </c>
      <c r="BV67" s="67">
        <f t="shared" si="19"/>
        <v>933.82040000000006</v>
      </c>
      <c r="BW67" s="67">
        <f t="shared" si="20"/>
        <v>0</v>
      </c>
      <c r="BX67" s="30">
        <f t="shared" si="21"/>
        <v>101.3111</v>
      </c>
      <c r="BY67" s="67">
        <f t="shared" si="22"/>
        <v>609.31659999999999</v>
      </c>
      <c r="BZ67" s="67">
        <f t="shared" si="23"/>
        <v>0</v>
      </c>
      <c r="CA67" s="67">
        <f t="shared" si="24"/>
        <v>0</v>
      </c>
      <c r="CB67" s="30">
        <f t="shared" si="25"/>
        <v>357.40994000000001</v>
      </c>
      <c r="CC67" s="67">
        <f t="shared" si="26"/>
        <v>404.55009999999999</v>
      </c>
      <c r="CD67" s="67">
        <f t="shared" si="27"/>
        <v>2328.2580000000003</v>
      </c>
      <c r="CE67" s="68">
        <f t="shared" si="28"/>
        <v>7238.0239000000001</v>
      </c>
      <c r="CF67" s="2"/>
      <c r="CG67" s="37" t="str">
        <f t="shared" si="67"/>
        <v>anmet</v>
      </c>
      <c r="CH67" s="42" t="s">
        <v>532</v>
      </c>
      <c r="CI67" s="67">
        <f t="shared" si="68"/>
        <v>4788.8369000000002</v>
      </c>
      <c r="CJ67" s="67">
        <f t="shared" si="82"/>
        <v>5349.2354999999998</v>
      </c>
      <c r="CK67" s="67">
        <f t="shared" si="83"/>
        <v>933.82040000000006</v>
      </c>
      <c r="CL67" s="67">
        <f t="shared" si="84"/>
        <v>0</v>
      </c>
      <c r="CM67" s="30">
        <f t="shared" si="85"/>
        <v>101.3111</v>
      </c>
      <c r="CN67" s="67">
        <f t="shared" si="86"/>
        <v>609.31659999999999</v>
      </c>
      <c r="CO67" s="67">
        <f t="shared" si="87"/>
        <v>0</v>
      </c>
      <c r="CP67" s="67">
        <f t="shared" si="88"/>
        <v>0</v>
      </c>
      <c r="CQ67" s="30">
        <f t="shared" si="89"/>
        <v>357.40994000000001</v>
      </c>
      <c r="CR67" s="67">
        <f t="shared" si="90"/>
        <v>404.55009999999999</v>
      </c>
      <c r="CS67" s="67">
        <f t="shared" si="91"/>
        <v>2328.2580000000003</v>
      </c>
      <c r="CT67" s="68">
        <f t="shared" si="92"/>
        <v>7238.0239000000001</v>
      </c>
      <c r="CU67" s="2"/>
      <c r="CV67" s="42" t="s">
        <v>532</v>
      </c>
      <c r="CW67" s="67">
        <f t="shared" si="69"/>
        <v>0</v>
      </c>
      <c r="CX67" s="67">
        <f t="shared" si="93"/>
        <v>0</v>
      </c>
      <c r="CY67" s="67">
        <f t="shared" si="94"/>
        <v>0</v>
      </c>
      <c r="CZ67" s="67">
        <f t="shared" si="95"/>
        <v>0</v>
      </c>
      <c r="DA67" s="30">
        <f t="shared" si="96"/>
        <v>0</v>
      </c>
      <c r="DB67" s="67">
        <f t="shared" si="97"/>
        <v>0</v>
      </c>
      <c r="DC67" s="67">
        <f t="shared" si="98"/>
        <v>0</v>
      </c>
      <c r="DD67" s="67">
        <f t="shared" si="99"/>
        <v>0</v>
      </c>
      <c r="DE67" s="30">
        <f t="shared" si="100"/>
        <v>0</v>
      </c>
      <c r="DF67" s="67">
        <f t="shared" si="101"/>
        <v>0</v>
      </c>
      <c r="DG67" s="67">
        <f t="shared" si="102"/>
        <v>0</v>
      </c>
      <c r="DH67" s="68">
        <f t="shared" si="103"/>
        <v>0</v>
      </c>
      <c r="DI67" s="2"/>
      <c r="DJ67" s="37" t="s">
        <v>500</v>
      </c>
      <c r="DK67" s="76" t="s">
        <v>532</v>
      </c>
      <c r="DL67" s="67">
        <f t="shared" si="70"/>
        <v>0</v>
      </c>
      <c r="DM67" s="67">
        <f t="shared" si="31"/>
        <v>0</v>
      </c>
      <c r="DN67" s="67">
        <f t="shared" si="32"/>
        <v>0</v>
      </c>
      <c r="DO67" s="67">
        <f t="shared" si="33"/>
        <v>0</v>
      </c>
      <c r="DP67" s="30">
        <f t="shared" si="34"/>
        <v>0</v>
      </c>
      <c r="DQ67" s="67">
        <f t="shared" si="35"/>
        <v>0</v>
      </c>
      <c r="DR67" s="67">
        <f t="shared" si="36"/>
        <v>0</v>
      </c>
      <c r="DS67" s="67">
        <f t="shared" si="37"/>
        <v>0</v>
      </c>
      <c r="DT67" s="30">
        <f t="shared" si="38"/>
        <v>0</v>
      </c>
      <c r="DU67" s="67">
        <f t="shared" si="39"/>
        <v>0</v>
      </c>
      <c r="DV67" s="67">
        <f t="shared" si="40"/>
        <v>0</v>
      </c>
      <c r="DW67" s="68">
        <f t="shared" si="41"/>
        <v>0</v>
      </c>
      <c r="DX67" s="2"/>
      <c r="DY67" s="81" t="s">
        <v>532</v>
      </c>
      <c r="DZ67" s="82"/>
      <c r="EA67" s="82"/>
      <c r="EB67" s="82"/>
      <c r="EC67" s="83"/>
      <c r="ED67" s="84">
        <v>1</v>
      </c>
      <c r="EE67" s="2"/>
      <c r="EF67" s="38" t="s">
        <v>532</v>
      </c>
      <c r="EG67" s="93" t="s">
        <v>532</v>
      </c>
      <c r="EH67" s="94"/>
      <c r="EI67" s="94"/>
      <c r="EJ67" s="94"/>
      <c r="EK67" s="94"/>
      <c r="EL67" s="94"/>
      <c r="EM67" s="94"/>
      <c r="EN67" s="94"/>
      <c r="EO67" s="94"/>
      <c r="EP67" s="94"/>
      <c r="EQ67" s="94"/>
      <c r="ER67" s="94"/>
      <c r="ES67" s="95"/>
      <c r="ET67" s="38" t="s">
        <v>532</v>
      </c>
      <c r="EU67" s="93" t="s">
        <v>532</v>
      </c>
      <c r="EV67" s="94"/>
      <c r="EW67" s="94"/>
      <c r="EX67" s="94"/>
      <c r="EY67" s="94"/>
      <c r="EZ67" s="94"/>
      <c r="FA67" s="94"/>
      <c r="FB67" s="94"/>
      <c r="FC67" s="94"/>
      <c r="FD67" s="94"/>
      <c r="FE67" s="94"/>
      <c r="FF67" s="94"/>
      <c r="FG67" s="95"/>
      <c r="FH67" s="38" t="s">
        <v>532</v>
      </c>
      <c r="FI67" s="93" t="s">
        <v>532</v>
      </c>
      <c r="FJ67" s="94"/>
      <c r="FK67" s="94"/>
      <c r="FL67" s="94"/>
      <c r="FM67" s="94"/>
      <c r="FN67" s="94"/>
      <c r="FO67" s="94"/>
      <c r="FP67" s="94"/>
      <c r="FQ67" s="94"/>
      <c r="FR67" s="94"/>
      <c r="FS67" s="94"/>
      <c r="FT67" s="94"/>
      <c r="FU67" s="95"/>
      <c r="FV67" s="38" t="s">
        <v>532</v>
      </c>
      <c r="FW67" s="93" t="s">
        <v>532</v>
      </c>
      <c r="FX67" s="94"/>
      <c r="FY67" s="94"/>
      <c r="FZ67" s="94"/>
      <c r="GA67" s="94"/>
      <c r="GB67" s="94"/>
      <c r="GC67" s="94"/>
      <c r="GD67" s="94"/>
      <c r="GE67" s="94"/>
      <c r="GF67" s="94"/>
      <c r="GG67" s="94"/>
      <c r="GH67" s="94"/>
      <c r="GI67" s="95"/>
      <c r="GJ67" s="38" t="s">
        <v>532</v>
      </c>
      <c r="GK67" s="93" t="s">
        <v>532</v>
      </c>
      <c r="GL67" s="94"/>
      <c r="GM67" s="94"/>
      <c r="GN67" s="94"/>
      <c r="GO67" s="94"/>
      <c r="GP67" s="94"/>
      <c r="GQ67" s="94"/>
      <c r="GR67" s="94"/>
      <c r="GS67" s="94"/>
      <c r="GT67" s="94"/>
      <c r="GU67" s="94"/>
      <c r="GV67" s="94"/>
      <c r="GW67" s="95"/>
      <c r="GX67" s="38"/>
    </row>
    <row r="68" spans="1:206" x14ac:dyDescent="0.35">
      <c r="A68" s="2"/>
      <c r="B68" s="2"/>
      <c r="C68" s="42" t="s">
        <v>533</v>
      </c>
      <c r="D68" s="43">
        <f t="shared" si="42"/>
        <v>0.38217581667150008</v>
      </c>
      <c r="E68" s="43">
        <f t="shared" si="0"/>
        <v>0.42689874148369511</v>
      </c>
      <c r="F68" s="43">
        <f t="shared" si="1"/>
        <v>7.4524061154495988E-2</v>
      </c>
      <c r="G68" s="43">
        <f t="shared" si="2"/>
        <v>0</v>
      </c>
      <c r="H68" s="43">
        <f t="shared" si="3"/>
        <v>9.1977415799498526E-3</v>
      </c>
      <c r="I68" s="43">
        <f t="shared" si="4"/>
        <v>5.5318090783474584E-2</v>
      </c>
      <c r="J68" s="43">
        <f t="shared" si="5"/>
        <v>0</v>
      </c>
      <c r="K68" s="43">
        <f t="shared" si="6"/>
        <v>0</v>
      </c>
      <c r="L68" s="43">
        <f t="shared" si="7"/>
        <v>1.7955050648609089E-3</v>
      </c>
      <c r="M68" s="43">
        <f t="shared" si="8"/>
        <v>2.0323210751776719E-3</v>
      </c>
      <c r="N68" s="43">
        <f t="shared" si="9"/>
        <v>1.1696370367603459E-2</v>
      </c>
      <c r="O68" s="44">
        <f t="shared" si="10"/>
        <v>3.6361351819242382E-2</v>
      </c>
      <c r="P68" s="115">
        <f t="shared" si="43"/>
        <v>1</v>
      </c>
      <c r="Q68" s="2"/>
      <c r="R68" s="42" t="s">
        <v>533</v>
      </c>
      <c r="S68" s="43">
        <f t="shared" si="44"/>
        <v>0.38217581667150002</v>
      </c>
      <c r="T68" s="43">
        <f t="shared" si="45"/>
        <v>0.42689874148369505</v>
      </c>
      <c r="U68" s="43">
        <f t="shared" si="46"/>
        <v>7.4524061154495974E-2</v>
      </c>
      <c r="V68" s="43">
        <f t="shared" si="47"/>
        <v>0</v>
      </c>
      <c r="W68" s="29">
        <f t="shared" si="48"/>
        <v>9.1977415799498509E-3</v>
      </c>
      <c r="X68" s="43">
        <f t="shared" si="49"/>
        <v>5.5318090783474577E-2</v>
      </c>
      <c r="Y68" s="43">
        <f t="shared" si="50"/>
        <v>0</v>
      </c>
      <c r="Z68" s="43">
        <f t="shared" si="51"/>
        <v>0</v>
      </c>
      <c r="AA68" s="29">
        <f t="shared" si="52"/>
        <v>1.7955050648609087E-3</v>
      </c>
      <c r="AB68" s="43">
        <f t="shared" si="53"/>
        <v>2.0323210751776715E-3</v>
      </c>
      <c r="AC68" s="43">
        <f t="shared" si="54"/>
        <v>1.1696370367603457E-2</v>
      </c>
      <c r="AD68" s="43">
        <f t="shared" si="55"/>
        <v>3.6361351819242375E-2</v>
      </c>
      <c r="AE68" s="32">
        <f t="shared" si="56"/>
        <v>0.3931690633163108</v>
      </c>
      <c r="AF68" s="53">
        <f t="shared" si="57"/>
        <v>0.48424915334234725</v>
      </c>
      <c r="AG68" s="53">
        <f t="shared" si="58"/>
        <v>8.6220431522099433E-2</v>
      </c>
      <c r="AH68" s="53">
        <f t="shared" si="59"/>
        <v>3.6361351819242375E-2</v>
      </c>
      <c r="AI68" s="34">
        <f t="shared" si="60"/>
        <v>0</v>
      </c>
      <c r="AJ68" s="35">
        <f t="shared" si="61"/>
        <v>0</v>
      </c>
      <c r="AK68" s="34">
        <f t="shared" ref="AK68" si="117">AK67</f>
        <v>0.88359861930969119</v>
      </c>
      <c r="AL68" s="35">
        <f t="shared" si="116"/>
        <v>6.4515832363424425E-2</v>
      </c>
      <c r="AM68" s="35">
        <f t="shared" si="64"/>
        <v>5.1885548326884412E-2</v>
      </c>
      <c r="AN68" s="36">
        <v>1</v>
      </c>
      <c r="AO68" s="54">
        <v>1</v>
      </c>
      <c r="AP68" s="2"/>
      <c r="AQ68" s="42" t="s">
        <v>533</v>
      </c>
      <c r="AR68" s="43">
        <f t="shared" si="65"/>
        <v>0.21658397863913731</v>
      </c>
      <c r="AS68" s="43">
        <f t="shared" si="71"/>
        <v>0.24192903860804174</v>
      </c>
      <c r="AT68" s="43">
        <f t="shared" si="72"/>
        <v>4.223374940298983E-2</v>
      </c>
      <c r="AU68" s="43">
        <f t="shared" si="73"/>
        <v>0</v>
      </c>
      <c r="AV68" s="29">
        <f t="shared" si="74"/>
        <v>4.5819812986964545E-3</v>
      </c>
      <c r="AW68" s="43">
        <f t="shared" si="75"/>
        <v>2.7557466715742975E-2</v>
      </c>
      <c r="AX68" s="43">
        <f t="shared" si="76"/>
        <v>0</v>
      </c>
      <c r="AY68" s="43">
        <f t="shared" si="77"/>
        <v>0</v>
      </c>
      <c r="AZ68" s="29">
        <f t="shared" si="78"/>
        <v>1.6164523542318877E-2</v>
      </c>
      <c r="BA68" s="43">
        <f t="shared" si="79"/>
        <v>1.8296524197109504E-2</v>
      </c>
      <c r="BB68" s="43">
        <f t="shared" si="80"/>
        <v>0.10529976097920575</v>
      </c>
      <c r="BC68" s="44">
        <f t="shared" si="81"/>
        <v>0.3273529766167575</v>
      </c>
      <c r="BD68" s="2"/>
      <c r="BE68" s="42" t="s">
        <v>533</v>
      </c>
      <c r="BF68" s="62">
        <v>1</v>
      </c>
      <c r="BG68" s="62">
        <v>1</v>
      </c>
      <c r="BH68" s="62">
        <v>1</v>
      </c>
      <c r="BI68" s="62">
        <v>1</v>
      </c>
      <c r="BJ68" s="36">
        <v>1</v>
      </c>
      <c r="BK68" s="62">
        <v>1</v>
      </c>
      <c r="BL68" s="62">
        <v>1</v>
      </c>
      <c r="BM68" s="62">
        <v>1</v>
      </c>
      <c r="BN68" s="36">
        <v>1</v>
      </c>
      <c r="BO68" s="62">
        <v>1</v>
      </c>
      <c r="BP68" s="62">
        <v>1</v>
      </c>
      <c r="BQ68" s="54">
        <v>1</v>
      </c>
      <c r="BR68" s="2"/>
      <c r="BS68" s="42" t="s">
        <v>533</v>
      </c>
      <c r="BT68" s="67">
        <f t="shared" si="66"/>
        <v>4788.8369000000002</v>
      </c>
      <c r="BU68" s="67">
        <f t="shared" si="18"/>
        <v>5349.2354999999998</v>
      </c>
      <c r="BV68" s="67">
        <f t="shared" si="19"/>
        <v>933.82040000000006</v>
      </c>
      <c r="BW68" s="67">
        <f t="shared" si="20"/>
        <v>0</v>
      </c>
      <c r="BX68" s="30">
        <f t="shared" si="21"/>
        <v>101.3111</v>
      </c>
      <c r="BY68" s="67">
        <f t="shared" si="22"/>
        <v>609.31659999999999</v>
      </c>
      <c r="BZ68" s="67">
        <f t="shared" si="23"/>
        <v>0</v>
      </c>
      <c r="CA68" s="67">
        <f t="shared" si="24"/>
        <v>0</v>
      </c>
      <c r="CB68" s="30">
        <f t="shared" si="25"/>
        <v>357.40994000000001</v>
      </c>
      <c r="CC68" s="67">
        <f t="shared" si="26"/>
        <v>404.55009999999999</v>
      </c>
      <c r="CD68" s="67">
        <f t="shared" si="27"/>
        <v>2328.2580000000003</v>
      </c>
      <c r="CE68" s="68">
        <f t="shared" si="28"/>
        <v>7238.0239000000001</v>
      </c>
      <c r="CF68" s="2"/>
      <c r="CG68" s="37" t="str">
        <f t="shared" si="67"/>
        <v>anmet</v>
      </c>
      <c r="CH68" s="42" t="s">
        <v>533</v>
      </c>
      <c r="CI68" s="67">
        <f t="shared" si="68"/>
        <v>4788.8369000000002</v>
      </c>
      <c r="CJ68" s="67">
        <f t="shared" si="82"/>
        <v>5349.2354999999998</v>
      </c>
      <c r="CK68" s="67">
        <f t="shared" si="83"/>
        <v>933.82040000000006</v>
      </c>
      <c r="CL68" s="67">
        <f t="shared" si="84"/>
        <v>0</v>
      </c>
      <c r="CM68" s="30">
        <f t="shared" si="85"/>
        <v>101.3111</v>
      </c>
      <c r="CN68" s="67">
        <f t="shared" si="86"/>
        <v>609.31659999999999</v>
      </c>
      <c r="CO68" s="67">
        <f t="shared" si="87"/>
        <v>0</v>
      </c>
      <c r="CP68" s="67">
        <f t="shared" si="88"/>
        <v>0</v>
      </c>
      <c r="CQ68" s="30">
        <f t="shared" si="89"/>
        <v>357.40994000000001</v>
      </c>
      <c r="CR68" s="67">
        <f t="shared" si="90"/>
        <v>404.55009999999999</v>
      </c>
      <c r="CS68" s="67">
        <f t="shared" si="91"/>
        <v>2328.2580000000003</v>
      </c>
      <c r="CT68" s="68">
        <f t="shared" si="92"/>
        <v>7238.0239000000001</v>
      </c>
      <c r="CU68" s="2"/>
      <c r="CV68" s="42" t="s">
        <v>533</v>
      </c>
      <c r="CW68" s="67">
        <f t="shared" si="69"/>
        <v>0</v>
      </c>
      <c r="CX68" s="67">
        <f t="shared" si="93"/>
        <v>0</v>
      </c>
      <c r="CY68" s="67">
        <f t="shared" si="94"/>
        <v>0</v>
      </c>
      <c r="CZ68" s="67">
        <f t="shared" si="95"/>
        <v>0</v>
      </c>
      <c r="DA68" s="30">
        <f t="shared" si="96"/>
        <v>0</v>
      </c>
      <c r="DB68" s="67">
        <f t="shared" si="97"/>
        <v>0</v>
      </c>
      <c r="DC68" s="67">
        <f t="shared" si="98"/>
        <v>0</v>
      </c>
      <c r="DD68" s="67">
        <f t="shared" si="99"/>
        <v>0</v>
      </c>
      <c r="DE68" s="30">
        <f t="shared" si="100"/>
        <v>0</v>
      </c>
      <c r="DF68" s="67">
        <f t="shared" si="101"/>
        <v>0</v>
      </c>
      <c r="DG68" s="67">
        <f t="shared" si="102"/>
        <v>0</v>
      </c>
      <c r="DH68" s="68">
        <f t="shared" si="103"/>
        <v>0</v>
      </c>
      <c r="DI68" s="2"/>
      <c r="DJ68" s="37" t="s">
        <v>500</v>
      </c>
      <c r="DK68" s="76" t="s">
        <v>533</v>
      </c>
      <c r="DL68" s="67">
        <f t="shared" si="70"/>
        <v>0</v>
      </c>
      <c r="DM68" s="67">
        <f t="shared" si="31"/>
        <v>0</v>
      </c>
      <c r="DN68" s="67">
        <f t="shared" si="32"/>
        <v>0</v>
      </c>
      <c r="DO68" s="67">
        <f t="shared" si="33"/>
        <v>0</v>
      </c>
      <c r="DP68" s="30">
        <f t="shared" si="34"/>
        <v>0</v>
      </c>
      <c r="DQ68" s="67">
        <f t="shared" si="35"/>
        <v>0</v>
      </c>
      <c r="DR68" s="67">
        <f t="shared" si="36"/>
        <v>0</v>
      </c>
      <c r="DS68" s="67">
        <f t="shared" si="37"/>
        <v>0</v>
      </c>
      <c r="DT68" s="30">
        <f t="shared" si="38"/>
        <v>0</v>
      </c>
      <c r="DU68" s="67">
        <f t="shared" si="39"/>
        <v>0</v>
      </c>
      <c r="DV68" s="67">
        <f t="shared" si="40"/>
        <v>0</v>
      </c>
      <c r="DW68" s="68">
        <f t="shared" si="41"/>
        <v>0</v>
      </c>
      <c r="DX68" s="2"/>
      <c r="DY68" s="81" t="s">
        <v>533</v>
      </c>
      <c r="DZ68" s="82"/>
      <c r="EA68" s="82"/>
      <c r="EB68" s="82"/>
      <c r="EC68" s="83"/>
      <c r="ED68" s="84">
        <v>1</v>
      </c>
      <c r="EE68" s="2"/>
      <c r="EF68" s="38" t="s">
        <v>533</v>
      </c>
      <c r="EG68" s="93" t="s">
        <v>533</v>
      </c>
      <c r="EH68" s="94"/>
      <c r="EI68" s="94"/>
      <c r="EJ68" s="94"/>
      <c r="EK68" s="94"/>
      <c r="EL68" s="94"/>
      <c r="EM68" s="94"/>
      <c r="EN68" s="94"/>
      <c r="EO68" s="94"/>
      <c r="EP68" s="94"/>
      <c r="EQ68" s="94"/>
      <c r="ER68" s="94"/>
      <c r="ES68" s="95"/>
      <c r="ET68" s="38" t="s">
        <v>533</v>
      </c>
      <c r="EU68" s="93" t="s">
        <v>533</v>
      </c>
      <c r="EV68" s="94"/>
      <c r="EW68" s="94"/>
      <c r="EX68" s="94"/>
      <c r="EY68" s="94"/>
      <c r="EZ68" s="94"/>
      <c r="FA68" s="94"/>
      <c r="FB68" s="94"/>
      <c r="FC68" s="94"/>
      <c r="FD68" s="94"/>
      <c r="FE68" s="94"/>
      <c r="FF68" s="94"/>
      <c r="FG68" s="95"/>
      <c r="FH68" s="38" t="s">
        <v>533</v>
      </c>
      <c r="FI68" s="93" t="s">
        <v>533</v>
      </c>
      <c r="FJ68" s="94"/>
      <c r="FK68" s="94"/>
      <c r="FL68" s="94"/>
      <c r="FM68" s="94"/>
      <c r="FN68" s="94"/>
      <c r="FO68" s="94"/>
      <c r="FP68" s="94"/>
      <c r="FQ68" s="94"/>
      <c r="FR68" s="94"/>
      <c r="FS68" s="94"/>
      <c r="FT68" s="94"/>
      <c r="FU68" s="95"/>
      <c r="FV68" s="38" t="s">
        <v>533</v>
      </c>
      <c r="FW68" s="93" t="s">
        <v>533</v>
      </c>
      <c r="FX68" s="94"/>
      <c r="FY68" s="94"/>
      <c r="FZ68" s="94"/>
      <c r="GA68" s="94"/>
      <c r="GB68" s="94"/>
      <c r="GC68" s="94"/>
      <c r="GD68" s="94"/>
      <c r="GE68" s="94"/>
      <c r="GF68" s="94"/>
      <c r="GG68" s="94"/>
      <c r="GH68" s="94"/>
      <c r="GI68" s="95"/>
      <c r="GJ68" s="38" t="s">
        <v>533</v>
      </c>
      <c r="GK68" s="93" t="s">
        <v>533</v>
      </c>
      <c r="GL68" s="94"/>
      <c r="GM68" s="94"/>
      <c r="GN68" s="94"/>
      <c r="GO68" s="94"/>
      <c r="GP68" s="94"/>
      <c r="GQ68" s="94"/>
      <c r="GR68" s="94"/>
      <c r="GS68" s="94"/>
      <c r="GT68" s="94"/>
      <c r="GU68" s="94"/>
      <c r="GV68" s="94"/>
      <c r="GW68" s="95"/>
      <c r="GX68" s="38"/>
    </row>
    <row r="69" spans="1:206" x14ac:dyDescent="0.35">
      <c r="A69" s="2"/>
      <c r="B69" s="2"/>
      <c r="C69" s="42" t="s">
        <v>501</v>
      </c>
      <c r="D69" s="43">
        <f t="shared" si="42"/>
        <v>0.21088731918919801</v>
      </c>
      <c r="E69" s="43">
        <f t="shared" si="0"/>
        <v>0.27558524616622299</v>
      </c>
      <c r="F69" s="43">
        <f t="shared" si="1"/>
        <v>1.5419161896574496E-2</v>
      </c>
      <c r="G69" s="43">
        <f t="shared" si="2"/>
        <v>0</v>
      </c>
      <c r="H69" s="43">
        <f t="shared" si="3"/>
        <v>9.190731173618201E-2</v>
      </c>
      <c r="I69" s="43">
        <f t="shared" si="4"/>
        <v>0</v>
      </c>
      <c r="J69" s="43">
        <f t="shared" si="5"/>
        <v>0</v>
      </c>
      <c r="K69" s="43">
        <f t="shared" si="6"/>
        <v>0</v>
      </c>
      <c r="L69" s="43">
        <f t="shared" si="7"/>
        <v>9.5654489374477847E-2</v>
      </c>
      <c r="M69" s="43">
        <f t="shared" si="8"/>
        <v>8.0085190046968527E-2</v>
      </c>
      <c r="N69" s="43">
        <f t="shared" si="9"/>
        <v>0.16520516417746253</v>
      </c>
      <c r="O69" s="44">
        <f t="shared" si="10"/>
        <v>6.5256117412913733E-2</v>
      </c>
      <c r="P69" s="115">
        <f t="shared" si="43"/>
        <v>1.0000000000000002</v>
      </c>
      <c r="Q69" s="2"/>
      <c r="R69" s="42" t="s">
        <v>501</v>
      </c>
      <c r="S69" s="43">
        <f t="shared" si="44"/>
        <v>0.21088731918919798</v>
      </c>
      <c r="T69" s="43">
        <f t="shared" si="45"/>
        <v>0.27558524616622293</v>
      </c>
      <c r="U69" s="43">
        <f t="shared" si="46"/>
        <v>1.5419161896574494E-2</v>
      </c>
      <c r="V69" s="43">
        <f t="shared" si="47"/>
        <v>0</v>
      </c>
      <c r="W69" s="29">
        <f t="shared" si="48"/>
        <v>9.1907311736181996E-2</v>
      </c>
      <c r="X69" s="43">
        <f t="shared" si="49"/>
        <v>0</v>
      </c>
      <c r="Y69" s="43">
        <f t="shared" si="50"/>
        <v>0</v>
      </c>
      <c r="Z69" s="43">
        <f t="shared" si="51"/>
        <v>0</v>
      </c>
      <c r="AA69" s="29">
        <f t="shared" si="52"/>
        <v>9.5654489374477833E-2</v>
      </c>
      <c r="AB69" s="43">
        <f t="shared" si="53"/>
        <v>8.0085190046968513E-2</v>
      </c>
      <c r="AC69" s="43">
        <f t="shared" si="54"/>
        <v>0.1652051641774625</v>
      </c>
      <c r="AD69" s="43">
        <f t="shared" si="55"/>
        <v>6.5256117412913719E-2</v>
      </c>
      <c r="AE69" s="32">
        <f t="shared" si="56"/>
        <v>0.3984491202998578</v>
      </c>
      <c r="AF69" s="53">
        <f t="shared" si="57"/>
        <v>0.35567043621319144</v>
      </c>
      <c r="AG69" s="53">
        <f t="shared" si="58"/>
        <v>0.180624326074037</v>
      </c>
      <c r="AH69" s="53">
        <f t="shared" si="59"/>
        <v>6.5256117412913719E-2</v>
      </c>
      <c r="AI69" s="34">
        <f t="shared" si="60"/>
        <v>0.50189172725199549</v>
      </c>
      <c r="AJ69" s="35">
        <f t="shared" si="61"/>
        <v>9.1907311736181996E-2</v>
      </c>
      <c r="AK69" s="34">
        <f t="shared" si="62"/>
        <v>0.50189172725199549</v>
      </c>
      <c r="AL69" s="35">
        <f t="shared" si="63"/>
        <v>9.1907311736181996E-2</v>
      </c>
      <c r="AM69" s="35">
        <f t="shared" si="64"/>
        <v>0.40620096101182246</v>
      </c>
      <c r="AN69" s="36">
        <v>1</v>
      </c>
      <c r="AO69" s="54">
        <v>1</v>
      </c>
      <c r="AP69" s="2"/>
      <c r="AQ69" s="42" t="s">
        <v>501</v>
      </c>
      <c r="AR69" s="43">
        <f t="shared" si="65"/>
        <v>0.21022780905095656</v>
      </c>
      <c r="AS69" s="43">
        <f t="shared" si="71"/>
        <v>0.27472340551835867</v>
      </c>
      <c r="AT69" s="43">
        <f t="shared" si="72"/>
        <v>1.537094138889734E-2</v>
      </c>
      <c r="AU69" s="43">
        <f t="shared" si="73"/>
        <v>0</v>
      </c>
      <c r="AV69" s="29">
        <f t="shared" si="74"/>
        <v>8.0141403163366556E-2</v>
      </c>
      <c r="AW69" s="43">
        <f t="shared" si="75"/>
        <v>0</v>
      </c>
      <c r="AX69" s="43">
        <f t="shared" si="76"/>
        <v>0</v>
      </c>
      <c r="AY69" s="43">
        <f t="shared" si="77"/>
        <v>0</v>
      </c>
      <c r="AZ69" s="29">
        <f t="shared" si="78"/>
        <v>9.8794803257600247E-2</v>
      </c>
      <c r="BA69" s="43">
        <f t="shared" si="79"/>
        <v>8.2714367577282052E-2</v>
      </c>
      <c r="BB69" s="43">
        <f t="shared" si="80"/>
        <v>0.17062880998878421</v>
      </c>
      <c r="BC69" s="44">
        <f t="shared" si="81"/>
        <v>6.7398460054754389E-2</v>
      </c>
      <c r="BD69" s="2"/>
      <c r="BE69" s="42" t="s">
        <v>501</v>
      </c>
      <c r="BF69" s="62">
        <v>1</v>
      </c>
      <c r="BG69" s="62">
        <v>1</v>
      </c>
      <c r="BH69" s="62">
        <v>1</v>
      </c>
      <c r="BI69" s="62">
        <v>1</v>
      </c>
      <c r="BJ69" s="36">
        <v>1</v>
      </c>
      <c r="BK69" s="62">
        <v>1</v>
      </c>
      <c r="BL69" s="62">
        <v>1</v>
      </c>
      <c r="BM69" s="62">
        <v>1</v>
      </c>
      <c r="BN69" s="36">
        <v>1</v>
      </c>
      <c r="BO69" s="62">
        <v>1</v>
      </c>
      <c r="BP69" s="62">
        <v>1</v>
      </c>
      <c r="BQ69" s="54">
        <v>1</v>
      </c>
      <c r="BR69" s="2"/>
      <c r="BS69" s="42" t="s">
        <v>501</v>
      </c>
      <c r="BT69" s="67">
        <f t="shared" si="66"/>
        <v>1562.7503999999999</v>
      </c>
      <c r="BU69" s="67">
        <f t="shared" si="18"/>
        <v>2042.18516</v>
      </c>
      <c r="BV69" s="67">
        <f t="shared" si="19"/>
        <v>114.2615</v>
      </c>
      <c r="BW69" s="67">
        <f t="shared" si="20"/>
        <v>0</v>
      </c>
      <c r="BX69" s="30">
        <f t="shared" si="21"/>
        <v>595.73950000000002</v>
      </c>
      <c r="BY69" s="67">
        <f t="shared" si="22"/>
        <v>0</v>
      </c>
      <c r="BZ69" s="67">
        <f t="shared" si="23"/>
        <v>0</v>
      </c>
      <c r="CA69" s="67">
        <f t="shared" si="24"/>
        <v>0</v>
      </c>
      <c r="CB69" s="30">
        <f t="shared" si="25"/>
        <v>734.40150000000006</v>
      </c>
      <c r="CC69" s="67">
        <f t="shared" si="26"/>
        <v>614.86590000000001</v>
      </c>
      <c r="CD69" s="67">
        <f t="shared" si="27"/>
        <v>1268.3870999999999</v>
      </c>
      <c r="CE69" s="68">
        <f t="shared" si="28"/>
        <v>501.01350000000002</v>
      </c>
      <c r="CF69" s="2"/>
      <c r="CG69" s="37" t="str">
        <f t="shared" si="67"/>
        <v>amach</v>
      </c>
      <c r="CH69" s="42" t="s">
        <v>501</v>
      </c>
      <c r="CI69" s="67">
        <f t="shared" si="68"/>
        <v>1562.7503999999999</v>
      </c>
      <c r="CJ69" s="67">
        <f t="shared" si="82"/>
        <v>2042.18516</v>
      </c>
      <c r="CK69" s="67">
        <f t="shared" si="83"/>
        <v>114.2615</v>
      </c>
      <c r="CL69" s="67">
        <f t="shared" si="84"/>
        <v>0</v>
      </c>
      <c r="CM69" s="30">
        <f t="shared" si="85"/>
        <v>595.73950000000002</v>
      </c>
      <c r="CN69" s="67">
        <f t="shared" si="86"/>
        <v>0</v>
      </c>
      <c r="CO69" s="67">
        <f t="shared" si="87"/>
        <v>0</v>
      </c>
      <c r="CP69" s="67">
        <f t="shared" si="88"/>
        <v>0</v>
      </c>
      <c r="CQ69" s="30">
        <f t="shared" si="89"/>
        <v>734.40150000000006</v>
      </c>
      <c r="CR69" s="67">
        <f t="shared" si="90"/>
        <v>614.86590000000001</v>
      </c>
      <c r="CS69" s="67">
        <f t="shared" si="91"/>
        <v>1268.3870999999999</v>
      </c>
      <c r="CT69" s="68">
        <f t="shared" si="92"/>
        <v>501.01350000000002</v>
      </c>
      <c r="CU69" s="2"/>
      <c r="CV69" s="42" t="s">
        <v>501</v>
      </c>
      <c r="CW69" s="67">
        <f t="shared" si="69"/>
        <v>0</v>
      </c>
      <c r="CX69" s="67">
        <f t="shared" si="93"/>
        <v>0</v>
      </c>
      <c r="CY69" s="67">
        <f t="shared" si="94"/>
        <v>0</v>
      </c>
      <c r="CZ69" s="67">
        <f t="shared" si="95"/>
        <v>0</v>
      </c>
      <c r="DA69" s="30">
        <f t="shared" si="96"/>
        <v>0</v>
      </c>
      <c r="DB69" s="67">
        <f t="shared" si="97"/>
        <v>0</v>
      </c>
      <c r="DC69" s="67">
        <f t="shared" si="98"/>
        <v>0</v>
      </c>
      <c r="DD69" s="67">
        <f t="shared" si="99"/>
        <v>0</v>
      </c>
      <c r="DE69" s="30">
        <f t="shared" si="100"/>
        <v>0</v>
      </c>
      <c r="DF69" s="67">
        <f t="shared" si="101"/>
        <v>0</v>
      </c>
      <c r="DG69" s="67">
        <f t="shared" si="102"/>
        <v>0</v>
      </c>
      <c r="DH69" s="68">
        <f t="shared" si="103"/>
        <v>0</v>
      </c>
      <c r="DI69" s="2"/>
      <c r="DJ69" s="37" t="s">
        <v>502</v>
      </c>
      <c r="DK69" s="76" t="s">
        <v>501</v>
      </c>
      <c r="DL69" s="67">
        <f t="shared" si="70"/>
        <v>1263.585</v>
      </c>
      <c r="DM69" s="67">
        <f t="shared" si="31"/>
        <v>1989.6569999999999</v>
      </c>
      <c r="DN69" s="67">
        <f t="shared" si="32"/>
        <v>0</v>
      </c>
      <c r="DO69" s="67">
        <f t="shared" si="33"/>
        <v>0</v>
      </c>
      <c r="DP69" s="30">
        <f t="shared" si="34"/>
        <v>595.73950000000002</v>
      </c>
      <c r="DQ69" s="67">
        <f t="shared" si="35"/>
        <v>0</v>
      </c>
      <c r="DR69" s="67">
        <f t="shared" si="36"/>
        <v>0</v>
      </c>
      <c r="DS69" s="67">
        <f t="shared" si="37"/>
        <v>0</v>
      </c>
      <c r="DT69" s="30">
        <f t="shared" si="38"/>
        <v>544.75940000000003</v>
      </c>
      <c r="DU69" s="67">
        <f t="shared" si="39"/>
        <v>471.47140000000002</v>
      </c>
      <c r="DV69" s="67">
        <f t="shared" si="40"/>
        <v>1115.7339999999999</v>
      </c>
      <c r="DW69" s="68">
        <f t="shared" si="41"/>
        <v>501.01350000000002</v>
      </c>
      <c r="DX69" s="2"/>
      <c r="DY69" s="81" t="s">
        <v>501</v>
      </c>
      <c r="DZ69" s="82"/>
      <c r="EA69" s="82"/>
      <c r="EB69" s="82"/>
      <c r="EC69" s="83"/>
      <c r="ED69" s="84">
        <v>1</v>
      </c>
      <c r="EE69" s="2"/>
      <c r="EF69" s="38" t="s">
        <v>501</v>
      </c>
      <c r="EG69" s="93" t="s">
        <v>501</v>
      </c>
      <c r="EH69" s="94"/>
      <c r="EI69" s="94"/>
      <c r="EJ69" s="94"/>
      <c r="EK69" s="94"/>
      <c r="EL69" s="94"/>
      <c r="EM69" s="94"/>
      <c r="EN69" s="94"/>
      <c r="EO69" s="94"/>
      <c r="EP69" s="94"/>
      <c r="EQ69" s="94"/>
      <c r="ER69" s="94"/>
      <c r="ES69" s="95"/>
      <c r="ET69" s="38" t="s">
        <v>501</v>
      </c>
      <c r="EU69" s="93" t="s">
        <v>501</v>
      </c>
      <c r="EV69" s="94"/>
      <c r="EW69" s="94"/>
      <c r="EX69" s="94"/>
      <c r="EY69" s="94"/>
      <c r="EZ69" s="94"/>
      <c r="FA69" s="94"/>
      <c r="FB69" s="94"/>
      <c r="FC69" s="94"/>
      <c r="FD69" s="94"/>
      <c r="FE69" s="94"/>
      <c r="FF69" s="94"/>
      <c r="FG69" s="95"/>
      <c r="FH69" s="38" t="s">
        <v>501</v>
      </c>
      <c r="FI69" s="93" t="s">
        <v>501</v>
      </c>
      <c r="FJ69" s="94"/>
      <c r="FK69" s="94"/>
      <c r="FL69" s="94"/>
      <c r="FM69" s="94"/>
      <c r="FN69" s="94"/>
      <c r="FO69" s="94"/>
      <c r="FP69" s="94"/>
      <c r="FQ69" s="94"/>
      <c r="FR69" s="94"/>
      <c r="FS69" s="94"/>
      <c r="FT69" s="94"/>
      <c r="FU69" s="95"/>
      <c r="FV69" s="38" t="s">
        <v>501</v>
      </c>
      <c r="FW69" s="93" t="s">
        <v>501</v>
      </c>
      <c r="FX69" s="94"/>
      <c r="FY69" s="94"/>
      <c r="FZ69" s="94"/>
      <c r="GA69" s="94"/>
      <c r="GB69" s="94"/>
      <c r="GC69" s="94"/>
      <c r="GD69" s="94"/>
      <c r="GE69" s="94"/>
      <c r="GF69" s="94"/>
      <c r="GG69" s="94"/>
      <c r="GH69" s="94"/>
      <c r="GI69" s="95"/>
      <c r="GJ69" s="38" t="s">
        <v>501</v>
      </c>
      <c r="GK69" s="93" t="s">
        <v>501</v>
      </c>
      <c r="GL69" s="94">
        <v>1263.585</v>
      </c>
      <c r="GM69" s="94">
        <v>1989.6569999999999</v>
      </c>
      <c r="GN69" s="94"/>
      <c r="GO69" s="94"/>
      <c r="GP69" s="94">
        <v>595.73950000000002</v>
      </c>
      <c r="GQ69" s="94">
        <v>0</v>
      </c>
      <c r="GR69" s="94"/>
      <c r="GS69" s="94"/>
      <c r="GT69" s="94">
        <v>544.75940000000003</v>
      </c>
      <c r="GU69" s="94">
        <v>471.47140000000002</v>
      </c>
      <c r="GV69" s="94">
        <v>1115.7339999999999</v>
      </c>
      <c r="GW69" s="95">
        <v>501.01350000000002</v>
      </c>
      <c r="GX69" s="38"/>
    </row>
    <row r="70" spans="1:206" x14ac:dyDescent="0.35">
      <c r="A70" s="2"/>
      <c r="B70" s="2"/>
      <c r="C70" s="42" t="s">
        <v>502</v>
      </c>
      <c r="D70" s="43">
        <f t="shared" si="42"/>
        <v>0.20943512651083879</v>
      </c>
      <c r="E70" s="43">
        <f t="shared" si="0"/>
        <v>0.27368753662975071</v>
      </c>
      <c r="F70" s="43">
        <f t="shared" si="1"/>
        <v>1.5312983895456501E-2</v>
      </c>
      <c r="G70" s="43">
        <f t="shared" si="2"/>
        <v>0</v>
      </c>
      <c r="H70" s="43">
        <f t="shared" si="3"/>
        <v>1.8884947882367321E-2</v>
      </c>
      <c r="I70" s="43">
        <f t="shared" si="4"/>
        <v>0</v>
      </c>
      <c r="J70" s="43">
        <f t="shared" si="5"/>
        <v>0</v>
      </c>
      <c r="K70" s="43">
        <f t="shared" si="6"/>
        <v>0</v>
      </c>
      <c r="L70" s="43">
        <f t="shared" si="7"/>
        <v>0.11366406398854416</v>
      </c>
      <c r="M70" s="43">
        <f t="shared" si="8"/>
        <v>9.5163418105727968E-2</v>
      </c>
      <c r="N70" s="43">
        <f t="shared" si="9"/>
        <v>0.19630955614421258</v>
      </c>
      <c r="O70" s="44">
        <f t="shared" si="10"/>
        <v>7.7542366843102131E-2</v>
      </c>
      <c r="P70" s="115">
        <f t="shared" si="43"/>
        <v>1</v>
      </c>
      <c r="Q70" s="2"/>
      <c r="R70" s="42" t="s">
        <v>502</v>
      </c>
      <c r="S70" s="43">
        <f t="shared" si="44"/>
        <v>0.20943512651083876</v>
      </c>
      <c r="T70" s="43">
        <f t="shared" si="45"/>
        <v>0.27368753662975065</v>
      </c>
      <c r="U70" s="43">
        <f t="shared" si="46"/>
        <v>1.5312983895456499E-2</v>
      </c>
      <c r="V70" s="43">
        <f t="shared" si="47"/>
        <v>0</v>
      </c>
      <c r="W70" s="29">
        <f t="shared" si="48"/>
        <v>1.8884947882367317E-2</v>
      </c>
      <c r="X70" s="43">
        <f t="shared" si="49"/>
        <v>0</v>
      </c>
      <c r="Y70" s="43">
        <f t="shared" si="50"/>
        <v>0</v>
      </c>
      <c r="Z70" s="43">
        <f t="shared" si="51"/>
        <v>0</v>
      </c>
      <c r="AA70" s="29">
        <f t="shared" si="52"/>
        <v>0.11366406398854415</v>
      </c>
      <c r="AB70" s="43">
        <f t="shared" si="53"/>
        <v>9.5163418105727954E-2</v>
      </c>
      <c r="AC70" s="43">
        <f t="shared" si="54"/>
        <v>0.19630955614421255</v>
      </c>
      <c r="AD70" s="43">
        <f t="shared" si="55"/>
        <v>7.7542366843102117E-2</v>
      </c>
      <c r="AE70" s="32">
        <f t="shared" si="56"/>
        <v>0.34198413838175024</v>
      </c>
      <c r="AF70" s="53">
        <f t="shared" si="57"/>
        <v>0.36885095473547858</v>
      </c>
      <c r="AG70" s="53">
        <f t="shared" si="58"/>
        <v>0.21162254003966904</v>
      </c>
      <c r="AH70" s="53">
        <f t="shared" si="59"/>
        <v>7.7542366843102117E-2</v>
      </c>
      <c r="AI70" s="34">
        <f t="shared" si="60"/>
        <v>0.46868008403490036</v>
      </c>
      <c r="AJ70" s="35">
        <f t="shared" si="61"/>
        <v>0</v>
      </c>
      <c r="AK70" s="34">
        <f>AVERAGE(AI70:AI73)</f>
        <v>0.49843564703604598</v>
      </c>
      <c r="AL70" s="35">
        <f t="shared" ref="AL70" si="118">AVERAGE(AJ70:AJ73)</f>
        <v>1.8884947882367317E-2</v>
      </c>
      <c r="AM70" s="35">
        <f t="shared" si="64"/>
        <v>0.48267940508158669</v>
      </c>
      <c r="AN70" s="36">
        <v>1</v>
      </c>
      <c r="AO70" s="54">
        <v>1</v>
      </c>
      <c r="AP70" s="2"/>
      <c r="AQ70" s="42" t="s">
        <v>502</v>
      </c>
      <c r="AR70" s="43">
        <f t="shared" si="65"/>
        <v>0.21022780905095656</v>
      </c>
      <c r="AS70" s="43">
        <f t="shared" si="71"/>
        <v>0.27472340551835867</v>
      </c>
      <c r="AT70" s="43">
        <f t="shared" si="72"/>
        <v>1.537094138889734E-2</v>
      </c>
      <c r="AU70" s="43">
        <f t="shared" si="73"/>
        <v>0</v>
      </c>
      <c r="AV70" s="29">
        <f t="shared" si="74"/>
        <v>8.0141403163366556E-2</v>
      </c>
      <c r="AW70" s="43">
        <f t="shared" si="75"/>
        <v>0</v>
      </c>
      <c r="AX70" s="43">
        <f t="shared" si="76"/>
        <v>0</v>
      </c>
      <c r="AY70" s="43">
        <f t="shared" si="77"/>
        <v>0</v>
      </c>
      <c r="AZ70" s="29">
        <f t="shared" si="78"/>
        <v>9.8794803257600247E-2</v>
      </c>
      <c r="BA70" s="43">
        <f t="shared" si="79"/>
        <v>8.2714367577282052E-2</v>
      </c>
      <c r="BB70" s="43">
        <f t="shared" si="80"/>
        <v>0.17062880998878421</v>
      </c>
      <c r="BC70" s="44">
        <f t="shared" si="81"/>
        <v>6.7398460054754389E-2</v>
      </c>
      <c r="BD70" s="2"/>
      <c r="BE70" s="42" t="s">
        <v>502</v>
      </c>
      <c r="BF70" s="62">
        <v>1</v>
      </c>
      <c r="BG70" s="62">
        <v>1</v>
      </c>
      <c r="BH70" s="62">
        <v>1</v>
      </c>
      <c r="BI70" s="62">
        <v>1</v>
      </c>
      <c r="BJ70" s="36">
        <v>1</v>
      </c>
      <c r="BK70" s="62">
        <v>1</v>
      </c>
      <c r="BL70" s="62">
        <v>1</v>
      </c>
      <c r="BM70" s="62">
        <v>1</v>
      </c>
      <c r="BN70" s="36">
        <v>1</v>
      </c>
      <c r="BO70" s="62">
        <v>1</v>
      </c>
      <c r="BP70" s="62">
        <v>1</v>
      </c>
      <c r="BQ70" s="54">
        <v>1</v>
      </c>
      <c r="BR70" s="2"/>
      <c r="BS70" s="42" t="s">
        <v>502</v>
      </c>
      <c r="BT70" s="67">
        <f t="shared" si="66"/>
        <v>1562.7503999999999</v>
      </c>
      <c r="BU70" s="67">
        <f t="shared" si="18"/>
        <v>2042.18516</v>
      </c>
      <c r="BV70" s="67">
        <f t="shared" si="19"/>
        <v>114.2615</v>
      </c>
      <c r="BW70" s="67">
        <f t="shared" si="20"/>
        <v>0</v>
      </c>
      <c r="BX70" s="30">
        <f t="shared" si="21"/>
        <v>595.73950000000002</v>
      </c>
      <c r="BY70" s="67">
        <f t="shared" si="22"/>
        <v>0</v>
      </c>
      <c r="BZ70" s="67">
        <f t="shared" si="23"/>
        <v>0</v>
      </c>
      <c r="CA70" s="67">
        <f t="shared" si="24"/>
        <v>0</v>
      </c>
      <c r="CB70" s="30">
        <f t="shared" si="25"/>
        <v>734.40150000000006</v>
      </c>
      <c r="CC70" s="67">
        <f t="shared" si="26"/>
        <v>614.86590000000001</v>
      </c>
      <c r="CD70" s="67">
        <f t="shared" si="27"/>
        <v>1268.3870999999999</v>
      </c>
      <c r="CE70" s="68">
        <f t="shared" si="28"/>
        <v>501.01350000000002</v>
      </c>
      <c r="CF70" s="2"/>
      <c r="CG70" s="37" t="str">
        <f t="shared" si="67"/>
        <v>amach</v>
      </c>
      <c r="CH70" s="42" t="s">
        <v>502</v>
      </c>
      <c r="CI70" s="67">
        <f t="shared" si="68"/>
        <v>1562.7503999999999</v>
      </c>
      <c r="CJ70" s="67">
        <f t="shared" si="82"/>
        <v>2042.18516</v>
      </c>
      <c r="CK70" s="67">
        <f t="shared" si="83"/>
        <v>114.2615</v>
      </c>
      <c r="CL70" s="67">
        <f t="shared" si="84"/>
        <v>0</v>
      </c>
      <c r="CM70" s="30">
        <f t="shared" si="85"/>
        <v>595.73950000000002</v>
      </c>
      <c r="CN70" s="67">
        <f t="shared" si="86"/>
        <v>0</v>
      </c>
      <c r="CO70" s="67">
        <f t="shared" si="87"/>
        <v>0</v>
      </c>
      <c r="CP70" s="67">
        <f t="shared" si="88"/>
        <v>0</v>
      </c>
      <c r="CQ70" s="30">
        <f t="shared" si="89"/>
        <v>734.40150000000006</v>
      </c>
      <c r="CR70" s="67">
        <f t="shared" si="90"/>
        <v>614.86590000000001</v>
      </c>
      <c r="CS70" s="67">
        <f t="shared" si="91"/>
        <v>1268.3870999999999</v>
      </c>
      <c r="CT70" s="68">
        <f t="shared" si="92"/>
        <v>501.01350000000002</v>
      </c>
      <c r="CU70" s="2"/>
      <c r="CV70" s="42" t="s">
        <v>502</v>
      </c>
      <c r="CW70" s="67">
        <f t="shared" si="69"/>
        <v>1562.7503999999999</v>
      </c>
      <c r="CX70" s="67">
        <f t="shared" si="93"/>
        <v>2042.18516</v>
      </c>
      <c r="CY70" s="67">
        <f t="shared" si="94"/>
        <v>114.2615</v>
      </c>
      <c r="CZ70" s="67">
        <f t="shared" si="95"/>
        <v>0</v>
      </c>
      <c r="DA70" s="30">
        <f t="shared" si="96"/>
        <v>595.73950000000002</v>
      </c>
      <c r="DB70" s="67">
        <f t="shared" si="97"/>
        <v>0</v>
      </c>
      <c r="DC70" s="67">
        <f t="shared" si="98"/>
        <v>0</v>
      </c>
      <c r="DD70" s="67">
        <f t="shared" si="99"/>
        <v>0</v>
      </c>
      <c r="DE70" s="30">
        <f t="shared" si="100"/>
        <v>734.40150000000006</v>
      </c>
      <c r="DF70" s="67">
        <f t="shared" si="101"/>
        <v>614.86590000000001</v>
      </c>
      <c r="DG70" s="67">
        <f t="shared" si="102"/>
        <v>1268.3870999999999</v>
      </c>
      <c r="DH70" s="68">
        <f t="shared" si="103"/>
        <v>501.01350000000002</v>
      </c>
      <c r="DI70" s="2"/>
      <c r="DJ70" s="37" t="s">
        <v>502</v>
      </c>
      <c r="DK70" s="76" t="s">
        <v>502</v>
      </c>
      <c r="DL70" s="67">
        <f t="shared" si="70"/>
        <v>134.65610000000001</v>
      </c>
      <c r="DM70" s="67">
        <f t="shared" si="31"/>
        <v>0</v>
      </c>
      <c r="DN70" s="67">
        <f t="shared" si="32"/>
        <v>0</v>
      </c>
      <c r="DO70" s="67">
        <f t="shared" si="33"/>
        <v>0</v>
      </c>
      <c r="DP70" s="30">
        <f t="shared" si="34"/>
        <v>0</v>
      </c>
      <c r="DQ70" s="67">
        <f t="shared" si="35"/>
        <v>0</v>
      </c>
      <c r="DR70" s="67">
        <f t="shared" si="36"/>
        <v>0</v>
      </c>
      <c r="DS70" s="67">
        <f t="shared" si="37"/>
        <v>0</v>
      </c>
      <c r="DT70" s="30">
        <f t="shared" si="38"/>
        <v>0</v>
      </c>
      <c r="DU70" s="67">
        <f t="shared" si="39"/>
        <v>0</v>
      </c>
      <c r="DV70" s="67">
        <f t="shared" si="40"/>
        <v>152.65309999999999</v>
      </c>
      <c r="DW70" s="68">
        <f t="shared" si="41"/>
        <v>0</v>
      </c>
      <c r="DX70" s="2"/>
      <c r="DY70" s="81" t="s">
        <v>502</v>
      </c>
      <c r="DZ70" s="82"/>
      <c r="EA70" s="82"/>
      <c r="EB70" s="82"/>
      <c r="EC70" s="83"/>
      <c r="ED70" s="84">
        <v>1</v>
      </c>
      <c r="EE70" s="2"/>
      <c r="EF70" s="38" t="s">
        <v>502</v>
      </c>
      <c r="EG70" s="93" t="s">
        <v>502</v>
      </c>
      <c r="EH70" s="94"/>
      <c r="EI70" s="94"/>
      <c r="EJ70" s="94"/>
      <c r="EK70" s="94"/>
      <c r="EL70" s="94"/>
      <c r="EM70" s="94"/>
      <c r="EN70" s="94"/>
      <c r="EO70" s="94"/>
      <c r="EP70" s="94"/>
      <c r="EQ70" s="94"/>
      <c r="ER70" s="94"/>
      <c r="ES70" s="95"/>
      <c r="ET70" s="38" t="s">
        <v>502</v>
      </c>
      <c r="EU70" s="93" t="s">
        <v>502</v>
      </c>
      <c r="EV70" s="94"/>
      <c r="EW70" s="94"/>
      <c r="EX70" s="94"/>
      <c r="EY70" s="94"/>
      <c r="EZ70" s="94"/>
      <c r="FA70" s="94"/>
      <c r="FB70" s="94"/>
      <c r="FC70" s="94"/>
      <c r="FD70" s="94"/>
      <c r="FE70" s="94"/>
      <c r="FF70" s="94"/>
      <c r="FG70" s="95"/>
      <c r="FH70" s="38" t="s">
        <v>502</v>
      </c>
      <c r="FI70" s="93" t="s">
        <v>502</v>
      </c>
      <c r="FJ70" s="94"/>
      <c r="FK70" s="94"/>
      <c r="FL70" s="94"/>
      <c r="FM70" s="94"/>
      <c r="FN70" s="94"/>
      <c r="FO70" s="94"/>
      <c r="FP70" s="94"/>
      <c r="FQ70" s="94"/>
      <c r="FR70" s="94"/>
      <c r="FS70" s="94"/>
      <c r="FT70" s="94"/>
      <c r="FU70" s="95"/>
      <c r="FV70" s="38" t="s">
        <v>502</v>
      </c>
      <c r="FW70" s="93" t="s">
        <v>502</v>
      </c>
      <c r="FX70" s="94"/>
      <c r="FY70" s="94"/>
      <c r="FZ70" s="94"/>
      <c r="GA70" s="94"/>
      <c r="GB70" s="94"/>
      <c r="GC70" s="94"/>
      <c r="GD70" s="94"/>
      <c r="GE70" s="94"/>
      <c r="GF70" s="94"/>
      <c r="GG70" s="94"/>
      <c r="GH70" s="94"/>
      <c r="GI70" s="95"/>
      <c r="GJ70" s="38" t="s">
        <v>502</v>
      </c>
      <c r="GK70" s="93" t="s">
        <v>502</v>
      </c>
      <c r="GL70" s="94">
        <v>134.65610000000001</v>
      </c>
      <c r="GM70" s="94">
        <v>0</v>
      </c>
      <c r="GN70" s="94"/>
      <c r="GO70" s="94"/>
      <c r="GP70" s="94">
        <v>0</v>
      </c>
      <c r="GQ70" s="94"/>
      <c r="GR70" s="94"/>
      <c r="GS70" s="94"/>
      <c r="GT70" s="94"/>
      <c r="GU70" s="94">
        <v>0</v>
      </c>
      <c r="GV70" s="94">
        <v>152.65309999999999</v>
      </c>
      <c r="GW70" s="95">
        <v>0</v>
      </c>
      <c r="GX70" s="38"/>
    </row>
    <row r="71" spans="1:206" x14ac:dyDescent="0.35">
      <c r="A71" s="2"/>
      <c r="B71" s="2"/>
      <c r="C71" s="42" t="s">
        <v>503</v>
      </c>
      <c r="D71" s="43">
        <f t="shared" si="42"/>
        <v>0.20943512651083879</v>
      </c>
      <c r="E71" s="43">
        <f t="shared" ref="E71:E110" si="119">IF(SUM($S71:$AD71),T71/SUM($S71:$AD71),0)</f>
        <v>0.27368753662975071</v>
      </c>
      <c r="F71" s="43">
        <f t="shared" ref="F71:F110" si="120">IF(SUM($S71:$AD71),U71/SUM($S71:$AD71),0)</f>
        <v>1.5312983895456501E-2</v>
      </c>
      <c r="G71" s="43">
        <f t="shared" ref="G71:G110" si="121">IF(SUM($S71:$AD71),V71/SUM($S71:$AD71),0)</f>
        <v>0</v>
      </c>
      <c r="H71" s="43">
        <f t="shared" ref="H71:H110" si="122">IF(SUM($S71:$AD71),W71/SUM($S71:$AD71),0)</f>
        <v>1.8884947882367321E-2</v>
      </c>
      <c r="I71" s="43">
        <f t="shared" ref="I71:I110" si="123">IF(SUM($S71:$AD71),X71/SUM($S71:$AD71),0)</f>
        <v>0</v>
      </c>
      <c r="J71" s="43">
        <f t="shared" ref="J71:J110" si="124">IF(SUM($S71:$AD71),Y71/SUM($S71:$AD71),0)</f>
        <v>0</v>
      </c>
      <c r="K71" s="43">
        <f t="shared" ref="K71:K110" si="125">IF(SUM($S71:$AD71),Z71/SUM($S71:$AD71),0)</f>
        <v>0</v>
      </c>
      <c r="L71" s="43">
        <f t="shared" ref="L71:L110" si="126">IF(SUM($S71:$AD71),AA71/SUM($S71:$AD71),0)</f>
        <v>0.11366406398854416</v>
      </c>
      <c r="M71" s="43">
        <f t="shared" ref="M71:M110" si="127">IF(SUM($S71:$AD71),AB71/SUM($S71:$AD71),0)</f>
        <v>9.5163418105727968E-2</v>
      </c>
      <c r="N71" s="43">
        <f t="shared" ref="N71:N110" si="128">IF(SUM($S71:$AD71),AC71/SUM($S71:$AD71),0)</f>
        <v>0.19630955614421258</v>
      </c>
      <c r="O71" s="44">
        <f t="shared" ref="O71:O110" si="129">IF(SUM($S71:$AD71),AD71/SUM($S71:$AD71),0)</f>
        <v>7.7542366843102131E-2</v>
      </c>
      <c r="P71" s="115">
        <f t="shared" si="43"/>
        <v>1</v>
      </c>
      <c r="Q71" s="2"/>
      <c r="R71" s="42" t="s">
        <v>503</v>
      </c>
      <c r="S71" s="43">
        <f t="shared" si="44"/>
        <v>0.20943512651083876</v>
      </c>
      <c r="T71" s="43">
        <f t="shared" si="45"/>
        <v>0.27368753662975065</v>
      </c>
      <c r="U71" s="43">
        <f t="shared" si="46"/>
        <v>1.5312983895456499E-2</v>
      </c>
      <c r="V71" s="43">
        <f t="shared" si="47"/>
        <v>0</v>
      </c>
      <c r="W71" s="29">
        <f t="shared" si="48"/>
        <v>1.8884947882367317E-2</v>
      </c>
      <c r="X71" s="43">
        <f t="shared" si="49"/>
        <v>0</v>
      </c>
      <c r="Y71" s="43">
        <f t="shared" si="50"/>
        <v>0</v>
      </c>
      <c r="Z71" s="43">
        <f t="shared" si="51"/>
        <v>0</v>
      </c>
      <c r="AA71" s="29">
        <f t="shared" si="52"/>
        <v>0.11366406398854415</v>
      </c>
      <c r="AB71" s="43">
        <f t="shared" si="53"/>
        <v>9.5163418105727954E-2</v>
      </c>
      <c r="AC71" s="43">
        <f t="shared" si="54"/>
        <v>0.19630955614421255</v>
      </c>
      <c r="AD71" s="43">
        <f t="shared" si="55"/>
        <v>7.7542366843102117E-2</v>
      </c>
      <c r="AE71" s="32">
        <f t="shared" si="56"/>
        <v>0.34198413838175024</v>
      </c>
      <c r="AF71" s="53">
        <f t="shared" si="57"/>
        <v>0.36885095473547858</v>
      </c>
      <c r="AG71" s="53">
        <f t="shared" si="58"/>
        <v>0.21162254003966904</v>
      </c>
      <c r="AH71" s="53">
        <f t="shared" si="59"/>
        <v>7.7542366843102117E-2</v>
      </c>
      <c r="AI71" s="34">
        <f t="shared" si="60"/>
        <v>0.49869219705776402</v>
      </c>
      <c r="AJ71" s="35">
        <f t="shared" si="61"/>
        <v>0</v>
      </c>
      <c r="AK71" s="34">
        <f>AK70</f>
        <v>0.49843564703604598</v>
      </c>
      <c r="AL71" s="35">
        <f>AL70</f>
        <v>1.8884947882367317E-2</v>
      </c>
      <c r="AM71" s="35">
        <f t="shared" si="64"/>
        <v>0.48267940508158669</v>
      </c>
      <c r="AN71" s="36">
        <v>1</v>
      </c>
      <c r="AO71" s="54">
        <v>1</v>
      </c>
      <c r="AP71" s="2"/>
      <c r="AQ71" s="42" t="s">
        <v>503</v>
      </c>
      <c r="AR71" s="43">
        <f t="shared" si="65"/>
        <v>0.21022780905095656</v>
      </c>
      <c r="AS71" s="43">
        <f t="shared" si="71"/>
        <v>0.27472340551835867</v>
      </c>
      <c r="AT71" s="43">
        <f t="shared" si="72"/>
        <v>1.537094138889734E-2</v>
      </c>
      <c r="AU71" s="43">
        <f t="shared" si="73"/>
        <v>0</v>
      </c>
      <c r="AV71" s="29">
        <f t="shared" si="74"/>
        <v>8.0141403163366556E-2</v>
      </c>
      <c r="AW71" s="43">
        <f t="shared" si="75"/>
        <v>0</v>
      </c>
      <c r="AX71" s="43">
        <f t="shared" si="76"/>
        <v>0</v>
      </c>
      <c r="AY71" s="43">
        <f t="shared" si="77"/>
        <v>0</v>
      </c>
      <c r="AZ71" s="29">
        <f t="shared" si="78"/>
        <v>9.8794803257600247E-2</v>
      </c>
      <c r="BA71" s="43">
        <f t="shared" si="79"/>
        <v>8.2714367577282052E-2</v>
      </c>
      <c r="BB71" s="43">
        <f t="shared" si="80"/>
        <v>0.17062880998878421</v>
      </c>
      <c r="BC71" s="44">
        <f t="shared" si="81"/>
        <v>6.7398460054754389E-2</v>
      </c>
      <c r="BD71" s="2"/>
      <c r="BE71" s="42" t="s">
        <v>503</v>
      </c>
      <c r="BF71" s="62">
        <v>1</v>
      </c>
      <c r="BG71" s="62">
        <v>1</v>
      </c>
      <c r="BH71" s="62">
        <v>1</v>
      </c>
      <c r="BI71" s="62">
        <v>1</v>
      </c>
      <c r="BJ71" s="36">
        <v>1</v>
      </c>
      <c r="BK71" s="62">
        <v>1</v>
      </c>
      <c r="BL71" s="62">
        <v>1</v>
      </c>
      <c r="BM71" s="62">
        <v>1</v>
      </c>
      <c r="BN71" s="36">
        <v>1</v>
      </c>
      <c r="BO71" s="62">
        <v>1</v>
      </c>
      <c r="BP71" s="62">
        <v>1</v>
      </c>
      <c r="BQ71" s="54">
        <v>1</v>
      </c>
      <c r="BR71" s="2"/>
      <c r="BS71" s="42" t="s">
        <v>503</v>
      </c>
      <c r="BT71" s="67">
        <f t="shared" si="66"/>
        <v>1562.7503999999999</v>
      </c>
      <c r="BU71" s="67">
        <f t="shared" ref="BU71:BU110" si="130">BG71*CJ71</f>
        <v>2042.18516</v>
      </c>
      <c r="BV71" s="67">
        <f t="shared" ref="BV71:BV110" si="131">BH71*CK71</f>
        <v>114.2615</v>
      </c>
      <c r="BW71" s="67">
        <f t="shared" ref="BW71:BW110" si="132">BI71*CL71</f>
        <v>0</v>
      </c>
      <c r="BX71" s="30">
        <f t="shared" ref="BX71:BX110" si="133">BJ71*CM71</f>
        <v>595.73950000000002</v>
      </c>
      <c r="BY71" s="67">
        <f t="shared" ref="BY71:BY110" si="134">BK71*CN71</f>
        <v>0</v>
      </c>
      <c r="BZ71" s="67">
        <f t="shared" ref="BZ71:BZ110" si="135">BL71*CO71</f>
        <v>0</v>
      </c>
      <c r="CA71" s="67">
        <f t="shared" ref="CA71:CA110" si="136">BM71*CP71</f>
        <v>0</v>
      </c>
      <c r="CB71" s="30">
        <f t="shared" ref="CB71:CB110" si="137">BN71*CQ71</f>
        <v>734.40150000000006</v>
      </c>
      <c r="CC71" s="67">
        <f t="shared" ref="CC71:CC110" si="138">BO71*CR71</f>
        <v>614.86590000000001</v>
      </c>
      <c r="CD71" s="67">
        <f t="shared" ref="CD71:CD110" si="139">BP71*CS71</f>
        <v>1268.3870999999999</v>
      </c>
      <c r="CE71" s="68">
        <f t="shared" ref="CE71:CE110" si="140">BQ71*CT71</f>
        <v>501.01350000000002</v>
      </c>
      <c r="CF71" s="2"/>
      <c r="CG71" s="37" t="str">
        <f t="shared" si="67"/>
        <v>amach</v>
      </c>
      <c r="CH71" s="42" t="s">
        <v>503</v>
      </c>
      <c r="CI71" s="67">
        <f t="shared" si="68"/>
        <v>1562.7503999999999</v>
      </c>
      <c r="CJ71" s="67">
        <f t="shared" si="82"/>
        <v>2042.18516</v>
      </c>
      <c r="CK71" s="67">
        <f t="shared" si="83"/>
        <v>114.2615</v>
      </c>
      <c r="CL71" s="67">
        <f t="shared" si="84"/>
        <v>0</v>
      </c>
      <c r="CM71" s="30">
        <f t="shared" si="85"/>
        <v>595.73950000000002</v>
      </c>
      <c r="CN71" s="67">
        <f t="shared" si="86"/>
        <v>0</v>
      </c>
      <c r="CO71" s="67">
        <f t="shared" si="87"/>
        <v>0</v>
      </c>
      <c r="CP71" s="67">
        <f t="shared" si="88"/>
        <v>0</v>
      </c>
      <c r="CQ71" s="30">
        <f t="shared" si="89"/>
        <v>734.40150000000006</v>
      </c>
      <c r="CR71" s="67">
        <f t="shared" si="90"/>
        <v>614.86590000000001</v>
      </c>
      <c r="CS71" s="67">
        <f t="shared" si="91"/>
        <v>1268.3870999999999</v>
      </c>
      <c r="CT71" s="68">
        <f t="shared" si="92"/>
        <v>501.01350000000002</v>
      </c>
      <c r="CU71" s="2"/>
      <c r="CV71" s="42" t="s">
        <v>503</v>
      </c>
      <c r="CW71" s="67">
        <f t="shared" si="69"/>
        <v>0</v>
      </c>
      <c r="CX71" s="67">
        <f t="shared" si="93"/>
        <v>0</v>
      </c>
      <c r="CY71" s="67">
        <f t="shared" si="94"/>
        <v>0</v>
      </c>
      <c r="CZ71" s="67">
        <f t="shared" si="95"/>
        <v>0</v>
      </c>
      <c r="DA71" s="30">
        <f t="shared" si="96"/>
        <v>0</v>
      </c>
      <c r="DB71" s="67">
        <f t="shared" si="97"/>
        <v>0</v>
      </c>
      <c r="DC71" s="67">
        <f t="shared" si="98"/>
        <v>0</v>
      </c>
      <c r="DD71" s="67">
        <f t="shared" si="99"/>
        <v>0</v>
      </c>
      <c r="DE71" s="30">
        <f t="shared" si="100"/>
        <v>0</v>
      </c>
      <c r="DF71" s="67">
        <f t="shared" si="101"/>
        <v>0</v>
      </c>
      <c r="DG71" s="67">
        <f t="shared" si="102"/>
        <v>0</v>
      </c>
      <c r="DH71" s="68">
        <f t="shared" si="103"/>
        <v>0</v>
      </c>
      <c r="DI71" s="2"/>
      <c r="DJ71" s="37" t="s">
        <v>502</v>
      </c>
      <c r="DK71" s="76" t="s">
        <v>503</v>
      </c>
      <c r="DL71" s="67">
        <f t="shared" si="70"/>
        <v>164.5093</v>
      </c>
      <c r="DM71" s="67">
        <f t="shared" ref="DM71:DM110" si="141">SUMIF($EF$7:$EF$110,$DK71,EI$7:EI$110)*$DZ71*$EQ$5+SUMIF($ET$7:$ET$110,$DK71,EW$7:EW$110)*$EA71*$FE$5+SUMIF($FH$7:$FH$110,$DK71,FK$7:FK$110)*$EB71*$FS$5+SUMIF($FV$7:$FV$110,$DK71,FY$7:FY$110)*$EC71*$GG$5+SUMIF($GJ$7:$GJ$110,$DK71,GM$7:GM$110)*$ED71*$GU$5</f>
        <v>52.52816</v>
      </c>
      <c r="DN71" s="67">
        <f t="shared" ref="DN71:DN110" si="142">SUMIF($EF$7:$EF$110,$DK71,EJ$7:EJ$110)*$DZ71*$EQ$5+SUMIF($ET$7:$ET$110,$DK71,EX$7:EX$110)*$EA71*$FE$5+SUMIF($FH$7:$FH$110,$DK71,FL$7:FL$110)*$EB71*$FS$5+SUMIF($FV$7:$FV$110,$DK71,FZ$7:FZ$110)*$EC71*$GG$5+SUMIF($GJ$7:$GJ$110,$DK71,GN$7:GN$110)*$ED71*$GU$5</f>
        <v>114.2615</v>
      </c>
      <c r="DO71" s="67">
        <f t="shared" ref="DO71:DO110" si="143">SUMIF($EF$7:$EF$110,$DK71,EK$7:EK$110)*$DZ71*$EQ$5+SUMIF($ET$7:$ET$110,$DK71,EY$7:EY$110)*$EA71*$FE$5+SUMIF($FH$7:$FH$110,$DK71,FM$7:FM$110)*$EB71*$FS$5+SUMIF($FV$7:$FV$110,$DK71,GA$7:GA$110)*$EC71*$GG$5+SUMIF($GJ$7:$GJ$110,$DK71,GO$7:GO$110)*$ED71*$GU$5</f>
        <v>0</v>
      </c>
      <c r="DP71" s="30">
        <f t="shared" ref="DP71:DP110" si="144">SUMIF($EF$7:$EF$110,$DK71,EL$7:EL$110)*$DZ71*$EQ$5+SUMIF($ET$7:$ET$110,$DK71,EZ$7:EZ$110)*$EA71*$FE$5+SUMIF($FH$7:$FH$110,$DK71,FN$7:FN$110)*$EB71*$FS$5+SUMIF($FV$7:$FV$110,$DK71,GB$7:GB$110)*$EC71*$GG$5+SUMIF($GJ$7:$GJ$110,$DK71,GP$7:GP$110)*$ED71*$GU$5</f>
        <v>0</v>
      </c>
      <c r="DQ71" s="67">
        <f t="shared" ref="DQ71:DQ110" si="145">SUMIF($EF$7:$EF$110,$DK71,EM$7:EM$110)*$DZ71*$EQ$5+SUMIF($ET$7:$ET$110,$DK71,FA$7:FA$110)*$EA71*$FE$5+SUMIF($FH$7:$FH$110,$DK71,FO$7:FO$110)*$EB71*$FS$5+SUMIF($FV$7:$FV$110,$DK71,GC$7:GC$110)*$EC71*$GG$5+SUMIF($GJ$7:$GJ$110,$DK71,GQ$7:GQ$110)*$ED71*$GU$5</f>
        <v>0</v>
      </c>
      <c r="DR71" s="67">
        <f t="shared" ref="DR71:DR110" si="146">SUMIF($EF$7:$EF$110,$DK71,EN$7:EN$110)*$DZ71*$EQ$5+SUMIF($ET$7:$ET$110,$DK71,FB$7:FB$110)*$EA71*$FE$5+SUMIF($FH$7:$FH$110,$DK71,FP$7:FP$110)*$EB71*$FS$5+SUMIF($FV$7:$FV$110,$DK71,GD$7:GD$110)*$EC71*$GG$5+SUMIF($GJ$7:$GJ$110,$DK71,GR$7:GR$110)*$ED71*$GU$5</f>
        <v>0</v>
      </c>
      <c r="DS71" s="67">
        <f t="shared" ref="DS71:DS110" si="147">SUMIF($EF$7:$EF$110,$DK71,EO$7:EO$110)*$DZ71*$EQ$5+SUMIF($ET$7:$ET$110,$DK71,FC$7:FC$110)*$EA71*$FE$5+SUMIF($FH$7:$FH$110,$DK71,FQ$7:FQ$110)*$EB71*$FS$5+SUMIF($FV$7:$FV$110,$DK71,GE$7:GE$110)*$EC71*$GG$5+SUMIF($GJ$7:$GJ$110,$DK71,GS$7:GS$110)*$ED71*$GU$5</f>
        <v>0</v>
      </c>
      <c r="DT71" s="30">
        <f t="shared" ref="DT71:DT110" si="148">SUMIF($EF$7:$EF$110,$DK71,EP$7:EP$110)*$DZ71*$EQ$5+SUMIF($ET$7:$ET$110,$DK71,FD$7:FD$110)*$EA71*$FE$5+SUMIF($FH$7:$FH$110,$DK71,FR$7:FR$110)*$EB71*$FS$5+SUMIF($FV$7:$FV$110,$DK71,GF$7:GF$110)*$EC71*$GG$5+SUMIF($GJ$7:$GJ$110,$DK71,GT$7:GT$110)*$ED71*$GU$5</f>
        <v>189.6421</v>
      </c>
      <c r="DU71" s="67">
        <f t="shared" ref="DU71:DU110" si="149">SUMIF($EF$7:$EF$110,$DK71,EQ$7:EQ$110)*$DZ71*$EQ$5+SUMIF($ET$7:$ET$110,$DK71,FE$7:FE$110)*$EA71*$FE$5+SUMIF($FH$7:$FH$110,$DK71,FS$7:FS$110)*$EB71*$FS$5+SUMIF($FV$7:$FV$110,$DK71,GG$7:GG$110)*$EC71*$GG$5+SUMIF($GJ$7:$GJ$110,$DK71,GU$7:GU$110)*$ED71*$GU$5</f>
        <v>143.39449999999999</v>
      </c>
      <c r="DV71" s="67">
        <f t="shared" ref="DV71:DV110" si="150">SUMIF($EF$7:$EF$110,$DK71,ER$7:ER$110)*$DZ71*$EQ$5+SUMIF($ET$7:$ET$110,$DK71,FF$7:FF$110)*$EA71*$FE$5+SUMIF($FH$7:$FH$110,$DK71,FT$7:FT$110)*$EB71*$FS$5+SUMIF($FV$7:$FV$110,$DK71,GH$7:GH$110)*$EC71*$GG$5+SUMIF($GJ$7:$GJ$110,$DK71,GV$7:GV$110)*$ED71*$GU$5</f>
        <v>0</v>
      </c>
      <c r="DW71" s="68">
        <f t="shared" ref="DW71:DW110" si="151">SUMIF($EF$7:$EF$110,$DK71,ES$7:ES$110)*$DZ71*$EQ$5+SUMIF($ET$7:$ET$110,$DK71,FG$7:FG$110)*$EA71*$FE$5+SUMIF($FH$7:$FH$110,$DK71,FU$7:FU$110)*$EB71*$FS$5+SUMIF($FV$7:$FV$110,$DK71,GI$7:GI$110)*$EC71*$GG$5+SUMIF($GJ$7:$GJ$110,$DK71,GW$7:GW$110)*$ED71*$GU$5</f>
        <v>0</v>
      </c>
      <c r="DX71" s="2"/>
      <c r="DY71" s="81" t="s">
        <v>503</v>
      </c>
      <c r="DZ71" s="82"/>
      <c r="EA71" s="82"/>
      <c r="EB71" s="82"/>
      <c r="EC71" s="83"/>
      <c r="ED71" s="84">
        <v>1</v>
      </c>
      <c r="EE71" s="2"/>
      <c r="EF71" s="38" t="s">
        <v>503</v>
      </c>
      <c r="EG71" s="93" t="s">
        <v>503</v>
      </c>
      <c r="EH71" s="94"/>
      <c r="EI71" s="94"/>
      <c r="EJ71" s="94"/>
      <c r="EK71" s="94"/>
      <c r="EL71" s="94"/>
      <c r="EM71" s="94"/>
      <c r="EN71" s="94"/>
      <c r="EO71" s="94"/>
      <c r="EP71" s="94"/>
      <c r="EQ71" s="94"/>
      <c r="ER71" s="94"/>
      <c r="ES71" s="95"/>
      <c r="ET71" s="38" t="s">
        <v>503</v>
      </c>
      <c r="EU71" s="93" t="s">
        <v>503</v>
      </c>
      <c r="EV71" s="94"/>
      <c r="EW71" s="94"/>
      <c r="EX71" s="94"/>
      <c r="EY71" s="94"/>
      <c r="EZ71" s="94"/>
      <c r="FA71" s="94"/>
      <c r="FB71" s="94"/>
      <c r="FC71" s="94"/>
      <c r="FD71" s="94"/>
      <c r="FE71" s="94"/>
      <c r="FF71" s="94"/>
      <c r="FG71" s="95"/>
      <c r="FH71" s="38" t="s">
        <v>503</v>
      </c>
      <c r="FI71" s="93" t="s">
        <v>503</v>
      </c>
      <c r="FJ71" s="94"/>
      <c r="FK71" s="94"/>
      <c r="FL71" s="94"/>
      <c r="FM71" s="94"/>
      <c r="FN71" s="94"/>
      <c r="FO71" s="94"/>
      <c r="FP71" s="94"/>
      <c r="FQ71" s="94"/>
      <c r="FR71" s="94"/>
      <c r="FS71" s="94"/>
      <c r="FT71" s="94"/>
      <c r="FU71" s="95"/>
      <c r="FV71" s="38" t="s">
        <v>503</v>
      </c>
      <c r="FW71" s="93" t="s">
        <v>503</v>
      </c>
      <c r="FX71" s="94"/>
      <c r="FY71" s="94"/>
      <c r="FZ71" s="94"/>
      <c r="GA71" s="94"/>
      <c r="GB71" s="94"/>
      <c r="GC71" s="94"/>
      <c r="GD71" s="94"/>
      <c r="GE71" s="94"/>
      <c r="GF71" s="94"/>
      <c r="GG71" s="94"/>
      <c r="GH71" s="94"/>
      <c r="GI71" s="95"/>
      <c r="GJ71" s="38" t="s">
        <v>503</v>
      </c>
      <c r="GK71" s="93" t="s">
        <v>503</v>
      </c>
      <c r="GL71" s="94">
        <v>164.5093</v>
      </c>
      <c r="GM71" s="94">
        <v>52.52816</v>
      </c>
      <c r="GN71" s="94">
        <v>114.2615</v>
      </c>
      <c r="GO71" s="94">
        <v>0</v>
      </c>
      <c r="GP71" s="94"/>
      <c r="GQ71" s="94"/>
      <c r="GR71" s="94"/>
      <c r="GS71" s="94"/>
      <c r="GT71" s="94">
        <v>189.6421</v>
      </c>
      <c r="GU71" s="94">
        <v>143.39449999999999</v>
      </c>
      <c r="GV71" s="94"/>
      <c r="GW71" s="95"/>
      <c r="GX71" s="38"/>
    </row>
    <row r="72" spans="1:206" x14ac:dyDescent="0.35">
      <c r="A72" s="2"/>
      <c r="B72" s="2"/>
      <c r="C72" s="42" t="s">
        <v>534</v>
      </c>
      <c r="D72" s="43">
        <f t="shared" ref="D72:D110" si="152">IF(SUM($S72:$AD72),S72/SUM($S72:$AD72),0)</f>
        <v>8.7456316653139604E-2</v>
      </c>
      <c r="E72" s="43">
        <f t="shared" si="119"/>
        <v>0.52371157235206856</v>
      </c>
      <c r="F72" s="43">
        <f t="shared" si="120"/>
        <v>0</v>
      </c>
      <c r="G72" s="43">
        <f t="shared" si="121"/>
        <v>0</v>
      </c>
      <c r="H72" s="43">
        <f t="shared" si="122"/>
        <v>0</v>
      </c>
      <c r="I72" s="43">
        <f t="shared" si="123"/>
        <v>2.4068446484223096E-2</v>
      </c>
      <c r="J72" s="43">
        <f t="shared" si="124"/>
        <v>5.147134504524617E-2</v>
      </c>
      <c r="K72" s="43">
        <f t="shared" si="125"/>
        <v>0</v>
      </c>
      <c r="L72" s="43">
        <f t="shared" si="126"/>
        <v>9.1935024030810525E-2</v>
      </c>
      <c r="M72" s="43">
        <f t="shared" si="127"/>
        <v>8.9240835387933162E-2</v>
      </c>
      <c r="N72" s="43">
        <f t="shared" si="128"/>
        <v>6.495496835517546E-2</v>
      </c>
      <c r="O72" s="44">
        <f t="shared" si="129"/>
        <v>6.7161491691403438E-2</v>
      </c>
      <c r="P72" s="115">
        <f t="shared" ref="P72:P110" si="153">SUM(D72:O72)</f>
        <v>1</v>
      </c>
      <c r="Q72" s="2"/>
      <c r="R72" s="42" t="s">
        <v>534</v>
      </c>
      <c r="S72" s="43">
        <f t="shared" ref="S72:S110" si="154">IF(SUM($AR72:$AU72),$AK72*AR72/SUM($AR72:$AU72),0)</f>
        <v>8.7456316653139604E-2</v>
      </c>
      <c r="T72" s="43">
        <f t="shared" ref="T72:T110" si="155">IF(SUM($AR72:$AU72),$AK72*AS72/SUM($AR72:$AU72),0)</f>
        <v>0.52371157235206856</v>
      </c>
      <c r="U72" s="43">
        <f t="shared" ref="U72:U110" si="156">IF(SUM($AR72:$AU72),$AK72*AT72/SUM($AR72:$AU72),0)</f>
        <v>0</v>
      </c>
      <c r="V72" s="43">
        <f t="shared" ref="V72:V110" si="157">IF(SUM($AR72:$AU72),$AK72*AU72/SUM($AR72:$AU72),0)</f>
        <v>0</v>
      </c>
      <c r="W72" s="29">
        <f t="shared" ref="W72:W110" si="158">IF(SUM($AV72:$AY72),$AL72*AV72/SUM($AV72:$AY72),0)</f>
        <v>0</v>
      </c>
      <c r="X72" s="43">
        <f t="shared" ref="X72:X110" si="159">IF(SUM($AV72:$AY72),$AL72*AW72/SUM($AV72:$AY72),0)</f>
        <v>2.4068446484223096E-2</v>
      </c>
      <c r="Y72" s="43">
        <f t="shared" ref="Y72:Y110" si="160">IF(SUM($AV72:$AY72),$AL72*AX72/SUM($AV72:$AY72),0)</f>
        <v>5.147134504524617E-2</v>
      </c>
      <c r="Z72" s="43">
        <f t="shared" ref="Z72:Z110" si="161">IF(SUM($AV72:$AY72),$AL72*AY72/SUM($AV72:$AY72),0)</f>
        <v>0</v>
      </c>
      <c r="AA72" s="29">
        <f t="shared" ref="AA72:AA110" si="162">IF(SUM($AZ72:$BC72),(1-$AL72-$AK72)*AZ72/SUM($AZ72:$BC72),0)</f>
        <v>9.1935024030810525E-2</v>
      </c>
      <c r="AB72" s="43">
        <f t="shared" ref="AB72:AB110" si="163">IF(SUM($AZ72:$BC72),(1-$AL72-$AK72)*BA72/SUM($AZ72:$BC72),0)</f>
        <v>8.9240835387933162E-2</v>
      </c>
      <c r="AC72" s="43">
        <f t="shared" ref="AC72:AC110" si="164">IF(SUM($AZ72:$BC72),(1-$AL72-$AK72)*BB72/SUM($AZ72:$BC72),0)</f>
        <v>6.495496835517546E-2</v>
      </c>
      <c r="AD72" s="43">
        <f t="shared" ref="AD72:AD110" si="165">IF(SUM($AZ72:$BC72),(1-$AL72-$AK72)*BC72/SUM($AZ72:$BC72),0)</f>
        <v>6.7161491691403438E-2</v>
      </c>
      <c r="AE72" s="32">
        <f t="shared" ref="AE72:AE110" si="166">S72+W72+AA72</f>
        <v>0.17939134068395013</v>
      </c>
      <c r="AF72" s="53">
        <f t="shared" ref="AF72:AF110" si="167">T72+X72+AB72</f>
        <v>0.63702085422422483</v>
      </c>
      <c r="AG72" s="53">
        <f t="shared" ref="AG72:AG110" si="168">U72+Y72+AC72</f>
        <v>0.11642631340042163</v>
      </c>
      <c r="AH72" s="53">
        <f t="shared" ref="AH72:AH110" si="169">V72+Z72+AD72</f>
        <v>6.7161491691403438E-2</v>
      </c>
      <c r="AI72" s="34">
        <f t="shared" ref="AI72:AI110" si="170">IF(SUM($DL72:$DW72),SUM(DL72:DO72)/SUM($DL72:$DW72),0)</f>
        <v>0.61116788900520813</v>
      </c>
      <c r="AJ72" s="35">
        <f t="shared" ref="AJ72:AJ110" si="171">IF(SUM($DL72:$DW72),SUM(DP72:DS72)/SUM($DL72:$DW72),0)</f>
        <v>7.5539791529469269E-2</v>
      </c>
      <c r="AK72" s="34">
        <f t="shared" ref="AK72:AK108" si="172">AI72</f>
        <v>0.61116788900520813</v>
      </c>
      <c r="AL72" s="35">
        <f t="shared" ref="AL72:AL108" si="173">AJ72</f>
        <v>7.5539791529469269E-2</v>
      </c>
      <c r="AM72" s="35">
        <f t="shared" ref="AM72:AM108" si="174">1-SUM(AK72:AL72)</f>
        <v>0.31329231946532254</v>
      </c>
      <c r="AN72" s="36">
        <v>1</v>
      </c>
      <c r="AO72" s="54">
        <v>1</v>
      </c>
      <c r="AP72" s="2"/>
      <c r="AQ72" s="42" t="s">
        <v>534</v>
      </c>
      <c r="AR72" s="43">
        <f t="shared" ref="AR72:AR110" si="175">IF(SUM($BT72:$CE72),BT72/SUM($BT72:$CE72),0)</f>
        <v>8.0070287006954302E-2</v>
      </c>
      <c r="AS72" s="43">
        <f t="shared" si="71"/>
        <v>0.47948207187145525</v>
      </c>
      <c r="AT72" s="43">
        <f t="shared" si="72"/>
        <v>0</v>
      </c>
      <c r="AU72" s="43">
        <f t="shared" si="73"/>
        <v>0</v>
      </c>
      <c r="AV72" s="29">
        <f t="shared" si="74"/>
        <v>0</v>
      </c>
      <c r="AW72" s="43">
        <f t="shared" si="75"/>
        <v>1.7798486111781701E-2</v>
      </c>
      <c r="AX72" s="43">
        <f t="shared" si="76"/>
        <v>3.8062781515335882E-2</v>
      </c>
      <c r="AY72" s="43">
        <f t="shared" si="77"/>
        <v>0</v>
      </c>
      <c r="AZ72" s="29">
        <f t="shared" si="78"/>
        <v>0.11285612602785235</v>
      </c>
      <c r="BA72" s="43">
        <f t="shared" si="79"/>
        <v>0.10954883703512336</v>
      </c>
      <c r="BB72" s="43">
        <f t="shared" si="80"/>
        <v>7.9736380907129839E-2</v>
      </c>
      <c r="BC72" s="44">
        <f t="shared" si="81"/>
        <v>8.2445029524367233E-2</v>
      </c>
      <c r="BD72" s="2"/>
      <c r="BE72" s="42" t="s">
        <v>534</v>
      </c>
      <c r="BF72" s="62">
        <v>1</v>
      </c>
      <c r="BG72" s="62">
        <v>1</v>
      </c>
      <c r="BH72" s="62">
        <v>1</v>
      </c>
      <c r="BI72" s="62">
        <v>1</v>
      </c>
      <c r="BJ72" s="36">
        <v>1</v>
      </c>
      <c r="BK72" s="62">
        <v>1</v>
      </c>
      <c r="BL72" s="62">
        <v>1</v>
      </c>
      <c r="BM72" s="62">
        <v>1</v>
      </c>
      <c r="BN72" s="36">
        <v>1</v>
      </c>
      <c r="BO72" s="62">
        <v>1</v>
      </c>
      <c r="BP72" s="62">
        <v>1</v>
      </c>
      <c r="BQ72" s="54">
        <v>1</v>
      </c>
      <c r="BR72" s="2"/>
      <c r="BS72" s="42" t="s">
        <v>534</v>
      </c>
      <c r="BT72" s="67">
        <f t="shared" ref="BT72:BT110" si="176">BF72*CI72</f>
        <v>493.69779999999997</v>
      </c>
      <c r="BU72" s="67">
        <f t="shared" si="130"/>
        <v>2956.3930999999998</v>
      </c>
      <c r="BV72" s="67">
        <f t="shared" si="131"/>
        <v>0</v>
      </c>
      <c r="BW72" s="67">
        <f t="shared" si="132"/>
        <v>0</v>
      </c>
      <c r="BX72" s="30">
        <f t="shared" si="133"/>
        <v>0</v>
      </c>
      <c r="BY72" s="67">
        <f t="shared" si="134"/>
        <v>109.742</v>
      </c>
      <c r="BZ72" s="67">
        <f t="shared" si="135"/>
        <v>234.68770000000001</v>
      </c>
      <c r="CA72" s="67">
        <f t="shared" si="136"/>
        <v>0</v>
      </c>
      <c r="CB72" s="30">
        <f t="shared" si="137"/>
        <v>695.84889999999996</v>
      </c>
      <c r="CC72" s="67">
        <f t="shared" si="138"/>
        <v>675.45679999999993</v>
      </c>
      <c r="CD72" s="67">
        <f t="shared" si="139"/>
        <v>491.63900000000001</v>
      </c>
      <c r="CE72" s="68">
        <f t="shared" si="140"/>
        <v>508.34</v>
      </c>
      <c r="CF72" s="2"/>
      <c r="CG72" s="37" t="str">
        <f t="shared" ref="CG72:CG110" si="177">DJ72</f>
        <v>afurn</v>
      </c>
      <c r="CH72" s="42" t="s">
        <v>534</v>
      </c>
      <c r="CI72" s="67">
        <f t="shared" ref="CI72:CI110" si="178">SUMIF($CV$7:$CV$110,$CG72,CW$7:CW$110)</f>
        <v>493.69779999999997</v>
      </c>
      <c r="CJ72" s="67">
        <f t="shared" si="82"/>
        <v>2956.3930999999998</v>
      </c>
      <c r="CK72" s="67">
        <f t="shared" si="83"/>
        <v>0</v>
      </c>
      <c r="CL72" s="67">
        <f t="shared" si="84"/>
        <v>0</v>
      </c>
      <c r="CM72" s="30">
        <f t="shared" si="85"/>
        <v>0</v>
      </c>
      <c r="CN72" s="67">
        <f t="shared" si="86"/>
        <v>109.742</v>
      </c>
      <c r="CO72" s="67">
        <f t="shared" si="87"/>
        <v>234.68770000000001</v>
      </c>
      <c r="CP72" s="67">
        <f t="shared" si="88"/>
        <v>0</v>
      </c>
      <c r="CQ72" s="30">
        <f t="shared" si="89"/>
        <v>695.84889999999996</v>
      </c>
      <c r="CR72" s="67">
        <f t="shared" si="90"/>
        <v>675.45679999999993</v>
      </c>
      <c r="CS72" s="67">
        <f t="shared" si="91"/>
        <v>491.63900000000001</v>
      </c>
      <c r="CT72" s="68">
        <f t="shared" si="92"/>
        <v>508.34</v>
      </c>
      <c r="CU72" s="2"/>
      <c r="CV72" s="42" t="s">
        <v>534</v>
      </c>
      <c r="CW72" s="67">
        <f t="shared" ref="CW72:CW110" si="179">SUMIF($DJ$7:$DJ$110,$CV72,DL$7:DL$110)</f>
        <v>493.69779999999997</v>
      </c>
      <c r="CX72" s="67">
        <f t="shared" si="93"/>
        <v>2956.3930999999998</v>
      </c>
      <c r="CY72" s="67">
        <f t="shared" si="94"/>
        <v>0</v>
      </c>
      <c r="CZ72" s="67">
        <f t="shared" si="95"/>
        <v>0</v>
      </c>
      <c r="DA72" s="30">
        <f t="shared" si="96"/>
        <v>0</v>
      </c>
      <c r="DB72" s="67">
        <f t="shared" si="97"/>
        <v>109.742</v>
      </c>
      <c r="DC72" s="67">
        <f t="shared" si="98"/>
        <v>234.68770000000001</v>
      </c>
      <c r="DD72" s="67">
        <f t="shared" si="99"/>
        <v>0</v>
      </c>
      <c r="DE72" s="30">
        <f t="shared" si="100"/>
        <v>695.84889999999996</v>
      </c>
      <c r="DF72" s="67">
        <f t="shared" si="101"/>
        <v>675.45679999999993</v>
      </c>
      <c r="DG72" s="67">
        <f t="shared" si="102"/>
        <v>491.63900000000001</v>
      </c>
      <c r="DH72" s="68">
        <f t="shared" si="103"/>
        <v>508.34</v>
      </c>
      <c r="DI72" s="2"/>
      <c r="DJ72" s="37" t="s">
        <v>534</v>
      </c>
      <c r="DK72" s="76" t="s">
        <v>534</v>
      </c>
      <c r="DL72" s="67">
        <f t="shared" ref="DL72:DL110" si="180">SUMIF($EF$7:$EF$110,$DK72,EH$7:EH$110)*$DZ72*$EQ$5+SUMIF($ET$7:$ET$110,$DK72,EV$7:EV$110)*$EA72*$FE$5+SUMIF($FH$7:$FH$110,$DK72,FJ$7:FJ$110)*$EB72*$FS$5+SUMIF($FV$7:$FV$110,$DK72,FX$7:FX$110)*$EC72*$GG$5+SUMIF($GJ$7:$GJ$110,$DK72,GL$7:GL$110)*$ED72*$GU$5</f>
        <v>366.88069999999999</v>
      </c>
      <c r="DM72" s="67">
        <f t="shared" si="141"/>
        <v>2419.788</v>
      </c>
      <c r="DN72" s="67">
        <f t="shared" si="142"/>
        <v>0</v>
      </c>
      <c r="DO72" s="67">
        <f t="shared" si="143"/>
        <v>0</v>
      </c>
      <c r="DP72" s="30">
        <f t="shared" si="144"/>
        <v>0</v>
      </c>
      <c r="DQ72" s="67">
        <f t="shared" si="145"/>
        <v>109.742</v>
      </c>
      <c r="DR72" s="67">
        <f t="shared" si="146"/>
        <v>234.68770000000001</v>
      </c>
      <c r="DS72" s="67">
        <f t="shared" si="147"/>
        <v>0</v>
      </c>
      <c r="DT72" s="30">
        <f t="shared" si="148"/>
        <v>529.98379999999997</v>
      </c>
      <c r="DU72" s="67">
        <f t="shared" si="149"/>
        <v>522.13919999999996</v>
      </c>
      <c r="DV72" s="67">
        <f t="shared" si="150"/>
        <v>376.35829999999999</v>
      </c>
      <c r="DW72" s="68">
        <f t="shared" si="151"/>
        <v>0</v>
      </c>
      <c r="DX72" s="2"/>
      <c r="DY72" s="81" t="s">
        <v>534</v>
      </c>
      <c r="DZ72" s="82"/>
      <c r="EA72" s="82"/>
      <c r="EB72" s="82"/>
      <c r="EC72" s="83"/>
      <c r="ED72" s="84">
        <v>1</v>
      </c>
      <c r="EE72" s="2"/>
      <c r="EF72" s="38" t="s">
        <v>534</v>
      </c>
      <c r="EG72" s="93" t="s">
        <v>534</v>
      </c>
      <c r="EH72" s="94"/>
      <c r="EI72" s="94"/>
      <c r="EJ72" s="94"/>
      <c r="EK72" s="94"/>
      <c r="EL72" s="94"/>
      <c r="EM72" s="94"/>
      <c r="EN72" s="94"/>
      <c r="EO72" s="94"/>
      <c r="EP72" s="94"/>
      <c r="EQ72" s="94"/>
      <c r="ER72" s="94"/>
      <c r="ES72" s="95"/>
      <c r="ET72" s="38" t="s">
        <v>534</v>
      </c>
      <c r="EU72" s="93" t="s">
        <v>534</v>
      </c>
      <c r="EV72" s="94"/>
      <c r="EW72" s="94"/>
      <c r="EX72" s="94"/>
      <c r="EY72" s="94"/>
      <c r="EZ72" s="94"/>
      <c r="FA72" s="94"/>
      <c r="FB72" s="94"/>
      <c r="FC72" s="94"/>
      <c r="FD72" s="94"/>
      <c r="FE72" s="94"/>
      <c r="FF72" s="94"/>
      <c r="FG72" s="95"/>
      <c r="FH72" s="38" t="s">
        <v>534</v>
      </c>
      <c r="FI72" s="93" t="s">
        <v>534</v>
      </c>
      <c r="FJ72" s="94"/>
      <c r="FK72" s="94"/>
      <c r="FL72" s="94"/>
      <c r="FM72" s="94"/>
      <c r="FN72" s="94"/>
      <c r="FO72" s="94"/>
      <c r="FP72" s="94"/>
      <c r="FQ72" s="94"/>
      <c r="FR72" s="94"/>
      <c r="FS72" s="94"/>
      <c r="FT72" s="94"/>
      <c r="FU72" s="95"/>
      <c r="FV72" s="38" t="s">
        <v>534</v>
      </c>
      <c r="FW72" s="93" t="s">
        <v>534</v>
      </c>
      <c r="FX72" s="94"/>
      <c r="FY72" s="94"/>
      <c r="FZ72" s="94"/>
      <c r="GA72" s="94"/>
      <c r="GB72" s="94"/>
      <c r="GC72" s="94"/>
      <c r="GD72" s="94"/>
      <c r="GE72" s="94"/>
      <c r="GF72" s="94"/>
      <c r="GG72" s="94"/>
      <c r="GH72" s="94"/>
      <c r="GI72" s="95"/>
      <c r="GJ72" s="38" t="s">
        <v>534</v>
      </c>
      <c r="GK72" s="93" t="s">
        <v>534</v>
      </c>
      <c r="GL72" s="94">
        <v>366.88069999999999</v>
      </c>
      <c r="GM72" s="94">
        <v>2419.788</v>
      </c>
      <c r="GN72" s="94"/>
      <c r="GO72" s="94">
        <v>0</v>
      </c>
      <c r="GP72" s="94"/>
      <c r="GQ72" s="94">
        <v>109.742</v>
      </c>
      <c r="GR72" s="94">
        <v>234.68770000000001</v>
      </c>
      <c r="GS72" s="94"/>
      <c r="GT72" s="94">
        <v>529.98379999999997</v>
      </c>
      <c r="GU72" s="94">
        <v>522.13919999999996</v>
      </c>
      <c r="GV72" s="94">
        <v>376.35829999999999</v>
      </c>
      <c r="GW72" s="95"/>
      <c r="GX72" s="38"/>
    </row>
    <row r="73" spans="1:206" x14ac:dyDescent="0.35">
      <c r="A73" s="2"/>
      <c r="B73" s="2"/>
      <c r="C73" s="42" t="s">
        <v>504</v>
      </c>
      <c r="D73" s="43">
        <f t="shared" si="152"/>
        <v>7.3435277107721977E-2</v>
      </c>
      <c r="E73" s="43">
        <f t="shared" si="119"/>
        <v>0.43974987641803781</v>
      </c>
      <c r="F73" s="43">
        <f t="shared" si="120"/>
        <v>0</v>
      </c>
      <c r="G73" s="43">
        <f t="shared" si="121"/>
        <v>0</v>
      </c>
      <c r="H73" s="43">
        <f t="shared" si="122"/>
        <v>0</v>
      </c>
      <c r="I73" s="43">
        <f t="shared" si="123"/>
        <v>1.203422324211155E-2</v>
      </c>
      <c r="J73" s="43">
        <f t="shared" si="124"/>
        <v>2.5735672522623088E-2</v>
      </c>
      <c r="K73" s="43">
        <f t="shared" si="125"/>
        <v>0</v>
      </c>
      <c r="L73" s="43">
        <f t="shared" si="126"/>
        <v>0.13177137059998059</v>
      </c>
      <c r="M73" s="43">
        <f t="shared" si="127"/>
        <v>0.12790976362408127</v>
      </c>
      <c r="N73" s="43">
        <f t="shared" si="128"/>
        <v>9.3100592485529335E-2</v>
      </c>
      <c r="O73" s="44">
        <f t="shared" si="129"/>
        <v>9.6263223999914535E-2</v>
      </c>
      <c r="P73" s="115">
        <f t="shared" si="153"/>
        <v>1.0000000000000002</v>
      </c>
      <c r="Q73" s="2"/>
      <c r="R73" s="42" t="s">
        <v>504</v>
      </c>
      <c r="S73" s="43">
        <f t="shared" si="154"/>
        <v>7.3435277107721963E-2</v>
      </c>
      <c r="T73" s="43">
        <f t="shared" si="155"/>
        <v>0.43974987641803776</v>
      </c>
      <c r="U73" s="43">
        <f t="shared" si="156"/>
        <v>0</v>
      </c>
      <c r="V73" s="43">
        <f t="shared" si="157"/>
        <v>0</v>
      </c>
      <c r="W73" s="29">
        <f t="shared" si="158"/>
        <v>0</v>
      </c>
      <c r="X73" s="43">
        <f t="shared" si="159"/>
        <v>1.2034223242111548E-2</v>
      </c>
      <c r="Y73" s="43">
        <f t="shared" si="160"/>
        <v>2.5735672522623085E-2</v>
      </c>
      <c r="Z73" s="43">
        <f t="shared" si="161"/>
        <v>0</v>
      </c>
      <c r="AA73" s="29">
        <f t="shared" si="162"/>
        <v>0.13177137059998056</v>
      </c>
      <c r="AB73" s="43">
        <f t="shared" si="163"/>
        <v>0.12790976362408124</v>
      </c>
      <c r="AC73" s="43">
        <f t="shared" si="164"/>
        <v>9.3100592485529321E-2</v>
      </c>
      <c r="AD73" s="43">
        <f t="shared" si="165"/>
        <v>9.6263223999914521E-2</v>
      </c>
      <c r="AE73" s="32">
        <f t="shared" si="166"/>
        <v>0.20520664770770253</v>
      </c>
      <c r="AF73" s="53">
        <f t="shared" si="167"/>
        <v>0.57969386328423056</v>
      </c>
      <c r="AG73" s="53">
        <f t="shared" si="168"/>
        <v>0.11883626500815241</v>
      </c>
      <c r="AH73" s="53">
        <f t="shared" si="169"/>
        <v>9.6263223999914521E-2</v>
      </c>
      <c r="AI73" s="34">
        <f t="shared" si="170"/>
        <v>0.41520241804631136</v>
      </c>
      <c r="AJ73" s="35">
        <f t="shared" si="171"/>
        <v>0</v>
      </c>
      <c r="AK73" s="34">
        <f>AVERAGE(AI72:AI73)</f>
        <v>0.51318515352575977</v>
      </c>
      <c r="AL73" s="35">
        <f t="shared" ref="AL73" si="181">AVERAGE(AJ72:AJ73)</f>
        <v>3.7769895764734635E-2</v>
      </c>
      <c r="AM73" s="35">
        <f t="shared" si="174"/>
        <v>0.44904495070950556</v>
      </c>
      <c r="AN73" s="36">
        <v>1</v>
      </c>
      <c r="AO73" s="54">
        <v>1</v>
      </c>
      <c r="AP73" s="2"/>
      <c r="AQ73" s="42" t="s">
        <v>504</v>
      </c>
      <c r="AR73" s="43">
        <f t="shared" si="175"/>
        <v>8.0070287006954302E-2</v>
      </c>
      <c r="AS73" s="43">
        <f t="shared" si="71"/>
        <v>0.47948207187145525</v>
      </c>
      <c r="AT73" s="43">
        <f t="shared" si="72"/>
        <v>0</v>
      </c>
      <c r="AU73" s="43">
        <f t="shared" si="73"/>
        <v>0</v>
      </c>
      <c r="AV73" s="29">
        <f t="shared" si="74"/>
        <v>0</v>
      </c>
      <c r="AW73" s="43">
        <f t="shared" si="75"/>
        <v>1.7798486111781701E-2</v>
      </c>
      <c r="AX73" s="43">
        <f t="shared" si="76"/>
        <v>3.8062781515335882E-2</v>
      </c>
      <c r="AY73" s="43">
        <f t="shared" si="77"/>
        <v>0</v>
      </c>
      <c r="AZ73" s="29">
        <f t="shared" si="78"/>
        <v>0.11285612602785235</v>
      </c>
      <c r="BA73" s="43">
        <f t="shared" si="79"/>
        <v>0.10954883703512336</v>
      </c>
      <c r="BB73" s="43">
        <f t="shared" si="80"/>
        <v>7.9736380907129839E-2</v>
      </c>
      <c r="BC73" s="44">
        <f t="shared" si="81"/>
        <v>8.2445029524367233E-2</v>
      </c>
      <c r="BD73" s="2"/>
      <c r="BE73" s="42" t="s">
        <v>504</v>
      </c>
      <c r="BF73" s="62">
        <v>1</v>
      </c>
      <c r="BG73" s="62">
        <v>1</v>
      </c>
      <c r="BH73" s="62">
        <v>1</v>
      </c>
      <c r="BI73" s="62">
        <v>1</v>
      </c>
      <c r="BJ73" s="36">
        <v>1</v>
      </c>
      <c r="BK73" s="62">
        <v>1</v>
      </c>
      <c r="BL73" s="62">
        <v>1</v>
      </c>
      <c r="BM73" s="62">
        <v>1</v>
      </c>
      <c r="BN73" s="36">
        <v>1</v>
      </c>
      <c r="BO73" s="62">
        <v>1</v>
      </c>
      <c r="BP73" s="62">
        <v>1</v>
      </c>
      <c r="BQ73" s="54">
        <v>1</v>
      </c>
      <c r="BR73" s="2"/>
      <c r="BS73" s="42" t="s">
        <v>504</v>
      </c>
      <c r="BT73" s="67">
        <f t="shared" si="176"/>
        <v>493.69779999999997</v>
      </c>
      <c r="BU73" s="67">
        <f t="shared" si="130"/>
        <v>2956.3930999999998</v>
      </c>
      <c r="BV73" s="67">
        <f t="shared" si="131"/>
        <v>0</v>
      </c>
      <c r="BW73" s="67">
        <f t="shared" si="132"/>
        <v>0</v>
      </c>
      <c r="BX73" s="30">
        <f t="shared" si="133"/>
        <v>0</v>
      </c>
      <c r="BY73" s="67">
        <f t="shared" si="134"/>
        <v>109.742</v>
      </c>
      <c r="BZ73" s="67">
        <f t="shared" si="135"/>
        <v>234.68770000000001</v>
      </c>
      <c r="CA73" s="67">
        <f t="shared" si="136"/>
        <v>0</v>
      </c>
      <c r="CB73" s="30">
        <f t="shared" si="137"/>
        <v>695.84889999999996</v>
      </c>
      <c r="CC73" s="67">
        <f t="shared" si="138"/>
        <v>675.45679999999993</v>
      </c>
      <c r="CD73" s="67">
        <f t="shared" si="139"/>
        <v>491.63900000000001</v>
      </c>
      <c r="CE73" s="68">
        <f t="shared" si="140"/>
        <v>508.34</v>
      </c>
      <c r="CF73" s="2"/>
      <c r="CG73" s="37" t="str">
        <f t="shared" si="177"/>
        <v>afurn</v>
      </c>
      <c r="CH73" s="42" t="s">
        <v>504</v>
      </c>
      <c r="CI73" s="67">
        <f t="shared" si="178"/>
        <v>493.69779999999997</v>
      </c>
      <c r="CJ73" s="67">
        <f t="shared" si="82"/>
        <v>2956.3930999999998</v>
      </c>
      <c r="CK73" s="67">
        <f t="shared" si="83"/>
        <v>0</v>
      </c>
      <c r="CL73" s="67">
        <f t="shared" si="84"/>
        <v>0</v>
      </c>
      <c r="CM73" s="30">
        <f t="shared" si="85"/>
        <v>0</v>
      </c>
      <c r="CN73" s="67">
        <f t="shared" si="86"/>
        <v>109.742</v>
      </c>
      <c r="CO73" s="67">
        <f t="shared" si="87"/>
        <v>234.68770000000001</v>
      </c>
      <c r="CP73" s="67">
        <f t="shared" si="88"/>
        <v>0</v>
      </c>
      <c r="CQ73" s="30">
        <f t="shared" si="89"/>
        <v>695.84889999999996</v>
      </c>
      <c r="CR73" s="67">
        <f t="shared" si="90"/>
        <v>675.45679999999993</v>
      </c>
      <c r="CS73" s="67">
        <f t="shared" si="91"/>
        <v>491.63900000000001</v>
      </c>
      <c r="CT73" s="68">
        <f t="shared" si="92"/>
        <v>508.34</v>
      </c>
      <c r="CU73" s="2"/>
      <c r="CV73" s="42" t="s">
        <v>504</v>
      </c>
      <c r="CW73" s="67">
        <f t="shared" si="179"/>
        <v>0</v>
      </c>
      <c r="CX73" s="67">
        <f t="shared" si="93"/>
        <v>0</v>
      </c>
      <c r="CY73" s="67">
        <f t="shared" si="94"/>
        <v>0</v>
      </c>
      <c r="CZ73" s="67">
        <f t="shared" si="95"/>
        <v>0</v>
      </c>
      <c r="DA73" s="30">
        <f t="shared" si="96"/>
        <v>0</v>
      </c>
      <c r="DB73" s="67">
        <f t="shared" si="97"/>
        <v>0</v>
      </c>
      <c r="DC73" s="67">
        <f t="shared" si="98"/>
        <v>0</v>
      </c>
      <c r="DD73" s="67">
        <f t="shared" si="99"/>
        <v>0</v>
      </c>
      <c r="DE73" s="30">
        <f t="shared" si="100"/>
        <v>0</v>
      </c>
      <c r="DF73" s="67">
        <f t="shared" si="101"/>
        <v>0</v>
      </c>
      <c r="DG73" s="67">
        <f t="shared" si="102"/>
        <v>0</v>
      </c>
      <c r="DH73" s="68">
        <f t="shared" si="103"/>
        <v>0</v>
      </c>
      <c r="DI73" s="2"/>
      <c r="DJ73" s="37" t="s">
        <v>534</v>
      </c>
      <c r="DK73" s="76" t="s">
        <v>504</v>
      </c>
      <c r="DL73" s="67">
        <f t="shared" si="180"/>
        <v>126.8171</v>
      </c>
      <c r="DM73" s="67">
        <f t="shared" si="141"/>
        <v>433.71260000000001</v>
      </c>
      <c r="DN73" s="67">
        <f t="shared" si="142"/>
        <v>0</v>
      </c>
      <c r="DO73" s="67">
        <f t="shared" si="143"/>
        <v>0</v>
      </c>
      <c r="DP73" s="30">
        <f t="shared" si="144"/>
        <v>0</v>
      </c>
      <c r="DQ73" s="67">
        <f t="shared" si="145"/>
        <v>0</v>
      </c>
      <c r="DR73" s="67">
        <f t="shared" si="146"/>
        <v>0</v>
      </c>
      <c r="DS73" s="67">
        <f t="shared" si="147"/>
        <v>0</v>
      </c>
      <c r="DT73" s="30">
        <f t="shared" si="148"/>
        <v>165.86510000000001</v>
      </c>
      <c r="DU73" s="67">
        <f t="shared" si="149"/>
        <v>0</v>
      </c>
      <c r="DV73" s="67">
        <f t="shared" si="150"/>
        <v>115.2807</v>
      </c>
      <c r="DW73" s="68">
        <f t="shared" si="151"/>
        <v>508.34</v>
      </c>
      <c r="DX73" s="2"/>
      <c r="DY73" s="81" t="s">
        <v>504</v>
      </c>
      <c r="DZ73" s="82"/>
      <c r="EA73" s="82"/>
      <c r="EB73" s="82"/>
      <c r="EC73" s="83"/>
      <c r="ED73" s="84">
        <v>1</v>
      </c>
      <c r="EE73" s="2"/>
      <c r="EF73" s="38" t="s">
        <v>504</v>
      </c>
      <c r="EG73" s="93" t="s">
        <v>504</v>
      </c>
      <c r="EH73" s="94"/>
      <c r="EI73" s="94"/>
      <c r="EJ73" s="94"/>
      <c r="EK73" s="94"/>
      <c r="EL73" s="94"/>
      <c r="EM73" s="94"/>
      <c r="EN73" s="94"/>
      <c r="EO73" s="94"/>
      <c r="EP73" s="94"/>
      <c r="EQ73" s="94"/>
      <c r="ER73" s="94"/>
      <c r="ES73" s="95"/>
      <c r="ET73" s="38" t="s">
        <v>504</v>
      </c>
      <c r="EU73" s="93" t="s">
        <v>504</v>
      </c>
      <c r="EV73" s="94"/>
      <c r="EW73" s="94"/>
      <c r="EX73" s="94"/>
      <c r="EY73" s="94"/>
      <c r="EZ73" s="94"/>
      <c r="FA73" s="94"/>
      <c r="FB73" s="94"/>
      <c r="FC73" s="94"/>
      <c r="FD73" s="94"/>
      <c r="FE73" s="94"/>
      <c r="FF73" s="94"/>
      <c r="FG73" s="95"/>
      <c r="FH73" s="38" t="s">
        <v>504</v>
      </c>
      <c r="FI73" s="93" t="s">
        <v>504</v>
      </c>
      <c r="FJ73" s="94"/>
      <c r="FK73" s="94"/>
      <c r="FL73" s="94"/>
      <c r="FM73" s="94"/>
      <c r="FN73" s="94"/>
      <c r="FO73" s="94"/>
      <c r="FP73" s="94"/>
      <c r="FQ73" s="94"/>
      <c r="FR73" s="94"/>
      <c r="FS73" s="94"/>
      <c r="FT73" s="94"/>
      <c r="FU73" s="95"/>
      <c r="FV73" s="38" t="s">
        <v>504</v>
      </c>
      <c r="FW73" s="93" t="s">
        <v>504</v>
      </c>
      <c r="FX73" s="94"/>
      <c r="FY73" s="94"/>
      <c r="FZ73" s="94"/>
      <c r="GA73" s="94"/>
      <c r="GB73" s="94"/>
      <c r="GC73" s="94"/>
      <c r="GD73" s="94"/>
      <c r="GE73" s="94"/>
      <c r="GF73" s="94"/>
      <c r="GG73" s="94"/>
      <c r="GH73" s="94"/>
      <c r="GI73" s="95"/>
      <c r="GJ73" s="38" t="s">
        <v>504</v>
      </c>
      <c r="GK73" s="93" t="s">
        <v>504</v>
      </c>
      <c r="GL73" s="94">
        <v>126.8171</v>
      </c>
      <c r="GM73" s="94">
        <v>433.71260000000001</v>
      </c>
      <c r="GN73" s="94">
        <v>0</v>
      </c>
      <c r="GO73" s="94"/>
      <c r="GP73" s="94"/>
      <c r="GQ73" s="94"/>
      <c r="GR73" s="94"/>
      <c r="GS73" s="94"/>
      <c r="GT73" s="94">
        <v>165.86510000000001</v>
      </c>
      <c r="GU73" s="94"/>
      <c r="GV73" s="94">
        <v>115.2807</v>
      </c>
      <c r="GW73" s="95">
        <v>508.34</v>
      </c>
      <c r="GX73" s="38"/>
    </row>
    <row r="74" spans="1:206" x14ac:dyDescent="0.35">
      <c r="A74" s="2"/>
      <c r="B74" s="2"/>
      <c r="C74" s="42" t="s">
        <v>535</v>
      </c>
      <c r="D74" s="43">
        <f t="shared" si="152"/>
        <v>7.2461631990917333E-2</v>
      </c>
      <c r="E74" s="43">
        <f t="shared" si="119"/>
        <v>0.43391943175093606</v>
      </c>
      <c r="F74" s="43">
        <f t="shared" si="120"/>
        <v>0</v>
      </c>
      <c r="G74" s="43">
        <f t="shared" si="121"/>
        <v>0</v>
      </c>
      <c r="H74" s="43">
        <f t="shared" si="122"/>
        <v>0</v>
      </c>
      <c r="I74" s="43">
        <f t="shared" si="123"/>
        <v>1.2034223242111548E-2</v>
      </c>
      <c r="J74" s="43">
        <f t="shared" si="124"/>
        <v>2.5735672522623085E-2</v>
      </c>
      <c r="K74" s="43">
        <f t="shared" si="125"/>
        <v>0</v>
      </c>
      <c r="L74" s="43">
        <f t="shared" si="126"/>
        <v>0.1337680175617024</v>
      </c>
      <c r="M74" s="43">
        <f t="shared" si="127"/>
        <v>0.12984789813502801</v>
      </c>
      <c r="N74" s="43">
        <f t="shared" si="128"/>
        <v>9.4511285978921292E-2</v>
      </c>
      <c r="O74" s="44">
        <f t="shared" si="129"/>
        <v>9.7721838817760281E-2</v>
      </c>
      <c r="P74" s="115">
        <f t="shared" si="153"/>
        <v>1</v>
      </c>
      <c r="Q74" s="2"/>
      <c r="R74" s="42" t="s">
        <v>535</v>
      </c>
      <c r="S74" s="43">
        <f t="shared" si="154"/>
        <v>7.2461631990917333E-2</v>
      </c>
      <c r="T74" s="43">
        <f t="shared" si="155"/>
        <v>0.43391943175093606</v>
      </c>
      <c r="U74" s="43">
        <f t="shared" si="156"/>
        <v>0</v>
      </c>
      <c r="V74" s="43">
        <f t="shared" si="157"/>
        <v>0</v>
      </c>
      <c r="W74" s="29">
        <f t="shared" si="158"/>
        <v>0</v>
      </c>
      <c r="X74" s="43">
        <f t="shared" si="159"/>
        <v>1.2034223242111548E-2</v>
      </c>
      <c r="Y74" s="43">
        <f t="shared" si="160"/>
        <v>2.5735672522623085E-2</v>
      </c>
      <c r="Z74" s="43">
        <f t="shared" si="161"/>
        <v>0</v>
      </c>
      <c r="AA74" s="29">
        <f t="shared" si="162"/>
        <v>0.1337680175617024</v>
      </c>
      <c r="AB74" s="43">
        <f t="shared" si="163"/>
        <v>0.12984789813502801</v>
      </c>
      <c r="AC74" s="43">
        <f t="shared" si="164"/>
        <v>9.4511285978921292E-2</v>
      </c>
      <c r="AD74" s="43">
        <f t="shared" si="165"/>
        <v>9.7721838817760281E-2</v>
      </c>
      <c r="AE74" s="32">
        <f t="shared" si="166"/>
        <v>0.20622964955261974</v>
      </c>
      <c r="AF74" s="53">
        <f t="shared" si="167"/>
        <v>0.57580155312807557</v>
      </c>
      <c r="AG74" s="53">
        <f t="shared" si="168"/>
        <v>0.12024695850154438</v>
      </c>
      <c r="AH74" s="53">
        <f t="shared" si="169"/>
        <v>9.7721838817760281E-2</v>
      </c>
      <c r="AI74" s="34">
        <f t="shared" si="170"/>
        <v>0.40159423847849868</v>
      </c>
      <c r="AJ74" s="35">
        <f t="shared" si="171"/>
        <v>0</v>
      </c>
      <c r="AK74" s="34">
        <f>AVERAGE(AI74,AI72)</f>
        <v>0.50638106374185343</v>
      </c>
      <c r="AL74" s="35">
        <f t="shared" ref="AL74" si="182">AVERAGE(AJ74,AJ72)</f>
        <v>3.7769895764734635E-2</v>
      </c>
      <c r="AM74" s="35">
        <f t="shared" si="174"/>
        <v>0.45584904049341191</v>
      </c>
      <c r="AN74" s="36">
        <v>1</v>
      </c>
      <c r="AO74" s="54">
        <v>1</v>
      </c>
      <c r="AP74" s="2"/>
      <c r="AQ74" s="42" t="s">
        <v>535</v>
      </c>
      <c r="AR74" s="43">
        <f t="shared" si="175"/>
        <v>8.0070287006954302E-2</v>
      </c>
      <c r="AS74" s="43">
        <f t="shared" si="71"/>
        <v>0.47948207187145525</v>
      </c>
      <c r="AT74" s="43">
        <f t="shared" si="72"/>
        <v>0</v>
      </c>
      <c r="AU74" s="43">
        <f t="shared" si="73"/>
        <v>0</v>
      </c>
      <c r="AV74" s="29">
        <f t="shared" si="74"/>
        <v>0</v>
      </c>
      <c r="AW74" s="43">
        <f t="shared" si="75"/>
        <v>1.7798486111781701E-2</v>
      </c>
      <c r="AX74" s="43">
        <f t="shared" si="76"/>
        <v>3.8062781515335882E-2</v>
      </c>
      <c r="AY74" s="43">
        <f t="shared" si="77"/>
        <v>0</v>
      </c>
      <c r="AZ74" s="29">
        <f t="shared" si="78"/>
        <v>0.11285612602785235</v>
      </c>
      <c r="BA74" s="43">
        <f t="shared" si="79"/>
        <v>0.10954883703512336</v>
      </c>
      <c r="BB74" s="43">
        <f t="shared" si="80"/>
        <v>7.9736380907129839E-2</v>
      </c>
      <c r="BC74" s="44">
        <f t="shared" si="81"/>
        <v>8.2445029524367233E-2</v>
      </c>
      <c r="BD74" s="2"/>
      <c r="BE74" s="42" t="s">
        <v>535</v>
      </c>
      <c r="BF74" s="62">
        <v>1</v>
      </c>
      <c r="BG74" s="62">
        <v>1</v>
      </c>
      <c r="BH74" s="62">
        <v>1</v>
      </c>
      <c r="BI74" s="62">
        <v>1</v>
      </c>
      <c r="BJ74" s="36">
        <v>1</v>
      </c>
      <c r="BK74" s="62">
        <v>1</v>
      </c>
      <c r="BL74" s="62">
        <v>1</v>
      </c>
      <c r="BM74" s="62">
        <v>1</v>
      </c>
      <c r="BN74" s="36">
        <v>1</v>
      </c>
      <c r="BO74" s="62">
        <v>1</v>
      </c>
      <c r="BP74" s="62">
        <v>1</v>
      </c>
      <c r="BQ74" s="54">
        <v>1</v>
      </c>
      <c r="BR74" s="2"/>
      <c r="BS74" s="42" t="s">
        <v>535</v>
      </c>
      <c r="BT74" s="67">
        <f t="shared" si="176"/>
        <v>493.69779999999997</v>
      </c>
      <c r="BU74" s="67">
        <f t="shared" si="130"/>
        <v>2956.3930999999998</v>
      </c>
      <c r="BV74" s="67">
        <f t="shared" si="131"/>
        <v>0</v>
      </c>
      <c r="BW74" s="67">
        <f t="shared" si="132"/>
        <v>0</v>
      </c>
      <c r="BX74" s="30">
        <f t="shared" si="133"/>
        <v>0</v>
      </c>
      <c r="BY74" s="67">
        <f t="shared" si="134"/>
        <v>109.742</v>
      </c>
      <c r="BZ74" s="67">
        <f t="shared" si="135"/>
        <v>234.68770000000001</v>
      </c>
      <c r="CA74" s="67">
        <f t="shared" si="136"/>
        <v>0</v>
      </c>
      <c r="CB74" s="30">
        <f t="shared" si="137"/>
        <v>695.84889999999996</v>
      </c>
      <c r="CC74" s="67">
        <f t="shared" si="138"/>
        <v>675.45679999999993</v>
      </c>
      <c r="CD74" s="67">
        <f t="shared" si="139"/>
        <v>491.63900000000001</v>
      </c>
      <c r="CE74" s="68">
        <f t="shared" si="140"/>
        <v>508.34</v>
      </c>
      <c r="CF74" s="2"/>
      <c r="CG74" s="37" t="str">
        <f t="shared" si="177"/>
        <v>afurn</v>
      </c>
      <c r="CH74" s="42" t="s">
        <v>535</v>
      </c>
      <c r="CI74" s="67">
        <f t="shared" si="178"/>
        <v>493.69779999999997</v>
      </c>
      <c r="CJ74" s="67">
        <f t="shared" si="82"/>
        <v>2956.3930999999998</v>
      </c>
      <c r="CK74" s="67">
        <f t="shared" si="83"/>
        <v>0</v>
      </c>
      <c r="CL74" s="67">
        <f t="shared" si="84"/>
        <v>0</v>
      </c>
      <c r="CM74" s="30">
        <f t="shared" si="85"/>
        <v>0</v>
      </c>
      <c r="CN74" s="67">
        <f t="shared" si="86"/>
        <v>109.742</v>
      </c>
      <c r="CO74" s="67">
        <f t="shared" si="87"/>
        <v>234.68770000000001</v>
      </c>
      <c r="CP74" s="67">
        <f t="shared" si="88"/>
        <v>0</v>
      </c>
      <c r="CQ74" s="30">
        <f t="shared" si="89"/>
        <v>695.84889999999996</v>
      </c>
      <c r="CR74" s="67">
        <f t="shared" si="90"/>
        <v>675.45679999999993</v>
      </c>
      <c r="CS74" s="67">
        <f t="shared" si="91"/>
        <v>491.63900000000001</v>
      </c>
      <c r="CT74" s="68">
        <f t="shared" si="92"/>
        <v>508.34</v>
      </c>
      <c r="CU74" s="2"/>
      <c r="CV74" s="42" t="s">
        <v>535</v>
      </c>
      <c r="CW74" s="67">
        <f t="shared" si="179"/>
        <v>0</v>
      </c>
      <c r="CX74" s="67">
        <f t="shared" si="93"/>
        <v>0</v>
      </c>
      <c r="CY74" s="67">
        <f t="shared" si="94"/>
        <v>0</v>
      </c>
      <c r="CZ74" s="67">
        <f t="shared" si="95"/>
        <v>0</v>
      </c>
      <c r="DA74" s="30">
        <f t="shared" si="96"/>
        <v>0</v>
      </c>
      <c r="DB74" s="67">
        <f t="shared" si="97"/>
        <v>0</v>
      </c>
      <c r="DC74" s="67">
        <f t="shared" si="98"/>
        <v>0</v>
      </c>
      <c r="DD74" s="67">
        <f t="shared" si="99"/>
        <v>0</v>
      </c>
      <c r="DE74" s="30">
        <f t="shared" si="100"/>
        <v>0</v>
      </c>
      <c r="DF74" s="67">
        <f t="shared" si="101"/>
        <v>0</v>
      </c>
      <c r="DG74" s="67">
        <f t="shared" si="102"/>
        <v>0</v>
      </c>
      <c r="DH74" s="68">
        <f t="shared" si="103"/>
        <v>0</v>
      </c>
      <c r="DI74" s="2"/>
      <c r="DJ74" s="37" t="s">
        <v>534</v>
      </c>
      <c r="DK74" s="76" t="s">
        <v>535</v>
      </c>
      <c r="DL74" s="67">
        <f t="shared" si="180"/>
        <v>0</v>
      </c>
      <c r="DM74" s="67">
        <f t="shared" si="141"/>
        <v>102.8925</v>
      </c>
      <c r="DN74" s="67">
        <f t="shared" si="142"/>
        <v>0</v>
      </c>
      <c r="DO74" s="67">
        <f t="shared" si="143"/>
        <v>0</v>
      </c>
      <c r="DP74" s="30">
        <f t="shared" si="144"/>
        <v>0</v>
      </c>
      <c r="DQ74" s="67">
        <f t="shared" si="145"/>
        <v>0</v>
      </c>
      <c r="DR74" s="67">
        <f t="shared" si="146"/>
        <v>0</v>
      </c>
      <c r="DS74" s="67">
        <f t="shared" si="147"/>
        <v>0</v>
      </c>
      <c r="DT74" s="30">
        <f t="shared" si="148"/>
        <v>0</v>
      </c>
      <c r="DU74" s="67">
        <f t="shared" si="149"/>
        <v>153.3176</v>
      </c>
      <c r="DV74" s="67">
        <f t="shared" si="150"/>
        <v>0</v>
      </c>
      <c r="DW74" s="68">
        <f t="shared" si="151"/>
        <v>0</v>
      </c>
      <c r="DX74" s="2"/>
      <c r="DY74" s="81" t="s">
        <v>535</v>
      </c>
      <c r="DZ74" s="82"/>
      <c r="EA74" s="82"/>
      <c r="EB74" s="82"/>
      <c r="EC74" s="83"/>
      <c r="ED74" s="84">
        <v>1</v>
      </c>
      <c r="EE74" s="2"/>
      <c r="EF74" s="38" t="s">
        <v>535</v>
      </c>
      <c r="EG74" s="93" t="s">
        <v>535</v>
      </c>
      <c r="EH74" s="94"/>
      <c r="EI74" s="94"/>
      <c r="EJ74" s="94"/>
      <c r="EK74" s="94"/>
      <c r="EL74" s="94"/>
      <c r="EM74" s="94"/>
      <c r="EN74" s="94"/>
      <c r="EO74" s="94"/>
      <c r="EP74" s="94"/>
      <c r="EQ74" s="94"/>
      <c r="ER74" s="94"/>
      <c r="ES74" s="95"/>
      <c r="ET74" s="38" t="s">
        <v>535</v>
      </c>
      <c r="EU74" s="93" t="s">
        <v>535</v>
      </c>
      <c r="EV74" s="94"/>
      <c r="EW74" s="94"/>
      <c r="EX74" s="94"/>
      <c r="EY74" s="94"/>
      <c r="EZ74" s="94"/>
      <c r="FA74" s="94"/>
      <c r="FB74" s="94"/>
      <c r="FC74" s="94"/>
      <c r="FD74" s="94"/>
      <c r="FE74" s="94"/>
      <c r="FF74" s="94"/>
      <c r="FG74" s="95"/>
      <c r="FH74" s="38" t="s">
        <v>535</v>
      </c>
      <c r="FI74" s="93" t="s">
        <v>535</v>
      </c>
      <c r="FJ74" s="94"/>
      <c r="FK74" s="94"/>
      <c r="FL74" s="94"/>
      <c r="FM74" s="94"/>
      <c r="FN74" s="94"/>
      <c r="FO74" s="94"/>
      <c r="FP74" s="94"/>
      <c r="FQ74" s="94"/>
      <c r="FR74" s="94"/>
      <c r="FS74" s="94"/>
      <c r="FT74" s="94"/>
      <c r="FU74" s="95"/>
      <c r="FV74" s="38" t="s">
        <v>535</v>
      </c>
      <c r="FW74" s="93" t="s">
        <v>535</v>
      </c>
      <c r="FX74" s="94"/>
      <c r="FY74" s="94"/>
      <c r="FZ74" s="94"/>
      <c r="GA74" s="94"/>
      <c r="GB74" s="94"/>
      <c r="GC74" s="94"/>
      <c r="GD74" s="94"/>
      <c r="GE74" s="94"/>
      <c r="GF74" s="94"/>
      <c r="GG74" s="94"/>
      <c r="GH74" s="94"/>
      <c r="GI74" s="95"/>
      <c r="GJ74" s="38" t="s">
        <v>535</v>
      </c>
      <c r="GK74" s="93" t="s">
        <v>535</v>
      </c>
      <c r="GL74" s="94"/>
      <c r="GM74" s="94">
        <v>102.8925</v>
      </c>
      <c r="GN74" s="94">
        <v>0</v>
      </c>
      <c r="GO74" s="94"/>
      <c r="GP74" s="94"/>
      <c r="GQ74" s="94">
        <v>0</v>
      </c>
      <c r="GR74" s="94"/>
      <c r="GS74" s="94"/>
      <c r="GT74" s="94">
        <v>0</v>
      </c>
      <c r="GU74" s="94">
        <v>153.3176</v>
      </c>
      <c r="GV74" s="94">
        <v>0</v>
      </c>
      <c r="GW74" s="95">
        <v>0</v>
      </c>
      <c r="GX74" s="38"/>
    </row>
    <row r="75" spans="1:206" x14ac:dyDescent="0.35">
      <c r="A75" s="2"/>
      <c r="B75" s="2"/>
      <c r="C75" s="42" t="s">
        <v>505</v>
      </c>
      <c r="D75" s="43">
        <f t="shared" si="152"/>
        <v>4.0804995429442485E-2</v>
      </c>
      <c r="E75" s="43">
        <f t="shared" si="119"/>
        <v>4.9623721851534332E-2</v>
      </c>
      <c r="F75" s="43">
        <f t="shared" si="120"/>
        <v>6.7158176712944231E-2</v>
      </c>
      <c r="G75" s="43">
        <f t="shared" si="121"/>
        <v>8.1261230152744321E-2</v>
      </c>
      <c r="H75" s="43">
        <f t="shared" si="122"/>
        <v>2.6977754156448191E-2</v>
      </c>
      <c r="I75" s="43">
        <f t="shared" si="123"/>
        <v>2.6514109791829363E-2</v>
      </c>
      <c r="J75" s="43">
        <f t="shared" si="124"/>
        <v>1.5947768216610089E-2</v>
      </c>
      <c r="K75" s="43">
        <f t="shared" si="125"/>
        <v>2.2479701450311335E-2</v>
      </c>
      <c r="L75" s="43">
        <f t="shared" si="126"/>
        <v>5.7468977427701982E-2</v>
      </c>
      <c r="M75" s="43">
        <f t="shared" si="127"/>
        <v>1.0150397509662186E-2</v>
      </c>
      <c r="N75" s="43">
        <f t="shared" si="128"/>
        <v>6.5329570225337294E-2</v>
      </c>
      <c r="O75" s="44">
        <f t="shared" si="129"/>
        <v>0.53628359707543427</v>
      </c>
      <c r="P75" s="115">
        <f t="shared" si="153"/>
        <v>1.0000000000000002</v>
      </c>
      <c r="Q75" s="2"/>
      <c r="R75" s="42" t="s">
        <v>505</v>
      </c>
      <c r="S75" s="43">
        <f t="shared" si="154"/>
        <v>4.0804995429442478E-2</v>
      </c>
      <c r="T75" s="43">
        <f t="shared" si="155"/>
        <v>4.9623721851534318E-2</v>
      </c>
      <c r="U75" s="43">
        <f t="shared" si="156"/>
        <v>6.7158176712944218E-2</v>
      </c>
      <c r="V75" s="43">
        <f t="shared" si="157"/>
        <v>8.1261230152744307E-2</v>
      </c>
      <c r="W75" s="29">
        <f t="shared" si="158"/>
        <v>2.6977754156448184E-2</v>
      </c>
      <c r="X75" s="43">
        <f t="shared" si="159"/>
        <v>2.6514109791829357E-2</v>
      </c>
      <c r="Y75" s="43">
        <f t="shared" si="160"/>
        <v>1.5947768216610085E-2</v>
      </c>
      <c r="Z75" s="43">
        <f t="shared" si="161"/>
        <v>2.2479701450311331E-2</v>
      </c>
      <c r="AA75" s="29">
        <f t="shared" si="162"/>
        <v>5.7468977427701969E-2</v>
      </c>
      <c r="AB75" s="43">
        <f t="shared" si="163"/>
        <v>1.0150397509662184E-2</v>
      </c>
      <c r="AC75" s="43">
        <f t="shared" si="164"/>
        <v>6.532957022533728E-2</v>
      </c>
      <c r="AD75" s="43">
        <f t="shared" si="165"/>
        <v>0.53628359707543416</v>
      </c>
      <c r="AE75" s="32">
        <f t="shared" si="166"/>
        <v>0.12525172701359263</v>
      </c>
      <c r="AF75" s="53">
        <f t="shared" si="167"/>
        <v>8.628822915302585E-2</v>
      </c>
      <c r="AG75" s="53">
        <f t="shared" si="168"/>
        <v>0.14843551515489159</v>
      </c>
      <c r="AH75" s="53">
        <f t="shared" si="169"/>
        <v>0.6400245286784898</v>
      </c>
      <c r="AI75" s="34">
        <f t="shared" si="170"/>
        <v>0.23884812414666534</v>
      </c>
      <c r="AJ75" s="35">
        <f t="shared" si="171"/>
        <v>9.1919333615198953E-2</v>
      </c>
      <c r="AK75" s="34">
        <f t="shared" si="172"/>
        <v>0.23884812414666534</v>
      </c>
      <c r="AL75" s="35">
        <f t="shared" si="173"/>
        <v>9.1919333615198953E-2</v>
      </c>
      <c r="AM75" s="35">
        <f t="shared" si="174"/>
        <v>0.66923254223813577</v>
      </c>
      <c r="AN75" s="36">
        <v>1</v>
      </c>
      <c r="AO75" s="54">
        <v>1</v>
      </c>
      <c r="AP75" s="2"/>
      <c r="AQ75" s="42" t="s">
        <v>505</v>
      </c>
      <c r="AR75" s="43">
        <f t="shared" si="175"/>
        <v>4.2677308699808882E-2</v>
      </c>
      <c r="AS75" s="43">
        <f t="shared" si="71"/>
        <v>5.1900677208832555E-2</v>
      </c>
      <c r="AT75" s="43">
        <f t="shared" si="72"/>
        <v>7.0239690242107133E-2</v>
      </c>
      <c r="AU75" s="43">
        <f t="shared" si="73"/>
        <v>8.4989854013133262E-2</v>
      </c>
      <c r="AV75" s="29">
        <f t="shared" si="74"/>
        <v>4.1271081295333176E-2</v>
      </c>
      <c r="AW75" s="43">
        <f t="shared" si="75"/>
        <v>4.0561789330059148E-2</v>
      </c>
      <c r="AX75" s="43">
        <f t="shared" si="76"/>
        <v>2.4397199067422288E-2</v>
      </c>
      <c r="AY75" s="43">
        <f t="shared" si="77"/>
        <v>3.4389874734211921E-2</v>
      </c>
      <c r="AZ75" s="29">
        <f t="shared" si="78"/>
        <v>5.2345795358554124E-2</v>
      </c>
      <c r="BA75" s="43">
        <f t="shared" si="79"/>
        <v>9.2455208815432136E-3</v>
      </c>
      <c r="BB75" s="43">
        <f t="shared" si="80"/>
        <v>5.9505640555027051E-2</v>
      </c>
      <c r="BC75" s="44">
        <f t="shared" si="81"/>
        <v>0.48847556861396735</v>
      </c>
      <c r="BD75" s="2"/>
      <c r="BE75" s="42" t="s">
        <v>505</v>
      </c>
      <c r="BF75" s="62">
        <v>1</v>
      </c>
      <c r="BG75" s="62">
        <v>1</v>
      </c>
      <c r="BH75" s="62">
        <v>1</v>
      </c>
      <c r="BI75" s="62">
        <v>1</v>
      </c>
      <c r="BJ75" s="36">
        <v>1</v>
      </c>
      <c r="BK75" s="62">
        <v>1</v>
      </c>
      <c r="BL75" s="62">
        <v>1</v>
      </c>
      <c r="BM75" s="62">
        <v>1</v>
      </c>
      <c r="BN75" s="36">
        <v>1</v>
      </c>
      <c r="BO75" s="62">
        <v>1</v>
      </c>
      <c r="BP75" s="62">
        <v>1</v>
      </c>
      <c r="BQ75" s="54">
        <v>1</v>
      </c>
      <c r="BR75" s="2"/>
      <c r="BS75" s="42" t="s">
        <v>505</v>
      </c>
      <c r="BT75" s="67">
        <f t="shared" si="176"/>
        <v>1702.806</v>
      </c>
      <c r="BU75" s="67">
        <f t="shared" si="130"/>
        <v>2070.8143799999998</v>
      </c>
      <c r="BV75" s="67">
        <f t="shared" si="131"/>
        <v>2802.5329999999999</v>
      </c>
      <c r="BW75" s="67">
        <f t="shared" si="132"/>
        <v>3391.0581000000002</v>
      </c>
      <c r="BX75" s="30">
        <f t="shared" si="133"/>
        <v>1646.69814</v>
      </c>
      <c r="BY75" s="67">
        <f t="shared" si="134"/>
        <v>1618.3977000000002</v>
      </c>
      <c r="BZ75" s="67">
        <f t="shared" si="135"/>
        <v>973.43759999999997</v>
      </c>
      <c r="CA75" s="67">
        <f t="shared" si="136"/>
        <v>1372.1410000000001</v>
      </c>
      <c r="CB75" s="30">
        <f t="shared" si="137"/>
        <v>2088.5744</v>
      </c>
      <c r="CC75" s="67">
        <f t="shared" si="138"/>
        <v>368.89224999999999</v>
      </c>
      <c r="CD75" s="67">
        <f t="shared" si="139"/>
        <v>2374.2490999999995</v>
      </c>
      <c r="CE75" s="68">
        <f t="shared" si="140"/>
        <v>19489.962099999997</v>
      </c>
      <c r="CF75" s="2"/>
      <c r="CG75" s="37" t="str">
        <f t="shared" si="177"/>
        <v>aelec</v>
      </c>
      <c r="CH75" s="42" t="s">
        <v>505</v>
      </c>
      <c r="CI75" s="67">
        <f t="shared" si="178"/>
        <v>1702.806</v>
      </c>
      <c r="CJ75" s="67">
        <f t="shared" si="82"/>
        <v>2070.8143799999998</v>
      </c>
      <c r="CK75" s="67">
        <f t="shared" si="83"/>
        <v>2802.5329999999999</v>
      </c>
      <c r="CL75" s="67">
        <f t="shared" si="84"/>
        <v>3391.0581000000002</v>
      </c>
      <c r="CM75" s="30">
        <f t="shared" si="85"/>
        <v>1646.69814</v>
      </c>
      <c r="CN75" s="67">
        <f t="shared" si="86"/>
        <v>1618.3977000000002</v>
      </c>
      <c r="CO75" s="67">
        <f t="shared" si="87"/>
        <v>973.43759999999997</v>
      </c>
      <c r="CP75" s="67">
        <f t="shared" si="88"/>
        <v>1372.1410000000001</v>
      </c>
      <c r="CQ75" s="30">
        <f t="shared" si="89"/>
        <v>2088.5744</v>
      </c>
      <c r="CR75" s="67">
        <f t="shared" si="90"/>
        <v>368.89224999999999</v>
      </c>
      <c r="CS75" s="67">
        <f t="shared" si="91"/>
        <v>2374.2490999999995</v>
      </c>
      <c r="CT75" s="68">
        <f t="shared" si="92"/>
        <v>19489.962099999997</v>
      </c>
      <c r="CU75" s="2"/>
      <c r="CV75" s="42" t="s">
        <v>505</v>
      </c>
      <c r="CW75" s="67">
        <f t="shared" si="179"/>
        <v>1702.806</v>
      </c>
      <c r="CX75" s="67">
        <f t="shared" si="93"/>
        <v>2070.8143799999998</v>
      </c>
      <c r="CY75" s="67">
        <f t="shared" si="94"/>
        <v>2802.5329999999999</v>
      </c>
      <c r="CZ75" s="67">
        <f t="shared" si="95"/>
        <v>3391.0581000000002</v>
      </c>
      <c r="DA75" s="30">
        <f t="shared" si="96"/>
        <v>1646.69814</v>
      </c>
      <c r="DB75" s="67">
        <f t="shared" si="97"/>
        <v>1618.3977000000002</v>
      </c>
      <c r="DC75" s="67">
        <f t="shared" si="98"/>
        <v>973.43759999999997</v>
      </c>
      <c r="DD75" s="67">
        <f t="shared" si="99"/>
        <v>1372.1410000000001</v>
      </c>
      <c r="DE75" s="30">
        <f t="shared" si="100"/>
        <v>2088.5744</v>
      </c>
      <c r="DF75" s="67">
        <f t="shared" si="101"/>
        <v>368.89224999999999</v>
      </c>
      <c r="DG75" s="67">
        <f t="shared" si="102"/>
        <v>2374.2490999999995</v>
      </c>
      <c r="DH75" s="68">
        <f t="shared" si="103"/>
        <v>19489.962099999997</v>
      </c>
      <c r="DI75" s="2"/>
      <c r="DJ75" s="37" t="s">
        <v>505</v>
      </c>
      <c r="DK75" s="76" t="s">
        <v>505</v>
      </c>
      <c r="DL75" s="67">
        <f t="shared" si="180"/>
        <v>469.42599999999999</v>
      </c>
      <c r="DM75" s="67">
        <f t="shared" si="141"/>
        <v>1316.9939999999999</v>
      </c>
      <c r="DN75" s="67">
        <f t="shared" si="142"/>
        <v>1428.0889999999999</v>
      </c>
      <c r="DO75" s="67">
        <f t="shared" si="143"/>
        <v>3132.7170000000001</v>
      </c>
      <c r="DP75" s="30">
        <f t="shared" si="144"/>
        <v>0</v>
      </c>
      <c r="DQ75" s="67">
        <f t="shared" si="145"/>
        <v>1469.2560000000001</v>
      </c>
      <c r="DR75" s="67">
        <f t="shared" si="146"/>
        <v>973.43759999999997</v>
      </c>
      <c r="DS75" s="67">
        <f t="shared" si="147"/>
        <v>0</v>
      </c>
      <c r="DT75" s="30">
        <f t="shared" si="148"/>
        <v>803.90599999999995</v>
      </c>
      <c r="DU75" s="67">
        <f t="shared" si="149"/>
        <v>87.665379999999999</v>
      </c>
      <c r="DV75" s="67">
        <f t="shared" si="150"/>
        <v>1799.1869999999999</v>
      </c>
      <c r="DW75" s="68">
        <f t="shared" si="151"/>
        <v>15093.64</v>
      </c>
      <c r="DX75" s="2"/>
      <c r="DY75" s="81" t="s">
        <v>505</v>
      </c>
      <c r="DZ75" s="82"/>
      <c r="EA75" s="82"/>
      <c r="EB75" s="82"/>
      <c r="EC75" s="83"/>
      <c r="ED75" s="84">
        <v>1</v>
      </c>
      <c r="EE75" s="2"/>
      <c r="EF75" s="38" t="s">
        <v>505</v>
      </c>
      <c r="EG75" s="93" t="s">
        <v>505</v>
      </c>
      <c r="EH75" s="94">
        <v>731.90970000000004</v>
      </c>
      <c r="EI75" s="94">
        <v>2323.2379999999998</v>
      </c>
      <c r="EJ75" s="94">
        <v>1160.9849999999999</v>
      </c>
      <c r="EK75" s="94">
        <v>118.1617</v>
      </c>
      <c r="EL75" s="94">
        <v>141.73750000000001</v>
      </c>
      <c r="EM75" s="94">
        <v>144.78540000000001</v>
      </c>
      <c r="EN75" s="94">
        <v>1544.3789999999999</v>
      </c>
      <c r="EO75" s="94">
        <v>1895.856</v>
      </c>
      <c r="EP75" s="94"/>
      <c r="EQ75" s="94">
        <v>1551.1469999999999</v>
      </c>
      <c r="ER75" s="94">
        <v>748.33489999999995</v>
      </c>
      <c r="ES75" s="95">
        <v>2075.2460000000001</v>
      </c>
      <c r="ET75" s="38" t="s">
        <v>505</v>
      </c>
      <c r="EU75" s="93" t="s">
        <v>505</v>
      </c>
      <c r="EV75" s="94"/>
      <c r="EW75" s="94"/>
      <c r="EX75" s="94"/>
      <c r="EY75" s="94"/>
      <c r="EZ75" s="94"/>
      <c r="FA75" s="94"/>
      <c r="FB75" s="94"/>
      <c r="FC75" s="94">
        <v>94.020790000000005</v>
      </c>
      <c r="FD75" s="94"/>
      <c r="FE75" s="94"/>
      <c r="FF75" s="94"/>
      <c r="FG75" s="95"/>
      <c r="FH75" s="38" t="s">
        <v>505</v>
      </c>
      <c r="FI75" s="93" t="s">
        <v>505</v>
      </c>
      <c r="FJ75" s="94"/>
      <c r="FK75" s="94"/>
      <c r="FL75" s="94"/>
      <c r="FM75" s="94"/>
      <c r="FN75" s="94"/>
      <c r="FO75" s="94"/>
      <c r="FP75" s="94"/>
      <c r="FQ75" s="94"/>
      <c r="FR75" s="94"/>
      <c r="FS75" s="94"/>
      <c r="FT75" s="94"/>
      <c r="FU75" s="95"/>
      <c r="FV75" s="38" t="s">
        <v>505</v>
      </c>
      <c r="FW75" s="93" t="s">
        <v>505</v>
      </c>
      <c r="FX75" s="94"/>
      <c r="FY75" s="94"/>
      <c r="FZ75" s="94"/>
      <c r="GA75" s="94"/>
      <c r="GB75" s="94"/>
      <c r="GC75" s="94"/>
      <c r="GD75" s="94"/>
      <c r="GE75" s="94"/>
      <c r="GF75" s="94"/>
      <c r="GG75" s="94"/>
      <c r="GH75" s="94"/>
      <c r="GI75" s="95"/>
      <c r="GJ75" s="38" t="s">
        <v>505</v>
      </c>
      <c r="GK75" s="93" t="s">
        <v>505</v>
      </c>
      <c r="GL75" s="94">
        <v>469.42599999999999</v>
      </c>
      <c r="GM75" s="94">
        <v>1316.9939999999999</v>
      </c>
      <c r="GN75" s="94">
        <v>1428.0889999999999</v>
      </c>
      <c r="GO75" s="94">
        <v>3132.7170000000001</v>
      </c>
      <c r="GP75" s="94"/>
      <c r="GQ75" s="94">
        <v>1469.2560000000001</v>
      </c>
      <c r="GR75" s="94">
        <v>973.43759999999997</v>
      </c>
      <c r="GS75" s="94"/>
      <c r="GT75" s="94">
        <v>803.90599999999995</v>
      </c>
      <c r="GU75" s="94">
        <v>87.665379999999999</v>
      </c>
      <c r="GV75" s="94">
        <v>1799.1869999999999</v>
      </c>
      <c r="GW75" s="95">
        <v>15093.64</v>
      </c>
      <c r="GX75" s="38"/>
    </row>
    <row r="76" spans="1:206" x14ac:dyDescent="0.35">
      <c r="A76" s="2"/>
      <c r="B76" s="2"/>
      <c r="C76" s="42" t="s">
        <v>506</v>
      </c>
      <c r="D76" s="43">
        <f t="shared" si="152"/>
        <v>5.4206115966403401E-2</v>
      </c>
      <c r="E76" s="43">
        <f t="shared" si="119"/>
        <v>6.5921076403991849E-2</v>
      </c>
      <c r="F76" s="43">
        <f t="shared" si="120"/>
        <v>8.9214172840401312E-2</v>
      </c>
      <c r="G76" s="43">
        <f t="shared" si="121"/>
        <v>0.10794893171471771</v>
      </c>
      <c r="H76" s="43">
        <f t="shared" si="122"/>
        <v>4.4685863238237977E-2</v>
      </c>
      <c r="I76" s="43">
        <f t="shared" si="123"/>
        <v>4.3917884237896151E-2</v>
      </c>
      <c r="J76" s="43">
        <f t="shared" si="124"/>
        <v>2.6415830811929261E-2</v>
      </c>
      <c r="K76" s="43">
        <f t="shared" si="125"/>
        <v>3.723530353266756E-2</v>
      </c>
      <c r="L76" s="43">
        <f t="shared" si="126"/>
        <v>4.5551724139260737E-2</v>
      </c>
      <c r="M76" s="43">
        <f t="shared" si="127"/>
        <v>8.0455252200310433E-3</v>
      </c>
      <c r="N76" s="43">
        <f t="shared" si="128"/>
        <v>5.1782277921767143E-2</v>
      </c>
      <c r="O76" s="44">
        <f t="shared" si="129"/>
        <v>0.42507529397269583</v>
      </c>
      <c r="P76" s="115">
        <f t="shared" si="153"/>
        <v>1</v>
      </c>
      <c r="Q76" s="2"/>
      <c r="R76" s="42" t="s">
        <v>506</v>
      </c>
      <c r="S76" s="43">
        <f t="shared" si="154"/>
        <v>5.4206115966403401E-2</v>
      </c>
      <c r="T76" s="43">
        <f t="shared" si="155"/>
        <v>6.5921076403991849E-2</v>
      </c>
      <c r="U76" s="43">
        <f t="shared" si="156"/>
        <v>8.9214172840401312E-2</v>
      </c>
      <c r="V76" s="43">
        <f t="shared" si="157"/>
        <v>0.10794893171471771</v>
      </c>
      <c r="W76" s="29">
        <f t="shared" si="158"/>
        <v>4.4685863238237977E-2</v>
      </c>
      <c r="X76" s="43">
        <f t="shared" si="159"/>
        <v>4.3917884237896151E-2</v>
      </c>
      <c r="Y76" s="43">
        <f t="shared" si="160"/>
        <v>2.6415830811929261E-2</v>
      </c>
      <c r="Z76" s="43">
        <f t="shared" si="161"/>
        <v>3.723530353266756E-2</v>
      </c>
      <c r="AA76" s="29">
        <f t="shared" si="162"/>
        <v>4.5551724139260737E-2</v>
      </c>
      <c r="AB76" s="43">
        <f t="shared" si="163"/>
        <v>8.0455252200310433E-3</v>
      </c>
      <c r="AC76" s="43">
        <f t="shared" si="164"/>
        <v>5.1782277921767143E-2</v>
      </c>
      <c r="AD76" s="43">
        <f t="shared" si="165"/>
        <v>0.42507529397269583</v>
      </c>
      <c r="AE76" s="32">
        <f t="shared" si="166"/>
        <v>0.14444370334390211</v>
      </c>
      <c r="AF76" s="53">
        <f t="shared" si="167"/>
        <v>0.11788448586191905</v>
      </c>
      <c r="AG76" s="53">
        <f t="shared" si="168"/>
        <v>0.16741228157409771</v>
      </c>
      <c r="AH76" s="53">
        <f t="shared" si="169"/>
        <v>0.57025952922008116</v>
      </c>
      <c r="AI76" s="34">
        <f t="shared" si="170"/>
        <v>0.3172902969255143</v>
      </c>
      <c r="AJ76" s="35">
        <f t="shared" si="171"/>
        <v>0.15225488182073094</v>
      </c>
      <c r="AK76" s="34">
        <f t="shared" si="172"/>
        <v>0.3172902969255143</v>
      </c>
      <c r="AL76" s="35">
        <f t="shared" si="173"/>
        <v>0.15225488182073094</v>
      </c>
      <c r="AM76" s="35">
        <f t="shared" si="174"/>
        <v>0.53045482125375476</v>
      </c>
      <c r="AN76" s="36">
        <v>1</v>
      </c>
      <c r="AO76" s="54">
        <v>1</v>
      </c>
      <c r="AP76" s="2"/>
      <c r="AQ76" s="42" t="s">
        <v>506</v>
      </c>
      <c r="AR76" s="43">
        <f t="shared" si="175"/>
        <v>4.2677308699808882E-2</v>
      </c>
      <c r="AS76" s="43">
        <f t="shared" si="71"/>
        <v>5.1900677208832555E-2</v>
      </c>
      <c r="AT76" s="43">
        <f t="shared" si="72"/>
        <v>7.0239690242107133E-2</v>
      </c>
      <c r="AU76" s="43">
        <f t="shared" si="73"/>
        <v>8.4989854013133262E-2</v>
      </c>
      <c r="AV76" s="29">
        <f t="shared" si="74"/>
        <v>4.1271081295333176E-2</v>
      </c>
      <c r="AW76" s="43">
        <f t="shared" si="75"/>
        <v>4.0561789330059148E-2</v>
      </c>
      <c r="AX76" s="43">
        <f t="shared" si="76"/>
        <v>2.4397199067422288E-2</v>
      </c>
      <c r="AY76" s="43">
        <f t="shared" si="77"/>
        <v>3.4389874734211921E-2</v>
      </c>
      <c r="AZ76" s="29">
        <f t="shared" si="78"/>
        <v>5.2345795358554124E-2</v>
      </c>
      <c r="BA76" s="43">
        <f t="shared" si="79"/>
        <v>9.2455208815432136E-3</v>
      </c>
      <c r="BB76" s="43">
        <f t="shared" si="80"/>
        <v>5.9505640555027051E-2</v>
      </c>
      <c r="BC76" s="44">
        <f t="shared" si="81"/>
        <v>0.48847556861396735</v>
      </c>
      <c r="BD76" s="2"/>
      <c r="BE76" s="42" t="s">
        <v>506</v>
      </c>
      <c r="BF76" s="62">
        <v>1</v>
      </c>
      <c r="BG76" s="62">
        <v>1</v>
      </c>
      <c r="BH76" s="62">
        <v>1</v>
      </c>
      <c r="BI76" s="62">
        <v>1</v>
      </c>
      <c r="BJ76" s="36">
        <v>1</v>
      </c>
      <c r="BK76" s="62">
        <v>1</v>
      </c>
      <c r="BL76" s="62">
        <v>1</v>
      </c>
      <c r="BM76" s="62">
        <v>1</v>
      </c>
      <c r="BN76" s="36">
        <v>1</v>
      </c>
      <c r="BO76" s="62">
        <v>1</v>
      </c>
      <c r="BP76" s="62">
        <v>1</v>
      </c>
      <c r="BQ76" s="54">
        <v>1</v>
      </c>
      <c r="BR76" s="2"/>
      <c r="BS76" s="42" t="s">
        <v>506</v>
      </c>
      <c r="BT76" s="67">
        <f t="shared" si="176"/>
        <v>1702.806</v>
      </c>
      <c r="BU76" s="67">
        <f t="shared" si="130"/>
        <v>2070.8143799999998</v>
      </c>
      <c r="BV76" s="67">
        <f t="shared" si="131"/>
        <v>2802.5329999999999</v>
      </c>
      <c r="BW76" s="67">
        <f t="shared" si="132"/>
        <v>3391.0581000000002</v>
      </c>
      <c r="BX76" s="30">
        <f t="shared" si="133"/>
        <v>1646.69814</v>
      </c>
      <c r="BY76" s="67">
        <f t="shared" si="134"/>
        <v>1618.3977000000002</v>
      </c>
      <c r="BZ76" s="67">
        <f t="shared" si="135"/>
        <v>973.43759999999997</v>
      </c>
      <c r="CA76" s="67">
        <f t="shared" si="136"/>
        <v>1372.1410000000001</v>
      </c>
      <c r="CB76" s="30">
        <f t="shared" si="137"/>
        <v>2088.5744</v>
      </c>
      <c r="CC76" s="67">
        <f t="shared" si="138"/>
        <v>368.89224999999999</v>
      </c>
      <c r="CD76" s="67">
        <f t="shared" si="139"/>
        <v>2374.2490999999995</v>
      </c>
      <c r="CE76" s="68">
        <f t="shared" si="140"/>
        <v>19489.962099999997</v>
      </c>
      <c r="CF76" s="2"/>
      <c r="CG76" s="37" t="str">
        <f t="shared" si="177"/>
        <v>aelec</v>
      </c>
      <c r="CH76" s="42" t="s">
        <v>506</v>
      </c>
      <c r="CI76" s="67">
        <f t="shared" si="178"/>
        <v>1702.806</v>
      </c>
      <c r="CJ76" s="67">
        <f t="shared" si="82"/>
        <v>2070.8143799999998</v>
      </c>
      <c r="CK76" s="67">
        <f t="shared" si="83"/>
        <v>2802.5329999999999</v>
      </c>
      <c r="CL76" s="67">
        <f t="shared" si="84"/>
        <v>3391.0581000000002</v>
      </c>
      <c r="CM76" s="30">
        <f t="shared" si="85"/>
        <v>1646.69814</v>
      </c>
      <c r="CN76" s="67">
        <f t="shared" si="86"/>
        <v>1618.3977000000002</v>
      </c>
      <c r="CO76" s="67">
        <f t="shared" si="87"/>
        <v>973.43759999999997</v>
      </c>
      <c r="CP76" s="67">
        <f t="shared" si="88"/>
        <v>1372.1410000000001</v>
      </c>
      <c r="CQ76" s="30">
        <f t="shared" si="89"/>
        <v>2088.5744</v>
      </c>
      <c r="CR76" s="67">
        <f t="shared" si="90"/>
        <v>368.89224999999999</v>
      </c>
      <c r="CS76" s="67">
        <f t="shared" si="91"/>
        <v>2374.2490999999995</v>
      </c>
      <c r="CT76" s="68">
        <f t="shared" si="92"/>
        <v>19489.962099999997</v>
      </c>
      <c r="CU76" s="2"/>
      <c r="CV76" s="42" t="s">
        <v>506</v>
      </c>
      <c r="CW76" s="67">
        <f t="shared" si="179"/>
        <v>0</v>
      </c>
      <c r="CX76" s="67">
        <f t="shared" si="93"/>
        <v>0</v>
      </c>
      <c r="CY76" s="67">
        <f t="shared" si="94"/>
        <v>0</v>
      </c>
      <c r="CZ76" s="67">
        <f t="shared" si="95"/>
        <v>0</v>
      </c>
      <c r="DA76" s="30">
        <f t="shared" si="96"/>
        <v>0</v>
      </c>
      <c r="DB76" s="67">
        <f t="shared" si="97"/>
        <v>0</v>
      </c>
      <c r="DC76" s="67">
        <f t="shared" si="98"/>
        <v>0</v>
      </c>
      <c r="DD76" s="67">
        <f t="shared" si="99"/>
        <v>0</v>
      </c>
      <c r="DE76" s="30">
        <f t="shared" si="100"/>
        <v>0</v>
      </c>
      <c r="DF76" s="67">
        <f t="shared" si="101"/>
        <v>0</v>
      </c>
      <c r="DG76" s="67">
        <f t="shared" si="102"/>
        <v>0</v>
      </c>
      <c r="DH76" s="68">
        <f t="shared" si="103"/>
        <v>0</v>
      </c>
      <c r="DI76" s="2"/>
      <c r="DJ76" s="37" t="s">
        <v>505</v>
      </c>
      <c r="DK76" s="76" t="s">
        <v>506</v>
      </c>
      <c r="DL76" s="67">
        <f t="shared" si="180"/>
        <v>1088.999</v>
      </c>
      <c r="DM76" s="67">
        <f t="shared" si="141"/>
        <v>709.09310000000005</v>
      </c>
      <c r="DN76" s="67">
        <f t="shared" si="142"/>
        <v>1374.444</v>
      </c>
      <c r="DO76" s="67">
        <f t="shared" si="143"/>
        <v>258.34109999999998</v>
      </c>
      <c r="DP76" s="30">
        <f t="shared" si="144"/>
        <v>1612.114</v>
      </c>
      <c r="DQ76" s="67">
        <f t="shared" si="145"/>
        <v>34.226300000000002</v>
      </c>
      <c r="DR76" s="67">
        <f t="shared" si="146"/>
        <v>0</v>
      </c>
      <c r="DS76" s="67">
        <f t="shared" si="147"/>
        <v>0</v>
      </c>
      <c r="DT76" s="30">
        <f t="shared" si="148"/>
        <v>1023.724</v>
      </c>
      <c r="DU76" s="67">
        <f t="shared" si="149"/>
        <v>82.129069999999999</v>
      </c>
      <c r="DV76" s="67">
        <f t="shared" si="150"/>
        <v>381.70269999999999</v>
      </c>
      <c r="DW76" s="68">
        <f t="shared" si="151"/>
        <v>4248.2809999999999</v>
      </c>
      <c r="DX76" s="2"/>
      <c r="DY76" s="81" t="s">
        <v>506</v>
      </c>
      <c r="DZ76" s="82"/>
      <c r="EA76" s="82"/>
      <c r="EB76" s="82"/>
      <c r="EC76" s="83"/>
      <c r="ED76" s="84">
        <v>1</v>
      </c>
      <c r="EE76" s="2"/>
      <c r="EF76" s="38" t="s">
        <v>506</v>
      </c>
      <c r="EG76" s="93" t="s">
        <v>506</v>
      </c>
      <c r="EH76" s="94">
        <v>525.01850000000002</v>
      </c>
      <c r="EI76" s="94">
        <v>918.25199999999995</v>
      </c>
      <c r="EJ76" s="94">
        <v>267.0958</v>
      </c>
      <c r="EK76" s="94"/>
      <c r="EL76" s="94">
        <v>136.67699999999999</v>
      </c>
      <c r="EM76" s="94">
        <v>268.33859999999999</v>
      </c>
      <c r="EN76" s="94">
        <v>295.69439999999997</v>
      </c>
      <c r="EO76" s="94"/>
      <c r="EP76" s="94">
        <v>338.7081</v>
      </c>
      <c r="EQ76" s="94">
        <v>615.97590000000002</v>
      </c>
      <c r="ER76" s="94">
        <v>1022.755</v>
      </c>
      <c r="ES76" s="95">
        <v>1272.6210000000001</v>
      </c>
      <c r="ET76" s="38" t="s">
        <v>506</v>
      </c>
      <c r="EU76" s="93" t="s">
        <v>506</v>
      </c>
      <c r="EV76" s="94">
        <v>86.063680000000005</v>
      </c>
      <c r="EW76" s="94">
        <v>82.055490000000006</v>
      </c>
      <c r="EX76" s="94"/>
      <c r="EY76" s="94"/>
      <c r="EZ76" s="94"/>
      <c r="FA76" s="94"/>
      <c r="FB76" s="94"/>
      <c r="FC76" s="94"/>
      <c r="FD76" s="94"/>
      <c r="FE76" s="94"/>
      <c r="FF76" s="94"/>
      <c r="FG76" s="95"/>
      <c r="FH76" s="38" t="s">
        <v>506</v>
      </c>
      <c r="FI76" s="93" t="s">
        <v>506</v>
      </c>
      <c r="FJ76" s="94"/>
      <c r="FK76" s="94"/>
      <c r="FL76" s="94"/>
      <c r="FM76" s="94"/>
      <c r="FN76" s="94"/>
      <c r="FO76" s="94"/>
      <c r="FP76" s="94"/>
      <c r="FQ76" s="94"/>
      <c r="FR76" s="94"/>
      <c r="FS76" s="94"/>
      <c r="FT76" s="94"/>
      <c r="FU76" s="95"/>
      <c r="FV76" s="38" t="s">
        <v>506</v>
      </c>
      <c r="FW76" s="93" t="s">
        <v>506</v>
      </c>
      <c r="FX76" s="94"/>
      <c r="FY76" s="94"/>
      <c r="FZ76" s="94"/>
      <c r="GA76" s="94"/>
      <c r="GB76" s="94"/>
      <c r="GC76" s="94"/>
      <c r="GD76" s="94"/>
      <c r="GE76" s="94"/>
      <c r="GF76" s="94"/>
      <c r="GG76" s="94"/>
      <c r="GH76" s="94"/>
      <c r="GI76" s="95"/>
      <c r="GJ76" s="38" t="s">
        <v>506</v>
      </c>
      <c r="GK76" s="93" t="s">
        <v>506</v>
      </c>
      <c r="GL76" s="94">
        <v>1088.999</v>
      </c>
      <c r="GM76" s="94">
        <v>709.09310000000005</v>
      </c>
      <c r="GN76" s="94">
        <v>1374.444</v>
      </c>
      <c r="GO76" s="94">
        <v>258.34109999999998</v>
      </c>
      <c r="GP76" s="94">
        <v>1612.114</v>
      </c>
      <c r="GQ76" s="94">
        <v>34.226300000000002</v>
      </c>
      <c r="GR76" s="94"/>
      <c r="GS76" s="94"/>
      <c r="GT76" s="94">
        <v>1023.724</v>
      </c>
      <c r="GU76" s="94">
        <v>82.129069999999999</v>
      </c>
      <c r="GV76" s="94">
        <v>381.70269999999999</v>
      </c>
      <c r="GW76" s="95">
        <v>4248.2809999999999</v>
      </c>
      <c r="GX76" s="38"/>
    </row>
    <row r="77" spans="1:206" x14ac:dyDescent="0.35">
      <c r="A77" s="2"/>
      <c r="B77" s="2"/>
      <c r="C77" s="42" t="s">
        <v>536</v>
      </c>
      <c r="D77" s="43">
        <f t="shared" si="152"/>
        <v>1.2860246648279255E-2</v>
      </c>
      <c r="E77" s="43">
        <f t="shared" si="119"/>
        <v>1.5639587650973442E-2</v>
      </c>
      <c r="F77" s="43">
        <f t="shared" si="120"/>
        <v>2.1165808447904229E-2</v>
      </c>
      <c r="G77" s="43">
        <f t="shared" si="121"/>
        <v>2.5610576639173942E-2</v>
      </c>
      <c r="H77" s="43">
        <f t="shared" si="122"/>
        <v>0.17776990918407928</v>
      </c>
      <c r="I77" s="43">
        <f t="shared" si="123"/>
        <v>0.1747147246748714</v>
      </c>
      <c r="J77" s="43">
        <f t="shared" si="124"/>
        <v>0.10508781758165348</v>
      </c>
      <c r="K77" s="43">
        <f t="shared" si="125"/>
        <v>0.14812999118208256</v>
      </c>
      <c r="L77" s="43">
        <f t="shared" si="126"/>
        <v>2.7395305689476245E-2</v>
      </c>
      <c r="M77" s="43">
        <f t="shared" si="127"/>
        <v>4.8386669659595044E-3</v>
      </c>
      <c r="N77" s="43">
        <f t="shared" si="128"/>
        <v>3.1142428958941488E-2</v>
      </c>
      <c r="O77" s="44">
        <f t="shared" si="129"/>
        <v>0.25564493637660518</v>
      </c>
      <c r="P77" s="115">
        <f t="shared" si="153"/>
        <v>1</v>
      </c>
      <c r="Q77" s="2"/>
      <c r="R77" s="42" t="s">
        <v>536</v>
      </c>
      <c r="S77" s="43">
        <f t="shared" si="154"/>
        <v>1.2860246648279255E-2</v>
      </c>
      <c r="T77" s="43">
        <f t="shared" si="155"/>
        <v>1.5639587650973442E-2</v>
      </c>
      <c r="U77" s="43">
        <f t="shared" si="156"/>
        <v>2.1165808447904229E-2</v>
      </c>
      <c r="V77" s="43">
        <f t="shared" si="157"/>
        <v>2.5610576639173942E-2</v>
      </c>
      <c r="W77" s="29">
        <f t="shared" si="158"/>
        <v>0.17776990918407928</v>
      </c>
      <c r="X77" s="43">
        <f t="shared" si="159"/>
        <v>0.1747147246748714</v>
      </c>
      <c r="Y77" s="43">
        <f t="shared" si="160"/>
        <v>0.10508781758165348</v>
      </c>
      <c r="Z77" s="43">
        <f t="shared" si="161"/>
        <v>0.14812999118208256</v>
      </c>
      <c r="AA77" s="29">
        <f t="shared" si="162"/>
        <v>2.7395305689476245E-2</v>
      </c>
      <c r="AB77" s="43">
        <f t="shared" si="163"/>
        <v>4.8386669659595044E-3</v>
      </c>
      <c r="AC77" s="43">
        <f t="shared" si="164"/>
        <v>3.1142428958941488E-2</v>
      </c>
      <c r="AD77" s="43">
        <f t="shared" si="165"/>
        <v>0.25564493637660518</v>
      </c>
      <c r="AE77" s="32">
        <f t="shared" si="166"/>
        <v>0.21802546152183477</v>
      </c>
      <c r="AF77" s="53">
        <f t="shared" si="167"/>
        <v>0.19519297929180435</v>
      </c>
      <c r="AG77" s="53">
        <f t="shared" si="168"/>
        <v>0.15739605498849918</v>
      </c>
      <c r="AH77" s="53">
        <f t="shared" si="169"/>
        <v>0.4293855041978617</v>
      </c>
      <c r="AI77" s="34">
        <f t="shared" si="170"/>
        <v>7.5276219386330875E-2</v>
      </c>
      <c r="AJ77" s="35">
        <f t="shared" si="171"/>
        <v>0.60570244262268669</v>
      </c>
      <c r="AK77" s="34">
        <f t="shared" si="172"/>
        <v>7.5276219386330875E-2</v>
      </c>
      <c r="AL77" s="35">
        <f t="shared" si="173"/>
        <v>0.60570244262268669</v>
      </c>
      <c r="AM77" s="35">
        <f t="shared" si="174"/>
        <v>0.31902133799098242</v>
      </c>
      <c r="AN77" s="36">
        <v>1</v>
      </c>
      <c r="AO77" s="54">
        <v>1</v>
      </c>
      <c r="AP77" s="2"/>
      <c r="AQ77" s="42" t="s">
        <v>536</v>
      </c>
      <c r="AR77" s="43">
        <f t="shared" si="175"/>
        <v>4.2677308699808882E-2</v>
      </c>
      <c r="AS77" s="43">
        <f t="shared" si="71"/>
        <v>5.1900677208832555E-2</v>
      </c>
      <c r="AT77" s="43">
        <f t="shared" si="72"/>
        <v>7.0239690242107133E-2</v>
      </c>
      <c r="AU77" s="43">
        <f t="shared" si="73"/>
        <v>8.4989854013133262E-2</v>
      </c>
      <c r="AV77" s="29">
        <f t="shared" si="74"/>
        <v>4.1271081295333176E-2</v>
      </c>
      <c r="AW77" s="43">
        <f t="shared" si="75"/>
        <v>4.0561789330059148E-2</v>
      </c>
      <c r="AX77" s="43">
        <f t="shared" si="76"/>
        <v>2.4397199067422288E-2</v>
      </c>
      <c r="AY77" s="43">
        <f t="shared" si="77"/>
        <v>3.4389874734211921E-2</v>
      </c>
      <c r="AZ77" s="29">
        <f t="shared" si="78"/>
        <v>5.2345795358554124E-2</v>
      </c>
      <c r="BA77" s="43">
        <f t="shared" si="79"/>
        <v>9.2455208815432136E-3</v>
      </c>
      <c r="BB77" s="43">
        <f t="shared" si="80"/>
        <v>5.9505640555027051E-2</v>
      </c>
      <c r="BC77" s="44">
        <f t="shared" si="81"/>
        <v>0.48847556861396735</v>
      </c>
      <c r="BD77" s="2"/>
      <c r="BE77" s="42" t="s">
        <v>536</v>
      </c>
      <c r="BF77" s="62">
        <v>1</v>
      </c>
      <c r="BG77" s="62">
        <v>1</v>
      </c>
      <c r="BH77" s="62">
        <v>1</v>
      </c>
      <c r="BI77" s="62">
        <v>1</v>
      </c>
      <c r="BJ77" s="36">
        <v>1</v>
      </c>
      <c r="BK77" s="62">
        <v>1</v>
      </c>
      <c r="BL77" s="62">
        <v>1</v>
      </c>
      <c r="BM77" s="62">
        <v>1</v>
      </c>
      <c r="BN77" s="36">
        <v>1</v>
      </c>
      <c r="BO77" s="62">
        <v>1</v>
      </c>
      <c r="BP77" s="62">
        <v>1</v>
      </c>
      <c r="BQ77" s="54">
        <v>1</v>
      </c>
      <c r="BR77" s="2"/>
      <c r="BS77" s="42" t="s">
        <v>536</v>
      </c>
      <c r="BT77" s="67">
        <f t="shared" si="176"/>
        <v>1702.806</v>
      </c>
      <c r="BU77" s="67">
        <f t="shared" si="130"/>
        <v>2070.8143799999998</v>
      </c>
      <c r="BV77" s="67">
        <f t="shared" si="131"/>
        <v>2802.5329999999999</v>
      </c>
      <c r="BW77" s="67">
        <f t="shared" si="132"/>
        <v>3391.0581000000002</v>
      </c>
      <c r="BX77" s="30">
        <f t="shared" si="133"/>
        <v>1646.69814</v>
      </c>
      <c r="BY77" s="67">
        <f t="shared" si="134"/>
        <v>1618.3977000000002</v>
      </c>
      <c r="BZ77" s="67">
        <f t="shared" si="135"/>
        <v>973.43759999999997</v>
      </c>
      <c r="CA77" s="67">
        <f t="shared" si="136"/>
        <v>1372.1410000000001</v>
      </c>
      <c r="CB77" s="30">
        <f t="shared" si="137"/>
        <v>2088.5744</v>
      </c>
      <c r="CC77" s="67">
        <f t="shared" si="138"/>
        <v>368.89224999999999</v>
      </c>
      <c r="CD77" s="67">
        <f t="shared" si="139"/>
        <v>2374.2490999999995</v>
      </c>
      <c r="CE77" s="68">
        <f t="shared" si="140"/>
        <v>19489.962099999997</v>
      </c>
      <c r="CF77" s="2"/>
      <c r="CG77" s="37" t="str">
        <f t="shared" si="177"/>
        <v>aelec</v>
      </c>
      <c r="CH77" s="42" t="s">
        <v>536</v>
      </c>
      <c r="CI77" s="67">
        <f t="shared" si="178"/>
        <v>1702.806</v>
      </c>
      <c r="CJ77" s="67">
        <f t="shared" si="82"/>
        <v>2070.8143799999998</v>
      </c>
      <c r="CK77" s="67">
        <f t="shared" si="83"/>
        <v>2802.5329999999999</v>
      </c>
      <c r="CL77" s="67">
        <f t="shared" si="84"/>
        <v>3391.0581000000002</v>
      </c>
      <c r="CM77" s="30">
        <f t="shared" si="85"/>
        <v>1646.69814</v>
      </c>
      <c r="CN77" s="67">
        <f t="shared" si="86"/>
        <v>1618.3977000000002</v>
      </c>
      <c r="CO77" s="67">
        <f t="shared" si="87"/>
        <v>973.43759999999997</v>
      </c>
      <c r="CP77" s="67">
        <f t="shared" si="88"/>
        <v>1372.1410000000001</v>
      </c>
      <c r="CQ77" s="30">
        <f t="shared" si="89"/>
        <v>2088.5744</v>
      </c>
      <c r="CR77" s="67">
        <f t="shared" si="90"/>
        <v>368.89224999999999</v>
      </c>
      <c r="CS77" s="67">
        <f t="shared" si="91"/>
        <v>2374.2490999999995</v>
      </c>
      <c r="CT77" s="68">
        <f t="shared" si="92"/>
        <v>19489.962099999997</v>
      </c>
      <c r="CU77" s="2"/>
      <c r="CV77" s="42" t="s">
        <v>536</v>
      </c>
      <c r="CW77" s="67">
        <f t="shared" si="179"/>
        <v>0</v>
      </c>
      <c r="CX77" s="67">
        <f t="shared" si="93"/>
        <v>0</v>
      </c>
      <c r="CY77" s="67">
        <f t="shared" si="94"/>
        <v>0</v>
      </c>
      <c r="CZ77" s="67">
        <f t="shared" si="95"/>
        <v>0</v>
      </c>
      <c r="DA77" s="30">
        <f t="shared" si="96"/>
        <v>0</v>
      </c>
      <c r="DB77" s="67">
        <f t="shared" si="97"/>
        <v>0</v>
      </c>
      <c r="DC77" s="67">
        <f t="shared" si="98"/>
        <v>0</v>
      </c>
      <c r="DD77" s="67">
        <f t="shared" si="99"/>
        <v>0</v>
      </c>
      <c r="DE77" s="30">
        <f t="shared" si="100"/>
        <v>0</v>
      </c>
      <c r="DF77" s="67">
        <f t="shared" si="101"/>
        <v>0</v>
      </c>
      <c r="DG77" s="67">
        <f t="shared" si="102"/>
        <v>0</v>
      </c>
      <c r="DH77" s="68">
        <f t="shared" si="103"/>
        <v>0</v>
      </c>
      <c r="DI77" s="2"/>
      <c r="DJ77" s="37" t="s">
        <v>505</v>
      </c>
      <c r="DK77" s="76" t="s">
        <v>536</v>
      </c>
      <c r="DL77" s="67">
        <f t="shared" si="180"/>
        <v>144.381</v>
      </c>
      <c r="DM77" s="67">
        <f t="shared" si="141"/>
        <v>44.72728</v>
      </c>
      <c r="DN77" s="67">
        <f t="shared" si="142"/>
        <v>0</v>
      </c>
      <c r="DO77" s="67">
        <f t="shared" si="143"/>
        <v>0</v>
      </c>
      <c r="DP77" s="30">
        <f t="shared" si="144"/>
        <v>34.584139999999998</v>
      </c>
      <c r="DQ77" s="67">
        <f t="shared" si="145"/>
        <v>114.91540000000001</v>
      </c>
      <c r="DR77" s="67">
        <f t="shared" si="146"/>
        <v>0</v>
      </c>
      <c r="DS77" s="67">
        <f t="shared" si="147"/>
        <v>1372.1410000000001</v>
      </c>
      <c r="DT77" s="30">
        <f t="shared" si="148"/>
        <v>260.94439999999997</v>
      </c>
      <c r="DU77" s="67">
        <f t="shared" si="149"/>
        <v>199.09780000000001</v>
      </c>
      <c r="DV77" s="67">
        <f t="shared" si="150"/>
        <v>193.35939999999999</v>
      </c>
      <c r="DW77" s="68">
        <f t="shared" si="151"/>
        <v>148.0411</v>
      </c>
      <c r="DX77" s="2"/>
      <c r="DY77" s="81" t="s">
        <v>536</v>
      </c>
      <c r="DZ77" s="82"/>
      <c r="EA77" s="82"/>
      <c r="EB77" s="82"/>
      <c r="EC77" s="83"/>
      <c r="ED77" s="84">
        <v>1</v>
      </c>
      <c r="EE77" s="2"/>
      <c r="EF77" s="38" t="s">
        <v>536</v>
      </c>
      <c r="EG77" s="93" t="s">
        <v>536</v>
      </c>
      <c r="EH77" s="94"/>
      <c r="EI77" s="94"/>
      <c r="EJ77" s="94"/>
      <c r="EK77" s="94"/>
      <c r="EL77" s="94"/>
      <c r="EM77" s="94"/>
      <c r="EN77" s="94"/>
      <c r="EO77" s="94"/>
      <c r="EP77" s="94"/>
      <c r="EQ77" s="94"/>
      <c r="ER77" s="94"/>
      <c r="ES77" s="95"/>
      <c r="ET77" s="38" t="s">
        <v>536</v>
      </c>
      <c r="EU77" s="93" t="s">
        <v>536</v>
      </c>
      <c r="EV77" s="94"/>
      <c r="EW77" s="94"/>
      <c r="EX77" s="94"/>
      <c r="EY77" s="94"/>
      <c r="EZ77" s="94"/>
      <c r="FA77" s="94"/>
      <c r="FB77" s="94"/>
      <c r="FC77" s="94"/>
      <c r="FD77" s="94"/>
      <c r="FE77" s="94"/>
      <c r="FF77" s="94"/>
      <c r="FG77" s="95"/>
      <c r="FH77" s="38" t="s">
        <v>536</v>
      </c>
      <c r="FI77" s="93" t="s">
        <v>536</v>
      </c>
      <c r="FJ77" s="94"/>
      <c r="FK77" s="94"/>
      <c r="FL77" s="94"/>
      <c r="FM77" s="94"/>
      <c r="FN77" s="94"/>
      <c r="FO77" s="94"/>
      <c r="FP77" s="94"/>
      <c r="FQ77" s="94"/>
      <c r="FR77" s="94"/>
      <c r="FS77" s="94"/>
      <c r="FT77" s="94"/>
      <c r="FU77" s="95"/>
      <c r="FV77" s="38" t="s">
        <v>536</v>
      </c>
      <c r="FW77" s="93" t="s">
        <v>536</v>
      </c>
      <c r="FX77" s="94"/>
      <c r="FY77" s="94"/>
      <c r="FZ77" s="94"/>
      <c r="GA77" s="94"/>
      <c r="GB77" s="94"/>
      <c r="GC77" s="94"/>
      <c r="GD77" s="94"/>
      <c r="GE77" s="94"/>
      <c r="GF77" s="94"/>
      <c r="GG77" s="94"/>
      <c r="GH77" s="94"/>
      <c r="GI77" s="95"/>
      <c r="GJ77" s="38" t="s">
        <v>536</v>
      </c>
      <c r="GK77" s="93" t="s">
        <v>536</v>
      </c>
      <c r="GL77" s="94">
        <v>144.381</v>
      </c>
      <c r="GM77" s="94">
        <v>44.72728</v>
      </c>
      <c r="GN77" s="94"/>
      <c r="GO77" s="94"/>
      <c r="GP77" s="94">
        <v>34.584139999999998</v>
      </c>
      <c r="GQ77" s="94">
        <v>114.91540000000001</v>
      </c>
      <c r="GR77" s="94"/>
      <c r="GS77" s="94">
        <v>1372.1410000000001</v>
      </c>
      <c r="GT77" s="94">
        <v>260.94439999999997</v>
      </c>
      <c r="GU77" s="94">
        <v>199.09780000000001</v>
      </c>
      <c r="GV77" s="94">
        <v>193.35939999999999</v>
      </c>
      <c r="GW77" s="95">
        <v>148.0411</v>
      </c>
      <c r="GX77" s="38"/>
    </row>
    <row r="78" spans="1:206" x14ac:dyDescent="0.35">
      <c r="A78" s="2"/>
      <c r="B78" s="2"/>
      <c r="C78" s="42" t="s">
        <v>507</v>
      </c>
      <c r="D78" s="43">
        <f t="shared" si="152"/>
        <v>0.2132998120027543</v>
      </c>
      <c r="E78" s="43">
        <f t="shared" si="119"/>
        <v>0.39684497604278529</v>
      </c>
      <c r="F78" s="43">
        <f t="shared" si="120"/>
        <v>6.1214440511489679E-2</v>
      </c>
      <c r="G78" s="43">
        <f t="shared" si="121"/>
        <v>1.4487097097305139E-2</v>
      </c>
      <c r="H78" s="43">
        <f t="shared" si="122"/>
        <v>2.5745291843753616E-2</v>
      </c>
      <c r="I78" s="43">
        <f t="shared" si="123"/>
        <v>4.652704976239979E-2</v>
      </c>
      <c r="J78" s="43">
        <f t="shared" si="124"/>
        <v>1.3538618456955427E-2</v>
      </c>
      <c r="K78" s="43">
        <f t="shared" si="125"/>
        <v>7.4402726244904879E-4</v>
      </c>
      <c r="L78" s="43">
        <f t="shared" si="126"/>
        <v>4.0313673351551699E-2</v>
      </c>
      <c r="M78" s="43">
        <f t="shared" si="127"/>
        <v>7.8539413602789529E-2</v>
      </c>
      <c r="N78" s="43">
        <f t="shared" si="128"/>
        <v>4.5103964792429466E-2</v>
      </c>
      <c r="O78" s="44">
        <f t="shared" si="129"/>
        <v>6.3641635273337091E-2</v>
      </c>
      <c r="P78" s="115">
        <f t="shared" si="153"/>
        <v>1</v>
      </c>
      <c r="Q78" s="2"/>
      <c r="R78" s="42" t="s">
        <v>507</v>
      </c>
      <c r="S78" s="43">
        <f t="shared" si="154"/>
        <v>0.2132998120027543</v>
      </c>
      <c r="T78" s="43">
        <f t="shared" si="155"/>
        <v>0.39684497604278529</v>
      </c>
      <c r="U78" s="43">
        <f t="shared" si="156"/>
        <v>6.1214440511489679E-2</v>
      </c>
      <c r="V78" s="43">
        <f t="shared" si="157"/>
        <v>1.4487097097305139E-2</v>
      </c>
      <c r="W78" s="29">
        <f t="shared" si="158"/>
        <v>2.5745291843753616E-2</v>
      </c>
      <c r="X78" s="43">
        <f t="shared" si="159"/>
        <v>4.652704976239979E-2</v>
      </c>
      <c r="Y78" s="43">
        <f t="shared" si="160"/>
        <v>1.3538618456955427E-2</v>
      </c>
      <c r="Z78" s="43">
        <f t="shared" si="161"/>
        <v>7.4402726244904879E-4</v>
      </c>
      <c r="AA78" s="29">
        <f t="shared" si="162"/>
        <v>4.0313673351551699E-2</v>
      </c>
      <c r="AB78" s="43">
        <f t="shared" si="163"/>
        <v>7.8539413602789529E-2</v>
      </c>
      <c r="AC78" s="43">
        <f t="shared" si="164"/>
        <v>4.5103964792429466E-2</v>
      </c>
      <c r="AD78" s="43">
        <f t="shared" si="165"/>
        <v>6.3641635273337091E-2</v>
      </c>
      <c r="AE78" s="32">
        <f t="shared" si="166"/>
        <v>0.27935877719805963</v>
      </c>
      <c r="AF78" s="53">
        <f t="shared" si="167"/>
        <v>0.52191143940797458</v>
      </c>
      <c r="AG78" s="53">
        <f t="shared" si="168"/>
        <v>0.11985702376087458</v>
      </c>
      <c r="AH78" s="53">
        <f t="shared" si="169"/>
        <v>7.8872759633091274E-2</v>
      </c>
      <c r="AI78" s="34">
        <f t="shared" si="170"/>
        <v>0.68584632565433434</v>
      </c>
      <c r="AJ78" s="35">
        <f t="shared" si="171"/>
        <v>8.6554987325557886E-2</v>
      </c>
      <c r="AK78" s="34">
        <f t="shared" si="172"/>
        <v>0.68584632565433434</v>
      </c>
      <c r="AL78" s="35">
        <f t="shared" si="173"/>
        <v>8.6554987325557886E-2</v>
      </c>
      <c r="AM78" s="35">
        <f t="shared" si="174"/>
        <v>0.22759868702010777</v>
      </c>
      <c r="AN78" s="36">
        <v>1</v>
      </c>
      <c r="AO78" s="54">
        <v>1</v>
      </c>
      <c r="AP78" s="2"/>
      <c r="AQ78" s="42" t="s">
        <v>507</v>
      </c>
      <c r="AR78" s="43">
        <f t="shared" si="175"/>
        <v>0.21329981200275425</v>
      </c>
      <c r="AS78" s="43">
        <f t="shared" si="71"/>
        <v>0.39684497604278524</v>
      </c>
      <c r="AT78" s="43">
        <f t="shared" si="72"/>
        <v>6.1214440511489665E-2</v>
      </c>
      <c r="AU78" s="43">
        <f t="shared" si="73"/>
        <v>1.4487097097305137E-2</v>
      </c>
      <c r="AV78" s="29">
        <f t="shared" si="74"/>
        <v>2.5745291843753616E-2</v>
      </c>
      <c r="AW78" s="43">
        <f t="shared" si="75"/>
        <v>4.652704976239979E-2</v>
      </c>
      <c r="AX78" s="43">
        <f t="shared" si="76"/>
        <v>1.3538618456955427E-2</v>
      </c>
      <c r="AY78" s="43">
        <f t="shared" si="77"/>
        <v>7.440272624490489E-4</v>
      </c>
      <c r="AZ78" s="29">
        <f t="shared" si="78"/>
        <v>4.031367335155172E-2</v>
      </c>
      <c r="BA78" s="43">
        <f t="shared" si="79"/>
        <v>7.8539413602789571E-2</v>
      </c>
      <c r="BB78" s="43">
        <f t="shared" si="80"/>
        <v>4.5103964792429486E-2</v>
      </c>
      <c r="BC78" s="44">
        <f t="shared" si="81"/>
        <v>6.3641635273337119E-2</v>
      </c>
      <c r="BD78" s="2"/>
      <c r="BE78" s="42" t="s">
        <v>507</v>
      </c>
      <c r="BF78" s="62">
        <v>1</v>
      </c>
      <c r="BG78" s="62">
        <v>1</v>
      </c>
      <c r="BH78" s="62">
        <v>1</v>
      </c>
      <c r="BI78" s="62">
        <v>1</v>
      </c>
      <c r="BJ78" s="36">
        <v>1</v>
      </c>
      <c r="BK78" s="62">
        <v>1</v>
      </c>
      <c r="BL78" s="62">
        <v>1</v>
      </c>
      <c r="BM78" s="62">
        <v>1</v>
      </c>
      <c r="BN78" s="36">
        <v>1</v>
      </c>
      <c r="BO78" s="62">
        <v>1</v>
      </c>
      <c r="BP78" s="62">
        <v>1</v>
      </c>
      <c r="BQ78" s="54">
        <v>1</v>
      </c>
      <c r="BR78" s="2"/>
      <c r="BS78" s="42" t="s">
        <v>507</v>
      </c>
      <c r="BT78" s="67">
        <f t="shared" si="176"/>
        <v>91245.8</v>
      </c>
      <c r="BU78" s="67">
        <f t="shared" si="130"/>
        <v>169763.1</v>
      </c>
      <c r="BV78" s="67">
        <f t="shared" si="131"/>
        <v>26186.43</v>
      </c>
      <c r="BW78" s="67">
        <f t="shared" si="132"/>
        <v>6197.3180000000002</v>
      </c>
      <c r="BX78" s="30">
        <f t="shared" si="133"/>
        <v>11013.37</v>
      </c>
      <c r="BY78" s="67">
        <f t="shared" si="134"/>
        <v>19903.43</v>
      </c>
      <c r="BZ78" s="67">
        <f t="shared" si="135"/>
        <v>5791.576</v>
      </c>
      <c r="CA78" s="67">
        <f t="shared" si="136"/>
        <v>318.28140000000002</v>
      </c>
      <c r="CB78" s="30">
        <f t="shared" si="137"/>
        <v>17245.46</v>
      </c>
      <c r="CC78" s="67">
        <f t="shared" si="138"/>
        <v>33597.74</v>
      </c>
      <c r="CD78" s="67">
        <f t="shared" si="139"/>
        <v>19294.66</v>
      </c>
      <c r="CE78" s="68">
        <f t="shared" si="140"/>
        <v>27224.74</v>
      </c>
      <c r="CF78" s="2"/>
      <c r="CG78" s="37" t="str">
        <f t="shared" si="177"/>
        <v>acons</v>
      </c>
      <c r="CH78" s="42" t="s">
        <v>507</v>
      </c>
      <c r="CI78" s="67">
        <f t="shared" si="178"/>
        <v>91245.8</v>
      </c>
      <c r="CJ78" s="67">
        <f t="shared" si="82"/>
        <v>169763.1</v>
      </c>
      <c r="CK78" s="67">
        <f t="shared" si="83"/>
        <v>26186.43</v>
      </c>
      <c r="CL78" s="67">
        <f t="shared" si="84"/>
        <v>6197.3180000000002</v>
      </c>
      <c r="CM78" s="30">
        <f t="shared" si="85"/>
        <v>11013.37</v>
      </c>
      <c r="CN78" s="67">
        <f t="shared" si="86"/>
        <v>19903.43</v>
      </c>
      <c r="CO78" s="67">
        <f t="shared" si="87"/>
        <v>5791.576</v>
      </c>
      <c r="CP78" s="67">
        <f t="shared" si="88"/>
        <v>318.28140000000002</v>
      </c>
      <c r="CQ78" s="30">
        <f t="shared" si="89"/>
        <v>17245.46</v>
      </c>
      <c r="CR78" s="67">
        <f t="shared" si="90"/>
        <v>33597.74</v>
      </c>
      <c r="CS78" s="67">
        <f t="shared" si="91"/>
        <v>19294.66</v>
      </c>
      <c r="CT78" s="68">
        <f t="shared" si="92"/>
        <v>27224.74</v>
      </c>
      <c r="CU78" s="2"/>
      <c r="CV78" s="42" t="s">
        <v>507</v>
      </c>
      <c r="CW78" s="67">
        <f t="shared" si="179"/>
        <v>91245.8</v>
      </c>
      <c r="CX78" s="67">
        <f t="shared" si="93"/>
        <v>169763.1</v>
      </c>
      <c r="CY78" s="67">
        <f t="shared" si="94"/>
        <v>26186.43</v>
      </c>
      <c r="CZ78" s="67">
        <f t="shared" si="95"/>
        <v>6197.3180000000002</v>
      </c>
      <c r="DA78" s="30">
        <f t="shared" si="96"/>
        <v>11013.37</v>
      </c>
      <c r="DB78" s="67">
        <f t="shared" si="97"/>
        <v>19903.43</v>
      </c>
      <c r="DC78" s="67">
        <f t="shared" si="98"/>
        <v>5791.576</v>
      </c>
      <c r="DD78" s="67">
        <f t="shared" si="99"/>
        <v>318.28140000000002</v>
      </c>
      <c r="DE78" s="30">
        <f t="shared" si="100"/>
        <v>17245.46</v>
      </c>
      <c r="DF78" s="67">
        <f t="shared" si="101"/>
        <v>33597.74</v>
      </c>
      <c r="DG78" s="67">
        <f t="shared" si="102"/>
        <v>19294.66</v>
      </c>
      <c r="DH78" s="68">
        <f t="shared" si="103"/>
        <v>27224.74</v>
      </c>
      <c r="DI78" s="2"/>
      <c r="DJ78" s="37" t="s">
        <v>507</v>
      </c>
      <c r="DK78" s="76" t="s">
        <v>507</v>
      </c>
      <c r="DL78" s="67">
        <f t="shared" si="180"/>
        <v>91245.8</v>
      </c>
      <c r="DM78" s="67">
        <f t="shared" si="141"/>
        <v>169763.1</v>
      </c>
      <c r="DN78" s="67">
        <f t="shared" si="142"/>
        <v>26186.43</v>
      </c>
      <c r="DO78" s="67">
        <f t="shared" si="143"/>
        <v>6197.3180000000002</v>
      </c>
      <c r="DP78" s="30">
        <f t="shared" si="144"/>
        <v>11013.37</v>
      </c>
      <c r="DQ78" s="67">
        <f t="shared" si="145"/>
        <v>19903.43</v>
      </c>
      <c r="DR78" s="67">
        <f t="shared" si="146"/>
        <v>5791.576</v>
      </c>
      <c r="DS78" s="67">
        <f t="shared" si="147"/>
        <v>318.28140000000002</v>
      </c>
      <c r="DT78" s="30">
        <f t="shared" si="148"/>
        <v>17245.46</v>
      </c>
      <c r="DU78" s="67">
        <f t="shared" si="149"/>
        <v>33597.74</v>
      </c>
      <c r="DV78" s="67">
        <f t="shared" si="150"/>
        <v>19294.66</v>
      </c>
      <c r="DW78" s="68">
        <f t="shared" si="151"/>
        <v>27224.74</v>
      </c>
      <c r="DX78" s="2"/>
      <c r="DY78" s="81" t="s">
        <v>507</v>
      </c>
      <c r="DZ78" s="82"/>
      <c r="EA78" s="82"/>
      <c r="EB78" s="82"/>
      <c r="EC78" s="83"/>
      <c r="ED78" s="84">
        <v>1</v>
      </c>
      <c r="EE78" s="2"/>
      <c r="EF78" s="38" t="s">
        <v>507</v>
      </c>
      <c r="EG78" s="93" t="s">
        <v>507</v>
      </c>
      <c r="EH78" s="94">
        <v>83608.36</v>
      </c>
      <c r="EI78" s="94">
        <v>85005.19</v>
      </c>
      <c r="EJ78" s="94">
        <v>13420.97</v>
      </c>
      <c r="EK78" s="94">
        <v>2409.125</v>
      </c>
      <c r="EL78" s="94">
        <v>8478.6610000000001</v>
      </c>
      <c r="EM78" s="94">
        <v>9362.8320000000003</v>
      </c>
      <c r="EN78" s="94">
        <v>4435.2139999999999</v>
      </c>
      <c r="EO78" s="94">
        <v>6921.6719999999996</v>
      </c>
      <c r="EP78" s="94">
        <v>24275.82</v>
      </c>
      <c r="EQ78" s="94">
        <v>49169.04</v>
      </c>
      <c r="ER78" s="94">
        <v>17268.919999999998</v>
      </c>
      <c r="ES78" s="95">
        <v>26052.55</v>
      </c>
      <c r="ET78" s="38" t="s">
        <v>507</v>
      </c>
      <c r="EU78" s="93" t="s">
        <v>507</v>
      </c>
      <c r="EV78" s="94">
        <v>48676.17</v>
      </c>
      <c r="EW78" s="94">
        <v>37437.42</v>
      </c>
      <c r="EX78" s="94">
        <v>11164.38</v>
      </c>
      <c r="EY78" s="94">
        <v>840.3021</v>
      </c>
      <c r="EZ78" s="94">
        <v>63233.42</v>
      </c>
      <c r="FA78" s="94">
        <v>1338.4269999999999</v>
      </c>
      <c r="FB78" s="94">
        <v>24684.58</v>
      </c>
      <c r="FC78" s="94">
        <v>66105.77</v>
      </c>
      <c r="FD78" s="94">
        <v>44607.65</v>
      </c>
      <c r="FE78" s="94">
        <v>95599.25</v>
      </c>
      <c r="FF78" s="94">
        <v>3511.9940000000001</v>
      </c>
      <c r="FG78" s="95">
        <v>111738.9</v>
      </c>
      <c r="FH78" s="38" t="s">
        <v>507</v>
      </c>
      <c r="FI78" s="93" t="s">
        <v>507</v>
      </c>
      <c r="FJ78" s="94"/>
      <c r="FK78" s="94"/>
      <c r="FL78" s="94"/>
      <c r="FM78" s="94"/>
      <c r="FN78" s="94"/>
      <c r="FO78" s="94"/>
      <c r="FP78" s="94"/>
      <c r="FQ78" s="94"/>
      <c r="FR78" s="94"/>
      <c r="FS78" s="94"/>
      <c r="FT78" s="94"/>
      <c r="FU78" s="95"/>
      <c r="FV78" s="38" t="s">
        <v>507</v>
      </c>
      <c r="FW78" s="93" t="s">
        <v>507</v>
      </c>
      <c r="FX78" s="94"/>
      <c r="FY78" s="94"/>
      <c r="FZ78" s="94"/>
      <c r="GA78" s="94"/>
      <c r="GB78" s="94"/>
      <c r="GC78" s="94"/>
      <c r="GD78" s="94"/>
      <c r="GE78" s="94"/>
      <c r="GF78" s="94"/>
      <c r="GG78" s="94"/>
      <c r="GH78" s="94"/>
      <c r="GI78" s="95"/>
      <c r="GJ78" s="38" t="s">
        <v>507</v>
      </c>
      <c r="GK78" s="93" t="s">
        <v>507</v>
      </c>
      <c r="GL78" s="94">
        <v>91245.8</v>
      </c>
      <c r="GM78" s="94">
        <v>169763.1</v>
      </c>
      <c r="GN78" s="94">
        <v>26186.43</v>
      </c>
      <c r="GO78" s="94">
        <v>6197.3180000000002</v>
      </c>
      <c r="GP78" s="94">
        <v>11013.37</v>
      </c>
      <c r="GQ78" s="94">
        <v>19903.43</v>
      </c>
      <c r="GR78" s="94">
        <v>5791.576</v>
      </c>
      <c r="GS78" s="94">
        <v>318.28140000000002</v>
      </c>
      <c r="GT78" s="94">
        <v>17245.46</v>
      </c>
      <c r="GU78" s="94">
        <v>33597.74</v>
      </c>
      <c r="GV78" s="94">
        <v>19294.66</v>
      </c>
      <c r="GW78" s="95">
        <v>27224.74</v>
      </c>
      <c r="GX78" s="38"/>
    </row>
    <row r="79" spans="1:206" x14ac:dyDescent="0.35">
      <c r="A79" s="2"/>
      <c r="B79" s="2"/>
      <c r="C79" s="42" t="s">
        <v>537</v>
      </c>
      <c r="D79" s="43">
        <f t="shared" si="152"/>
        <v>0.2132998120027543</v>
      </c>
      <c r="E79" s="43">
        <f t="shared" si="119"/>
        <v>0.39684497604278529</v>
      </c>
      <c r="F79" s="43">
        <f t="shared" si="120"/>
        <v>6.1214440511489679E-2</v>
      </c>
      <c r="G79" s="43">
        <f t="shared" si="121"/>
        <v>1.4487097097305139E-2</v>
      </c>
      <c r="H79" s="43">
        <f t="shared" si="122"/>
        <v>2.5745291843753616E-2</v>
      </c>
      <c r="I79" s="43">
        <f t="shared" si="123"/>
        <v>4.652704976239979E-2</v>
      </c>
      <c r="J79" s="43">
        <f t="shared" si="124"/>
        <v>1.3538618456955427E-2</v>
      </c>
      <c r="K79" s="43">
        <f t="shared" si="125"/>
        <v>7.4402726244904879E-4</v>
      </c>
      <c r="L79" s="43">
        <f t="shared" si="126"/>
        <v>4.0313673351551699E-2</v>
      </c>
      <c r="M79" s="43">
        <f t="shared" si="127"/>
        <v>7.8539413602789529E-2</v>
      </c>
      <c r="N79" s="43">
        <f t="shared" si="128"/>
        <v>4.5103964792429466E-2</v>
      </c>
      <c r="O79" s="44">
        <f t="shared" si="129"/>
        <v>6.3641635273337091E-2</v>
      </c>
      <c r="P79" s="115">
        <f t="shared" si="153"/>
        <v>1</v>
      </c>
      <c r="Q79" s="2"/>
      <c r="R79" s="42" t="s">
        <v>537</v>
      </c>
      <c r="S79" s="43">
        <f t="shared" si="154"/>
        <v>0.2132998120027543</v>
      </c>
      <c r="T79" s="43">
        <f t="shared" si="155"/>
        <v>0.39684497604278529</v>
      </c>
      <c r="U79" s="43">
        <f t="shared" si="156"/>
        <v>6.1214440511489679E-2</v>
      </c>
      <c r="V79" s="43">
        <f t="shared" si="157"/>
        <v>1.4487097097305139E-2</v>
      </c>
      <c r="W79" s="29">
        <f t="shared" si="158"/>
        <v>2.5745291843753616E-2</v>
      </c>
      <c r="X79" s="43">
        <f t="shared" si="159"/>
        <v>4.652704976239979E-2</v>
      </c>
      <c r="Y79" s="43">
        <f t="shared" si="160"/>
        <v>1.3538618456955427E-2</v>
      </c>
      <c r="Z79" s="43">
        <f t="shared" si="161"/>
        <v>7.4402726244904879E-4</v>
      </c>
      <c r="AA79" s="29">
        <f t="shared" si="162"/>
        <v>4.0313673351551699E-2</v>
      </c>
      <c r="AB79" s="43">
        <f t="shared" si="163"/>
        <v>7.8539413602789529E-2</v>
      </c>
      <c r="AC79" s="43">
        <f t="shared" si="164"/>
        <v>4.5103964792429466E-2</v>
      </c>
      <c r="AD79" s="43">
        <f t="shared" si="165"/>
        <v>6.3641635273337091E-2</v>
      </c>
      <c r="AE79" s="32">
        <f t="shared" si="166"/>
        <v>0.27935877719805963</v>
      </c>
      <c r="AF79" s="53">
        <f t="shared" si="167"/>
        <v>0.52191143940797458</v>
      </c>
      <c r="AG79" s="53">
        <f t="shared" si="168"/>
        <v>0.11985702376087458</v>
      </c>
      <c r="AH79" s="53">
        <f t="shared" si="169"/>
        <v>7.8872759633091274E-2</v>
      </c>
      <c r="AI79" s="34">
        <f t="shared" si="170"/>
        <v>0</v>
      </c>
      <c r="AJ79" s="35">
        <f t="shared" si="171"/>
        <v>0</v>
      </c>
      <c r="AK79" s="34">
        <f>AK78</f>
        <v>0.68584632565433434</v>
      </c>
      <c r="AL79" s="35">
        <f t="shared" ref="AL79" si="183">AL78</f>
        <v>8.6554987325557886E-2</v>
      </c>
      <c r="AM79" s="35">
        <f t="shared" si="174"/>
        <v>0.22759868702010777</v>
      </c>
      <c r="AN79" s="36">
        <v>1</v>
      </c>
      <c r="AO79" s="54">
        <v>1</v>
      </c>
      <c r="AP79" s="2"/>
      <c r="AQ79" s="42" t="s">
        <v>537</v>
      </c>
      <c r="AR79" s="43">
        <f t="shared" si="175"/>
        <v>0.21329981200275425</v>
      </c>
      <c r="AS79" s="43">
        <f t="shared" si="71"/>
        <v>0.39684497604278524</v>
      </c>
      <c r="AT79" s="43">
        <f t="shared" si="72"/>
        <v>6.1214440511489665E-2</v>
      </c>
      <c r="AU79" s="43">
        <f t="shared" si="73"/>
        <v>1.4487097097305137E-2</v>
      </c>
      <c r="AV79" s="29">
        <f t="shared" si="74"/>
        <v>2.5745291843753616E-2</v>
      </c>
      <c r="AW79" s="43">
        <f t="shared" si="75"/>
        <v>4.652704976239979E-2</v>
      </c>
      <c r="AX79" s="43">
        <f t="shared" si="76"/>
        <v>1.3538618456955427E-2</v>
      </c>
      <c r="AY79" s="43">
        <f t="shared" si="77"/>
        <v>7.440272624490489E-4</v>
      </c>
      <c r="AZ79" s="29">
        <f t="shared" si="78"/>
        <v>4.031367335155172E-2</v>
      </c>
      <c r="BA79" s="43">
        <f t="shared" si="79"/>
        <v>7.8539413602789571E-2</v>
      </c>
      <c r="BB79" s="43">
        <f t="shared" si="80"/>
        <v>4.5103964792429486E-2</v>
      </c>
      <c r="BC79" s="44">
        <f t="shared" si="81"/>
        <v>6.3641635273337119E-2</v>
      </c>
      <c r="BD79" s="2"/>
      <c r="BE79" s="42" t="s">
        <v>537</v>
      </c>
      <c r="BF79" s="62">
        <v>1</v>
      </c>
      <c r="BG79" s="62">
        <v>1</v>
      </c>
      <c r="BH79" s="62">
        <v>1</v>
      </c>
      <c r="BI79" s="62">
        <v>1</v>
      </c>
      <c r="BJ79" s="36">
        <v>1</v>
      </c>
      <c r="BK79" s="62">
        <v>1</v>
      </c>
      <c r="BL79" s="62">
        <v>1</v>
      </c>
      <c r="BM79" s="62">
        <v>1</v>
      </c>
      <c r="BN79" s="36">
        <v>1</v>
      </c>
      <c r="BO79" s="62">
        <v>1</v>
      </c>
      <c r="BP79" s="62">
        <v>1</v>
      </c>
      <c r="BQ79" s="54">
        <v>1</v>
      </c>
      <c r="BR79" s="2"/>
      <c r="BS79" s="42" t="s">
        <v>537</v>
      </c>
      <c r="BT79" s="67">
        <f t="shared" si="176"/>
        <v>91245.8</v>
      </c>
      <c r="BU79" s="67">
        <f t="shared" si="130"/>
        <v>169763.1</v>
      </c>
      <c r="BV79" s="67">
        <f t="shared" si="131"/>
        <v>26186.43</v>
      </c>
      <c r="BW79" s="67">
        <f t="shared" si="132"/>
        <v>6197.3180000000002</v>
      </c>
      <c r="BX79" s="30">
        <f t="shared" si="133"/>
        <v>11013.37</v>
      </c>
      <c r="BY79" s="67">
        <f t="shared" si="134"/>
        <v>19903.43</v>
      </c>
      <c r="BZ79" s="67">
        <f t="shared" si="135"/>
        <v>5791.576</v>
      </c>
      <c r="CA79" s="67">
        <f t="shared" si="136"/>
        <v>318.28140000000002</v>
      </c>
      <c r="CB79" s="30">
        <f t="shared" si="137"/>
        <v>17245.46</v>
      </c>
      <c r="CC79" s="67">
        <f t="shared" si="138"/>
        <v>33597.74</v>
      </c>
      <c r="CD79" s="67">
        <f t="shared" si="139"/>
        <v>19294.66</v>
      </c>
      <c r="CE79" s="68">
        <f t="shared" si="140"/>
        <v>27224.74</v>
      </c>
      <c r="CF79" s="2"/>
      <c r="CG79" s="37" t="str">
        <f t="shared" si="177"/>
        <v>acons</v>
      </c>
      <c r="CH79" s="42" t="s">
        <v>537</v>
      </c>
      <c r="CI79" s="67">
        <f t="shared" si="178"/>
        <v>91245.8</v>
      </c>
      <c r="CJ79" s="67">
        <f t="shared" si="82"/>
        <v>169763.1</v>
      </c>
      <c r="CK79" s="67">
        <f t="shared" si="83"/>
        <v>26186.43</v>
      </c>
      <c r="CL79" s="67">
        <f t="shared" si="84"/>
        <v>6197.3180000000002</v>
      </c>
      <c r="CM79" s="30">
        <f t="shared" si="85"/>
        <v>11013.37</v>
      </c>
      <c r="CN79" s="67">
        <f t="shared" si="86"/>
        <v>19903.43</v>
      </c>
      <c r="CO79" s="67">
        <f t="shared" si="87"/>
        <v>5791.576</v>
      </c>
      <c r="CP79" s="67">
        <f t="shared" si="88"/>
        <v>318.28140000000002</v>
      </c>
      <c r="CQ79" s="30">
        <f t="shared" si="89"/>
        <v>17245.46</v>
      </c>
      <c r="CR79" s="67">
        <f t="shared" si="90"/>
        <v>33597.74</v>
      </c>
      <c r="CS79" s="67">
        <f t="shared" si="91"/>
        <v>19294.66</v>
      </c>
      <c r="CT79" s="68">
        <f t="shared" si="92"/>
        <v>27224.74</v>
      </c>
      <c r="CU79" s="2"/>
      <c r="CV79" s="42" t="s">
        <v>537</v>
      </c>
      <c r="CW79" s="67">
        <f t="shared" si="179"/>
        <v>0</v>
      </c>
      <c r="CX79" s="67">
        <f t="shared" si="93"/>
        <v>0</v>
      </c>
      <c r="CY79" s="67">
        <f t="shared" si="94"/>
        <v>0</v>
      </c>
      <c r="CZ79" s="67">
        <f t="shared" si="95"/>
        <v>0</v>
      </c>
      <c r="DA79" s="30">
        <f t="shared" si="96"/>
        <v>0</v>
      </c>
      <c r="DB79" s="67">
        <f t="shared" si="97"/>
        <v>0</v>
      </c>
      <c r="DC79" s="67">
        <f t="shared" si="98"/>
        <v>0</v>
      </c>
      <c r="DD79" s="67">
        <f t="shared" si="99"/>
        <v>0</v>
      </c>
      <c r="DE79" s="30">
        <f t="shared" si="100"/>
        <v>0</v>
      </c>
      <c r="DF79" s="67">
        <f t="shared" si="101"/>
        <v>0</v>
      </c>
      <c r="DG79" s="67">
        <f t="shared" si="102"/>
        <v>0</v>
      </c>
      <c r="DH79" s="68">
        <f t="shared" si="103"/>
        <v>0</v>
      </c>
      <c r="DI79" s="2"/>
      <c r="DJ79" s="37" t="s">
        <v>507</v>
      </c>
      <c r="DK79" s="76" t="s">
        <v>537</v>
      </c>
      <c r="DL79" s="67">
        <f t="shared" si="180"/>
        <v>0</v>
      </c>
      <c r="DM79" s="67">
        <f t="shared" si="141"/>
        <v>0</v>
      </c>
      <c r="DN79" s="67">
        <f t="shared" si="142"/>
        <v>0</v>
      </c>
      <c r="DO79" s="67">
        <f t="shared" si="143"/>
        <v>0</v>
      </c>
      <c r="DP79" s="30">
        <f t="shared" si="144"/>
        <v>0</v>
      </c>
      <c r="DQ79" s="67">
        <f t="shared" si="145"/>
        <v>0</v>
      </c>
      <c r="DR79" s="67">
        <f t="shared" si="146"/>
        <v>0</v>
      </c>
      <c r="DS79" s="67">
        <f t="shared" si="147"/>
        <v>0</v>
      </c>
      <c r="DT79" s="30">
        <f t="shared" si="148"/>
        <v>0</v>
      </c>
      <c r="DU79" s="67">
        <f t="shared" si="149"/>
        <v>0</v>
      </c>
      <c r="DV79" s="67">
        <f t="shared" si="150"/>
        <v>0</v>
      </c>
      <c r="DW79" s="68">
        <f t="shared" si="151"/>
        <v>0</v>
      </c>
      <c r="DX79" s="2"/>
      <c r="DY79" s="81" t="s">
        <v>537</v>
      </c>
      <c r="DZ79" s="82"/>
      <c r="EA79" s="82"/>
      <c r="EB79" s="82"/>
      <c r="EC79" s="83"/>
      <c r="ED79" s="84">
        <v>1</v>
      </c>
      <c r="EE79" s="2"/>
      <c r="EF79" s="38" t="s">
        <v>537</v>
      </c>
      <c r="EG79" s="93" t="s">
        <v>537</v>
      </c>
      <c r="EH79" s="94"/>
      <c r="EI79" s="94"/>
      <c r="EJ79" s="94"/>
      <c r="EK79" s="94"/>
      <c r="EL79" s="94"/>
      <c r="EM79" s="94"/>
      <c r="EN79" s="94"/>
      <c r="EO79" s="94"/>
      <c r="EP79" s="94"/>
      <c r="EQ79" s="94"/>
      <c r="ER79" s="94"/>
      <c r="ES79" s="95"/>
      <c r="ET79" s="38" t="s">
        <v>537</v>
      </c>
      <c r="EU79" s="93" t="s">
        <v>537</v>
      </c>
      <c r="EV79" s="94"/>
      <c r="EW79" s="94"/>
      <c r="EX79" s="94"/>
      <c r="EY79" s="94"/>
      <c r="EZ79" s="94"/>
      <c r="FA79" s="94"/>
      <c r="FB79" s="94"/>
      <c r="FC79" s="94"/>
      <c r="FD79" s="94"/>
      <c r="FE79" s="94"/>
      <c r="FF79" s="94"/>
      <c r="FG79" s="95"/>
      <c r="FH79" s="38" t="s">
        <v>537</v>
      </c>
      <c r="FI79" s="93" t="s">
        <v>537</v>
      </c>
      <c r="FJ79" s="94"/>
      <c r="FK79" s="94"/>
      <c r="FL79" s="94"/>
      <c r="FM79" s="94"/>
      <c r="FN79" s="94"/>
      <c r="FO79" s="94"/>
      <c r="FP79" s="94"/>
      <c r="FQ79" s="94"/>
      <c r="FR79" s="94"/>
      <c r="FS79" s="94"/>
      <c r="FT79" s="94"/>
      <c r="FU79" s="95"/>
      <c r="FV79" s="38" t="s">
        <v>537</v>
      </c>
      <c r="FW79" s="93" t="s">
        <v>537</v>
      </c>
      <c r="FX79" s="94"/>
      <c r="FY79" s="94"/>
      <c r="FZ79" s="94"/>
      <c r="GA79" s="94"/>
      <c r="GB79" s="94"/>
      <c r="GC79" s="94"/>
      <c r="GD79" s="94"/>
      <c r="GE79" s="94"/>
      <c r="GF79" s="94"/>
      <c r="GG79" s="94"/>
      <c r="GH79" s="94"/>
      <c r="GI79" s="95"/>
      <c r="GJ79" s="38" t="s">
        <v>537</v>
      </c>
      <c r="GK79" s="93" t="s">
        <v>537</v>
      </c>
      <c r="GL79" s="94"/>
      <c r="GM79" s="94"/>
      <c r="GN79" s="94"/>
      <c r="GO79" s="94"/>
      <c r="GP79" s="94"/>
      <c r="GQ79" s="94"/>
      <c r="GR79" s="94"/>
      <c r="GS79" s="94"/>
      <c r="GT79" s="94"/>
      <c r="GU79" s="94"/>
      <c r="GV79" s="94"/>
      <c r="GW79" s="95"/>
      <c r="GX79" s="38"/>
    </row>
    <row r="80" spans="1:206" x14ac:dyDescent="0.35">
      <c r="A80" s="2"/>
      <c r="B80" s="2"/>
      <c r="C80" s="42" t="s">
        <v>538</v>
      </c>
      <c r="D80" s="43">
        <f t="shared" si="152"/>
        <v>4.5474606654759178E-2</v>
      </c>
      <c r="E80" s="43">
        <f t="shared" si="119"/>
        <v>4.1764207285926384E-2</v>
      </c>
      <c r="F80" s="43">
        <f t="shared" si="120"/>
        <v>1.9091503966873008E-2</v>
      </c>
      <c r="G80" s="43">
        <f t="shared" si="121"/>
        <v>6.5192830700575698E-3</v>
      </c>
      <c r="H80" s="43">
        <f t="shared" si="122"/>
        <v>3.4111042275488386E-3</v>
      </c>
      <c r="I80" s="43">
        <f t="shared" si="123"/>
        <v>3.3414846489401395E-3</v>
      </c>
      <c r="J80" s="43">
        <f t="shared" si="124"/>
        <v>2.3534830102893436E-3</v>
      </c>
      <c r="K80" s="43">
        <f t="shared" si="125"/>
        <v>8.0260207201921022E-3</v>
      </c>
      <c r="L80" s="43">
        <f t="shared" si="126"/>
        <v>5.5758083644428413E-2</v>
      </c>
      <c r="M80" s="43">
        <f t="shared" si="127"/>
        <v>0.11279232237021691</v>
      </c>
      <c r="N80" s="43">
        <f t="shared" si="128"/>
        <v>0.2022098690299422</v>
      </c>
      <c r="O80" s="44">
        <f t="shared" si="129"/>
        <v>0.49925803137082597</v>
      </c>
      <c r="P80" s="115">
        <f t="shared" si="153"/>
        <v>1</v>
      </c>
      <c r="Q80" s="2"/>
      <c r="R80" s="42" t="s">
        <v>538</v>
      </c>
      <c r="S80" s="43">
        <f t="shared" si="154"/>
        <v>4.5474606654759178E-2</v>
      </c>
      <c r="T80" s="43">
        <f t="shared" si="155"/>
        <v>4.1764207285926384E-2</v>
      </c>
      <c r="U80" s="43">
        <f t="shared" si="156"/>
        <v>1.9091503966873008E-2</v>
      </c>
      <c r="V80" s="43">
        <f t="shared" si="157"/>
        <v>6.5192830700575698E-3</v>
      </c>
      <c r="W80" s="29">
        <f t="shared" si="158"/>
        <v>3.4111042275488386E-3</v>
      </c>
      <c r="X80" s="43">
        <f t="shared" si="159"/>
        <v>3.3414846489401395E-3</v>
      </c>
      <c r="Y80" s="43">
        <f t="shared" si="160"/>
        <v>2.3534830102893436E-3</v>
      </c>
      <c r="Z80" s="43">
        <f t="shared" si="161"/>
        <v>8.0260207201921022E-3</v>
      </c>
      <c r="AA80" s="29">
        <f t="shared" si="162"/>
        <v>5.5758083644428413E-2</v>
      </c>
      <c r="AB80" s="43">
        <f t="shared" si="163"/>
        <v>0.11279232237021691</v>
      </c>
      <c r="AC80" s="43">
        <f t="shared" si="164"/>
        <v>0.2022098690299422</v>
      </c>
      <c r="AD80" s="43">
        <f t="shared" si="165"/>
        <v>0.49925803137082597</v>
      </c>
      <c r="AE80" s="32">
        <f t="shared" si="166"/>
        <v>0.10464379452673643</v>
      </c>
      <c r="AF80" s="53">
        <f t="shared" si="167"/>
        <v>0.15789801430508343</v>
      </c>
      <c r="AG80" s="53">
        <f t="shared" si="168"/>
        <v>0.22365485600710455</v>
      </c>
      <c r="AH80" s="53">
        <f t="shared" si="169"/>
        <v>0.51380333516107568</v>
      </c>
      <c r="AI80" s="34">
        <f t="shared" si="170"/>
        <v>0.11284960097761615</v>
      </c>
      <c r="AJ80" s="35">
        <f t="shared" si="171"/>
        <v>1.7132092606970427E-2</v>
      </c>
      <c r="AK80" s="34">
        <f t="shared" si="172"/>
        <v>0.11284960097761615</v>
      </c>
      <c r="AL80" s="35">
        <f t="shared" si="173"/>
        <v>1.7132092606970427E-2</v>
      </c>
      <c r="AM80" s="35">
        <f t="shared" si="174"/>
        <v>0.87001830641541344</v>
      </c>
      <c r="AN80" s="36">
        <v>1</v>
      </c>
      <c r="AO80" s="54">
        <v>1</v>
      </c>
      <c r="AP80" s="2"/>
      <c r="AQ80" s="42" t="s">
        <v>538</v>
      </c>
      <c r="AR80" s="43">
        <f t="shared" si="175"/>
        <v>9.6530082010659088E-2</v>
      </c>
      <c r="AS80" s="43">
        <f t="shared" si="71"/>
        <v>8.8653924706322218E-2</v>
      </c>
      <c r="AT80" s="43">
        <f t="shared" si="72"/>
        <v>4.052601175025676E-2</v>
      </c>
      <c r="AU80" s="43">
        <f t="shared" si="73"/>
        <v>1.383864481074072E-2</v>
      </c>
      <c r="AV80" s="29">
        <f t="shared" si="74"/>
        <v>2.9062830319262795E-2</v>
      </c>
      <c r="AW80" s="43">
        <f t="shared" si="75"/>
        <v>2.8469666972431511E-2</v>
      </c>
      <c r="AX80" s="43">
        <f t="shared" si="76"/>
        <v>2.0051828623383131E-2</v>
      </c>
      <c r="AY80" s="43">
        <f t="shared" si="77"/>
        <v>6.8382219589181628E-2</v>
      </c>
      <c r="AZ80" s="29">
        <f t="shared" si="78"/>
        <v>3.9381348799561428E-2</v>
      </c>
      <c r="BA80" s="43">
        <f t="shared" si="79"/>
        <v>7.9664032528455497E-2</v>
      </c>
      <c r="BB80" s="43">
        <f t="shared" si="80"/>
        <v>0.14281870649938513</v>
      </c>
      <c r="BC80" s="44">
        <f t="shared" si="81"/>
        <v>0.35262070339036006</v>
      </c>
      <c r="BD80" s="2"/>
      <c r="BE80" s="42" t="s">
        <v>538</v>
      </c>
      <c r="BF80" s="62">
        <v>1</v>
      </c>
      <c r="BG80" s="62">
        <v>1</v>
      </c>
      <c r="BH80" s="62">
        <v>1</v>
      </c>
      <c r="BI80" s="62">
        <v>1</v>
      </c>
      <c r="BJ80" s="36">
        <v>1</v>
      </c>
      <c r="BK80" s="62">
        <v>1</v>
      </c>
      <c r="BL80" s="62">
        <v>1</v>
      </c>
      <c r="BM80" s="62">
        <v>1</v>
      </c>
      <c r="BN80" s="36">
        <v>1</v>
      </c>
      <c r="BO80" s="62">
        <v>1</v>
      </c>
      <c r="BP80" s="62">
        <v>1</v>
      </c>
      <c r="BQ80" s="54">
        <v>1</v>
      </c>
      <c r="BR80" s="2"/>
      <c r="BS80" s="42" t="s">
        <v>538</v>
      </c>
      <c r="BT80" s="67">
        <f t="shared" si="176"/>
        <v>13819.9846</v>
      </c>
      <c r="BU80" s="67">
        <f t="shared" si="130"/>
        <v>12692.3737</v>
      </c>
      <c r="BV80" s="67">
        <f t="shared" si="131"/>
        <v>5802.0136999999995</v>
      </c>
      <c r="BW80" s="67">
        <f t="shared" si="132"/>
        <v>1981.2462</v>
      </c>
      <c r="BX80" s="30">
        <f t="shared" si="133"/>
        <v>4160.857</v>
      </c>
      <c r="BY80" s="67">
        <f t="shared" si="134"/>
        <v>4075.9351999999999</v>
      </c>
      <c r="BZ80" s="67">
        <f t="shared" si="135"/>
        <v>2870.7731000000003</v>
      </c>
      <c r="CA80" s="67">
        <f t="shared" si="136"/>
        <v>9790.1214</v>
      </c>
      <c r="CB80" s="30">
        <f t="shared" si="137"/>
        <v>5638.1350000000002</v>
      </c>
      <c r="CC80" s="67">
        <f t="shared" si="138"/>
        <v>11405.311999999998</v>
      </c>
      <c r="CD80" s="67">
        <f t="shared" si="139"/>
        <v>20447.018</v>
      </c>
      <c r="CE80" s="68">
        <f t="shared" si="140"/>
        <v>50483.875999999997</v>
      </c>
      <c r="CF80" s="2"/>
      <c r="CG80" s="37" t="str">
        <f t="shared" si="177"/>
        <v>avehr</v>
      </c>
      <c r="CH80" s="42" t="s">
        <v>538</v>
      </c>
      <c r="CI80" s="67">
        <f t="shared" si="178"/>
        <v>13819.9846</v>
      </c>
      <c r="CJ80" s="67">
        <f t="shared" si="82"/>
        <v>12692.3737</v>
      </c>
      <c r="CK80" s="67">
        <f t="shared" si="83"/>
        <v>5802.0136999999995</v>
      </c>
      <c r="CL80" s="67">
        <f t="shared" si="84"/>
        <v>1981.2462</v>
      </c>
      <c r="CM80" s="30">
        <f t="shared" si="85"/>
        <v>4160.857</v>
      </c>
      <c r="CN80" s="67">
        <f t="shared" si="86"/>
        <v>4075.9351999999999</v>
      </c>
      <c r="CO80" s="67">
        <f t="shared" si="87"/>
        <v>2870.7731000000003</v>
      </c>
      <c r="CP80" s="67">
        <f t="shared" si="88"/>
        <v>9790.1214</v>
      </c>
      <c r="CQ80" s="30">
        <f t="shared" si="89"/>
        <v>5638.1350000000002</v>
      </c>
      <c r="CR80" s="67">
        <f t="shared" si="90"/>
        <v>11405.311999999998</v>
      </c>
      <c r="CS80" s="67">
        <f t="shared" si="91"/>
        <v>20447.018</v>
      </c>
      <c r="CT80" s="68">
        <f t="shared" si="92"/>
        <v>50483.875999999997</v>
      </c>
      <c r="CU80" s="2"/>
      <c r="CV80" s="42" t="s">
        <v>538</v>
      </c>
      <c r="CW80" s="67">
        <f t="shared" si="179"/>
        <v>13819.9846</v>
      </c>
      <c r="CX80" s="67">
        <f t="shared" si="93"/>
        <v>12692.3737</v>
      </c>
      <c r="CY80" s="67">
        <f t="shared" si="94"/>
        <v>5802.0136999999995</v>
      </c>
      <c r="CZ80" s="67">
        <f t="shared" si="95"/>
        <v>1981.2462</v>
      </c>
      <c r="DA80" s="30">
        <f t="shared" si="96"/>
        <v>4160.857</v>
      </c>
      <c r="DB80" s="67">
        <f t="shared" si="97"/>
        <v>4075.9351999999999</v>
      </c>
      <c r="DC80" s="67">
        <f t="shared" si="98"/>
        <v>2870.7731000000003</v>
      </c>
      <c r="DD80" s="67">
        <f t="shared" si="99"/>
        <v>9790.1214</v>
      </c>
      <c r="DE80" s="30">
        <f t="shared" si="100"/>
        <v>5638.1350000000002</v>
      </c>
      <c r="DF80" s="67">
        <f t="shared" si="101"/>
        <v>11405.311999999998</v>
      </c>
      <c r="DG80" s="67">
        <f t="shared" si="102"/>
        <v>20447.018</v>
      </c>
      <c r="DH80" s="68">
        <f t="shared" si="103"/>
        <v>50483.875999999997</v>
      </c>
      <c r="DI80" s="2"/>
      <c r="DJ80" s="37" t="s">
        <v>538</v>
      </c>
      <c r="DK80" s="76" t="s">
        <v>538</v>
      </c>
      <c r="DL80" s="67">
        <f t="shared" si="180"/>
        <v>844.99559999999997</v>
      </c>
      <c r="DM80" s="67">
        <f t="shared" si="141"/>
        <v>616.54470000000003</v>
      </c>
      <c r="DN80" s="67">
        <f t="shared" si="142"/>
        <v>437.60770000000002</v>
      </c>
      <c r="DO80" s="67">
        <f t="shared" si="143"/>
        <v>0</v>
      </c>
      <c r="DP80" s="30">
        <f t="shared" si="144"/>
        <v>0</v>
      </c>
      <c r="DQ80" s="67">
        <f t="shared" si="145"/>
        <v>54.854199999999999</v>
      </c>
      <c r="DR80" s="67">
        <f t="shared" si="146"/>
        <v>233.46209999999999</v>
      </c>
      <c r="DS80" s="67">
        <f t="shared" si="147"/>
        <v>0</v>
      </c>
      <c r="DT80" s="30">
        <f t="shared" si="148"/>
        <v>1631.307</v>
      </c>
      <c r="DU80" s="67">
        <f t="shared" si="149"/>
        <v>3541.5940000000001</v>
      </c>
      <c r="DV80" s="67">
        <f t="shared" si="150"/>
        <v>5736.6869999999999</v>
      </c>
      <c r="DW80" s="68">
        <f t="shared" si="151"/>
        <v>3731.9659999999999</v>
      </c>
      <c r="DX80" s="2"/>
      <c r="DY80" s="81" t="s">
        <v>538</v>
      </c>
      <c r="DZ80" s="82"/>
      <c r="EA80" s="82"/>
      <c r="EB80" s="82"/>
      <c r="EC80" s="83"/>
      <c r="ED80" s="84">
        <v>1</v>
      </c>
      <c r="EE80" s="2"/>
      <c r="EF80" s="38" t="s">
        <v>538</v>
      </c>
      <c r="EG80" s="93" t="s">
        <v>538</v>
      </c>
      <c r="EH80" s="94">
        <v>15460.33</v>
      </c>
      <c r="EI80" s="94">
        <v>17699.84</v>
      </c>
      <c r="EJ80" s="94">
        <v>4209.067</v>
      </c>
      <c r="EK80" s="94">
        <v>4383.2</v>
      </c>
      <c r="EL80" s="94">
        <v>2966.806</v>
      </c>
      <c r="EM80" s="94">
        <v>7376.9759999999997</v>
      </c>
      <c r="EN80" s="94">
        <v>2011.6489999999999</v>
      </c>
      <c r="EO80" s="94">
        <v>3677.6210000000001</v>
      </c>
      <c r="EP80" s="94">
        <v>6519.63</v>
      </c>
      <c r="EQ80" s="94">
        <v>18300.580000000002</v>
      </c>
      <c r="ER80" s="94">
        <v>19663.37</v>
      </c>
      <c r="ES80" s="95">
        <v>21216.58</v>
      </c>
      <c r="ET80" s="38" t="s">
        <v>538</v>
      </c>
      <c r="EU80" s="93" t="s">
        <v>538</v>
      </c>
      <c r="EV80" s="94">
        <v>1724390</v>
      </c>
      <c r="EW80" s="94">
        <v>1300487</v>
      </c>
      <c r="EX80" s="94">
        <v>200642.7</v>
      </c>
      <c r="EY80" s="94">
        <v>66835.28</v>
      </c>
      <c r="EZ80" s="94">
        <v>457685.2</v>
      </c>
      <c r="FA80" s="94">
        <v>434007.2</v>
      </c>
      <c r="FB80" s="94">
        <v>221774.4</v>
      </c>
      <c r="FC80" s="94">
        <v>124805.8</v>
      </c>
      <c r="FD80" s="94">
        <v>934458.1</v>
      </c>
      <c r="FE80" s="94">
        <v>1183219</v>
      </c>
      <c r="FF80" s="94">
        <v>724254.5</v>
      </c>
      <c r="FG80" s="95">
        <v>485915.2</v>
      </c>
      <c r="FH80" s="38" t="s">
        <v>538</v>
      </c>
      <c r="FI80" s="93" t="s">
        <v>538</v>
      </c>
      <c r="FJ80" s="94"/>
      <c r="FK80" s="94"/>
      <c r="FL80" s="94"/>
      <c r="FM80" s="94"/>
      <c r="FN80" s="94"/>
      <c r="FO80" s="94"/>
      <c r="FP80" s="94"/>
      <c r="FQ80" s="94"/>
      <c r="FR80" s="94"/>
      <c r="FS80" s="94"/>
      <c r="FT80" s="94"/>
      <c r="FU80" s="95"/>
      <c r="FV80" s="38" t="s">
        <v>538</v>
      </c>
      <c r="FW80" s="93" t="s">
        <v>538</v>
      </c>
      <c r="FX80" s="94"/>
      <c r="FY80" s="94"/>
      <c r="FZ80" s="94"/>
      <c r="GA80" s="94"/>
      <c r="GB80" s="94"/>
      <c r="GC80" s="94"/>
      <c r="GD80" s="94"/>
      <c r="GE80" s="94"/>
      <c r="GF80" s="94"/>
      <c r="GG80" s="94"/>
      <c r="GH80" s="94"/>
      <c r="GI80" s="95"/>
      <c r="GJ80" s="38" t="s">
        <v>538</v>
      </c>
      <c r="GK80" s="93" t="s">
        <v>538</v>
      </c>
      <c r="GL80" s="94">
        <v>844.99559999999997</v>
      </c>
      <c r="GM80" s="94">
        <v>616.54470000000003</v>
      </c>
      <c r="GN80" s="94">
        <v>437.60770000000002</v>
      </c>
      <c r="GO80" s="94">
        <v>0</v>
      </c>
      <c r="GP80" s="94"/>
      <c r="GQ80" s="94">
        <v>54.854199999999999</v>
      </c>
      <c r="GR80" s="94">
        <v>233.46209999999999</v>
      </c>
      <c r="GS80" s="94">
        <v>0</v>
      </c>
      <c r="GT80" s="94">
        <v>1631.307</v>
      </c>
      <c r="GU80" s="94">
        <v>3541.5940000000001</v>
      </c>
      <c r="GV80" s="94">
        <v>5736.6869999999999</v>
      </c>
      <c r="GW80" s="95">
        <v>3731.9659999999999</v>
      </c>
      <c r="GX80" s="38"/>
    </row>
    <row r="81" spans="1:206" x14ac:dyDescent="0.35">
      <c r="A81" s="2"/>
      <c r="B81" s="2"/>
      <c r="C81" s="42" t="s">
        <v>539</v>
      </c>
      <c r="D81" s="43">
        <f t="shared" si="152"/>
        <v>4.5474606654759178E-2</v>
      </c>
      <c r="E81" s="43">
        <f t="shared" si="119"/>
        <v>4.1764207285926384E-2</v>
      </c>
      <c r="F81" s="43">
        <f t="shared" si="120"/>
        <v>1.9091503966873008E-2</v>
      </c>
      <c r="G81" s="43">
        <f t="shared" si="121"/>
        <v>6.5192830700575698E-3</v>
      </c>
      <c r="H81" s="43">
        <f t="shared" si="122"/>
        <v>3.4111042275488386E-3</v>
      </c>
      <c r="I81" s="43">
        <f t="shared" si="123"/>
        <v>3.3414846489401395E-3</v>
      </c>
      <c r="J81" s="43">
        <f t="shared" si="124"/>
        <v>2.3534830102893436E-3</v>
      </c>
      <c r="K81" s="43">
        <f t="shared" si="125"/>
        <v>8.0260207201921022E-3</v>
      </c>
      <c r="L81" s="43">
        <f t="shared" si="126"/>
        <v>5.5758083644428413E-2</v>
      </c>
      <c r="M81" s="43">
        <f t="shared" si="127"/>
        <v>0.11279232237021691</v>
      </c>
      <c r="N81" s="43">
        <f t="shared" si="128"/>
        <v>0.2022098690299422</v>
      </c>
      <c r="O81" s="44">
        <f t="shared" si="129"/>
        <v>0.49925803137082597</v>
      </c>
      <c r="P81" s="115">
        <f t="shared" si="153"/>
        <v>1</v>
      </c>
      <c r="Q81" s="2"/>
      <c r="R81" s="42" t="s">
        <v>539</v>
      </c>
      <c r="S81" s="43">
        <f t="shared" si="154"/>
        <v>4.5474606654759178E-2</v>
      </c>
      <c r="T81" s="43">
        <f t="shared" si="155"/>
        <v>4.1764207285926384E-2</v>
      </c>
      <c r="U81" s="43">
        <f t="shared" si="156"/>
        <v>1.9091503966873008E-2</v>
      </c>
      <c r="V81" s="43">
        <f t="shared" si="157"/>
        <v>6.5192830700575698E-3</v>
      </c>
      <c r="W81" s="29">
        <f t="shared" si="158"/>
        <v>3.4111042275488386E-3</v>
      </c>
      <c r="X81" s="43">
        <f t="shared" si="159"/>
        <v>3.3414846489401395E-3</v>
      </c>
      <c r="Y81" s="43">
        <f t="shared" si="160"/>
        <v>2.3534830102893436E-3</v>
      </c>
      <c r="Z81" s="43">
        <f t="shared" si="161"/>
        <v>8.0260207201921022E-3</v>
      </c>
      <c r="AA81" s="29">
        <f t="shared" si="162"/>
        <v>5.5758083644428413E-2</v>
      </c>
      <c r="AB81" s="43">
        <f t="shared" si="163"/>
        <v>0.11279232237021691</v>
      </c>
      <c r="AC81" s="43">
        <f t="shared" si="164"/>
        <v>0.2022098690299422</v>
      </c>
      <c r="AD81" s="43">
        <f t="shared" si="165"/>
        <v>0.49925803137082597</v>
      </c>
      <c r="AE81" s="32">
        <f t="shared" si="166"/>
        <v>0.10464379452673643</v>
      </c>
      <c r="AF81" s="53">
        <f t="shared" si="167"/>
        <v>0.15789801430508343</v>
      </c>
      <c r="AG81" s="53">
        <f t="shared" si="168"/>
        <v>0.22365485600710455</v>
      </c>
      <c r="AH81" s="53">
        <f t="shared" si="169"/>
        <v>0.51380333516107568</v>
      </c>
      <c r="AI81" s="34">
        <f t="shared" si="170"/>
        <v>0</v>
      </c>
      <c r="AJ81" s="35">
        <f t="shared" si="171"/>
        <v>0</v>
      </c>
      <c r="AK81" s="34">
        <f>AK80</f>
        <v>0.11284960097761615</v>
      </c>
      <c r="AL81" s="35">
        <f t="shared" ref="AL81" si="184">AL80</f>
        <v>1.7132092606970427E-2</v>
      </c>
      <c r="AM81" s="35">
        <f t="shared" si="174"/>
        <v>0.87001830641541344</v>
      </c>
      <c r="AN81" s="36">
        <v>1</v>
      </c>
      <c r="AO81" s="54">
        <v>1</v>
      </c>
      <c r="AP81" s="2"/>
      <c r="AQ81" s="42" t="s">
        <v>539</v>
      </c>
      <c r="AR81" s="43">
        <f t="shared" si="175"/>
        <v>9.6530082010659088E-2</v>
      </c>
      <c r="AS81" s="43">
        <f t="shared" si="71"/>
        <v>8.8653924706322218E-2</v>
      </c>
      <c r="AT81" s="43">
        <f t="shared" si="72"/>
        <v>4.052601175025676E-2</v>
      </c>
      <c r="AU81" s="43">
        <f t="shared" si="73"/>
        <v>1.383864481074072E-2</v>
      </c>
      <c r="AV81" s="29">
        <f t="shared" si="74"/>
        <v>2.9062830319262795E-2</v>
      </c>
      <c r="AW81" s="43">
        <f t="shared" si="75"/>
        <v>2.8469666972431511E-2</v>
      </c>
      <c r="AX81" s="43">
        <f t="shared" si="76"/>
        <v>2.0051828623383131E-2</v>
      </c>
      <c r="AY81" s="43">
        <f t="shared" si="77"/>
        <v>6.8382219589181628E-2</v>
      </c>
      <c r="AZ81" s="29">
        <f t="shared" si="78"/>
        <v>3.9381348799561428E-2</v>
      </c>
      <c r="BA81" s="43">
        <f t="shared" si="79"/>
        <v>7.9664032528455497E-2</v>
      </c>
      <c r="BB81" s="43">
        <f t="shared" si="80"/>
        <v>0.14281870649938513</v>
      </c>
      <c r="BC81" s="44">
        <f t="shared" si="81"/>
        <v>0.35262070339036006</v>
      </c>
      <c r="BD81" s="2"/>
      <c r="BE81" s="42" t="s">
        <v>539</v>
      </c>
      <c r="BF81" s="62">
        <v>1</v>
      </c>
      <c r="BG81" s="62">
        <v>1</v>
      </c>
      <c r="BH81" s="62">
        <v>1</v>
      </c>
      <c r="BI81" s="62">
        <v>1</v>
      </c>
      <c r="BJ81" s="36">
        <v>1</v>
      </c>
      <c r="BK81" s="62">
        <v>1</v>
      </c>
      <c r="BL81" s="62">
        <v>1</v>
      </c>
      <c r="BM81" s="62">
        <v>1</v>
      </c>
      <c r="BN81" s="36">
        <v>1</v>
      </c>
      <c r="BO81" s="62">
        <v>1</v>
      </c>
      <c r="BP81" s="62">
        <v>1</v>
      </c>
      <c r="BQ81" s="54">
        <v>1</v>
      </c>
      <c r="BR81" s="2"/>
      <c r="BS81" s="42" t="s">
        <v>539</v>
      </c>
      <c r="BT81" s="67">
        <f t="shared" si="176"/>
        <v>13819.9846</v>
      </c>
      <c r="BU81" s="67">
        <f t="shared" si="130"/>
        <v>12692.3737</v>
      </c>
      <c r="BV81" s="67">
        <f t="shared" si="131"/>
        <v>5802.0136999999995</v>
      </c>
      <c r="BW81" s="67">
        <f t="shared" si="132"/>
        <v>1981.2462</v>
      </c>
      <c r="BX81" s="30">
        <f t="shared" si="133"/>
        <v>4160.857</v>
      </c>
      <c r="BY81" s="67">
        <f t="shared" si="134"/>
        <v>4075.9351999999999</v>
      </c>
      <c r="BZ81" s="67">
        <f t="shared" si="135"/>
        <v>2870.7731000000003</v>
      </c>
      <c r="CA81" s="67">
        <f t="shared" si="136"/>
        <v>9790.1214</v>
      </c>
      <c r="CB81" s="30">
        <f t="shared" si="137"/>
        <v>5638.1350000000002</v>
      </c>
      <c r="CC81" s="67">
        <f t="shared" si="138"/>
        <v>11405.311999999998</v>
      </c>
      <c r="CD81" s="67">
        <f t="shared" si="139"/>
        <v>20447.018</v>
      </c>
      <c r="CE81" s="68">
        <f t="shared" si="140"/>
        <v>50483.875999999997</v>
      </c>
      <c r="CF81" s="2"/>
      <c r="CG81" s="37" t="str">
        <f t="shared" si="177"/>
        <v>avehr</v>
      </c>
      <c r="CH81" s="42" t="s">
        <v>539</v>
      </c>
      <c r="CI81" s="67">
        <f t="shared" si="178"/>
        <v>13819.9846</v>
      </c>
      <c r="CJ81" s="67">
        <f t="shared" si="82"/>
        <v>12692.3737</v>
      </c>
      <c r="CK81" s="67">
        <f t="shared" si="83"/>
        <v>5802.0136999999995</v>
      </c>
      <c r="CL81" s="67">
        <f t="shared" si="84"/>
        <v>1981.2462</v>
      </c>
      <c r="CM81" s="30">
        <f t="shared" si="85"/>
        <v>4160.857</v>
      </c>
      <c r="CN81" s="67">
        <f t="shared" si="86"/>
        <v>4075.9351999999999</v>
      </c>
      <c r="CO81" s="67">
        <f t="shared" si="87"/>
        <v>2870.7731000000003</v>
      </c>
      <c r="CP81" s="67">
        <f t="shared" si="88"/>
        <v>9790.1214</v>
      </c>
      <c r="CQ81" s="30">
        <f t="shared" si="89"/>
        <v>5638.1350000000002</v>
      </c>
      <c r="CR81" s="67">
        <f t="shared" si="90"/>
        <v>11405.311999999998</v>
      </c>
      <c r="CS81" s="67">
        <f t="shared" si="91"/>
        <v>20447.018</v>
      </c>
      <c r="CT81" s="68">
        <f t="shared" si="92"/>
        <v>50483.875999999997</v>
      </c>
      <c r="CU81" s="2"/>
      <c r="CV81" s="42" t="s">
        <v>539</v>
      </c>
      <c r="CW81" s="67">
        <f t="shared" si="179"/>
        <v>0</v>
      </c>
      <c r="CX81" s="67">
        <f t="shared" si="93"/>
        <v>0</v>
      </c>
      <c r="CY81" s="67">
        <f t="shared" si="94"/>
        <v>0</v>
      </c>
      <c r="CZ81" s="67">
        <f t="shared" si="95"/>
        <v>0</v>
      </c>
      <c r="DA81" s="30">
        <f t="shared" si="96"/>
        <v>0</v>
      </c>
      <c r="DB81" s="67">
        <f t="shared" si="97"/>
        <v>0</v>
      </c>
      <c r="DC81" s="67">
        <f t="shared" si="98"/>
        <v>0</v>
      </c>
      <c r="DD81" s="67">
        <f t="shared" si="99"/>
        <v>0</v>
      </c>
      <c r="DE81" s="30">
        <f t="shared" si="100"/>
        <v>0</v>
      </c>
      <c r="DF81" s="67">
        <f t="shared" si="101"/>
        <v>0</v>
      </c>
      <c r="DG81" s="67">
        <f t="shared" si="102"/>
        <v>0</v>
      </c>
      <c r="DH81" s="68">
        <f t="shared" si="103"/>
        <v>0</v>
      </c>
      <c r="DI81" s="2"/>
      <c r="DJ81" s="37" t="s">
        <v>538</v>
      </c>
      <c r="DK81" s="76" t="s">
        <v>539</v>
      </c>
      <c r="DL81" s="67">
        <f t="shared" si="180"/>
        <v>0</v>
      </c>
      <c r="DM81" s="67">
        <f t="shared" si="141"/>
        <v>0</v>
      </c>
      <c r="DN81" s="67">
        <f t="shared" si="142"/>
        <v>0</v>
      </c>
      <c r="DO81" s="67">
        <f t="shared" si="143"/>
        <v>0</v>
      </c>
      <c r="DP81" s="30">
        <f t="shared" si="144"/>
        <v>0</v>
      </c>
      <c r="DQ81" s="67">
        <f t="shared" si="145"/>
        <v>0</v>
      </c>
      <c r="DR81" s="67">
        <f t="shared" si="146"/>
        <v>0</v>
      </c>
      <c r="DS81" s="67">
        <f t="shared" si="147"/>
        <v>0</v>
      </c>
      <c r="DT81" s="30">
        <f t="shared" si="148"/>
        <v>0</v>
      </c>
      <c r="DU81" s="67">
        <f t="shared" si="149"/>
        <v>0</v>
      </c>
      <c r="DV81" s="67">
        <f t="shared" si="150"/>
        <v>0</v>
      </c>
      <c r="DW81" s="68">
        <f t="shared" si="151"/>
        <v>0</v>
      </c>
      <c r="DX81" s="2"/>
      <c r="DY81" s="81" t="s">
        <v>539</v>
      </c>
      <c r="DZ81" s="82"/>
      <c r="EA81" s="82"/>
      <c r="EB81" s="82"/>
      <c r="EC81" s="83"/>
      <c r="ED81" s="84">
        <v>1</v>
      </c>
      <c r="EE81" s="2"/>
      <c r="EF81" s="38" t="s">
        <v>539</v>
      </c>
      <c r="EG81" s="93" t="s">
        <v>539</v>
      </c>
      <c r="EH81" s="94"/>
      <c r="EI81" s="94"/>
      <c r="EJ81" s="94"/>
      <c r="EK81" s="94"/>
      <c r="EL81" s="94"/>
      <c r="EM81" s="94"/>
      <c r="EN81" s="94"/>
      <c r="EO81" s="94"/>
      <c r="EP81" s="94"/>
      <c r="EQ81" s="94"/>
      <c r="ER81" s="94"/>
      <c r="ES81" s="95"/>
      <c r="ET81" s="38" t="s">
        <v>539</v>
      </c>
      <c r="EU81" s="93" t="s">
        <v>539</v>
      </c>
      <c r="EV81" s="94"/>
      <c r="EW81" s="94"/>
      <c r="EX81" s="94"/>
      <c r="EY81" s="94"/>
      <c r="EZ81" s="94"/>
      <c r="FA81" s="94"/>
      <c r="FB81" s="94"/>
      <c r="FC81" s="94"/>
      <c r="FD81" s="94"/>
      <c r="FE81" s="94"/>
      <c r="FF81" s="94"/>
      <c r="FG81" s="95"/>
      <c r="FH81" s="38" t="s">
        <v>539</v>
      </c>
      <c r="FI81" s="93" t="s">
        <v>539</v>
      </c>
      <c r="FJ81" s="94"/>
      <c r="FK81" s="94"/>
      <c r="FL81" s="94"/>
      <c r="FM81" s="94"/>
      <c r="FN81" s="94"/>
      <c r="FO81" s="94"/>
      <c r="FP81" s="94"/>
      <c r="FQ81" s="94"/>
      <c r="FR81" s="94"/>
      <c r="FS81" s="94"/>
      <c r="FT81" s="94"/>
      <c r="FU81" s="95"/>
      <c r="FV81" s="38" t="s">
        <v>539</v>
      </c>
      <c r="FW81" s="93" t="s">
        <v>539</v>
      </c>
      <c r="FX81" s="94"/>
      <c r="FY81" s="94"/>
      <c r="FZ81" s="94"/>
      <c r="GA81" s="94"/>
      <c r="GB81" s="94"/>
      <c r="GC81" s="94"/>
      <c r="GD81" s="94"/>
      <c r="GE81" s="94"/>
      <c r="GF81" s="94"/>
      <c r="GG81" s="94"/>
      <c r="GH81" s="94"/>
      <c r="GI81" s="95"/>
      <c r="GJ81" s="38" t="s">
        <v>539</v>
      </c>
      <c r="GK81" s="93" t="s">
        <v>539</v>
      </c>
      <c r="GL81" s="94"/>
      <c r="GM81" s="94"/>
      <c r="GN81" s="94"/>
      <c r="GO81" s="94"/>
      <c r="GP81" s="94"/>
      <c r="GQ81" s="94"/>
      <c r="GR81" s="94"/>
      <c r="GS81" s="94"/>
      <c r="GT81" s="94"/>
      <c r="GU81" s="94"/>
      <c r="GV81" s="94"/>
      <c r="GW81" s="95"/>
      <c r="GX81" s="38"/>
    </row>
    <row r="82" spans="1:206" x14ac:dyDescent="0.35">
      <c r="A82" s="2"/>
      <c r="B82" s="2"/>
      <c r="C82" s="42" t="s">
        <v>540</v>
      </c>
      <c r="D82" s="43">
        <f t="shared" si="152"/>
        <v>7.965414231976975E-2</v>
      </c>
      <c r="E82" s="43">
        <f t="shared" si="119"/>
        <v>7.3154939772907032E-2</v>
      </c>
      <c r="F82" s="43">
        <f t="shared" si="120"/>
        <v>3.3441023154327815E-2</v>
      </c>
      <c r="G82" s="43">
        <f t="shared" si="121"/>
        <v>1.1419293968337924E-2</v>
      </c>
      <c r="H82" s="43">
        <f t="shared" si="122"/>
        <v>1.8532130153442412E-2</v>
      </c>
      <c r="I82" s="43">
        <f t="shared" si="123"/>
        <v>1.8153895128671167E-2</v>
      </c>
      <c r="J82" s="43">
        <f t="shared" si="124"/>
        <v>1.2786197826601915E-2</v>
      </c>
      <c r="K82" s="43">
        <f t="shared" si="125"/>
        <v>4.3604431491589796E-2</v>
      </c>
      <c r="L82" s="43">
        <f t="shared" si="126"/>
        <v>4.5454952573843237E-2</v>
      </c>
      <c r="M82" s="43">
        <f t="shared" si="127"/>
        <v>9.1950248805657372E-2</v>
      </c>
      <c r="N82" s="43">
        <f t="shared" si="128"/>
        <v>0.16484497683480778</v>
      </c>
      <c r="O82" s="44">
        <f t="shared" si="129"/>
        <v>0.40700376797004378</v>
      </c>
      <c r="P82" s="115">
        <f t="shared" si="153"/>
        <v>1</v>
      </c>
      <c r="Q82" s="2"/>
      <c r="R82" s="42" t="s">
        <v>540</v>
      </c>
      <c r="S82" s="43">
        <f t="shared" si="154"/>
        <v>7.965414231976975E-2</v>
      </c>
      <c r="T82" s="43">
        <f t="shared" si="155"/>
        <v>7.3154939772907032E-2</v>
      </c>
      <c r="U82" s="43">
        <f t="shared" si="156"/>
        <v>3.3441023154327815E-2</v>
      </c>
      <c r="V82" s="43">
        <f t="shared" si="157"/>
        <v>1.1419293968337924E-2</v>
      </c>
      <c r="W82" s="29">
        <f t="shared" si="158"/>
        <v>1.8532130153442412E-2</v>
      </c>
      <c r="X82" s="43">
        <f t="shared" si="159"/>
        <v>1.8153895128671167E-2</v>
      </c>
      <c r="Y82" s="43">
        <f t="shared" si="160"/>
        <v>1.2786197826601915E-2</v>
      </c>
      <c r="Z82" s="43">
        <f t="shared" si="161"/>
        <v>4.3604431491589796E-2</v>
      </c>
      <c r="AA82" s="29">
        <f t="shared" si="162"/>
        <v>4.5454952573843237E-2</v>
      </c>
      <c r="AB82" s="43">
        <f t="shared" si="163"/>
        <v>9.1950248805657372E-2</v>
      </c>
      <c r="AC82" s="43">
        <f t="shared" si="164"/>
        <v>0.16484497683480778</v>
      </c>
      <c r="AD82" s="43">
        <f t="shared" si="165"/>
        <v>0.40700376797004378</v>
      </c>
      <c r="AE82" s="32">
        <f t="shared" si="166"/>
        <v>0.1436412250470554</v>
      </c>
      <c r="AF82" s="53">
        <f t="shared" si="167"/>
        <v>0.18325908370723559</v>
      </c>
      <c r="AG82" s="53">
        <f t="shared" si="168"/>
        <v>0.21107219781573749</v>
      </c>
      <c r="AH82" s="53">
        <f t="shared" si="169"/>
        <v>0.46202749342997151</v>
      </c>
      <c r="AI82" s="34">
        <f t="shared" si="170"/>
        <v>0.19766939921534252</v>
      </c>
      <c r="AJ82" s="35">
        <f t="shared" si="171"/>
        <v>9.30766546003053E-2</v>
      </c>
      <c r="AK82" s="34">
        <f t="shared" si="172"/>
        <v>0.19766939921534252</v>
      </c>
      <c r="AL82" s="35">
        <f t="shared" si="173"/>
        <v>9.30766546003053E-2</v>
      </c>
      <c r="AM82" s="35">
        <f t="shared" si="174"/>
        <v>0.70925394618435211</v>
      </c>
      <c r="AN82" s="36">
        <v>1</v>
      </c>
      <c r="AO82" s="54">
        <v>1</v>
      </c>
      <c r="AP82" s="2"/>
      <c r="AQ82" s="42" t="s">
        <v>540</v>
      </c>
      <c r="AR82" s="43">
        <f t="shared" si="175"/>
        <v>9.6530082010659088E-2</v>
      </c>
      <c r="AS82" s="43">
        <f t="shared" si="71"/>
        <v>8.8653924706322218E-2</v>
      </c>
      <c r="AT82" s="43">
        <f t="shared" si="72"/>
        <v>4.052601175025676E-2</v>
      </c>
      <c r="AU82" s="43">
        <f t="shared" si="73"/>
        <v>1.383864481074072E-2</v>
      </c>
      <c r="AV82" s="29">
        <f t="shared" si="74"/>
        <v>2.9062830319262795E-2</v>
      </c>
      <c r="AW82" s="43">
        <f t="shared" si="75"/>
        <v>2.8469666972431511E-2</v>
      </c>
      <c r="AX82" s="43">
        <f t="shared" si="76"/>
        <v>2.0051828623383131E-2</v>
      </c>
      <c r="AY82" s="43">
        <f t="shared" si="77"/>
        <v>6.8382219589181628E-2</v>
      </c>
      <c r="AZ82" s="29">
        <f t="shared" si="78"/>
        <v>3.9381348799561428E-2</v>
      </c>
      <c r="BA82" s="43">
        <f t="shared" si="79"/>
        <v>7.9664032528455497E-2</v>
      </c>
      <c r="BB82" s="43">
        <f t="shared" si="80"/>
        <v>0.14281870649938513</v>
      </c>
      <c r="BC82" s="44">
        <f t="shared" si="81"/>
        <v>0.35262070339036006</v>
      </c>
      <c r="BD82" s="2"/>
      <c r="BE82" s="42" t="s">
        <v>540</v>
      </c>
      <c r="BF82" s="62">
        <v>1</v>
      </c>
      <c r="BG82" s="62">
        <v>1</v>
      </c>
      <c r="BH82" s="62">
        <v>1</v>
      </c>
      <c r="BI82" s="62">
        <v>1</v>
      </c>
      <c r="BJ82" s="36">
        <v>1</v>
      </c>
      <c r="BK82" s="62">
        <v>1</v>
      </c>
      <c r="BL82" s="62">
        <v>1</v>
      </c>
      <c r="BM82" s="62">
        <v>1</v>
      </c>
      <c r="BN82" s="36">
        <v>1</v>
      </c>
      <c r="BO82" s="62">
        <v>1</v>
      </c>
      <c r="BP82" s="62">
        <v>1</v>
      </c>
      <c r="BQ82" s="54">
        <v>1</v>
      </c>
      <c r="BR82" s="2"/>
      <c r="BS82" s="42" t="s">
        <v>540</v>
      </c>
      <c r="BT82" s="67">
        <f t="shared" si="176"/>
        <v>13819.9846</v>
      </c>
      <c r="BU82" s="67">
        <f t="shared" si="130"/>
        <v>12692.3737</v>
      </c>
      <c r="BV82" s="67">
        <f t="shared" si="131"/>
        <v>5802.0136999999995</v>
      </c>
      <c r="BW82" s="67">
        <f t="shared" si="132"/>
        <v>1981.2462</v>
      </c>
      <c r="BX82" s="30">
        <f t="shared" si="133"/>
        <v>4160.857</v>
      </c>
      <c r="BY82" s="67">
        <f t="shared" si="134"/>
        <v>4075.9351999999999</v>
      </c>
      <c r="BZ82" s="67">
        <f t="shared" si="135"/>
        <v>2870.7731000000003</v>
      </c>
      <c r="CA82" s="67">
        <f t="shared" si="136"/>
        <v>9790.1214</v>
      </c>
      <c r="CB82" s="30">
        <f t="shared" si="137"/>
        <v>5638.1350000000002</v>
      </c>
      <c r="CC82" s="67">
        <f t="shared" si="138"/>
        <v>11405.311999999998</v>
      </c>
      <c r="CD82" s="67">
        <f t="shared" si="139"/>
        <v>20447.018</v>
      </c>
      <c r="CE82" s="68">
        <f t="shared" si="140"/>
        <v>50483.875999999997</v>
      </c>
      <c r="CF82" s="2"/>
      <c r="CG82" s="37" t="str">
        <f t="shared" si="177"/>
        <v>avehr</v>
      </c>
      <c r="CH82" s="42" t="s">
        <v>540</v>
      </c>
      <c r="CI82" s="67">
        <f t="shared" si="178"/>
        <v>13819.9846</v>
      </c>
      <c r="CJ82" s="67">
        <f t="shared" si="82"/>
        <v>12692.3737</v>
      </c>
      <c r="CK82" s="67">
        <f t="shared" si="83"/>
        <v>5802.0136999999995</v>
      </c>
      <c r="CL82" s="67">
        <f t="shared" si="84"/>
        <v>1981.2462</v>
      </c>
      <c r="CM82" s="30">
        <f t="shared" si="85"/>
        <v>4160.857</v>
      </c>
      <c r="CN82" s="67">
        <f t="shared" si="86"/>
        <v>4075.9351999999999</v>
      </c>
      <c r="CO82" s="67">
        <f t="shared" si="87"/>
        <v>2870.7731000000003</v>
      </c>
      <c r="CP82" s="67">
        <f t="shared" si="88"/>
        <v>9790.1214</v>
      </c>
      <c r="CQ82" s="30">
        <f t="shared" si="89"/>
        <v>5638.1350000000002</v>
      </c>
      <c r="CR82" s="67">
        <f t="shared" si="90"/>
        <v>11405.311999999998</v>
      </c>
      <c r="CS82" s="67">
        <f t="shared" si="91"/>
        <v>20447.018</v>
      </c>
      <c r="CT82" s="68">
        <f t="shared" si="92"/>
        <v>50483.875999999997</v>
      </c>
      <c r="CU82" s="2"/>
      <c r="CV82" s="42" t="s">
        <v>540</v>
      </c>
      <c r="CW82" s="67">
        <f t="shared" si="179"/>
        <v>0</v>
      </c>
      <c r="CX82" s="67">
        <f t="shared" si="93"/>
        <v>0</v>
      </c>
      <c r="CY82" s="67">
        <f t="shared" si="94"/>
        <v>0</v>
      </c>
      <c r="CZ82" s="67">
        <f t="shared" si="95"/>
        <v>0</v>
      </c>
      <c r="DA82" s="30">
        <f t="shared" si="96"/>
        <v>0</v>
      </c>
      <c r="DB82" s="67">
        <f t="shared" si="97"/>
        <v>0</v>
      </c>
      <c r="DC82" s="67">
        <f t="shared" si="98"/>
        <v>0</v>
      </c>
      <c r="DD82" s="67">
        <f t="shared" si="99"/>
        <v>0</v>
      </c>
      <c r="DE82" s="30">
        <f t="shared" si="100"/>
        <v>0</v>
      </c>
      <c r="DF82" s="67">
        <f t="shared" si="101"/>
        <v>0</v>
      </c>
      <c r="DG82" s="67">
        <f t="shared" si="102"/>
        <v>0</v>
      </c>
      <c r="DH82" s="68">
        <f t="shared" si="103"/>
        <v>0</v>
      </c>
      <c r="DI82" s="2"/>
      <c r="DJ82" s="37" t="s">
        <v>538</v>
      </c>
      <c r="DK82" s="76" t="s">
        <v>540</v>
      </c>
      <c r="DL82" s="67">
        <f t="shared" si="180"/>
        <v>3585.06</v>
      </c>
      <c r="DM82" s="67">
        <f t="shared" si="141"/>
        <v>5087.1580000000004</v>
      </c>
      <c r="DN82" s="67">
        <f t="shared" si="142"/>
        <v>1686.297</v>
      </c>
      <c r="DO82" s="67">
        <f t="shared" si="143"/>
        <v>357.28320000000002</v>
      </c>
      <c r="DP82" s="30">
        <f t="shared" si="144"/>
        <v>2359.2069999999999</v>
      </c>
      <c r="DQ82" s="67">
        <f t="shared" si="145"/>
        <v>1512.104</v>
      </c>
      <c r="DR82" s="67">
        <f t="shared" si="146"/>
        <v>1055.806</v>
      </c>
      <c r="DS82" s="67">
        <f t="shared" si="147"/>
        <v>118.6344</v>
      </c>
      <c r="DT82" s="30">
        <f t="shared" si="148"/>
        <v>1130.3910000000001</v>
      </c>
      <c r="DU82" s="67">
        <f t="shared" si="149"/>
        <v>2616.0279999999998</v>
      </c>
      <c r="DV82" s="67">
        <f t="shared" si="150"/>
        <v>5560.75</v>
      </c>
      <c r="DW82" s="68">
        <f t="shared" si="151"/>
        <v>29141.99</v>
      </c>
      <c r="DX82" s="2"/>
      <c r="DY82" s="81" t="s">
        <v>540</v>
      </c>
      <c r="DZ82" s="82"/>
      <c r="EA82" s="82"/>
      <c r="EB82" s="82"/>
      <c r="EC82" s="83"/>
      <c r="ED82" s="84">
        <v>1</v>
      </c>
      <c r="EE82" s="2"/>
      <c r="EF82" s="38" t="s">
        <v>540</v>
      </c>
      <c r="EG82" s="93" t="s">
        <v>540</v>
      </c>
      <c r="EH82" s="94"/>
      <c r="EI82" s="94"/>
      <c r="EJ82" s="94"/>
      <c r="EK82" s="94"/>
      <c r="EL82" s="94"/>
      <c r="EM82" s="94"/>
      <c r="EN82" s="94"/>
      <c r="EO82" s="94"/>
      <c r="EP82" s="94"/>
      <c r="EQ82" s="94"/>
      <c r="ER82" s="94"/>
      <c r="ES82" s="95"/>
      <c r="ET82" s="38" t="s">
        <v>540</v>
      </c>
      <c r="EU82" s="93" t="s">
        <v>540</v>
      </c>
      <c r="EV82" s="94"/>
      <c r="EW82" s="94"/>
      <c r="EX82" s="94"/>
      <c r="EY82" s="94"/>
      <c r="EZ82" s="94"/>
      <c r="FA82" s="94"/>
      <c r="FB82" s="94"/>
      <c r="FC82" s="94"/>
      <c r="FD82" s="94"/>
      <c r="FE82" s="94"/>
      <c r="FF82" s="94"/>
      <c r="FG82" s="95"/>
      <c r="FH82" s="38" t="s">
        <v>540</v>
      </c>
      <c r="FI82" s="93" t="s">
        <v>540</v>
      </c>
      <c r="FJ82" s="94"/>
      <c r="FK82" s="94"/>
      <c r="FL82" s="94"/>
      <c r="FM82" s="94"/>
      <c r="FN82" s="94"/>
      <c r="FO82" s="94"/>
      <c r="FP82" s="94"/>
      <c r="FQ82" s="94"/>
      <c r="FR82" s="94"/>
      <c r="FS82" s="94"/>
      <c r="FT82" s="94"/>
      <c r="FU82" s="95"/>
      <c r="FV82" s="38" t="s">
        <v>540</v>
      </c>
      <c r="FW82" s="93" t="s">
        <v>540</v>
      </c>
      <c r="FX82" s="94"/>
      <c r="FY82" s="94"/>
      <c r="FZ82" s="94"/>
      <c r="GA82" s="94"/>
      <c r="GB82" s="94"/>
      <c r="GC82" s="94"/>
      <c r="GD82" s="94"/>
      <c r="GE82" s="94"/>
      <c r="GF82" s="94"/>
      <c r="GG82" s="94"/>
      <c r="GH82" s="94"/>
      <c r="GI82" s="95"/>
      <c r="GJ82" s="38" t="s">
        <v>540</v>
      </c>
      <c r="GK82" s="93" t="s">
        <v>540</v>
      </c>
      <c r="GL82" s="94">
        <v>3585.06</v>
      </c>
      <c r="GM82" s="94">
        <v>5087.1580000000004</v>
      </c>
      <c r="GN82" s="94">
        <v>1686.297</v>
      </c>
      <c r="GO82" s="94">
        <v>357.28320000000002</v>
      </c>
      <c r="GP82" s="94">
        <v>2359.2069999999999</v>
      </c>
      <c r="GQ82" s="94">
        <v>1512.104</v>
      </c>
      <c r="GR82" s="94">
        <v>1055.806</v>
      </c>
      <c r="GS82" s="94">
        <v>118.6344</v>
      </c>
      <c r="GT82" s="94">
        <v>1130.3910000000001</v>
      </c>
      <c r="GU82" s="94">
        <v>2616.0279999999998</v>
      </c>
      <c r="GV82" s="94">
        <v>5560.75</v>
      </c>
      <c r="GW82" s="95">
        <v>29141.99</v>
      </c>
      <c r="GX82" s="38"/>
    </row>
    <row r="83" spans="1:206" x14ac:dyDescent="0.35">
      <c r="A83" s="2"/>
      <c r="B83" s="2"/>
      <c r="C83" s="42" t="s">
        <v>541</v>
      </c>
      <c r="D83" s="43">
        <f t="shared" si="152"/>
        <v>0.12112624674977508</v>
      </c>
      <c r="E83" s="43">
        <f t="shared" si="119"/>
        <v>0.11124322009928693</v>
      </c>
      <c r="F83" s="43">
        <f t="shared" si="120"/>
        <v>5.0852165426564608E-2</v>
      </c>
      <c r="G83" s="43">
        <f t="shared" si="121"/>
        <v>1.7364774494267831E-2</v>
      </c>
      <c r="H83" s="43">
        <f t="shared" si="122"/>
        <v>4.2962719568352348E-2</v>
      </c>
      <c r="I83" s="43">
        <f t="shared" si="123"/>
        <v>4.2085863795938219E-2</v>
      </c>
      <c r="J83" s="43">
        <f t="shared" si="124"/>
        <v>2.9642023179280028E-2</v>
      </c>
      <c r="K83" s="43">
        <f t="shared" si="125"/>
        <v>0.10108740585132463</v>
      </c>
      <c r="L83" s="43">
        <f t="shared" si="126"/>
        <v>3.099543190158513E-2</v>
      </c>
      <c r="M83" s="43">
        <f t="shared" si="127"/>
        <v>6.270026727141717E-2</v>
      </c>
      <c r="N83" s="43">
        <f t="shared" si="128"/>
        <v>0.11240670079902049</v>
      </c>
      <c r="O83" s="44">
        <f t="shared" si="129"/>
        <v>0.27753318086318757</v>
      </c>
      <c r="P83" s="115">
        <f t="shared" si="153"/>
        <v>1</v>
      </c>
      <c r="Q83" s="2"/>
      <c r="R83" s="42" t="s">
        <v>541</v>
      </c>
      <c r="S83" s="43">
        <f t="shared" si="154"/>
        <v>0.12112624674977508</v>
      </c>
      <c r="T83" s="43">
        <f t="shared" si="155"/>
        <v>0.11124322009928693</v>
      </c>
      <c r="U83" s="43">
        <f t="shared" si="156"/>
        <v>5.0852165426564608E-2</v>
      </c>
      <c r="V83" s="43">
        <f t="shared" si="157"/>
        <v>1.7364774494267831E-2</v>
      </c>
      <c r="W83" s="29">
        <f t="shared" si="158"/>
        <v>4.2962719568352348E-2</v>
      </c>
      <c r="X83" s="43">
        <f t="shared" si="159"/>
        <v>4.2085863795938219E-2</v>
      </c>
      <c r="Y83" s="43">
        <f t="shared" si="160"/>
        <v>2.9642023179280028E-2</v>
      </c>
      <c r="Z83" s="43">
        <f t="shared" si="161"/>
        <v>0.10108740585132463</v>
      </c>
      <c r="AA83" s="29">
        <f t="shared" si="162"/>
        <v>3.099543190158513E-2</v>
      </c>
      <c r="AB83" s="43">
        <f t="shared" si="163"/>
        <v>6.270026727141717E-2</v>
      </c>
      <c r="AC83" s="43">
        <f t="shared" si="164"/>
        <v>0.11240670079902049</v>
      </c>
      <c r="AD83" s="43">
        <f t="shared" si="165"/>
        <v>0.27753318086318757</v>
      </c>
      <c r="AE83" s="32">
        <f t="shared" si="166"/>
        <v>0.19508439821971255</v>
      </c>
      <c r="AF83" s="53">
        <f t="shared" si="167"/>
        <v>0.21602935116664232</v>
      </c>
      <c r="AG83" s="53">
        <f t="shared" si="168"/>
        <v>0.19290088940486511</v>
      </c>
      <c r="AH83" s="53">
        <f t="shared" si="169"/>
        <v>0.39598536120878003</v>
      </c>
      <c r="AI83" s="34">
        <f t="shared" si="170"/>
        <v>0.30058640676989445</v>
      </c>
      <c r="AJ83" s="35">
        <f t="shared" si="171"/>
        <v>0.21577801239489525</v>
      </c>
      <c r="AK83" s="34">
        <f t="shared" si="172"/>
        <v>0.30058640676989445</v>
      </c>
      <c r="AL83" s="35">
        <f t="shared" si="173"/>
        <v>0.21577801239489525</v>
      </c>
      <c r="AM83" s="35">
        <f t="shared" si="174"/>
        <v>0.4836355808352103</v>
      </c>
      <c r="AN83" s="36">
        <v>1</v>
      </c>
      <c r="AO83" s="54">
        <v>1</v>
      </c>
      <c r="AP83" s="2"/>
      <c r="AQ83" s="42" t="s">
        <v>541</v>
      </c>
      <c r="AR83" s="43">
        <f t="shared" si="175"/>
        <v>9.6530082010659088E-2</v>
      </c>
      <c r="AS83" s="43">
        <f t="shared" si="71"/>
        <v>8.8653924706322218E-2</v>
      </c>
      <c r="AT83" s="43">
        <f t="shared" si="72"/>
        <v>4.052601175025676E-2</v>
      </c>
      <c r="AU83" s="43">
        <f t="shared" si="73"/>
        <v>1.383864481074072E-2</v>
      </c>
      <c r="AV83" s="29">
        <f t="shared" si="74"/>
        <v>2.9062830319262795E-2</v>
      </c>
      <c r="AW83" s="43">
        <f t="shared" si="75"/>
        <v>2.8469666972431511E-2</v>
      </c>
      <c r="AX83" s="43">
        <f t="shared" si="76"/>
        <v>2.0051828623383131E-2</v>
      </c>
      <c r="AY83" s="43">
        <f t="shared" si="77"/>
        <v>6.8382219589181628E-2</v>
      </c>
      <c r="AZ83" s="29">
        <f t="shared" si="78"/>
        <v>3.9381348799561428E-2</v>
      </c>
      <c r="BA83" s="43">
        <f t="shared" si="79"/>
        <v>7.9664032528455497E-2</v>
      </c>
      <c r="BB83" s="43">
        <f t="shared" si="80"/>
        <v>0.14281870649938513</v>
      </c>
      <c r="BC83" s="44">
        <f t="shared" si="81"/>
        <v>0.35262070339036006</v>
      </c>
      <c r="BD83" s="2"/>
      <c r="BE83" s="42" t="s">
        <v>541</v>
      </c>
      <c r="BF83" s="62">
        <v>1</v>
      </c>
      <c r="BG83" s="62">
        <v>1</v>
      </c>
      <c r="BH83" s="62">
        <v>1</v>
      </c>
      <c r="BI83" s="62">
        <v>1</v>
      </c>
      <c r="BJ83" s="36">
        <v>1</v>
      </c>
      <c r="BK83" s="62">
        <v>1</v>
      </c>
      <c r="BL83" s="62">
        <v>1</v>
      </c>
      <c r="BM83" s="62">
        <v>1</v>
      </c>
      <c r="BN83" s="36">
        <v>1</v>
      </c>
      <c r="BO83" s="62">
        <v>1</v>
      </c>
      <c r="BP83" s="62">
        <v>1</v>
      </c>
      <c r="BQ83" s="54">
        <v>1</v>
      </c>
      <c r="BR83" s="2"/>
      <c r="BS83" s="42" t="s">
        <v>541</v>
      </c>
      <c r="BT83" s="67">
        <f t="shared" si="176"/>
        <v>13819.9846</v>
      </c>
      <c r="BU83" s="67">
        <f t="shared" si="130"/>
        <v>12692.3737</v>
      </c>
      <c r="BV83" s="67">
        <f t="shared" si="131"/>
        <v>5802.0136999999995</v>
      </c>
      <c r="BW83" s="67">
        <f t="shared" si="132"/>
        <v>1981.2462</v>
      </c>
      <c r="BX83" s="30">
        <f t="shared" si="133"/>
        <v>4160.857</v>
      </c>
      <c r="BY83" s="67">
        <f t="shared" si="134"/>
        <v>4075.9351999999999</v>
      </c>
      <c r="BZ83" s="67">
        <f t="shared" si="135"/>
        <v>2870.7731000000003</v>
      </c>
      <c r="CA83" s="67">
        <f t="shared" si="136"/>
        <v>9790.1214</v>
      </c>
      <c r="CB83" s="30">
        <f t="shared" si="137"/>
        <v>5638.1350000000002</v>
      </c>
      <c r="CC83" s="67">
        <f t="shared" si="138"/>
        <v>11405.311999999998</v>
      </c>
      <c r="CD83" s="67">
        <f t="shared" si="139"/>
        <v>20447.018</v>
      </c>
      <c r="CE83" s="68">
        <f t="shared" si="140"/>
        <v>50483.875999999997</v>
      </c>
      <c r="CF83" s="2"/>
      <c r="CG83" s="37" t="str">
        <f t="shared" si="177"/>
        <v>avehr</v>
      </c>
      <c r="CH83" s="42" t="s">
        <v>541</v>
      </c>
      <c r="CI83" s="67">
        <f t="shared" si="178"/>
        <v>13819.9846</v>
      </c>
      <c r="CJ83" s="67">
        <f t="shared" si="82"/>
        <v>12692.3737</v>
      </c>
      <c r="CK83" s="67">
        <f t="shared" si="83"/>
        <v>5802.0136999999995</v>
      </c>
      <c r="CL83" s="67">
        <f t="shared" si="84"/>
        <v>1981.2462</v>
      </c>
      <c r="CM83" s="30">
        <f t="shared" si="85"/>
        <v>4160.857</v>
      </c>
      <c r="CN83" s="67">
        <f t="shared" si="86"/>
        <v>4075.9351999999999</v>
      </c>
      <c r="CO83" s="67">
        <f t="shared" si="87"/>
        <v>2870.7731000000003</v>
      </c>
      <c r="CP83" s="67">
        <f t="shared" si="88"/>
        <v>9790.1214</v>
      </c>
      <c r="CQ83" s="30">
        <f t="shared" si="89"/>
        <v>5638.1350000000002</v>
      </c>
      <c r="CR83" s="67">
        <f t="shared" si="90"/>
        <v>11405.311999999998</v>
      </c>
      <c r="CS83" s="67">
        <f t="shared" si="91"/>
        <v>20447.018</v>
      </c>
      <c r="CT83" s="68">
        <f t="shared" si="92"/>
        <v>50483.875999999997</v>
      </c>
      <c r="CU83" s="2"/>
      <c r="CV83" s="42" t="s">
        <v>541</v>
      </c>
      <c r="CW83" s="67">
        <f t="shared" si="179"/>
        <v>0</v>
      </c>
      <c r="CX83" s="67">
        <f t="shared" si="93"/>
        <v>0</v>
      </c>
      <c r="CY83" s="67">
        <f t="shared" si="94"/>
        <v>0</v>
      </c>
      <c r="CZ83" s="67">
        <f t="shared" si="95"/>
        <v>0</v>
      </c>
      <c r="DA83" s="30">
        <f t="shared" si="96"/>
        <v>0</v>
      </c>
      <c r="DB83" s="67">
        <f t="shared" si="97"/>
        <v>0</v>
      </c>
      <c r="DC83" s="67">
        <f t="shared" si="98"/>
        <v>0</v>
      </c>
      <c r="DD83" s="67">
        <f t="shared" si="99"/>
        <v>0</v>
      </c>
      <c r="DE83" s="30">
        <f t="shared" si="100"/>
        <v>0</v>
      </c>
      <c r="DF83" s="67">
        <f t="shared" si="101"/>
        <v>0</v>
      </c>
      <c r="DG83" s="67">
        <f t="shared" si="102"/>
        <v>0</v>
      </c>
      <c r="DH83" s="68">
        <f t="shared" si="103"/>
        <v>0</v>
      </c>
      <c r="DI83" s="2"/>
      <c r="DJ83" s="37" t="s">
        <v>538</v>
      </c>
      <c r="DK83" s="76" t="s">
        <v>541</v>
      </c>
      <c r="DL83" s="67">
        <f t="shared" si="180"/>
        <v>9389.9290000000001</v>
      </c>
      <c r="DM83" s="67">
        <f t="shared" si="141"/>
        <v>6988.6710000000003</v>
      </c>
      <c r="DN83" s="67">
        <f t="shared" si="142"/>
        <v>3678.1089999999999</v>
      </c>
      <c r="DO83" s="67">
        <f t="shared" si="143"/>
        <v>1623.963</v>
      </c>
      <c r="DP83" s="30">
        <f t="shared" si="144"/>
        <v>1801.65</v>
      </c>
      <c r="DQ83" s="67">
        <f t="shared" si="145"/>
        <v>2508.9769999999999</v>
      </c>
      <c r="DR83" s="67">
        <f t="shared" si="146"/>
        <v>1581.5050000000001</v>
      </c>
      <c r="DS83" s="67">
        <f t="shared" si="147"/>
        <v>9671.4869999999992</v>
      </c>
      <c r="DT83" s="30">
        <f t="shared" si="148"/>
        <v>2876.4369999999999</v>
      </c>
      <c r="DU83" s="67">
        <f t="shared" si="149"/>
        <v>5247.69</v>
      </c>
      <c r="DV83" s="67">
        <f t="shared" si="150"/>
        <v>9149.5810000000001</v>
      </c>
      <c r="DW83" s="68">
        <f t="shared" si="151"/>
        <v>17609.919999999998</v>
      </c>
      <c r="DX83" s="2"/>
      <c r="DY83" s="81" t="s">
        <v>541</v>
      </c>
      <c r="DZ83" s="82"/>
      <c r="EA83" s="82"/>
      <c r="EB83" s="82"/>
      <c r="EC83" s="83"/>
      <c r="ED83" s="84">
        <v>1</v>
      </c>
      <c r="EE83" s="2"/>
      <c r="EF83" s="38" t="s">
        <v>541</v>
      </c>
      <c r="EG83" s="93" t="s">
        <v>541</v>
      </c>
      <c r="EH83" s="94"/>
      <c r="EI83" s="94"/>
      <c r="EJ83" s="94"/>
      <c r="EK83" s="94"/>
      <c r="EL83" s="94"/>
      <c r="EM83" s="94"/>
      <c r="EN83" s="94"/>
      <c r="EO83" s="94"/>
      <c r="EP83" s="94"/>
      <c r="EQ83" s="94"/>
      <c r="ER83" s="94"/>
      <c r="ES83" s="95"/>
      <c r="ET83" s="38" t="s">
        <v>541</v>
      </c>
      <c r="EU83" s="93" t="s">
        <v>541</v>
      </c>
      <c r="EV83" s="94"/>
      <c r="EW83" s="94"/>
      <c r="EX83" s="94"/>
      <c r="EY83" s="94"/>
      <c r="EZ83" s="94"/>
      <c r="FA83" s="94"/>
      <c r="FB83" s="94"/>
      <c r="FC83" s="94"/>
      <c r="FD83" s="94"/>
      <c r="FE83" s="94"/>
      <c r="FF83" s="94"/>
      <c r="FG83" s="95"/>
      <c r="FH83" s="38" t="s">
        <v>541</v>
      </c>
      <c r="FI83" s="93" t="s">
        <v>541</v>
      </c>
      <c r="FJ83" s="94"/>
      <c r="FK83" s="94"/>
      <c r="FL83" s="94"/>
      <c r="FM83" s="94"/>
      <c r="FN83" s="94"/>
      <c r="FO83" s="94"/>
      <c r="FP83" s="94"/>
      <c r="FQ83" s="94"/>
      <c r="FR83" s="94"/>
      <c r="FS83" s="94"/>
      <c r="FT83" s="94"/>
      <c r="FU83" s="95"/>
      <c r="FV83" s="38" t="s">
        <v>541</v>
      </c>
      <c r="FW83" s="93" t="s">
        <v>541</v>
      </c>
      <c r="FX83" s="94"/>
      <c r="FY83" s="94"/>
      <c r="FZ83" s="94"/>
      <c r="GA83" s="94"/>
      <c r="GB83" s="94"/>
      <c r="GC83" s="94"/>
      <c r="GD83" s="94"/>
      <c r="GE83" s="94"/>
      <c r="GF83" s="94"/>
      <c r="GG83" s="94"/>
      <c r="GH83" s="94"/>
      <c r="GI83" s="95"/>
      <c r="GJ83" s="38" t="s">
        <v>541</v>
      </c>
      <c r="GK83" s="93" t="s">
        <v>541</v>
      </c>
      <c r="GL83" s="94">
        <v>9389.9290000000001</v>
      </c>
      <c r="GM83" s="94">
        <v>6988.6710000000003</v>
      </c>
      <c r="GN83" s="94">
        <v>3678.1089999999999</v>
      </c>
      <c r="GO83" s="94">
        <v>1623.963</v>
      </c>
      <c r="GP83" s="94">
        <v>1801.65</v>
      </c>
      <c r="GQ83" s="94">
        <v>2508.9769999999999</v>
      </c>
      <c r="GR83" s="94">
        <v>1581.5050000000001</v>
      </c>
      <c r="GS83" s="94">
        <v>9671.4869999999992</v>
      </c>
      <c r="GT83" s="94">
        <v>2876.4369999999999</v>
      </c>
      <c r="GU83" s="94">
        <v>5247.69</v>
      </c>
      <c r="GV83" s="94">
        <v>9149.5810000000001</v>
      </c>
      <c r="GW83" s="95">
        <v>17609.919999999998</v>
      </c>
      <c r="GX83" s="38"/>
    </row>
    <row r="84" spans="1:206" x14ac:dyDescent="0.35">
      <c r="A84" s="2"/>
      <c r="B84" s="2"/>
      <c r="C84" s="42" t="s">
        <v>542</v>
      </c>
      <c r="D84" s="43">
        <f t="shared" si="152"/>
        <v>0.10265696952321264</v>
      </c>
      <c r="E84" s="43">
        <f t="shared" si="119"/>
        <v>0.11176399399140505</v>
      </c>
      <c r="F84" s="43">
        <f t="shared" si="120"/>
        <v>2.5795044754078157E-2</v>
      </c>
      <c r="G84" s="43">
        <f t="shared" si="121"/>
        <v>5.9438814090541782E-2</v>
      </c>
      <c r="H84" s="43">
        <f t="shared" si="122"/>
        <v>3.5128239511919859E-2</v>
      </c>
      <c r="I84" s="43">
        <f t="shared" si="123"/>
        <v>8.2246059380114533E-2</v>
      </c>
      <c r="J84" s="43">
        <f t="shared" si="124"/>
        <v>8.0380699043551898E-2</v>
      </c>
      <c r="K84" s="43">
        <f t="shared" si="125"/>
        <v>3.7975820308815966E-2</v>
      </c>
      <c r="L84" s="43">
        <f t="shared" si="126"/>
        <v>5.7756672656026228E-2</v>
      </c>
      <c r="M84" s="43">
        <f t="shared" si="127"/>
        <v>5.3894752023274109E-2</v>
      </c>
      <c r="N84" s="43">
        <f t="shared" si="128"/>
        <v>9.5324042102300721E-2</v>
      </c>
      <c r="O84" s="44">
        <f t="shared" si="129"/>
        <v>0.25763889261475914</v>
      </c>
      <c r="P84" s="115">
        <f t="shared" si="153"/>
        <v>1</v>
      </c>
      <c r="Q84" s="2"/>
      <c r="R84" s="42" t="s">
        <v>542</v>
      </c>
      <c r="S84" s="43">
        <f t="shared" si="154"/>
        <v>0.10265696952321264</v>
      </c>
      <c r="T84" s="43">
        <f t="shared" si="155"/>
        <v>0.11176399399140505</v>
      </c>
      <c r="U84" s="43">
        <f t="shared" si="156"/>
        <v>2.5795044754078157E-2</v>
      </c>
      <c r="V84" s="43">
        <f t="shared" si="157"/>
        <v>5.9438814090541782E-2</v>
      </c>
      <c r="W84" s="29">
        <f t="shared" si="158"/>
        <v>3.5128239511919859E-2</v>
      </c>
      <c r="X84" s="43">
        <f t="shared" si="159"/>
        <v>8.2246059380114533E-2</v>
      </c>
      <c r="Y84" s="43">
        <f t="shared" si="160"/>
        <v>8.0380699043551898E-2</v>
      </c>
      <c r="Z84" s="43">
        <f t="shared" si="161"/>
        <v>3.7975820308815966E-2</v>
      </c>
      <c r="AA84" s="29">
        <f t="shared" si="162"/>
        <v>5.7756672656026228E-2</v>
      </c>
      <c r="AB84" s="43">
        <f t="shared" si="163"/>
        <v>5.3894752023274109E-2</v>
      </c>
      <c r="AC84" s="43">
        <f t="shared" si="164"/>
        <v>9.5324042102300721E-2</v>
      </c>
      <c r="AD84" s="43">
        <f t="shared" si="165"/>
        <v>0.25763889261475914</v>
      </c>
      <c r="AE84" s="32">
        <f t="shared" si="166"/>
        <v>0.19554188169115871</v>
      </c>
      <c r="AF84" s="53">
        <f t="shared" si="167"/>
        <v>0.2479048053947937</v>
      </c>
      <c r="AG84" s="53">
        <f t="shared" si="168"/>
        <v>0.20149978589993078</v>
      </c>
      <c r="AH84" s="53">
        <f t="shared" si="169"/>
        <v>0.35505352701411685</v>
      </c>
      <c r="AI84" s="34">
        <f t="shared" si="170"/>
        <v>0.29965482235923763</v>
      </c>
      <c r="AJ84" s="35">
        <f t="shared" si="171"/>
        <v>0.23573081824440226</v>
      </c>
      <c r="AK84" s="34">
        <f t="shared" si="172"/>
        <v>0.29965482235923763</v>
      </c>
      <c r="AL84" s="35">
        <f t="shared" si="173"/>
        <v>0.23573081824440226</v>
      </c>
      <c r="AM84" s="35">
        <f t="shared" si="174"/>
        <v>0.46461435939636009</v>
      </c>
      <c r="AN84" s="36">
        <v>1</v>
      </c>
      <c r="AO84" s="54">
        <v>1</v>
      </c>
      <c r="AP84" s="2"/>
      <c r="AQ84" s="42" t="s">
        <v>542</v>
      </c>
      <c r="AR84" s="43">
        <f t="shared" si="175"/>
        <v>6.9940747960106894E-2</v>
      </c>
      <c r="AS84" s="43">
        <f t="shared" si="71"/>
        <v>7.6145412932730541E-2</v>
      </c>
      <c r="AT84" s="43">
        <f t="shared" si="72"/>
        <v>1.7574303353623855E-2</v>
      </c>
      <c r="AU84" s="43">
        <f t="shared" si="73"/>
        <v>4.0495985169464933E-2</v>
      </c>
      <c r="AV84" s="29">
        <f t="shared" si="74"/>
        <v>2.3941600639536709E-2</v>
      </c>
      <c r="AW84" s="43">
        <f t="shared" si="75"/>
        <v>5.6054682364203315E-2</v>
      </c>
      <c r="AX84" s="43">
        <f t="shared" si="76"/>
        <v>5.4783348734982869E-2</v>
      </c>
      <c r="AY84" s="43">
        <f t="shared" si="77"/>
        <v>2.5882365197492048E-2</v>
      </c>
      <c r="AZ84" s="29">
        <f t="shared" si="78"/>
        <v>7.8960050048493921E-2</v>
      </c>
      <c r="BA84" s="43">
        <f t="shared" si="79"/>
        <v>7.3680357981371333E-2</v>
      </c>
      <c r="BB84" s="43">
        <f t="shared" si="80"/>
        <v>0.13031898807690534</v>
      </c>
      <c r="BC84" s="44">
        <f t="shared" si="81"/>
        <v>0.35222215754108821</v>
      </c>
      <c r="BD84" s="2"/>
      <c r="BE84" s="42" t="s">
        <v>542</v>
      </c>
      <c r="BF84" s="62">
        <v>1</v>
      </c>
      <c r="BG84" s="62">
        <v>1</v>
      </c>
      <c r="BH84" s="62">
        <v>1</v>
      </c>
      <c r="BI84" s="62">
        <v>1</v>
      </c>
      <c r="BJ84" s="36">
        <v>1</v>
      </c>
      <c r="BK84" s="62">
        <v>1</v>
      </c>
      <c r="BL84" s="62">
        <v>1</v>
      </c>
      <c r="BM84" s="62">
        <v>1</v>
      </c>
      <c r="BN84" s="36">
        <v>1</v>
      </c>
      <c r="BO84" s="62">
        <v>1</v>
      </c>
      <c r="BP84" s="62">
        <v>1</v>
      </c>
      <c r="BQ84" s="54">
        <v>1</v>
      </c>
      <c r="BR84" s="2"/>
      <c r="BS84" s="42" t="s">
        <v>542</v>
      </c>
      <c r="BT84" s="67">
        <f t="shared" si="176"/>
        <v>8534.3829999999998</v>
      </c>
      <c r="BU84" s="67">
        <f t="shared" si="130"/>
        <v>9291.4951099999998</v>
      </c>
      <c r="BV84" s="67">
        <f t="shared" si="131"/>
        <v>2144.4699999999998</v>
      </c>
      <c r="BW84" s="67">
        <f t="shared" si="132"/>
        <v>4941.4434000000001</v>
      </c>
      <c r="BX84" s="30">
        <f t="shared" si="133"/>
        <v>2921.4270000000001</v>
      </c>
      <c r="BY84" s="67">
        <f t="shared" si="134"/>
        <v>6839.9629999999997</v>
      </c>
      <c r="BZ84" s="67">
        <f t="shared" si="135"/>
        <v>6684.8310000000001</v>
      </c>
      <c r="CA84" s="67">
        <f t="shared" si="136"/>
        <v>3158.2449999999999</v>
      </c>
      <c r="CB84" s="30">
        <f t="shared" si="137"/>
        <v>9634.9457000000002</v>
      </c>
      <c r="CC84" s="67">
        <f t="shared" si="138"/>
        <v>8990.7016000000003</v>
      </c>
      <c r="CD84" s="67">
        <f t="shared" si="139"/>
        <v>15901.919680000001</v>
      </c>
      <c r="CE84" s="68">
        <f t="shared" si="140"/>
        <v>42979.219999999994</v>
      </c>
      <c r="CF84" s="2"/>
      <c r="CG84" s="37" t="str">
        <f t="shared" si="177"/>
        <v>atrnl</v>
      </c>
      <c r="CH84" s="42" t="s">
        <v>542</v>
      </c>
      <c r="CI84" s="67">
        <f t="shared" si="178"/>
        <v>8534.3829999999998</v>
      </c>
      <c r="CJ84" s="67">
        <f t="shared" si="82"/>
        <v>9291.4951099999998</v>
      </c>
      <c r="CK84" s="67">
        <f t="shared" si="83"/>
        <v>2144.4699999999998</v>
      </c>
      <c r="CL84" s="67">
        <f t="shared" si="84"/>
        <v>4941.4434000000001</v>
      </c>
      <c r="CM84" s="30">
        <f t="shared" si="85"/>
        <v>2921.4270000000001</v>
      </c>
      <c r="CN84" s="67">
        <f t="shared" si="86"/>
        <v>6839.9629999999997</v>
      </c>
      <c r="CO84" s="67">
        <f t="shared" si="87"/>
        <v>6684.8310000000001</v>
      </c>
      <c r="CP84" s="67">
        <f t="shared" si="88"/>
        <v>3158.2449999999999</v>
      </c>
      <c r="CQ84" s="30">
        <f t="shared" si="89"/>
        <v>9634.9457000000002</v>
      </c>
      <c r="CR84" s="67">
        <f t="shared" si="90"/>
        <v>8990.7016000000003</v>
      </c>
      <c r="CS84" s="67">
        <f t="shared" si="91"/>
        <v>15901.919680000001</v>
      </c>
      <c r="CT84" s="68">
        <f t="shared" si="92"/>
        <v>42979.219999999994</v>
      </c>
      <c r="CU84" s="2"/>
      <c r="CV84" s="42" t="s">
        <v>542</v>
      </c>
      <c r="CW84" s="67">
        <f t="shared" si="179"/>
        <v>8534.3829999999998</v>
      </c>
      <c r="CX84" s="67">
        <f t="shared" si="93"/>
        <v>9291.4951099999998</v>
      </c>
      <c r="CY84" s="67">
        <f t="shared" si="94"/>
        <v>2144.4699999999998</v>
      </c>
      <c r="CZ84" s="67">
        <f t="shared" si="95"/>
        <v>4941.4434000000001</v>
      </c>
      <c r="DA84" s="30">
        <f t="shared" si="96"/>
        <v>2921.4270000000001</v>
      </c>
      <c r="DB84" s="67">
        <f t="shared" si="97"/>
        <v>6839.9629999999997</v>
      </c>
      <c r="DC84" s="67">
        <f t="shared" si="98"/>
        <v>6684.8310000000001</v>
      </c>
      <c r="DD84" s="67">
        <f t="shared" si="99"/>
        <v>3158.2449999999999</v>
      </c>
      <c r="DE84" s="30">
        <f t="shared" si="100"/>
        <v>9634.9457000000002</v>
      </c>
      <c r="DF84" s="67">
        <f t="shared" si="101"/>
        <v>8990.7016000000003</v>
      </c>
      <c r="DG84" s="67">
        <f t="shared" si="102"/>
        <v>15901.919680000001</v>
      </c>
      <c r="DH84" s="68">
        <f t="shared" si="103"/>
        <v>42979.219999999994</v>
      </c>
      <c r="DI84" s="2"/>
      <c r="DJ84" s="37" t="s">
        <v>542</v>
      </c>
      <c r="DK84" s="76" t="s">
        <v>542</v>
      </c>
      <c r="DL84" s="67">
        <f t="shared" si="180"/>
        <v>7235.29</v>
      </c>
      <c r="DM84" s="67">
        <f t="shared" si="141"/>
        <v>8568.3410000000003</v>
      </c>
      <c r="DN84" s="67">
        <f t="shared" si="142"/>
        <v>2144.4699999999998</v>
      </c>
      <c r="DO84" s="67">
        <f t="shared" si="143"/>
        <v>4165.6350000000002</v>
      </c>
      <c r="DP84" s="30">
        <f t="shared" si="144"/>
        <v>2921.4270000000001</v>
      </c>
      <c r="DQ84" s="67">
        <f t="shared" si="145"/>
        <v>5681.1970000000001</v>
      </c>
      <c r="DR84" s="67">
        <f t="shared" si="146"/>
        <v>5635.4440000000004</v>
      </c>
      <c r="DS84" s="67">
        <f t="shared" si="147"/>
        <v>3158.2449999999999</v>
      </c>
      <c r="DT84" s="30">
        <f t="shared" si="148"/>
        <v>8865.259</v>
      </c>
      <c r="DU84" s="67">
        <f t="shared" si="149"/>
        <v>8091.44</v>
      </c>
      <c r="DV84" s="67">
        <f t="shared" si="150"/>
        <v>11021.96</v>
      </c>
      <c r="DW84" s="68">
        <f t="shared" si="151"/>
        <v>6308.6559999999999</v>
      </c>
      <c r="DX84" s="2"/>
      <c r="DY84" s="81" t="s">
        <v>542</v>
      </c>
      <c r="DZ84" s="82"/>
      <c r="EA84" s="82"/>
      <c r="EB84" s="82"/>
      <c r="EC84" s="83"/>
      <c r="ED84" s="84">
        <v>1</v>
      </c>
      <c r="EE84" s="2"/>
      <c r="EF84" s="38" t="s">
        <v>542</v>
      </c>
      <c r="EG84" s="93" t="s">
        <v>542</v>
      </c>
      <c r="EH84" s="94">
        <v>9408.2530000000006</v>
      </c>
      <c r="EI84" s="94">
        <v>13762.52</v>
      </c>
      <c r="EJ84" s="94">
        <v>3391.3510000000001</v>
      </c>
      <c r="EK84" s="94">
        <v>308.41250000000002</v>
      </c>
      <c r="EL84" s="94">
        <v>3168.038</v>
      </c>
      <c r="EM84" s="94">
        <v>5467.4260000000004</v>
      </c>
      <c r="EN84" s="94">
        <v>4297.63</v>
      </c>
      <c r="EO84" s="94">
        <v>757.98490000000004</v>
      </c>
      <c r="EP84" s="94">
        <v>6878.0360000000001</v>
      </c>
      <c r="EQ84" s="94">
        <v>25364.94</v>
      </c>
      <c r="ER84" s="94">
        <v>14247.18</v>
      </c>
      <c r="ES84" s="95">
        <v>14312.84</v>
      </c>
      <c r="ET84" s="38" t="s">
        <v>542</v>
      </c>
      <c r="EU84" s="93" t="s">
        <v>542</v>
      </c>
      <c r="EV84" s="94">
        <v>60588.35</v>
      </c>
      <c r="EW84" s="94">
        <v>42608.65</v>
      </c>
      <c r="EX84" s="94">
        <v>7743.1139999999996</v>
      </c>
      <c r="EY84" s="94">
        <v>1059.105</v>
      </c>
      <c r="EZ84" s="94">
        <v>22334.55</v>
      </c>
      <c r="FA84" s="94">
        <v>14047.66</v>
      </c>
      <c r="FB84" s="94">
        <v>6383.683</v>
      </c>
      <c r="FC84" s="94">
        <v>4891.9059999999999</v>
      </c>
      <c r="FD84" s="94">
        <v>281412.5</v>
      </c>
      <c r="FE84" s="94">
        <v>834188.5</v>
      </c>
      <c r="FF84" s="94">
        <v>145381.29999999999</v>
      </c>
      <c r="FG84" s="95">
        <v>34757.58</v>
      </c>
      <c r="FH84" s="38" t="s">
        <v>542</v>
      </c>
      <c r="FI84" s="93" t="s">
        <v>542</v>
      </c>
      <c r="FJ84" s="94"/>
      <c r="FK84" s="94"/>
      <c r="FL84" s="94"/>
      <c r="FM84" s="94"/>
      <c r="FN84" s="94"/>
      <c r="FO84" s="94"/>
      <c r="FP84" s="94"/>
      <c r="FQ84" s="94"/>
      <c r="FR84" s="94"/>
      <c r="FS84" s="94"/>
      <c r="FT84" s="94"/>
      <c r="FU84" s="95"/>
      <c r="FV84" s="38" t="s">
        <v>542</v>
      </c>
      <c r="FW84" s="93" t="s">
        <v>542</v>
      </c>
      <c r="FX84" s="94"/>
      <c r="FY84" s="94"/>
      <c r="FZ84" s="94"/>
      <c r="GA84" s="94"/>
      <c r="GB84" s="94"/>
      <c r="GC84" s="94"/>
      <c r="GD84" s="94"/>
      <c r="GE84" s="94"/>
      <c r="GF84" s="94"/>
      <c r="GG84" s="94"/>
      <c r="GH84" s="94"/>
      <c r="GI84" s="95"/>
      <c r="GJ84" s="38" t="s">
        <v>542</v>
      </c>
      <c r="GK84" s="93" t="s">
        <v>542</v>
      </c>
      <c r="GL84" s="94">
        <v>7235.29</v>
      </c>
      <c r="GM84" s="94">
        <v>8568.3410000000003</v>
      </c>
      <c r="GN84" s="94">
        <v>2144.4699999999998</v>
      </c>
      <c r="GO84" s="94">
        <v>4165.6350000000002</v>
      </c>
      <c r="GP84" s="94">
        <v>2921.4270000000001</v>
      </c>
      <c r="GQ84" s="94">
        <v>5681.1970000000001</v>
      </c>
      <c r="GR84" s="94">
        <v>5635.4440000000004</v>
      </c>
      <c r="GS84" s="94">
        <v>3158.2449999999999</v>
      </c>
      <c r="GT84" s="94">
        <v>8865.259</v>
      </c>
      <c r="GU84" s="94">
        <v>8091.44</v>
      </c>
      <c r="GV84" s="94">
        <v>11021.96</v>
      </c>
      <c r="GW84" s="95">
        <v>6308.6559999999999</v>
      </c>
      <c r="GX84" s="38"/>
    </row>
    <row r="85" spans="1:206" x14ac:dyDescent="0.35">
      <c r="A85" s="2"/>
      <c r="B85" s="2"/>
      <c r="C85" s="42" t="s">
        <v>543</v>
      </c>
      <c r="D85" s="43">
        <f t="shared" si="152"/>
        <v>5.1430583810827352E-2</v>
      </c>
      <c r="E85" s="43">
        <f t="shared" si="119"/>
        <v>5.5993153574517042E-2</v>
      </c>
      <c r="F85" s="43">
        <f t="shared" si="120"/>
        <v>1.2923177230832613E-2</v>
      </c>
      <c r="G85" s="43">
        <f t="shared" si="121"/>
        <v>2.9778522821176368E-2</v>
      </c>
      <c r="H85" s="43">
        <f t="shared" si="122"/>
        <v>1.756411975595993E-2</v>
      </c>
      <c r="I85" s="43">
        <f t="shared" si="123"/>
        <v>4.1123029690057267E-2</v>
      </c>
      <c r="J85" s="43">
        <f t="shared" si="124"/>
        <v>4.0190349521775949E-2</v>
      </c>
      <c r="K85" s="43">
        <f t="shared" si="125"/>
        <v>1.8987910154407983E-2</v>
      </c>
      <c r="L85" s="43">
        <f t="shared" si="126"/>
        <v>9.0996785186329518E-2</v>
      </c>
      <c r="M85" s="43">
        <f t="shared" si="127"/>
        <v>8.4912252506995356E-2</v>
      </c>
      <c r="N85" s="43">
        <f t="shared" si="128"/>
        <v>0.15018492207706222</v>
      </c>
      <c r="O85" s="44">
        <f t="shared" si="129"/>
        <v>0.40591519367005846</v>
      </c>
      <c r="P85" s="115">
        <f t="shared" si="153"/>
        <v>1</v>
      </c>
      <c r="Q85" s="2"/>
      <c r="R85" s="42" t="s">
        <v>543</v>
      </c>
      <c r="S85" s="43">
        <f t="shared" si="154"/>
        <v>5.1430583810827352E-2</v>
      </c>
      <c r="T85" s="43">
        <f t="shared" si="155"/>
        <v>5.5993153574517042E-2</v>
      </c>
      <c r="U85" s="43">
        <f t="shared" si="156"/>
        <v>1.2923177230832613E-2</v>
      </c>
      <c r="V85" s="43">
        <f t="shared" si="157"/>
        <v>2.9778522821176368E-2</v>
      </c>
      <c r="W85" s="29">
        <f t="shared" si="158"/>
        <v>1.756411975595993E-2</v>
      </c>
      <c r="X85" s="43">
        <f t="shared" si="159"/>
        <v>4.1123029690057267E-2</v>
      </c>
      <c r="Y85" s="43">
        <f t="shared" si="160"/>
        <v>4.0190349521775949E-2</v>
      </c>
      <c r="Z85" s="43">
        <f t="shared" si="161"/>
        <v>1.8987910154407983E-2</v>
      </c>
      <c r="AA85" s="29">
        <f t="shared" si="162"/>
        <v>9.0996785186329518E-2</v>
      </c>
      <c r="AB85" s="43">
        <f t="shared" si="163"/>
        <v>8.4912252506995356E-2</v>
      </c>
      <c r="AC85" s="43">
        <f t="shared" si="164"/>
        <v>0.15018492207706222</v>
      </c>
      <c r="AD85" s="43">
        <f t="shared" si="165"/>
        <v>0.40591519367005846</v>
      </c>
      <c r="AE85" s="32">
        <f t="shared" si="166"/>
        <v>0.15999148875311681</v>
      </c>
      <c r="AF85" s="53">
        <f t="shared" si="167"/>
        <v>0.18202843577156966</v>
      </c>
      <c r="AG85" s="53">
        <f t="shared" si="168"/>
        <v>0.20329844882967077</v>
      </c>
      <c r="AH85" s="53">
        <f t="shared" si="169"/>
        <v>0.45468162664564282</v>
      </c>
      <c r="AI85" s="34">
        <f t="shared" si="170"/>
        <v>5.9605251546912899E-4</v>
      </c>
      <c r="AJ85" s="35">
        <f t="shared" si="171"/>
        <v>0</v>
      </c>
      <c r="AK85" s="34">
        <f>AVERAGE(AI84:AI85)</f>
        <v>0.15012543743735338</v>
      </c>
      <c r="AL85" s="35">
        <f>AVERAGE(AJ84:AJ85)</f>
        <v>0.11786540912220113</v>
      </c>
      <c r="AM85" s="35">
        <f t="shared" si="174"/>
        <v>0.73200915344044548</v>
      </c>
      <c r="AN85" s="36">
        <v>1</v>
      </c>
      <c r="AO85" s="54">
        <v>1</v>
      </c>
      <c r="AP85" s="2"/>
      <c r="AQ85" s="42" t="s">
        <v>543</v>
      </c>
      <c r="AR85" s="43">
        <f t="shared" si="175"/>
        <v>6.9940747960106894E-2</v>
      </c>
      <c r="AS85" s="43">
        <f t="shared" si="71"/>
        <v>7.6145412932730541E-2</v>
      </c>
      <c r="AT85" s="43">
        <f t="shared" si="72"/>
        <v>1.7574303353623855E-2</v>
      </c>
      <c r="AU85" s="43">
        <f t="shared" si="73"/>
        <v>4.0495985169464933E-2</v>
      </c>
      <c r="AV85" s="29">
        <f t="shared" si="74"/>
        <v>2.3941600639536709E-2</v>
      </c>
      <c r="AW85" s="43">
        <f t="shared" si="75"/>
        <v>5.6054682364203315E-2</v>
      </c>
      <c r="AX85" s="43">
        <f t="shared" si="76"/>
        <v>5.4783348734982869E-2</v>
      </c>
      <c r="AY85" s="43">
        <f t="shared" si="77"/>
        <v>2.5882365197492048E-2</v>
      </c>
      <c r="AZ85" s="29">
        <f t="shared" si="78"/>
        <v>7.8960050048493921E-2</v>
      </c>
      <c r="BA85" s="43">
        <f t="shared" si="79"/>
        <v>7.3680357981371333E-2</v>
      </c>
      <c r="BB85" s="43">
        <f t="shared" si="80"/>
        <v>0.13031898807690534</v>
      </c>
      <c r="BC85" s="44">
        <f t="shared" si="81"/>
        <v>0.35222215754108821</v>
      </c>
      <c r="BD85" s="2"/>
      <c r="BE85" s="42" t="s">
        <v>543</v>
      </c>
      <c r="BF85" s="62">
        <v>1</v>
      </c>
      <c r="BG85" s="62">
        <v>1</v>
      </c>
      <c r="BH85" s="62">
        <v>1</v>
      </c>
      <c r="BI85" s="62">
        <v>1</v>
      </c>
      <c r="BJ85" s="36">
        <v>1</v>
      </c>
      <c r="BK85" s="62">
        <v>1</v>
      </c>
      <c r="BL85" s="62">
        <v>1</v>
      </c>
      <c r="BM85" s="62">
        <v>1</v>
      </c>
      <c r="BN85" s="36">
        <v>1</v>
      </c>
      <c r="BO85" s="62">
        <v>1</v>
      </c>
      <c r="BP85" s="62">
        <v>1</v>
      </c>
      <c r="BQ85" s="54">
        <v>1</v>
      </c>
      <c r="BR85" s="2"/>
      <c r="BS85" s="42" t="s">
        <v>543</v>
      </c>
      <c r="BT85" s="67">
        <f t="shared" si="176"/>
        <v>8534.3829999999998</v>
      </c>
      <c r="BU85" s="67">
        <f t="shared" si="130"/>
        <v>9291.4951099999998</v>
      </c>
      <c r="BV85" s="67">
        <f t="shared" si="131"/>
        <v>2144.4699999999998</v>
      </c>
      <c r="BW85" s="67">
        <f t="shared" si="132"/>
        <v>4941.4434000000001</v>
      </c>
      <c r="BX85" s="30">
        <f t="shared" si="133"/>
        <v>2921.4270000000001</v>
      </c>
      <c r="BY85" s="67">
        <f t="shared" si="134"/>
        <v>6839.9629999999997</v>
      </c>
      <c r="BZ85" s="67">
        <f t="shared" si="135"/>
        <v>6684.8310000000001</v>
      </c>
      <c r="CA85" s="67">
        <f t="shared" si="136"/>
        <v>3158.2449999999999</v>
      </c>
      <c r="CB85" s="30">
        <f t="shared" si="137"/>
        <v>9634.9457000000002</v>
      </c>
      <c r="CC85" s="67">
        <f t="shared" si="138"/>
        <v>8990.7016000000003</v>
      </c>
      <c r="CD85" s="67">
        <f t="shared" si="139"/>
        <v>15901.919680000001</v>
      </c>
      <c r="CE85" s="68">
        <f t="shared" si="140"/>
        <v>42979.219999999994</v>
      </c>
      <c r="CF85" s="2"/>
      <c r="CG85" s="37" t="str">
        <f t="shared" si="177"/>
        <v>atrnl</v>
      </c>
      <c r="CH85" s="42" t="s">
        <v>543</v>
      </c>
      <c r="CI85" s="67">
        <f t="shared" si="178"/>
        <v>8534.3829999999998</v>
      </c>
      <c r="CJ85" s="67">
        <f t="shared" si="82"/>
        <v>9291.4951099999998</v>
      </c>
      <c r="CK85" s="67">
        <f t="shared" si="83"/>
        <v>2144.4699999999998</v>
      </c>
      <c r="CL85" s="67">
        <f t="shared" si="84"/>
        <v>4941.4434000000001</v>
      </c>
      <c r="CM85" s="30">
        <f t="shared" si="85"/>
        <v>2921.4270000000001</v>
      </c>
      <c r="CN85" s="67">
        <f t="shared" si="86"/>
        <v>6839.9629999999997</v>
      </c>
      <c r="CO85" s="67">
        <f t="shared" si="87"/>
        <v>6684.8310000000001</v>
      </c>
      <c r="CP85" s="67">
        <f t="shared" si="88"/>
        <v>3158.2449999999999</v>
      </c>
      <c r="CQ85" s="30">
        <f t="shared" si="89"/>
        <v>9634.9457000000002</v>
      </c>
      <c r="CR85" s="67">
        <f t="shared" si="90"/>
        <v>8990.7016000000003</v>
      </c>
      <c r="CS85" s="67">
        <f t="shared" si="91"/>
        <v>15901.919680000001</v>
      </c>
      <c r="CT85" s="68">
        <f t="shared" si="92"/>
        <v>42979.219999999994</v>
      </c>
      <c r="CU85" s="2"/>
      <c r="CV85" s="42" t="s">
        <v>543</v>
      </c>
      <c r="CW85" s="67">
        <f t="shared" si="179"/>
        <v>0</v>
      </c>
      <c r="CX85" s="67">
        <f t="shared" si="93"/>
        <v>0</v>
      </c>
      <c r="CY85" s="67">
        <f t="shared" si="94"/>
        <v>0</v>
      </c>
      <c r="CZ85" s="67">
        <f t="shared" si="95"/>
        <v>0</v>
      </c>
      <c r="DA85" s="30">
        <f t="shared" si="96"/>
        <v>0</v>
      </c>
      <c r="DB85" s="67">
        <f t="shared" si="97"/>
        <v>0</v>
      </c>
      <c r="DC85" s="67">
        <f t="shared" si="98"/>
        <v>0</v>
      </c>
      <c r="DD85" s="67">
        <f t="shared" si="99"/>
        <v>0</v>
      </c>
      <c r="DE85" s="30">
        <f t="shared" si="100"/>
        <v>0</v>
      </c>
      <c r="DF85" s="67">
        <f t="shared" si="101"/>
        <v>0</v>
      </c>
      <c r="DG85" s="67">
        <f t="shared" si="102"/>
        <v>0</v>
      </c>
      <c r="DH85" s="68">
        <f t="shared" si="103"/>
        <v>0</v>
      </c>
      <c r="DI85" s="2"/>
      <c r="DJ85" s="37" t="s">
        <v>542</v>
      </c>
      <c r="DK85" s="76" t="s">
        <v>543</v>
      </c>
      <c r="DL85" s="67">
        <f t="shared" si="180"/>
        <v>0</v>
      </c>
      <c r="DM85" s="67">
        <f t="shared" si="141"/>
        <v>18.876709999999999</v>
      </c>
      <c r="DN85" s="67">
        <f t="shared" si="142"/>
        <v>0</v>
      </c>
      <c r="DO85" s="67">
        <f t="shared" si="143"/>
        <v>0</v>
      </c>
      <c r="DP85" s="30">
        <f t="shared" si="144"/>
        <v>0</v>
      </c>
      <c r="DQ85" s="67">
        <f t="shared" si="145"/>
        <v>0</v>
      </c>
      <c r="DR85" s="67">
        <f t="shared" si="146"/>
        <v>0</v>
      </c>
      <c r="DS85" s="67">
        <f t="shared" si="147"/>
        <v>0</v>
      </c>
      <c r="DT85" s="30">
        <f t="shared" si="148"/>
        <v>0</v>
      </c>
      <c r="DU85" s="67">
        <f t="shared" si="149"/>
        <v>0</v>
      </c>
      <c r="DV85" s="67">
        <f t="shared" si="150"/>
        <v>4420.9350000000004</v>
      </c>
      <c r="DW85" s="68">
        <f t="shared" si="151"/>
        <v>27229.73</v>
      </c>
      <c r="DX85" s="2"/>
      <c r="DY85" s="81" t="s">
        <v>543</v>
      </c>
      <c r="DZ85" s="82"/>
      <c r="EA85" s="82"/>
      <c r="EB85" s="82"/>
      <c r="EC85" s="83"/>
      <c r="ED85" s="84">
        <v>1</v>
      </c>
      <c r="EE85" s="2"/>
      <c r="EF85" s="38" t="s">
        <v>543</v>
      </c>
      <c r="EG85" s="93" t="s">
        <v>543</v>
      </c>
      <c r="EH85" s="94"/>
      <c r="EI85" s="94"/>
      <c r="EJ85" s="94"/>
      <c r="EK85" s="94"/>
      <c r="EL85" s="94"/>
      <c r="EM85" s="94"/>
      <c r="EN85" s="94"/>
      <c r="EO85" s="94"/>
      <c r="EP85" s="94"/>
      <c r="EQ85" s="94"/>
      <c r="ER85" s="94"/>
      <c r="ES85" s="95"/>
      <c r="ET85" s="38" t="s">
        <v>543</v>
      </c>
      <c r="EU85" s="93" t="s">
        <v>543</v>
      </c>
      <c r="EV85" s="94"/>
      <c r="EW85" s="94"/>
      <c r="EX85" s="94"/>
      <c r="EY85" s="94"/>
      <c r="EZ85" s="94"/>
      <c r="FA85" s="94"/>
      <c r="FB85" s="94"/>
      <c r="FC85" s="94"/>
      <c r="FD85" s="94"/>
      <c r="FE85" s="94"/>
      <c r="FF85" s="94"/>
      <c r="FG85" s="95"/>
      <c r="FH85" s="38" t="s">
        <v>543</v>
      </c>
      <c r="FI85" s="93" t="s">
        <v>543</v>
      </c>
      <c r="FJ85" s="94"/>
      <c r="FK85" s="94"/>
      <c r="FL85" s="94"/>
      <c r="FM85" s="94"/>
      <c r="FN85" s="94"/>
      <c r="FO85" s="94"/>
      <c r="FP85" s="94"/>
      <c r="FQ85" s="94"/>
      <c r="FR85" s="94"/>
      <c r="FS85" s="94"/>
      <c r="FT85" s="94"/>
      <c r="FU85" s="95"/>
      <c r="FV85" s="38" t="s">
        <v>543</v>
      </c>
      <c r="FW85" s="93" t="s">
        <v>543</v>
      </c>
      <c r="FX85" s="94"/>
      <c r="FY85" s="94"/>
      <c r="FZ85" s="94"/>
      <c r="GA85" s="94"/>
      <c r="GB85" s="94"/>
      <c r="GC85" s="94"/>
      <c r="GD85" s="94"/>
      <c r="GE85" s="94"/>
      <c r="GF85" s="94"/>
      <c r="GG85" s="94"/>
      <c r="GH85" s="94"/>
      <c r="GI85" s="95"/>
      <c r="GJ85" s="38" t="s">
        <v>543</v>
      </c>
      <c r="GK85" s="93" t="s">
        <v>543</v>
      </c>
      <c r="GL85" s="94"/>
      <c r="GM85" s="94">
        <v>18.876709999999999</v>
      </c>
      <c r="GN85" s="94"/>
      <c r="GO85" s="94"/>
      <c r="GP85" s="94"/>
      <c r="GQ85" s="94"/>
      <c r="GR85" s="94"/>
      <c r="GS85" s="94"/>
      <c r="GT85" s="94"/>
      <c r="GU85" s="94"/>
      <c r="GV85" s="94">
        <v>4420.9350000000004</v>
      </c>
      <c r="GW85" s="95">
        <v>27229.73</v>
      </c>
      <c r="GX85" s="38"/>
    </row>
    <row r="86" spans="1:206" x14ac:dyDescent="0.35">
      <c r="A86" s="2"/>
      <c r="B86" s="2"/>
      <c r="C86" s="42" t="s">
        <v>544</v>
      </c>
      <c r="D86" s="43">
        <f t="shared" si="152"/>
        <v>9.4414310587599345E-2</v>
      </c>
      <c r="E86" s="43">
        <f t="shared" si="119"/>
        <v>0.10279010271026044</v>
      </c>
      <c r="F86" s="43">
        <f t="shared" si="120"/>
        <v>2.3723877476062319E-2</v>
      </c>
      <c r="G86" s="43">
        <f t="shared" si="121"/>
        <v>5.4666280142178163E-2</v>
      </c>
      <c r="H86" s="43">
        <f t="shared" si="122"/>
        <v>1.7123397366285424E-2</v>
      </c>
      <c r="I86" s="43">
        <f t="shared" si="123"/>
        <v>4.0091162442083862E-2</v>
      </c>
      <c r="J86" s="43">
        <f t="shared" si="124"/>
        <v>3.9181885270267974E-2</v>
      </c>
      <c r="K86" s="43">
        <f t="shared" si="125"/>
        <v>1.851146173259989E-2</v>
      </c>
      <c r="L86" s="43">
        <f t="shared" si="126"/>
        <v>7.576724258866506E-2</v>
      </c>
      <c r="M86" s="43">
        <f t="shared" si="127"/>
        <v>7.0701038737509353E-2</v>
      </c>
      <c r="N86" s="43">
        <f t="shared" si="128"/>
        <v>0.12504944433885362</v>
      </c>
      <c r="O86" s="44">
        <f t="shared" si="129"/>
        <v>0.33797979660763472</v>
      </c>
      <c r="P86" s="115">
        <f t="shared" si="153"/>
        <v>1.0000000000000002</v>
      </c>
      <c r="Q86" s="2"/>
      <c r="R86" s="42" t="s">
        <v>544</v>
      </c>
      <c r="S86" s="43">
        <f t="shared" si="154"/>
        <v>9.4414310587599332E-2</v>
      </c>
      <c r="T86" s="43">
        <f t="shared" si="155"/>
        <v>0.10279010271026043</v>
      </c>
      <c r="U86" s="43">
        <f t="shared" si="156"/>
        <v>2.3723877476062315E-2</v>
      </c>
      <c r="V86" s="43">
        <f t="shared" si="157"/>
        <v>5.4666280142178156E-2</v>
      </c>
      <c r="W86" s="29">
        <f t="shared" si="158"/>
        <v>1.7123397366285421E-2</v>
      </c>
      <c r="X86" s="43">
        <f t="shared" si="159"/>
        <v>4.0091162442083855E-2</v>
      </c>
      <c r="Y86" s="43">
        <f t="shared" si="160"/>
        <v>3.9181885270267967E-2</v>
      </c>
      <c r="Z86" s="43">
        <f t="shared" si="161"/>
        <v>1.8511461732599887E-2</v>
      </c>
      <c r="AA86" s="29">
        <f t="shared" si="162"/>
        <v>7.5767242588665046E-2</v>
      </c>
      <c r="AB86" s="43">
        <f t="shared" si="163"/>
        <v>7.0701038737509339E-2</v>
      </c>
      <c r="AC86" s="43">
        <f t="shared" si="164"/>
        <v>0.12504944433885359</v>
      </c>
      <c r="AD86" s="43">
        <f t="shared" si="165"/>
        <v>0.33797979660763466</v>
      </c>
      <c r="AE86" s="32">
        <f t="shared" si="166"/>
        <v>0.18730495054254981</v>
      </c>
      <c r="AF86" s="53">
        <f t="shared" si="167"/>
        <v>0.21358230388985361</v>
      </c>
      <c r="AG86" s="53">
        <f t="shared" si="168"/>
        <v>0.18795520708518387</v>
      </c>
      <c r="AH86" s="53">
        <f t="shared" si="169"/>
        <v>0.41115753848241271</v>
      </c>
      <c r="AI86" s="34">
        <f t="shared" si="170"/>
        <v>0.27559457091610023</v>
      </c>
      <c r="AJ86" s="35">
        <f t="shared" si="171"/>
        <v>0.11490790681123712</v>
      </c>
      <c r="AK86" s="34">
        <f t="shared" si="172"/>
        <v>0.27559457091610023</v>
      </c>
      <c r="AL86" s="35">
        <f t="shared" si="173"/>
        <v>0.11490790681123712</v>
      </c>
      <c r="AM86" s="35">
        <f t="shared" si="174"/>
        <v>0.60949752227266263</v>
      </c>
      <c r="AN86" s="36">
        <v>1</v>
      </c>
      <c r="AO86" s="54">
        <v>1</v>
      </c>
      <c r="AP86" s="2"/>
      <c r="AQ86" s="42" t="s">
        <v>544</v>
      </c>
      <c r="AR86" s="43">
        <f t="shared" si="175"/>
        <v>6.9940747960106894E-2</v>
      </c>
      <c r="AS86" s="43">
        <f t="shared" si="71"/>
        <v>7.6145412932730541E-2</v>
      </c>
      <c r="AT86" s="43">
        <f t="shared" si="72"/>
        <v>1.7574303353623855E-2</v>
      </c>
      <c r="AU86" s="43">
        <f t="shared" si="73"/>
        <v>4.0495985169464933E-2</v>
      </c>
      <c r="AV86" s="29">
        <f t="shared" si="74"/>
        <v>2.3941600639536709E-2</v>
      </c>
      <c r="AW86" s="43">
        <f t="shared" si="75"/>
        <v>5.6054682364203315E-2</v>
      </c>
      <c r="AX86" s="43">
        <f t="shared" si="76"/>
        <v>5.4783348734982869E-2</v>
      </c>
      <c r="AY86" s="43">
        <f t="shared" si="77"/>
        <v>2.5882365197492048E-2</v>
      </c>
      <c r="AZ86" s="29">
        <f t="shared" si="78"/>
        <v>7.8960050048493921E-2</v>
      </c>
      <c r="BA86" s="43">
        <f t="shared" si="79"/>
        <v>7.3680357981371333E-2</v>
      </c>
      <c r="BB86" s="43">
        <f t="shared" si="80"/>
        <v>0.13031898807690534</v>
      </c>
      <c r="BC86" s="44">
        <f t="shared" si="81"/>
        <v>0.35222215754108821</v>
      </c>
      <c r="BD86" s="2"/>
      <c r="BE86" s="42" t="s">
        <v>544</v>
      </c>
      <c r="BF86" s="62">
        <v>1</v>
      </c>
      <c r="BG86" s="62">
        <v>1</v>
      </c>
      <c r="BH86" s="62">
        <v>1</v>
      </c>
      <c r="BI86" s="62">
        <v>1</v>
      </c>
      <c r="BJ86" s="36">
        <v>1</v>
      </c>
      <c r="BK86" s="62">
        <v>1</v>
      </c>
      <c r="BL86" s="62">
        <v>1</v>
      </c>
      <c r="BM86" s="62">
        <v>1</v>
      </c>
      <c r="BN86" s="36">
        <v>1</v>
      </c>
      <c r="BO86" s="62">
        <v>1</v>
      </c>
      <c r="BP86" s="62">
        <v>1</v>
      </c>
      <c r="BQ86" s="54">
        <v>1</v>
      </c>
      <c r="BR86" s="2"/>
      <c r="BS86" s="42" t="s">
        <v>544</v>
      </c>
      <c r="BT86" s="67">
        <f t="shared" si="176"/>
        <v>8534.3829999999998</v>
      </c>
      <c r="BU86" s="67">
        <f t="shared" si="130"/>
        <v>9291.4951099999998</v>
      </c>
      <c r="BV86" s="67">
        <f t="shared" si="131"/>
        <v>2144.4699999999998</v>
      </c>
      <c r="BW86" s="67">
        <f t="shared" si="132"/>
        <v>4941.4434000000001</v>
      </c>
      <c r="BX86" s="30">
        <f t="shared" si="133"/>
        <v>2921.4270000000001</v>
      </c>
      <c r="BY86" s="67">
        <f t="shared" si="134"/>
        <v>6839.9629999999997</v>
      </c>
      <c r="BZ86" s="67">
        <f t="shared" si="135"/>
        <v>6684.8310000000001</v>
      </c>
      <c r="CA86" s="67">
        <f t="shared" si="136"/>
        <v>3158.2449999999999</v>
      </c>
      <c r="CB86" s="30">
        <f t="shared" si="137"/>
        <v>9634.9457000000002</v>
      </c>
      <c r="CC86" s="67">
        <f t="shared" si="138"/>
        <v>8990.7016000000003</v>
      </c>
      <c r="CD86" s="67">
        <f t="shared" si="139"/>
        <v>15901.919680000001</v>
      </c>
      <c r="CE86" s="68">
        <f t="shared" si="140"/>
        <v>42979.219999999994</v>
      </c>
      <c r="CF86" s="2"/>
      <c r="CG86" s="37" t="str">
        <f t="shared" si="177"/>
        <v>atrnl</v>
      </c>
      <c r="CH86" s="42" t="s">
        <v>544</v>
      </c>
      <c r="CI86" s="67">
        <f t="shared" si="178"/>
        <v>8534.3829999999998</v>
      </c>
      <c r="CJ86" s="67">
        <f t="shared" si="82"/>
        <v>9291.4951099999998</v>
      </c>
      <c r="CK86" s="67">
        <f t="shared" si="83"/>
        <v>2144.4699999999998</v>
      </c>
      <c r="CL86" s="67">
        <f t="shared" si="84"/>
        <v>4941.4434000000001</v>
      </c>
      <c r="CM86" s="30">
        <f t="shared" si="85"/>
        <v>2921.4270000000001</v>
      </c>
      <c r="CN86" s="67">
        <f t="shared" si="86"/>
        <v>6839.9629999999997</v>
      </c>
      <c r="CO86" s="67">
        <f t="shared" si="87"/>
        <v>6684.8310000000001</v>
      </c>
      <c r="CP86" s="67">
        <f t="shared" si="88"/>
        <v>3158.2449999999999</v>
      </c>
      <c r="CQ86" s="30">
        <f t="shared" si="89"/>
        <v>9634.9457000000002</v>
      </c>
      <c r="CR86" s="67">
        <f t="shared" si="90"/>
        <v>8990.7016000000003</v>
      </c>
      <c r="CS86" s="67">
        <f t="shared" si="91"/>
        <v>15901.919680000001</v>
      </c>
      <c r="CT86" s="68">
        <f t="shared" si="92"/>
        <v>42979.219999999994</v>
      </c>
      <c r="CU86" s="2"/>
      <c r="CV86" s="42" t="s">
        <v>544</v>
      </c>
      <c r="CW86" s="67">
        <f t="shared" si="179"/>
        <v>0</v>
      </c>
      <c r="CX86" s="67">
        <f t="shared" si="93"/>
        <v>0</v>
      </c>
      <c r="CY86" s="67">
        <f t="shared" si="94"/>
        <v>0</v>
      </c>
      <c r="CZ86" s="67">
        <f t="shared" si="95"/>
        <v>0</v>
      </c>
      <c r="DA86" s="30">
        <f t="shared" si="96"/>
        <v>0</v>
      </c>
      <c r="DB86" s="67">
        <f t="shared" si="97"/>
        <v>0</v>
      </c>
      <c r="DC86" s="67">
        <f t="shared" si="98"/>
        <v>0</v>
      </c>
      <c r="DD86" s="67">
        <f t="shared" si="99"/>
        <v>0</v>
      </c>
      <c r="DE86" s="30">
        <f t="shared" si="100"/>
        <v>0</v>
      </c>
      <c r="DF86" s="67">
        <f t="shared" si="101"/>
        <v>0</v>
      </c>
      <c r="DG86" s="67">
        <f t="shared" si="102"/>
        <v>0</v>
      </c>
      <c r="DH86" s="68">
        <f t="shared" si="103"/>
        <v>0</v>
      </c>
      <c r="DI86" s="2"/>
      <c r="DJ86" s="37" t="s">
        <v>542</v>
      </c>
      <c r="DK86" s="76" t="s">
        <v>544</v>
      </c>
      <c r="DL86" s="67">
        <f t="shared" si="180"/>
        <v>1299.0930000000001</v>
      </c>
      <c r="DM86" s="67">
        <f t="shared" si="141"/>
        <v>704.27739999999994</v>
      </c>
      <c r="DN86" s="67">
        <f t="shared" si="142"/>
        <v>0</v>
      </c>
      <c r="DO86" s="67">
        <f t="shared" si="143"/>
        <v>775.80840000000001</v>
      </c>
      <c r="DP86" s="30">
        <f t="shared" si="144"/>
        <v>0</v>
      </c>
      <c r="DQ86" s="67">
        <f t="shared" si="145"/>
        <v>1158.7660000000001</v>
      </c>
      <c r="DR86" s="67">
        <f t="shared" si="146"/>
        <v>0</v>
      </c>
      <c r="DS86" s="67">
        <f t="shared" si="147"/>
        <v>0</v>
      </c>
      <c r="DT86" s="30">
        <f t="shared" si="148"/>
        <v>769.68669999999997</v>
      </c>
      <c r="DU86" s="67">
        <f t="shared" si="149"/>
        <v>899.26160000000004</v>
      </c>
      <c r="DV86" s="67">
        <f t="shared" si="150"/>
        <v>435.20859999999999</v>
      </c>
      <c r="DW86" s="68">
        <f t="shared" si="151"/>
        <v>4042.2</v>
      </c>
      <c r="DX86" s="2"/>
      <c r="DY86" s="81" t="s">
        <v>544</v>
      </c>
      <c r="DZ86" s="82"/>
      <c r="EA86" s="82"/>
      <c r="EB86" s="82"/>
      <c r="EC86" s="83"/>
      <c r="ED86" s="84">
        <v>1</v>
      </c>
      <c r="EE86" s="2"/>
      <c r="EF86" s="38" t="s">
        <v>544</v>
      </c>
      <c r="EG86" s="93" t="s">
        <v>544</v>
      </c>
      <c r="EH86" s="94"/>
      <c r="EI86" s="94"/>
      <c r="EJ86" s="94"/>
      <c r="EK86" s="94"/>
      <c r="EL86" s="94"/>
      <c r="EM86" s="94"/>
      <c r="EN86" s="94"/>
      <c r="EO86" s="94"/>
      <c r="EP86" s="94"/>
      <c r="EQ86" s="94"/>
      <c r="ER86" s="94"/>
      <c r="ES86" s="95"/>
      <c r="ET86" s="38" t="s">
        <v>544</v>
      </c>
      <c r="EU86" s="93" t="s">
        <v>544</v>
      </c>
      <c r="EV86" s="94"/>
      <c r="EW86" s="94"/>
      <c r="EX86" s="94"/>
      <c r="EY86" s="94"/>
      <c r="EZ86" s="94"/>
      <c r="FA86" s="94"/>
      <c r="FB86" s="94"/>
      <c r="FC86" s="94"/>
      <c r="FD86" s="94"/>
      <c r="FE86" s="94"/>
      <c r="FF86" s="94"/>
      <c r="FG86" s="95"/>
      <c r="FH86" s="38" t="s">
        <v>544</v>
      </c>
      <c r="FI86" s="93" t="s">
        <v>544</v>
      </c>
      <c r="FJ86" s="94"/>
      <c r="FK86" s="94"/>
      <c r="FL86" s="94"/>
      <c r="FM86" s="94"/>
      <c r="FN86" s="94"/>
      <c r="FO86" s="94"/>
      <c r="FP86" s="94"/>
      <c r="FQ86" s="94"/>
      <c r="FR86" s="94"/>
      <c r="FS86" s="94"/>
      <c r="FT86" s="94"/>
      <c r="FU86" s="95"/>
      <c r="FV86" s="38" t="s">
        <v>544</v>
      </c>
      <c r="FW86" s="93" t="s">
        <v>544</v>
      </c>
      <c r="FX86" s="94"/>
      <c r="FY86" s="94"/>
      <c r="FZ86" s="94"/>
      <c r="GA86" s="94"/>
      <c r="GB86" s="94"/>
      <c r="GC86" s="94"/>
      <c r="GD86" s="94"/>
      <c r="GE86" s="94"/>
      <c r="GF86" s="94"/>
      <c r="GG86" s="94"/>
      <c r="GH86" s="94"/>
      <c r="GI86" s="95"/>
      <c r="GJ86" s="38" t="s">
        <v>544</v>
      </c>
      <c r="GK86" s="93" t="s">
        <v>544</v>
      </c>
      <c r="GL86" s="94">
        <v>1299.0930000000001</v>
      </c>
      <c r="GM86" s="94">
        <v>704.27739999999994</v>
      </c>
      <c r="GN86" s="94"/>
      <c r="GO86" s="94">
        <v>775.80840000000001</v>
      </c>
      <c r="GP86" s="94"/>
      <c r="GQ86" s="94">
        <v>1158.7660000000001</v>
      </c>
      <c r="GR86" s="94"/>
      <c r="GS86" s="94"/>
      <c r="GT86" s="94">
        <v>769.68669999999997</v>
      </c>
      <c r="GU86" s="94">
        <v>899.26160000000004</v>
      </c>
      <c r="GV86" s="94">
        <v>435.20859999999999</v>
      </c>
      <c r="GW86" s="95">
        <v>4042.2</v>
      </c>
      <c r="GX86" s="38"/>
    </row>
    <row r="87" spans="1:206" x14ac:dyDescent="0.35">
      <c r="A87" s="2"/>
      <c r="B87" s="2"/>
      <c r="C87" s="42" t="s">
        <v>545</v>
      </c>
      <c r="D87" s="43">
        <f t="shared" si="152"/>
        <v>5.132848476160632E-2</v>
      </c>
      <c r="E87" s="43">
        <f t="shared" si="119"/>
        <v>5.5881996995702524E-2</v>
      </c>
      <c r="F87" s="43">
        <f t="shared" si="120"/>
        <v>1.2897522377039079E-2</v>
      </c>
      <c r="G87" s="43">
        <f t="shared" si="121"/>
        <v>2.9719407045270891E-2</v>
      </c>
      <c r="H87" s="43">
        <f t="shared" si="122"/>
        <v>2.9645543852088431E-2</v>
      </c>
      <c r="I87" s="43">
        <f t="shared" si="123"/>
        <v>6.9409375302946913E-2</v>
      </c>
      <c r="J87" s="43">
        <f t="shared" si="124"/>
        <v>6.7835154037496112E-2</v>
      </c>
      <c r="K87" s="43">
        <f t="shared" si="125"/>
        <v>3.2048683962713778E-2</v>
      </c>
      <c r="L87" s="43">
        <f t="shared" si="126"/>
        <v>8.0955524678318E-2</v>
      </c>
      <c r="M87" s="43">
        <f t="shared" si="127"/>
        <v>7.5542404484354606E-2</v>
      </c>
      <c r="N87" s="43">
        <f t="shared" si="128"/>
        <v>0.13361240334617253</v>
      </c>
      <c r="O87" s="44">
        <f t="shared" si="129"/>
        <v>0.36112349915629083</v>
      </c>
      <c r="P87" s="115">
        <f t="shared" si="153"/>
        <v>1</v>
      </c>
      <c r="Q87" s="2"/>
      <c r="R87" s="42" t="s">
        <v>545</v>
      </c>
      <c r="S87" s="43">
        <f t="shared" si="154"/>
        <v>5.132848476160632E-2</v>
      </c>
      <c r="T87" s="43">
        <f t="shared" si="155"/>
        <v>5.5881996995702524E-2</v>
      </c>
      <c r="U87" s="43">
        <f t="shared" si="156"/>
        <v>1.2897522377039079E-2</v>
      </c>
      <c r="V87" s="43">
        <f t="shared" si="157"/>
        <v>2.9719407045270891E-2</v>
      </c>
      <c r="W87" s="29">
        <f t="shared" si="158"/>
        <v>2.9645543852088431E-2</v>
      </c>
      <c r="X87" s="43">
        <f t="shared" si="159"/>
        <v>6.9409375302946913E-2</v>
      </c>
      <c r="Y87" s="43">
        <f t="shared" si="160"/>
        <v>6.7835154037496112E-2</v>
      </c>
      <c r="Z87" s="43">
        <f t="shared" si="161"/>
        <v>3.2048683962713778E-2</v>
      </c>
      <c r="AA87" s="29">
        <f t="shared" si="162"/>
        <v>8.0955524678318E-2</v>
      </c>
      <c r="AB87" s="43">
        <f t="shared" si="163"/>
        <v>7.5542404484354606E-2</v>
      </c>
      <c r="AC87" s="43">
        <f t="shared" si="164"/>
        <v>0.13361240334617253</v>
      </c>
      <c r="AD87" s="43">
        <f t="shared" si="165"/>
        <v>0.36112349915629083</v>
      </c>
      <c r="AE87" s="32">
        <f t="shared" si="166"/>
        <v>0.16192955329201275</v>
      </c>
      <c r="AF87" s="53">
        <f t="shared" si="167"/>
        <v>0.20083377678300407</v>
      </c>
      <c r="AG87" s="53">
        <f t="shared" si="168"/>
        <v>0.21434507976070771</v>
      </c>
      <c r="AH87" s="53">
        <f t="shared" si="169"/>
        <v>0.42289159016427547</v>
      </c>
      <c r="AI87" s="34">
        <f t="shared" si="170"/>
        <v>0</v>
      </c>
      <c r="AJ87" s="35">
        <f t="shared" si="171"/>
        <v>0.16214669606608823</v>
      </c>
      <c r="AK87" s="34">
        <f>AVERAGE(AI87,AI84)</f>
        <v>0.14982741117961881</v>
      </c>
      <c r="AL87" s="35">
        <f t="shared" ref="AL87" si="185">AVERAGE(AJ87,AJ84)</f>
        <v>0.19893875715524523</v>
      </c>
      <c r="AM87" s="35">
        <f t="shared" si="174"/>
        <v>0.65123383166513593</v>
      </c>
      <c r="AN87" s="36">
        <v>1</v>
      </c>
      <c r="AO87" s="54">
        <v>1</v>
      </c>
      <c r="AP87" s="2"/>
      <c r="AQ87" s="42" t="s">
        <v>545</v>
      </c>
      <c r="AR87" s="43">
        <f t="shared" si="175"/>
        <v>6.9940747960106894E-2</v>
      </c>
      <c r="AS87" s="43">
        <f t="shared" ref="AS87:AS110" si="186">IF(SUM($BT87:$CE87),BU87/SUM($BT87:$CE87),0)</f>
        <v>7.6145412932730541E-2</v>
      </c>
      <c r="AT87" s="43">
        <f t="shared" ref="AT87:AT110" si="187">IF(SUM($BT87:$CE87),BV87/SUM($BT87:$CE87),0)</f>
        <v>1.7574303353623855E-2</v>
      </c>
      <c r="AU87" s="43">
        <f t="shared" ref="AU87:AU110" si="188">IF(SUM($BT87:$CE87),BW87/SUM($BT87:$CE87),0)</f>
        <v>4.0495985169464933E-2</v>
      </c>
      <c r="AV87" s="29">
        <f t="shared" ref="AV87:AV110" si="189">IF(SUM($BT87:$CE87),BX87/SUM($BT87:$CE87),0)</f>
        <v>2.3941600639536709E-2</v>
      </c>
      <c r="AW87" s="43">
        <f t="shared" ref="AW87:AW110" si="190">IF(SUM($BT87:$CE87),BY87/SUM($BT87:$CE87),0)</f>
        <v>5.6054682364203315E-2</v>
      </c>
      <c r="AX87" s="43">
        <f t="shared" ref="AX87:AX110" si="191">IF(SUM($BT87:$CE87),BZ87/SUM($BT87:$CE87),0)</f>
        <v>5.4783348734982869E-2</v>
      </c>
      <c r="AY87" s="43">
        <f t="shared" ref="AY87:AY110" si="192">IF(SUM($BT87:$CE87),CA87/SUM($BT87:$CE87),0)</f>
        <v>2.5882365197492048E-2</v>
      </c>
      <c r="AZ87" s="29">
        <f t="shared" ref="AZ87:AZ110" si="193">IF(SUM($BT87:$CE87),CB87/SUM($BT87:$CE87),0)</f>
        <v>7.8960050048493921E-2</v>
      </c>
      <c r="BA87" s="43">
        <f t="shared" ref="BA87:BA110" si="194">IF(SUM($BT87:$CE87),CC87/SUM($BT87:$CE87),0)</f>
        <v>7.3680357981371333E-2</v>
      </c>
      <c r="BB87" s="43">
        <f t="shared" ref="BB87:BB110" si="195">IF(SUM($BT87:$CE87),CD87/SUM($BT87:$CE87),0)</f>
        <v>0.13031898807690534</v>
      </c>
      <c r="BC87" s="44">
        <f t="shared" ref="BC87:BC110" si="196">IF(SUM($BT87:$CE87),CE87/SUM($BT87:$CE87),0)</f>
        <v>0.35222215754108821</v>
      </c>
      <c r="BD87" s="2"/>
      <c r="BE87" s="42" t="s">
        <v>545</v>
      </c>
      <c r="BF87" s="62">
        <v>1</v>
      </c>
      <c r="BG87" s="62">
        <v>1</v>
      </c>
      <c r="BH87" s="62">
        <v>1</v>
      </c>
      <c r="BI87" s="62">
        <v>1</v>
      </c>
      <c r="BJ87" s="36">
        <v>1</v>
      </c>
      <c r="BK87" s="62">
        <v>1</v>
      </c>
      <c r="BL87" s="62">
        <v>1</v>
      </c>
      <c r="BM87" s="62">
        <v>1</v>
      </c>
      <c r="BN87" s="36">
        <v>1</v>
      </c>
      <c r="BO87" s="62">
        <v>1</v>
      </c>
      <c r="BP87" s="62">
        <v>1</v>
      </c>
      <c r="BQ87" s="54">
        <v>1</v>
      </c>
      <c r="BR87" s="2"/>
      <c r="BS87" s="42" t="s">
        <v>545</v>
      </c>
      <c r="BT87" s="67">
        <f t="shared" si="176"/>
        <v>8534.3829999999998</v>
      </c>
      <c r="BU87" s="67">
        <f t="shared" si="130"/>
        <v>9291.4951099999998</v>
      </c>
      <c r="BV87" s="67">
        <f t="shared" si="131"/>
        <v>2144.4699999999998</v>
      </c>
      <c r="BW87" s="67">
        <f t="shared" si="132"/>
        <v>4941.4434000000001</v>
      </c>
      <c r="BX87" s="30">
        <f t="shared" si="133"/>
        <v>2921.4270000000001</v>
      </c>
      <c r="BY87" s="67">
        <f t="shared" si="134"/>
        <v>6839.9629999999997</v>
      </c>
      <c r="BZ87" s="67">
        <f t="shared" si="135"/>
        <v>6684.8310000000001</v>
      </c>
      <c r="CA87" s="67">
        <f t="shared" si="136"/>
        <v>3158.2449999999999</v>
      </c>
      <c r="CB87" s="30">
        <f t="shared" si="137"/>
        <v>9634.9457000000002</v>
      </c>
      <c r="CC87" s="67">
        <f t="shared" si="138"/>
        <v>8990.7016000000003</v>
      </c>
      <c r="CD87" s="67">
        <f t="shared" si="139"/>
        <v>15901.919680000001</v>
      </c>
      <c r="CE87" s="68">
        <f t="shared" si="140"/>
        <v>42979.219999999994</v>
      </c>
      <c r="CF87" s="2"/>
      <c r="CG87" s="37" t="str">
        <f t="shared" si="177"/>
        <v>atrnl</v>
      </c>
      <c r="CH87" s="42" t="s">
        <v>545</v>
      </c>
      <c r="CI87" s="67">
        <f t="shared" si="178"/>
        <v>8534.3829999999998</v>
      </c>
      <c r="CJ87" s="67">
        <f t="shared" ref="CJ87:CJ110" si="197">SUMIF($CV$7:$CV$110,$CG87,CX$7:CX$110)</f>
        <v>9291.4951099999998</v>
      </c>
      <c r="CK87" s="67">
        <f t="shared" ref="CK87:CK110" si="198">SUMIF($CV$7:$CV$110,$CG87,CY$7:CY$110)</f>
        <v>2144.4699999999998</v>
      </c>
      <c r="CL87" s="67">
        <f t="shared" ref="CL87:CL110" si="199">SUMIF($CV$7:$CV$110,$CG87,CZ$7:CZ$110)</f>
        <v>4941.4434000000001</v>
      </c>
      <c r="CM87" s="30">
        <f t="shared" ref="CM87:CM110" si="200">SUMIF($CV$7:$CV$110,$CG87,DA$7:DA$110)</f>
        <v>2921.4270000000001</v>
      </c>
      <c r="CN87" s="67">
        <f t="shared" ref="CN87:CN110" si="201">SUMIF($CV$7:$CV$110,$CG87,DB$7:DB$110)</f>
        <v>6839.9629999999997</v>
      </c>
      <c r="CO87" s="67">
        <f t="shared" ref="CO87:CO110" si="202">SUMIF($CV$7:$CV$110,$CG87,DC$7:DC$110)</f>
        <v>6684.8310000000001</v>
      </c>
      <c r="CP87" s="67">
        <f t="shared" ref="CP87:CP110" si="203">SUMIF($CV$7:$CV$110,$CG87,DD$7:DD$110)</f>
        <v>3158.2449999999999</v>
      </c>
      <c r="CQ87" s="30">
        <f t="shared" ref="CQ87:CQ110" si="204">SUMIF($CV$7:$CV$110,$CG87,DE$7:DE$110)</f>
        <v>9634.9457000000002</v>
      </c>
      <c r="CR87" s="67">
        <f t="shared" ref="CR87:CR110" si="205">SUMIF($CV$7:$CV$110,$CG87,DF$7:DF$110)</f>
        <v>8990.7016000000003</v>
      </c>
      <c r="CS87" s="67">
        <f t="shared" ref="CS87:CS110" si="206">SUMIF($CV$7:$CV$110,$CG87,DG$7:DG$110)</f>
        <v>15901.919680000001</v>
      </c>
      <c r="CT87" s="68">
        <f t="shared" ref="CT87:CT110" si="207">SUMIF($CV$7:$CV$110,$CG87,DH$7:DH$110)</f>
        <v>42979.219999999994</v>
      </c>
      <c r="CU87" s="2"/>
      <c r="CV87" s="42" t="s">
        <v>545</v>
      </c>
      <c r="CW87" s="67">
        <f t="shared" si="179"/>
        <v>0</v>
      </c>
      <c r="CX87" s="67">
        <f t="shared" ref="CX87:CX110" si="208">SUMIF($DJ$7:$DJ$110,$CV87,DM$7:DM$110)</f>
        <v>0</v>
      </c>
      <c r="CY87" s="67">
        <f t="shared" ref="CY87:CY110" si="209">SUMIF($DJ$7:$DJ$110,$CV87,DN$7:DN$110)</f>
        <v>0</v>
      </c>
      <c r="CZ87" s="67">
        <f t="shared" ref="CZ87:CZ110" si="210">SUMIF($DJ$7:$DJ$110,$CV87,DO$7:DO$110)</f>
        <v>0</v>
      </c>
      <c r="DA87" s="30">
        <f t="shared" ref="DA87:DA110" si="211">SUMIF($DJ$7:$DJ$110,$CV87,DP$7:DP$110)</f>
        <v>0</v>
      </c>
      <c r="DB87" s="67">
        <f t="shared" ref="DB87:DB110" si="212">SUMIF($DJ$7:$DJ$110,$CV87,DQ$7:DQ$110)</f>
        <v>0</v>
      </c>
      <c r="DC87" s="67">
        <f t="shared" ref="DC87:DC110" si="213">SUMIF($DJ$7:$DJ$110,$CV87,DR$7:DR$110)</f>
        <v>0</v>
      </c>
      <c r="DD87" s="67">
        <f t="shared" ref="DD87:DD110" si="214">SUMIF($DJ$7:$DJ$110,$CV87,DS$7:DS$110)</f>
        <v>0</v>
      </c>
      <c r="DE87" s="30">
        <f t="shared" ref="DE87:DE110" si="215">SUMIF($DJ$7:$DJ$110,$CV87,DT$7:DT$110)</f>
        <v>0</v>
      </c>
      <c r="DF87" s="67">
        <f t="shared" ref="DF87:DF110" si="216">SUMIF($DJ$7:$DJ$110,$CV87,DU$7:DU$110)</f>
        <v>0</v>
      </c>
      <c r="DG87" s="67">
        <f t="shared" ref="DG87:DG110" si="217">SUMIF($DJ$7:$DJ$110,$CV87,DV$7:DV$110)</f>
        <v>0</v>
      </c>
      <c r="DH87" s="68">
        <f t="shared" ref="DH87:DH110" si="218">SUMIF($DJ$7:$DJ$110,$CV87,DW$7:DW$110)</f>
        <v>0</v>
      </c>
      <c r="DI87" s="2"/>
      <c r="DJ87" s="37" t="s">
        <v>542</v>
      </c>
      <c r="DK87" s="76" t="s">
        <v>545</v>
      </c>
      <c r="DL87" s="67">
        <f t="shared" si="180"/>
        <v>0</v>
      </c>
      <c r="DM87" s="67">
        <f t="shared" si="141"/>
        <v>0</v>
      </c>
      <c r="DN87" s="67">
        <f t="shared" si="142"/>
        <v>0</v>
      </c>
      <c r="DO87" s="67">
        <f t="shared" si="143"/>
        <v>0</v>
      </c>
      <c r="DP87" s="30">
        <f t="shared" si="144"/>
        <v>0</v>
      </c>
      <c r="DQ87" s="67">
        <f t="shared" si="145"/>
        <v>0</v>
      </c>
      <c r="DR87" s="67">
        <f t="shared" si="146"/>
        <v>1049.3869999999999</v>
      </c>
      <c r="DS87" s="67">
        <f t="shared" si="147"/>
        <v>0</v>
      </c>
      <c r="DT87" s="30">
        <f t="shared" si="148"/>
        <v>0</v>
      </c>
      <c r="DU87" s="67">
        <f t="shared" si="149"/>
        <v>0</v>
      </c>
      <c r="DV87" s="67">
        <f t="shared" si="150"/>
        <v>23.816079999999999</v>
      </c>
      <c r="DW87" s="68">
        <f t="shared" si="151"/>
        <v>5398.634</v>
      </c>
      <c r="DX87" s="2"/>
      <c r="DY87" s="81" t="s">
        <v>545</v>
      </c>
      <c r="DZ87" s="82"/>
      <c r="EA87" s="82"/>
      <c r="EB87" s="82"/>
      <c r="EC87" s="83"/>
      <c r="ED87" s="84">
        <v>1</v>
      </c>
      <c r="EE87" s="2"/>
      <c r="EF87" s="38" t="s">
        <v>545</v>
      </c>
      <c r="EG87" s="93" t="s">
        <v>545</v>
      </c>
      <c r="EH87" s="94"/>
      <c r="EI87" s="94"/>
      <c r="EJ87" s="94"/>
      <c r="EK87" s="94"/>
      <c r="EL87" s="94"/>
      <c r="EM87" s="94"/>
      <c r="EN87" s="94"/>
      <c r="EO87" s="94"/>
      <c r="EP87" s="94"/>
      <c r="EQ87" s="94"/>
      <c r="ER87" s="94"/>
      <c r="ES87" s="95"/>
      <c r="ET87" s="38" t="s">
        <v>545</v>
      </c>
      <c r="EU87" s="93" t="s">
        <v>545</v>
      </c>
      <c r="EV87" s="94"/>
      <c r="EW87" s="94"/>
      <c r="EX87" s="94"/>
      <c r="EY87" s="94"/>
      <c r="EZ87" s="94"/>
      <c r="FA87" s="94"/>
      <c r="FB87" s="94"/>
      <c r="FC87" s="94"/>
      <c r="FD87" s="94"/>
      <c r="FE87" s="94"/>
      <c r="FF87" s="94"/>
      <c r="FG87" s="95"/>
      <c r="FH87" s="38" t="s">
        <v>545</v>
      </c>
      <c r="FI87" s="93" t="s">
        <v>545</v>
      </c>
      <c r="FJ87" s="94"/>
      <c r="FK87" s="94"/>
      <c r="FL87" s="94"/>
      <c r="FM87" s="94"/>
      <c r="FN87" s="94"/>
      <c r="FO87" s="94"/>
      <c r="FP87" s="94"/>
      <c r="FQ87" s="94"/>
      <c r="FR87" s="94"/>
      <c r="FS87" s="94"/>
      <c r="FT87" s="94"/>
      <c r="FU87" s="95"/>
      <c r="FV87" s="38" t="s">
        <v>545</v>
      </c>
      <c r="FW87" s="93" t="s">
        <v>545</v>
      </c>
      <c r="FX87" s="94"/>
      <c r="FY87" s="94"/>
      <c r="FZ87" s="94"/>
      <c r="GA87" s="94"/>
      <c r="GB87" s="94"/>
      <c r="GC87" s="94"/>
      <c r="GD87" s="94"/>
      <c r="GE87" s="94"/>
      <c r="GF87" s="94"/>
      <c r="GG87" s="94"/>
      <c r="GH87" s="94"/>
      <c r="GI87" s="95"/>
      <c r="GJ87" s="38" t="s">
        <v>545</v>
      </c>
      <c r="GK87" s="93" t="s">
        <v>545</v>
      </c>
      <c r="GL87" s="94"/>
      <c r="GM87" s="94"/>
      <c r="GN87" s="94"/>
      <c r="GO87" s="94"/>
      <c r="GP87" s="94"/>
      <c r="GQ87" s="94"/>
      <c r="GR87" s="94">
        <v>1049.3869999999999</v>
      </c>
      <c r="GS87" s="94"/>
      <c r="GT87" s="94"/>
      <c r="GU87" s="94"/>
      <c r="GV87" s="94">
        <v>23.816079999999999</v>
      </c>
      <c r="GW87" s="95">
        <v>5398.634</v>
      </c>
      <c r="GX87" s="38"/>
    </row>
    <row r="88" spans="1:206" x14ac:dyDescent="0.35">
      <c r="A88" s="2"/>
      <c r="B88" s="2"/>
      <c r="C88" s="42" t="s">
        <v>508</v>
      </c>
      <c r="D88" s="43">
        <f t="shared" si="152"/>
        <v>3.3440543407997146E-2</v>
      </c>
      <c r="E88" s="43">
        <f t="shared" si="119"/>
        <v>0.10847304798868118</v>
      </c>
      <c r="F88" s="43">
        <f t="shared" si="120"/>
        <v>3.5782178860830814E-2</v>
      </c>
      <c r="G88" s="43">
        <f t="shared" si="121"/>
        <v>2.189068827913491E-3</v>
      </c>
      <c r="H88" s="43">
        <f t="shared" si="122"/>
        <v>1.7953080140809399E-2</v>
      </c>
      <c r="I88" s="43">
        <f t="shared" si="123"/>
        <v>7.0987844944082848E-2</v>
      </c>
      <c r="J88" s="43">
        <f t="shared" si="124"/>
        <v>2.06301137745015E-2</v>
      </c>
      <c r="K88" s="43">
        <f t="shared" si="125"/>
        <v>8.6738012190078123E-2</v>
      </c>
      <c r="L88" s="43">
        <f t="shared" si="126"/>
        <v>5.5354296841113079E-2</v>
      </c>
      <c r="M88" s="43">
        <f t="shared" si="127"/>
        <v>4.8908805058858501E-2</v>
      </c>
      <c r="N88" s="43">
        <f t="shared" si="128"/>
        <v>0.19476060153530256</v>
      </c>
      <c r="O88" s="44">
        <f t="shared" si="129"/>
        <v>0.32478240642983136</v>
      </c>
      <c r="P88" s="115">
        <f t="shared" si="153"/>
        <v>1</v>
      </c>
      <c r="Q88" s="2"/>
      <c r="R88" s="42" t="s">
        <v>508</v>
      </c>
      <c r="S88" s="43">
        <f t="shared" si="154"/>
        <v>3.3440543407997146E-2</v>
      </c>
      <c r="T88" s="43">
        <f t="shared" si="155"/>
        <v>0.10847304798868118</v>
      </c>
      <c r="U88" s="43">
        <f t="shared" si="156"/>
        <v>3.5782178860830814E-2</v>
      </c>
      <c r="V88" s="43">
        <f t="shared" si="157"/>
        <v>2.189068827913491E-3</v>
      </c>
      <c r="W88" s="29">
        <f t="shared" si="158"/>
        <v>1.7953080140809399E-2</v>
      </c>
      <c r="X88" s="43">
        <f t="shared" si="159"/>
        <v>7.0987844944082848E-2</v>
      </c>
      <c r="Y88" s="43">
        <f t="shared" si="160"/>
        <v>2.06301137745015E-2</v>
      </c>
      <c r="Z88" s="43">
        <f t="shared" si="161"/>
        <v>8.6738012190078123E-2</v>
      </c>
      <c r="AA88" s="29">
        <f t="shared" si="162"/>
        <v>5.5354296841113079E-2</v>
      </c>
      <c r="AB88" s="43">
        <f t="shared" si="163"/>
        <v>4.8908805058858501E-2</v>
      </c>
      <c r="AC88" s="43">
        <f t="shared" si="164"/>
        <v>0.19476060153530256</v>
      </c>
      <c r="AD88" s="43">
        <f t="shared" si="165"/>
        <v>0.32478240642983136</v>
      </c>
      <c r="AE88" s="32">
        <f t="shared" si="166"/>
        <v>0.10674792038991962</v>
      </c>
      <c r="AF88" s="53">
        <f t="shared" si="167"/>
        <v>0.22836969799162252</v>
      </c>
      <c r="AG88" s="53">
        <f t="shared" si="168"/>
        <v>0.25117289417063487</v>
      </c>
      <c r="AH88" s="53">
        <f t="shared" si="169"/>
        <v>0.41370948744782299</v>
      </c>
      <c r="AI88" s="34">
        <f t="shared" si="170"/>
        <v>0.17988483908542263</v>
      </c>
      <c r="AJ88" s="35">
        <f t="shared" si="171"/>
        <v>0.19630905104947188</v>
      </c>
      <c r="AK88" s="34">
        <f t="shared" si="172"/>
        <v>0.17988483908542263</v>
      </c>
      <c r="AL88" s="35">
        <f t="shared" si="173"/>
        <v>0.19630905104947188</v>
      </c>
      <c r="AM88" s="35">
        <f t="shared" si="174"/>
        <v>0.62380610986510554</v>
      </c>
      <c r="AN88" s="36">
        <v>1</v>
      </c>
      <c r="AO88" s="54">
        <v>1</v>
      </c>
      <c r="AP88" s="2"/>
      <c r="AQ88" s="42" t="s">
        <v>508</v>
      </c>
      <c r="AR88" s="43">
        <f t="shared" si="175"/>
        <v>3.3440543407997146E-2</v>
      </c>
      <c r="AS88" s="43">
        <f t="shared" si="186"/>
        <v>0.10847304798868117</v>
      </c>
      <c r="AT88" s="43">
        <f t="shared" si="187"/>
        <v>3.5782178860830814E-2</v>
      </c>
      <c r="AU88" s="43">
        <f t="shared" si="188"/>
        <v>2.189068827913491E-3</v>
      </c>
      <c r="AV88" s="29">
        <f t="shared" si="189"/>
        <v>1.7953080140809399E-2</v>
      </c>
      <c r="AW88" s="43">
        <f t="shared" si="190"/>
        <v>7.0987844944082848E-2</v>
      </c>
      <c r="AX88" s="43">
        <f t="shared" si="191"/>
        <v>2.06301137745015E-2</v>
      </c>
      <c r="AY88" s="43">
        <f t="shared" si="192"/>
        <v>8.6738012190078137E-2</v>
      </c>
      <c r="AZ88" s="29">
        <f t="shared" si="193"/>
        <v>5.5354296841113079E-2</v>
      </c>
      <c r="BA88" s="43">
        <f t="shared" si="194"/>
        <v>4.8908805058858501E-2</v>
      </c>
      <c r="BB88" s="43">
        <f t="shared" si="195"/>
        <v>0.19476060153530256</v>
      </c>
      <c r="BC88" s="44">
        <f t="shared" si="196"/>
        <v>0.32478240642983136</v>
      </c>
      <c r="BD88" s="2"/>
      <c r="BE88" s="42" t="s">
        <v>508</v>
      </c>
      <c r="BF88" s="62">
        <v>1</v>
      </c>
      <c r="BG88" s="62">
        <v>1</v>
      </c>
      <c r="BH88" s="62">
        <v>1</v>
      </c>
      <c r="BI88" s="62">
        <v>1</v>
      </c>
      <c r="BJ88" s="36">
        <v>1</v>
      </c>
      <c r="BK88" s="62">
        <v>1</v>
      </c>
      <c r="BL88" s="62">
        <v>1</v>
      </c>
      <c r="BM88" s="62">
        <v>1</v>
      </c>
      <c r="BN88" s="36">
        <v>1</v>
      </c>
      <c r="BO88" s="62">
        <v>1</v>
      </c>
      <c r="BP88" s="62">
        <v>1</v>
      </c>
      <c r="BQ88" s="54">
        <v>1</v>
      </c>
      <c r="BR88" s="2"/>
      <c r="BS88" s="42" t="s">
        <v>508</v>
      </c>
      <c r="BT88" s="67">
        <f t="shared" si="176"/>
        <v>2016.713</v>
      </c>
      <c r="BU88" s="67">
        <f t="shared" si="130"/>
        <v>6541.73</v>
      </c>
      <c r="BV88" s="67">
        <f t="shared" si="131"/>
        <v>2157.931</v>
      </c>
      <c r="BW88" s="67">
        <f t="shared" si="132"/>
        <v>132.0171</v>
      </c>
      <c r="BX88" s="30">
        <f t="shared" si="133"/>
        <v>1082.704</v>
      </c>
      <c r="BY88" s="67">
        <f t="shared" si="134"/>
        <v>4281.0940000000001</v>
      </c>
      <c r="BZ88" s="67">
        <f t="shared" si="135"/>
        <v>1244.1489999999999</v>
      </c>
      <c r="CA88" s="67">
        <f t="shared" si="136"/>
        <v>5230.9459999999999</v>
      </c>
      <c r="CB88" s="30">
        <f t="shared" si="137"/>
        <v>3338.2750000000001</v>
      </c>
      <c r="CC88" s="67">
        <f t="shared" si="138"/>
        <v>2949.5639999999999</v>
      </c>
      <c r="CD88" s="67">
        <f t="shared" si="139"/>
        <v>11745.51</v>
      </c>
      <c r="CE88" s="68">
        <f t="shared" si="140"/>
        <v>19586.79</v>
      </c>
      <c r="CF88" s="2"/>
      <c r="CG88" s="37" t="str">
        <f t="shared" si="177"/>
        <v>ahotl</v>
      </c>
      <c r="CH88" s="42" t="s">
        <v>508</v>
      </c>
      <c r="CI88" s="67">
        <f t="shared" si="178"/>
        <v>2016.713</v>
      </c>
      <c r="CJ88" s="67">
        <f t="shared" si="197"/>
        <v>6541.73</v>
      </c>
      <c r="CK88" s="67">
        <f t="shared" si="198"/>
        <v>2157.931</v>
      </c>
      <c r="CL88" s="67">
        <f t="shared" si="199"/>
        <v>132.0171</v>
      </c>
      <c r="CM88" s="30">
        <f t="shared" si="200"/>
        <v>1082.704</v>
      </c>
      <c r="CN88" s="67">
        <f t="shared" si="201"/>
        <v>4281.0940000000001</v>
      </c>
      <c r="CO88" s="67">
        <f t="shared" si="202"/>
        <v>1244.1489999999999</v>
      </c>
      <c r="CP88" s="67">
        <f t="shared" si="203"/>
        <v>5230.9459999999999</v>
      </c>
      <c r="CQ88" s="30">
        <f t="shared" si="204"/>
        <v>3338.2750000000001</v>
      </c>
      <c r="CR88" s="67">
        <f t="shared" si="205"/>
        <v>2949.5639999999999</v>
      </c>
      <c r="CS88" s="67">
        <f t="shared" si="206"/>
        <v>11745.51</v>
      </c>
      <c r="CT88" s="68">
        <f t="shared" si="207"/>
        <v>19586.79</v>
      </c>
      <c r="CU88" s="2"/>
      <c r="CV88" s="42" t="s">
        <v>508</v>
      </c>
      <c r="CW88" s="67">
        <f t="shared" si="179"/>
        <v>2016.713</v>
      </c>
      <c r="CX88" s="67">
        <f t="shared" si="208"/>
        <v>6541.73</v>
      </c>
      <c r="CY88" s="67">
        <f t="shared" si="209"/>
        <v>2157.931</v>
      </c>
      <c r="CZ88" s="67">
        <f t="shared" si="210"/>
        <v>132.0171</v>
      </c>
      <c r="DA88" s="30">
        <f t="shared" si="211"/>
        <v>1082.704</v>
      </c>
      <c r="DB88" s="67">
        <f t="shared" si="212"/>
        <v>4281.0940000000001</v>
      </c>
      <c r="DC88" s="67">
        <f t="shared" si="213"/>
        <v>1244.1489999999999</v>
      </c>
      <c r="DD88" s="67">
        <f t="shared" si="214"/>
        <v>5230.9459999999999</v>
      </c>
      <c r="DE88" s="30">
        <f t="shared" si="215"/>
        <v>3338.2750000000001</v>
      </c>
      <c r="DF88" s="67">
        <f t="shared" si="216"/>
        <v>2949.5639999999999</v>
      </c>
      <c r="DG88" s="67">
        <f t="shared" si="217"/>
        <v>11745.51</v>
      </c>
      <c r="DH88" s="68">
        <f t="shared" si="218"/>
        <v>19586.79</v>
      </c>
      <c r="DI88" s="2"/>
      <c r="DJ88" s="37" t="s">
        <v>508</v>
      </c>
      <c r="DK88" s="76" t="s">
        <v>508</v>
      </c>
      <c r="DL88" s="67">
        <f t="shared" si="180"/>
        <v>2016.713</v>
      </c>
      <c r="DM88" s="67">
        <f t="shared" si="141"/>
        <v>6541.73</v>
      </c>
      <c r="DN88" s="67">
        <f t="shared" si="142"/>
        <v>2157.931</v>
      </c>
      <c r="DO88" s="67">
        <f t="shared" si="143"/>
        <v>132.0171</v>
      </c>
      <c r="DP88" s="30">
        <f t="shared" si="144"/>
        <v>1082.704</v>
      </c>
      <c r="DQ88" s="67">
        <f t="shared" si="145"/>
        <v>4281.0940000000001</v>
      </c>
      <c r="DR88" s="67">
        <f t="shared" si="146"/>
        <v>1244.1489999999999</v>
      </c>
      <c r="DS88" s="67">
        <f t="shared" si="147"/>
        <v>5230.9459999999999</v>
      </c>
      <c r="DT88" s="30">
        <f t="shared" si="148"/>
        <v>3338.2750000000001</v>
      </c>
      <c r="DU88" s="67">
        <f t="shared" si="149"/>
        <v>2949.5639999999999</v>
      </c>
      <c r="DV88" s="67">
        <f t="shared" si="150"/>
        <v>11745.51</v>
      </c>
      <c r="DW88" s="68">
        <f t="shared" si="151"/>
        <v>19586.79</v>
      </c>
      <c r="DX88" s="2"/>
      <c r="DY88" s="81" t="s">
        <v>508</v>
      </c>
      <c r="DZ88" s="82"/>
      <c r="EA88" s="82"/>
      <c r="EB88" s="82"/>
      <c r="EC88" s="83"/>
      <c r="ED88" s="84">
        <v>1</v>
      </c>
      <c r="EE88" s="2"/>
      <c r="EF88" s="38" t="s">
        <v>508</v>
      </c>
      <c r="EG88" s="93" t="s">
        <v>508</v>
      </c>
      <c r="EH88" s="94">
        <v>1539.598</v>
      </c>
      <c r="EI88" s="94">
        <v>2797.4740000000002</v>
      </c>
      <c r="EJ88" s="94">
        <v>1379.0909999999999</v>
      </c>
      <c r="EK88" s="94">
        <v>274.63319999999999</v>
      </c>
      <c r="EL88" s="94">
        <v>899.11469999999997</v>
      </c>
      <c r="EM88" s="94">
        <v>1670.04</v>
      </c>
      <c r="EN88" s="94">
        <v>782.40309999999999</v>
      </c>
      <c r="EO88" s="94"/>
      <c r="EP88" s="94">
        <v>4414.3639999999996</v>
      </c>
      <c r="EQ88" s="94">
        <v>4602.6319999999996</v>
      </c>
      <c r="ER88" s="94">
        <v>9992.0949999999993</v>
      </c>
      <c r="ES88" s="95">
        <v>16562.21</v>
      </c>
      <c r="ET88" s="38" t="s">
        <v>508</v>
      </c>
      <c r="EU88" s="93" t="s">
        <v>508</v>
      </c>
      <c r="EV88" s="94">
        <v>16361.46</v>
      </c>
      <c r="EW88" s="94">
        <v>10037.48</v>
      </c>
      <c r="EX88" s="94">
        <v>1912.374</v>
      </c>
      <c r="EY88" s="94">
        <v>277.4665</v>
      </c>
      <c r="EZ88" s="94">
        <v>7973.4430000000002</v>
      </c>
      <c r="FA88" s="94">
        <v>9207.2309999999998</v>
      </c>
      <c r="FB88" s="94">
        <v>215.4966</v>
      </c>
      <c r="FC88" s="94">
        <v>8230.2630000000008</v>
      </c>
      <c r="FD88" s="94">
        <v>67586.62</v>
      </c>
      <c r="FE88" s="94">
        <v>51309.53</v>
      </c>
      <c r="FF88" s="94">
        <v>23336.07</v>
      </c>
      <c r="FG88" s="95">
        <v>25728.89</v>
      </c>
      <c r="FH88" s="38" t="s">
        <v>508</v>
      </c>
      <c r="FI88" s="93" t="s">
        <v>508</v>
      </c>
      <c r="FJ88" s="94"/>
      <c r="FK88" s="94"/>
      <c r="FL88" s="94"/>
      <c r="FM88" s="94"/>
      <c r="FN88" s="94"/>
      <c r="FO88" s="94"/>
      <c r="FP88" s="94"/>
      <c r="FQ88" s="94"/>
      <c r="FR88" s="94"/>
      <c r="FS88" s="94"/>
      <c r="FT88" s="94"/>
      <c r="FU88" s="95"/>
      <c r="FV88" s="38" t="s">
        <v>508</v>
      </c>
      <c r="FW88" s="93" t="s">
        <v>508</v>
      </c>
      <c r="FX88" s="94"/>
      <c r="FY88" s="94"/>
      <c r="FZ88" s="94"/>
      <c r="GA88" s="94"/>
      <c r="GB88" s="94"/>
      <c r="GC88" s="94"/>
      <c r="GD88" s="94"/>
      <c r="GE88" s="94"/>
      <c r="GF88" s="94"/>
      <c r="GG88" s="94"/>
      <c r="GH88" s="94"/>
      <c r="GI88" s="95"/>
      <c r="GJ88" s="38" t="s">
        <v>508</v>
      </c>
      <c r="GK88" s="93" t="s">
        <v>508</v>
      </c>
      <c r="GL88" s="94">
        <v>2016.713</v>
      </c>
      <c r="GM88" s="94">
        <v>6541.73</v>
      </c>
      <c r="GN88" s="94">
        <v>2157.931</v>
      </c>
      <c r="GO88" s="94">
        <v>132.0171</v>
      </c>
      <c r="GP88" s="94">
        <v>1082.704</v>
      </c>
      <c r="GQ88" s="94">
        <v>4281.0940000000001</v>
      </c>
      <c r="GR88" s="94">
        <v>1244.1489999999999</v>
      </c>
      <c r="GS88" s="94">
        <v>5230.9459999999999</v>
      </c>
      <c r="GT88" s="94">
        <v>3338.2750000000001</v>
      </c>
      <c r="GU88" s="94">
        <v>2949.5639999999999</v>
      </c>
      <c r="GV88" s="94">
        <v>11745.51</v>
      </c>
      <c r="GW88" s="95">
        <v>19586.79</v>
      </c>
      <c r="GX88" s="38"/>
    </row>
    <row r="89" spans="1:206" x14ac:dyDescent="0.35">
      <c r="A89" s="2"/>
      <c r="B89" s="2"/>
      <c r="C89" s="42" t="s">
        <v>546</v>
      </c>
      <c r="D89" s="43">
        <f t="shared" si="152"/>
        <v>5.1841750063537587E-3</v>
      </c>
      <c r="E89" s="43">
        <f t="shared" si="119"/>
        <v>6.151120834834994E-3</v>
      </c>
      <c r="F89" s="43">
        <f t="shared" si="120"/>
        <v>0</v>
      </c>
      <c r="G89" s="43">
        <f t="shared" si="121"/>
        <v>4.6048280310505722E-2</v>
      </c>
      <c r="H89" s="43">
        <f t="shared" si="122"/>
        <v>0</v>
      </c>
      <c r="I89" s="43">
        <f t="shared" si="123"/>
        <v>0</v>
      </c>
      <c r="J89" s="43">
        <f t="shared" si="124"/>
        <v>2.8181130110605E-2</v>
      </c>
      <c r="K89" s="43">
        <f t="shared" si="125"/>
        <v>0.10400279994060312</v>
      </c>
      <c r="L89" s="43">
        <f t="shared" si="126"/>
        <v>4.2818251388418976E-3</v>
      </c>
      <c r="M89" s="43">
        <f t="shared" si="127"/>
        <v>3.8808094083494704E-3</v>
      </c>
      <c r="N89" s="43">
        <f t="shared" si="128"/>
        <v>5.7340136463289414E-2</v>
      </c>
      <c r="O89" s="44">
        <f t="shared" si="129"/>
        <v>0.74492972278661673</v>
      </c>
      <c r="P89" s="115">
        <f t="shared" si="153"/>
        <v>1</v>
      </c>
      <c r="Q89" s="2"/>
      <c r="R89" s="42" t="s">
        <v>546</v>
      </c>
      <c r="S89" s="43">
        <f t="shared" si="154"/>
        <v>5.1841750063537587E-3</v>
      </c>
      <c r="T89" s="43">
        <f t="shared" si="155"/>
        <v>6.151120834834994E-3</v>
      </c>
      <c r="U89" s="43">
        <f t="shared" si="156"/>
        <v>0</v>
      </c>
      <c r="V89" s="43">
        <f t="shared" si="157"/>
        <v>4.6048280310505722E-2</v>
      </c>
      <c r="W89" s="29">
        <f t="shared" si="158"/>
        <v>0</v>
      </c>
      <c r="X89" s="43">
        <f t="shared" si="159"/>
        <v>0</v>
      </c>
      <c r="Y89" s="43">
        <f t="shared" si="160"/>
        <v>2.8181130110605E-2</v>
      </c>
      <c r="Z89" s="43">
        <f t="shared" si="161"/>
        <v>0.10400279994060312</v>
      </c>
      <c r="AA89" s="29">
        <f t="shared" si="162"/>
        <v>4.2818251388418976E-3</v>
      </c>
      <c r="AB89" s="43">
        <f t="shared" si="163"/>
        <v>3.8808094083494704E-3</v>
      </c>
      <c r="AC89" s="43">
        <f t="shared" si="164"/>
        <v>5.7340136463289414E-2</v>
      </c>
      <c r="AD89" s="43">
        <f t="shared" si="165"/>
        <v>0.74492972278661673</v>
      </c>
      <c r="AE89" s="32">
        <f t="shared" si="166"/>
        <v>9.4660001451956563E-3</v>
      </c>
      <c r="AF89" s="53">
        <f t="shared" si="167"/>
        <v>1.0031930243184464E-2</v>
      </c>
      <c r="AG89" s="53">
        <f t="shared" si="168"/>
        <v>8.5521266573894417E-2</v>
      </c>
      <c r="AH89" s="53">
        <f t="shared" si="169"/>
        <v>0.89498080303772554</v>
      </c>
      <c r="AI89" s="34">
        <f t="shared" si="170"/>
        <v>4.5618297319334228E-2</v>
      </c>
      <c r="AJ89" s="35">
        <f t="shared" si="171"/>
        <v>0</v>
      </c>
      <c r="AK89" s="34">
        <f>AVERAGE(AI89:AI90)</f>
        <v>5.7383576151694468E-2</v>
      </c>
      <c r="AL89" s="35">
        <f t="shared" ref="AL89" si="219">AVERAGE(AJ89:AJ90)</f>
        <v>0.13218393005120813</v>
      </c>
      <c r="AM89" s="35">
        <f t="shared" si="174"/>
        <v>0.81043249379709748</v>
      </c>
      <c r="AN89" s="36">
        <v>1</v>
      </c>
      <c r="AO89" s="54">
        <v>1</v>
      </c>
      <c r="AP89" s="2"/>
      <c r="AQ89" s="42" t="s">
        <v>546</v>
      </c>
      <c r="AR89" s="43">
        <f t="shared" si="175"/>
        <v>4.9411978345941234E-3</v>
      </c>
      <c r="AS89" s="43">
        <f t="shared" si="186"/>
        <v>5.8628238653522496E-3</v>
      </c>
      <c r="AT89" s="43">
        <f t="shared" si="187"/>
        <v>0</v>
      </c>
      <c r="AU89" s="43">
        <f t="shared" si="188"/>
        <v>4.3890042808776196E-2</v>
      </c>
      <c r="AV89" s="29">
        <f t="shared" si="189"/>
        <v>0</v>
      </c>
      <c r="AW89" s="43">
        <f t="shared" si="190"/>
        <v>0</v>
      </c>
      <c r="AX89" s="43">
        <f t="shared" si="191"/>
        <v>2.9996992405398461E-2</v>
      </c>
      <c r="AY89" s="43">
        <f t="shared" si="192"/>
        <v>0.11070426160036884</v>
      </c>
      <c r="AZ89" s="29">
        <f t="shared" si="193"/>
        <v>4.2510345752216107E-3</v>
      </c>
      <c r="BA89" s="43">
        <f t="shared" si="194"/>
        <v>3.8529025450116765E-3</v>
      </c>
      <c r="BB89" s="43">
        <f t="shared" si="195"/>
        <v>5.6927804090406403E-2</v>
      </c>
      <c r="BC89" s="44">
        <f t="shared" si="196"/>
        <v>0.73957294027487042</v>
      </c>
      <c r="BD89" s="2"/>
      <c r="BE89" s="42" t="s">
        <v>546</v>
      </c>
      <c r="BF89" s="62">
        <v>1</v>
      </c>
      <c r="BG89" s="62">
        <v>1</v>
      </c>
      <c r="BH89" s="62">
        <v>1</v>
      </c>
      <c r="BI89" s="62">
        <v>1</v>
      </c>
      <c r="BJ89" s="36">
        <v>1</v>
      </c>
      <c r="BK89" s="62">
        <v>1</v>
      </c>
      <c r="BL89" s="62">
        <v>1</v>
      </c>
      <c r="BM89" s="62">
        <v>1</v>
      </c>
      <c r="BN89" s="36">
        <v>1</v>
      </c>
      <c r="BO89" s="62">
        <v>1</v>
      </c>
      <c r="BP89" s="62">
        <v>1</v>
      </c>
      <c r="BQ89" s="54">
        <v>1</v>
      </c>
      <c r="BR89" s="2"/>
      <c r="BS89" s="42" t="s">
        <v>546</v>
      </c>
      <c r="BT89" s="67">
        <f t="shared" si="176"/>
        <v>264.54070000000002</v>
      </c>
      <c r="BU89" s="67">
        <f t="shared" si="130"/>
        <v>313.88249999999999</v>
      </c>
      <c r="BV89" s="67">
        <f t="shared" si="131"/>
        <v>0</v>
      </c>
      <c r="BW89" s="67">
        <f t="shared" si="132"/>
        <v>2349.7748999999999</v>
      </c>
      <c r="BX89" s="30">
        <f t="shared" si="133"/>
        <v>0</v>
      </c>
      <c r="BY89" s="67">
        <f t="shared" si="134"/>
        <v>0</v>
      </c>
      <c r="BZ89" s="67">
        <f t="shared" si="135"/>
        <v>1605.972</v>
      </c>
      <c r="CA89" s="67">
        <f t="shared" si="136"/>
        <v>5926.8590000000004</v>
      </c>
      <c r="CB89" s="30">
        <f t="shared" si="137"/>
        <v>227.5909</v>
      </c>
      <c r="CC89" s="67">
        <f t="shared" si="138"/>
        <v>206.2758</v>
      </c>
      <c r="CD89" s="67">
        <f t="shared" si="139"/>
        <v>3047.7875300000005</v>
      </c>
      <c r="CE89" s="68">
        <f t="shared" si="140"/>
        <v>39595.084000000003</v>
      </c>
      <c r="CF89" s="2"/>
      <c r="CG89" s="37" t="str">
        <f t="shared" si="177"/>
        <v>apubl</v>
      </c>
      <c r="CH89" s="42" t="s">
        <v>546</v>
      </c>
      <c r="CI89" s="67">
        <f t="shared" si="178"/>
        <v>264.54070000000002</v>
      </c>
      <c r="CJ89" s="67">
        <f t="shared" si="197"/>
        <v>313.88249999999999</v>
      </c>
      <c r="CK89" s="67">
        <f t="shared" si="198"/>
        <v>0</v>
      </c>
      <c r="CL89" s="67">
        <f t="shared" si="199"/>
        <v>2349.7748999999999</v>
      </c>
      <c r="CM89" s="30">
        <f t="shared" si="200"/>
        <v>0</v>
      </c>
      <c r="CN89" s="67">
        <f t="shared" si="201"/>
        <v>0</v>
      </c>
      <c r="CO89" s="67">
        <f t="shared" si="202"/>
        <v>1605.972</v>
      </c>
      <c r="CP89" s="67">
        <f t="shared" si="203"/>
        <v>5926.8590000000004</v>
      </c>
      <c r="CQ89" s="30">
        <f t="shared" si="204"/>
        <v>227.5909</v>
      </c>
      <c r="CR89" s="67">
        <f t="shared" si="205"/>
        <v>206.2758</v>
      </c>
      <c r="CS89" s="67">
        <f t="shared" si="206"/>
        <v>3047.7875300000005</v>
      </c>
      <c r="CT89" s="68">
        <f t="shared" si="207"/>
        <v>39595.084000000003</v>
      </c>
      <c r="CU89" s="2"/>
      <c r="CV89" s="42" t="s">
        <v>546</v>
      </c>
      <c r="CW89" s="67">
        <f t="shared" si="179"/>
        <v>264.54070000000002</v>
      </c>
      <c r="CX89" s="67">
        <f t="shared" si="208"/>
        <v>313.88249999999999</v>
      </c>
      <c r="CY89" s="67">
        <f t="shared" si="209"/>
        <v>0</v>
      </c>
      <c r="CZ89" s="67">
        <f t="shared" si="210"/>
        <v>2349.7748999999999</v>
      </c>
      <c r="DA89" s="30">
        <f t="shared" si="211"/>
        <v>0</v>
      </c>
      <c r="DB89" s="67">
        <f t="shared" si="212"/>
        <v>0</v>
      </c>
      <c r="DC89" s="67">
        <f t="shared" si="213"/>
        <v>1605.972</v>
      </c>
      <c r="DD89" s="67">
        <f t="shared" si="214"/>
        <v>5926.8590000000004</v>
      </c>
      <c r="DE89" s="30">
        <f t="shared" si="215"/>
        <v>227.5909</v>
      </c>
      <c r="DF89" s="67">
        <f t="shared" si="216"/>
        <v>206.2758</v>
      </c>
      <c r="DG89" s="67">
        <f t="shared" si="217"/>
        <v>3047.7875300000005</v>
      </c>
      <c r="DH89" s="68">
        <f t="shared" si="218"/>
        <v>39595.084000000003</v>
      </c>
      <c r="DI89" s="2"/>
      <c r="DJ89" s="37" t="s">
        <v>546</v>
      </c>
      <c r="DK89" s="76" t="s">
        <v>546</v>
      </c>
      <c r="DL89" s="67">
        <f t="shared" si="180"/>
        <v>0</v>
      </c>
      <c r="DM89" s="67">
        <f t="shared" si="141"/>
        <v>131.23419999999999</v>
      </c>
      <c r="DN89" s="67">
        <f t="shared" si="142"/>
        <v>0</v>
      </c>
      <c r="DO89" s="67">
        <f t="shared" si="143"/>
        <v>451.7629</v>
      </c>
      <c r="DP89" s="30">
        <f t="shared" si="144"/>
        <v>0</v>
      </c>
      <c r="DQ89" s="67">
        <f t="shared" si="145"/>
        <v>0</v>
      </c>
      <c r="DR89" s="67">
        <f t="shared" si="146"/>
        <v>0</v>
      </c>
      <c r="DS89" s="67">
        <f t="shared" si="147"/>
        <v>0</v>
      </c>
      <c r="DT89" s="30">
        <f t="shared" si="148"/>
        <v>0</v>
      </c>
      <c r="DU89" s="67">
        <f t="shared" si="149"/>
        <v>101.23399999999999</v>
      </c>
      <c r="DV89" s="67">
        <f t="shared" si="150"/>
        <v>2228.8310000000001</v>
      </c>
      <c r="DW89" s="68">
        <f t="shared" si="151"/>
        <v>9866.8340000000007</v>
      </c>
      <c r="DX89" s="2"/>
      <c r="DY89" s="81" t="s">
        <v>546</v>
      </c>
      <c r="DZ89" s="82"/>
      <c r="EA89" s="82"/>
      <c r="EB89" s="82"/>
      <c r="EC89" s="83"/>
      <c r="ED89" s="84">
        <v>1</v>
      </c>
      <c r="EE89" s="2"/>
      <c r="EF89" s="38" t="s">
        <v>546</v>
      </c>
      <c r="EG89" s="93" t="s">
        <v>546</v>
      </c>
      <c r="EH89" s="94">
        <v>58.325760000000002</v>
      </c>
      <c r="EI89" s="94">
        <v>208.2483</v>
      </c>
      <c r="EJ89" s="94">
        <v>292.04480000000001</v>
      </c>
      <c r="EK89" s="94">
        <v>170.3981</v>
      </c>
      <c r="EL89" s="94">
        <v>131.14009999999999</v>
      </c>
      <c r="EM89" s="94">
        <v>99.149879999999996</v>
      </c>
      <c r="EN89" s="94">
        <v>889.43129999999996</v>
      </c>
      <c r="EO89" s="94">
        <v>593.32820000000004</v>
      </c>
      <c r="EP89" s="94"/>
      <c r="EQ89" s="94">
        <v>1877.9780000000001</v>
      </c>
      <c r="ER89" s="94">
        <v>2131.8150000000001</v>
      </c>
      <c r="ES89" s="95">
        <v>21027.49</v>
      </c>
      <c r="ET89" s="38" t="s">
        <v>546</v>
      </c>
      <c r="EU89" s="93" t="s">
        <v>546</v>
      </c>
      <c r="EV89" s="94">
        <v>1837.116</v>
      </c>
      <c r="EW89" s="94">
        <v>2161.5459999999998</v>
      </c>
      <c r="EX89" s="94">
        <v>372.99450000000002</v>
      </c>
      <c r="EY89" s="94">
        <v>550.21090000000004</v>
      </c>
      <c r="EZ89" s="94">
        <v>676.37019999999995</v>
      </c>
      <c r="FA89" s="94">
        <v>1446.4159999999999</v>
      </c>
      <c r="FB89" s="94">
        <v>5895.1350000000002</v>
      </c>
      <c r="FC89" s="94">
        <v>3862.1170000000002</v>
      </c>
      <c r="FD89" s="94">
        <v>5692.6030000000001</v>
      </c>
      <c r="FE89" s="94">
        <v>3621.8119999999999</v>
      </c>
      <c r="FF89" s="94">
        <v>1449.9929999999999</v>
      </c>
      <c r="FG89" s="95">
        <v>2579.7979999999998</v>
      </c>
      <c r="FH89" s="38" t="s">
        <v>546</v>
      </c>
      <c r="FI89" s="93" t="s">
        <v>546</v>
      </c>
      <c r="FJ89" s="94"/>
      <c r="FK89" s="94"/>
      <c r="FL89" s="94"/>
      <c r="FM89" s="94"/>
      <c r="FN89" s="94"/>
      <c r="FO89" s="94"/>
      <c r="FP89" s="94"/>
      <c r="FQ89" s="94"/>
      <c r="FR89" s="94"/>
      <c r="FS89" s="94"/>
      <c r="FT89" s="94"/>
      <c r="FU89" s="95"/>
      <c r="FV89" s="38" t="s">
        <v>546</v>
      </c>
      <c r="FW89" s="93" t="s">
        <v>546</v>
      </c>
      <c r="FX89" s="94"/>
      <c r="FY89" s="94"/>
      <c r="FZ89" s="94"/>
      <c r="GA89" s="94"/>
      <c r="GB89" s="94"/>
      <c r="GC89" s="94"/>
      <c r="GD89" s="94"/>
      <c r="GE89" s="94"/>
      <c r="GF89" s="94"/>
      <c r="GG89" s="94"/>
      <c r="GH89" s="94"/>
      <c r="GI89" s="95"/>
      <c r="GJ89" s="38" t="s">
        <v>546</v>
      </c>
      <c r="GK89" s="93" t="s">
        <v>546</v>
      </c>
      <c r="GL89" s="94"/>
      <c r="GM89" s="94">
        <v>131.23419999999999</v>
      </c>
      <c r="GN89" s="94">
        <v>0</v>
      </c>
      <c r="GO89" s="94">
        <v>451.7629</v>
      </c>
      <c r="GP89" s="94"/>
      <c r="GQ89" s="94"/>
      <c r="GR89" s="94"/>
      <c r="GS89" s="94"/>
      <c r="GT89" s="94">
        <v>0</v>
      </c>
      <c r="GU89" s="94">
        <v>101.23399999999999</v>
      </c>
      <c r="GV89" s="94">
        <v>2228.8310000000001</v>
      </c>
      <c r="GW89" s="95">
        <v>9866.8340000000007</v>
      </c>
      <c r="GX89" s="38"/>
    </row>
    <row r="90" spans="1:206" x14ac:dyDescent="0.35">
      <c r="A90" s="2"/>
      <c r="B90" s="2"/>
      <c r="C90" s="42" t="s">
        <v>509</v>
      </c>
      <c r="D90" s="43">
        <f t="shared" si="152"/>
        <v>6.2470795612087583E-3</v>
      </c>
      <c r="E90" s="43">
        <f t="shared" si="119"/>
        <v>7.4122770158660204E-3</v>
      </c>
      <c r="F90" s="43">
        <f t="shared" si="120"/>
        <v>0</v>
      </c>
      <c r="G90" s="43">
        <f t="shared" si="121"/>
        <v>5.548949840697992E-2</v>
      </c>
      <c r="H90" s="43">
        <f t="shared" si="122"/>
        <v>0</v>
      </c>
      <c r="I90" s="43">
        <f t="shared" si="123"/>
        <v>0</v>
      </c>
      <c r="J90" s="43">
        <f t="shared" si="124"/>
        <v>5.6362260221209985E-2</v>
      </c>
      <c r="K90" s="43">
        <f t="shared" si="125"/>
        <v>0.20800559988120618</v>
      </c>
      <c r="L90" s="43">
        <f t="shared" si="126"/>
        <v>3.5212863573497745E-3</v>
      </c>
      <c r="M90" s="43">
        <f t="shared" si="127"/>
        <v>3.1914991345937407E-3</v>
      </c>
      <c r="N90" s="43">
        <f t="shared" si="128"/>
        <v>4.715536802872948E-2</v>
      </c>
      <c r="O90" s="44">
        <f t="shared" si="129"/>
        <v>0.61261513139285606</v>
      </c>
      <c r="P90" s="115">
        <f t="shared" si="153"/>
        <v>1</v>
      </c>
      <c r="Q90" s="2"/>
      <c r="R90" s="42" t="s">
        <v>509</v>
      </c>
      <c r="S90" s="43">
        <f t="shared" si="154"/>
        <v>6.24707956120876E-3</v>
      </c>
      <c r="T90" s="43">
        <f t="shared" si="155"/>
        <v>7.4122770158660221E-3</v>
      </c>
      <c r="U90" s="43">
        <f t="shared" si="156"/>
        <v>0</v>
      </c>
      <c r="V90" s="43">
        <f t="shared" si="157"/>
        <v>5.5489498406979934E-2</v>
      </c>
      <c r="W90" s="29">
        <f t="shared" si="158"/>
        <v>0</v>
      </c>
      <c r="X90" s="43">
        <f t="shared" si="159"/>
        <v>0</v>
      </c>
      <c r="Y90" s="43">
        <f t="shared" si="160"/>
        <v>5.6362260221209999E-2</v>
      </c>
      <c r="Z90" s="43">
        <f t="shared" si="161"/>
        <v>0.20800559988120623</v>
      </c>
      <c r="AA90" s="29">
        <f t="shared" si="162"/>
        <v>3.5212863573497754E-3</v>
      </c>
      <c r="AB90" s="43">
        <f t="shared" si="163"/>
        <v>3.1914991345937415E-3</v>
      </c>
      <c r="AC90" s="43">
        <f t="shared" si="164"/>
        <v>4.7155368028729494E-2</v>
      </c>
      <c r="AD90" s="43">
        <f t="shared" si="165"/>
        <v>0.61261513139285617</v>
      </c>
      <c r="AE90" s="32">
        <f t="shared" si="166"/>
        <v>9.7683659185585359E-3</v>
      </c>
      <c r="AF90" s="53">
        <f t="shared" si="167"/>
        <v>1.0603776150459763E-2</v>
      </c>
      <c r="AG90" s="53">
        <f t="shared" si="168"/>
        <v>0.10351762824993949</v>
      </c>
      <c r="AH90" s="53">
        <f t="shared" si="169"/>
        <v>0.87611022968104235</v>
      </c>
      <c r="AI90" s="34">
        <f t="shared" si="170"/>
        <v>6.9148854984054708E-2</v>
      </c>
      <c r="AJ90" s="35">
        <f t="shared" si="171"/>
        <v>0.26436786010241625</v>
      </c>
      <c r="AK90" s="34">
        <f t="shared" si="172"/>
        <v>6.9148854984054708E-2</v>
      </c>
      <c r="AL90" s="35">
        <f t="shared" si="173"/>
        <v>0.26436786010241625</v>
      </c>
      <c r="AM90" s="35">
        <f t="shared" si="174"/>
        <v>0.66648328491352904</v>
      </c>
      <c r="AN90" s="36">
        <v>1</v>
      </c>
      <c r="AO90" s="54">
        <v>1</v>
      </c>
      <c r="AP90" s="2"/>
      <c r="AQ90" s="42" t="s">
        <v>509</v>
      </c>
      <c r="AR90" s="43">
        <f t="shared" si="175"/>
        <v>4.9411978345941234E-3</v>
      </c>
      <c r="AS90" s="43">
        <f t="shared" si="186"/>
        <v>5.8628238653522496E-3</v>
      </c>
      <c r="AT90" s="43">
        <f t="shared" si="187"/>
        <v>0</v>
      </c>
      <c r="AU90" s="43">
        <f t="shared" si="188"/>
        <v>4.3890042808776196E-2</v>
      </c>
      <c r="AV90" s="29">
        <f t="shared" si="189"/>
        <v>0</v>
      </c>
      <c r="AW90" s="43">
        <f t="shared" si="190"/>
        <v>0</v>
      </c>
      <c r="AX90" s="43">
        <f t="shared" si="191"/>
        <v>2.9996992405398461E-2</v>
      </c>
      <c r="AY90" s="43">
        <f t="shared" si="192"/>
        <v>0.11070426160036884</v>
      </c>
      <c r="AZ90" s="29">
        <f t="shared" si="193"/>
        <v>4.2510345752216107E-3</v>
      </c>
      <c r="BA90" s="43">
        <f t="shared" si="194"/>
        <v>3.8529025450116765E-3</v>
      </c>
      <c r="BB90" s="43">
        <f t="shared" si="195"/>
        <v>5.6927804090406403E-2</v>
      </c>
      <c r="BC90" s="44">
        <f t="shared" si="196"/>
        <v>0.73957294027487042</v>
      </c>
      <c r="BD90" s="2"/>
      <c r="BE90" s="42" t="s">
        <v>509</v>
      </c>
      <c r="BF90" s="62">
        <v>1</v>
      </c>
      <c r="BG90" s="62">
        <v>1</v>
      </c>
      <c r="BH90" s="62">
        <v>1</v>
      </c>
      <c r="BI90" s="62">
        <v>1</v>
      </c>
      <c r="BJ90" s="36">
        <v>1</v>
      </c>
      <c r="BK90" s="62">
        <v>1</v>
      </c>
      <c r="BL90" s="62">
        <v>1</v>
      </c>
      <c r="BM90" s="62">
        <v>1</v>
      </c>
      <c r="BN90" s="36">
        <v>1</v>
      </c>
      <c r="BO90" s="62">
        <v>1</v>
      </c>
      <c r="BP90" s="62">
        <v>1</v>
      </c>
      <c r="BQ90" s="54">
        <v>1</v>
      </c>
      <c r="BR90" s="2"/>
      <c r="BS90" s="42" t="s">
        <v>509</v>
      </c>
      <c r="BT90" s="67">
        <f t="shared" si="176"/>
        <v>264.54070000000002</v>
      </c>
      <c r="BU90" s="67">
        <f t="shared" si="130"/>
        <v>313.88249999999999</v>
      </c>
      <c r="BV90" s="67">
        <f t="shared" si="131"/>
        <v>0</v>
      </c>
      <c r="BW90" s="67">
        <f t="shared" si="132"/>
        <v>2349.7748999999999</v>
      </c>
      <c r="BX90" s="30">
        <f t="shared" si="133"/>
        <v>0</v>
      </c>
      <c r="BY90" s="67">
        <f t="shared" si="134"/>
        <v>0</v>
      </c>
      <c r="BZ90" s="67">
        <f t="shared" si="135"/>
        <v>1605.972</v>
      </c>
      <c r="CA90" s="67">
        <f t="shared" si="136"/>
        <v>5926.8590000000004</v>
      </c>
      <c r="CB90" s="30">
        <f t="shared" si="137"/>
        <v>227.5909</v>
      </c>
      <c r="CC90" s="67">
        <f t="shared" si="138"/>
        <v>206.2758</v>
      </c>
      <c r="CD90" s="67">
        <f t="shared" si="139"/>
        <v>3047.7875300000005</v>
      </c>
      <c r="CE90" s="68">
        <f t="shared" si="140"/>
        <v>39595.084000000003</v>
      </c>
      <c r="CF90" s="2"/>
      <c r="CG90" s="37" t="str">
        <f t="shared" si="177"/>
        <v>apubl</v>
      </c>
      <c r="CH90" s="42" t="s">
        <v>509</v>
      </c>
      <c r="CI90" s="67">
        <f t="shared" si="178"/>
        <v>264.54070000000002</v>
      </c>
      <c r="CJ90" s="67">
        <f t="shared" si="197"/>
        <v>313.88249999999999</v>
      </c>
      <c r="CK90" s="67">
        <f t="shared" si="198"/>
        <v>0</v>
      </c>
      <c r="CL90" s="67">
        <f t="shared" si="199"/>
        <v>2349.7748999999999</v>
      </c>
      <c r="CM90" s="30">
        <f t="shared" si="200"/>
        <v>0</v>
      </c>
      <c r="CN90" s="67">
        <f t="shared" si="201"/>
        <v>0</v>
      </c>
      <c r="CO90" s="67">
        <f t="shared" si="202"/>
        <v>1605.972</v>
      </c>
      <c r="CP90" s="67">
        <f t="shared" si="203"/>
        <v>5926.8590000000004</v>
      </c>
      <c r="CQ90" s="30">
        <f t="shared" si="204"/>
        <v>227.5909</v>
      </c>
      <c r="CR90" s="67">
        <f t="shared" si="205"/>
        <v>206.2758</v>
      </c>
      <c r="CS90" s="67">
        <f t="shared" si="206"/>
        <v>3047.7875300000005</v>
      </c>
      <c r="CT90" s="68">
        <f t="shared" si="207"/>
        <v>39595.084000000003</v>
      </c>
      <c r="CU90" s="2"/>
      <c r="CV90" s="42" t="s">
        <v>509</v>
      </c>
      <c r="CW90" s="67">
        <f t="shared" si="179"/>
        <v>0</v>
      </c>
      <c r="CX90" s="67">
        <f t="shared" si="208"/>
        <v>0</v>
      </c>
      <c r="CY90" s="67">
        <f t="shared" si="209"/>
        <v>0</v>
      </c>
      <c r="CZ90" s="67">
        <f t="shared" si="210"/>
        <v>0</v>
      </c>
      <c r="DA90" s="30">
        <f t="shared" si="211"/>
        <v>0</v>
      </c>
      <c r="DB90" s="67">
        <f t="shared" si="212"/>
        <v>0</v>
      </c>
      <c r="DC90" s="67">
        <f t="shared" si="213"/>
        <v>0</v>
      </c>
      <c r="DD90" s="67">
        <f t="shared" si="214"/>
        <v>0</v>
      </c>
      <c r="DE90" s="30">
        <f t="shared" si="215"/>
        <v>0</v>
      </c>
      <c r="DF90" s="67">
        <f t="shared" si="216"/>
        <v>0</v>
      </c>
      <c r="DG90" s="67">
        <f t="shared" si="217"/>
        <v>0</v>
      </c>
      <c r="DH90" s="68">
        <f t="shared" si="218"/>
        <v>0</v>
      </c>
      <c r="DI90" s="2"/>
      <c r="DJ90" s="37" t="s">
        <v>546</v>
      </c>
      <c r="DK90" s="76" t="s">
        <v>509</v>
      </c>
      <c r="DL90" s="67">
        <f t="shared" si="180"/>
        <v>264.54070000000002</v>
      </c>
      <c r="DM90" s="67">
        <f t="shared" si="141"/>
        <v>182.64830000000001</v>
      </c>
      <c r="DN90" s="67">
        <f t="shared" si="142"/>
        <v>0</v>
      </c>
      <c r="DO90" s="67">
        <f t="shared" si="143"/>
        <v>1523.1210000000001</v>
      </c>
      <c r="DP90" s="30">
        <f t="shared" si="144"/>
        <v>0</v>
      </c>
      <c r="DQ90" s="67">
        <f t="shared" si="145"/>
        <v>0</v>
      </c>
      <c r="DR90" s="67">
        <f t="shared" si="146"/>
        <v>1605.972</v>
      </c>
      <c r="DS90" s="67">
        <f t="shared" si="147"/>
        <v>5926.8590000000004</v>
      </c>
      <c r="DT90" s="30">
        <f t="shared" si="148"/>
        <v>227.5909</v>
      </c>
      <c r="DU90" s="67">
        <f t="shared" si="149"/>
        <v>105.04179999999999</v>
      </c>
      <c r="DV90" s="67">
        <f t="shared" si="150"/>
        <v>801.5136</v>
      </c>
      <c r="DW90" s="68">
        <f t="shared" si="151"/>
        <v>17856.46</v>
      </c>
      <c r="DX90" s="2"/>
      <c r="DY90" s="81" t="s">
        <v>509</v>
      </c>
      <c r="DZ90" s="82"/>
      <c r="EA90" s="82"/>
      <c r="EB90" s="82"/>
      <c r="EC90" s="83"/>
      <c r="ED90" s="84">
        <v>1</v>
      </c>
      <c r="EE90" s="2"/>
      <c r="EF90" s="38" t="s">
        <v>509</v>
      </c>
      <c r="EG90" s="93" t="s">
        <v>509</v>
      </c>
      <c r="EH90" s="94"/>
      <c r="EI90" s="94"/>
      <c r="EJ90" s="94"/>
      <c r="EK90" s="94"/>
      <c r="EL90" s="94"/>
      <c r="EM90" s="94"/>
      <c r="EN90" s="94"/>
      <c r="EO90" s="94"/>
      <c r="EP90" s="94"/>
      <c r="EQ90" s="94"/>
      <c r="ER90" s="94"/>
      <c r="ES90" s="95"/>
      <c r="ET90" s="38" t="s">
        <v>509</v>
      </c>
      <c r="EU90" s="93" t="s">
        <v>509</v>
      </c>
      <c r="EV90" s="94"/>
      <c r="EW90" s="94"/>
      <c r="EX90" s="94"/>
      <c r="EY90" s="94"/>
      <c r="EZ90" s="94"/>
      <c r="FA90" s="94"/>
      <c r="FB90" s="94"/>
      <c r="FC90" s="94"/>
      <c r="FD90" s="94"/>
      <c r="FE90" s="94"/>
      <c r="FF90" s="94"/>
      <c r="FG90" s="95"/>
      <c r="FH90" s="38" t="s">
        <v>509</v>
      </c>
      <c r="FI90" s="93" t="s">
        <v>509</v>
      </c>
      <c r="FJ90" s="94"/>
      <c r="FK90" s="94"/>
      <c r="FL90" s="94"/>
      <c r="FM90" s="94"/>
      <c r="FN90" s="94"/>
      <c r="FO90" s="94"/>
      <c r="FP90" s="94"/>
      <c r="FQ90" s="94"/>
      <c r="FR90" s="94"/>
      <c r="FS90" s="94"/>
      <c r="FT90" s="94"/>
      <c r="FU90" s="95"/>
      <c r="FV90" s="38" t="s">
        <v>509</v>
      </c>
      <c r="FW90" s="93" t="s">
        <v>509</v>
      </c>
      <c r="FX90" s="94"/>
      <c r="FY90" s="94"/>
      <c r="FZ90" s="94"/>
      <c r="GA90" s="94"/>
      <c r="GB90" s="94"/>
      <c r="GC90" s="94"/>
      <c r="GD90" s="94"/>
      <c r="GE90" s="94"/>
      <c r="GF90" s="94"/>
      <c r="GG90" s="94"/>
      <c r="GH90" s="94"/>
      <c r="GI90" s="95"/>
      <c r="GJ90" s="38" t="s">
        <v>509</v>
      </c>
      <c r="GK90" s="93" t="s">
        <v>509</v>
      </c>
      <c r="GL90" s="94">
        <v>264.54070000000002</v>
      </c>
      <c r="GM90" s="94">
        <v>182.64830000000001</v>
      </c>
      <c r="GN90" s="94">
        <v>0</v>
      </c>
      <c r="GO90" s="94">
        <v>1523.1210000000001</v>
      </c>
      <c r="GP90" s="94"/>
      <c r="GQ90" s="94"/>
      <c r="GR90" s="94">
        <v>1605.972</v>
      </c>
      <c r="GS90" s="94">
        <v>5926.8590000000004</v>
      </c>
      <c r="GT90" s="94">
        <v>227.5909</v>
      </c>
      <c r="GU90" s="94">
        <v>105.04179999999999</v>
      </c>
      <c r="GV90" s="94">
        <v>801.5136</v>
      </c>
      <c r="GW90" s="95">
        <v>17856.46</v>
      </c>
      <c r="GX90" s="38"/>
    </row>
    <row r="91" spans="1:206" x14ac:dyDescent="0.35">
      <c r="A91" s="2"/>
      <c r="B91" s="2"/>
      <c r="C91" s="42" t="s">
        <v>547</v>
      </c>
      <c r="D91" s="43">
        <f t="shared" si="152"/>
        <v>4.5043389980242493E-3</v>
      </c>
      <c r="E91" s="43">
        <f t="shared" si="119"/>
        <v>5.344482665795269E-3</v>
      </c>
      <c r="F91" s="43">
        <f t="shared" si="120"/>
        <v>0</v>
      </c>
      <c r="G91" s="43">
        <f t="shared" si="121"/>
        <v>4.0009657185637329E-2</v>
      </c>
      <c r="H91" s="43">
        <f t="shared" si="122"/>
        <v>0</v>
      </c>
      <c r="I91" s="43">
        <f t="shared" si="123"/>
        <v>0</v>
      </c>
      <c r="J91" s="43">
        <f t="shared" si="124"/>
        <v>2.8181130110605E-2</v>
      </c>
      <c r="K91" s="43">
        <f t="shared" si="125"/>
        <v>0.10400279994060312</v>
      </c>
      <c r="L91" s="43">
        <f t="shared" si="126"/>
        <v>4.3215831088734141E-3</v>
      </c>
      <c r="M91" s="43">
        <f t="shared" si="127"/>
        <v>3.9168438327250813E-3</v>
      </c>
      <c r="N91" s="43">
        <f t="shared" si="128"/>
        <v>5.7872556016444532E-2</v>
      </c>
      <c r="O91" s="44">
        <f t="shared" si="129"/>
        <v>0.75184660814129201</v>
      </c>
      <c r="P91" s="115">
        <f t="shared" si="153"/>
        <v>1</v>
      </c>
      <c r="Q91" s="2"/>
      <c r="R91" s="42" t="s">
        <v>547</v>
      </c>
      <c r="S91" s="43">
        <f t="shared" si="154"/>
        <v>4.5043389980242493E-3</v>
      </c>
      <c r="T91" s="43">
        <f t="shared" si="155"/>
        <v>5.344482665795269E-3</v>
      </c>
      <c r="U91" s="43">
        <f t="shared" si="156"/>
        <v>0</v>
      </c>
      <c r="V91" s="43">
        <f t="shared" si="157"/>
        <v>4.0009657185637329E-2</v>
      </c>
      <c r="W91" s="29">
        <f t="shared" si="158"/>
        <v>0</v>
      </c>
      <c r="X91" s="43">
        <f t="shared" si="159"/>
        <v>0</v>
      </c>
      <c r="Y91" s="43">
        <f t="shared" si="160"/>
        <v>2.8181130110605E-2</v>
      </c>
      <c r="Z91" s="43">
        <f t="shared" si="161"/>
        <v>0.10400279994060312</v>
      </c>
      <c r="AA91" s="29">
        <f t="shared" si="162"/>
        <v>4.3215831088734141E-3</v>
      </c>
      <c r="AB91" s="43">
        <f t="shared" si="163"/>
        <v>3.9168438327250813E-3</v>
      </c>
      <c r="AC91" s="43">
        <f t="shared" si="164"/>
        <v>5.7872556016444532E-2</v>
      </c>
      <c r="AD91" s="43">
        <f t="shared" si="165"/>
        <v>0.75184660814129201</v>
      </c>
      <c r="AE91" s="32">
        <f t="shared" si="166"/>
        <v>8.8259221068976643E-3</v>
      </c>
      <c r="AF91" s="53">
        <f t="shared" si="167"/>
        <v>9.2613264985203503E-3</v>
      </c>
      <c r="AG91" s="53">
        <f t="shared" si="168"/>
        <v>8.6053686127049528E-2</v>
      </c>
      <c r="AH91" s="53">
        <f t="shared" si="169"/>
        <v>0.89585906526753245</v>
      </c>
      <c r="AI91" s="34">
        <f t="shared" si="170"/>
        <v>3.0568102714858977E-2</v>
      </c>
      <c r="AJ91" s="35">
        <f t="shared" si="171"/>
        <v>0</v>
      </c>
      <c r="AK91" s="34">
        <f>AVERAGE(AI90:AI91)</f>
        <v>4.9858478849456843E-2</v>
      </c>
      <c r="AL91" s="35">
        <f t="shared" ref="AL91" si="220">AVERAGE(AJ90:AJ91)</f>
        <v>0.13218393005120813</v>
      </c>
      <c r="AM91" s="35">
        <f t="shared" si="174"/>
        <v>0.81795759109933508</v>
      </c>
      <c r="AN91" s="36">
        <v>1</v>
      </c>
      <c r="AO91" s="54">
        <v>1</v>
      </c>
      <c r="AP91" s="2"/>
      <c r="AQ91" s="42" t="s">
        <v>547</v>
      </c>
      <c r="AR91" s="43">
        <f t="shared" si="175"/>
        <v>4.9411978345941234E-3</v>
      </c>
      <c r="AS91" s="43">
        <f t="shared" si="186"/>
        <v>5.8628238653522496E-3</v>
      </c>
      <c r="AT91" s="43">
        <f t="shared" si="187"/>
        <v>0</v>
      </c>
      <c r="AU91" s="43">
        <f t="shared" si="188"/>
        <v>4.3890042808776196E-2</v>
      </c>
      <c r="AV91" s="29">
        <f t="shared" si="189"/>
        <v>0</v>
      </c>
      <c r="AW91" s="43">
        <f t="shared" si="190"/>
        <v>0</v>
      </c>
      <c r="AX91" s="43">
        <f t="shared" si="191"/>
        <v>2.9996992405398461E-2</v>
      </c>
      <c r="AY91" s="43">
        <f t="shared" si="192"/>
        <v>0.11070426160036884</v>
      </c>
      <c r="AZ91" s="29">
        <f t="shared" si="193"/>
        <v>4.2510345752216107E-3</v>
      </c>
      <c r="BA91" s="43">
        <f t="shared" si="194"/>
        <v>3.8529025450116765E-3</v>
      </c>
      <c r="BB91" s="43">
        <f t="shared" si="195"/>
        <v>5.6927804090406403E-2</v>
      </c>
      <c r="BC91" s="44">
        <f t="shared" si="196"/>
        <v>0.73957294027487042</v>
      </c>
      <c r="BD91" s="2"/>
      <c r="BE91" s="42" t="s">
        <v>547</v>
      </c>
      <c r="BF91" s="62">
        <v>1</v>
      </c>
      <c r="BG91" s="62">
        <v>1</v>
      </c>
      <c r="BH91" s="62">
        <v>1</v>
      </c>
      <c r="BI91" s="62">
        <v>1</v>
      </c>
      <c r="BJ91" s="36">
        <v>1</v>
      </c>
      <c r="BK91" s="62">
        <v>1</v>
      </c>
      <c r="BL91" s="62">
        <v>1</v>
      </c>
      <c r="BM91" s="62">
        <v>1</v>
      </c>
      <c r="BN91" s="36">
        <v>1</v>
      </c>
      <c r="BO91" s="62">
        <v>1</v>
      </c>
      <c r="BP91" s="62">
        <v>1</v>
      </c>
      <c r="BQ91" s="54">
        <v>1</v>
      </c>
      <c r="BR91" s="2"/>
      <c r="BS91" s="42" t="s">
        <v>547</v>
      </c>
      <c r="BT91" s="67">
        <f t="shared" si="176"/>
        <v>264.54070000000002</v>
      </c>
      <c r="BU91" s="67">
        <f t="shared" si="130"/>
        <v>313.88249999999999</v>
      </c>
      <c r="BV91" s="67">
        <f t="shared" si="131"/>
        <v>0</v>
      </c>
      <c r="BW91" s="67">
        <f t="shared" si="132"/>
        <v>2349.7748999999999</v>
      </c>
      <c r="BX91" s="30">
        <f t="shared" si="133"/>
        <v>0</v>
      </c>
      <c r="BY91" s="67">
        <f t="shared" si="134"/>
        <v>0</v>
      </c>
      <c r="BZ91" s="67">
        <f t="shared" si="135"/>
        <v>1605.972</v>
      </c>
      <c r="CA91" s="67">
        <f t="shared" si="136"/>
        <v>5926.8590000000004</v>
      </c>
      <c r="CB91" s="30">
        <f t="shared" si="137"/>
        <v>227.5909</v>
      </c>
      <c r="CC91" s="67">
        <f t="shared" si="138"/>
        <v>206.2758</v>
      </c>
      <c r="CD91" s="67">
        <f t="shared" si="139"/>
        <v>3047.7875300000005</v>
      </c>
      <c r="CE91" s="68">
        <f t="shared" si="140"/>
        <v>39595.084000000003</v>
      </c>
      <c r="CF91" s="2"/>
      <c r="CG91" s="37" t="str">
        <f t="shared" si="177"/>
        <v>apubl</v>
      </c>
      <c r="CH91" s="42" t="s">
        <v>547</v>
      </c>
      <c r="CI91" s="67">
        <f t="shared" si="178"/>
        <v>264.54070000000002</v>
      </c>
      <c r="CJ91" s="67">
        <f t="shared" si="197"/>
        <v>313.88249999999999</v>
      </c>
      <c r="CK91" s="67">
        <f t="shared" si="198"/>
        <v>0</v>
      </c>
      <c r="CL91" s="67">
        <f t="shared" si="199"/>
        <v>2349.7748999999999</v>
      </c>
      <c r="CM91" s="30">
        <f t="shared" si="200"/>
        <v>0</v>
      </c>
      <c r="CN91" s="67">
        <f t="shared" si="201"/>
        <v>0</v>
      </c>
      <c r="CO91" s="67">
        <f t="shared" si="202"/>
        <v>1605.972</v>
      </c>
      <c r="CP91" s="67">
        <f t="shared" si="203"/>
        <v>5926.8590000000004</v>
      </c>
      <c r="CQ91" s="30">
        <f t="shared" si="204"/>
        <v>227.5909</v>
      </c>
      <c r="CR91" s="67">
        <f t="shared" si="205"/>
        <v>206.2758</v>
      </c>
      <c r="CS91" s="67">
        <f t="shared" si="206"/>
        <v>3047.7875300000005</v>
      </c>
      <c r="CT91" s="68">
        <f t="shared" si="207"/>
        <v>39595.084000000003</v>
      </c>
      <c r="CU91" s="2"/>
      <c r="CV91" s="42" t="s">
        <v>547</v>
      </c>
      <c r="CW91" s="67">
        <f t="shared" si="179"/>
        <v>0</v>
      </c>
      <c r="CX91" s="67">
        <f t="shared" si="208"/>
        <v>0</v>
      </c>
      <c r="CY91" s="67">
        <f t="shared" si="209"/>
        <v>0</v>
      </c>
      <c r="CZ91" s="67">
        <f t="shared" si="210"/>
        <v>0</v>
      </c>
      <c r="DA91" s="30">
        <f t="shared" si="211"/>
        <v>0</v>
      </c>
      <c r="DB91" s="67">
        <f t="shared" si="212"/>
        <v>0</v>
      </c>
      <c r="DC91" s="67">
        <f t="shared" si="213"/>
        <v>0</v>
      </c>
      <c r="DD91" s="67">
        <f t="shared" si="214"/>
        <v>0</v>
      </c>
      <c r="DE91" s="30">
        <f t="shared" si="215"/>
        <v>0</v>
      </c>
      <c r="DF91" s="67">
        <f t="shared" si="216"/>
        <v>0</v>
      </c>
      <c r="DG91" s="67">
        <f t="shared" si="217"/>
        <v>0</v>
      </c>
      <c r="DH91" s="68">
        <f t="shared" si="218"/>
        <v>0</v>
      </c>
      <c r="DI91" s="2"/>
      <c r="DJ91" s="37" t="s">
        <v>546</v>
      </c>
      <c r="DK91" s="76" t="s">
        <v>547</v>
      </c>
      <c r="DL91" s="67">
        <f t="shared" si="180"/>
        <v>0</v>
      </c>
      <c r="DM91" s="67">
        <f t="shared" si="141"/>
        <v>0</v>
      </c>
      <c r="DN91" s="67">
        <f t="shared" si="142"/>
        <v>0</v>
      </c>
      <c r="DO91" s="67">
        <f t="shared" si="143"/>
        <v>374.89100000000002</v>
      </c>
      <c r="DP91" s="30">
        <f t="shared" si="144"/>
        <v>0</v>
      </c>
      <c r="DQ91" s="67">
        <f t="shared" si="145"/>
        <v>0</v>
      </c>
      <c r="DR91" s="67">
        <f t="shared" si="146"/>
        <v>0</v>
      </c>
      <c r="DS91" s="67">
        <f t="shared" si="147"/>
        <v>0</v>
      </c>
      <c r="DT91" s="30">
        <f t="shared" si="148"/>
        <v>0</v>
      </c>
      <c r="DU91" s="67">
        <f t="shared" si="149"/>
        <v>0</v>
      </c>
      <c r="DV91" s="67">
        <f t="shared" si="150"/>
        <v>17.44293</v>
      </c>
      <c r="DW91" s="68">
        <f t="shared" si="151"/>
        <v>11871.79</v>
      </c>
      <c r="DX91" s="2"/>
      <c r="DY91" s="81" t="s">
        <v>547</v>
      </c>
      <c r="DZ91" s="82"/>
      <c r="EA91" s="82"/>
      <c r="EB91" s="82"/>
      <c r="EC91" s="83"/>
      <c r="ED91" s="84">
        <v>1</v>
      </c>
      <c r="EE91" s="2"/>
      <c r="EF91" s="38" t="s">
        <v>547</v>
      </c>
      <c r="EG91" s="93" t="s">
        <v>547</v>
      </c>
      <c r="EH91" s="94"/>
      <c r="EI91" s="94"/>
      <c r="EJ91" s="94"/>
      <c r="EK91" s="94"/>
      <c r="EL91" s="94"/>
      <c r="EM91" s="94"/>
      <c r="EN91" s="94"/>
      <c r="EO91" s="94"/>
      <c r="EP91" s="94"/>
      <c r="EQ91" s="94"/>
      <c r="ER91" s="94"/>
      <c r="ES91" s="95"/>
      <c r="ET91" s="38" t="s">
        <v>547</v>
      </c>
      <c r="EU91" s="93" t="s">
        <v>547</v>
      </c>
      <c r="EV91" s="94"/>
      <c r="EW91" s="94"/>
      <c r="EX91" s="94"/>
      <c r="EY91" s="94"/>
      <c r="EZ91" s="94"/>
      <c r="FA91" s="94"/>
      <c r="FB91" s="94"/>
      <c r="FC91" s="94"/>
      <c r="FD91" s="94"/>
      <c r="FE91" s="94"/>
      <c r="FF91" s="94"/>
      <c r="FG91" s="95"/>
      <c r="FH91" s="38" t="s">
        <v>547</v>
      </c>
      <c r="FI91" s="93" t="s">
        <v>547</v>
      </c>
      <c r="FJ91" s="94"/>
      <c r="FK91" s="94"/>
      <c r="FL91" s="94"/>
      <c r="FM91" s="94"/>
      <c r="FN91" s="94"/>
      <c r="FO91" s="94"/>
      <c r="FP91" s="94"/>
      <c r="FQ91" s="94"/>
      <c r="FR91" s="94"/>
      <c r="FS91" s="94"/>
      <c r="FT91" s="94"/>
      <c r="FU91" s="95"/>
      <c r="FV91" s="38" t="s">
        <v>547</v>
      </c>
      <c r="FW91" s="93" t="s">
        <v>547</v>
      </c>
      <c r="FX91" s="94"/>
      <c r="FY91" s="94"/>
      <c r="FZ91" s="94"/>
      <c r="GA91" s="94"/>
      <c r="GB91" s="94"/>
      <c r="GC91" s="94"/>
      <c r="GD91" s="94"/>
      <c r="GE91" s="94"/>
      <c r="GF91" s="94"/>
      <c r="GG91" s="94"/>
      <c r="GH91" s="94"/>
      <c r="GI91" s="95"/>
      <c r="GJ91" s="38" t="s">
        <v>547</v>
      </c>
      <c r="GK91" s="93" t="s">
        <v>547</v>
      </c>
      <c r="GL91" s="94"/>
      <c r="GM91" s="94"/>
      <c r="GN91" s="94"/>
      <c r="GO91" s="94">
        <v>374.89100000000002</v>
      </c>
      <c r="GP91" s="94"/>
      <c r="GQ91" s="94"/>
      <c r="GR91" s="94"/>
      <c r="GS91" s="94">
        <v>0</v>
      </c>
      <c r="GT91" s="94"/>
      <c r="GU91" s="94"/>
      <c r="GV91" s="94">
        <v>17.44293</v>
      </c>
      <c r="GW91" s="95">
        <v>11871.79</v>
      </c>
      <c r="GX91" s="38"/>
    </row>
    <row r="92" spans="1:206" x14ac:dyDescent="0.35">
      <c r="A92" s="2"/>
      <c r="B92" s="2"/>
      <c r="C92" s="42" t="s">
        <v>548</v>
      </c>
      <c r="D92" s="43">
        <f t="shared" si="152"/>
        <v>2.0512572122122997E-3</v>
      </c>
      <c r="E92" s="43">
        <f t="shared" si="119"/>
        <v>5.4460921592890729E-3</v>
      </c>
      <c r="F92" s="43">
        <f t="shared" si="120"/>
        <v>1.9936523464393879E-2</v>
      </c>
      <c r="G92" s="43">
        <f t="shared" si="121"/>
        <v>8.0661934563693444E-2</v>
      </c>
      <c r="H92" s="43">
        <f t="shared" si="122"/>
        <v>1.2062500698449071E-3</v>
      </c>
      <c r="I92" s="43">
        <f t="shared" si="123"/>
        <v>8.085934239710935E-4</v>
      </c>
      <c r="J92" s="43">
        <f t="shared" si="124"/>
        <v>1.6674482719825395E-3</v>
      </c>
      <c r="K92" s="43">
        <f t="shared" si="125"/>
        <v>0.13369773115974723</v>
      </c>
      <c r="L92" s="43">
        <f t="shared" si="126"/>
        <v>1.6703277737070885E-3</v>
      </c>
      <c r="M92" s="43">
        <f t="shared" si="127"/>
        <v>1.4057345985484396E-2</v>
      </c>
      <c r="N92" s="43">
        <f t="shared" si="128"/>
        <v>1.4694344760889285E-2</v>
      </c>
      <c r="O92" s="44">
        <f t="shared" si="129"/>
        <v>0.72410215115478482</v>
      </c>
      <c r="P92" s="115">
        <f t="shared" si="153"/>
        <v>1</v>
      </c>
      <c r="Q92" s="2"/>
      <c r="R92" s="42" t="s">
        <v>548</v>
      </c>
      <c r="S92" s="43">
        <f t="shared" si="154"/>
        <v>2.0512572122122997E-3</v>
      </c>
      <c r="T92" s="43">
        <f t="shared" si="155"/>
        <v>5.4460921592890729E-3</v>
      </c>
      <c r="U92" s="43">
        <f t="shared" si="156"/>
        <v>1.9936523464393879E-2</v>
      </c>
      <c r="V92" s="43">
        <f t="shared" si="157"/>
        <v>8.0661934563693444E-2</v>
      </c>
      <c r="W92" s="29">
        <f t="shared" si="158"/>
        <v>1.2062500698449071E-3</v>
      </c>
      <c r="X92" s="43">
        <f t="shared" si="159"/>
        <v>8.085934239710935E-4</v>
      </c>
      <c r="Y92" s="43">
        <f t="shared" si="160"/>
        <v>1.6674482719825395E-3</v>
      </c>
      <c r="Z92" s="43">
        <f t="shared" si="161"/>
        <v>0.13369773115974723</v>
      </c>
      <c r="AA92" s="29">
        <f t="shared" si="162"/>
        <v>1.6703277737070885E-3</v>
      </c>
      <c r="AB92" s="43">
        <f t="shared" si="163"/>
        <v>1.4057345985484396E-2</v>
      </c>
      <c r="AC92" s="43">
        <f t="shared" si="164"/>
        <v>1.4694344760889285E-2</v>
      </c>
      <c r="AD92" s="43">
        <f t="shared" si="165"/>
        <v>0.72410215115478482</v>
      </c>
      <c r="AE92" s="32">
        <f t="shared" si="166"/>
        <v>4.9278350557642953E-3</v>
      </c>
      <c r="AF92" s="53">
        <f t="shared" si="167"/>
        <v>2.0312031568744563E-2</v>
      </c>
      <c r="AG92" s="53">
        <f t="shared" si="168"/>
        <v>3.6298316497265705E-2</v>
      </c>
      <c r="AH92" s="53">
        <f t="shared" si="169"/>
        <v>0.9384618168782255</v>
      </c>
      <c r="AI92" s="34">
        <f t="shared" si="170"/>
        <v>0.10809580739958871</v>
      </c>
      <c r="AJ92" s="35">
        <f t="shared" si="171"/>
        <v>0.13738002292554577</v>
      </c>
      <c r="AK92" s="34">
        <f t="shared" si="172"/>
        <v>0.10809580739958871</v>
      </c>
      <c r="AL92" s="35">
        <f t="shared" si="173"/>
        <v>0.13738002292554577</v>
      </c>
      <c r="AM92" s="35">
        <f t="shared" si="174"/>
        <v>0.75452416967486546</v>
      </c>
      <c r="AN92" s="36">
        <v>1</v>
      </c>
      <c r="AO92" s="54">
        <v>1</v>
      </c>
      <c r="AP92" s="2"/>
      <c r="AQ92" s="42" t="s">
        <v>548</v>
      </c>
      <c r="AR92" s="43">
        <f t="shared" si="175"/>
        <v>1.9221143593511573E-3</v>
      </c>
      <c r="AS92" s="43">
        <f t="shared" si="186"/>
        <v>5.1032176166875883E-3</v>
      </c>
      <c r="AT92" s="43">
        <f t="shared" si="187"/>
        <v>1.8681361751373925E-2</v>
      </c>
      <c r="AU92" s="43">
        <f t="shared" si="188"/>
        <v>7.5583628301155364E-2</v>
      </c>
      <c r="AV92" s="29">
        <f t="shared" si="189"/>
        <v>1.4029393208733008E-3</v>
      </c>
      <c r="AW92" s="43">
        <f t="shared" si="190"/>
        <v>9.4044140385789057E-4</v>
      </c>
      <c r="AX92" s="43">
        <f t="shared" si="191"/>
        <v>1.9393397810018953E-3</v>
      </c>
      <c r="AY92" s="43">
        <f t="shared" si="192"/>
        <v>0.15549827423402646</v>
      </c>
      <c r="AZ92" s="29">
        <f t="shared" si="193"/>
        <v>1.635803267803238E-3</v>
      </c>
      <c r="BA92" s="43">
        <f t="shared" si="194"/>
        <v>1.3766790483679377E-2</v>
      </c>
      <c r="BB92" s="43">
        <f t="shared" si="195"/>
        <v>1.439062294027643E-2</v>
      </c>
      <c r="BC92" s="44">
        <f t="shared" si="196"/>
        <v>0.70913546653991344</v>
      </c>
      <c r="BD92" s="2"/>
      <c r="BE92" s="42" t="s">
        <v>548</v>
      </c>
      <c r="BF92" s="62">
        <v>1</v>
      </c>
      <c r="BG92" s="62">
        <v>1</v>
      </c>
      <c r="BH92" s="62">
        <v>1</v>
      </c>
      <c r="BI92" s="62">
        <v>1</v>
      </c>
      <c r="BJ92" s="36">
        <v>1</v>
      </c>
      <c r="BK92" s="62">
        <v>1</v>
      </c>
      <c r="BL92" s="62">
        <v>1</v>
      </c>
      <c r="BM92" s="62">
        <v>1</v>
      </c>
      <c r="BN92" s="36">
        <v>1</v>
      </c>
      <c r="BO92" s="62">
        <v>1</v>
      </c>
      <c r="BP92" s="62">
        <v>1</v>
      </c>
      <c r="BQ92" s="54">
        <v>1</v>
      </c>
      <c r="BR92" s="2"/>
      <c r="BS92" s="42" t="s">
        <v>548</v>
      </c>
      <c r="BT92" s="67">
        <f t="shared" si="176"/>
        <v>342.76960000000003</v>
      </c>
      <c r="BU92" s="67">
        <f t="shared" si="130"/>
        <v>910.05400000000009</v>
      </c>
      <c r="BV92" s="67">
        <f t="shared" si="131"/>
        <v>3331.4369999999999</v>
      </c>
      <c r="BW92" s="67">
        <f t="shared" si="132"/>
        <v>13478.787</v>
      </c>
      <c r="BX92" s="30">
        <f t="shared" si="133"/>
        <v>250.18539999999999</v>
      </c>
      <c r="BY92" s="67">
        <f t="shared" si="134"/>
        <v>167.70840000000001</v>
      </c>
      <c r="BZ92" s="67">
        <f t="shared" si="135"/>
        <v>345.84140000000002</v>
      </c>
      <c r="CA92" s="67">
        <f t="shared" si="136"/>
        <v>27729.921999999999</v>
      </c>
      <c r="CB92" s="30">
        <f t="shared" si="137"/>
        <v>291.71190000000001</v>
      </c>
      <c r="CC92" s="67">
        <f t="shared" si="138"/>
        <v>2455.0241999999998</v>
      </c>
      <c r="CD92" s="67">
        <f t="shared" si="139"/>
        <v>2566.2718999999997</v>
      </c>
      <c r="CE92" s="68">
        <f t="shared" si="140"/>
        <v>126459.73899999999</v>
      </c>
      <c r="CF92" s="2"/>
      <c r="CG92" s="37" t="str">
        <f t="shared" si="177"/>
        <v>abank</v>
      </c>
      <c r="CH92" s="42" t="s">
        <v>548</v>
      </c>
      <c r="CI92" s="67">
        <f t="shared" si="178"/>
        <v>342.76960000000003</v>
      </c>
      <c r="CJ92" s="67">
        <f t="shared" si="197"/>
        <v>910.05400000000009</v>
      </c>
      <c r="CK92" s="67">
        <f t="shared" si="198"/>
        <v>3331.4369999999999</v>
      </c>
      <c r="CL92" s="67">
        <f t="shared" si="199"/>
        <v>13478.787</v>
      </c>
      <c r="CM92" s="30">
        <f t="shared" si="200"/>
        <v>250.18539999999999</v>
      </c>
      <c r="CN92" s="67">
        <f t="shared" si="201"/>
        <v>167.70840000000001</v>
      </c>
      <c r="CO92" s="67">
        <f t="shared" si="202"/>
        <v>345.84140000000002</v>
      </c>
      <c r="CP92" s="67">
        <f t="shared" si="203"/>
        <v>27729.921999999999</v>
      </c>
      <c r="CQ92" s="30">
        <f t="shared" si="204"/>
        <v>291.71190000000001</v>
      </c>
      <c r="CR92" s="67">
        <f t="shared" si="205"/>
        <v>2455.0241999999998</v>
      </c>
      <c r="CS92" s="67">
        <f t="shared" si="206"/>
        <v>2566.2718999999997</v>
      </c>
      <c r="CT92" s="68">
        <f t="shared" si="207"/>
        <v>126459.73899999999</v>
      </c>
      <c r="CU92" s="2"/>
      <c r="CV92" s="42" t="s">
        <v>548</v>
      </c>
      <c r="CW92" s="67">
        <f t="shared" si="179"/>
        <v>342.76960000000003</v>
      </c>
      <c r="CX92" s="67">
        <f t="shared" si="208"/>
        <v>910.05400000000009</v>
      </c>
      <c r="CY92" s="67">
        <f t="shared" si="209"/>
        <v>3331.4369999999999</v>
      </c>
      <c r="CZ92" s="67">
        <f t="shared" si="210"/>
        <v>13478.787</v>
      </c>
      <c r="DA92" s="30">
        <f t="shared" si="211"/>
        <v>250.18539999999999</v>
      </c>
      <c r="DB92" s="67">
        <f t="shared" si="212"/>
        <v>167.70840000000001</v>
      </c>
      <c r="DC92" s="67">
        <f t="shared" si="213"/>
        <v>345.84140000000002</v>
      </c>
      <c r="DD92" s="67">
        <f t="shared" si="214"/>
        <v>27729.921999999999</v>
      </c>
      <c r="DE92" s="30">
        <f t="shared" si="215"/>
        <v>291.71190000000001</v>
      </c>
      <c r="DF92" s="67">
        <f t="shared" si="216"/>
        <v>2455.0241999999998</v>
      </c>
      <c r="DG92" s="67">
        <f t="shared" si="217"/>
        <v>2566.2718999999997</v>
      </c>
      <c r="DH92" s="68">
        <f t="shared" si="218"/>
        <v>126459.73899999999</v>
      </c>
      <c r="DI92" s="2"/>
      <c r="DJ92" s="37" t="s">
        <v>548</v>
      </c>
      <c r="DK92" s="76" t="s">
        <v>548</v>
      </c>
      <c r="DL92" s="67">
        <f t="shared" si="180"/>
        <v>342.76960000000003</v>
      </c>
      <c r="DM92" s="67">
        <f t="shared" si="141"/>
        <v>277.38330000000002</v>
      </c>
      <c r="DN92" s="67">
        <f t="shared" si="142"/>
        <v>2840.4380000000001</v>
      </c>
      <c r="DO92" s="67">
        <f t="shared" si="143"/>
        <v>11292.2</v>
      </c>
      <c r="DP92" s="30">
        <f t="shared" si="144"/>
        <v>250.18539999999999</v>
      </c>
      <c r="DQ92" s="67">
        <f t="shared" si="145"/>
        <v>0</v>
      </c>
      <c r="DR92" s="67">
        <f t="shared" si="146"/>
        <v>345.84140000000002</v>
      </c>
      <c r="DS92" s="67">
        <f t="shared" si="147"/>
        <v>18153.439999999999</v>
      </c>
      <c r="DT92" s="30">
        <f t="shared" si="148"/>
        <v>291.71190000000001</v>
      </c>
      <c r="DU92" s="67">
        <f t="shared" si="149"/>
        <v>1008.451</v>
      </c>
      <c r="DV92" s="67">
        <f t="shared" si="150"/>
        <v>1599.0239999999999</v>
      </c>
      <c r="DW92" s="68">
        <f t="shared" si="151"/>
        <v>100077.4</v>
      </c>
      <c r="DX92" s="2"/>
      <c r="DY92" s="81" t="s">
        <v>548</v>
      </c>
      <c r="DZ92" s="82"/>
      <c r="EA92" s="82"/>
      <c r="EB92" s="82"/>
      <c r="EC92" s="83"/>
      <c r="ED92" s="84">
        <v>1</v>
      </c>
      <c r="EE92" s="2"/>
      <c r="EF92" s="38" t="s">
        <v>548</v>
      </c>
      <c r="EG92" s="93" t="s">
        <v>548</v>
      </c>
      <c r="EH92" s="94">
        <v>231.9075</v>
      </c>
      <c r="EI92" s="94">
        <v>1081.42</v>
      </c>
      <c r="EJ92" s="94">
        <v>2382.7159999999999</v>
      </c>
      <c r="EK92" s="94">
        <v>6916.232</v>
      </c>
      <c r="EL92" s="94">
        <v>43.09695</v>
      </c>
      <c r="EM92" s="94">
        <v>574.74069999999995</v>
      </c>
      <c r="EN92" s="94">
        <v>1088.77</v>
      </c>
      <c r="EO92" s="94">
        <v>6701.3389999999999</v>
      </c>
      <c r="EP92" s="94"/>
      <c r="EQ92" s="94">
        <v>838.73950000000002</v>
      </c>
      <c r="ER92" s="94">
        <v>1576.463</v>
      </c>
      <c r="ES92" s="95">
        <v>14089.78</v>
      </c>
      <c r="ET92" s="38" t="s">
        <v>548</v>
      </c>
      <c r="EU92" s="93" t="s">
        <v>548</v>
      </c>
      <c r="EV92" s="94">
        <v>5259.4769999999999</v>
      </c>
      <c r="EW92" s="94">
        <v>20971.48</v>
      </c>
      <c r="EX92" s="94">
        <v>10485.74</v>
      </c>
      <c r="EY92" s="94">
        <v>1125.172</v>
      </c>
      <c r="EZ92" s="94">
        <v>687.27200000000005</v>
      </c>
      <c r="FA92" s="94">
        <v>980.28740000000005</v>
      </c>
      <c r="FB92" s="94">
        <v>1095.1310000000001</v>
      </c>
      <c r="FC92" s="94">
        <v>1470.431</v>
      </c>
      <c r="FD92" s="94">
        <v>24569.79</v>
      </c>
      <c r="FE92" s="94">
        <v>122849</v>
      </c>
      <c r="FF92" s="94"/>
      <c r="FG92" s="95">
        <v>24569.79</v>
      </c>
      <c r="FH92" s="38" t="s">
        <v>548</v>
      </c>
      <c r="FI92" s="93" t="s">
        <v>548</v>
      </c>
      <c r="FJ92" s="94"/>
      <c r="FK92" s="94"/>
      <c r="FL92" s="94"/>
      <c r="FM92" s="94"/>
      <c r="FN92" s="94"/>
      <c r="FO92" s="94"/>
      <c r="FP92" s="94"/>
      <c r="FQ92" s="94"/>
      <c r="FR92" s="94"/>
      <c r="FS92" s="94"/>
      <c r="FT92" s="94"/>
      <c r="FU92" s="95"/>
      <c r="FV92" s="38" t="s">
        <v>548</v>
      </c>
      <c r="FW92" s="93" t="s">
        <v>548</v>
      </c>
      <c r="FX92" s="94"/>
      <c r="FY92" s="94"/>
      <c r="FZ92" s="94"/>
      <c r="GA92" s="94"/>
      <c r="GB92" s="94"/>
      <c r="GC92" s="94"/>
      <c r="GD92" s="94"/>
      <c r="GE92" s="94"/>
      <c r="GF92" s="94"/>
      <c r="GG92" s="94"/>
      <c r="GH92" s="94"/>
      <c r="GI92" s="95"/>
      <c r="GJ92" s="38" t="s">
        <v>548</v>
      </c>
      <c r="GK92" s="93" t="s">
        <v>548</v>
      </c>
      <c r="GL92" s="94">
        <v>342.76960000000003</v>
      </c>
      <c r="GM92" s="94">
        <v>277.38330000000002</v>
      </c>
      <c r="GN92" s="94">
        <v>2840.4380000000001</v>
      </c>
      <c r="GO92" s="94">
        <v>11292.2</v>
      </c>
      <c r="GP92" s="94">
        <v>250.18539999999999</v>
      </c>
      <c r="GQ92" s="94"/>
      <c r="GR92" s="94">
        <v>345.84140000000002</v>
      </c>
      <c r="GS92" s="94">
        <v>18153.439999999999</v>
      </c>
      <c r="GT92" s="94">
        <v>291.71190000000001</v>
      </c>
      <c r="GU92" s="94">
        <v>1008.451</v>
      </c>
      <c r="GV92" s="94">
        <v>1599.0239999999999</v>
      </c>
      <c r="GW92" s="95">
        <v>100077.4</v>
      </c>
      <c r="GX92" s="38"/>
    </row>
    <row r="93" spans="1:206" x14ac:dyDescent="0.35">
      <c r="A93" s="2"/>
      <c r="B93" s="2"/>
      <c r="C93" s="42" t="s">
        <v>549</v>
      </c>
      <c r="D93" s="43">
        <f t="shared" si="152"/>
        <v>1.2285950633763596E-3</v>
      </c>
      <c r="E93" s="43">
        <f t="shared" si="119"/>
        <v>3.2619224452982692E-3</v>
      </c>
      <c r="F93" s="43">
        <f t="shared" si="120"/>
        <v>1.1940927819005387E-2</v>
      </c>
      <c r="G93" s="43">
        <f t="shared" si="121"/>
        <v>4.8312251636380386E-2</v>
      </c>
      <c r="H93" s="43">
        <f t="shared" si="122"/>
        <v>2.5333212221364172E-3</v>
      </c>
      <c r="I93" s="43">
        <f t="shared" si="123"/>
        <v>1.6981776268740827E-3</v>
      </c>
      <c r="J93" s="43">
        <f t="shared" si="124"/>
        <v>3.501912414207102E-3</v>
      </c>
      <c r="K93" s="43">
        <f t="shared" si="125"/>
        <v>0.28078696794772007</v>
      </c>
      <c r="L93" s="43">
        <f t="shared" si="126"/>
        <v>1.4317115597297714E-3</v>
      </c>
      <c r="M93" s="43">
        <f t="shared" si="127"/>
        <v>1.2049170865351514E-2</v>
      </c>
      <c r="N93" s="43">
        <f t="shared" si="128"/>
        <v>1.259517059345088E-2</v>
      </c>
      <c r="O93" s="44">
        <f t="shared" si="129"/>
        <v>0.62065987080646967</v>
      </c>
      <c r="P93" s="115">
        <f t="shared" si="153"/>
        <v>1</v>
      </c>
      <c r="Q93" s="2"/>
      <c r="R93" s="42" t="s">
        <v>549</v>
      </c>
      <c r="S93" s="43">
        <f t="shared" si="154"/>
        <v>1.2285950633763596E-3</v>
      </c>
      <c r="T93" s="43">
        <f t="shared" si="155"/>
        <v>3.2619224452982692E-3</v>
      </c>
      <c r="U93" s="43">
        <f t="shared" si="156"/>
        <v>1.1940927819005387E-2</v>
      </c>
      <c r="V93" s="43">
        <f t="shared" si="157"/>
        <v>4.8312251636380386E-2</v>
      </c>
      <c r="W93" s="29">
        <f t="shared" si="158"/>
        <v>2.5333212221364172E-3</v>
      </c>
      <c r="X93" s="43">
        <f t="shared" si="159"/>
        <v>1.6981776268740827E-3</v>
      </c>
      <c r="Y93" s="43">
        <f t="shared" si="160"/>
        <v>3.501912414207102E-3</v>
      </c>
      <c r="Z93" s="43">
        <f t="shared" si="161"/>
        <v>0.28078696794772007</v>
      </c>
      <c r="AA93" s="29">
        <f t="shared" si="162"/>
        <v>1.4317115597297714E-3</v>
      </c>
      <c r="AB93" s="43">
        <f t="shared" si="163"/>
        <v>1.2049170865351514E-2</v>
      </c>
      <c r="AC93" s="43">
        <f t="shared" si="164"/>
        <v>1.259517059345088E-2</v>
      </c>
      <c r="AD93" s="43">
        <f t="shared" si="165"/>
        <v>0.62065987080646967</v>
      </c>
      <c r="AE93" s="32">
        <f t="shared" si="166"/>
        <v>5.193627845242548E-3</v>
      </c>
      <c r="AF93" s="53">
        <f t="shared" si="167"/>
        <v>1.7009270937523864E-2</v>
      </c>
      <c r="AG93" s="53">
        <f t="shared" si="168"/>
        <v>2.8038010826663368E-2</v>
      </c>
      <c r="AH93" s="53">
        <f t="shared" si="169"/>
        <v>0.94975909039057016</v>
      </c>
      <c r="AI93" s="34">
        <f t="shared" si="170"/>
        <v>6.4743696964060404E-2</v>
      </c>
      <c r="AJ93" s="35">
        <f t="shared" si="171"/>
        <v>0.28852037921093765</v>
      </c>
      <c r="AK93" s="34">
        <f t="shared" si="172"/>
        <v>6.4743696964060404E-2</v>
      </c>
      <c r="AL93" s="35">
        <f t="shared" si="173"/>
        <v>0.28852037921093765</v>
      </c>
      <c r="AM93" s="35">
        <f t="shared" si="174"/>
        <v>0.64673592382500189</v>
      </c>
      <c r="AN93" s="36">
        <v>1</v>
      </c>
      <c r="AO93" s="54">
        <v>1</v>
      </c>
      <c r="AP93" s="2"/>
      <c r="AQ93" s="42" t="s">
        <v>549</v>
      </c>
      <c r="AR93" s="43">
        <f t="shared" si="175"/>
        <v>1.9221143593511573E-3</v>
      </c>
      <c r="AS93" s="43">
        <f t="shared" si="186"/>
        <v>5.1032176166875883E-3</v>
      </c>
      <c r="AT93" s="43">
        <f t="shared" si="187"/>
        <v>1.8681361751373925E-2</v>
      </c>
      <c r="AU93" s="43">
        <f t="shared" si="188"/>
        <v>7.5583628301155364E-2</v>
      </c>
      <c r="AV93" s="29">
        <f t="shared" si="189"/>
        <v>1.4029393208733008E-3</v>
      </c>
      <c r="AW93" s="43">
        <f t="shared" si="190"/>
        <v>9.4044140385789057E-4</v>
      </c>
      <c r="AX93" s="43">
        <f t="shared" si="191"/>
        <v>1.9393397810018953E-3</v>
      </c>
      <c r="AY93" s="43">
        <f t="shared" si="192"/>
        <v>0.15549827423402646</v>
      </c>
      <c r="AZ93" s="29">
        <f t="shared" si="193"/>
        <v>1.635803267803238E-3</v>
      </c>
      <c r="BA93" s="43">
        <f t="shared" si="194"/>
        <v>1.3766790483679377E-2</v>
      </c>
      <c r="BB93" s="43">
        <f t="shared" si="195"/>
        <v>1.439062294027643E-2</v>
      </c>
      <c r="BC93" s="44">
        <f t="shared" si="196"/>
        <v>0.70913546653991344</v>
      </c>
      <c r="BD93" s="2"/>
      <c r="BE93" s="42" t="s">
        <v>549</v>
      </c>
      <c r="BF93" s="62">
        <v>1</v>
      </c>
      <c r="BG93" s="62">
        <v>1</v>
      </c>
      <c r="BH93" s="62">
        <v>1</v>
      </c>
      <c r="BI93" s="62">
        <v>1</v>
      </c>
      <c r="BJ93" s="36">
        <v>1</v>
      </c>
      <c r="BK93" s="62">
        <v>1</v>
      </c>
      <c r="BL93" s="62">
        <v>1</v>
      </c>
      <c r="BM93" s="62">
        <v>1</v>
      </c>
      <c r="BN93" s="36">
        <v>1</v>
      </c>
      <c r="BO93" s="62">
        <v>1</v>
      </c>
      <c r="BP93" s="62">
        <v>1</v>
      </c>
      <c r="BQ93" s="54">
        <v>1</v>
      </c>
      <c r="BR93" s="2"/>
      <c r="BS93" s="42" t="s">
        <v>549</v>
      </c>
      <c r="BT93" s="67">
        <f t="shared" si="176"/>
        <v>342.76960000000003</v>
      </c>
      <c r="BU93" s="67">
        <f t="shared" si="130"/>
        <v>910.05400000000009</v>
      </c>
      <c r="BV93" s="67">
        <f t="shared" si="131"/>
        <v>3331.4369999999999</v>
      </c>
      <c r="BW93" s="67">
        <f t="shared" si="132"/>
        <v>13478.787</v>
      </c>
      <c r="BX93" s="30">
        <f t="shared" si="133"/>
        <v>250.18539999999999</v>
      </c>
      <c r="BY93" s="67">
        <f t="shared" si="134"/>
        <v>167.70840000000001</v>
      </c>
      <c r="BZ93" s="67">
        <f t="shared" si="135"/>
        <v>345.84140000000002</v>
      </c>
      <c r="CA93" s="67">
        <f t="shared" si="136"/>
        <v>27729.921999999999</v>
      </c>
      <c r="CB93" s="30">
        <f t="shared" si="137"/>
        <v>291.71190000000001</v>
      </c>
      <c r="CC93" s="67">
        <f t="shared" si="138"/>
        <v>2455.0241999999998</v>
      </c>
      <c r="CD93" s="67">
        <f t="shared" si="139"/>
        <v>2566.2718999999997</v>
      </c>
      <c r="CE93" s="68">
        <f t="shared" si="140"/>
        <v>126459.73899999999</v>
      </c>
      <c r="CF93" s="2"/>
      <c r="CG93" s="37" t="str">
        <f t="shared" si="177"/>
        <v>abank</v>
      </c>
      <c r="CH93" s="42" t="s">
        <v>549</v>
      </c>
      <c r="CI93" s="67">
        <f t="shared" si="178"/>
        <v>342.76960000000003</v>
      </c>
      <c r="CJ93" s="67">
        <f t="shared" si="197"/>
        <v>910.05400000000009</v>
      </c>
      <c r="CK93" s="67">
        <f t="shared" si="198"/>
        <v>3331.4369999999999</v>
      </c>
      <c r="CL93" s="67">
        <f t="shared" si="199"/>
        <v>13478.787</v>
      </c>
      <c r="CM93" s="30">
        <f t="shared" si="200"/>
        <v>250.18539999999999</v>
      </c>
      <c r="CN93" s="67">
        <f t="shared" si="201"/>
        <v>167.70840000000001</v>
      </c>
      <c r="CO93" s="67">
        <f t="shared" si="202"/>
        <v>345.84140000000002</v>
      </c>
      <c r="CP93" s="67">
        <f t="shared" si="203"/>
        <v>27729.921999999999</v>
      </c>
      <c r="CQ93" s="30">
        <f t="shared" si="204"/>
        <v>291.71190000000001</v>
      </c>
      <c r="CR93" s="67">
        <f t="shared" si="205"/>
        <v>2455.0241999999998</v>
      </c>
      <c r="CS93" s="67">
        <f t="shared" si="206"/>
        <v>2566.2718999999997</v>
      </c>
      <c r="CT93" s="68">
        <f t="shared" si="207"/>
        <v>126459.73899999999</v>
      </c>
      <c r="CU93" s="2"/>
      <c r="CV93" s="42" t="s">
        <v>549</v>
      </c>
      <c r="CW93" s="67">
        <f t="shared" si="179"/>
        <v>0</v>
      </c>
      <c r="CX93" s="67">
        <f t="shared" si="208"/>
        <v>0</v>
      </c>
      <c r="CY93" s="67">
        <f t="shared" si="209"/>
        <v>0</v>
      </c>
      <c r="CZ93" s="67">
        <f t="shared" si="210"/>
        <v>0</v>
      </c>
      <c r="DA93" s="30">
        <f t="shared" si="211"/>
        <v>0</v>
      </c>
      <c r="DB93" s="67">
        <f t="shared" si="212"/>
        <v>0</v>
      </c>
      <c r="DC93" s="67">
        <f t="shared" si="213"/>
        <v>0</v>
      </c>
      <c r="DD93" s="67">
        <f t="shared" si="214"/>
        <v>0</v>
      </c>
      <c r="DE93" s="30">
        <f t="shared" si="215"/>
        <v>0</v>
      </c>
      <c r="DF93" s="67">
        <f t="shared" si="216"/>
        <v>0</v>
      </c>
      <c r="DG93" s="67">
        <f t="shared" si="217"/>
        <v>0</v>
      </c>
      <c r="DH93" s="68">
        <f t="shared" si="218"/>
        <v>0</v>
      </c>
      <c r="DI93" s="2"/>
      <c r="DJ93" s="37" t="s">
        <v>548</v>
      </c>
      <c r="DK93" s="76" t="s">
        <v>549</v>
      </c>
      <c r="DL93" s="67">
        <f t="shared" si="180"/>
        <v>0</v>
      </c>
      <c r="DM93" s="67">
        <f t="shared" si="141"/>
        <v>0</v>
      </c>
      <c r="DN93" s="67">
        <f t="shared" si="142"/>
        <v>0</v>
      </c>
      <c r="DO93" s="67">
        <f t="shared" si="143"/>
        <v>2186.587</v>
      </c>
      <c r="DP93" s="30">
        <f t="shared" si="144"/>
        <v>0</v>
      </c>
      <c r="DQ93" s="67">
        <f t="shared" si="145"/>
        <v>167.70840000000001</v>
      </c>
      <c r="DR93" s="67">
        <f t="shared" si="146"/>
        <v>0</v>
      </c>
      <c r="DS93" s="67">
        <f t="shared" si="147"/>
        <v>9576.482</v>
      </c>
      <c r="DT93" s="30">
        <f t="shared" si="148"/>
        <v>0</v>
      </c>
      <c r="DU93" s="67">
        <f t="shared" si="149"/>
        <v>556.5299</v>
      </c>
      <c r="DV93" s="67">
        <f t="shared" si="150"/>
        <v>458.90370000000001</v>
      </c>
      <c r="DW93" s="68">
        <f t="shared" si="151"/>
        <v>20826.759999999998</v>
      </c>
      <c r="DX93" s="2"/>
      <c r="DY93" s="81" t="s">
        <v>549</v>
      </c>
      <c r="DZ93" s="82"/>
      <c r="EA93" s="82"/>
      <c r="EB93" s="82"/>
      <c r="EC93" s="83"/>
      <c r="ED93" s="84">
        <v>1</v>
      </c>
      <c r="EE93" s="2"/>
      <c r="EF93" s="38" t="s">
        <v>549</v>
      </c>
      <c r="EG93" s="93" t="s">
        <v>549</v>
      </c>
      <c r="EH93" s="94"/>
      <c r="EI93" s="94"/>
      <c r="EJ93" s="94"/>
      <c r="EK93" s="94"/>
      <c r="EL93" s="94"/>
      <c r="EM93" s="94"/>
      <c r="EN93" s="94"/>
      <c r="EO93" s="94"/>
      <c r="EP93" s="94"/>
      <c r="EQ93" s="94"/>
      <c r="ER93" s="94"/>
      <c r="ES93" s="95"/>
      <c r="ET93" s="38" t="s">
        <v>549</v>
      </c>
      <c r="EU93" s="93" t="s">
        <v>549</v>
      </c>
      <c r="EV93" s="94"/>
      <c r="EW93" s="94"/>
      <c r="EX93" s="94"/>
      <c r="EY93" s="94"/>
      <c r="EZ93" s="94"/>
      <c r="FA93" s="94"/>
      <c r="FB93" s="94"/>
      <c r="FC93" s="94"/>
      <c r="FD93" s="94"/>
      <c r="FE93" s="94"/>
      <c r="FF93" s="94"/>
      <c r="FG93" s="95"/>
      <c r="FH93" s="38" t="s">
        <v>549</v>
      </c>
      <c r="FI93" s="93" t="s">
        <v>549</v>
      </c>
      <c r="FJ93" s="94"/>
      <c r="FK93" s="94"/>
      <c r="FL93" s="94"/>
      <c r="FM93" s="94"/>
      <c r="FN93" s="94"/>
      <c r="FO93" s="94"/>
      <c r="FP93" s="94"/>
      <c r="FQ93" s="94"/>
      <c r="FR93" s="94"/>
      <c r="FS93" s="94"/>
      <c r="FT93" s="94"/>
      <c r="FU93" s="95"/>
      <c r="FV93" s="38" t="s">
        <v>549</v>
      </c>
      <c r="FW93" s="93" t="s">
        <v>549</v>
      </c>
      <c r="FX93" s="94"/>
      <c r="FY93" s="94"/>
      <c r="FZ93" s="94"/>
      <c r="GA93" s="94"/>
      <c r="GB93" s="94"/>
      <c r="GC93" s="94"/>
      <c r="GD93" s="94"/>
      <c r="GE93" s="94"/>
      <c r="GF93" s="94"/>
      <c r="GG93" s="94"/>
      <c r="GH93" s="94"/>
      <c r="GI93" s="95"/>
      <c r="GJ93" s="38" t="s">
        <v>549</v>
      </c>
      <c r="GK93" s="93" t="s">
        <v>549</v>
      </c>
      <c r="GL93" s="94"/>
      <c r="GM93" s="94">
        <v>0</v>
      </c>
      <c r="GN93" s="94"/>
      <c r="GO93" s="94">
        <v>2186.587</v>
      </c>
      <c r="GP93" s="94"/>
      <c r="GQ93" s="94">
        <v>167.70840000000001</v>
      </c>
      <c r="GR93" s="94"/>
      <c r="GS93" s="94">
        <v>9576.482</v>
      </c>
      <c r="GT93" s="94"/>
      <c r="GU93" s="94">
        <v>556.5299</v>
      </c>
      <c r="GV93" s="94">
        <v>458.90370000000001</v>
      </c>
      <c r="GW93" s="95">
        <v>20826.759999999998</v>
      </c>
      <c r="GX93" s="38"/>
    </row>
    <row r="94" spans="1:206" x14ac:dyDescent="0.35">
      <c r="A94" s="2"/>
      <c r="B94" s="2"/>
      <c r="C94" s="42" t="s">
        <v>550</v>
      </c>
      <c r="D94" s="43">
        <f t="shared" si="152"/>
        <v>1.9732065397070299E-3</v>
      </c>
      <c r="E94" s="43">
        <f t="shared" si="119"/>
        <v>5.2388674616609563E-3</v>
      </c>
      <c r="F94" s="43">
        <f t="shared" si="120"/>
        <v>1.9177935485007909E-2</v>
      </c>
      <c r="G94" s="43">
        <f t="shared" si="121"/>
        <v>7.75927347574525E-2</v>
      </c>
      <c r="H94" s="43">
        <f t="shared" si="122"/>
        <v>1.2465237639937747E-3</v>
      </c>
      <c r="I94" s="43">
        <f t="shared" si="123"/>
        <v>8.3559035028172538E-4</v>
      </c>
      <c r="J94" s="43">
        <f t="shared" si="124"/>
        <v>1.7231202287298806E-3</v>
      </c>
      <c r="K94" s="43">
        <f t="shared" si="125"/>
        <v>0.13816156636915577</v>
      </c>
      <c r="L94" s="43">
        <f t="shared" si="126"/>
        <v>1.669279088010155E-3</v>
      </c>
      <c r="M94" s="43">
        <f t="shared" si="127"/>
        <v>1.4048520329883218E-2</v>
      </c>
      <c r="N94" s="43">
        <f t="shared" si="128"/>
        <v>1.4685119176893665E-2</v>
      </c>
      <c r="O94" s="44">
        <f t="shared" si="129"/>
        <v>0.72364753644922342</v>
      </c>
      <c r="P94" s="115">
        <f t="shared" si="153"/>
        <v>1</v>
      </c>
      <c r="Q94" s="2"/>
      <c r="R94" s="42" t="s">
        <v>550</v>
      </c>
      <c r="S94" s="43">
        <f t="shared" si="154"/>
        <v>1.9732065397070299E-3</v>
      </c>
      <c r="T94" s="43">
        <f t="shared" si="155"/>
        <v>5.2388674616609563E-3</v>
      </c>
      <c r="U94" s="43">
        <f t="shared" si="156"/>
        <v>1.9177935485007909E-2</v>
      </c>
      <c r="V94" s="43">
        <f t="shared" si="157"/>
        <v>7.75927347574525E-2</v>
      </c>
      <c r="W94" s="29">
        <f t="shared" si="158"/>
        <v>1.2465237639937747E-3</v>
      </c>
      <c r="X94" s="43">
        <f t="shared" si="159"/>
        <v>8.3559035028172538E-4</v>
      </c>
      <c r="Y94" s="43">
        <f t="shared" si="160"/>
        <v>1.7231202287298806E-3</v>
      </c>
      <c r="Z94" s="43">
        <f t="shared" si="161"/>
        <v>0.13816156636915577</v>
      </c>
      <c r="AA94" s="29">
        <f t="shared" si="162"/>
        <v>1.669279088010155E-3</v>
      </c>
      <c r="AB94" s="43">
        <f t="shared" si="163"/>
        <v>1.4048520329883218E-2</v>
      </c>
      <c r="AC94" s="43">
        <f t="shared" si="164"/>
        <v>1.4685119176893665E-2</v>
      </c>
      <c r="AD94" s="43">
        <f t="shared" si="165"/>
        <v>0.72364753644922342</v>
      </c>
      <c r="AE94" s="32">
        <f t="shared" si="166"/>
        <v>4.8890093917109594E-3</v>
      </c>
      <c r="AF94" s="53">
        <f t="shared" si="167"/>
        <v>2.0122978141825898E-2</v>
      </c>
      <c r="AG94" s="53">
        <f t="shared" si="168"/>
        <v>3.5586174890631456E-2</v>
      </c>
      <c r="AH94" s="53">
        <f t="shared" si="169"/>
        <v>0.93940183757583173</v>
      </c>
      <c r="AI94" s="34">
        <f t="shared" si="170"/>
        <v>0.13910872836783611</v>
      </c>
      <c r="AJ94" s="35">
        <f t="shared" si="171"/>
        <v>0</v>
      </c>
      <c r="AK94" s="34">
        <f>AVERAGE(AI92:AI94)</f>
        <v>0.1039827442438284</v>
      </c>
      <c r="AL94" s="35">
        <f t="shared" ref="AL94" si="221">AVERAGE(AJ92:AJ94)</f>
        <v>0.14196680071216114</v>
      </c>
      <c r="AM94" s="35">
        <f t="shared" si="174"/>
        <v>0.75405045504401047</v>
      </c>
      <c r="AN94" s="36">
        <v>1</v>
      </c>
      <c r="AO94" s="54">
        <v>1</v>
      </c>
      <c r="AP94" s="2"/>
      <c r="AQ94" s="42" t="s">
        <v>550</v>
      </c>
      <c r="AR94" s="43">
        <f t="shared" si="175"/>
        <v>1.9221143593511573E-3</v>
      </c>
      <c r="AS94" s="43">
        <f t="shared" si="186"/>
        <v>5.1032176166875883E-3</v>
      </c>
      <c r="AT94" s="43">
        <f t="shared" si="187"/>
        <v>1.8681361751373925E-2</v>
      </c>
      <c r="AU94" s="43">
        <f t="shared" si="188"/>
        <v>7.5583628301155364E-2</v>
      </c>
      <c r="AV94" s="29">
        <f t="shared" si="189"/>
        <v>1.4029393208733008E-3</v>
      </c>
      <c r="AW94" s="43">
        <f t="shared" si="190"/>
        <v>9.4044140385789057E-4</v>
      </c>
      <c r="AX94" s="43">
        <f t="shared" si="191"/>
        <v>1.9393397810018953E-3</v>
      </c>
      <c r="AY94" s="43">
        <f t="shared" si="192"/>
        <v>0.15549827423402646</v>
      </c>
      <c r="AZ94" s="29">
        <f t="shared" si="193"/>
        <v>1.635803267803238E-3</v>
      </c>
      <c r="BA94" s="43">
        <f t="shared" si="194"/>
        <v>1.3766790483679377E-2</v>
      </c>
      <c r="BB94" s="43">
        <f t="shared" si="195"/>
        <v>1.439062294027643E-2</v>
      </c>
      <c r="BC94" s="44">
        <f t="shared" si="196"/>
        <v>0.70913546653991344</v>
      </c>
      <c r="BD94" s="2"/>
      <c r="BE94" s="42" t="s">
        <v>550</v>
      </c>
      <c r="BF94" s="62">
        <v>1</v>
      </c>
      <c r="BG94" s="62">
        <v>1</v>
      </c>
      <c r="BH94" s="62">
        <v>1</v>
      </c>
      <c r="BI94" s="62">
        <v>1</v>
      </c>
      <c r="BJ94" s="36">
        <v>1</v>
      </c>
      <c r="BK94" s="62">
        <v>1</v>
      </c>
      <c r="BL94" s="62">
        <v>1</v>
      </c>
      <c r="BM94" s="62">
        <v>1</v>
      </c>
      <c r="BN94" s="36">
        <v>1</v>
      </c>
      <c r="BO94" s="62">
        <v>1</v>
      </c>
      <c r="BP94" s="62">
        <v>1</v>
      </c>
      <c r="BQ94" s="54">
        <v>1</v>
      </c>
      <c r="BR94" s="2"/>
      <c r="BS94" s="42" t="s">
        <v>550</v>
      </c>
      <c r="BT94" s="67">
        <f t="shared" si="176"/>
        <v>342.76960000000003</v>
      </c>
      <c r="BU94" s="67">
        <f t="shared" si="130"/>
        <v>910.05400000000009</v>
      </c>
      <c r="BV94" s="67">
        <f t="shared" si="131"/>
        <v>3331.4369999999999</v>
      </c>
      <c r="BW94" s="67">
        <f t="shared" si="132"/>
        <v>13478.787</v>
      </c>
      <c r="BX94" s="30">
        <f t="shared" si="133"/>
        <v>250.18539999999999</v>
      </c>
      <c r="BY94" s="67">
        <f t="shared" si="134"/>
        <v>167.70840000000001</v>
      </c>
      <c r="BZ94" s="67">
        <f t="shared" si="135"/>
        <v>345.84140000000002</v>
      </c>
      <c r="CA94" s="67">
        <f t="shared" si="136"/>
        <v>27729.921999999999</v>
      </c>
      <c r="CB94" s="30">
        <f t="shared" si="137"/>
        <v>291.71190000000001</v>
      </c>
      <c r="CC94" s="67">
        <f t="shared" si="138"/>
        <v>2455.0241999999998</v>
      </c>
      <c r="CD94" s="67">
        <f t="shared" si="139"/>
        <v>2566.2718999999997</v>
      </c>
      <c r="CE94" s="68">
        <f t="shared" si="140"/>
        <v>126459.73899999999</v>
      </c>
      <c r="CF94" s="2"/>
      <c r="CG94" s="37" t="str">
        <f t="shared" si="177"/>
        <v>abank</v>
      </c>
      <c r="CH94" s="42" t="s">
        <v>550</v>
      </c>
      <c r="CI94" s="67">
        <f t="shared" si="178"/>
        <v>342.76960000000003</v>
      </c>
      <c r="CJ94" s="67">
        <f t="shared" si="197"/>
        <v>910.05400000000009</v>
      </c>
      <c r="CK94" s="67">
        <f t="shared" si="198"/>
        <v>3331.4369999999999</v>
      </c>
      <c r="CL94" s="67">
        <f t="shared" si="199"/>
        <v>13478.787</v>
      </c>
      <c r="CM94" s="30">
        <f t="shared" si="200"/>
        <v>250.18539999999999</v>
      </c>
      <c r="CN94" s="67">
        <f t="shared" si="201"/>
        <v>167.70840000000001</v>
      </c>
      <c r="CO94" s="67">
        <f t="shared" si="202"/>
        <v>345.84140000000002</v>
      </c>
      <c r="CP94" s="67">
        <f t="shared" si="203"/>
        <v>27729.921999999999</v>
      </c>
      <c r="CQ94" s="30">
        <f t="shared" si="204"/>
        <v>291.71190000000001</v>
      </c>
      <c r="CR94" s="67">
        <f t="shared" si="205"/>
        <v>2455.0241999999998</v>
      </c>
      <c r="CS94" s="67">
        <f t="shared" si="206"/>
        <v>2566.2718999999997</v>
      </c>
      <c r="CT94" s="68">
        <f t="shared" si="207"/>
        <v>126459.73899999999</v>
      </c>
      <c r="CU94" s="2"/>
      <c r="CV94" s="42" t="s">
        <v>550</v>
      </c>
      <c r="CW94" s="67">
        <f t="shared" si="179"/>
        <v>0</v>
      </c>
      <c r="CX94" s="67">
        <f t="shared" si="208"/>
        <v>0</v>
      </c>
      <c r="CY94" s="67">
        <f t="shared" si="209"/>
        <v>0</v>
      </c>
      <c r="CZ94" s="67">
        <f t="shared" si="210"/>
        <v>0</v>
      </c>
      <c r="DA94" s="30">
        <f t="shared" si="211"/>
        <v>0</v>
      </c>
      <c r="DB94" s="67">
        <f t="shared" si="212"/>
        <v>0</v>
      </c>
      <c r="DC94" s="67">
        <f t="shared" si="213"/>
        <v>0</v>
      </c>
      <c r="DD94" s="67">
        <f t="shared" si="214"/>
        <v>0</v>
      </c>
      <c r="DE94" s="30">
        <f t="shared" si="215"/>
        <v>0</v>
      </c>
      <c r="DF94" s="67">
        <f t="shared" si="216"/>
        <v>0</v>
      </c>
      <c r="DG94" s="67">
        <f t="shared" si="217"/>
        <v>0</v>
      </c>
      <c r="DH94" s="68">
        <f t="shared" si="218"/>
        <v>0</v>
      </c>
      <c r="DI94" s="2"/>
      <c r="DJ94" s="37" t="s">
        <v>548</v>
      </c>
      <c r="DK94" s="76" t="s">
        <v>550</v>
      </c>
      <c r="DL94" s="67">
        <f t="shared" si="180"/>
        <v>0</v>
      </c>
      <c r="DM94" s="67">
        <f t="shared" si="141"/>
        <v>632.67070000000001</v>
      </c>
      <c r="DN94" s="67">
        <f t="shared" si="142"/>
        <v>490.99900000000002</v>
      </c>
      <c r="DO94" s="67">
        <f t="shared" si="143"/>
        <v>0</v>
      </c>
      <c r="DP94" s="30">
        <f t="shared" si="144"/>
        <v>0</v>
      </c>
      <c r="DQ94" s="67">
        <f t="shared" si="145"/>
        <v>0</v>
      </c>
      <c r="DR94" s="67">
        <f t="shared" si="146"/>
        <v>0</v>
      </c>
      <c r="DS94" s="67">
        <f t="shared" si="147"/>
        <v>0</v>
      </c>
      <c r="DT94" s="30">
        <f t="shared" si="148"/>
        <v>0</v>
      </c>
      <c r="DU94" s="67">
        <f t="shared" si="149"/>
        <v>890.04330000000004</v>
      </c>
      <c r="DV94" s="67">
        <f t="shared" si="150"/>
        <v>508.3442</v>
      </c>
      <c r="DW94" s="68">
        <f t="shared" si="151"/>
        <v>5555.5789999999997</v>
      </c>
      <c r="DX94" s="2"/>
      <c r="DY94" s="81" t="s">
        <v>550</v>
      </c>
      <c r="DZ94" s="82"/>
      <c r="EA94" s="82"/>
      <c r="EB94" s="82"/>
      <c r="EC94" s="83"/>
      <c r="ED94" s="84">
        <v>1</v>
      </c>
      <c r="EE94" s="2"/>
      <c r="EF94" s="38" t="s">
        <v>550</v>
      </c>
      <c r="EG94" s="93" t="s">
        <v>550</v>
      </c>
      <c r="EH94" s="94"/>
      <c r="EI94" s="94"/>
      <c r="EJ94" s="94"/>
      <c r="EK94" s="94"/>
      <c r="EL94" s="94"/>
      <c r="EM94" s="94"/>
      <c r="EN94" s="94"/>
      <c r="EO94" s="94"/>
      <c r="EP94" s="94"/>
      <c r="EQ94" s="94"/>
      <c r="ER94" s="94"/>
      <c r="ES94" s="95"/>
      <c r="ET94" s="38" t="s">
        <v>550</v>
      </c>
      <c r="EU94" s="93" t="s">
        <v>550</v>
      </c>
      <c r="EV94" s="94"/>
      <c r="EW94" s="94"/>
      <c r="EX94" s="94"/>
      <c r="EY94" s="94"/>
      <c r="EZ94" s="94"/>
      <c r="FA94" s="94"/>
      <c r="FB94" s="94"/>
      <c r="FC94" s="94"/>
      <c r="FD94" s="94"/>
      <c r="FE94" s="94"/>
      <c r="FF94" s="94"/>
      <c r="FG94" s="95"/>
      <c r="FH94" s="38" t="s">
        <v>550</v>
      </c>
      <c r="FI94" s="93" t="s">
        <v>550</v>
      </c>
      <c r="FJ94" s="94"/>
      <c r="FK94" s="94"/>
      <c r="FL94" s="94"/>
      <c r="FM94" s="94"/>
      <c r="FN94" s="94"/>
      <c r="FO94" s="94"/>
      <c r="FP94" s="94"/>
      <c r="FQ94" s="94"/>
      <c r="FR94" s="94"/>
      <c r="FS94" s="94"/>
      <c r="FT94" s="94"/>
      <c r="FU94" s="95"/>
      <c r="FV94" s="38" t="s">
        <v>550</v>
      </c>
      <c r="FW94" s="93" t="s">
        <v>550</v>
      </c>
      <c r="FX94" s="94"/>
      <c r="FY94" s="94"/>
      <c r="FZ94" s="94"/>
      <c r="GA94" s="94"/>
      <c r="GB94" s="94"/>
      <c r="GC94" s="94"/>
      <c r="GD94" s="94"/>
      <c r="GE94" s="94"/>
      <c r="GF94" s="94"/>
      <c r="GG94" s="94"/>
      <c r="GH94" s="94"/>
      <c r="GI94" s="95"/>
      <c r="GJ94" s="38" t="s">
        <v>550</v>
      </c>
      <c r="GK94" s="93" t="s">
        <v>550</v>
      </c>
      <c r="GL94" s="94">
        <v>0</v>
      </c>
      <c r="GM94" s="94">
        <v>632.67070000000001</v>
      </c>
      <c r="GN94" s="94">
        <v>490.99900000000002</v>
      </c>
      <c r="GO94" s="94"/>
      <c r="GP94" s="94"/>
      <c r="GQ94" s="94">
        <v>0</v>
      </c>
      <c r="GR94" s="94"/>
      <c r="GS94" s="94"/>
      <c r="GT94" s="94">
        <v>0</v>
      </c>
      <c r="GU94" s="94">
        <v>890.04330000000004</v>
      </c>
      <c r="GV94" s="94">
        <v>508.3442</v>
      </c>
      <c r="GW94" s="95">
        <v>5555.5789999999997</v>
      </c>
      <c r="GX94" s="38"/>
    </row>
    <row r="95" spans="1:206" x14ac:dyDescent="0.35">
      <c r="A95" s="2"/>
      <c r="B95" s="2"/>
      <c r="C95" s="42" t="s">
        <v>551</v>
      </c>
      <c r="D95" s="43">
        <f t="shared" si="152"/>
        <v>0</v>
      </c>
      <c r="E95" s="43">
        <f t="shared" si="119"/>
        <v>0</v>
      </c>
      <c r="F95" s="43">
        <f t="shared" si="120"/>
        <v>0</v>
      </c>
      <c r="G95" s="43">
        <f t="shared" si="121"/>
        <v>0</v>
      </c>
      <c r="H95" s="43">
        <f t="shared" si="122"/>
        <v>0</v>
      </c>
      <c r="I95" s="43">
        <f t="shared" si="123"/>
        <v>0</v>
      </c>
      <c r="J95" s="43">
        <f t="shared" si="124"/>
        <v>0</v>
      </c>
      <c r="K95" s="43">
        <f t="shared" si="125"/>
        <v>0</v>
      </c>
      <c r="L95" s="43">
        <f t="shared" si="126"/>
        <v>9.3660663342116351E-3</v>
      </c>
      <c r="M95" s="43">
        <f t="shared" si="127"/>
        <v>4.7767911044244812E-2</v>
      </c>
      <c r="N95" s="43">
        <f t="shared" si="128"/>
        <v>0</v>
      </c>
      <c r="O95" s="44">
        <f t="shared" si="129"/>
        <v>0.94286602262154351</v>
      </c>
      <c r="P95" s="115">
        <f t="shared" si="153"/>
        <v>1</v>
      </c>
      <c r="Q95" s="2"/>
      <c r="R95" s="42" t="s">
        <v>551</v>
      </c>
      <c r="S95" s="43">
        <f t="shared" si="154"/>
        <v>0</v>
      </c>
      <c r="T95" s="43">
        <f t="shared" si="155"/>
        <v>0</v>
      </c>
      <c r="U95" s="43">
        <f t="shared" si="156"/>
        <v>0</v>
      </c>
      <c r="V95" s="43">
        <f t="shared" si="157"/>
        <v>0</v>
      </c>
      <c r="W95" s="29">
        <f t="shared" si="158"/>
        <v>0</v>
      </c>
      <c r="X95" s="43">
        <f t="shared" si="159"/>
        <v>0</v>
      </c>
      <c r="Y95" s="43">
        <f t="shared" si="160"/>
        <v>0</v>
      </c>
      <c r="Z95" s="43">
        <f t="shared" si="161"/>
        <v>0</v>
      </c>
      <c r="AA95" s="29">
        <f t="shared" si="162"/>
        <v>9.3660663342116351E-3</v>
      </c>
      <c r="AB95" s="43">
        <f t="shared" si="163"/>
        <v>4.7767911044244812E-2</v>
      </c>
      <c r="AC95" s="43">
        <f t="shared" si="164"/>
        <v>0</v>
      </c>
      <c r="AD95" s="43">
        <f t="shared" si="165"/>
        <v>0.94286602262154351</v>
      </c>
      <c r="AE95" s="32">
        <f t="shared" si="166"/>
        <v>9.3660663342116351E-3</v>
      </c>
      <c r="AF95" s="53">
        <f t="shared" si="167"/>
        <v>4.7767911044244812E-2</v>
      </c>
      <c r="AG95" s="53">
        <f t="shared" si="168"/>
        <v>0</v>
      </c>
      <c r="AH95" s="53">
        <f t="shared" si="169"/>
        <v>0.94286602262154351</v>
      </c>
      <c r="AI95" s="34">
        <f t="shared" si="170"/>
        <v>0</v>
      </c>
      <c r="AJ95" s="35">
        <f t="shared" si="171"/>
        <v>0</v>
      </c>
      <c r="AK95" s="34">
        <f t="shared" si="172"/>
        <v>0</v>
      </c>
      <c r="AL95" s="35">
        <f t="shared" si="173"/>
        <v>0</v>
      </c>
      <c r="AM95" s="35">
        <f t="shared" si="174"/>
        <v>1</v>
      </c>
      <c r="AN95" s="36">
        <v>1</v>
      </c>
      <c r="AO95" s="54">
        <v>1</v>
      </c>
      <c r="AP95" s="2"/>
      <c r="AQ95" s="42" t="s">
        <v>551</v>
      </c>
      <c r="AR95" s="43">
        <f t="shared" si="175"/>
        <v>0</v>
      </c>
      <c r="AS95" s="43">
        <f t="shared" si="186"/>
        <v>0</v>
      </c>
      <c r="AT95" s="43">
        <f t="shared" si="187"/>
        <v>0</v>
      </c>
      <c r="AU95" s="43">
        <f t="shared" si="188"/>
        <v>0</v>
      </c>
      <c r="AV95" s="29">
        <f t="shared" si="189"/>
        <v>0</v>
      </c>
      <c r="AW95" s="43">
        <f t="shared" si="190"/>
        <v>0</v>
      </c>
      <c r="AX95" s="43">
        <f t="shared" si="191"/>
        <v>0</v>
      </c>
      <c r="AY95" s="43">
        <f t="shared" si="192"/>
        <v>0</v>
      </c>
      <c r="AZ95" s="29">
        <f t="shared" si="193"/>
        <v>9.3660663342116351E-3</v>
      </c>
      <c r="BA95" s="43">
        <f t="shared" si="194"/>
        <v>4.7767911044244812E-2</v>
      </c>
      <c r="BB95" s="43">
        <f t="shared" si="195"/>
        <v>0</v>
      </c>
      <c r="BC95" s="44">
        <f t="shared" si="196"/>
        <v>0.94286602262154351</v>
      </c>
      <c r="BD95" s="2"/>
      <c r="BE95" s="42" t="s">
        <v>551</v>
      </c>
      <c r="BF95" s="62">
        <v>1</v>
      </c>
      <c r="BG95" s="62">
        <v>1</v>
      </c>
      <c r="BH95" s="62">
        <v>1</v>
      </c>
      <c r="BI95" s="62">
        <v>1</v>
      </c>
      <c r="BJ95" s="36">
        <v>1</v>
      </c>
      <c r="BK95" s="62">
        <v>1</v>
      </c>
      <c r="BL95" s="62">
        <v>1</v>
      </c>
      <c r="BM95" s="62">
        <v>1</v>
      </c>
      <c r="BN95" s="36">
        <v>1</v>
      </c>
      <c r="BO95" s="62">
        <v>1</v>
      </c>
      <c r="BP95" s="62">
        <v>1</v>
      </c>
      <c r="BQ95" s="54">
        <v>1</v>
      </c>
      <c r="BR95" s="2"/>
      <c r="BS95" s="42" t="s">
        <v>551</v>
      </c>
      <c r="BT95" s="67">
        <f t="shared" si="176"/>
        <v>0</v>
      </c>
      <c r="BU95" s="67">
        <f t="shared" si="130"/>
        <v>0</v>
      </c>
      <c r="BV95" s="67">
        <f t="shared" si="131"/>
        <v>0</v>
      </c>
      <c r="BW95" s="67">
        <f t="shared" si="132"/>
        <v>0</v>
      </c>
      <c r="BX95" s="30">
        <f t="shared" si="133"/>
        <v>0</v>
      </c>
      <c r="BY95" s="67">
        <f t="shared" si="134"/>
        <v>0</v>
      </c>
      <c r="BZ95" s="67">
        <f t="shared" si="135"/>
        <v>0</v>
      </c>
      <c r="CA95" s="67">
        <f t="shared" si="136"/>
        <v>0</v>
      </c>
      <c r="CB95" s="30">
        <f t="shared" si="137"/>
        <v>40.170279999999998</v>
      </c>
      <c r="CC95" s="67">
        <f t="shared" si="138"/>
        <v>204.87260000000001</v>
      </c>
      <c r="CD95" s="67">
        <f t="shared" si="139"/>
        <v>0</v>
      </c>
      <c r="CE95" s="68">
        <f t="shared" si="140"/>
        <v>4043.8739999999998</v>
      </c>
      <c r="CF95" s="2"/>
      <c r="CG95" s="37" t="str">
        <f t="shared" si="177"/>
        <v>arent</v>
      </c>
      <c r="CH95" s="42" t="s">
        <v>551</v>
      </c>
      <c r="CI95" s="67">
        <f t="shared" si="178"/>
        <v>0</v>
      </c>
      <c r="CJ95" s="67">
        <f t="shared" si="197"/>
        <v>0</v>
      </c>
      <c r="CK95" s="67">
        <f t="shared" si="198"/>
        <v>0</v>
      </c>
      <c r="CL95" s="67">
        <f t="shared" si="199"/>
        <v>0</v>
      </c>
      <c r="CM95" s="30">
        <f t="shared" si="200"/>
        <v>0</v>
      </c>
      <c r="CN95" s="67">
        <f t="shared" si="201"/>
        <v>0</v>
      </c>
      <c r="CO95" s="67">
        <f t="shared" si="202"/>
        <v>0</v>
      </c>
      <c r="CP95" s="67">
        <f t="shared" si="203"/>
        <v>0</v>
      </c>
      <c r="CQ95" s="30">
        <f t="shared" si="204"/>
        <v>40.170279999999998</v>
      </c>
      <c r="CR95" s="67">
        <f t="shared" si="205"/>
        <v>204.87260000000001</v>
      </c>
      <c r="CS95" s="67">
        <f t="shared" si="206"/>
        <v>0</v>
      </c>
      <c r="CT95" s="68">
        <f t="shared" si="207"/>
        <v>4043.8739999999998</v>
      </c>
      <c r="CU95" s="2"/>
      <c r="CV95" s="42" t="s">
        <v>551</v>
      </c>
      <c r="CW95" s="67">
        <f t="shared" si="179"/>
        <v>0</v>
      </c>
      <c r="CX95" s="67">
        <f t="shared" si="208"/>
        <v>0</v>
      </c>
      <c r="CY95" s="67">
        <f t="shared" si="209"/>
        <v>0</v>
      </c>
      <c r="CZ95" s="67">
        <f t="shared" si="210"/>
        <v>0</v>
      </c>
      <c r="DA95" s="30">
        <f t="shared" si="211"/>
        <v>0</v>
      </c>
      <c r="DB95" s="67">
        <f t="shared" si="212"/>
        <v>0</v>
      </c>
      <c r="DC95" s="67">
        <f t="shared" si="213"/>
        <v>0</v>
      </c>
      <c r="DD95" s="67">
        <f t="shared" si="214"/>
        <v>0</v>
      </c>
      <c r="DE95" s="30">
        <f t="shared" si="215"/>
        <v>40.170279999999998</v>
      </c>
      <c r="DF95" s="67">
        <f t="shared" si="216"/>
        <v>204.87260000000001</v>
      </c>
      <c r="DG95" s="67">
        <f t="shared" si="217"/>
        <v>0</v>
      </c>
      <c r="DH95" s="68">
        <f t="shared" si="218"/>
        <v>4043.8739999999998</v>
      </c>
      <c r="DI95" s="2"/>
      <c r="DJ95" s="37" t="s">
        <v>551</v>
      </c>
      <c r="DK95" s="76" t="s">
        <v>551</v>
      </c>
      <c r="DL95" s="67">
        <f t="shared" si="180"/>
        <v>0</v>
      </c>
      <c r="DM95" s="67">
        <f t="shared" si="141"/>
        <v>0</v>
      </c>
      <c r="DN95" s="67">
        <f t="shared" si="142"/>
        <v>0</v>
      </c>
      <c r="DO95" s="67">
        <f t="shared" si="143"/>
        <v>0</v>
      </c>
      <c r="DP95" s="30">
        <f t="shared" si="144"/>
        <v>0</v>
      </c>
      <c r="DQ95" s="67">
        <f t="shared" si="145"/>
        <v>0</v>
      </c>
      <c r="DR95" s="67">
        <f t="shared" si="146"/>
        <v>0</v>
      </c>
      <c r="DS95" s="67">
        <f t="shared" si="147"/>
        <v>0</v>
      </c>
      <c r="DT95" s="30">
        <f t="shared" si="148"/>
        <v>40.170279999999998</v>
      </c>
      <c r="DU95" s="67">
        <f t="shared" si="149"/>
        <v>204.87260000000001</v>
      </c>
      <c r="DV95" s="67">
        <f t="shared" si="150"/>
        <v>0</v>
      </c>
      <c r="DW95" s="68">
        <f t="shared" si="151"/>
        <v>4043.8739999999998</v>
      </c>
      <c r="DX95" s="2"/>
      <c r="DY95" s="81" t="s">
        <v>551</v>
      </c>
      <c r="DZ95" s="82"/>
      <c r="EA95" s="82"/>
      <c r="EB95" s="82"/>
      <c r="EC95" s="83"/>
      <c r="ED95" s="84">
        <v>1</v>
      </c>
      <c r="EE95" s="2"/>
      <c r="EF95" s="38" t="s">
        <v>551</v>
      </c>
      <c r="EG95" s="93" t="s">
        <v>551</v>
      </c>
      <c r="EH95" s="94">
        <v>369.44810000000001</v>
      </c>
      <c r="EI95" s="94">
        <v>103.669</v>
      </c>
      <c r="EJ95" s="94"/>
      <c r="EK95" s="94"/>
      <c r="EL95" s="94"/>
      <c r="EM95" s="94">
        <v>8.9710230000000006</v>
      </c>
      <c r="EN95" s="94"/>
      <c r="EO95" s="94"/>
      <c r="EP95" s="94"/>
      <c r="EQ95" s="94">
        <v>270.86219999999997</v>
      </c>
      <c r="ER95" s="94">
        <v>68.71848</v>
      </c>
      <c r="ES95" s="95">
        <v>8263.0159999999996</v>
      </c>
      <c r="ET95" s="38" t="s">
        <v>551</v>
      </c>
      <c r="EU95" s="93" t="s">
        <v>551</v>
      </c>
      <c r="EV95" s="94"/>
      <c r="EW95" s="94"/>
      <c r="EX95" s="94"/>
      <c r="EY95" s="94">
        <v>170.92949999999999</v>
      </c>
      <c r="EZ95" s="94"/>
      <c r="FA95" s="94"/>
      <c r="FB95" s="94"/>
      <c r="FC95" s="94"/>
      <c r="FD95" s="94">
        <v>615.73109999999997</v>
      </c>
      <c r="FE95" s="94">
        <v>534.18089999999995</v>
      </c>
      <c r="FF95" s="94">
        <v>4242.83</v>
      </c>
      <c r="FG95" s="95"/>
      <c r="FH95" s="38" t="s">
        <v>551</v>
      </c>
      <c r="FI95" s="93" t="s">
        <v>551</v>
      </c>
      <c r="FJ95" s="94"/>
      <c r="FK95" s="94"/>
      <c r="FL95" s="94"/>
      <c r="FM95" s="94"/>
      <c r="FN95" s="94"/>
      <c r="FO95" s="94"/>
      <c r="FP95" s="94"/>
      <c r="FQ95" s="94"/>
      <c r="FR95" s="94"/>
      <c r="FS95" s="94"/>
      <c r="FT95" s="94"/>
      <c r="FU95" s="95"/>
      <c r="FV95" s="38" t="s">
        <v>551</v>
      </c>
      <c r="FW95" s="93" t="s">
        <v>551</v>
      </c>
      <c r="FX95" s="94"/>
      <c r="FY95" s="94"/>
      <c r="FZ95" s="94"/>
      <c r="GA95" s="94"/>
      <c r="GB95" s="94"/>
      <c r="GC95" s="94"/>
      <c r="GD95" s="94"/>
      <c r="GE95" s="94"/>
      <c r="GF95" s="94"/>
      <c r="GG95" s="94"/>
      <c r="GH95" s="94"/>
      <c r="GI95" s="95"/>
      <c r="GJ95" s="38" t="s">
        <v>551</v>
      </c>
      <c r="GK95" s="93" t="s">
        <v>551</v>
      </c>
      <c r="GL95" s="94">
        <v>0</v>
      </c>
      <c r="GM95" s="94">
        <v>0</v>
      </c>
      <c r="GN95" s="94">
        <v>0</v>
      </c>
      <c r="GO95" s="94"/>
      <c r="GP95" s="94"/>
      <c r="GQ95" s="94">
        <v>0</v>
      </c>
      <c r="GR95" s="94">
        <v>0</v>
      </c>
      <c r="GS95" s="94"/>
      <c r="GT95" s="94">
        <v>40.170279999999998</v>
      </c>
      <c r="GU95" s="94">
        <v>204.87260000000001</v>
      </c>
      <c r="GV95" s="94">
        <v>0</v>
      </c>
      <c r="GW95" s="95">
        <v>4043.8739999999998</v>
      </c>
      <c r="GX95" s="38"/>
    </row>
    <row r="96" spans="1:206" x14ac:dyDescent="0.35">
      <c r="A96" s="2"/>
      <c r="B96" s="2"/>
      <c r="C96" s="42" t="s">
        <v>510</v>
      </c>
      <c r="D96" s="43">
        <f t="shared" si="152"/>
        <v>0</v>
      </c>
      <c r="E96" s="43">
        <f t="shared" si="119"/>
        <v>0</v>
      </c>
      <c r="F96" s="43">
        <f t="shared" si="120"/>
        <v>0</v>
      </c>
      <c r="G96" s="43">
        <f t="shared" si="121"/>
        <v>0</v>
      </c>
      <c r="H96" s="43">
        <f t="shared" si="122"/>
        <v>0</v>
      </c>
      <c r="I96" s="43">
        <f t="shared" si="123"/>
        <v>0</v>
      </c>
      <c r="J96" s="43">
        <f t="shared" si="124"/>
        <v>0</v>
      </c>
      <c r="K96" s="43">
        <f t="shared" si="125"/>
        <v>0</v>
      </c>
      <c r="L96" s="43">
        <f t="shared" si="126"/>
        <v>9.3660663342116351E-3</v>
      </c>
      <c r="M96" s="43">
        <f t="shared" si="127"/>
        <v>4.7767911044244812E-2</v>
      </c>
      <c r="N96" s="43">
        <f t="shared" si="128"/>
        <v>0</v>
      </c>
      <c r="O96" s="44">
        <f t="shared" si="129"/>
        <v>0.94286602262154351</v>
      </c>
      <c r="P96" s="115">
        <f t="shared" si="153"/>
        <v>1</v>
      </c>
      <c r="Q96" s="2"/>
      <c r="R96" s="42" t="s">
        <v>510</v>
      </c>
      <c r="S96" s="43">
        <f t="shared" si="154"/>
        <v>0</v>
      </c>
      <c r="T96" s="43">
        <f t="shared" si="155"/>
        <v>0</v>
      </c>
      <c r="U96" s="43">
        <f t="shared" si="156"/>
        <v>0</v>
      </c>
      <c r="V96" s="43">
        <f t="shared" si="157"/>
        <v>0</v>
      </c>
      <c r="W96" s="29">
        <f t="shared" si="158"/>
        <v>0</v>
      </c>
      <c r="X96" s="43">
        <f t="shared" si="159"/>
        <v>0</v>
      </c>
      <c r="Y96" s="43">
        <f t="shared" si="160"/>
        <v>0</v>
      </c>
      <c r="Z96" s="43">
        <f t="shared" si="161"/>
        <v>0</v>
      </c>
      <c r="AA96" s="29">
        <f t="shared" si="162"/>
        <v>9.3660663342116351E-3</v>
      </c>
      <c r="AB96" s="43">
        <f t="shared" si="163"/>
        <v>4.7767911044244812E-2</v>
      </c>
      <c r="AC96" s="43">
        <f t="shared" si="164"/>
        <v>0</v>
      </c>
      <c r="AD96" s="43">
        <f t="shared" si="165"/>
        <v>0.94286602262154351</v>
      </c>
      <c r="AE96" s="32">
        <f t="shared" si="166"/>
        <v>9.3660663342116351E-3</v>
      </c>
      <c r="AF96" s="53">
        <f t="shared" si="167"/>
        <v>4.7767911044244812E-2</v>
      </c>
      <c r="AG96" s="53">
        <f t="shared" si="168"/>
        <v>0</v>
      </c>
      <c r="AH96" s="53">
        <f t="shared" si="169"/>
        <v>0.94286602262154351</v>
      </c>
      <c r="AI96" s="34">
        <f t="shared" si="170"/>
        <v>0</v>
      </c>
      <c r="AJ96" s="35">
        <f t="shared" si="171"/>
        <v>0</v>
      </c>
      <c r="AK96" s="34">
        <f t="shared" si="172"/>
        <v>0</v>
      </c>
      <c r="AL96" s="35">
        <f t="shared" si="173"/>
        <v>0</v>
      </c>
      <c r="AM96" s="35">
        <f t="shared" si="174"/>
        <v>1</v>
      </c>
      <c r="AN96" s="36">
        <v>1</v>
      </c>
      <c r="AO96" s="54">
        <v>1</v>
      </c>
      <c r="AP96" s="2"/>
      <c r="AQ96" s="42" t="s">
        <v>510</v>
      </c>
      <c r="AR96" s="43">
        <f t="shared" si="175"/>
        <v>0</v>
      </c>
      <c r="AS96" s="43">
        <f t="shared" si="186"/>
        <v>0</v>
      </c>
      <c r="AT96" s="43">
        <f t="shared" si="187"/>
        <v>0</v>
      </c>
      <c r="AU96" s="43">
        <f t="shared" si="188"/>
        <v>0</v>
      </c>
      <c r="AV96" s="29">
        <f t="shared" si="189"/>
        <v>0</v>
      </c>
      <c r="AW96" s="43">
        <f t="shared" si="190"/>
        <v>0</v>
      </c>
      <c r="AX96" s="43">
        <f t="shared" si="191"/>
        <v>0</v>
      </c>
      <c r="AY96" s="43">
        <f t="shared" si="192"/>
        <v>0</v>
      </c>
      <c r="AZ96" s="29">
        <f t="shared" si="193"/>
        <v>9.3660663342116351E-3</v>
      </c>
      <c r="BA96" s="43">
        <f t="shared" si="194"/>
        <v>4.7767911044244812E-2</v>
      </c>
      <c r="BB96" s="43">
        <f t="shared" si="195"/>
        <v>0</v>
      </c>
      <c r="BC96" s="44">
        <f t="shared" si="196"/>
        <v>0.94286602262154351</v>
      </c>
      <c r="BD96" s="2"/>
      <c r="BE96" s="42" t="s">
        <v>510</v>
      </c>
      <c r="BF96" s="62">
        <v>1</v>
      </c>
      <c r="BG96" s="62">
        <v>1</v>
      </c>
      <c r="BH96" s="62">
        <v>1</v>
      </c>
      <c r="BI96" s="62">
        <v>1</v>
      </c>
      <c r="BJ96" s="36">
        <v>1</v>
      </c>
      <c r="BK96" s="62">
        <v>1</v>
      </c>
      <c r="BL96" s="62">
        <v>1</v>
      </c>
      <c r="BM96" s="62">
        <v>1</v>
      </c>
      <c r="BN96" s="36">
        <v>1</v>
      </c>
      <c r="BO96" s="62">
        <v>1</v>
      </c>
      <c r="BP96" s="62">
        <v>1</v>
      </c>
      <c r="BQ96" s="54">
        <v>1</v>
      </c>
      <c r="BR96" s="2"/>
      <c r="BS96" s="42" t="s">
        <v>510</v>
      </c>
      <c r="BT96" s="67">
        <f t="shared" si="176"/>
        <v>0</v>
      </c>
      <c r="BU96" s="67">
        <f t="shared" si="130"/>
        <v>0</v>
      </c>
      <c r="BV96" s="67">
        <f t="shared" si="131"/>
        <v>0</v>
      </c>
      <c r="BW96" s="67">
        <f t="shared" si="132"/>
        <v>0</v>
      </c>
      <c r="BX96" s="30">
        <f t="shared" si="133"/>
        <v>0</v>
      </c>
      <c r="BY96" s="67">
        <f t="shared" si="134"/>
        <v>0</v>
      </c>
      <c r="BZ96" s="67">
        <f t="shared" si="135"/>
        <v>0</v>
      </c>
      <c r="CA96" s="67">
        <f t="shared" si="136"/>
        <v>0</v>
      </c>
      <c r="CB96" s="30">
        <f t="shared" si="137"/>
        <v>40.170279999999998</v>
      </c>
      <c r="CC96" s="67">
        <f t="shared" si="138"/>
        <v>204.87260000000001</v>
      </c>
      <c r="CD96" s="67">
        <f t="shared" si="139"/>
        <v>0</v>
      </c>
      <c r="CE96" s="68">
        <f t="shared" si="140"/>
        <v>4043.8739999999998</v>
      </c>
      <c r="CF96" s="2"/>
      <c r="CG96" s="37" t="str">
        <f t="shared" si="177"/>
        <v>arent</v>
      </c>
      <c r="CH96" s="42" t="s">
        <v>510</v>
      </c>
      <c r="CI96" s="67">
        <f t="shared" si="178"/>
        <v>0</v>
      </c>
      <c r="CJ96" s="67">
        <f t="shared" si="197"/>
        <v>0</v>
      </c>
      <c r="CK96" s="67">
        <f t="shared" si="198"/>
        <v>0</v>
      </c>
      <c r="CL96" s="67">
        <f t="shared" si="199"/>
        <v>0</v>
      </c>
      <c r="CM96" s="30">
        <f t="shared" si="200"/>
        <v>0</v>
      </c>
      <c r="CN96" s="67">
        <f t="shared" si="201"/>
        <v>0</v>
      </c>
      <c r="CO96" s="67">
        <f t="shared" si="202"/>
        <v>0</v>
      </c>
      <c r="CP96" s="67">
        <f t="shared" si="203"/>
        <v>0</v>
      </c>
      <c r="CQ96" s="30">
        <f t="shared" si="204"/>
        <v>40.170279999999998</v>
      </c>
      <c r="CR96" s="67">
        <f t="shared" si="205"/>
        <v>204.87260000000001</v>
      </c>
      <c r="CS96" s="67">
        <f t="shared" si="206"/>
        <v>0</v>
      </c>
      <c r="CT96" s="68">
        <f t="shared" si="207"/>
        <v>4043.8739999999998</v>
      </c>
      <c r="CU96" s="2"/>
      <c r="CV96" s="42" t="s">
        <v>510</v>
      </c>
      <c r="CW96" s="67">
        <f t="shared" si="179"/>
        <v>0</v>
      </c>
      <c r="CX96" s="67">
        <f t="shared" si="208"/>
        <v>0</v>
      </c>
      <c r="CY96" s="67">
        <f t="shared" si="209"/>
        <v>0</v>
      </c>
      <c r="CZ96" s="67">
        <f t="shared" si="210"/>
        <v>0</v>
      </c>
      <c r="DA96" s="30">
        <f t="shared" si="211"/>
        <v>0</v>
      </c>
      <c r="DB96" s="67">
        <f t="shared" si="212"/>
        <v>0</v>
      </c>
      <c r="DC96" s="67">
        <f t="shared" si="213"/>
        <v>0</v>
      </c>
      <c r="DD96" s="67">
        <f t="shared" si="214"/>
        <v>0</v>
      </c>
      <c r="DE96" s="30">
        <f t="shared" si="215"/>
        <v>0</v>
      </c>
      <c r="DF96" s="67">
        <f t="shared" si="216"/>
        <v>0</v>
      </c>
      <c r="DG96" s="67">
        <f t="shared" si="217"/>
        <v>0</v>
      </c>
      <c r="DH96" s="68">
        <f t="shared" si="218"/>
        <v>0</v>
      </c>
      <c r="DI96" s="2"/>
      <c r="DJ96" s="37" t="s">
        <v>551</v>
      </c>
      <c r="DK96" s="76" t="s">
        <v>510</v>
      </c>
      <c r="DL96" s="67">
        <f t="shared" si="180"/>
        <v>0</v>
      </c>
      <c r="DM96" s="67">
        <f t="shared" si="141"/>
        <v>0</v>
      </c>
      <c r="DN96" s="67">
        <f t="shared" si="142"/>
        <v>0</v>
      </c>
      <c r="DO96" s="67">
        <f t="shared" si="143"/>
        <v>0</v>
      </c>
      <c r="DP96" s="30">
        <f t="shared" si="144"/>
        <v>0</v>
      </c>
      <c r="DQ96" s="67">
        <f t="shared" si="145"/>
        <v>0</v>
      </c>
      <c r="DR96" s="67">
        <f t="shared" si="146"/>
        <v>0</v>
      </c>
      <c r="DS96" s="67">
        <f t="shared" si="147"/>
        <v>0</v>
      </c>
      <c r="DT96" s="30">
        <f t="shared" si="148"/>
        <v>0</v>
      </c>
      <c r="DU96" s="67">
        <f t="shared" si="149"/>
        <v>0</v>
      </c>
      <c r="DV96" s="67">
        <f t="shared" si="150"/>
        <v>0</v>
      </c>
      <c r="DW96" s="68">
        <f t="shared" si="151"/>
        <v>0</v>
      </c>
      <c r="DX96" s="2"/>
      <c r="DY96" s="81" t="s">
        <v>510</v>
      </c>
      <c r="DZ96" s="82"/>
      <c r="EA96" s="82"/>
      <c r="EB96" s="82"/>
      <c r="EC96" s="83"/>
      <c r="ED96" s="84">
        <v>1</v>
      </c>
      <c r="EE96" s="2"/>
      <c r="EF96" s="38" t="s">
        <v>510</v>
      </c>
      <c r="EG96" s="93" t="s">
        <v>510</v>
      </c>
      <c r="EH96" s="94"/>
      <c r="EI96" s="94"/>
      <c r="EJ96" s="94"/>
      <c r="EK96" s="94"/>
      <c r="EL96" s="94"/>
      <c r="EM96" s="94"/>
      <c r="EN96" s="94"/>
      <c r="EO96" s="94"/>
      <c r="EP96" s="94"/>
      <c r="EQ96" s="94"/>
      <c r="ER96" s="94"/>
      <c r="ES96" s="95"/>
      <c r="ET96" s="38" t="s">
        <v>510</v>
      </c>
      <c r="EU96" s="93" t="s">
        <v>510</v>
      </c>
      <c r="EV96" s="94"/>
      <c r="EW96" s="94"/>
      <c r="EX96" s="94"/>
      <c r="EY96" s="94"/>
      <c r="EZ96" s="94"/>
      <c r="FA96" s="94"/>
      <c r="FB96" s="94"/>
      <c r="FC96" s="94"/>
      <c r="FD96" s="94"/>
      <c r="FE96" s="94"/>
      <c r="FF96" s="94"/>
      <c r="FG96" s="95"/>
      <c r="FH96" s="38" t="s">
        <v>510</v>
      </c>
      <c r="FI96" s="93" t="s">
        <v>510</v>
      </c>
      <c r="FJ96" s="94"/>
      <c r="FK96" s="94"/>
      <c r="FL96" s="94"/>
      <c r="FM96" s="94"/>
      <c r="FN96" s="94"/>
      <c r="FO96" s="94"/>
      <c r="FP96" s="94"/>
      <c r="FQ96" s="94"/>
      <c r="FR96" s="94"/>
      <c r="FS96" s="94"/>
      <c r="FT96" s="94"/>
      <c r="FU96" s="95"/>
      <c r="FV96" s="38" t="s">
        <v>510</v>
      </c>
      <c r="FW96" s="93" t="s">
        <v>510</v>
      </c>
      <c r="FX96" s="94"/>
      <c r="FY96" s="94"/>
      <c r="FZ96" s="94"/>
      <c r="GA96" s="94"/>
      <c r="GB96" s="94"/>
      <c r="GC96" s="94"/>
      <c r="GD96" s="94"/>
      <c r="GE96" s="94"/>
      <c r="GF96" s="94"/>
      <c r="GG96" s="94"/>
      <c r="GH96" s="94"/>
      <c r="GI96" s="95"/>
      <c r="GJ96" s="38" t="s">
        <v>510</v>
      </c>
      <c r="GK96" s="93" t="s">
        <v>510</v>
      </c>
      <c r="GL96" s="94"/>
      <c r="GM96" s="94"/>
      <c r="GN96" s="94"/>
      <c r="GO96" s="94"/>
      <c r="GP96" s="94"/>
      <c r="GQ96" s="94"/>
      <c r="GR96" s="94"/>
      <c r="GS96" s="94"/>
      <c r="GT96" s="94"/>
      <c r="GU96" s="94"/>
      <c r="GV96" s="94"/>
      <c r="GW96" s="95"/>
      <c r="GX96" s="38"/>
    </row>
    <row r="97" spans="1:206" x14ac:dyDescent="0.35">
      <c r="A97" s="2"/>
      <c r="B97" s="2"/>
      <c r="C97" s="42" t="s">
        <v>552</v>
      </c>
      <c r="D97" s="43">
        <f t="shared" si="152"/>
        <v>1.1317685966637377E-2</v>
      </c>
      <c r="E97" s="43">
        <f t="shared" si="119"/>
        <v>1.3036074988113534E-2</v>
      </c>
      <c r="F97" s="43">
        <f t="shared" si="120"/>
        <v>1.4321181645717837E-2</v>
      </c>
      <c r="G97" s="43">
        <f t="shared" si="121"/>
        <v>8.7689208645770587E-3</v>
      </c>
      <c r="H97" s="43">
        <f t="shared" si="122"/>
        <v>2.6282420989513751E-3</v>
      </c>
      <c r="I97" s="43">
        <f t="shared" si="123"/>
        <v>1.0550685916043792E-2</v>
      </c>
      <c r="J97" s="43">
        <f t="shared" si="124"/>
        <v>1.2089216349727358E-2</v>
      </c>
      <c r="K97" s="43">
        <f t="shared" si="125"/>
        <v>3.8598723854372019E-2</v>
      </c>
      <c r="L97" s="43">
        <f t="shared" si="126"/>
        <v>2.8137503921067952E-2</v>
      </c>
      <c r="M97" s="43">
        <f t="shared" si="127"/>
        <v>3.3238879601592247E-2</v>
      </c>
      <c r="N97" s="43">
        <f t="shared" si="128"/>
        <v>7.9330540719014978E-2</v>
      </c>
      <c r="O97" s="44">
        <f t="shared" si="129"/>
        <v>0.7479823440741844</v>
      </c>
      <c r="P97" s="115">
        <f t="shared" si="153"/>
        <v>1</v>
      </c>
      <c r="Q97" s="2"/>
      <c r="R97" s="42" t="s">
        <v>552</v>
      </c>
      <c r="S97" s="43">
        <f t="shared" si="154"/>
        <v>1.1317685966637377E-2</v>
      </c>
      <c r="T97" s="43">
        <f t="shared" si="155"/>
        <v>1.3036074988113534E-2</v>
      </c>
      <c r="U97" s="43">
        <f t="shared" si="156"/>
        <v>1.4321181645717837E-2</v>
      </c>
      <c r="V97" s="43">
        <f t="shared" si="157"/>
        <v>8.7689208645770587E-3</v>
      </c>
      <c r="W97" s="29">
        <f t="shared" si="158"/>
        <v>2.6282420989513751E-3</v>
      </c>
      <c r="X97" s="43">
        <f t="shared" si="159"/>
        <v>1.0550685916043792E-2</v>
      </c>
      <c r="Y97" s="43">
        <f t="shared" si="160"/>
        <v>1.2089216349727358E-2</v>
      </c>
      <c r="Z97" s="43">
        <f t="shared" si="161"/>
        <v>3.8598723854372019E-2</v>
      </c>
      <c r="AA97" s="29">
        <f t="shared" si="162"/>
        <v>2.8137503921067952E-2</v>
      </c>
      <c r="AB97" s="43">
        <f t="shared" si="163"/>
        <v>3.3238879601592247E-2</v>
      </c>
      <c r="AC97" s="43">
        <f t="shared" si="164"/>
        <v>7.9330540719014978E-2</v>
      </c>
      <c r="AD97" s="43">
        <f t="shared" si="165"/>
        <v>0.7479823440741844</v>
      </c>
      <c r="AE97" s="32">
        <f t="shared" si="166"/>
        <v>4.2083431986656705E-2</v>
      </c>
      <c r="AF97" s="53">
        <f t="shared" si="167"/>
        <v>5.6825640505749571E-2</v>
      </c>
      <c r="AG97" s="53">
        <f t="shared" si="168"/>
        <v>0.10574093871446016</v>
      </c>
      <c r="AH97" s="53">
        <f t="shared" si="169"/>
        <v>0.79534998879313346</v>
      </c>
      <c r="AI97" s="34">
        <f t="shared" si="170"/>
        <v>4.7443863465045803E-2</v>
      </c>
      <c r="AJ97" s="35">
        <f t="shared" si="171"/>
        <v>6.3866868219094541E-2</v>
      </c>
      <c r="AK97" s="34">
        <f t="shared" si="172"/>
        <v>4.7443863465045803E-2</v>
      </c>
      <c r="AL97" s="35">
        <f t="shared" si="173"/>
        <v>6.3866868219094541E-2</v>
      </c>
      <c r="AM97" s="35">
        <f t="shared" si="174"/>
        <v>0.88868926831585959</v>
      </c>
      <c r="AN97" s="36">
        <v>1</v>
      </c>
      <c r="AO97" s="54">
        <v>1</v>
      </c>
      <c r="AP97" s="2"/>
      <c r="AQ97" s="42" t="s">
        <v>552</v>
      </c>
      <c r="AR97" s="43">
        <f t="shared" si="175"/>
        <v>3.4527883796915904E-2</v>
      </c>
      <c r="AS97" s="43">
        <f t="shared" si="186"/>
        <v>3.9770327934907229E-2</v>
      </c>
      <c r="AT97" s="43">
        <f t="shared" si="187"/>
        <v>4.3690918546027344E-2</v>
      </c>
      <c r="AU97" s="43">
        <f t="shared" si="188"/>
        <v>2.6752136570054118E-2</v>
      </c>
      <c r="AV97" s="29">
        <f t="shared" si="189"/>
        <v>5.0929290111381585E-3</v>
      </c>
      <c r="AW97" s="43">
        <f t="shared" si="190"/>
        <v>2.0444803928323471E-2</v>
      </c>
      <c r="AX97" s="43">
        <f t="shared" si="191"/>
        <v>2.3426122233571031E-2</v>
      </c>
      <c r="AY97" s="43">
        <f t="shared" si="192"/>
        <v>7.4795453808944812E-2</v>
      </c>
      <c r="AZ97" s="29">
        <f t="shared" si="193"/>
        <v>2.3160590151888892E-2</v>
      </c>
      <c r="BA97" s="43">
        <f t="shared" si="194"/>
        <v>2.7359643190810762E-2</v>
      </c>
      <c r="BB97" s="43">
        <f t="shared" si="195"/>
        <v>6.5298689794055592E-2</v>
      </c>
      <c r="BC97" s="44">
        <f t="shared" si="196"/>
        <v>0.61568050103336269</v>
      </c>
      <c r="BD97" s="2"/>
      <c r="BE97" s="42" t="s">
        <v>552</v>
      </c>
      <c r="BF97" s="62">
        <v>1</v>
      </c>
      <c r="BG97" s="62">
        <v>1</v>
      </c>
      <c r="BH97" s="62">
        <v>1</v>
      </c>
      <c r="BI97" s="62">
        <v>1</v>
      </c>
      <c r="BJ97" s="36">
        <v>1</v>
      </c>
      <c r="BK97" s="62">
        <v>1</v>
      </c>
      <c r="BL97" s="62">
        <v>1</v>
      </c>
      <c r="BM97" s="62">
        <v>1</v>
      </c>
      <c r="BN97" s="36">
        <v>1</v>
      </c>
      <c r="BO97" s="62">
        <v>1</v>
      </c>
      <c r="BP97" s="62">
        <v>1</v>
      </c>
      <c r="BQ97" s="54">
        <v>1</v>
      </c>
      <c r="BR97" s="2"/>
      <c r="BS97" s="42" t="s">
        <v>552</v>
      </c>
      <c r="BT97" s="67">
        <f t="shared" si="176"/>
        <v>6649.4438</v>
      </c>
      <c r="BU97" s="67">
        <f t="shared" si="130"/>
        <v>7659.0433999999996</v>
      </c>
      <c r="BV97" s="67">
        <f t="shared" si="131"/>
        <v>8414.0779999999995</v>
      </c>
      <c r="BW97" s="67">
        <f t="shared" si="132"/>
        <v>5151.9760000000006</v>
      </c>
      <c r="BX97" s="30">
        <f t="shared" si="133"/>
        <v>980.8057</v>
      </c>
      <c r="BY97" s="67">
        <f t="shared" si="134"/>
        <v>3937.2982000000002</v>
      </c>
      <c r="BZ97" s="67">
        <f t="shared" si="135"/>
        <v>4511.4459999999999</v>
      </c>
      <c r="CA97" s="67">
        <f t="shared" si="136"/>
        <v>14404.246999999999</v>
      </c>
      <c r="CB97" s="30">
        <f t="shared" si="137"/>
        <v>4460.3093399999998</v>
      </c>
      <c r="CC97" s="67">
        <f t="shared" si="138"/>
        <v>5268.9707500000004</v>
      </c>
      <c r="CD97" s="67">
        <f t="shared" si="139"/>
        <v>12575.3426</v>
      </c>
      <c r="CE97" s="68">
        <f t="shared" si="140"/>
        <v>118568.89099999999</v>
      </c>
      <c r="CF97" s="2"/>
      <c r="CG97" s="37" t="str">
        <f t="shared" si="177"/>
        <v>alegl</v>
      </c>
      <c r="CH97" s="42" t="s">
        <v>552</v>
      </c>
      <c r="CI97" s="67">
        <f t="shared" si="178"/>
        <v>6649.4438</v>
      </c>
      <c r="CJ97" s="67">
        <f t="shared" si="197"/>
        <v>7659.0433999999996</v>
      </c>
      <c r="CK97" s="67">
        <f t="shared" si="198"/>
        <v>8414.0779999999995</v>
      </c>
      <c r="CL97" s="67">
        <f t="shared" si="199"/>
        <v>5151.9760000000006</v>
      </c>
      <c r="CM97" s="30">
        <f t="shared" si="200"/>
        <v>980.8057</v>
      </c>
      <c r="CN97" s="67">
        <f t="shared" si="201"/>
        <v>3937.2982000000002</v>
      </c>
      <c r="CO97" s="67">
        <f t="shared" si="202"/>
        <v>4511.4459999999999</v>
      </c>
      <c r="CP97" s="67">
        <f t="shared" si="203"/>
        <v>14404.246999999999</v>
      </c>
      <c r="CQ97" s="30">
        <f t="shared" si="204"/>
        <v>4460.3093399999998</v>
      </c>
      <c r="CR97" s="67">
        <f t="shared" si="205"/>
        <v>5268.9707500000004</v>
      </c>
      <c r="CS97" s="67">
        <f t="shared" si="206"/>
        <v>12575.3426</v>
      </c>
      <c r="CT97" s="68">
        <f t="shared" si="207"/>
        <v>118568.89099999999</v>
      </c>
      <c r="CU97" s="2"/>
      <c r="CV97" s="42" t="s">
        <v>552</v>
      </c>
      <c r="CW97" s="67">
        <f t="shared" si="179"/>
        <v>6649.4438</v>
      </c>
      <c r="CX97" s="67">
        <f t="shared" si="208"/>
        <v>7659.0433999999996</v>
      </c>
      <c r="CY97" s="67">
        <f t="shared" si="209"/>
        <v>8414.0779999999995</v>
      </c>
      <c r="CZ97" s="67">
        <f t="shared" si="210"/>
        <v>5151.9760000000006</v>
      </c>
      <c r="DA97" s="30">
        <f t="shared" si="211"/>
        <v>980.8057</v>
      </c>
      <c r="DB97" s="67">
        <f t="shared" si="212"/>
        <v>3937.2982000000002</v>
      </c>
      <c r="DC97" s="67">
        <f t="shared" si="213"/>
        <v>4511.4459999999999</v>
      </c>
      <c r="DD97" s="67">
        <f t="shared" si="214"/>
        <v>14404.246999999999</v>
      </c>
      <c r="DE97" s="30">
        <f t="shared" si="215"/>
        <v>4460.3093399999998</v>
      </c>
      <c r="DF97" s="67">
        <f t="shared" si="216"/>
        <v>5268.9707500000004</v>
      </c>
      <c r="DG97" s="67">
        <f t="shared" si="217"/>
        <v>12575.3426</v>
      </c>
      <c r="DH97" s="68">
        <f t="shared" si="218"/>
        <v>118568.89099999999</v>
      </c>
      <c r="DI97" s="2"/>
      <c r="DJ97" s="37" t="s">
        <v>552</v>
      </c>
      <c r="DK97" s="76" t="s">
        <v>552</v>
      </c>
      <c r="DL97" s="67">
        <f t="shared" si="180"/>
        <v>0</v>
      </c>
      <c r="DM97" s="67">
        <f t="shared" si="141"/>
        <v>286.92140000000001</v>
      </c>
      <c r="DN97" s="67">
        <f t="shared" si="142"/>
        <v>2110.681</v>
      </c>
      <c r="DO97" s="67">
        <f t="shared" si="143"/>
        <v>1055.5160000000001</v>
      </c>
      <c r="DP97" s="30">
        <f t="shared" si="144"/>
        <v>0</v>
      </c>
      <c r="DQ97" s="67">
        <f t="shared" si="145"/>
        <v>0</v>
      </c>
      <c r="DR97" s="67">
        <f t="shared" si="146"/>
        <v>0</v>
      </c>
      <c r="DS97" s="67">
        <f t="shared" si="147"/>
        <v>4648.4380000000001</v>
      </c>
      <c r="DT97" s="30">
        <f t="shared" si="148"/>
        <v>508.53559999999999</v>
      </c>
      <c r="DU97" s="67">
        <f t="shared" si="149"/>
        <v>0</v>
      </c>
      <c r="DV97" s="67">
        <f t="shared" si="150"/>
        <v>953.16430000000003</v>
      </c>
      <c r="DW97" s="68">
        <f t="shared" si="151"/>
        <v>63219.99</v>
      </c>
      <c r="DX97" s="2"/>
      <c r="DY97" s="81" t="s">
        <v>552</v>
      </c>
      <c r="DZ97" s="82"/>
      <c r="EA97" s="82"/>
      <c r="EB97" s="82"/>
      <c r="EC97" s="83"/>
      <c r="ED97" s="84">
        <v>1</v>
      </c>
      <c r="EE97" s="2"/>
      <c r="EF97" s="38" t="s">
        <v>552</v>
      </c>
      <c r="EG97" s="93" t="s">
        <v>552</v>
      </c>
      <c r="EH97" s="94">
        <v>417.20929999999998</v>
      </c>
      <c r="EI97" s="94">
        <v>1785.1610000000001</v>
      </c>
      <c r="EJ97" s="94">
        <v>1365.7629999999999</v>
      </c>
      <c r="EK97" s="94">
        <v>852.68510000000003</v>
      </c>
      <c r="EL97" s="94">
        <v>47.978079999999999</v>
      </c>
      <c r="EM97" s="94">
        <v>282.89179999999999</v>
      </c>
      <c r="EN97" s="94">
        <v>1170.6759999999999</v>
      </c>
      <c r="EO97" s="94">
        <v>21236.68</v>
      </c>
      <c r="EP97" s="94">
        <v>680.60069999999996</v>
      </c>
      <c r="EQ97" s="94">
        <v>2449.4740000000002</v>
      </c>
      <c r="ER97" s="94">
        <v>6441.2190000000001</v>
      </c>
      <c r="ES97" s="95">
        <v>70523.94</v>
      </c>
      <c r="ET97" s="38" t="s">
        <v>552</v>
      </c>
      <c r="EU97" s="93" t="s">
        <v>552</v>
      </c>
      <c r="EV97" s="94">
        <v>3884.0990000000002</v>
      </c>
      <c r="EW97" s="94">
        <v>4397.4080000000004</v>
      </c>
      <c r="EX97" s="94">
        <v>1514.857</v>
      </c>
      <c r="EY97" s="94">
        <v>1974.645</v>
      </c>
      <c r="EZ97" s="94">
        <v>6343.585</v>
      </c>
      <c r="FA97" s="94">
        <v>3228.71</v>
      </c>
      <c r="FB97" s="94">
        <v>630.62710000000004</v>
      </c>
      <c r="FC97" s="94">
        <v>1985.125</v>
      </c>
      <c r="FD97" s="94">
        <v>54895.79</v>
      </c>
      <c r="FE97" s="94">
        <v>33723.410000000003</v>
      </c>
      <c r="FF97" s="94">
        <v>24655.01</v>
      </c>
      <c r="FG97" s="95">
        <v>60162.84</v>
      </c>
      <c r="FH97" s="38" t="s">
        <v>552</v>
      </c>
      <c r="FI97" s="93" t="s">
        <v>552</v>
      </c>
      <c r="FJ97" s="94"/>
      <c r="FK97" s="94"/>
      <c r="FL97" s="94"/>
      <c r="FM97" s="94"/>
      <c r="FN97" s="94"/>
      <c r="FO97" s="94"/>
      <c r="FP97" s="94"/>
      <c r="FQ97" s="94"/>
      <c r="FR97" s="94"/>
      <c r="FS97" s="94"/>
      <c r="FT97" s="94"/>
      <c r="FU97" s="95"/>
      <c r="FV97" s="38" t="s">
        <v>552</v>
      </c>
      <c r="FW97" s="93" t="s">
        <v>552</v>
      </c>
      <c r="FX97" s="94"/>
      <c r="FY97" s="94"/>
      <c r="FZ97" s="94"/>
      <c r="GA97" s="94"/>
      <c r="GB97" s="94"/>
      <c r="GC97" s="94"/>
      <c r="GD97" s="94"/>
      <c r="GE97" s="94"/>
      <c r="GF97" s="94"/>
      <c r="GG97" s="94"/>
      <c r="GH97" s="94"/>
      <c r="GI97" s="95"/>
      <c r="GJ97" s="38" t="s">
        <v>552</v>
      </c>
      <c r="GK97" s="93" t="s">
        <v>552</v>
      </c>
      <c r="GL97" s="94">
        <v>0</v>
      </c>
      <c r="GM97" s="94">
        <v>286.92140000000001</v>
      </c>
      <c r="GN97" s="94">
        <v>2110.681</v>
      </c>
      <c r="GO97" s="94">
        <v>1055.5160000000001</v>
      </c>
      <c r="GP97" s="94"/>
      <c r="GQ97" s="94"/>
      <c r="GR97" s="94"/>
      <c r="GS97" s="94">
        <v>4648.4380000000001</v>
      </c>
      <c r="GT97" s="94">
        <v>508.53559999999999</v>
      </c>
      <c r="GU97" s="94"/>
      <c r="GV97" s="94">
        <v>953.16430000000003</v>
      </c>
      <c r="GW97" s="95">
        <v>63219.99</v>
      </c>
      <c r="GX97" s="38"/>
    </row>
    <row r="98" spans="1:206" x14ac:dyDescent="0.35">
      <c r="A98" s="2"/>
      <c r="B98" s="2"/>
      <c r="C98" s="42" t="s">
        <v>553</v>
      </c>
      <c r="D98" s="43">
        <f t="shared" si="152"/>
        <v>1.1317685966637377E-2</v>
      </c>
      <c r="E98" s="43">
        <f t="shared" si="119"/>
        <v>1.3036074988113534E-2</v>
      </c>
      <c r="F98" s="43">
        <f t="shared" si="120"/>
        <v>1.4321181645717837E-2</v>
      </c>
      <c r="G98" s="43">
        <f t="shared" si="121"/>
        <v>8.7689208645770587E-3</v>
      </c>
      <c r="H98" s="43">
        <f t="shared" si="122"/>
        <v>2.6282420989513751E-3</v>
      </c>
      <c r="I98" s="43">
        <f t="shared" si="123"/>
        <v>1.0550685916043792E-2</v>
      </c>
      <c r="J98" s="43">
        <f t="shared" si="124"/>
        <v>1.2089216349727358E-2</v>
      </c>
      <c r="K98" s="43">
        <f t="shared" si="125"/>
        <v>3.8598723854372019E-2</v>
      </c>
      <c r="L98" s="43">
        <f t="shared" si="126"/>
        <v>2.8137503921067952E-2</v>
      </c>
      <c r="M98" s="43">
        <f t="shared" si="127"/>
        <v>3.3238879601592247E-2</v>
      </c>
      <c r="N98" s="43">
        <f t="shared" si="128"/>
        <v>7.9330540719014978E-2</v>
      </c>
      <c r="O98" s="44">
        <f t="shared" si="129"/>
        <v>0.7479823440741844</v>
      </c>
      <c r="P98" s="115">
        <f t="shared" si="153"/>
        <v>1</v>
      </c>
      <c r="Q98" s="2"/>
      <c r="R98" s="42" t="s">
        <v>553</v>
      </c>
      <c r="S98" s="43">
        <f t="shared" si="154"/>
        <v>1.1317685966637377E-2</v>
      </c>
      <c r="T98" s="43">
        <f t="shared" si="155"/>
        <v>1.3036074988113534E-2</v>
      </c>
      <c r="U98" s="43">
        <f t="shared" si="156"/>
        <v>1.4321181645717837E-2</v>
      </c>
      <c r="V98" s="43">
        <f t="shared" si="157"/>
        <v>8.7689208645770587E-3</v>
      </c>
      <c r="W98" s="29">
        <f t="shared" si="158"/>
        <v>2.6282420989513751E-3</v>
      </c>
      <c r="X98" s="43">
        <f t="shared" si="159"/>
        <v>1.0550685916043792E-2</v>
      </c>
      <c r="Y98" s="43">
        <f t="shared" si="160"/>
        <v>1.2089216349727358E-2</v>
      </c>
      <c r="Z98" s="43">
        <f t="shared" si="161"/>
        <v>3.8598723854372019E-2</v>
      </c>
      <c r="AA98" s="29">
        <f t="shared" si="162"/>
        <v>2.8137503921067952E-2</v>
      </c>
      <c r="AB98" s="43">
        <f t="shared" si="163"/>
        <v>3.3238879601592247E-2</v>
      </c>
      <c r="AC98" s="43">
        <f t="shared" si="164"/>
        <v>7.9330540719014978E-2</v>
      </c>
      <c r="AD98" s="43">
        <f t="shared" si="165"/>
        <v>0.7479823440741844</v>
      </c>
      <c r="AE98" s="32">
        <f t="shared" si="166"/>
        <v>4.2083431986656705E-2</v>
      </c>
      <c r="AF98" s="53">
        <f t="shared" si="167"/>
        <v>5.6825640505749571E-2</v>
      </c>
      <c r="AG98" s="53">
        <f t="shared" si="168"/>
        <v>0.10574093871446016</v>
      </c>
      <c r="AH98" s="53">
        <f t="shared" si="169"/>
        <v>0.79534998879313346</v>
      </c>
      <c r="AI98" s="34">
        <f t="shared" si="170"/>
        <v>0</v>
      </c>
      <c r="AJ98" s="35">
        <f t="shared" si="171"/>
        <v>0</v>
      </c>
      <c r="AK98" s="34">
        <f>AK97</f>
        <v>4.7443863465045803E-2</v>
      </c>
      <c r="AL98" s="35">
        <f t="shared" ref="AL98" si="222">AL97</f>
        <v>6.3866868219094541E-2</v>
      </c>
      <c r="AM98" s="35">
        <f t="shared" si="174"/>
        <v>0.88868926831585959</v>
      </c>
      <c r="AN98" s="36">
        <v>1</v>
      </c>
      <c r="AO98" s="54">
        <v>1</v>
      </c>
      <c r="AP98" s="2"/>
      <c r="AQ98" s="42" t="s">
        <v>553</v>
      </c>
      <c r="AR98" s="43">
        <f t="shared" si="175"/>
        <v>3.4527883796915904E-2</v>
      </c>
      <c r="AS98" s="43">
        <f t="shared" si="186"/>
        <v>3.9770327934907229E-2</v>
      </c>
      <c r="AT98" s="43">
        <f t="shared" si="187"/>
        <v>4.3690918546027344E-2</v>
      </c>
      <c r="AU98" s="43">
        <f t="shared" si="188"/>
        <v>2.6752136570054118E-2</v>
      </c>
      <c r="AV98" s="29">
        <f t="shared" si="189"/>
        <v>5.0929290111381585E-3</v>
      </c>
      <c r="AW98" s="43">
        <f t="shared" si="190"/>
        <v>2.0444803928323471E-2</v>
      </c>
      <c r="AX98" s="43">
        <f t="shared" si="191"/>
        <v>2.3426122233571031E-2</v>
      </c>
      <c r="AY98" s="43">
        <f t="shared" si="192"/>
        <v>7.4795453808944812E-2</v>
      </c>
      <c r="AZ98" s="29">
        <f t="shared" si="193"/>
        <v>2.3160590151888892E-2</v>
      </c>
      <c r="BA98" s="43">
        <f t="shared" si="194"/>
        <v>2.7359643190810762E-2</v>
      </c>
      <c r="BB98" s="43">
        <f t="shared" si="195"/>
        <v>6.5298689794055592E-2</v>
      </c>
      <c r="BC98" s="44">
        <f t="shared" si="196"/>
        <v>0.61568050103336269</v>
      </c>
      <c r="BD98" s="2"/>
      <c r="BE98" s="42" t="s">
        <v>553</v>
      </c>
      <c r="BF98" s="62">
        <v>1</v>
      </c>
      <c r="BG98" s="62">
        <v>1</v>
      </c>
      <c r="BH98" s="62">
        <v>1</v>
      </c>
      <c r="BI98" s="62">
        <v>1</v>
      </c>
      <c r="BJ98" s="36">
        <v>1</v>
      </c>
      <c r="BK98" s="62">
        <v>1</v>
      </c>
      <c r="BL98" s="62">
        <v>1</v>
      </c>
      <c r="BM98" s="62">
        <v>1</v>
      </c>
      <c r="BN98" s="36">
        <v>1</v>
      </c>
      <c r="BO98" s="62">
        <v>1</v>
      </c>
      <c r="BP98" s="62">
        <v>1</v>
      </c>
      <c r="BQ98" s="54">
        <v>1</v>
      </c>
      <c r="BR98" s="2"/>
      <c r="BS98" s="42" t="s">
        <v>553</v>
      </c>
      <c r="BT98" s="67">
        <f t="shared" si="176"/>
        <v>6649.4438</v>
      </c>
      <c r="BU98" s="67">
        <f t="shared" si="130"/>
        <v>7659.0433999999996</v>
      </c>
      <c r="BV98" s="67">
        <f t="shared" si="131"/>
        <v>8414.0779999999995</v>
      </c>
      <c r="BW98" s="67">
        <f t="shared" si="132"/>
        <v>5151.9760000000006</v>
      </c>
      <c r="BX98" s="30">
        <f t="shared" si="133"/>
        <v>980.8057</v>
      </c>
      <c r="BY98" s="67">
        <f t="shared" si="134"/>
        <v>3937.2982000000002</v>
      </c>
      <c r="BZ98" s="67">
        <f t="shared" si="135"/>
        <v>4511.4459999999999</v>
      </c>
      <c r="CA98" s="67">
        <f t="shared" si="136"/>
        <v>14404.246999999999</v>
      </c>
      <c r="CB98" s="30">
        <f t="shared" si="137"/>
        <v>4460.3093399999998</v>
      </c>
      <c r="CC98" s="67">
        <f t="shared" si="138"/>
        <v>5268.9707500000004</v>
      </c>
      <c r="CD98" s="67">
        <f t="shared" si="139"/>
        <v>12575.3426</v>
      </c>
      <c r="CE98" s="68">
        <f t="shared" si="140"/>
        <v>118568.89099999999</v>
      </c>
      <c r="CF98" s="2"/>
      <c r="CG98" s="37" t="str">
        <f t="shared" si="177"/>
        <v>alegl</v>
      </c>
      <c r="CH98" s="42" t="s">
        <v>553</v>
      </c>
      <c r="CI98" s="67">
        <f t="shared" si="178"/>
        <v>6649.4438</v>
      </c>
      <c r="CJ98" s="67">
        <f t="shared" si="197"/>
        <v>7659.0433999999996</v>
      </c>
      <c r="CK98" s="67">
        <f t="shared" si="198"/>
        <v>8414.0779999999995</v>
      </c>
      <c r="CL98" s="67">
        <f t="shared" si="199"/>
        <v>5151.9760000000006</v>
      </c>
      <c r="CM98" s="30">
        <f t="shared" si="200"/>
        <v>980.8057</v>
      </c>
      <c r="CN98" s="67">
        <f t="shared" si="201"/>
        <v>3937.2982000000002</v>
      </c>
      <c r="CO98" s="67">
        <f t="shared" si="202"/>
        <v>4511.4459999999999</v>
      </c>
      <c r="CP98" s="67">
        <f t="shared" si="203"/>
        <v>14404.246999999999</v>
      </c>
      <c r="CQ98" s="30">
        <f t="shared" si="204"/>
        <v>4460.3093399999998</v>
      </c>
      <c r="CR98" s="67">
        <f t="shared" si="205"/>
        <v>5268.9707500000004</v>
      </c>
      <c r="CS98" s="67">
        <f t="shared" si="206"/>
        <v>12575.3426</v>
      </c>
      <c r="CT98" s="68">
        <f t="shared" si="207"/>
        <v>118568.89099999999</v>
      </c>
      <c r="CU98" s="2"/>
      <c r="CV98" s="42" t="s">
        <v>553</v>
      </c>
      <c r="CW98" s="67">
        <f t="shared" si="179"/>
        <v>0</v>
      </c>
      <c r="CX98" s="67">
        <f t="shared" si="208"/>
        <v>0</v>
      </c>
      <c r="CY98" s="67">
        <f t="shared" si="209"/>
        <v>0</v>
      </c>
      <c r="CZ98" s="67">
        <f t="shared" si="210"/>
        <v>0</v>
      </c>
      <c r="DA98" s="30">
        <f t="shared" si="211"/>
        <v>0</v>
      </c>
      <c r="DB98" s="67">
        <f t="shared" si="212"/>
        <v>0</v>
      </c>
      <c r="DC98" s="67">
        <f t="shared" si="213"/>
        <v>0</v>
      </c>
      <c r="DD98" s="67">
        <f t="shared" si="214"/>
        <v>0</v>
      </c>
      <c r="DE98" s="30">
        <f t="shared" si="215"/>
        <v>0</v>
      </c>
      <c r="DF98" s="67">
        <f t="shared" si="216"/>
        <v>0</v>
      </c>
      <c r="DG98" s="67">
        <f t="shared" si="217"/>
        <v>0</v>
      </c>
      <c r="DH98" s="68">
        <f t="shared" si="218"/>
        <v>0</v>
      </c>
      <c r="DI98" s="2"/>
      <c r="DJ98" s="37" t="s">
        <v>552</v>
      </c>
      <c r="DK98" s="76" t="s">
        <v>553</v>
      </c>
      <c r="DL98" s="67">
        <f t="shared" si="180"/>
        <v>0</v>
      </c>
      <c r="DM98" s="67">
        <f t="shared" si="141"/>
        <v>0</v>
      </c>
      <c r="DN98" s="67">
        <f t="shared" si="142"/>
        <v>0</v>
      </c>
      <c r="DO98" s="67">
        <f t="shared" si="143"/>
        <v>0</v>
      </c>
      <c r="DP98" s="30">
        <f t="shared" si="144"/>
        <v>0</v>
      </c>
      <c r="DQ98" s="67">
        <f t="shared" si="145"/>
        <v>0</v>
      </c>
      <c r="DR98" s="67">
        <f t="shared" si="146"/>
        <v>0</v>
      </c>
      <c r="DS98" s="67">
        <f t="shared" si="147"/>
        <v>0</v>
      </c>
      <c r="DT98" s="30">
        <f t="shared" si="148"/>
        <v>0</v>
      </c>
      <c r="DU98" s="67">
        <f t="shared" si="149"/>
        <v>30.63775</v>
      </c>
      <c r="DV98" s="67">
        <f t="shared" si="150"/>
        <v>1164.296</v>
      </c>
      <c r="DW98" s="68">
        <f t="shared" si="151"/>
        <v>1939.6120000000001</v>
      </c>
      <c r="DX98" s="2"/>
      <c r="DY98" s="81" t="s">
        <v>553</v>
      </c>
      <c r="DZ98" s="82"/>
      <c r="EA98" s="82"/>
      <c r="EB98" s="82"/>
      <c r="EC98" s="83"/>
      <c r="ED98" s="84">
        <v>1</v>
      </c>
      <c r="EE98" s="2"/>
      <c r="EF98" s="38" t="s">
        <v>553</v>
      </c>
      <c r="EG98" s="93" t="s">
        <v>553</v>
      </c>
      <c r="EH98" s="94"/>
      <c r="EI98" s="94"/>
      <c r="EJ98" s="94"/>
      <c r="EK98" s="94"/>
      <c r="EL98" s="94"/>
      <c r="EM98" s="94"/>
      <c r="EN98" s="94"/>
      <c r="EO98" s="94"/>
      <c r="EP98" s="94"/>
      <c r="EQ98" s="94"/>
      <c r="ER98" s="94"/>
      <c r="ES98" s="95"/>
      <c r="ET98" s="38" t="s">
        <v>553</v>
      </c>
      <c r="EU98" s="93" t="s">
        <v>553</v>
      </c>
      <c r="EV98" s="94"/>
      <c r="EW98" s="94"/>
      <c r="EX98" s="94"/>
      <c r="EY98" s="94"/>
      <c r="EZ98" s="94"/>
      <c r="FA98" s="94"/>
      <c r="FB98" s="94"/>
      <c r="FC98" s="94"/>
      <c r="FD98" s="94"/>
      <c r="FE98" s="94"/>
      <c r="FF98" s="94"/>
      <c r="FG98" s="95"/>
      <c r="FH98" s="38" t="s">
        <v>553</v>
      </c>
      <c r="FI98" s="93" t="s">
        <v>553</v>
      </c>
      <c r="FJ98" s="94"/>
      <c r="FK98" s="94"/>
      <c r="FL98" s="94"/>
      <c r="FM98" s="94"/>
      <c r="FN98" s="94"/>
      <c r="FO98" s="94"/>
      <c r="FP98" s="94"/>
      <c r="FQ98" s="94"/>
      <c r="FR98" s="94"/>
      <c r="FS98" s="94"/>
      <c r="FT98" s="94"/>
      <c r="FU98" s="95"/>
      <c r="FV98" s="38" t="s">
        <v>553</v>
      </c>
      <c r="FW98" s="93" t="s">
        <v>553</v>
      </c>
      <c r="FX98" s="94"/>
      <c r="FY98" s="94"/>
      <c r="FZ98" s="94"/>
      <c r="GA98" s="94"/>
      <c r="GB98" s="94"/>
      <c r="GC98" s="94"/>
      <c r="GD98" s="94"/>
      <c r="GE98" s="94"/>
      <c r="GF98" s="94"/>
      <c r="GG98" s="94"/>
      <c r="GH98" s="94"/>
      <c r="GI98" s="95"/>
      <c r="GJ98" s="38" t="s">
        <v>553</v>
      </c>
      <c r="GK98" s="93" t="s">
        <v>553</v>
      </c>
      <c r="GL98" s="94"/>
      <c r="GM98" s="94"/>
      <c r="GN98" s="94"/>
      <c r="GO98" s="94"/>
      <c r="GP98" s="94"/>
      <c r="GQ98" s="94"/>
      <c r="GR98" s="94"/>
      <c r="GS98" s="94"/>
      <c r="GT98" s="94"/>
      <c r="GU98" s="94">
        <v>30.63775</v>
      </c>
      <c r="GV98" s="94">
        <v>1164.296</v>
      </c>
      <c r="GW98" s="95">
        <v>1939.6120000000001</v>
      </c>
      <c r="GX98" s="38"/>
    </row>
    <row r="99" spans="1:206" x14ac:dyDescent="0.35">
      <c r="A99" s="2"/>
      <c r="B99" s="2"/>
      <c r="C99" s="42" t="s">
        <v>554</v>
      </c>
      <c r="D99" s="43">
        <f t="shared" si="152"/>
        <v>1.8869357630261159E-2</v>
      </c>
      <c r="E99" s="43">
        <f t="shared" si="119"/>
        <v>2.1734333482191604E-2</v>
      </c>
      <c r="F99" s="43">
        <f t="shared" si="120"/>
        <v>2.3876921391667756E-2</v>
      </c>
      <c r="G99" s="43">
        <f t="shared" si="121"/>
        <v>1.4619941241780609E-2</v>
      </c>
      <c r="H99" s="43">
        <f t="shared" si="122"/>
        <v>2.3719900658569198E-3</v>
      </c>
      <c r="I99" s="43">
        <f t="shared" si="123"/>
        <v>9.5220003479958709E-3</v>
      </c>
      <c r="J99" s="43">
        <f t="shared" si="124"/>
        <v>1.0910524984357186E-2</v>
      </c>
      <c r="K99" s="43">
        <f t="shared" si="125"/>
        <v>3.4835371358618063E-2</v>
      </c>
      <c r="L99" s="43">
        <f t="shared" si="126"/>
        <v>2.7332353507863748E-2</v>
      </c>
      <c r="M99" s="43">
        <f t="shared" si="127"/>
        <v>3.2287754095906271E-2</v>
      </c>
      <c r="N99" s="43">
        <f t="shared" si="128"/>
        <v>7.7060509311154282E-2</v>
      </c>
      <c r="O99" s="44">
        <f t="shared" si="129"/>
        <v>0.72657894258234657</v>
      </c>
      <c r="P99" s="115">
        <f t="shared" si="153"/>
        <v>1</v>
      </c>
      <c r="Q99" s="2"/>
      <c r="R99" s="42" t="s">
        <v>554</v>
      </c>
      <c r="S99" s="43">
        <f t="shared" si="154"/>
        <v>1.8869357630261159E-2</v>
      </c>
      <c r="T99" s="43">
        <f t="shared" si="155"/>
        <v>2.1734333482191604E-2</v>
      </c>
      <c r="U99" s="43">
        <f t="shared" si="156"/>
        <v>2.3876921391667756E-2</v>
      </c>
      <c r="V99" s="43">
        <f t="shared" si="157"/>
        <v>1.4619941241780609E-2</v>
      </c>
      <c r="W99" s="29">
        <f t="shared" si="158"/>
        <v>2.3719900658569198E-3</v>
      </c>
      <c r="X99" s="43">
        <f t="shared" si="159"/>
        <v>9.5220003479958709E-3</v>
      </c>
      <c r="Y99" s="43">
        <f t="shared" si="160"/>
        <v>1.0910524984357186E-2</v>
      </c>
      <c r="Z99" s="43">
        <f t="shared" si="161"/>
        <v>3.4835371358618063E-2</v>
      </c>
      <c r="AA99" s="29">
        <f t="shared" si="162"/>
        <v>2.7332353507863748E-2</v>
      </c>
      <c r="AB99" s="43">
        <f t="shared" si="163"/>
        <v>3.2287754095906271E-2</v>
      </c>
      <c r="AC99" s="43">
        <f t="shared" si="164"/>
        <v>7.7060509311154282E-2</v>
      </c>
      <c r="AD99" s="43">
        <f t="shared" si="165"/>
        <v>0.72657894258234657</v>
      </c>
      <c r="AE99" s="32">
        <f t="shared" si="166"/>
        <v>4.8573701203981828E-2</v>
      </c>
      <c r="AF99" s="53">
        <f t="shared" si="167"/>
        <v>6.3544087926093742E-2</v>
      </c>
      <c r="AG99" s="53">
        <f t="shared" si="168"/>
        <v>0.11184795568717923</v>
      </c>
      <c r="AH99" s="53">
        <f t="shared" si="169"/>
        <v>0.77603425518274527</v>
      </c>
      <c r="AI99" s="34">
        <f t="shared" si="170"/>
        <v>7.9100553745901123E-2</v>
      </c>
      <c r="AJ99" s="35">
        <f t="shared" si="171"/>
        <v>5.7639886756828039E-2</v>
      </c>
      <c r="AK99" s="34">
        <f t="shared" si="172"/>
        <v>7.9100553745901123E-2</v>
      </c>
      <c r="AL99" s="35">
        <f t="shared" si="173"/>
        <v>5.7639886756828039E-2</v>
      </c>
      <c r="AM99" s="35">
        <f t="shared" si="174"/>
        <v>0.86325955949727085</v>
      </c>
      <c r="AN99" s="36">
        <v>1</v>
      </c>
      <c r="AO99" s="54">
        <v>1</v>
      </c>
      <c r="AP99" s="2"/>
      <c r="AQ99" s="42" t="s">
        <v>554</v>
      </c>
      <c r="AR99" s="43">
        <f t="shared" si="175"/>
        <v>3.4527883796915904E-2</v>
      </c>
      <c r="AS99" s="43">
        <f t="shared" si="186"/>
        <v>3.9770327934907229E-2</v>
      </c>
      <c r="AT99" s="43">
        <f t="shared" si="187"/>
        <v>4.3690918546027344E-2</v>
      </c>
      <c r="AU99" s="43">
        <f t="shared" si="188"/>
        <v>2.6752136570054118E-2</v>
      </c>
      <c r="AV99" s="29">
        <f t="shared" si="189"/>
        <v>5.0929290111381585E-3</v>
      </c>
      <c r="AW99" s="43">
        <f t="shared" si="190"/>
        <v>2.0444803928323471E-2</v>
      </c>
      <c r="AX99" s="43">
        <f t="shared" si="191"/>
        <v>2.3426122233571031E-2</v>
      </c>
      <c r="AY99" s="43">
        <f t="shared" si="192"/>
        <v>7.4795453808944812E-2</v>
      </c>
      <c r="AZ99" s="29">
        <f t="shared" si="193"/>
        <v>2.3160590151888892E-2</v>
      </c>
      <c r="BA99" s="43">
        <f t="shared" si="194"/>
        <v>2.7359643190810762E-2</v>
      </c>
      <c r="BB99" s="43">
        <f t="shared" si="195"/>
        <v>6.5298689794055592E-2</v>
      </c>
      <c r="BC99" s="44">
        <f t="shared" si="196"/>
        <v>0.61568050103336269</v>
      </c>
      <c r="BD99" s="2"/>
      <c r="BE99" s="42" t="s">
        <v>554</v>
      </c>
      <c r="BF99" s="62">
        <v>1</v>
      </c>
      <c r="BG99" s="62">
        <v>1</v>
      </c>
      <c r="BH99" s="62">
        <v>1</v>
      </c>
      <c r="BI99" s="62">
        <v>1</v>
      </c>
      <c r="BJ99" s="36">
        <v>1</v>
      </c>
      <c r="BK99" s="62">
        <v>1</v>
      </c>
      <c r="BL99" s="62">
        <v>1</v>
      </c>
      <c r="BM99" s="62">
        <v>1</v>
      </c>
      <c r="BN99" s="36">
        <v>1</v>
      </c>
      <c r="BO99" s="62">
        <v>1</v>
      </c>
      <c r="BP99" s="62">
        <v>1</v>
      </c>
      <c r="BQ99" s="54">
        <v>1</v>
      </c>
      <c r="BR99" s="2"/>
      <c r="BS99" s="42" t="s">
        <v>554</v>
      </c>
      <c r="BT99" s="67">
        <f t="shared" si="176"/>
        <v>6649.4438</v>
      </c>
      <c r="BU99" s="67">
        <f t="shared" si="130"/>
        <v>7659.0433999999996</v>
      </c>
      <c r="BV99" s="67">
        <f t="shared" si="131"/>
        <v>8414.0779999999995</v>
      </c>
      <c r="BW99" s="67">
        <f t="shared" si="132"/>
        <v>5151.9760000000006</v>
      </c>
      <c r="BX99" s="30">
        <f t="shared" si="133"/>
        <v>980.8057</v>
      </c>
      <c r="BY99" s="67">
        <f t="shared" si="134"/>
        <v>3937.2982000000002</v>
      </c>
      <c r="BZ99" s="67">
        <f t="shared" si="135"/>
        <v>4511.4459999999999</v>
      </c>
      <c r="CA99" s="67">
        <f t="shared" si="136"/>
        <v>14404.246999999999</v>
      </c>
      <c r="CB99" s="30">
        <f t="shared" si="137"/>
        <v>4460.3093399999998</v>
      </c>
      <c r="CC99" s="67">
        <f t="shared" si="138"/>
        <v>5268.9707500000004</v>
      </c>
      <c r="CD99" s="67">
        <f t="shared" si="139"/>
        <v>12575.3426</v>
      </c>
      <c r="CE99" s="68">
        <f t="shared" si="140"/>
        <v>118568.89099999999</v>
      </c>
      <c r="CF99" s="2"/>
      <c r="CG99" s="37" t="str">
        <f t="shared" si="177"/>
        <v>alegl</v>
      </c>
      <c r="CH99" s="42" t="s">
        <v>554</v>
      </c>
      <c r="CI99" s="67">
        <f t="shared" si="178"/>
        <v>6649.4438</v>
      </c>
      <c r="CJ99" s="67">
        <f t="shared" si="197"/>
        <v>7659.0433999999996</v>
      </c>
      <c r="CK99" s="67">
        <f t="shared" si="198"/>
        <v>8414.0779999999995</v>
      </c>
      <c r="CL99" s="67">
        <f t="shared" si="199"/>
        <v>5151.9760000000006</v>
      </c>
      <c r="CM99" s="30">
        <f t="shared" si="200"/>
        <v>980.8057</v>
      </c>
      <c r="CN99" s="67">
        <f t="shared" si="201"/>
        <v>3937.2982000000002</v>
      </c>
      <c r="CO99" s="67">
        <f t="shared" si="202"/>
        <v>4511.4459999999999</v>
      </c>
      <c r="CP99" s="67">
        <f t="shared" si="203"/>
        <v>14404.246999999999</v>
      </c>
      <c r="CQ99" s="30">
        <f t="shared" si="204"/>
        <v>4460.3093399999998</v>
      </c>
      <c r="CR99" s="67">
        <f t="shared" si="205"/>
        <v>5268.9707500000004</v>
      </c>
      <c r="CS99" s="67">
        <f t="shared" si="206"/>
        <v>12575.3426</v>
      </c>
      <c r="CT99" s="68">
        <f t="shared" si="207"/>
        <v>118568.89099999999</v>
      </c>
      <c r="CU99" s="2"/>
      <c r="CV99" s="42" t="s">
        <v>554</v>
      </c>
      <c r="CW99" s="67">
        <f t="shared" si="179"/>
        <v>0</v>
      </c>
      <c r="CX99" s="67">
        <f t="shared" si="208"/>
        <v>0</v>
      </c>
      <c r="CY99" s="67">
        <f t="shared" si="209"/>
        <v>0</v>
      </c>
      <c r="CZ99" s="67">
        <f t="shared" si="210"/>
        <v>0</v>
      </c>
      <c r="DA99" s="30">
        <f t="shared" si="211"/>
        <v>0</v>
      </c>
      <c r="DB99" s="67">
        <f t="shared" si="212"/>
        <v>0</v>
      </c>
      <c r="DC99" s="67">
        <f t="shared" si="213"/>
        <v>0</v>
      </c>
      <c r="DD99" s="67">
        <f t="shared" si="214"/>
        <v>0</v>
      </c>
      <c r="DE99" s="30">
        <f t="shared" si="215"/>
        <v>0</v>
      </c>
      <c r="DF99" s="67">
        <f t="shared" si="216"/>
        <v>0</v>
      </c>
      <c r="DG99" s="67">
        <f t="shared" si="217"/>
        <v>0</v>
      </c>
      <c r="DH99" s="68">
        <f t="shared" si="218"/>
        <v>0</v>
      </c>
      <c r="DI99" s="2"/>
      <c r="DJ99" s="37" t="s">
        <v>552</v>
      </c>
      <c r="DK99" s="76" t="s">
        <v>554</v>
      </c>
      <c r="DL99" s="67">
        <f t="shared" si="180"/>
        <v>613.65480000000002</v>
      </c>
      <c r="DM99" s="67">
        <f t="shared" si="141"/>
        <v>242.18100000000001</v>
      </c>
      <c r="DN99" s="67">
        <f t="shared" si="142"/>
        <v>106.3069</v>
      </c>
      <c r="DO99" s="67">
        <f t="shared" si="143"/>
        <v>1718.3409999999999</v>
      </c>
      <c r="DP99" s="30">
        <f t="shared" si="144"/>
        <v>0</v>
      </c>
      <c r="DQ99" s="67">
        <f t="shared" si="145"/>
        <v>114.6022</v>
      </c>
      <c r="DR99" s="67">
        <f t="shared" si="146"/>
        <v>0</v>
      </c>
      <c r="DS99" s="67">
        <f t="shared" si="147"/>
        <v>1838.643</v>
      </c>
      <c r="DT99" s="30">
        <f t="shared" si="148"/>
        <v>0</v>
      </c>
      <c r="DU99" s="67">
        <f t="shared" si="149"/>
        <v>1176.133</v>
      </c>
      <c r="DV99" s="67">
        <f t="shared" si="150"/>
        <v>1086.809</v>
      </c>
      <c r="DW99" s="68">
        <f t="shared" si="151"/>
        <v>26990.37</v>
      </c>
      <c r="DX99" s="2"/>
      <c r="DY99" s="81" t="s">
        <v>554</v>
      </c>
      <c r="DZ99" s="82"/>
      <c r="EA99" s="82"/>
      <c r="EB99" s="82"/>
      <c r="EC99" s="83"/>
      <c r="ED99" s="84">
        <v>1</v>
      </c>
      <c r="EE99" s="2"/>
      <c r="EF99" s="38" t="s">
        <v>554</v>
      </c>
      <c r="EG99" s="93" t="s">
        <v>554</v>
      </c>
      <c r="EH99" s="94"/>
      <c r="EI99" s="94"/>
      <c r="EJ99" s="94"/>
      <c r="EK99" s="94"/>
      <c r="EL99" s="94"/>
      <c r="EM99" s="94"/>
      <c r="EN99" s="94"/>
      <c r="EO99" s="94"/>
      <c r="EP99" s="94"/>
      <c r="EQ99" s="94"/>
      <c r="ER99" s="94"/>
      <c r="ES99" s="95"/>
      <c r="ET99" s="38" t="s">
        <v>554</v>
      </c>
      <c r="EU99" s="93" t="s">
        <v>554</v>
      </c>
      <c r="EV99" s="94"/>
      <c r="EW99" s="94"/>
      <c r="EX99" s="94"/>
      <c r="EY99" s="94"/>
      <c r="EZ99" s="94"/>
      <c r="FA99" s="94"/>
      <c r="FB99" s="94"/>
      <c r="FC99" s="94"/>
      <c r="FD99" s="94"/>
      <c r="FE99" s="94"/>
      <c r="FF99" s="94"/>
      <c r="FG99" s="95"/>
      <c r="FH99" s="38" t="s">
        <v>554</v>
      </c>
      <c r="FI99" s="93" t="s">
        <v>554</v>
      </c>
      <c r="FJ99" s="94"/>
      <c r="FK99" s="94"/>
      <c r="FL99" s="94"/>
      <c r="FM99" s="94"/>
      <c r="FN99" s="94"/>
      <c r="FO99" s="94"/>
      <c r="FP99" s="94"/>
      <c r="FQ99" s="94"/>
      <c r="FR99" s="94"/>
      <c r="FS99" s="94"/>
      <c r="FT99" s="94"/>
      <c r="FU99" s="95"/>
      <c r="FV99" s="38" t="s">
        <v>554</v>
      </c>
      <c r="FW99" s="93" t="s">
        <v>554</v>
      </c>
      <c r="FX99" s="94"/>
      <c r="FY99" s="94"/>
      <c r="FZ99" s="94"/>
      <c r="GA99" s="94"/>
      <c r="GB99" s="94"/>
      <c r="GC99" s="94"/>
      <c r="GD99" s="94"/>
      <c r="GE99" s="94"/>
      <c r="GF99" s="94"/>
      <c r="GG99" s="94"/>
      <c r="GH99" s="94"/>
      <c r="GI99" s="95"/>
      <c r="GJ99" s="38" t="s">
        <v>554</v>
      </c>
      <c r="GK99" s="93" t="s">
        <v>554</v>
      </c>
      <c r="GL99" s="94">
        <v>613.65480000000002</v>
      </c>
      <c r="GM99" s="94">
        <v>242.18100000000001</v>
      </c>
      <c r="GN99" s="94">
        <v>106.3069</v>
      </c>
      <c r="GO99" s="94">
        <v>1718.3409999999999</v>
      </c>
      <c r="GP99" s="94"/>
      <c r="GQ99" s="94">
        <v>114.6022</v>
      </c>
      <c r="GR99" s="94">
        <v>0</v>
      </c>
      <c r="GS99" s="94">
        <v>1838.643</v>
      </c>
      <c r="GT99" s="94">
        <v>0</v>
      </c>
      <c r="GU99" s="94">
        <v>1176.133</v>
      </c>
      <c r="GV99" s="94">
        <v>1086.809</v>
      </c>
      <c r="GW99" s="95">
        <v>26990.37</v>
      </c>
      <c r="GX99" s="38"/>
    </row>
    <row r="100" spans="1:206" x14ac:dyDescent="0.35">
      <c r="A100" s="2"/>
      <c r="B100" s="2"/>
      <c r="C100" s="42" t="s">
        <v>555</v>
      </c>
      <c r="D100" s="43">
        <f t="shared" si="152"/>
        <v>1.1226430365116509E-2</v>
      </c>
      <c r="E100" s="43">
        <f t="shared" si="119"/>
        <v>1.2930963848962102E-2</v>
      </c>
      <c r="F100" s="43">
        <f t="shared" si="120"/>
        <v>1.4205708566731366E-2</v>
      </c>
      <c r="G100" s="43">
        <f t="shared" si="121"/>
        <v>8.6982162036998486E-3</v>
      </c>
      <c r="H100" s="43">
        <f t="shared" si="122"/>
        <v>2.1037823808099175E-2</v>
      </c>
      <c r="I100" s="43">
        <f t="shared" si="123"/>
        <v>8.4453205983148358E-2</v>
      </c>
      <c r="J100" s="43">
        <f t="shared" si="124"/>
        <v>9.6768407919890526E-2</v>
      </c>
      <c r="K100" s="43">
        <f t="shared" si="125"/>
        <v>0.30896436518909004</v>
      </c>
      <c r="L100" s="43">
        <f t="shared" si="126"/>
        <v>1.3985489144609306E-2</v>
      </c>
      <c r="M100" s="43">
        <f t="shared" si="127"/>
        <v>1.6521081299573935E-2</v>
      </c>
      <c r="N100" s="43">
        <f t="shared" si="128"/>
        <v>3.9430520175993654E-2</v>
      </c>
      <c r="O100" s="44">
        <f t="shared" si="129"/>
        <v>0.37177778749508522</v>
      </c>
      <c r="P100" s="115">
        <f t="shared" si="153"/>
        <v>1</v>
      </c>
      <c r="Q100" s="2"/>
      <c r="R100" s="42" t="s">
        <v>555</v>
      </c>
      <c r="S100" s="43">
        <f t="shared" si="154"/>
        <v>1.1226430365116509E-2</v>
      </c>
      <c r="T100" s="43">
        <f t="shared" si="155"/>
        <v>1.2930963848962102E-2</v>
      </c>
      <c r="U100" s="43">
        <f t="shared" si="156"/>
        <v>1.4205708566731366E-2</v>
      </c>
      <c r="V100" s="43">
        <f t="shared" si="157"/>
        <v>8.6982162036998486E-3</v>
      </c>
      <c r="W100" s="29">
        <f t="shared" si="158"/>
        <v>2.1037823808099175E-2</v>
      </c>
      <c r="X100" s="43">
        <f t="shared" si="159"/>
        <v>8.4453205983148358E-2</v>
      </c>
      <c r="Y100" s="43">
        <f t="shared" si="160"/>
        <v>9.6768407919890526E-2</v>
      </c>
      <c r="Z100" s="43">
        <f t="shared" si="161"/>
        <v>0.30896436518909004</v>
      </c>
      <c r="AA100" s="29">
        <f t="shared" si="162"/>
        <v>1.3985489144609306E-2</v>
      </c>
      <c r="AB100" s="43">
        <f t="shared" si="163"/>
        <v>1.6521081299573935E-2</v>
      </c>
      <c r="AC100" s="43">
        <f t="shared" si="164"/>
        <v>3.9430520175993654E-2</v>
      </c>
      <c r="AD100" s="43">
        <f t="shared" si="165"/>
        <v>0.37177778749508522</v>
      </c>
      <c r="AE100" s="32">
        <f t="shared" si="166"/>
        <v>4.6249743317824991E-2</v>
      </c>
      <c r="AF100" s="53">
        <f t="shared" si="167"/>
        <v>0.1139052511316844</v>
      </c>
      <c r="AG100" s="53">
        <f t="shared" si="168"/>
        <v>0.15040463666261555</v>
      </c>
      <c r="AH100" s="53">
        <f t="shared" si="169"/>
        <v>0.68944036888787519</v>
      </c>
      <c r="AI100" s="34">
        <f t="shared" si="170"/>
        <v>4.7061318984509826E-2</v>
      </c>
      <c r="AJ100" s="35">
        <f t="shared" si="171"/>
        <v>0.51122380290022806</v>
      </c>
      <c r="AK100" s="34">
        <f t="shared" si="172"/>
        <v>4.7061318984509826E-2</v>
      </c>
      <c r="AL100" s="35">
        <f t="shared" si="173"/>
        <v>0.51122380290022806</v>
      </c>
      <c r="AM100" s="35">
        <f t="shared" si="174"/>
        <v>0.44171487811526211</v>
      </c>
      <c r="AN100" s="36">
        <v>1</v>
      </c>
      <c r="AO100" s="54">
        <v>1</v>
      </c>
      <c r="AP100" s="2"/>
      <c r="AQ100" s="42" t="s">
        <v>555</v>
      </c>
      <c r="AR100" s="43">
        <f t="shared" si="175"/>
        <v>3.4527883796915904E-2</v>
      </c>
      <c r="AS100" s="43">
        <f t="shared" si="186"/>
        <v>3.9770327934907229E-2</v>
      </c>
      <c r="AT100" s="43">
        <f t="shared" si="187"/>
        <v>4.3690918546027344E-2</v>
      </c>
      <c r="AU100" s="43">
        <f t="shared" si="188"/>
        <v>2.6752136570054118E-2</v>
      </c>
      <c r="AV100" s="29">
        <f t="shared" si="189"/>
        <v>5.0929290111381585E-3</v>
      </c>
      <c r="AW100" s="43">
        <f t="shared" si="190"/>
        <v>2.0444803928323471E-2</v>
      </c>
      <c r="AX100" s="43">
        <f t="shared" si="191"/>
        <v>2.3426122233571031E-2</v>
      </c>
      <c r="AY100" s="43">
        <f t="shared" si="192"/>
        <v>7.4795453808944812E-2</v>
      </c>
      <c r="AZ100" s="29">
        <f t="shared" si="193"/>
        <v>2.3160590151888892E-2</v>
      </c>
      <c r="BA100" s="43">
        <f t="shared" si="194"/>
        <v>2.7359643190810762E-2</v>
      </c>
      <c r="BB100" s="43">
        <f t="shared" si="195"/>
        <v>6.5298689794055592E-2</v>
      </c>
      <c r="BC100" s="44">
        <f t="shared" si="196"/>
        <v>0.61568050103336269</v>
      </c>
      <c r="BD100" s="2"/>
      <c r="BE100" s="42" t="s">
        <v>555</v>
      </c>
      <c r="BF100" s="62">
        <v>1</v>
      </c>
      <c r="BG100" s="62">
        <v>1</v>
      </c>
      <c r="BH100" s="62">
        <v>1</v>
      </c>
      <c r="BI100" s="62">
        <v>1</v>
      </c>
      <c r="BJ100" s="36">
        <v>1</v>
      </c>
      <c r="BK100" s="62">
        <v>1</v>
      </c>
      <c r="BL100" s="62">
        <v>1</v>
      </c>
      <c r="BM100" s="62">
        <v>1</v>
      </c>
      <c r="BN100" s="36">
        <v>1</v>
      </c>
      <c r="BO100" s="62">
        <v>1</v>
      </c>
      <c r="BP100" s="62">
        <v>1</v>
      </c>
      <c r="BQ100" s="54">
        <v>1</v>
      </c>
      <c r="BR100" s="2"/>
      <c r="BS100" s="42" t="s">
        <v>555</v>
      </c>
      <c r="BT100" s="67">
        <f t="shared" si="176"/>
        <v>6649.4438</v>
      </c>
      <c r="BU100" s="67">
        <f t="shared" si="130"/>
        <v>7659.0433999999996</v>
      </c>
      <c r="BV100" s="67">
        <f t="shared" si="131"/>
        <v>8414.0779999999995</v>
      </c>
      <c r="BW100" s="67">
        <f t="shared" si="132"/>
        <v>5151.9760000000006</v>
      </c>
      <c r="BX100" s="30">
        <f t="shared" si="133"/>
        <v>980.8057</v>
      </c>
      <c r="BY100" s="67">
        <f t="shared" si="134"/>
        <v>3937.2982000000002</v>
      </c>
      <c r="BZ100" s="67">
        <f t="shared" si="135"/>
        <v>4511.4459999999999</v>
      </c>
      <c r="CA100" s="67">
        <f t="shared" si="136"/>
        <v>14404.246999999999</v>
      </c>
      <c r="CB100" s="30">
        <f t="shared" si="137"/>
        <v>4460.3093399999998</v>
      </c>
      <c r="CC100" s="67">
        <f t="shared" si="138"/>
        <v>5268.9707500000004</v>
      </c>
      <c r="CD100" s="67">
        <f t="shared" si="139"/>
        <v>12575.3426</v>
      </c>
      <c r="CE100" s="68">
        <f t="shared" si="140"/>
        <v>118568.89099999999</v>
      </c>
      <c r="CF100" s="2"/>
      <c r="CG100" s="37" t="str">
        <f t="shared" si="177"/>
        <v>alegl</v>
      </c>
      <c r="CH100" s="42" t="s">
        <v>555</v>
      </c>
      <c r="CI100" s="67">
        <f t="shared" si="178"/>
        <v>6649.4438</v>
      </c>
      <c r="CJ100" s="67">
        <f t="shared" si="197"/>
        <v>7659.0433999999996</v>
      </c>
      <c r="CK100" s="67">
        <f t="shared" si="198"/>
        <v>8414.0779999999995</v>
      </c>
      <c r="CL100" s="67">
        <f t="shared" si="199"/>
        <v>5151.9760000000006</v>
      </c>
      <c r="CM100" s="30">
        <f t="shared" si="200"/>
        <v>980.8057</v>
      </c>
      <c r="CN100" s="67">
        <f t="shared" si="201"/>
        <v>3937.2982000000002</v>
      </c>
      <c r="CO100" s="67">
        <f t="shared" si="202"/>
        <v>4511.4459999999999</v>
      </c>
      <c r="CP100" s="67">
        <f t="shared" si="203"/>
        <v>14404.246999999999</v>
      </c>
      <c r="CQ100" s="30">
        <f t="shared" si="204"/>
        <v>4460.3093399999998</v>
      </c>
      <c r="CR100" s="67">
        <f t="shared" si="205"/>
        <v>5268.9707500000004</v>
      </c>
      <c r="CS100" s="67">
        <f t="shared" si="206"/>
        <v>12575.3426</v>
      </c>
      <c r="CT100" s="68">
        <f t="shared" si="207"/>
        <v>118568.89099999999</v>
      </c>
      <c r="CU100" s="2"/>
      <c r="CV100" s="42" t="s">
        <v>555</v>
      </c>
      <c r="CW100" s="67">
        <f t="shared" si="179"/>
        <v>0</v>
      </c>
      <c r="CX100" s="67">
        <f t="shared" si="208"/>
        <v>0</v>
      </c>
      <c r="CY100" s="67">
        <f t="shared" si="209"/>
        <v>0</v>
      </c>
      <c r="CZ100" s="67">
        <f t="shared" si="210"/>
        <v>0</v>
      </c>
      <c r="DA100" s="30">
        <f t="shared" si="211"/>
        <v>0</v>
      </c>
      <c r="DB100" s="67">
        <f t="shared" si="212"/>
        <v>0</v>
      </c>
      <c r="DC100" s="67">
        <f t="shared" si="213"/>
        <v>0</v>
      </c>
      <c r="DD100" s="67">
        <f t="shared" si="214"/>
        <v>0</v>
      </c>
      <c r="DE100" s="30">
        <f t="shared" si="215"/>
        <v>0</v>
      </c>
      <c r="DF100" s="67">
        <f t="shared" si="216"/>
        <v>0</v>
      </c>
      <c r="DG100" s="67">
        <f t="shared" si="217"/>
        <v>0</v>
      </c>
      <c r="DH100" s="68">
        <f t="shared" si="218"/>
        <v>0</v>
      </c>
      <c r="DI100" s="2"/>
      <c r="DJ100" s="37" t="s">
        <v>552</v>
      </c>
      <c r="DK100" s="76" t="s">
        <v>555</v>
      </c>
      <c r="DL100" s="67">
        <f t="shared" si="180"/>
        <v>0</v>
      </c>
      <c r="DM100" s="67">
        <f t="shared" si="141"/>
        <v>0</v>
      </c>
      <c r="DN100" s="67">
        <f t="shared" si="142"/>
        <v>321.25209999999998</v>
      </c>
      <c r="DO100" s="67">
        <f t="shared" si="143"/>
        <v>0</v>
      </c>
      <c r="DP100" s="30">
        <f t="shared" si="144"/>
        <v>0</v>
      </c>
      <c r="DQ100" s="67">
        <f t="shared" si="145"/>
        <v>1341.6669999999999</v>
      </c>
      <c r="DR100" s="67">
        <f t="shared" si="146"/>
        <v>2148.0720000000001</v>
      </c>
      <c r="DS100" s="67">
        <f t="shared" si="147"/>
        <v>0</v>
      </c>
      <c r="DT100" s="30">
        <f t="shared" si="148"/>
        <v>86.108739999999997</v>
      </c>
      <c r="DU100" s="67">
        <f t="shared" si="149"/>
        <v>0</v>
      </c>
      <c r="DV100" s="67">
        <f t="shared" si="150"/>
        <v>492.86630000000002</v>
      </c>
      <c r="DW100" s="68">
        <f t="shared" si="151"/>
        <v>2436.279</v>
      </c>
      <c r="DX100" s="2"/>
      <c r="DY100" s="81" t="s">
        <v>555</v>
      </c>
      <c r="DZ100" s="82"/>
      <c r="EA100" s="82"/>
      <c r="EB100" s="82"/>
      <c r="EC100" s="83"/>
      <c r="ED100" s="84">
        <v>1</v>
      </c>
      <c r="EE100" s="2"/>
      <c r="EF100" s="38" t="s">
        <v>555</v>
      </c>
      <c r="EG100" s="93" t="s">
        <v>555</v>
      </c>
      <c r="EH100" s="94">
        <v>2072.8449999999998</v>
      </c>
      <c r="EI100" s="94">
        <v>2561.069</v>
      </c>
      <c r="EJ100" s="94">
        <v>1188.453</v>
      </c>
      <c r="EK100" s="94"/>
      <c r="EL100" s="94">
        <v>605.86249999999995</v>
      </c>
      <c r="EM100" s="94">
        <v>781.63099999999997</v>
      </c>
      <c r="EN100" s="94">
        <v>423.78699999999998</v>
      </c>
      <c r="EO100" s="94">
        <v>2406.509</v>
      </c>
      <c r="EP100" s="94">
        <v>2286.0030000000002</v>
      </c>
      <c r="EQ100" s="94">
        <v>6442.393</v>
      </c>
      <c r="ER100" s="94">
        <v>2522.7779999999998</v>
      </c>
      <c r="ES100" s="95">
        <v>10296.700000000001</v>
      </c>
      <c r="ET100" s="38" t="s">
        <v>555</v>
      </c>
      <c r="EU100" s="93" t="s">
        <v>555</v>
      </c>
      <c r="EV100" s="94">
        <v>1020.131</v>
      </c>
      <c r="EW100" s="94">
        <v>757.70500000000004</v>
      </c>
      <c r="EX100" s="94"/>
      <c r="EY100" s="94">
        <v>535.33450000000005</v>
      </c>
      <c r="EZ100" s="94">
        <v>1092.99</v>
      </c>
      <c r="FA100" s="94">
        <v>926.04010000000005</v>
      </c>
      <c r="FB100" s="94"/>
      <c r="FC100" s="94">
        <v>107.8044</v>
      </c>
      <c r="FD100" s="94">
        <v>3477.5410000000002</v>
      </c>
      <c r="FE100" s="94">
        <v>1549.7270000000001</v>
      </c>
      <c r="FF100" s="94">
        <v>1188.924</v>
      </c>
      <c r="FG100" s="95">
        <v>1393.635</v>
      </c>
      <c r="FH100" s="38" t="s">
        <v>555</v>
      </c>
      <c r="FI100" s="93" t="s">
        <v>555</v>
      </c>
      <c r="FJ100" s="94"/>
      <c r="FK100" s="94"/>
      <c r="FL100" s="94"/>
      <c r="FM100" s="94"/>
      <c r="FN100" s="94"/>
      <c r="FO100" s="94"/>
      <c r="FP100" s="94"/>
      <c r="FQ100" s="94"/>
      <c r="FR100" s="94"/>
      <c r="FS100" s="94"/>
      <c r="FT100" s="94"/>
      <c r="FU100" s="95"/>
      <c r="FV100" s="38" t="s">
        <v>555</v>
      </c>
      <c r="FW100" s="93" t="s">
        <v>555</v>
      </c>
      <c r="FX100" s="94"/>
      <c r="FY100" s="94"/>
      <c r="FZ100" s="94"/>
      <c r="GA100" s="94"/>
      <c r="GB100" s="94"/>
      <c r="GC100" s="94"/>
      <c r="GD100" s="94"/>
      <c r="GE100" s="94"/>
      <c r="GF100" s="94"/>
      <c r="GG100" s="94"/>
      <c r="GH100" s="94"/>
      <c r="GI100" s="95"/>
      <c r="GJ100" s="38" t="s">
        <v>555</v>
      </c>
      <c r="GK100" s="93" t="s">
        <v>555</v>
      </c>
      <c r="GL100" s="94"/>
      <c r="GM100" s="94">
        <v>0</v>
      </c>
      <c r="GN100" s="94">
        <v>321.25209999999998</v>
      </c>
      <c r="GO100" s="94"/>
      <c r="GP100" s="94"/>
      <c r="GQ100" s="94">
        <v>1341.6669999999999</v>
      </c>
      <c r="GR100" s="94">
        <v>2148.0720000000001</v>
      </c>
      <c r="GS100" s="94"/>
      <c r="GT100" s="94">
        <v>86.108739999999997</v>
      </c>
      <c r="GU100" s="94"/>
      <c r="GV100" s="94">
        <v>492.86630000000002</v>
      </c>
      <c r="GW100" s="95">
        <v>2436.279</v>
      </c>
      <c r="GX100" s="38"/>
    </row>
    <row r="101" spans="1:206" x14ac:dyDescent="0.35">
      <c r="A101" s="2"/>
      <c r="B101" s="2"/>
      <c r="C101" s="42" t="s">
        <v>556</v>
      </c>
      <c r="D101" s="43">
        <f t="shared" si="152"/>
        <v>6.727574409490665E-2</v>
      </c>
      <c r="E101" s="43">
        <f t="shared" si="119"/>
        <v>7.7490367508660452E-2</v>
      </c>
      <c r="F101" s="43">
        <f t="shared" si="120"/>
        <v>8.5129429670882231E-2</v>
      </c>
      <c r="G101" s="43">
        <f t="shared" si="121"/>
        <v>5.2125114428232443E-2</v>
      </c>
      <c r="H101" s="43">
        <f t="shared" si="122"/>
        <v>7.4459365392046386E-3</v>
      </c>
      <c r="I101" s="43">
        <f t="shared" si="123"/>
        <v>2.9890601709517649E-2</v>
      </c>
      <c r="J101" s="43">
        <f t="shared" si="124"/>
        <v>3.4249332580396516E-2</v>
      </c>
      <c r="K101" s="43">
        <f t="shared" si="125"/>
        <v>0.10935204501465355</v>
      </c>
      <c r="L101" s="43">
        <f t="shared" si="126"/>
        <v>1.7003699535524035E-2</v>
      </c>
      <c r="M101" s="43">
        <f t="shared" si="127"/>
        <v>2.0086498192178021E-2</v>
      </c>
      <c r="N101" s="43">
        <f t="shared" si="128"/>
        <v>4.7940026313662717E-2</v>
      </c>
      <c r="O101" s="44">
        <f t="shared" si="129"/>
        <v>0.45201120441218096</v>
      </c>
      <c r="P101" s="115">
        <f t="shared" si="153"/>
        <v>0.99999999999999978</v>
      </c>
      <c r="Q101" s="2"/>
      <c r="R101" s="42" t="s">
        <v>556</v>
      </c>
      <c r="S101" s="43">
        <f t="shared" si="154"/>
        <v>6.7275744094906664E-2</v>
      </c>
      <c r="T101" s="43">
        <f t="shared" si="155"/>
        <v>7.7490367508660465E-2</v>
      </c>
      <c r="U101" s="43">
        <f t="shared" si="156"/>
        <v>8.5129429670882245E-2</v>
      </c>
      <c r="V101" s="43">
        <f t="shared" si="157"/>
        <v>5.2125114428232457E-2</v>
      </c>
      <c r="W101" s="29">
        <f t="shared" si="158"/>
        <v>7.4459365392046404E-3</v>
      </c>
      <c r="X101" s="43">
        <f t="shared" si="159"/>
        <v>2.9890601709517656E-2</v>
      </c>
      <c r="Y101" s="43">
        <f t="shared" si="160"/>
        <v>3.4249332580396523E-2</v>
      </c>
      <c r="Z101" s="43">
        <f t="shared" si="161"/>
        <v>0.10935204501465358</v>
      </c>
      <c r="AA101" s="29">
        <f t="shared" si="162"/>
        <v>1.7003699535524039E-2</v>
      </c>
      <c r="AB101" s="43">
        <f t="shared" si="163"/>
        <v>2.0086498192178025E-2</v>
      </c>
      <c r="AC101" s="43">
        <f t="shared" si="164"/>
        <v>4.7940026313662731E-2</v>
      </c>
      <c r="AD101" s="43">
        <f t="shared" si="165"/>
        <v>0.45201120441218107</v>
      </c>
      <c r="AE101" s="32">
        <f t="shared" si="166"/>
        <v>9.1725380169635343E-2</v>
      </c>
      <c r="AF101" s="53">
        <f t="shared" si="167"/>
        <v>0.12746746741035614</v>
      </c>
      <c r="AG101" s="53">
        <f t="shared" si="168"/>
        <v>0.16731878856494151</v>
      </c>
      <c r="AH101" s="53">
        <f t="shared" si="169"/>
        <v>0.61348836385506711</v>
      </c>
      <c r="AI101" s="34">
        <f t="shared" si="170"/>
        <v>0.28202065570268181</v>
      </c>
      <c r="AJ101" s="35">
        <f t="shared" si="171"/>
        <v>0.18093791584377239</v>
      </c>
      <c r="AK101" s="34">
        <f t="shared" si="172"/>
        <v>0.28202065570268181</v>
      </c>
      <c r="AL101" s="35">
        <f t="shared" si="173"/>
        <v>0.18093791584377239</v>
      </c>
      <c r="AM101" s="35">
        <f t="shared" si="174"/>
        <v>0.53704142845354585</v>
      </c>
      <c r="AN101" s="36">
        <v>1</v>
      </c>
      <c r="AO101" s="54">
        <v>1</v>
      </c>
      <c r="AP101" s="2"/>
      <c r="AQ101" s="42" t="s">
        <v>556</v>
      </c>
      <c r="AR101" s="43">
        <f t="shared" si="175"/>
        <v>3.4527883796915904E-2</v>
      </c>
      <c r="AS101" s="43">
        <f t="shared" si="186"/>
        <v>3.9770327934907229E-2</v>
      </c>
      <c r="AT101" s="43">
        <f t="shared" si="187"/>
        <v>4.3690918546027344E-2</v>
      </c>
      <c r="AU101" s="43">
        <f t="shared" si="188"/>
        <v>2.6752136570054118E-2</v>
      </c>
      <c r="AV101" s="29">
        <f t="shared" si="189"/>
        <v>5.0929290111381585E-3</v>
      </c>
      <c r="AW101" s="43">
        <f t="shared" si="190"/>
        <v>2.0444803928323471E-2</v>
      </c>
      <c r="AX101" s="43">
        <f t="shared" si="191"/>
        <v>2.3426122233571031E-2</v>
      </c>
      <c r="AY101" s="43">
        <f t="shared" si="192"/>
        <v>7.4795453808944812E-2</v>
      </c>
      <c r="AZ101" s="29">
        <f t="shared" si="193"/>
        <v>2.3160590151888892E-2</v>
      </c>
      <c r="BA101" s="43">
        <f t="shared" si="194"/>
        <v>2.7359643190810762E-2</v>
      </c>
      <c r="BB101" s="43">
        <f t="shared" si="195"/>
        <v>6.5298689794055592E-2</v>
      </c>
      <c r="BC101" s="44">
        <f t="shared" si="196"/>
        <v>0.61568050103336269</v>
      </c>
      <c r="BD101" s="2"/>
      <c r="BE101" s="42" t="s">
        <v>556</v>
      </c>
      <c r="BF101" s="62">
        <v>1</v>
      </c>
      <c r="BG101" s="62">
        <v>1</v>
      </c>
      <c r="BH101" s="62">
        <v>1</v>
      </c>
      <c r="BI101" s="62">
        <v>1</v>
      </c>
      <c r="BJ101" s="36">
        <v>1</v>
      </c>
      <c r="BK101" s="62">
        <v>1</v>
      </c>
      <c r="BL101" s="62">
        <v>1</v>
      </c>
      <c r="BM101" s="62">
        <v>1</v>
      </c>
      <c r="BN101" s="36">
        <v>1</v>
      </c>
      <c r="BO101" s="62">
        <v>1</v>
      </c>
      <c r="BP101" s="62">
        <v>1</v>
      </c>
      <c r="BQ101" s="54">
        <v>1</v>
      </c>
      <c r="BR101" s="2"/>
      <c r="BS101" s="42" t="s">
        <v>556</v>
      </c>
      <c r="BT101" s="67">
        <f t="shared" si="176"/>
        <v>6649.4438</v>
      </c>
      <c r="BU101" s="67">
        <f t="shared" si="130"/>
        <v>7659.0433999999996</v>
      </c>
      <c r="BV101" s="67">
        <f t="shared" si="131"/>
        <v>8414.0779999999995</v>
      </c>
      <c r="BW101" s="67">
        <f t="shared" si="132"/>
        <v>5151.9760000000006</v>
      </c>
      <c r="BX101" s="30">
        <f t="shared" si="133"/>
        <v>980.8057</v>
      </c>
      <c r="BY101" s="67">
        <f t="shared" si="134"/>
        <v>3937.2982000000002</v>
      </c>
      <c r="BZ101" s="67">
        <f t="shared" si="135"/>
        <v>4511.4459999999999</v>
      </c>
      <c r="CA101" s="67">
        <f t="shared" si="136"/>
        <v>14404.246999999999</v>
      </c>
      <c r="CB101" s="30">
        <f t="shared" si="137"/>
        <v>4460.3093399999998</v>
      </c>
      <c r="CC101" s="67">
        <f t="shared" si="138"/>
        <v>5268.9707500000004</v>
      </c>
      <c r="CD101" s="67">
        <f t="shared" si="139"/>
        <v>12575.3426</v>
      </c>
      <c r="CE101" s="68">
        <f t="shared" si="140"/>
        <v>118568.89099999999</v>
      </c>
      <c r="CF101" s="2"/>
      <c r="CG101" s="37" t="str">
        <f t="shared" si="177"/>
        <v>alegl</v>
      </c>
      <c r="CH101" s="42" t="s">
        <v>556</v>
      </c>
      <c r="CI101" s="67">
        <f t="shared" si="178"/>
        <v>6649.4438</v>
      </c>
      <c r="CJ101" s="67">
        <f t="shared" si="197"/>
        <v>7659.0433999999996</v>
      </c>
      <c r="CK101" s="67">
        <f t="shared" si="198"/>
        <v>8414.0779999999995</v>
      </c>
      <c r="CL101" s="67">
        <f t="shared" si="199"/>
        <v>5151.9760000000006</v>
      </c>
      <c r="CM101" s="30">
        <f t="shared" si="200"/>
        <v>980.8057</v>
      </c>
      <c r="CN101" s="67">
        <f t="shared" si="201"/>
        <v>3937.2982000000002</v>
      </c>
      <c r="CO101" s="67">
        <f t="shared" si="202"/>
        <v>4511.4459999999999</v>
      </c>
      <c r="CP101" s="67">
        <f t="shared" si="203"/>
        <v>14404.246999999999</v>
      </c>
      <c r="CQ101" s="30">
        <f t="shared" si="204"/>
        <v>4460.3093399999998</v>
      </c>
      <c r="CR101" s="67">
        <f t="shared" si="205"/>
        <v>5268.9707500000004</v>
      </c>
      <c r="CS101" s="67">
        <f t="shared" si="206"/>
        <v>12575.3426</v>
      </c>
      <c r="CT101" s="68">
        <f t="shared" si="207"/>
        <v>118568.89099999999</v>
      </c>
      <c r="CU101" s="2"/>
      <c r="CV101" s="42" t="s">
        <v>556</v>
      </c>
      <c r="CW101" s="67">
        <f t="shared" si="179"/>
        <v>0</v>
      </c>
      <c r="CX101" s="67">
        <f t="shared" si="208"/>
        <v>0</v>
      </c>
      <c r="CY101" s="67">
        <f t="shared" si="209"/>
        <v>0</v>
      </c>
      <c r="CZ101" s="67">
        <f t="shared" si="210"/>
        <v>0</v>
      </c>
      <c r="DA101" s="30">
        <f t="shared" si="211"/>
        <v>0</v>
      </c>
      <c r="DB101" s="67">
        <f t="shared" si="212"/>
        <v>0</v>
      </c>
      <c r="DC101" s="67">
        <f t="shared" si="213"/>
        <v>0</v>
      </c>
      <c r="DD101" s="67">
        <f t="shared" si="214"/>
        <v>0</v>
      </c>
      <c r="DE101" s="30">
        <f t="shared" si="215"/>
        <v>0</v>
      </c>
      <c r="DF101" s="67">
        <f t="shared" si="216"/>
        <v>0</v>
      </c>
      <c r="DG101" s="67">
        <f t="shared" si="217"/>
        <v>0</v>
      </c>
      <c r="DH101" s="68">
        <f t="shared" si="218"/>
        <v>0</v>
      </c>
      <c r="DI101" s="2"/>
      <c r="DJ101" s="37" t="s">
        <v>552</v>
      </c>
      <c r="DK101" s="76" t="s">
        <v>556</v>
      </c>
      <c r="DL101" s="67">
        <f t="shared" si="180"/>
        <v>6035.7889999999998</v>
      </c>
      <c r="DM101" s="67">
        <f t="shared" si="141"/>
        <v>7129.9409999999998</v>
      </c>
      <c r="DN101" s="67">
        <f t="shared" si="142"/>
        <v>5875.8379999999997</v>
      </c>
      <c r="DO101" s="67">
        <f t="shared" si="143"/>
        <v>2378.1190000000001</v>
      </c>
      <c r="DP101" s="30">
        <f t="shared" si="144"/>
        <v>980.8057</v>
      </c>
      <c r="DQ101" s="67">
        <f t="shared" si="145"/>
        <v>2481.029</v>
      </c>
      <c r="DR101" s="67">
        <f t="shared" si="146"/>
        <v>2363.3739999999998</v>
      </c>
      <c r="DS101" s="67">
        <f t="shared" si="147"/>
        <v>7917.1660000000002</v>
      </c>
      <c r="DT101" s="30">
        <f t="shared" si="148"/>
        <v>3865.665</v>
      </c>
      <c r="DU101" s="67">
        <f t="shared" si="149"/>
        <v>4062.2</v>
      </c>
      <c r="DV101" s="67">
        <f t="shared" si="150"/>
        <v>8878.2070000000003</v>
      </c>
      <c r="DW101" s="68">
        <f t="shared" si="151"/>
        <v>23982.639999999999</v>
      </c>
      <c r="DX101" s="2"/>
      <c r="DY101" s="81" t="s">
        <v>556</v>
      </c>
      <c r="DZ101" s="82"/>
      <c r="EA101" s="82"/>
      <c r="EB101" s="82"/>
      <c r="EC101" s="83"/>
      <c r="ED101" s="84">
        <v>1</v>
      </c>
      <c r="EE101" s="2"/>
      <c r="EF101" s="38" t="s">
        <v>556</v>
      </c>
      <c r="EG101" s="93" t="s">
        <v>556</v>
      </c>
      <c r="EH101" s="94"/>
      <c r="EI101" s="94"/>
      <c r="EJ101" s="94"/>
      <c r="EK101" s="94"/>
      <c r="EL101" s="94"/>
      <c r="EM101" s="94"/>
      <c r="EN101" s="94"/>
      <c r="EO101" s="94"/>
      <c r="EP101" s="94"/>
      <c r="EQ101" s="94"/>
      <c r="ER101" s="94"/>
      <c r="ES101" s="95"/>
      <c r="ET101" s="38" t="s">
        <v>556</v>
      </c>
      <c r="EU101" s="93" t="s">
        <v>556</v>
      </c>
      <c r="EV101" s="94"/>
      <c r="EW101" s="94"/>
      <c r="EX101" s="94"/>
      <c r="EY101" s="94"/>
      <c r="EZ101" s="94"/>
      <c r="FA101" s="94"/>
      <c r="FB101" s="94"/>
      <c r="FC101" s="94"/>
      <c r="FD101" s="94"/>
      <c r="FE101" s="94"/>
      <c r="FF101" s="94"/>
      <c r="FG101" s="95"/>
      <c r="FH101" s="38" t="s">
        <v>556</v>
      </c>
      <c r="FI101" s="93" t="s">
        <v>556</v>
      </c>
      <c r="FJ101" s="94"/>
      <c r="FK101" s="94"/>
      <c r="FL101" s="94"/>
      <c r="FM101" s="94"/>
      <c r="FN101" s="94"/>
      <c r="FO101" s="94"/>
      <c r="FP101" s="94"/>
      <c r="FQ101" s="94"/>
      <c r="FR101" s="94"/>
      <c r="FS101" s="94"/>
      <c r="FT101" s="94"/>
      <c r="FU101" s="95"/>
      <c r="FV101" s="38" t="s">
        <v>556</v>
      </c>
      <c r="FW101" s="93" t="s">
        <v>556</v>
      </c>
      <c r="FX101" s="94"/>
      <c r="FY101" s="94"/>
      <c r="FZ101" s="94"/>
      <c r="GA101" s="94"/>
      <c r="GB101" s="94"/>
      <c r="GC101" s="94"/>
      <c r="GD101" s="94"/>
      <c r="GE101" s="94"/>
      <c r="GF101" s="94"/>
      <c r="GG101" s="94"/>
      <c r="GH101" s="94"/>
      <c r="GI101" s="95"/>
      <c r="GJ101" s="38" t="s">
        <v>556</v>
      </c>
      <c r="GK101" s="93" t="s">
        <v>556</v>
      </c>
      <c r="GL101" s="94">
        <v>6035.7889999999998</v>
      </c>
      <c r="GM101" s="94">
        <v>7129.9409999999998</v>
      </c>
      <c r="GN101" s="94">
        <v>5875.8379999999997</v>
      </c>
      <c r="GO101" s="94">
        <v>2378.1190000000001</v>
      </c>
      <c r="GP101" s="94">
        <v>980.8057</v>
      </c>
      <c r="GQ101" s="94">
        <v>2481.029</v>
      </c>
      <c r="GR101" s="94">
        <v>2363.3739999999998</v>
      </c>
      <c r="GS101" s="94">
        <v>7917.1660000000002</v>
      </c>
      <c r="GT101" s="94">
        <v>3865.665</v>
      </c>
      <c r="GU101" s="94">
        <v>4062.2</v>
      </c>
      <c r="GV101" s="94">
        <v>8878.2070000000003</v>
      </c>
      <c r="GW101" s="95">
        <v>23982.639999999999</v>
      </c>
      <c r="GX101" s="38"/>
    </row>
    <row r="102" spans="1:206" x14ac:dyDescent="0.35">
      <c r="A102" s="2"/>
      <c r="B102" s="2"/>
      <c r="C102" s="42" t="s">
        <v>511</v>
      </c>
      <c r="D102" s="43">
        <f t="shared" si="152"/>
        <v>2.3386372306378526E-2</v>
      </c>
      <c r="E102" s="43">
        <f t="shared" si="119"/>
        <v>2.1741423278227184E-2</v>
      </c>
      <c r="F102" s="43">
        <f t="shared" si="120"/>
        <v>4.5815481783745879E-2</v>
      </c>
      <c r="G102" s="43">
        <f t="shared" si="121"/>
        <v>8.7662000438309143E-2</v>
      </c>
      <c r="H102" s="43">
        <f t="shared" si="122"/>
        <v>2.0079660210268305E-2</v>
      </c>
      <c r="I102" s="43">
        <f t="shared" si="123"/>
        <v>4.3601688965949639E-2</v>
      </c>
      <c r="J102" s="43">
        <f t="shared" si="124"/>
        <v>1.3606231466481246E-2</v>
      </c>
      <c r="K102" s="43">
        <f t="shared" si="125"/>
        <v>0.18881240024797397</v>
      </c>
      <c r="L102" s="43">
        <f t="shared" si="126"/>
        <v>9.9074839408272788E-3</v>
      </c>
      <c r="M102" s="43">
        <f t="shared" si="127"/>
        <v>8.5360959280246142E-3</v>
      </c>
      <c r="N102" s="43">
        <f t="shared" si="128"/>
        <v>2.5532731658118139E-2</v>
      </c>
      <c r="O102" s="44">
        <f t="shared" si="129"/>
        <v>0.51131842977569608</v>
      </c>
      <c r="P102" s="115">
        <f t="shared" si="153"/>
        <v>1</v>
      </c>
      <c r="Q102" s="2"/>
      <c r="R102" s="42" t="s">
        <v>511</v>
      </c>
      <c r="S102" s="43">
        <f t="shared" si="154"/>
        <v>2.3386372306378526E-2</v>
      </c>
      <c r="T102" s="43">
        <f t="shared" si="155"/>
        <v>2.1741423278227184E-2</v>
      </c>
      <c r="U102" s="43">
        <f t="shared" si="156"/>
        <v>4.5815481783745879E-2</v>
      </c>
      <c r="V102" s="43">
        <f t="shared" si="157"/>
        <v>8.7662000438309143E-2</v>
      </c>
      <c r="W102" s="29">
        <f t="shared" si="158"/>
        <v>2.0079660210268305E-2</v>
      </c>
      <c r="X102" s="43">
        <f t="shared" si="159"/>
        <v>4.3601688965949639E-2</v>
      </c>
      <c r="Y102" s="43">
        <f t="shared" si="160"/>
        <v>1.3606231466481246E-2</v>
      </c>
      <c r="Z102" s="43">
        <f t="shared" si="161"/>
        <v>0.18881240024797397</v>
      </c>
      <c r="AA102" s="29">
        <f t="shared" si="162"/>
        <v>9.9074839408272788E-3</v>
      </c>
      <c r="AB102" s="43">
        <f t="shared" si="163"/>
        <v>8.5360959280246142E-3</v>
      </c>
      <c r="AC102" s="43">
        <f t="shared" si="164"/>
        <v>2.5532731658118139E-2</v>
      </c>
      <c r="AD102" s="43">
        <f t="shared" si="165"/>
        <v>0.51131842977569608</v>
      </c>
      <c r="AE102" s="32">
        <f t="shared" si="166"/>
        <v>5.337351645747411E-2</v>
      </c>
      <c r="AF102" s="53">
        <f t="shared" si="167"/>
        <v>7.3879208172201435E-2</v>
      </c>
      <c r="AG102" s="53">
        <f t="shared" si="168"/>
        <v>8.4954444908345264E-2</v>
      </c>
      <c r="AH102" s="53">
        <f t="shared" si="169"/>
        <v>0.78779283046197923</v>
      </c>
      <c r="AI102" s="34">
        <f t="shared" si="170"/>
        <v>0.17860527780666074</v>
      </c>
      <c r="AJ102" s="35">
        <f t="shared" si="171"/>
        <v>0.26609998089067316</v>
      </c>
      <c r="AK102" s="34">
        <f t="shared" si="172"/>
        <v>0.17860527780666074</v>
      </c>
      <c r="AL102" s="35">
        <f t="shared" si="173"/>
        <v>0.26609998089067316</v>
      </c>
      <c r="AM102" s="35">
        <f t="shared" si="174"/>
        <v>0.55529474130266609</v>
      </c>
      <c r="AN102" s="36">
        <v>1</v>
      </c>
      <c r="AO102" s="54">
        <v>1</v>
      </c>
      <c r="AP102" s="2"/>
      <c r="AQ102" s="42" t="s">
        <v>511</v>
      </c>
      <c r="AR102" s="43">
        <f t="shared" si="175"/>
        <v>2.3386372306378526E-2</v>
      </c>
      <c r="AS102" s="43">
        <f t="shared" si="186"/>
        <v>2.1741423278227184E-2</v>
      </c>
      <c r="AT102" s="43">
        <f t="shared" si="187"/>
        <v>4.5815481783745879E-2</v>
      </c>
      <c r="AU102" s="43">
        <f t="shared" si="188"/>
        <v>8.7662000438309157E-2</v>
      </c>
      <c r="AV102" s="29">
        <f t="shared" si="189"/>
        <v>2.0079660210268298E-2</v>
      </c>
      <c r="AW102" s="43">
        <f t="shared" si="190"/>
        <v>4.3601688965949632E-2</v>
      </c>
      <c r="AX102" s="43">
        <f t="shared" si="191"/>
        <v>1.3606231466481242E-2</v>
      </c>
      <c r="AY102" s="43">
        <f t="shared" si="192"/>
        <v>0.18881240024797394</v>
      </c>
      <c r="AZ102" s="29">
        <f t="shared" si="193"/>
        <v>9.9074839408272788E-3</v>
      </c>
      <c r="BA102" s="43">
        <f t="shared" si="194"/>
        <v>8.5360959280246142E-3</v>
      </c>
      <c r="BB102" s="43">
        <f t="shared" si="195"/>
        <v>2.5532731658118139E-2</v>
      </c>
      <c r="BC102" s="44">
        <f t="shared" si="196"/>
        <v>0.51131842977569608</v>
      </c>
      <c r="BD102" s="2"/>
      <c r="BE102" s="42" t="s">
        <v>511</v>
      </c>
      <c r="BF102" s="62">
        <v>1</v>
      </c>
      <c r="BG102" s="62">
        <v>1</v>
      </c>
      <c r="BH102" s="62">
        <v>1</v>
      </c>
      <c r="BI102" s="62">
        <v>1</v>
      </c>
      <c r="BJ102" s="36">
        <v>1</v>
      </c>
      <c r="BK102" s="62">
        <v>1</v>
      </c>
      <c r="BL102" s="62">
        <v>1</v>
      </c>
      <c r="BM102" s="62">
        <v>1</v>
      </c>
      <c r="BN102" s="36">
        <v>1</v>
      </c>
      <c r="BO102" s="62">
        <v>1</v>
      </c>
      <c r="BP102" s="62">
        <v>1</v>
      </c>
      <c r="BQ102" s="54">
        <v>1</v>
      </c>
      <c r="BR102" s="2"/>
      <c r="BS102" s="42" t="s">
        <v>511</v>
      </c>
      <c r="BT102" s="67">
        <f t="shared" si="176"/>
        <v>6990.5810000000001</v>
      </c>
      <c r="BU102" s="67">
        <f t="shared" si="130"/>
        <v>6498.8779999999997</v>
      </c>
      <c r="BV102" s="67">
        <f t="shared" si="131"/>
        <v>13695.02</v>
      </c>
      <c r="BW102" s="67">
        <f t="shared" si="132"/>
        <v>26203.65</v>
      </c>
      <c r="BX102" s="30">
        <f t="shared" si="133"/>
        <v>6002.1490000000003</v>
      </c>
      <c r="BY102" s="67">
        <f t="shared" si="134"/>
        <v>13033.28</v>
      </c>
      <c r="BZ102" s="67">
        <f t="shared" si="135"/>
        <v>4067.1320000000001</v>
      </c>
      <c r="CA102" s="67">
        <f t="shared" si="136"/>
        <v>56439.21</v>
      </c>
      <c r="CB102" s="30">
        <f t="shared" si="137"/>
        <v>2961.5140000000001</v>
      </c>
      <c r="CC102" s="67">
        <f t="shared" si="138"/>
        <v>2551.5830000000001</v>
      </c>
      <c r="CD102" s="67">
        <f t="shared" si="139"/>
        <v>7632.1639999999998</v>
      </c>
      <c r="CE102" s="68">
        <f t="shared" si="140"/>
        <v>152841.70000000001</v>
      </c>
      <c r="CF102" s="2"/>
      <c r="CG102" s="37" t="str">
        <f t="shared" si="177"/>
        <v>apadm</v>
      </c>
      <c r="CH102" s="42" t="s">
        <v>511</v>
      </c>
      <c r="CI102" s="67">
        <f t="shared" si="178"/>
        <v>6990.5810000000001</v>
      </c>
      <c r="CJ102" s="67">
        <f t="shared" si="197"/>
        <v>6498.8779999999997</v>
      </c>
      <c r="CK102" s="67">
        <f t="shared" si="198"/>
        <v>13695.02</v>
      </c>
      <c r="CL102" s="67">
        <f t="shared" si="199"/>
        <v>26203.65</v>
      </c>
      <c r="CM102" s="30">
        <f t="shared" si="200"/>
        <v>6002.1490000000003</v>
      </c>
      <c r="CN102" s="67">
        <f t="shared" si="201"/>
        <v>13033.28</v>
      </c>
      <c r="CO102" s="67">
        <f t="shared" si="202"/>
        <v>4067.1320000000001</v>
      </c>
      <c r="CP102" s="67">
        <f t="shared" si="203"/>
        <v>56439.21</v>
      </c>
      <c r="CQ102" s="30">
        <f t="shared" si="204"/>
        <v>2961.5140000000001</v>
      </c>
      <c r="CR102" s="67">
        <f t="shared" si="205"/>
        <v>2551.5830000000001</v>
      </c>
      <c r="CS102" s="67">
        <f t="shared" si="206"/>
        <v>7632.1639999999998</v>
      </c>
      <c r="CT102" s="68">
        <f t="shared" si="207"/>
        <v>152841.70000000001</v>
      </c>
      <c r="CU102" s="2"/>
      <c r="CV102" s="42" t="s">
        <v>511</v>
      </c>
      <c r="CW102" s="67">
        <f t="shared" si="179"/>
        <v>6990.5810000000001</v>
      </c>
      <c r="CX102" s="67">
        <f t="shared" si="208"/>
        <v>6498.8779999999997</v>
      </c>
      <c r="CY102" s="67">
        <f t="shared" si="209"/>
        <v>13695.02</v>
      </c>
      <c r="CZ102" s="67">
        <f t="shared" si="210"/>
        <v>26203.65</v>
      </c>
      <c r="DA102" s="30">
        <f t="shared" si="211"/>
        <v>6002.1490000000003</v>
      </c>
      <c r="DB102" s="67">
        <f t="shared" si="212"/>
        <v>13033.28</v>
      </c>
      <c r="DC102" s="67">
        <f t="shared" si="213"/>
        <v>4067.1320000000001</v>
      </c>
      <c r="DD102" s="67">
        <f t="shared" si="214"/>
        <v>56439.21</v>
      </c>
      <c r="DE102" s="30">
        <f t="shared" si="215"/>
        <v>2961.5140000000001</v>
      </c>
      <c r="DF102" s="67">
        <f t="shared" si="216"/>
        <v>2551.5830000000001</v>
      </c>
      <c r="DG102" s="67">
        <f t="shared" si="217"/>
        <v>7632.1639999999998</v>
      </c>
      <c r="DH102" s="68">
        <f t="shared" si="218"/>
        <v>152841.70000000001</v>
      </c>
      <c r="DI102" s="2"/>
      <c r="DJ102" s="37" t="s">
        <v>511</v>
      </c>
      <c r="DK102" s="76" t="s">
        <v>511</v>
      </c>
      <c r="DL102" s="67">
        <f t="shared" si="180"/>
        <v>6990.5810000000001</v>
      </c>
      <c r="DM102" s="67">
        <f t="shared" si="141"/>
        <v>6498.8779999999997</v>
      </c>
      <c r="DN102" s="67">
        <f t="shared" si="142"/>
        <v>13695.02</v>
      </c>
      <c r="DO102" s="67">
        <f t="shared" si="143"/>
        <v>26203.65</v>
      </c>
      <c r="DP102" s="30">
        <f t="shared" si="144"/>
        <v>6002.1490000000003</v>
      </c>
      <c r="DQ102" s="67">
        <f t="shared" si="145"/>
        <v>13033.28</v>
      </c>
      <c r="DR102" s="67">
        <f t="shared" si="146"/>
        <v>4067.1320000000001</v>
      </c>
      <c r="DS102" s="67">
        <f t="shared" si="147"/>
        <v>56439.21</v>
      </c>
      <c r="DT102" s="30">
        <f t="shared" si="148"/>
        <v>2961.5140000000001</v>
      </c>
      <c r="DU102" s="67">
        <f t="shared" si="149"/>
        <v>2551.5830000000001</v>
      </c>
      <c r="DV102" s="67">
        <f t="shared" si="150"/>
        <v>7632.1639999999998</v>
      </c>
      <c r="DW102" s="68">
        <f t="shared" si="151"/>
        <v>152841.70000000001</v>
      </c>
      <c r="DX102" s="2"/>
      <c r="DY102" s="81" t="s">
        <v>511</v>
      </c>
      <c r="DZ102" s="82"/>
      <c r="EA102" s="82"/>
      <c r="EB102" s="82"/>
      <c r="EC102" s="83"/>
      <c r="ED102" s="84">
        <v>1</v>
      </c>
      <c r="EE102" s="2"/>
      <c r="EF102" s="38" t="s">
        <v>511</v>
      </c>
      <c r="EG102" s="93" t="s">
        <v>511</v>
      </c>
      <c r="EH102" s="94">
        <v>5531.6229999999996</v>
      </c>
      <c r="EI102" s="94">
        <v>12047.33</v>
      </c>
      <c r="EJ102" s="94">
        <v>6941.58</v>
      </c>
      <c r="EK102" s="94">
        <v>19406.669999999998</v>
      </c>
      <c r="EL102" s="94">
        <v>271.94589999999999</v>
      </c>
      <c r="EM102" s="94">
        <v>1982.769</v>
      </c>
      <c r="EN102" s="94">
        <v>4521.6450000000004</v>
      </c>
      <c r="EO102" s="94">
        <v>13765.3</v>
      </c>
      <c r="EP102" s="94">
        <v>1061.645</v>
      </c>
      <c r="EQ102" s="94">
        <v>7293.817</v>
      </c>
      <c r="ER102" s="94">
        <v>6632.5659999999998</v>
      </c>
      <c r="ES102" s="95">
        <v>42964.72</v>
      </c>
      <c r="ET102" s="38" t="s">
        <v>511</v>
      </c>
      <c r="EU102" s="93" t="s">
        <v>511</v>
      </c>
      <c r="EV102" s="94"/>
      <c r="EW102" s="94"/>
      <c r="EX102" s="94"/>
      <c r="EY102" s="94"/>
      <c r="EZ102" s="94"/>
      <c r="FA102" s="94"/>
      <c r="FB102" s="94"/>
      <c r="FC102" s="94"/>
      <c r="FD102" s="94"/>
      <c r="FE102" s="94"/>
      <c r="FF102" s="94"/>
      <c r="FG102" s="95"/>
      <c r="FH102" s="38" t="s">
        <v>511</v>
      </c>
      <c r="FI102" s="93" t="s">
        <v>511</v>
      </c>
      <c r="FJ102" s="94"/>
      <c r="FK102" s="94"/>
      <c r="FL102" s="94"/>
      <c r="FM102" s="94"/>
      <c r="FN102" s="94"/>
      <c r="FO102" s="94"/>
      <c r="FP102" s="94"/>
      <c r="FQ102" s="94"/>
      <c r="FR102" s="94"/>
      <c r="FS102" s="94"/>
      <c r="FT102" s="94"/>
      <c r="FU102" s="95"/>
      <c r="FV102" s="38" t="s">
        <v>511</v>
      </c>
      <c r="FW102" s="93" t="s">
        <v>511</v>
      </c>
      <c r="FX102" s="94"/>
      <c r="FY102" s="94"/>
      <c r="FZ102" s="94"/>
      <c r="GA102" s="94"/>
      <c r="GB102" s="94"/>
      <c r="GC102" s="94"/>
      <c r="GD102" s="94"/>
      <c r="GE102" s="94"/>
      <c r="GF102" s="94"/>
      <c r="GG102" s="94"/>
      <c r="GH102" s="94"/>
      <c r="GI102" s="95"/>
      <c r="GJ102" s="38" t="s">
        <v>511</v>
      </c>
      <c r="GK102" s="93" t="s">
        <v>511</v>
      </c>
      <c r="GL102" s="94">
        <v>6990.5810000000001</v>
      </c>
      <c r="GM102" s="94">
        <v>6498.8779999999997</v>
      </c>
      <c r="GN102" s="94">
        <v>13695.02</v>
      </c>
      <c r="GO102" s="94">
        <v>26203.65</v>
      </c>
      <c r="GP102" s="94">
        <v>6002.1490000000003</v>
      </c>
      <c r="GQ102" s="94">
        <v>13033.28</v>
      </c>
      <c r="GR102" s="94">
        <v>4067.1320000000001</v>
      </c>
      <c r="GS102" s="94">
        <v>56439.21</v>
      </c>
      <c r="GT102" s="94">
        <v>2961.5140000000001</v>
      </c>
      <c r="GU102" s="94">
        <v>2551.5830000000001</v>
      </c>
      <c r="GV102" s="94">
        <v>7632.1639999999998</v>
      </c>
      <c r="GW102" s="95">
        <v>152841.70000000001</v>
      </c>
      <c r="GX102" s="38"/>
    </row>
    <row r="103" spans="1:206" x14ac:dyDescent="0.35">
      <c r="A103" s="2"/>
      <c r="B103" s="2"/>
      <c r="C103" s="42" t="s">
        <v>512</v>
      </c>
      <c r="D103" s="43">
        <f t="shared" si="152"/>
        <v>9.3046397089878944E-3</v>
      </c>
      <c r="E103" s="43">
        <f t="shared" si="119"/>
        <v>1.9408912516315008E-2</v>
      </c>
      <c r="F103" s="43">
        <f t="shared" si="120"/>
        <v>0.12811312070372169</v>
      </c>
      <c r="G103" s="43">
        <f t="shared" si="121"/>
        <v>0.32969345378855569</v>
      </c>
      <c r="H103" s="43">
        <f t="shared" si="122"/>
        <v>2.6405627624856697E-4</v>
      </c>
      <c r="I103" s="43">
        <f t="shared" si="123"/>
        <v>1.3740409911208091E-3</v>
      </c>
      <c r="J103" s="43">
        <f t="shared" si="124"/>
        <v>3.1080631355394604E-2</v>
      </c>
      <c r="K103" s="43">
        <f t="shared" si="125"/>
        <v>0.14864479293709307</v>
      </c>
      <c r="L103" s="43">
        <f t="shared" si="126"/>
        <v>4.0857836784207865E-3</v>
      </c>
      <c r="M103" s="43">
        <f t="shared" si="127"/>
        <v>2.5758817583550709E-3</v>
      </c>
      <c r="N103" s="43">
        <f t="shared" si="128"/>
        <v>4.4713154634714453E-2</v>
      </c>
      <c r="O103" s="44">
        <f t="shared" si="129"/>
        <v>0.28074153165107218</v>
      </c>
      <c r="P103" s="115">
        <f t="shared" si="153"/>
        <v>1</v>
      </c>
      <c r="Q103" s="2"/>
      <c r="R103" s="42" t="s">
        <v>512</v>
      </c>
      <c r="S103" s="43">
        <f t="shared" si="154"/>
        <v>9.3046397089878961E-3</v>
      </c>
      <c r="T103" s="43">
        <f t="shared" si="155"/>
        <v>1.9408912516315012E-2</v>
      </c>
      <c r="U103" s="43">
        <f t="shared" si="156"/>
        <v>0.12811312070372172</v>
      </c>
      <c r="V103" s="43">
        <f t="shared" si="157"/>
        <v>0.32969345378855575</v>
      </c>
      <c r="W103" s="29">
        <f t="shared" si="158"/>
        <v>2.6405627624856702E-4</v>
      </c>
      <c r="X103" s="43">
        <f t="shared" si="159"/>
        <v>1.3740409911208093E-3</v>
      </c>
      <c r="Y103" s="43">
        <f t="shared" si="160"/>
        <v>3.108063135539461E-2</v>
      </c>
      <c r="Z103" s="43">
        <f t="shared" si="161"/>
        <v>0.1486447929370931</v>
      </c>
      <c r="AA103" s="29">
        <f t="shared" si="162"/>
        <v>4.0857836784207874E-3</v>
      </c>
      <c r="AB103" s="43">
        <f t="shared" si="163"/>
        <v>2.5758817583550714E-3</v>
      </c>
      <c r="AC103" s="43">
        <f t="shared" si="164"/>
        <v>4.471315463471446E-2</v>
      </c>
      <c r="AD103" s="43">
        <f t="shared" si="165"/>
        <v>0.28074153165107224</v>
      </c>
      <c r="AE103" s="32">
        <f t="shared" si="166"/>
        <v>1.3654479663657251E-2</v>
      </c>
      <c r="AF103" s="53">
        <f t="shared" si="167"/>
        <v>2.3358835265790894E-2</v>
      </c>
      <c r="AG103" s="53">
        <f t="shared" si="168"/>
        <v>0.20390690669383077</v>
      </c>
      <c r="AH103" s="53">
        <f t="shared" si="169"/>
        <v>0.75907977837672114</v>
      </c>
      <c r="AI103" s="34">
        <f t="shared" si="170"/>
        <v>0.48652012671758044</v>
      </c>
      <c r="AJ103" s="35">
        <f t="shared" si="171"/>
        <v>0.18136352155985708</v>
      </c>
      <c r="AK103" s="34">
        <f t="shared" si="172"/>
        <v>0.48652012671758044</v>
      </c>
      <c r="AL103" s="35">
        <f t="shared" si="173"/>
        <v>0.18136352155985708</v>
      </c>
      <c r="AM103" s="35">
        <f t="shared" si="174"/>
        <v>0.33211635172256249</v>
      </c>
      <c r="AN103" s="36">
        <v>1</v>
      </c>
      <c r="AO103" s="54">
        <v>1</v>
      </c>
      <c r="AP103" s="2"/>
      <c r="AQ103" s="42" t="s">
        <v>512</v>
      </c>
      <c r="AR103" s="43">
        <f t="shared" si="175"/>
        <v>9.3046397089878979E-3</v>
      </c>
      <c r="AS103" s="43">
        <f t="shared" si="186"/>
        <v>1.9408912516315015E-2</v>
      </c>
      <c r="AT103" s="43">
        <f t="shared" si="187"/>
        <v>0.12811312070372174</v>
      </c>
      <c r="AU103" s="43">
        <f t="shared" si="188"/>
        <v>0.3296934537885558</v>
      </c>
      <c r="AV103" s="29">
        <f t="shared" si="189"/>
        <v>2.6405627624856702E-4</v>
      </c>
      <c r="AW103" s="43">
        <f t="shared" si="190"/>
        <v>1.3740409911208093E-3</v>
      </c>
      <c r="AX103" s="43">
        <f t="shared" si="191"/>
        <v>3.108063135539461E-2</v>
      </c>
      <c r="AY103" s="43">
        <f t="shared" si="192"/>
        <v>0.1486447929370931</v>
      </c>
      <c r="AZ103" s="29">
        <f t="shared" si="193"/>
        <v>4.0857836784207874E-3</v>
      </c>
      <c r="BA103" s="43">
        <f t="shared" si="194"/>
        <v>2.5758817583550714E-3</v>
      </c>
      <c r="BB103" s="43">
        <f t="shared" si="195"/>
        <v>4.471315463471446E-2</v>
      </c>
      <c r="BC103" s="44">
        <f t="shared" si="196"/>
        <v>0.28074153165107224</v>
      </c>
      <c r="BD103" s="2"/>
      <c r="BE103" s="42" t="s">
        <v>512</v>
      </c>
      <c r="BF103" s="62">
        <v>1</v>
      </c>
      <c r="BG103" s="62">
        <v>1</v>
      </c>
      <c r="BH103" s="62">
        <v>1</v>
      </c>
      <c r="BI103" s="62">
        <v>1</v>
      </c>
      <c r="BJ103" s="36">
        <v>1</v>
      </c>
      <c r="BK103" s="62">
        <v>1</v>
      </c>
      <c r="BL103" s="62">
        <v>1</v>
      </c>
      <c r="BM103" s="62">
        <v>1</v>
      </c>
      <c r="BN103" s="36">
        <v>1</v>
      </c>
      <c r="BO103" s="62">
        <v>1</v>
      </c>
      <c r="BP103" s="62">
        <v>1</v>
      </c>
      <c r="BQ103" s="54">
        <v>1</v>
      </c>
      <c r="BR103" s="2"/>
      <c r="BS103" s="42" t="s">
        <v>512</v>
      </c>
      <c r="BT103" s="67">
        <f t="shared" si="176"/>
        <v>2372.9340000000002</v>
      </c>
      <c r="BU103" s="67">
        <f t="shared" si="130"/>
        <v>4949.7960000000003</v>
      </c>
      <c r="BV103" s="67">
        <f t="shared" si="131"/>
        <v>32672.3</v>
      </c>
      <c r="BW103" s="67">
        <f t="shared" si="132"/>
        <v>84080.72</v>
      </c>
      <c r="BX103" s="30">
        <f t="shared" si="133"/>
        <v>67.341470000000001</v>
      </c>
      <c r="BY103" s="67">
        <f t="shared" si="134"/>
        <v>350.41750000000002</v>
      </c>
      <c r="BZ103" s="67">
        <f t="shared" si="135"/>
        <v>7926.3990000000003</v>
      </c>
      <c r="CA103" s="67">
        <f t="shared" si="136"/>
        <v>37908.43</v>
      </c>
      <c r="CB103" s="30">
        <f t="shared" si="137"/>
        <v>1041.9849999999999</v>
      </c>
      <c r="CC103" s="67">
        <f t="shared" si="138"/>
        <v>656.91930000000002</v>
      </c>
      <c r="CD103" s="67">
        <f t="shared" si="139"/>
        <v>11403.06</v>
      </c>
      <c r="CE103" s="68">
        <f t="shared" si="140"/>
        <v>71596.66</v>
      </c>
      <c r="CF103" s="2"/>
      <c r="CG103" s="37" t="str">
        <f t="shared" si="177"/>
        <v>aeduc</v>
      </c>
      <c r="CH103" s="42" t="s">
        <v>512</v>
      </c>
      <c r="CI103" s="67">
        <f t="shared" si="178"/>
        <v>2372.9340000000002</v>
      </c>
      <c r="CJ103" s="67">
        <f t="shared" si="197"/>
        <v>4949.7960000000003</v>
      </c>
      <c r="CK103" s="67">
        <f t="shared" si="198"/>
        <v>32672.3</v>
      </c>
      <c r="CL103" s="67">
        <f t="shared" si="199"/>
        <v>84080.72</v>
      </c>
      <c r="CM103" s="30">
        <f t="shared" si="200"/>
        <v>67.341470000000001</v>
      </c>
      <c r="CN103" s="67">
        <f t="shared" si="201"/>
        <v>350.41750000000002</v>
      </c>
      <c r="CO103" s="67">
        <f t="shared" si="202"/>
        <v>7926.3990000000003</v>
      </c>
      <c r="CP103" s="67">
        <f t="shared" si="203"/>
        <v>37908.43</v>
      </c>
      <c r="CQ103" s="30">
        <f t="shared" si="204"/>
        <v>1041.9849999999999</v>
      </c>
      <c r="CR103" s="67">
        <f t="shared" si="205"/>
        <v>656.91930000000002</v>
      </c>
      <c r="CS103" s="67">
        <f t="shared" si="206"/>
        <v>11403.06</v>
      </c>
      <c r="CT103" s="68">
        <f t="shared" si="207"/>
        <v>71596.66</v>
      </c>
      <c r="CU103" s="2"/>
      <c r="CV103" s="42" t="s">
        <v>512</v>
      </c>
      <c r="CW103" s="67">
        <f t="shared" si="179"/>
        <v>2372.9340000000002</v>
      </c>
      <c r="CX103" s="67">
        <f t="shared" si="208"/>
        <v>4949.7960000000003</v>
      </c>
      <c r="CY103" s="67">
        <f t="shared" si="209"/>
        <v>32672.3</v>
      </c>
      <c r="CZ103" s="67">
        <f t="shared" si="210"/>
        <v>84080.72</v>
      </c>
      <c r="DA103" s="30">
        <f t="shared" si="211"/>
        <v>67.341470000000001</v>
      </c>
      <c r="DB103" s="67">
        <f t="shared" si="212"/>
        <v>350.41750000000002</v>
      </c>
      <c r="DC103" s="67">
        <f t="shared" si="213"/>
        <v>7926.3990000000003</v>
      </c>
      <c r="DD103" s="67">
        <f t="shared" si="214"/>
        <v>37908.43</v>
      </c>
      <c r="DE103" s="30">
        <f t="shared" si="215"/>
        <v>1041.9849999999999</v>
      </c>
      <c r="DF103" s="67">
        <f t="shared" si="216"/>
        <v>656.91930000000002</v>
      </c>
      <c r="DG103" s="67">
        <f t="shared" si="217"/>
        <v>11403.06</v>
      </c>
      <c r="DH103" s="68">
        <f t="shared" si="218"/>
        <v>71596.66</v>
      </c>
      <c r="DI103" s="2"/>
      <c r="DJ103" s="37" t="s">
        <v>512</v>
      </c>
      <c r="DK103" s="76" t="s">
        <v>512</v>
      </c>
      <c r="DL103" s="67">
        <f t="shared" si="180"/>
        <v>2372.9340000000002</v>
      </c>
      <c r="DM103" s="67">
        <f t="shared" si="141"/>
        <v>4949.7960000000003</v>
      </c>
      <c r="DN103" s="67">
        <f t="shared" si="142"/>
        <v>32672.3</v>
      </c>
      <c r="DO103" s="67">
        <f t="shared" si="143"/>
        <v>84080.72</v>
      </c>
      <c r="DP103" s="30">
        <f t="shared" si="144"/>
        <v>67.341470000000001</v>
      </c>
      <c r="DQ103" s="67">
        <f t="shared" si="145"/>
        <v>350.41750000000002</v>
      </c>
      <c r="DR103" s="67">
        <f t="shared" si="146"/>
        <v>7926.3990000000003</v>
      </c>
      <c r="DS103" s="67">
        <f t="shared" si="147"/>
        <v>37908.43</v>
      </c>
      <c r="DT103" s="30">
        <f t="shared" si="148"/>
        <v>1041.9849999999999</v>
      </c>
      <c r="DU103" s="67">
        <f t="shared" si="149"/>
        <v>656.91930000000002</v>
      </c>
      <c r="DV103" s="67">
        <f t="shared" si="150"/>
        <v>11403.06</v>
      </c>
      <c r="DW103" s="68">
        <f t="shared" si="151"/>
        <v>71596.66</v>
      </c>
      <c r="DX103" s="2"/>
      <c r="DY103" s="81" t="s">
        <v>512</v>
      </c>
      <c r="DZ103" s="82"/>
      <c r="EA103" s="82"/>
      <c r="EB103" s="82"/>
      <c r="EC103" s="83"/>
      <c r="ED103" s="84">
        <v>1</v>
      </c>
      <c r="EE103" s="2"/>
      <c r="EF103" s="38" t="s">
        <v>512</v>
      </c>
      <c r="EG103" s="93" t="s">
        <v>512</v>
      </c>
      <c r="EH103" s="94">
        <v>1613.65</v>
      </c>
      <c r="EI103" s="94">
        <v>2503.3539999999998</v>
      </c>
      <c r="EJ103" s="94">
        <v>20017.68</v>
      </c>
      <c r="EK103" s="94">
        <v>29089.23</v>
      </c>
      <c r="EL103" s="94">
        <v>132.40539999999999</v>
      </c>
      <c r="EM103" s="94">
        <v>1782.4880000000001</v>
      </c>
      <c r="EN103" s="94">
        <v>4921.4080000000004</v>
      </c>
      <c r="EO103" s="94">
        <v>20829.48</v>
      </c>
      <c r="EP103" s="94">
        <v>380.74860000000001</v>
      </c>
      <c r="EQ103" s="94">
        <v>2206.5970000000002</v>
      </c>
      <c r="ER103" s="94">
        <v>5577.277</v>
      </c>
      <c r="ES103" s="95">
        <v>28042</v>
      </c>
      <c r="ET103" s="38" t="s">
        <v>512</v>
      </c>
      <c r="EU103" s="93" t="s">
        <v>512</v>
      </c>
      <c r="EV103" s="94">
        <v>2613.4899999999998</v>
      </c>
      <c r="EW103" s="94">
        <v>2350.7860000000001</v>
      </c>
      <c r="EX103" s="94">
        <v>1388.4449999999999</v>
      </c>
      <c r="EY103" s="94">
        <v>335.45940000000002</v>
      </c>
      <c r="EZ103" s="94"/>
      <c r="FA103" s="94"/>
      <c r="FB103" s="94">
        <v>372.7996</v>
      </c>
      <c r="FC103" s="94"/>
      <c r="FD103" s="94"/>
      <c r="FE103" s="94"/>
      <c r="FF103" s="94"/>
      <c r="FG103" s="95"/>
      <c r="FH103" s="38" t="s">
        <v>512</v>
      </c>
      <c r="FI103" s="93" t="s">
        <v>512</v>
      </c>
      <c r="FJ103" s="94"/>
      <c r="FK103" s="94"/>
      <c r="FL103" s="94"/>
      <c r="FM103" s="94"/>
      <c r="FN103" s="94"/>
      <c r="FO103" s="94"/>
      <c r="FP103" s="94"/>
      <c r="FQ103" s="94"/>
      <c r="FR103" s="94"/>
      <c r="FS103" s="94"/>
      <c r="FT103" s="94"/>
      <c r="FU103" s="95"/>
      <c r="FV103" s="38" t="s">
        <v>512</v>
      </c>
      <c r="FW103" s="93" t="s">
        <v>512</v>
      </c>
      <c r="FX103" s="94"/>
      <c r="FY103" s="94"/>
      <c r="FZ103" s="94"/>
      <c r="GA103" s="94"/>
      <c r="GB103" s="94"/>
      <c r="GC103" s="94"/>
      <c r="GD103" s="94"/>
      <c r="GE103" s="94"/>
      <c r="GF103" s="94"/>
      <c r="GG103" s="94"/>
      <c r="GH103" s="94"/>
      <c r="GI103" s="95"/>
      <c r="GJ103" s="38" t="s">
        <v>512</v>
      </c>
      <c r="GK103" s="93" t="s">
        <v>512</v>
      </c>
      <c r="GL103" s="94">
        <v>2372.9340000000002</v>
      </c>
      <c r="GM103" s="94">
        <v>4949.7960000000003</v>
      </c>
      <c r="GN103" s="94">
        <v>32672.3</v>
      </c>
      <c r="GO103" s="94">
        <v>84080.72</v>
      </c>
      <c r="GP103" s="94">
        <v>67.341470000000001</v>
      </c>
      <c r="GQ103" s="94">
        <v>350.41750000000002</v>
      </c>
      <c r="GR103" s="94">
        <v>7926.3990000000003</v>
      </c>
      <c r="GS103" s="94">
        <v>37908.43</v>
      </c>
      <c r="GT103" s="94">
        <v>1041.9849999999999</v>
      </c>
      <c r="GU103" s="94">
        <v>656.91930000000002</v>
      </c>
      <c r="GV103" s="94">
        <v>11403.06</v>
      </c>
      <c r="GW103" s="95">
        <v>71596.66</v>
      </c>
      <c r="GX103" s="38"/>
    </row>
    <row r="104" spans="1:206" x14ac:dyDescent="0.35">
      <c r="A104" s="2"/>
      <c r="B104" s="2"/>
      <c r="C104" s="42" t="s">
        <v>513</v>
      </c>
      <c r="D104" s="43">
        <f t="shared" si="152"/>
        <v>1.037965186144434E-2</v>
      </c>
      <c r="E104" s="43">
        <f t="shared" si="119"/>
        <v>3.6285829018417987E-3</v>
      </c>
      <c r="F104" s="43">
        <f t="shared" si="120"/>
        <v>5.7593136990243529E-2</v>
      </c>
      <c r="G104" s="43">
        <f t="shared" si="121"/>
        <v>0.2068644298742385</v>
      </c>
      <c r="H104" s="43">
        <f t="shared" si="122"/>
        <v>1.7992093821439077E-2</v>
      </c>
      <c r="I104" s="43">
        <f t="shared" si="123"/>
        <v>0</v>
      </c>
      <c r="J104" s="43">
        <f t="shared" si="124"/>
        <v>1.077804692115342E-2</v>
      </c>
      <c r="K104" s="43">
        <f t="shared" si="125"/>
        <v>0.37918758663598673</v>
      </c>
      <c r="L104" s="43">
        <f t="shared" si="126"/>
        <v>3.1107529875727701E-3</v>
      </c>
      <c r="M104" s="43">
        <f t="shared" si="127"/>
        <v>8.2210598873016013E-3</v>
      </c>
      <c r="N104" s="43">
        <f t="shared" si="128"/>
        <v>1.6993960305432824E-2</v>
      </c>
      <c r="O104" s="44">
        <f t="shared" si="129"/>
        <v>0.28525069781334533</v>
      </c>
      <c r="P104" s="115">
        <f t="shared" si="153"/>
        <v>1</v>
      </c>
      <c r="Q104" s="2"/>
      <c r="R104" s="42" t="s">
        <v>513</v>
      </c>
      <c r="S104" s="43">
        <f t="shared" si="154"/>
        <v>1.037965186144434E-2</v>
      </c>
      <c r="T104" s="43">
        <f t="shared" si="155"/>
        <v>3.6285829018417987E-3</v>
      </c>
      <c r="U104" s="43">
        <f t="shared" si="156"/>
        <v>5.7593136990243529E-2</v>
      </c>
      <c r="V104" s="43">
        <f t="shared" si="157"/>
        <v>0.2068644298742385</v>
      </c>
      <c r="W104" s="29">
        <f t="shared" si="158"/>
        <v>1.7992093821439077E-2</v>
      </c>
      <c r="X104" s="43">
        <f t="shared" si="159"/>
        <v>0</v>
      </c>
      <c r="Y104" s="43">
        <f t="shared" si="160"/>
        <v>1.077804692115342E-2</v>
      </c>
      <c r="Z104" s="43">
        <f t="shared" si="161"/>
        <v>0.37918758663598673</v>
      </c>
      <c r="AA104" s="29">
        <f t="shared" si="162"/>
        <v>3.1107529875727701E-3</v>
      </c>
      <c r="AB104" s="43">
        <f t="shared" si="163"/>
        <v>8.2210598873016013E-3</v>
      </c>
      <c r="AC104" s="43">
        <f t="shared" si="164"/>
        <v>1.6993960305432824E-2</v>
      </c>
      <c r="AD104" s="43">
        <f t="shared" si="165"/>
        <v>0.28525069781334533</v>
      </c>
      <c r="AE104" s="32">
        <f t="shared" si="166"/>
        <v>3.1482498670456188E-2</v>
      </c>
      <c r="AF104" s="53">
        <f t="shared" si="167"/>
        <v>1.18496427891434E-2</v>
      </c>
      <c r="AG104" s="53">
        <f t="shared" si="168"/>
        <v>8.5365144216829766E-2</v>
      </c>
      <c r="AH104" s="53">
        <f t="shared" si="169"/>
        <v>0.87130271432357054</v>
      </c>
      <c r="AI104" s="34">
        <f t="shared" si="170"/>
        <v>0.27846580162776818</v>
      </c>
      <c r="AJ104" s="35">
        <f t="shared" si="171"/>
        <v>0.40795772737857922</v>
      </c>
      <c r="AK104" s="34">
        <f t="shared" si="172"/>
        <v>0.27846580162776818</v>
      </c>
      <c r="AL104" s="35">
        <f t="shared" si="173"/>
        <v>0.40795772737857922</v>
      </c>
      <c r="AM104" s="35">
        <f t="shared" si="174"/>
        <v>0.3135764709936526</v>
      </c>
      <c r="AN104" s="36">
        <v>1</v>
      </c>
      <c r="AO104" s="54">
        <v>1</v>
      </c>
      <c r="AP104" s="2"/>
      <c r="AQ104" s="42" t="s">
        <v>513</v>
      </c>
      <c r="AR104" s="43">
        <f t="shared" si="175"/>
        <v>9.7482258179434761E-3</v>
      </c>
      <c r="AS104" s="43">
        <f t="shared" si="186"/>
        <v>3.4078450798214342E-3</v>
      </c>
      <c r="AT104" s="43">
        <f t="shared" si="187"/>
        <v>5.4089569904565538E-2</v>
      </c>
      <c r="AU104" s="43">
        <f t="shared" si="188"/>
        <v>0.19428023242328699</v>
      </c>
      <c r="AV104" s="29">
        <f t="shared" si="189"/>
        <v>1.7792119827625439E-2</v>
      </c>
      <c r="AW104" s="43">
        <f t="shared" si="190"/>
        <v>0</v>
      </c>
      <c r="AX104" s="43">
        <f t="shared" si="191"/>
        <v>1.0658253799256424E-2</v>
      </c>
      <c r="AY104" s="43">
        <f t="shared" si="192"/>
        <v>0.3749730879313502</v>
      </c>
      <c r="AZ104" s="29">
        <f t="shared" si="193"/>
        <v>3.3237820889644529E-3</v>
      </c>
      <c r="BA104" s="43">
        <f t="shared" si="194"/>
        <v>8.7840505867481621E-3</v>
      </c>
      <c r="BB104" s="43">
        <f t="shared" si="195"/>
        <v>1.8157732584175221E-2</v>
      </c>
      <c r="BC104" s="44">
        <f t="shared" si="196"/>
        <v>0.30478509995626252</v>
      </c>
      <c r="BD104" s="2"/>
      <c r="BE104" s="42" t="s">
        <v>513</v>
      </c>
      <c r="BF104" s="62">
        <v>1</v>
      </c>
      <c r="BG104" s="62">
        <v>1</v>
      </c>
      <c r="BH104" s="62">
        <v>1</v>
      </c>
      <c r="BI104" s="62">
        <v>1</v>
      </c>
      <c r="BJ104" s="36">
        <v>1</v>
      </c>
      <c r="BK104" s="62">
        <v>1</v>
      </c>
      <c r="BL104" s="62">
        <v>1</v>
      </c>
      <c r="BM104" s="62">
        <v>1</v>
      </c>
      <c r="BN104" s="36">
        <v>1</v>
      </c>
      <c r="BO104" s="62">
        <v>1</v>
      </c>
      <c r="BP104" s="62">
        <v>1</v>
      </c>
      <c r="BQ104" s="54">
        <v>1</v>
      </c>
      <c r="BR104" s="2"/>
      <c r="BS104" s="42" t="s">
        <v>513</v>
      </c>
      <c r="BT104" s="67">
        <f t="shared" si="176"/>
        <v>2141.2979999999998</v>
      </c>
      <c r="BU104" s="67">
        <f t="shared" si="130"/>
        <v>748.56820000000005</v>
      </c>
      <c r="BV104" s="67">
        <f t="shared" si="131"/>
        <v>11881.33</v>
      </c>
      <c r="BW104" s="67">
        <f t="shared" si="132"/>
        <v>42675.65</v>
      </c>
      <c r="BX104" s="30">
        <f t="shared" si="133"/>
        <v>3908.2220000000002</v>
      </c>
      <c r="BY104" s="67">
        <f t="shared" si="134"/>
        <v>0</v>
      </c>
      <c r="BZ104" s="67">
        <f t="shared" si="135"/>
        <v>2341.1950000000002</v>
      </c>
      <c r="CA104" s="67">
        <f t="shared" si="136"/>
        <v>82366.692999999999</v>
      </c>
      <c r="CB104" s="30">
        <f t="shared" si="137"/>
        <v>730.10289999999998</v>
      </c>
      <c r="CC104" s="67">
        <f t="shared" si="138"/>
        <v>1929.5070000000001</v>
      </c>
      <c r="CD104" s="67">
        <f t="shared" si="139"/>
        <v>3988.5326000000005</v>
      </c>
      <c r="CE104" s="68">
        <f t="shared" si="140"/>
        <v>66949.179999999993</v>
      </c>
      <c r="CF104" s="2"/>
      <c r="CG104" s="37" t="str">
        <f t="shared" si="177"/>
        <v>aheal</v>
      </c>
      <c r="CH104" s="42" t="s">
        <v>513</v>
      </c>
      <c r="CI104" s="67">
        <f t="shared" si="178"/>
        <v>2141.2979999999998</v>
      </c>
      <c r="CJ104" s="67">
        <f t="shared" si="197"/>
        <v>748.56820000000005</v>
      </c>
      <c r="CK104" s="67">
        <f t="shared" si="198"/>
        <v>11881.33</v>
      </c>
      <c r="CL104" s="67">
        <f t="shared" si="199"/>
        <v>42675.65</v>
      </c>
      <c r="CM104" s="30">
        <f t="shared" si="200"/>
        <v>3908.2220000000002</v>
      </c>
      <c r="CN104" s="67">
        <f t="shared" si="201"/>
        <v>0</v>
      </c>
      <c r="CO104" s="67">
        <f t="shared" si="202"/>
        <v>2341.1950000000002</v>
      </c>
      <c r="CP104" s="67">
        <f t="shared" si="203"/>
        <v>82366.692999999999</v>
      </c>
      <c r="CQ104" s="30">
        <f t="shared" si="204"/>
        <v>730.10289999999998</v>
      </c>
      <c r="CR104" s="67">
        <f t="shared" si="205"/>
        <v>1929.5070000000001</v>
      </c>
      <c r="CS104" s="67">
        <f t="shared" si="206"/>
        <v>3988.5326000000005</v>
      </c>
      <c r="CT104" s="68">
        <f t="shared" si="207"/>
        <v>66949.179999999993</v>
      </c>
      <c r="CU104" s="2"/>
      <c r="CV104" s="42" t="s">
        <v>513</v>
      </c>
      <c r="CW104" s="67">
        <f t="shared" si="179"/>
        <v>2141.2979999999998</v>
      </c>
      <c r="CX104" s="67">
        <f t="shared" si="208"/>
        <v>748.56820000000005</v>
      </c>
      <c r="CY104" s="67">
        <f t="shared" si="209"/>
        <v>11881.33</v>
      </c>
      <c r="CZ104" s="67">
        <f t="shared" si="210"/>
        <v>42675.65</v>
      </c>
      <c r="DA104" s="30">
        <f t="shared" si="211"/>
        <v>3908.2220000000002</v>
      </c>
      <c r="DB104" s="67">
        <f t="shared" si="212"/>
        <v>0</v>
      </c>
      <c r="DC104" s="67">
        <f t="shared" si="213"/>
        <v>2341.1950000000002</v>
      </c>
      <c r="DD104" s="67">
        <f t="shared" si="214"/>
        <v>82366.692999999999</v>
      </c>
      <c r="DE104" s="30">
        <f t="shared" si="215"/>
        <v>730.10289999999998</v>
      </c>
      <c r="DF104" s="67">
        <f t="shared" si="216"/>
        <v>1929.5070000000001</v>
      </c>
      <c r="DG104" s="67">
        <f t="shared" si="217"/>
        <v>3988.5326000000005</v>
      </c>
      <c r="DH104" s="68">
        <f t="shared" si="218"/>
        <v>66949.179999999993</v>
      </c>
      <c r="DI104" s="2"/>
      <c r="DJ104" s="37" t="s">
        <v>513</v>
      </c>
      <c r="DK104" s="76" t="s">
        <v>513</v>
      </c>
      <c r="DL104" s="67">
        <f t="shared" si="180"/>
        <v>2141.2979999999998</v>
      </c>
      <c r="DM104" s="67">
        <f t="shared" si="141"/>
        <v>592.49390000000005</v>
      </c>
      <c r="DN104" s="67">
        <f t="shared" si="142"/>
        <v>11881.33</v>
      </c>
      <c r="DO104" s="67">
        <f t="shared" si="143"/>
        <v>42675.65</v>
      </c>
      <c r="DP104" s="30">
        <f t="shared" si="144"/>
        <v>3908.2220000000002</v>
      </c>
      <c r="DQ104" s="67">
        <f t="shared" si="145"/>
        <v>0</v>
      </c>
      <c r="DR104" s="67">
        <f t="shared" si="146"/>
        <v>2341.1950000000002</v>
      </c>
      <c r="DS104" s="67">
        <f t="shared" si="147"/>
        <v>77682.66</v>
      </c>
      <c r="DT104" s="30">
        <f t="shared" si="148"/>
        <v>399.32839999999999</v>
      </c>
      <c r="DU104" s="67">
        <f t="shared" si="149"/>
        <v>1929.5070000000001</v>
      </c>
      <c r="DV104" s="67">
        <f t="shared" si="150"/>
        <v>3127.3270000000002</v>
      </c>
      <c r="DW104" s="68">
        <f t="shared" si="151"/>
        <v>59058.18</v>
      </c>
      <c r="DX104" s="2"/>
      <c r="DY104" s="81" t="s">
        <v>513</v>
      </c>
      <c r="DZ104" s="82"/>
      <c r="EA104" s="82"/>
      <c r="EB104" s="82"/>
      <c r="EC104" s="83"/>
      <c r="ED104" s="84">
        <v>1</v>
      </c>
      <c r="EE104" s="2"/>
      <c r="EF104" s="38" t="s">
        <v>513</v>
      </c>
      <c r="EG104" s="93" t="s">
        <v>513</v>
      </c>
      <c r="EH104" s="94">
        <v>1305.231</v>
      </c>
      <c r="EI104" s="94">
        <v>4357.5879999999997</v>
      </c>
      <c r="EJ104" s="94">
        <v>6000.81</v>
      </c>
      <c r="EK104" s="94">
        <v>12008.12</v>
      </c>
      <c r="EL104" s="94"/>
      <c r="EM104" s="94">
        <v>429.1</v>
      </c>
      <c r="EN104" s="94">
        <v>2180.7890000000002</v>
      </c>
      <c r="EO104" s="94">
        <v>16347.97</v>
      </c>
      <c r="EP104" s="94">
        <v>120.48139999999999</v>
      </c>
      <c r="EQ104" s="94">
        <v>2886.7820000000002</v>
      </c>
      <c r="ER104" s="94">
        <v>9510.6</v>
      </c>
      <c r="ES104" s="95">
        <v>38056.35</v>
      </c>
      <c r="ET104" s="38" t="s">
        <v>513</v>
      </c>
      <c r="EU104" s="93" t="s">
        <v>513</v>
      </c>
      <c r="EV104" s="94">
        <v>2827.1190000000001</v>
      </c>
      <c r="EW104" s="94">
        <v>2042.5239999999999</v>
      </c>
      <c r="EX104" s="94"/>
      <c r="EY104" s="94"/>
      <c r="EZ104" s="94">
        <v>7898.9769999999999</v>
      </c>
      <c r="FA104" s="94">
        <v>7892.9489999999996</v>
      </c>
      <c r="FB104" s="94">
        <v>7751.1989999999996</v>
      </c>
      <c r="FC104" s="94">
        <v>15502.4</v>
      </c>
      <c r="FD104" s="94">
        <v>9785.2919999999995</v>
      </c>
      <c r="FE104" s="94">
        <v>10539.04</v>
      </c>
      <c r="FF104" s="94">
        <v>9897.0439999999999</v>
      </c>
      <c r="FG104" s="95">
        <v>6384.3540000000003</v>
      </c>
      <c r="FH104" s="38" t="s">
        <v>513</v>
      </c>
      <c r="FI104" s="93" t="s">
        <v>513</v>
      </c>
      <c r="FJ104" s="94"/>
      <c r="FK104" s="94"/>
      <c r="FL104" s="94"/>
      <c r="FM104" s="94"/>
      <c r="FN104" s="94"/>
      <c r="FO104" s="94"/>
      <c r="FP104" s="94"/>
      <c r="FQ104" s="94"/>
      <c r="FR104" s="94"/>
      <c r="FS104" s="94"/>
      <c r="FT104" s="94"/>
      <c r="FU104" s="95"/>
      <c r="FV104" s="38" t="s">
        <v>513</v>
      </c>
      <c r="FW104" s="93" t="s">
        <v>513</v>
      </c>
      <c r="FX104" s="94"/>
      <c r="FY104" s="94"/>
      <c r="FZ104" s="94"/>
      <c r="GA104" s="94"/>
      <c r="GB104" s="94"/>
      <c r="GC104" s="94"/>
      <c r="GD104" s="94"/>
      <c r="GE104" s="94"/>
      <c r="GF104" s="94"/>
      <c r="GG104" s="94"/>
      <c r="GH104" s="94"/>
      <c r="GI104" s="95"/>
      <c r="GJ104" s="38" t="s">
        <v>513</v>
      </c>
      <c r="GK104" s="93" t="s">
        <v>513</v>
      </c>
      <c r="GL104" s="94">
        <v>2141.2979999999998</v>
      </c>
      <c r="GM104" s="94">
        <v>592.49390000000005</v>
      </c>
      <c r="GN104" s="94">
        <v>11881.33</v>
      </c>
      <c r="GO104" s="94">
        <v>42675.65</v>
      </c>
      <c r="GP104" s="94">
        <v>3908.2220000000002</v>
      </c>
      <c r="GQ104" s="94"/>
      <c r="GR104" s="94">
        <v>2341.1950000000002</v>
      </c>
      <c r="GS104" s="94">
        <v>77682.66</v>
      </c>
      <c r="GT104" s="94">
        <v>399.32839999999999</v>
      </c>
      <c r="GU104" s="94">
        <v>1929.5070000000001</v>
      </c>
      <c r="GV104" s="94">
        <v>3127.3270000000002</v>
      </c>
      <c r="GW104" s="95">
        <v>59058.18</v>
      </c>
      <c r="GX104" s="38"/>
    </row>
    <row r="105" spans="1:206" x14ac:dyDescent="0.35">
      <c r="A105" s="2"/>
      <c r="B105" s="2"/>
      <c r="C105" s="42" t="s">
        <v>557</v>
      </c>
      <c r="D105" s="43">
        <f t="shared" si="152"/>
        <v>4.1783687679963451E-4</v>
      </c>
      <c r="E105" s="43">
        <f t="shared" si="119"/>
        <v>1.4606999995307718E-4</v>
      </c>
      <c r="F105" s="43">
        <f t="shared" si="120"/>
        <v>2.3184338748860746E-3</v>
      </c>
      <c r="G105" s="43">
        <f t="shared" si="121"/>
        <v>8.3274071667718951E-3</v>
      </c>
      <c r="H105" s="43">
        <f t="shared" si="122"/>
        <v>1.4837165467412101E-2</v>
      </c>
      <c r="I105" s="43">
        <f t="shared" si="123"/>
        <v>0</v>
      </c>
      <c r="J105" s="43">
        <f t="shared" si="124"/>
        <v>8.8881075861294168E-3</v>
      </c>
      <c r="K105" s="43">
        <f t="shared" si="125"/>
        <v>0.31269673346205362</v>
      </c>
      <c r="L105" s="43">
        <f t="shared" si="126"/>
        <v>6.4716477689204591E-3</v>
      </c>
      <c r="M105" s="43">
        <f t="shared" si="127"/>
        <v>1.7103191442831428E-2</v>
      </c>
      <c r="N105" s="43">
        <f t="shared" si="128"/>
        <v>3.5354438534700418E-2</v>
      </c>
      <c r="O105" s="44">
        <f t="shared" si="129"/>
        <v>0.59343896781954186</v>
      </c>
      <c r="P105" s="115">
        <f t="shared" si="153"/>
        <v>1</v>
      </c>
      <c r="Q105" s="2"/>
      <c r="R105" s="42" t="s">
        <v>557</v>
      </c>
      <c r="S105" s="43">
        <f t="shared" si="154"/>
        <v>4.1783687679963451E-4</v>
      </c>
      <c r="T105" s="43">
        <f t="shared" si="155"/>
        <v>1.4606999995307718E-4</v>
      </c>
      <c r="U105" s="43">
        <f t="shared" si="156"/>
        <v>2.3184338748860746E-3</v>
      </c>
      <c r="V105" s="43">
        <f t="shared" si="157"/>
        <v>8.3274071667718951E-3</v>
      </c>
      <c r="W105" s="29">
        <f t="shared" si="158"/>
        <v>1.4837165467412101E-2</v>
      </c>
      <c r="X105" s="43">
        <f t="shared" si="159"/>
        <v>0</v>
      </c>
      <c r="Y105" s="43">
        <f t="shared" si="160"/>
        <v>8.8881075861294168E-3</v>
      </c>
      <c r="Z105" s="43">
        <f t="shared" si="161"/>
        <v>0.31269673346205362</v>
      </c>
      <c r="AA105" s="29">
        <f t="shared" si="162"/>
        <v>6.4716477689204591E-3</v>
      </c>
      <c r="AB105" s="43">
        <f t="shared" si="163"/>
        <v>1.7103191442831428E-2</v>
      </c>
      <c r="AC105" s="43">
        <f t="shared" si="164"/>
        <v>3.5354438534700418E-2</v>
      </c>
      <c r="AD105" s="43">
        <f t="shared" si="165"/>
        <v>0.59343896781954186</v>
      </c>
      <c r="AE105" s="32">
        <f t="shared" si="166"/>
        <v>2.1726650113132195E-2</v>
      </c>
      <c r="AF105" s="53">
        <f t="shared" si="167"/>
        <v>1.7249261442784505E-2</v>
      </c>
      <c r="AG105" s="53">
        <f t="shared" si="168"/>
        <v>4.6560979995715908E-2</v>
      </c>
      <c r="AH105" s="53">
        <f t="shared" si="169"/>
        <v>0.91446310844836742</v>
      </c>
      <c r="AI105" s="34">
        <f t="shared" si="170"/>
        <v>1.1209747918410682E-2</v>
      </c>
      <c r="AJ105" s="35">
        <f t="shared" si="171"/>
        <v>0.33642200651559512</v>
      </c>
      <c r="AK105" s="34">
        <f t="shared" si="172"/>
        <v>1.1209747918410682E-2</v>
      </c>
      <c r="AL105" s="35">
        <f t="shared" si="173"/>
        <v>0.33642200651559512</v>
      </c>
      <c r="AM105" s="35">
        <f t="shared" si="174"/>
        <v>0.65236824556599426</v>
      </c>
      <c r="AN105" s="36">
        <v>1</v>
      </c>
      <c r="AO105" s="54">
        <v>1</v>
      </c>
      <c r="AP105" s="2"/>
      <c r="AQ105" s="42" t="s">
        <v>557</v>
      </c>
      <c r="AR105" s="43">
        <f t="shared" si="175"/>
        <v>9.7482258179434761E-3</v>
      </c>
      <c r="AS105" s="43">
        <f t="shared" si="186"/>
        <v>3.4078450798214342E-3</v>
      </c>
      <c r="AT105" s="43">
        <f t="shared" si="187"/>
        <v>5.4089569904565538E-2</v>
      </c>
      <c r="AU105" s="43">
        <f t="shared" si="188"/>
        <v>0.19428023242328699</v>
      </c>
      <c r="AV105" s="29">
        <f t="shared" si="189"/>
        <v>1.7792119827625439E-2</v>
      </c>
      <c r="AW105" s="43">
        <f t="shared" si="190"/>
        <v>0</v>
      </c>
      <c r="AX105" s="43">
        <f t="shared" si="191"/>
        <v>1.0658253799256424E-2</v>
      </c>
      <c r="AY105" s="43">
        <f t="shared" si="192"/>
        <v>0.3749730879313502</v>
      </c>
      <c r="AZ105" s="29">
        <f t="shared" si="193"/>
        <v>3.3237820889644529E-3</v>
      </c>
      <c r="BA105" s="43">
        <f t="shared" si="194"/>
        <v>8.7840505867481621E-3</v>
      </c>
      <c r="BB105" s="43">
        <f t="shared" si="195"/>
        <v>1.8157732584175221E-2</v>
      </c>
      <c r="BC105" s="44">
        <f t="shared" si="196"/>
        <v>0.30478509995626252</v>
      </c>
      <c r="BD105" s="2"/>
      <c r="BE105" s="42" t="s">
        <v>557</v>
      </c>
      <c r="BF105" s="62">
        <v>1</v>
      </c>
      <c r="BG105" s="62">
        <v>1</v>
      </c>
      <c r="BH105" s="62">
        <v>1</v>
      </c>
      <c r="BI105" s="62">
        <v>1</v>
      </c>
      <c r="BJ105" s="36">
        <v>1</v>
      </c>
      <c r="BK105" s="62">
        <v>1</v>
      </c>
      <c r="BL105" s="62">
        <v>1</v>
      </c>
      <c r="BM105" s="62">
        <v>1</v>
      </c>
      <c r="BN105" s="36">
        <v>1</v>
      </c>
      <c r="BO105" s="62">
        <v>1</v>
      </c>
      <c r="BP105" s="62">
        <v>1</v>
      </c>
      <c r="BQ105" s="54">
        <v>1</v>
      </c>
      <c r="BR105" s="2"/>
      <c r="BS105" s="42" t="s">
        <v>557</v>
      </c>
      <c r="BT105" s="67">
        <f t="shared" si="176"/>
        <v>2141.2979999999998</v>
      </c>
      <c r="BU105" s="67">
        <f t="shared" si="130"/>
        <v>748.56820000000005</v>
      </c>
      <c r="BV105" s="67">
        <f t="shared" si="131"/>
        <v>11881.33</v>
      </c>
      <c r="BW105" s="67">
        <f t="shared" si="132"/>
        <v>42675.65</v>
      </c>
      <c r="BX105" s="30">
        <f t="shared" si="133"/>
        <v>3908.2220000000002</v>
      </c>
      <c r="BY105" s="67">
        <f t="shared" si="134"/>
        <v>0</v>
      </c>
      <c r="BZ105" s="67">
        <f t="shared" si="135"/>
        <v>2341.1950000000002</v>
      </c>
      <c r="CA105" s="67">
        <f t="shared" si="136"/>
        <v>82366.692999999999</v>
      </c>
      <c r="CB105" s="30">
        <f t="shared" si="137"/>
        <v>730.10289999999998</v>
      </c>
      <c r="CC105" s="67">
        <f t="shared" si="138"/>
        <v>1929.5070000000001</v>
      </c>
      <c r="CD105" s="67">
        <f t="shared" si="139"/>
        <v>3988.5326000000005</v>
      </c>
      <c r="CE105" s="68">
        <f t="shared" si="140"/>
        <v>66949.179999999993</v>
      </c>
      <c r="CF105" s="2"/>
      <c r="CG105" s="37" t="str">
        <f t="shared" si="177"/>
        <v>aheal</v>
      </c>
      <c r="CH105" s="42" t="s">
        <v>557</v>
      </c>
      <c r="CI105" s="67">
        <f t="shared" si="178"/>
        <v>2141.2979999999998</v>
      </c>
      <c r="CJ105" s="67">
        <f t="shared" si="197"/>
        <v>748.56820000000005</v>
      </c>
      <c r="CK105" s="67">
        <f t="shared" si="198"/>
        <v>11881.33</v>
      </c>
      <c r="CL105" s="67">
        <f t="shared" si="199"/>
        <v>42675.65</v>
      </c>
      <c r="CM105" s="30">
        <f t="shared" si="200"/>
        <v>3908.2220000000002</v>
      </c>
      <c r="CN105" s="67">
        <f t="shared" si="201"/>
        <v>0</v>
      </c>
      <c r="CO105" s="67">
        <f t="shared" si="202"/>
        <v>2341.1950000000002</v>
      </c>
      <c r="CP105" s="67">
        <f t="shared" si="203"/>
        <v>82366.692999999999</v>
      </c>
      <c r="CQ105" s="30">
        <f t="shared" si="204"/>
        <v>730.10289999999998</v>
      </c>
      <c r="CR105" s="67">
        <f t="shared" si="205"/>
        <v>1929.5070000000001</v>
      </c>
      <c r="CS105" s="67">
        <f t="shared" si="206"/>
        <v>3988.5326000000005</v>
      </c>
      <c r="CT105" s="68">
        <f t="shared" si="207"/>
        <v>66949.179999999993</v>
      </c>
      <c r="CU105" s="2"/>
      <c r="CV105" s="42" t="s">
        <v>557</v>
      </c>
      <c r="CW105" s="67">
        <f t="shared" si="179"/>
        <v>0</v>
      </c>
      <c r="CX105" s="67">
        <f t="shared" si="208"/>
        <v>0</v>
      </c>
      <c r="CY105" s="67">
        <f t="shared" si="209"/>
        <v>0</v>
      </c>
      <c r="CZ105" s="67">
        <f t="shared" si="210"/>
        <v>0</v>
      </c>
      <c r="DA105" s="30">
        <f t="shared" si="211"/>
        <v>0</v>
      </c>
      <c r="DB105" s="67">
        <f t="shared" si="212"/>
        <v>0</v>
      </c>
      <c r="DC105" s="67">
        <f t="shared" si="213"/>
        <v>0</v>
      </c>
      <c r="DD105" s="67">
        <f t="shared" si="214"/>
        <v>0</v>
      </c>
      <c r="DE105" s="30">
        <f t="shared" si="215"/>
        <v>0</v>
      </c>
      <c r="DF105" s="67">
        <f t="shared" si="216"/>
        <v>0</v>
      </c>
      <c r="DG105" s="67">
        <f t="shared" si="217"/>
        <v>0</v>
      </c>
      <c r="DH105" s="68">
        <f t="shared" si="218"/>
        <v>0</v>
      </c>
      <c r="DI105" s="2"/>
      <c r="DJ105" s="37" t="s">
        <v>513</v>
      </c>
      <c r="DK105" s="76" t="s">
        <v>557</v>
      </c>
      <c r="DL105" s="67">
        <f t="shared" si="180"/>
        <v>0</v>
      </c>
      <c r="DM105" s="67">
        <f t="shared" si="141"/>
        <v>156.07429999999999</v>
      </c>
      <c r="DN105" s="67">
        <f t="shared" si="142"/>
        <v>0</v>
      </c>
      <c r="DO105" s="67">
        <f t="shared" si="143"/>
        <v>0</v>
      </c>
      <c r="DP105" s="30">
        <f t="shared" si="144"/>
        <v>0</v>
      </c>
      <c r="DQ105" s="67">
        <f t="shared" si="145"/>
        <v>0</v>
      </c>
      <c r="DR105" s="67">
        <f t="shared" si="146"/>
        <v>0</v>
      </c>
      <c r="DS105" s="67">
        <f t="shared" si="147"/>
        <v>4684.0330000000004</v>
      </c>
      <c r="DT105" s="30">
        <f t="shared" si="148"/>
        <v>330.77449999999999</v>
      </c>
      <c r="DU105" s="67">
        <f t="shared" si="149"/>
        <v>0</v>
      </c>
      <c r="DV105" s="67">
        <f t="shared" si="150"/>
        <v>861.2056</v>
      </c>
      <c r="DW105" s="68">
        <f t="shared" si="151"/>
        <v>7891</v>
      </c>
      <c r="DX105" s="2"/>
      <c r="DY105" s="81" t="s">
        <v>557</v>
      </c>
      <c r="DZ105" s="82"/>
      <c r="EA105" s="82"/>
      <c r="EB105" s="82"/>
      <c r="EC105" s="83"/>
      <c r="ED105" s="84">
        <v>1</v>
      </c>
      <c r="EE105" s="2"/>
      <c r="EF105" s="38" t="s">
        <v>557</v>
      </c>
      <c r="EG105" s="93" t="s">
        <v>557</v>
      </c>
      <c r="EH105" s="94"/>
      <c r="EI105" s="94"/>
      <c r="EJ105" s="94"/>
      <c r="EK105" s="94"/>
      <c r="EL105" s="94"/>
      <c r="EM105" s="94"/>
      <c r="EN105" s="94"/>
      <c r="EO105" s="94"/>
      <c r="EP105" s="94"/>
      <c r="EQ105" s="94"/>
      <c r="ER105" s="94"/>
      <c r="ES105" s="95"/>
      <c r="ET105" s="38" t="s">
        <v>557</v>
      </c>
      <c r="EU105" s="93" t="s">
        <v>557</v>
      </c>
      <c r="EV105" s="94"/>
      <c r="EW105" s="94"/>
      <c r="EX105" s="94"/>
      <c r="EY105" s="94"/>
      <c r="EZ105" s="94"/>
      <c r="FA105" s="94"/>
      <c r="FB105" s="94"/>
      <c r="FC105" s="94"/>
      <c r="FD105" s="94"/>
      <c r="FE105" s="94"/>
      <c r="FF105" s="94"/>
      <c r="FG105" s="95"/>
      <c r="FH105" s="38" t="s">
        <v>557</v>
      </c>
      <c r="FI105" s="93" t="s">
        <v>557</v>
      </c>
      <c r="FJ105" s="94"/>
      <c r="FK105" s="94"/>
      <c r="FL105" s="94"/>
      <c r="FM105" s="94"/>
      <c r="FN105" s="94"/>
      <c r="FO105" s="94"/>
      <c r="FP105" s="94"/>
      <c r="FQ105" s="94"/>
      <c r="FR105" s="94"/>
      <c r="FS105" s="94"/>
      <c r="FT105" s="94"/>
      <c r="FU105" s="95"/>
      <c r="FV105" s="38" t="s">
        <v>557</v>
      </c>
      <c r="FW105" s="93" t="s">
        <v>557</v>
      </c>
      <c r="FX105" s="94"/>
      <c r="FY105" s="94"/>
      <c r="FZ105" s="94"/>
      <c r="GA105" s="94"/>
      <c r="GB105" s="94"/>
      <c r="GC105" s="94"/>
      <c r="GD105" s="94"/>
      <c r="GE105" s="94"/>
      <c r="GF105" s="94"/>
      <c r="GG105" s="94"/>
      <c r="GH105" s="94"/>
      <c r="GI105" s="95"/>
      <c r="GJ105" s="38" t="s">
        <v>557</v>
      </c>
      <c r="GK105" s="93" t="s">
        <v>557</v>
      </c>
      <c r="GL105" s="94">
        <v>0</v>
      </c>
      <c r="GM105" s="94">
        <v>156.07429999999999</v>
      </c>
      <c r="GN105" s="94">
        <v>0</v>
      </c>
      <c r="GO105" s="94"/>
      <c r="GP105" s="94"/>
      <c r="GQ105" s="94"/>
      <c r="GR105" s="94"/>
      <c r="GS105" s="94">
        <v>4684.0330000000004</v>
      </c>
      <c r="GT105" s="94">
        <v>330.77449999999999</v>
      </c>
      <c r="GU105" s="94"/>
      <c r="GV105" s="94">
        <v>861.2056</v>
      </c>
      <c r="GW105" s="95">
        <v>7891</v>
      </c>
      <c r="GX105" s="38"/>
    </row>
    <row r="106" spans="1:206" x14ac:dyDescent="0.35">
      <c r="A106" s="2"/>
      <c r="B106" s="2"/>
      <c r="C106" s="42" t="s">
        <v>558</v>
      </c>
      <c r="D106" s="43">
        <f t="shared" si="152"/>
        <v>3.5782403294584854E-2</v>
      </c>
      <c r="E106" s="43">
        <f t="shared" si="119"/>
        <v>4.6203080275138718E-2</v>
      </c>
      <c r="F106" s="43">
        <f t="shared" si="120"/>
        <v>2.066230873935123E-2</v>
      </c>
      <c r="G106" s="43">
        <f t="shared" si="121"/>
        <v>0.11097403761635767</v>
      </c>
      <c r="H106" s="43">
        <f t="shared" si="122"/>
        <v>1.1778224400864419E-3</v>
      </c>
      <c r="I106" s="43">
        <f t="shared" si="123"/>
        <v>1.1475117750015084E-3</v>
      </c>
      <c r="J106" s="43">
        <f t="shared" si="124"/>
        <v>3.2396123107204878E-3</v>
      </c>
      <c r="K106" s="43">
        <f t="shared" si="125"/>
        <v>4.5124619133174573E-2</v>
      </c>
      <c r="L106" s="43">
        <f t="shared" si="126"/>
        <v>2.7246703200731238E-2</v>
      </c>
      <c r="M106" s="43">
        <f t="shared" si="127"/>
        <v>2.0607480322189977E-2</v>
      </c>
      <c r="N106" s="43">
        <f t="shared" si="128"/>
        <v>5.1276838376960635E-2</v>
      </c>
      <c r="O106" s="44">
        <f t="shared" si="129"/>
        <v>0.63655758251570282</v>
      </c>
      <c r="P106" s="115">
        <f t="shared" si="153"/>
        <v>1</v>
      </c>
      <c r="Q106" s="2"/>
      <c r="R106" s="42" t="s">
        <v>558</v>
      </c>
      <c r="S106" s="43">
        <f t="shared" si="154"/>
        <v>3.5782403294584854E-2</v>
      </c>
      <c r="T106" s="43">
        <f t="shared" si="155"/>
        <v>4.6203080275138718E-2</v>
      </c>
      <c r="U106" s="43">
        <f t="shared" si="156"/>
        <v>2.066230873935123E-2</v>
      </c>
      <c r="V106" s="43">
        <f t="shared" si="157"/>
        <v>0.11097403761635767</v>
      </c>
      <c r="W106" s="29">
        <f t="shared" si="158"/>
        <v>1.1778224400864419E-3</v>
      </c>
      <c r="X106" s="43">
        <f t="shared" si="159"/>
        <v>1.1475117750015084E-3</v>
      </c>
      <c r="Y106" s="43">
        <f t="shared" si="160"/>
        <v>3.2396123107204878E-3</v>
      </c>
      <c r="Z106" s="43">
        <f t="shared" si="161"/>
        <v>4.5124619133174573E-2</v>
      </c>
      <c r="AA106" s="29">
        <f t="shared" si="162"/>
        <v>2.7246703200731238E-2</v>
      </c>
      <c r="AB106" s="43">
        <f t="shared" si="163"/>
        <v>2.0607480322189977E-2</v>
      </c>
      <c r="AC106" s="43">
        <f t="shared" si="164"/>
        <v>5.1276838376960635E-2</v>
      </c>
      <c r="AD106" s="43">
        <f t="shared" si="165"/>
        <v>0.63655758251570282</v>
      </c>
      <c r="AE106" s="32">
        <f t="shared" si="166"/>
        <v>6.420692893540253E-2</v>
      </c>
      <c r="AF106" s="53">
        <f t="shared" si="167"/>
        <v>6.7958072372330203E-2</v>
      </c>
      <c r="AG106" s="53">
        <f t="shared" si="168"/>
        <v>7.5178759427032352E-2</v>
      </c>
      <c r="AH106" s="53">
        <f t="shared" si="169"/>
        <v>0.7926562392652351</v>
      </c>
      <c r="AI106" s="34">
        <f t="shared" si="170"/>
        <v>0.21362182992543247</v>
      </c>
      <c r="AJ106" s="35">
        <f t="shared" si="171"/>
        <v>5.0689565658983013E-2</v>
      </c>
      <c r="AK106" s="34">
        <f t="shared" si="172"/>
        <v>0.21362182992543247</v>
      </c>
      <c r="AL106" s="35">
        <f t="shared" si="173"/>
        <v>5.0689565658983013E-2</v>
      </c>
      <c r="AM106" s="35">
        <f t="shared" si="174"/>
        <v>0.73568860441558459</v>
      </c>
      <c r="AN106" s="36">
        <v>1</v>
      </c>
      <c r="AO106" s="54">
        <v>1</v>
      </c>
      <c r="AP106" s="2"/>
      <c r="AQ106" s="42" t="s">
        <v>558</v>
      </c>
      <c r="AR106" s="43">
        <f t="shared" si="175"/>
        <v>3.2258785144893998E-2</v>
      </c>
      <c r="AS106" s="43">
        <f t="shared" si="186"/>
        <v>4.1653301690150829E-2</v>
      </c>
      <c r="AT106" s="43">
        <f t="shared" si="187"/>
        <v>1.8627619076694836E-2</v>
      </c>
      <c r="AU106" s="43">
        <f t="shared" si="188"/>
        <v>0.10004603678113569</v>
      </c>
      <c r="AV106" s="29">
        <f t="shared" si="189"/>
        <v>3.9787596369075051E-3</v>
      </c>
      <c r="AW106" s="43">
        <f t="shared" si="190"/>
        <v>3.8763682689871388E-3</v>
      </c>
      <c r="AX106" s="43">
        <f t="shared" si="191"/>
        <v>1.0943617868392238E-2</v>
      </c>
      <c r="AY106" s="43">
        <f t="shared" si="192"/>
        <v>0.15243385346327962</v>
      </c>
      <c r="AZ106" s="29">
        <f t="shared" si="193"/>
        <v>2.3561399096211334E-2</v>
      </c>
      <c r="BA106" s="43">
        <f t="shared" si="194"/>
        <v>1.782017679942317E-2</v>
      </c>
      <c r="BB106" s="43">
        <f t="shared" si="195"/>
        <v>4.4341293127862565E-2</v>
      </c>
      <c r="BC106" s="44">
        <f t="shared" si="196"/>
        <v>0.55045878904606105</v>
      </c>
      <c r="BD106" s="2"/>
      <c r="BE106" s="42" t="s">
        <v>558</v>
      </c>
      <c r="BF106" s="62">
        <v>1</v>
      </c>
      <c r="BG106" s="62">
        <v>1</v>
      </c>
      <c r="BH106" s="62">
        <v>1</v>
      </c>
      <c r="BI106" s="62">
        <v>1</v>
      </c>
      <c r="BJ106" s="36">
        <v>1</v>
      </c>
      <c r="BK106" s="62">
        <v>1</v>
      </c>
      <c r="BL106" s="62">
        <v>1</v>
      </c>
      <c r="BM106" s="62">
        <v>1</v>
      </c>
      <c r="BN106" s="36">
        <v>1</v>
      </c>
      <c r="BO106" s="62">
        <v>1</v>
      </c>
      <c r="BP106" s="62">
        <v>1</v>
      </c>
      <c r="BQ106" s="54">
        <v>1</v>
      </c>
      <c r="BR106" s="2"/>
      <c r="BS106" s="42" t="s">
        <v>558</v>
      </c>
      <c r="BT106" s="67">
        <f t="shared" si="176"/>
        <v>7280.1677</v>
      </c>
      <c r="BU106" s="67">
        <f t="shared" si="130"/>
        <v>9400.3236700000016</v>
      </c>
      <c r="BV106" s="67">
        <f t="shared" si="131"/>
        <v>4203.884</v>
      </c>
      <c r="BW106" s="67">
        <f t="shared" si="132"/>
        <v>22578.405300000002</v>
      </c>
      <c r="BX106" s="30">
        <f t="shared" si="133"/>
        <v>897.9271</v>
      </c>
      <c r="BY106" s="67">
        <f t="shared" si="134"/>
        <v>874.81939999999997</v>
      </c>
      <c r="BZ106" s="67">
        <f t="shared" si="135"/>
        <v>2469.7574</v>
      </c>
      <c r="CA106" s="67">
        <f t="shared" si="136"/>
        <v>34401.296000000002</v>
      </c>
      <c r="CB106" s="30">
        <f t="shared" si="137"/>
        <v>5317.3402500000002</v>
      </c>
      <c r="CC106" s="67">
        <f t="shared" si="138"/>
        <v>4021.6603</v>
      </c>
      <c r="CD106" s="67">
        <f t="shared" si="139"/>
        <v>10006.950000000001</v>
      </c>
      <c r="CE106" s="68">
        <f t="shared" si="140"/>
        <v>124227.626</v>
      </c>
      <c r="CF106" s="2"/>
      <c r="CG106" s="37" t="str">
        <f t="shared" si="177"/>
        <v>acult</v>
      </c>
      <c r="CH106" s="42" t="s">
        <v>558</v>
      </c>
      <c r="CI106" s="67">
        <f t="shared" si="178"/>
        <v>7280.1677</v>
      </c>
      <c r="CJ106" s="67">
        <f t="shared" si="197"/>
        <v>9400.3236700000016</v>
      </c>
      <c r="CK106" s="67">
        <f t="shared" si="198"/>
        <v>4203.884</v>
      </c>
      <c r="CL106" s="67">
        <f t="shared" si="199"/>
        <v>22578.405300000002</v>
      </c>
      <c r="CM106" s="30">
        <f t="shared" si="200"/>
        <v>897.9271</v>
      </c>
      <c r="CN106" s="67">
        <f t="shared" si="201"/>
        <v>874.81939999999997</v>
      </c>
      <c r="CO106" s="67">
        <f t="shared" si="202"/>
        <v>2469.7574</v>
      </c>
      <c r="CP106" s="67">
        <f t="shared" si="203"/>
        <v>34401.296000000002</v>
      </c>
      <c r="CQ106" s="30">
        <f t="shared" si="204"/>
        <v>5317.3402500000002</v>
      </c>
      <c r="CR106" s="67">
        <f t="shared" si="205"/>
        <v>4021.6603</v>
      </c>
      <c r="CS106" s="67">
        <f t="shared" si="206"/>
        <v>10006.950000000001</v>
      </c>
      <c r="CT106" s="68">
        <f t="shared" si="207"/>
        <v>124227.626</v>
      </c>
      <c r="CU106" s="2"/>
      <c r="CV106" s="42" t="s">
        <v>558</v>
      </c>
      <c r="CW106" s="67">
        <f t="shared" si="179"/>
        <v>7280.1677</v>
      </c>
      <c r="CX106" s="67">
        <f t="shared" si="208"/>
        <v>9400.3236700000016</v>
      </c>
      <c r="CY106" s="67">
        <f t="shared" si="209"/>
        <v>4203.884</v>
      </c>
      <c r="CZ106" s="67">
        <f t="shared" si="210"/>
        <v>22578.405300000002</v>
      </c>
      <c r="DA106" s="30">
        <f t="shared" si="211"/>
        <v>897.9271</v>
      </c>
      <c r="DB106" s="67">
        <f t="shared" si="212"/>
        <v>874.81939999999997</v>
      </c>
      <c r="DC106" s="67">
        <f t="shared" si="213"/>
        <v>2469.7574</v>
      </c>
      <c r="DD106" s="67">
        <f t="shared" si="214"/>
        <v>34401.296000000002</v>
      </c>
      <c r="DE106" s="30">
        <f t="shared" si="215"/>
        <v>5317.3402500000002</v>
      </c>
      <c r="DF106" s="67">
        <f t="shared" si="216"/>
        <v>4021.6603</v>
      </c>
      <c r="DG106" s="67">
        <f t="shared" si="217"/>
        <v>10006.950000000001</v>
      </c>
      <c r="DH106" s="68">
        <f t="shared" si="218"/>
        <v>124227.626</v>
      </c>
      <c r="DI106" s="2"/>
      <c r="DJ106" s="37" t="s">
        <v>558</v>
      </c>
      <c r="DK106" s="76" t="s">
        <v>558</v>
      </c>
      <c r="DL106" s="67">
        <f t="shared" si="180"/>
        <v>876.51570000000004</v>
      </c>
      <c r="DM106" s="67">
        <f t="shared" si="141"/>
        <v>16.900870000000001</v>
      </c>
      <c r="DN106" s="67">
        <f t="shared" si="142"/>
        <v>0</v>
      </c>
      <c r="DO106" s="67">
        <f t="shared" si="143"/>
        <v>93.795299999999997</v>
      </c>
      <c r="DP106" s="30">
        <f t="shared" si="144"/>
        <v>0</v>
      </c>
      <c r="DQ106" s="67">
        <f t="shared" si="145"/>
        <v>0</v>
      </c>
      <c r="DR106" s="67">
        <f t="shared" si="146"/>
        <v>234.25200000000001</v>
      </c>
      <c r="DS106" s="67">
        <f t="shared" si="147"/>
        <v>0</v>
      </c>
      <c r="DT106" s="30">
        <f t="shared" si="148"/>
        <v>10.48325</v>
      </c>
      <c r="DU106" s="67">
        <f t="shared" si="149"/>
        <v>0</v>
      </c>
      <c r="DV106" s="67">
        <f t="shared" si="150"/>
        <v>1183.2719999999999</v>
      </c>
      <c r="DW106" s="68">
        <f t="shared" si="151"/>
        <v>2206.087</v>
      </c>
      <c r="DX106" s="2"/>
      <c r="DY106" s="81" t="s">
        <v>558</v>
      </c>
      <c r="DZ106" s="82"/>
      <c r="EA106" s="82"/>
      <c r="EB106" s="82"/>
      <c r="EC106" s="83"/>
      <c r="ED106" s="84">
        <v>1</v>
      </c>
      <c r="EE106" s="2"/>
      <c r="EF106" s="38" t="s">
        <v>558</v>
      </c>
      <c r="EG106" s="93" t="s">
        <v>558</v>
      </c>
      <c r="EH106" s="94">
        <v>530.93280000000004</v>
      </c>
      <c r="EI106" s="94">
        <v>759.44960000000003</v>
      </c>
      <c r="EJ106" s="94">
        <v>467.20960000000002</v>
      </c>
      <c r="EK106" s="94">
        <v>94.219710000000006</v>
      </c>
      <c r="EL106" s="94">
        <v>953.69910000000004</v>
      </c>
      <c r="EM106" s="94">
        <v>792.73649999999998</v>
      </c>
      <c r="EN106" s="94">
        <v>474.12650000000002</v>
      </c>
      <c r="EO106" s="94">
        <v>504.0335</v>
      </c>
      <c r="EP106" s="94">
        <v>706.25009999999997</v>
      </c>
      <c r="EQ106" s="94">
        <v>3217.15</v>
      </c>
      <c r="ER106" s="94">
        <v>2838.4479999999999</v>
      </c>
      <c r="ES106" s="95">
        <v>6774.4979999999996</v>
      </c>
      <c r="ET106" s="38" t="s">
        <v>558</v>
      </c>
      <c r="EU106" s="93" t="s">
        <v>558</v>
      </c>
      <c r="EV106" s="94">
        <v>5146.0200000000004</v>
      </c>
      <c r="EW106" s="94">
        <v>2268.0230000000001</v>
      </c>
      <c r="EX106" s="94">
        <v>42.817219999999999</v>
      </c>
      <c r="EY106" s="94"/>
      <c r="EZ106" s="94">
        <v>3298.8139999999999</v>
      </c>
      <c r="FA106" s="94">
        <v>2702.8249999999998</v>
      </c>
      <c r="FB106" s="94">
        <v>943.24810000000002</v>
      </c>
      <c r="FC106" s="94">
        <v>326.56709999999998</v>
      </c>
      <c r="FD106" s="94">
        <v>3746.1309999999999</v>
      </c>
      <c r="FE106" s="94">
        <v>5474.9279999999999</v>
      </c>
      <c r="FF106" s="94">
        <v>977.346</v>
      </c>
      <c r="FG106" s="95">
        <v>806.1857</v>
      </c>
      <c r="FH106" s="38" t="s">
        <v>558</v>
      </c>
      <c r="FI106" s="93" t="s">
        <v>558</v>
      </c>
      <c r="FJ106" s="94"/>
      <c r="FK106" s="94"/>
      <c r="FL106" s="94"/>
      <c r="FM106" s="94"/>
      <c r="FN106" s="94"/>
      <c r="FO106" s="94"/>
      <c r="FP106" s="94"/>
      <c r="FQ106" s="94"/>
      <c r="FR106" s="94"/>
      <c r="FS106" s="94"/>
      <c r="FT106" s="94"/>
      <c r="FU106" s="95"/>
      <c r="FV106" s="38" t="s">
        <v>558</v>
      </c>
      <c r="FW106" s="93" t="s">
        <v>558</v>
      </c>
      <c r="FX106" s="94"/>
      <c r="FY106" s="94"/>
      <c r="FZ106" s="94"/>
      <c r="GA106" s="94"/>
      <c r="GB106" s="94"/>
      <c r="GC106" s="94"/>
      <c r="GD106" s="94"/>
      <c r="GE106" s="94"/>
      <c r="GF106" s="94"/>
      <c r="GG106" s="94"/>
      <c r="GH106" s="94"/>
      <c r="GI106" s="95"/>
      <c r="GJ106" s="38" t="s">
        <v>558</v>
      </c>
      <c r="GK106" s="93" t="s">
        <v>558</v>
      </c>
      <c r="GL106" s="94">
        <v>876.51570000000004</v>
      </c>
      <c r="GM106" s="94">
        <v>16.900870000000001</v>
      </c>
      <c r="GN106" s="94"/>
      <c r="GO106" s="94">
        <v>93.795299999999997</v>
      </c>
      <c r="GP106" s="94"/>
      <c r="GQ106" s="94"/>
      <c r="GR106" s="94">
        <v>234.25200000000001</v>
      </c>
      <c r="GS106" s="94">
        <v>0</v>
      </c>
      <c r="GT106" s="94">
        <v>10.48325</v>
      </c>
      <c r="GU106" s="94"/>
      <c r="GV106" s="94">
        <v>1183.2719999999999</v>
      </c>
      <c r="GW106" s="95">
        <v>2206.087</v>
      </c>
      <c r="GX106" s="38"/>
    </row>
    <row r="107" spans="1:206" x14ac:dyDescent="0.35">
      <c r="A107" s="2"/>
      <c r="B107" s="2"/>
      <c r="C107" s="42" t="s">
        <v>559</v>
      </c>
      <c r="D107" s="43">
        <f t="shared" si="152"/>
        <v>1.5106035916705566E-3</v>
      </c>
      <c r="E107" s="43">
        <f t="shared" si="119"/>
        <v>1.9505268675016581E-3</v>
      </c>
      <c r="F107" s="43">
        <f t="shared" si="120"/>
        <v>8.7228791025876877E-4</v>
      </c>
      <c r="G107" s="43">
        <f t="shared" si="121"/>
        <v>4.6849223185303187E-3</v>
      </c>
      <c r="H107" s="43">
        <f t="shared" si="122"/>
        <v>5.1605982127566072E-3</v>
      </c>
      <c r="I107" s="43">
        <f t="shared" si="123"/>
        <v>5.0277928265276845E-3</v>
      </c>
      <c r="J107" s="43">
        <f t="shared" si="124"/>
        <v>1.4194276600385936E-2</v>
      </c>
      <c r="K107" s="43">
        <f t="shared" si="125"/>
        <v>0.19771233840042363</v>
      </c>
      <c r="L107" s="43">
        <f t="shared" si="126"/>
        <v>2.8476214407787605E-2</v>
      </c>
      <c r="M107" s="43">
        <f t="shared" si="127"/>
        <v>2.1537395689148805E-2</v>
      </c>
      <c r="N107" s="43">
        <f t="shared" si="128"/>
        <v>5.3590712719203973E-2</v>
      </c>
      <c r="O107" s="44">
        <f t="shared" si="129"/>
        <v>0.66528233045580454</v>
      </c>
      <c r="P107" s="115">
        <f t="shared" si="153"/>
        <v>1</v>
      </c>
      <c r="Q107" s="2"/>
      <c r="R107" s="42" t="s">
        <v>559</v>
      </c>
      <c r="S107" s="43">
        <f t="shared" si="154"/>
        <v>1.5106035916705566E-3</v>
      </c>
      <c r="T107" s="43">
        <f t="shared" si="155"/>
        <v>1.9505268675016581E-3</v>
      </c>
      <c r="U107" s="43">
        <f t="shared" si="156"/>
        <v>8.7228791025876877E-4</v>
      </c>
      <c r="V107" s="43">
        <f t="shared" si="157"/>
        <v>4.6849223185303187E-3</v>
      </c>
      <c r="W107" s="29">
        <f t="shared" si="158"/>
        <v>5.1605982127566072E-3</v>
      </c>
      <c r="X107" s="43">
        <f t="shared" si="159"/>
        <v>5.0277928265276845E-3</v>
      </c>
      <c r="Y107" s="43">
        <f t="shared" si="160"/>
        <v>1.4194276600385936E-2</v>
      </c>
      <c r="Z107" s="43">
        <f t="shared" si="161"/>
        <v>0.19771233840042363</v>
      </c>
      <c r="AA107" s="29">
        <f t="shared" si="162"/>
        <v>2.8476214407787605E-2</v>
      </c>
      <c r="AB107" s="43">
        <f t="shared" si="163"/>
        <v>2.1537395689148805E-2</v>
      </c>
      <c r="AC107" s="43">
        <f t="shared" si="164"/>
        <v>5.3590712719203973E-2</v>
      </c>
      <c r="AD107" s="43">
        <f t="shared" si="165"/>
        <v>0.66528233045580454</v>
      </c>
      <c r="AE107" s="32">
        <f t="shared" si="166"/>
        <v>3.5147416212214767E-2</v>
      </c>
      <c r="AF107" s="53">
        <f t="shared" si="167"/>
        <v>2.8515715383178146E-2</v>
      </c>
      <c r="AG107" s="53">
        <f t="shared" si="168"/>
        <v>6.8657277229848684E-2</v>
      </c>
      <c r="AH107" s="53">
        <f t="shared" si="169"/>
        <v>0.86767959117475846</v>
      </c>
      <c r="AI107" s="34">
        <f t="shared" si="170"/>
        <v>9.0183406879613022E-3</v>
      </c>
      <c r="AJ107" s="35">
        <f t="shared" si="171"/>
        <v>0.22209500604009386</v>
      </c>
      <c r="AK107" s="34">
        <f t="shared" si="172"/>
        <v>9.0183406879613022E-3</v>
      </c>
      <c r="AL107" s="35">
        <f t="shared" si="173"/>
        <v>0.22209500604009386</v>
      </c>
      <c r="AM107" s="35">
        <f t="shared" si="174"/>
        <v>0.76888665327194483</v>
      </c>
      <c r="AN107" s="36">
        <v>1</v>
      </c>
      <c r="AO107" s="54">
        <v>1</v>
      </c>
      <c r="AP107" s="2"/>
      <c r="AQ107" s="42" t="s">
        <v>559</v>
      </c>
      <c r="AR107" s="43">
        <f t="shared" si="175"/>
        <v>3.2258785144893998E-2</v>
      </c>
      <c r="AS107" s="43">
        <f t="shared" si="186"/>
        <v>4.1653301690150829E-2</v>
      </c>
      <c r="AT107" s="43">
        <f t="shared" si="187"/>
        <v>1.8627619076694836E-2</v>
      </c>
      <c r="AU107" s="43">
        <f t="shared" si="188"/>
        <v>0.10004603678113569</v>
      </c>
      <c r="AV107" s="29">
        <f t="shared" si="189"/>
        <v>3.9787596369075051E-3</v>
      </c>
      <c r="AW107" s="43">
        <f t="shared" si="190"/>
        <v>3.8763682689871388E-3</v>
      </c>
      <c r="AX107" s="43">
        <f t="shared" si="191"/>
        <v>1.0943617868392238E-2</v>
      </c>
      <c r="AY107" s="43">
        <f t="shared" si="192"/>
        <v>0.15243385346327962</v>
      </c>
      <c r="AZ107" s="29">
        <f t="shared" si="193"/>
        <v>2.3561399096211334E-2</v>
      </c>
      <c r="BA107" s="43">
        <f t="shared" si="194"/>
        <v>1.782017679942317E-2</v>
      </c>
      <c r="BB107" s="43">
        <f t="shared" si="195"/>
        <v>4.4341293127862565E-2</v>
      </c>
      <c r="BC107" s="44">
        <f t="shared" si="196"/>
        <v>0.55045878904606105</v>
      </c>
      <c r="BD107" s="2"/>
      <c r="BE107" s="42" t="s">
        <v>559</v>
      </c>
      <c r="BF107" s="62">
        <v>1</v>
      </c>
      <c r="BG107" s="62">
        <v>1</v>
      </c>
      <c r="BH107" s="62">
        <v>1</v>
      </c>
      <c r="BI107" s="62">
        <v>1</v>
      </c>
      <c r="BJ107" s="36">
        <v>1</v>
      </c>
      <c r="BK107" s="62">
        <v>1</v>
      </c>
      <c r="BL107" s="62">
        <v>1</v>
      </c>
      <c r="BM107" s="62">
        <v>1</v>
      </c>
      <c r="BN107" s="36">
        <v>1</v>
      </c>
      <c r="BO107" s="62">
        <v>1</v>
      </c>
      <c r="BP107" s="62">
        <v>1</v>
      </c>
      <c r="BQ107" s="54">
        <v>1</v>
      </c>
      <c r="BR107" s="2"/>
      <c r="BS107" s="42" t="s">
        <v>559</v>
      </c>
      <c r="BT107" s="67">
        <f t="shared" si="176"/>
        <v>7280.1677</v>
      </c>
      <c r="BU107" s="67">
        <f t="shared" si="130"/>
        <v>9400.3236700000016</v>
      </c>
      <c r="BV107" s="67">
        <f t="shared" si="131"/>
        <v>4203.884</v>
      </c>
      <c r="BW107" s="67">
        <f t="shared" si="132"/>
        <v>22578.405300000002</v>
      </c>
      <c r="BX107" s="30">
        <f t="shared" si="133"/>
        <v>897.9271</v>
      </c>
      <c r="BY107" s="67">
        <f t="shared" si="134"/>
        <v>874.81939999999997</v>
      </c>
      <c r="BZ107" s="67">
        <f t="shared" si="135"/>
        <v>2469.7574</v>
      </c>
      <c r="CA107" s="67">
        <f t="shared" si="136"/>
        <v>34401.296000000002</v>
      </c>
      <c r="CB107" s="30">
        <f t="shared" si="137"/>
        <v>5317.3402500000002</v>
      </c>
      <c r="CC107" s="67">
        <f t="shared" si="138"/>
        <v>4021.6603</v>
      </c>
      <c r="CD107" s="67">
        <f t="shared" si="139"/>
        <v>10006.950000000001</v>
      </c>
      <c r="CE107" s="68">
        <f t="shared" si="140"/>
        <v>124227.626</v>
      </c>
      <c r="CF107" s="2"/>
      <c r="CG107" s="37" t="str">
        <f t="shared" si="177"/>
        <v>acult</v>
      </c>
      <c r="CH107" s="42" t="s">
        <v>559</v>
      </c>
      <c r="CI107" s="67">
        <f t="shared" si="178"/>
        <v>7280.1677</v>
      </c>
      <c r="CJ107" s="67">
        <f t="shared" si="197"/>
        <v>9400.3236700000016</v>
      </c>
      <c r="CK107" s="67">
        <f t="shared" si="198"/>
        <v>4203.884</v>
      </c>
      <c r="CL107" s="67">
        <f t="shared" si="199"/>
        <v>22578.405300000002</v>
      </c>
      <c r="CM107" s="30">
        <f t="shared" si="200"/>
        <v>897.9271</v>
      </c>
      <c r="CN107" s="67">
        <f t="shared" si="201"/>
        <v>874.81939999999997</v>
      </c>
      <c r="CO107" s="67">
        <f t="shared" si="202"/>
        <v>2469.7574</v>
      </c>
      <c r="CP107" s="67">
        <f t="shared" si="203"/>
        <v>34401.296000000002</v>
      </c>
      <c r="CQ107" s="30">
        <f t="shared" si="204"/>
        <v>5317.3402500000002</v>
      </c>
      <c r="CR107" s="67">
        <f t="shared" si="205"/>
        <v>4021.6603</v>
      </c>
      <c r="CS107" s="67">
        <f t="shared" si="206"/>
        <v>10006.950000000001</v>
      </c>
      <c r="CT107" s="68">
        <f t="shared" si="207"/>
        <v>124227.626</v>
      </c>
      <c r="CU107" s="2"/>
      <c r="CV107" s="42" t="s">
        <v>559</v>
      </c>
      <c r="CW107" s="67">
        <f t="shared" si="179"/>
        <v>0</v>
      </c>
      <c r="CX107" s="67">
        <f t="shared" si="208"/>
        <v>0</v>
      </c>
      <c r="CY107" s="67">
        <f t="shared" si="209"/>
        <v>0</v>
      </c>
      <c r="CZ107" s="67">
        <f t="shared" si="210"/>
        <v>0</v>
      </c>
      <c r="DA107" s="30">
        <f t="shared" si="211"/>
        <v>0</v>
      </c>
      <c r="DB107" s="67">
        <f t="shared" si="212"/>
        <v>0</v>
      </c>
      <c r="DC107" s="67">
        <f t="shared" si="213"/>
        <v>0</v>
      </c>
      <c r="DD107" s="67">
        <f t="shared" si="214"/>
        <v>0</v>
      </c>
      <c r="DE107" s="30">
        <f t="shared" si="215"/>
        <v>0</v>
      </c>
      <c r="DF107" s="67">
        <f t="shared" si="216"/>
        <v>0</v>
      </c>
      <c r="DG107" s="67">
        <f t="shared" si="217"/>
        <v>0</v>
      </c>
      <c r="DH107" s="68">
        <f t="shared" si="218"/>
        <v>0</v>
      </c>
      <c r="DI107" s="2"/>
      <c r="DJ107" s="37" t="s">
        <v>558</v>
      </c>
      <c r="DK107" s="76" t="s">
        <v>559</v>
      </c>
      <c r="DL107" s="67">
        <f t="shared" si="180"/>
        <v>0</v>
      </c>
      <c r="DM107" s="67">
        <f t="shared" si="141"/>
        <v>125.1238</v>
      </c>
      <c r="DN107" s="67">
        <f t="shared" si="142"/>
        <v>0</v>
      </c>
      <c r="DO107" s="67">
        <f t="shared" si="143"/>
        <v>0</v>
      </c>
      <c r="DP107" s="30">
        <f t="shared" si="144"/>
        <v>0</v>
      </c>
      <c r="DQ107" s="67">
        <f t="shared" si="145"/>
        <v>0</v>
      </c>
      <c r="DR107" s="67">
        <f t="shared" si="146"/>
        <v>674.78240000000005</v>
      </c>
      <c r="DS107" s="67">
        <f t="shared" si="147"/>
        <v>2406.6460000000002</v>
      </c>
      <c r="DT107" s="30">
        <f t="shared" si="148"/>
        <v>2289.9839999999999</v>
      </c>
      <c r="DU107" s="67">
        <f t="shared" si="149"/>
        <v>295.4273</v>
      </c>
      <c r="DV107" s="67">
        <f t="shared" si="150"/>
        <v>3141.9679999999998</v>
      </c>
      <c r="DW107" s="68">
        <f t="shared" si="151"/>
        <v>4940.4390000000003</v>
      </c>
      <c r="DX107" s="2"/>
      <c r="DY107" s="81" t="s">
        <v>559</v>
      </c>
      <c r="DZ107" s="82"/>
      <c r="EA107" s="82"/>
      <c r="EB107" s="82"/>
      <c r="EC107" s="83"/>
      <c r="ED107" s="84">
        <v>1</v>
      </c>
      <c r="EE107" s="2"/>
      <c r="EF107" s="38" t="s">
        <v>559</v>
      </c>
      <c r="EG107" s="93" t="s">
        <v>559</v>
      </c>
      <c r="EH107" s="94"/>
      <c r="EI107" s="94"/>
      <c r="EJ107" s="94"/>
      <c r="EK107" s="94"/>
      <c r="EL107" s="94"/>
      <c r="EM107" s="94"/>
      <c r="EN107" s="94"/>
      <c r="EO107" s="94"/>
      <c r="EP107" s="94"/>
      <c r="EQ107" s="94"/>
      <c r="ER107" s="94"/>
      <c r="ES107" s="95"/>
      <c r="ET107" s="38" t="s">
        <v>559</v>
      </c>
      <c r="EU107" s="93" t="s">
        <v>559</v>
      </c>
      <c r="EV107" s="94"/>
      <c r="EW107" s="94"/>
      <c r="EX107" s="94"/>
      <c r="EY107" s="94"/>
      <c r="EZ107" s="94"/>
      <c r="FA107" s="94"/>
      <c r="FB107" s="94"/>
      <c r="FC107" s="94"/>
      <c r="FD107" s="94"/>
      <c r="FE107" s="94"/>
      <c r="FF107" s="94"/>
      <c r="FG107" s="95"/>
      <c r="FH107" s="38" t="s">
        <v>559</v>
      </c>
      <c r="FI107" s="93" t="s">
        <v>559</v>
      </c>
      <c r="FJ107" s="94"/>
      <c r="FK107" s="94"/>
      <c r="FL107" s="94"/>
      <c r="FM107" s="94"/>
      <c r="FN107" s="94"/>
      <c r="FO107" s="94"/>
      <c r="FP107" s="94"/>
      <c r="FQ107" s="94"/>
      <c r="FR107" s="94"/>
      <c r="FS107" s="94"/>
      <c r="FT107" s="94"/>
      <c r="FU107" s="95"/>
      <c r="FV107" s="38" t="s">
        <v>559</v>
      </c>
      <c r="FW107" s="93" t="s">
        <v>559</v>
      </c>
      <c r="FX107" s="94"/>
      <c r="FY107" s="94"/>
      <c r="FZ107" s="94"/>
      <c r="GA107" s="94"/>
      <c r="GB107" s="94"/>
      <c r="GC107" s="94"/>
      <c r="GD107" s="94"/>
      <c r="GE107" s="94"/>
      <c r="GF107" s="94"/>
      <c r="GG107" s="94"/>
      <c r="GH107" s="94"/>
      <c r="GI107" s="95"/>
      <c r="GJ107" s="38" t="s">
        <v>559</v>
      </c>
      <c r="GK107" s="93" t="s">
        <v>559</v>
      </c>
      <c r="GL107" s="94">
        <v>0</v>
      </c>
      <c r="GM107" s="94">
        <v>125.1238</v>
      </c>
      <c r="GN107" s="94"/>
      <c r="GO107" s="94"/>
      <c r="GP107" s="94">
        <v>0</v>
      </c>
      <c r="GQ107" s="94"/>
      <c r="GR107" s="94">
        <v>674.78240000000005</v>
      </c>
      <c r="GS107" s="94">
        <v>2406.6460000000002</v>
      </c>
      <c r="GT107" s="94">
        <v>2289.9839999999999</v>
      </c>
      <c r="GU107" s="94">
        <v>295.4273</v>
      </c>
      <c r="GV107" s="94">
        <v>3141.9679999999998</v>
      </c>
      <c r="GW107" s="95">
        <v>4940.4390000000003</v>
      </c>
      <c r="GX107" s="38"/>
    </row>
    <row r="108" spans="1:206" x14ac:dyDescent="0.35">
      <c r="A108" s="2"/>
      <c r="B108" s="2"/>
      <c r="C108" s="42" t="s">
        <v>514</v>
      </c>
      <c r="D108" s="43">
        <f t="shared" si="152"/>
        <v>3.4239280710781611E-2</v>
      </c>
      <c r="E108" s="43">
        <f t="shared" si="119"/>
        <v>4.421056412056755E-2</v>
      </c>
      <c r="F108" s="43">
        <f t="shared" si="120"/>
        <v>1.9771242955236242E-2</v>
      </c>
      <c r="G108" s="43">
        <f t="shared" si="121"/>
        <v>0.10618826226606007</v>
      </c>
      <c r="H108" s="43">
        <f t="shared" si="122"/>
        <v>3.9620919885644239E-3</v>
      </c>
      <c r="I108" s="43">
        <f t="shared" si="123"/>
        <v>3.8601295541483669E-3</v>
      </c>
      <c r="J108" s="43">
        <f t="shared" si="124"/>
        <v>1.0897773336207027E-2</v>
      </c>
      <c r="K108" s="43">
        <f t="shared" si="125"/>
        <v>0.15179528413590967</v>
      </c>
      <c r="L108" s="43">
        <f t="shared" si="126"/>
        <v>2.3150070570162974E-2</v>
      </c>
      <c r="M108" s="43">
        <f t="shared" si="127"/>
        <v>1.7509076977765867E-2</v>
      </c>
      <c r="N108" s="43">
        <f t="shared" si="128"/>
        <v>4.3567194838075744E-2</v>
      </c>
      <c r="O108" s="44">
        <f t="shared" si="129"/>
        <v>0.5408490285465205</v>
      </c>
      <c r="P108" s="115">
        <f t="shared" si="153"/>
        <v>1</v>
      </c>
      <c r="Q108" s="2"/>
      <c r="R108" s="42" t="s">
        <v>514</v>
      </c>
      <c r="S108" s="43">
        <f t="shared" si="154"/>
        <v>3.4239280710781611E-2</v>
      </c>
      <c r="T108" s="43">
        <f t="shared" si="155"/>
        <v>4.421056412056755E-2</v>
      </c>
      <c r="U108" s="43">
        <f t="shared" si="156"/>
        <v>1.9771242955236242E-2</v>
      </c>
      <c r="V108" s="43">
        <f t="shared" si="157"/>
        <v>0.10618826226606007</v>
      </c>
      <c r="W108" s="29">
        <f t="shared" si="158"/>
        <v>3.9620919885644239E-3</v>
      </c>
      <c r="X108" s="43">
        <f t="shared" si="159"/>
        <v>3.8601295541483669E-3</v>
      </c>
      <c r="Y108" s="43">
        <f t="shared" si="160"/>
        <v>1.0897773336207027E-2</v>
      </c>
      <c r="Z108" s="43">
        <f t="shared" si="161"/>
        <v>0.15179528413590967</v>
      </c>
      <c r="AA108" s="29">
        <f t="shared" si="162"/>
        <v>2.3150070570162974E-2</v>
      </c>
      <c r="AB108" s="43">
        <f t="shared" si="163"/>
        <v>1.7509076977765867E-2</v>
      </c>
      <c r="AC108" s="43">
        <f t="shared" si="164"/>
        <v>4.3567194838075744E-2</v>
      </c>
      <c r="AD108" s="43">
        <f t="shared" si="165"/>
        <v>0.5408490285465205</v>
      </c>
      <c r="AE108" s="32">
        <f t="shared" si="166"/>
        <v>6.1351443269509011E-2</v>
      </c>
      <c r="AF108" s="53">
        <f t="shared" si="167"/>
        <v>6.5579770652481786E-2</v>
      </c>
      <c r="AG108" s="53">
        <f t="shared" si="168"/>
        <v>7.4236211129519017E-2</v>
      </c>
      <c r="AH108" s="53">
        <f t="shared" si="169"/>
        <v>0.79883257494849025</v>
      </c>
      <c r="AI108" s="34">
        <f t="shared" si="170"/>
        <v>0.20440935005264546</v>
      </c>
      <c r="AJ108" s="35">
        <f t="shared" si="171"/>
        <v>0.17051527901482949</v>
      </c>
      <c r="AK108" s="34">
        <f t="shared" si="172"/>
        <v>0.20440935005264546</v>
      </c>
      <c r="AL108" s="35">
        <f t="shared" si="173"/>
        <v>0.17051527901482949</v>
      </c>
      <c r="AM108" s="35">
        <f t="shared" si="174"/>
        <v>0.62507537093252508</v>
      </c>
      <c r="AN108" s="36">
        <v>1</v>
      </c>
      <c r="AO108" s="54">
        <v>1</v>
      </c>
      <c r="AP108" s="2"/>
      <c r="AQ108" s="42" t="s">
        <v>514</v>
      </c>
      <c r="AR108" s="43">
        <f t="shared" si="175"/>
        <v>3.2258785144893998E-2</v>
      </c>
      <c r="AS108" s="43">
        <f t="shared" si="186"/>
        <v>4.1653301690150829E-2</v>
      </c>
      <c r="AT108" s="43">
        <f t="shared" si="187"/>
        <v>1.8627619076694836E-2</v>
      </c>
      <c r="AU108" s="43">
        <f t="shared" si="188"/>
        <v>0.10004603678113569</v>
      </c>
      <c r="AV108" s="29">
        <f t="shared" si="189"/>
        <v>3.9787596369075051E-3</v>
      </c>
      <c r="AW108" s="43">
        <f t="shared" si="190"/>
        <v>3.8763682689871388E-3</v>
      </c>
      <c r="AX108" s="43">
        <f t="shared" si="191"/>
        <v>1.0943617868392238E-2</v>
      </c>
      <c r="AY108" s="43">
        <f t="shared" si="192"/>
        <v>0.15243385346327962</v>
      </c>
      <c r="AZ108" s="29">
        <f t="shared" si="193"/>
        <v>2.3561399096211334E-2</v>
      </c>
      <c r="BA108" s="43">
        <f t="shared" si="194"/>
        <v>1.782017679942317E-2</v>
      </c>
      <c r="BB108" s="43">
        <f t="shared" si="195"/>
        <v>4.4341293127862565E-2</v>
      </c>
      <c r="BC108" s="44">
        <f t="shared" si="196"/>
        <v>0.55045878904606105</v>
      </c>
      <c r="BD108" s="2"/>
      <c r="BE108" s="42" t="s">
        <v>514</v>
      </c>
      <c r="BF108" s="62">
        <v>1</v>
      </c>
      <c r="BG108" s="62">
        <v>1</v>
      </c>
      <c r="BH108" s="62">
        <v>1</v>
      </c>
      <c r="BI108" s="62">
        <v>1</v>
      </c>
      <c r="BJ108" s="36">
        <v>1</v>
      </c>
      <c r="BK108" s="62">
        <v>1</v>
      </c>
      <c r="BL108" s="62">
        <v>1</v>
      </c>
      <c r="BM108" s="62">
        <v>1</v>
      </c>
      <c r="BN108" s="36">
        <v>1</v>
      </c>
      <c r="BO108" s="62">
        <v>1</v>
      </c>
      <c r="BP108" s="62">
        <v>1</v>
      </c>
      <c r="BQ108" s="54">
        <v>1</v>
      </c>
      <c r="BR108" s="2"/>
      <c r="BS108" s="42" t="s">
        <v>514</v>
      </c>
      <c r="BT108" s="67">
        <f t="shared" si="176"/>
        <v>7280.1677</v>
      </c>
      <c r="BU108" s="67">
        <f t="shared" si="130"/>
        <v>9400.3236700000016</v>
      </c>
      <c r="BV108" s="67">
        <f t="shared" si="131"/>
        <v>4203.884</v>
      </c>
      <c r="BW108" s="67">
        <f t="shared" si="132"/>
        <v>22578.405300000002</v>
      </c>
      <c r="BX108" s="30">
        <f t="shared" si="133"/>
        <v>897.9271</v>
      </c>
      <c r="BY108" s="67">
        <f t="shared" si="134"/>
        <v>874.81939999999997</v>
      </c>
      <c r="BZ108" s="67">
        <f t="shared" si="135"/>
        <v>2469.7574</v>
      </c>
      <c r="CA108" s="67">
        <f t="shared" si="136"/>
        <v>34401.296000000002</v>
      </c>
      <c r="CB108" s="30">
        <f t="shared" si="137"/>
        <v>5317.3402500000002</v>
      </c>
      <c r="CC108" s="67">
        <f t="shared" si="138"/>
        <v>4021.6603</v>
      </c>
      <c r="CD108" s="67">
        <f t="shared" si="139"/>
        <v>10006.950000000001</v>
      </c>
      <c r="CE108" s="68">
        <f t="shared" si="140"/>
        <v>124227.626</v>
      </c>
      <c r="CF108" s="2"/>
      <c r="CG108" s="37" t="str">
        <f t="shared" si="177"/>
        <v>acult</v>
      </c>
      <c r="CH108" s="42" t="s">
        <v>514</v>
      </c>
      <c r="CI108" s="67">
        <f t="shared" si="178"/>
        <v>7280.1677</v>
      </c>
      <c r="CJ108" s="67">
        <f t="shared" si="197"/>
        <v>9400.3236700000016</v>
      </c>
      <c r="CK108" s="67">
        <f t="shared" si="198"/>
        <v>4203.884</v>
      </c>
      <c r="CL108" s="67">
        <f t="shared" si="199"/>
        <v>22578.405300000002</v>
      </c>
      <c r="CM108" s="30">
        <f t="shared" si="200"/>
        <v>897.9271</v>
      </c>
      <c r="CN108" s="67">
        <f t="shared" si="201"/>
        <v>874.81939999999997</v>
      </c>
      <c r="CO108" s="67">
        <f t="shared" si="202"/>
        <v>2469.7574</v>
      </c>
      <c r="CP108" s="67">
        <f t="shared" si="203"/>
        <v>34401.296000000002</v>
      </c>
      <c r="CQ108" s="30">
        <f t="shared" si="204"/>
        <v>5317.3402500000002</v>
      </c>
      <c r="CR108" s="67">
        <f t="shared" si="205"/>
        <v>4021.6603</v>
      </c>
      <c r="CS108" s="67">
        <f t="shared" si="206"/>
        <v>10006.950000000001</v>
      </c>
      <c r="CT108" s="68">
        <f t="shared" si="207"/>
        <v>124227.626</v>
      </c>
      <c r="CU108" s="2"/>
      <c r="CV108" s="42" t="s">
        <v>514</v>
      </c>
      <c r="CW108" s="67">
        <f t="shared" si="179"/>
        <v>0</v>
      </c>
      <c r="CX108" s="67">
        <f t="shared" si="208"/>
        <v>0</v>
      </c>
      <c r="CY108" s="67">
        <f t="shared" si="209"/>
        <v>0</v>
      </c>
      <c r="CZ108" s="67">
        <f t="shared" si="210"/>
        <v>0</v>
      </c>
      <c r="DA108" s="30">
        <f t="shared" si="211"/>
        <v>0</v>
      </c>
      <c r="DB108" s="67">
        <f t="shared" si="212"/>
        <v>0</v>
      </c>
      <c r="DC108" s="67">
        <f t="shared" si="213"/>
        <v>0</v>
      </c>
      <c r="DD108" s="67">
        <f t="shared" si="214"/>
        <v>0</v>
      </c>
      <c r="DE108" s="30">
        <f t="shared" si="215"/>
        <v>0</v>
      </c>
      <c r="DF108" s="67">
        <f t="shared" si="216"/>
        <v>0</v>
      </c>
      <c r="DG108" s="67">
        <f t="shared" si="217"/>
        <v>0</v>
      </c>
      <c r="DH108" s="68">
        <f t="shared" si="218"/>
        <v>0</v>
      </c>
      <c r="DI108" s="2"/>
      <c r="DJ108" s="37" t="s">
        <v>558</v>
      </c>
      <c r="DK108" s="76" t="s">
        <v>514</v>
      </c>
      <c r="DL108" s="67">
        <f t="shared" si="180"/>
        <v>6403.652</v>
      </c>
      <c r="DM108" s="67">
        <f t="shared" si="141"/>
        <v>9258.2990000000009</v>
      </c>
      <c r="DN108" s="67">
        <f t="shared" si="142"/>
        <v>4203.884</v>
      </c>
      <c r="DO108" s="67">
        <f t="shared" si="143"/>
        <v>22484.61</v>
      </c>
      <c r="DP108" s="30">
        <f t="shared" si="144"/>
        <v>897.9271</v>
      </c>
      <c r="DQ108" s="67">
        <f t="shared" si="145"/>
        <v>874.81939999999997</v>
      </c>
      <c r="DR108" s="67">
        <f t="shared" si="146"/>
        <v>1560.723</v>
      </c>
      <c r="DS108" s="67">
        <f t="shared" si="147"/>
        <v>31994.65</v>
      </c>
      <c r="DT108" s="30">
        <f t="shared" si="148"/>
        <v>3016.873</v>
      </c>
      <c r="DU108" s="67">
        <f t="shared" si="149"/>
        <v>3726.2330000000002</v>
      </c>
      <c r="DV108" s="67">
        <f t="shared" si="150"/>
        <v>5681.71</v>
      </c>
      <c r="DW108" s="68">
        <f t="shared" si="151"/>
        <v>117081.1</v>
      </c>
      <c r="DX108" s="2"/>
      <c r="DY108" s="81" t="s">
        <v>514</v>
      </c>
      <c r="DZ108" s="82"/>
      <c r="EA108" s="82"/>
      <c r="EB108" s="82"/>
      <c r="EC108" s="83"/>
      <c r="ED108" s="84">
        <v>1</v>
      </c>
      <c r="EE108" s="2"/>
      <c r="EF108" s="38" t="s">
        <v>514</v>
      </c>
      <c r="EG108" s="93" t="s">
        <v>514</v>
      </c>
      <c r="EH108" s="94">
        <v>2102.7759999999998</v>
      </c>
      <c r="EI108" s="94">
        <v>5457.87</v>
      </c>
      <c r="EJ108" s="94">
        <v>1712.8240000000001</v>
      </c>
      <c r="EK108" s="94">
        <v>4735.62</v>
      </c>
      <c r="EL108" s="94">
        <v>424.42259999999999</v>
      </c>
      <c r="EM108" s="94">
        <v>909.64919999999995</v>
      </c>
      <c r="EN108" s="94">
        <v>1875.8589999999999</v>
      </c>
      <c r="EO108" s="94">
        <v>7333.2560000000003</v>
      </c>
      <c r="EP108" s="94">
        <v>6110.9560000000001</v>
      </c>
      <c r="EQ108" s="94">
        <v>9630.7180000000008</v>
      </c>
      <c r="ER108" s="94">
        <v>2819.39</v>
      </c>
      <c r="ES108" s="95">
        <v>57388.59</v>
      </c>
      <c r="ET108" s="38" t="s">
        <v>514</v>
      </c>
      <c r="EU108" s="93" t="s">
        <v>514</v>
      </c>
      <c r="EV108" s="94">
        <v>15571.79</v>
      </c>
      <c r="EW108" s="94">
        <v>11890.67</v>
      </c>
      <c r="EX108" s="94">
        <v>3715.6010000000001</v>
      </c>
      <c r="EY108" s="94">
        <v>472.37259999999998</v>
      </c>
      <c r="EZ108" s="94">
        <v>17224.39</v>
      </c>
      <c r="FA108" s="94">
        <v>15074.05</v>
      </c>
      <c r="FB108" s="94">
        <v>5287.0749999999998</v>
      </c>
      <c r="FC108" s="94">
        <v>2637.2710000000002</v>
      </c>
      <c r="FD108" s="94">
        <v>21057.37</v>
      </c>
      <c r="FE108" s="94">
        <v>20304.37</v>
      </c>
      <c r="FF108" s="94">
        <v>5729.3879999999999</v>
      </c>
      <c r="FG108" s="95">
        <v>13354.91</v>
      </c>
      <c r="FH108" s="38" t="s">
        <v>514</v>
      </c>
      <c r="FI108" s="93" t="s">
        <v>514</v>
      </c>
      <c r="FJ108" s="94"/>
      <c r="FK108" s="94"/>
      <c r="FL108" s="94"/>
      <c r="FM108" s="94"/>
      <c r="FN108" s="94"/>
      <c r="FO108" s="94"/>
      <c r="FP108" s="94"/>
      <c r="FQ108" s="94"/>
      <c r="FR108" s="94"/>
      <c r="FS108" s="94"/>
      <c r="FT108" s="94"/>
      <c r="FU108" s="95"/>
      <c r="FV108" s="38" t="s">
        <v>514</v>
      </c>
      <c r="FW108" s="93" t="s">
        <v>514</v>
      </c>
      <c r="FX108" s="94"/>
      <c r="FY108" s="94"/>
      <c r="FZ108" s="94"/>
      <c r="GA108" s="94"/>
      <c r="GB108" s="94"/>
      <c r="GC108" s="94"/>
      <c r="GD108" s="94"/>
      <c r="GE108" s="94"/>
      <c r="GF108" s="94"/>
      <c r="GG108" s="94"/>
      <c r="GH108" s="94"/>
      <c r="GI108" s="95"/>
      <c r="GJ108" s="38" t="s">
        <v>514</v>
      </c>
      <c r="GK108" s="93" t="s">
        <v>514</v>
      </c>
      <c r="GL108" s="94">
        <v>6403.652</v>
      </c>
      <c r="GM108" s="94">
        <v>9258.2990000000009</v>
      </c>
      <c r="GN108" s="94">
        <v>4203.884</v>
      </c>
      <c r="GO108" s="94">
        <v>22484.61</v>
      </c>
      <c r="GP108" s="94">
        <v>897.9271</v>
      </c>
      <c r="GQ108" s="94">
        <v>874.81939999999997</v>
      </c>
      <c r="GR108" s="94">
        <v>1560.723</v>
      </c>
      <c r="GS108" s="94">
        <v>31994.65</v>
      </c>
      <c r="GT108" s="94">
        <v>3016.873</v>
      </c>
      <c r="GU108" s="94">
        <v>3726.2330000000002</v>
      </c>
      <c r="GV108" s="94">
        <v>5681.71</v>
      </c>
      <c r="GW108" s="95">
        <v>117081.1</v>
      </c>
      <c r="GX108" s="38"/>
    </row>
    <row r="109" spans="1:206" x14ac:dyDescent="0.35">
      <c r="A109" s="2"/>
      <c r="B109" s="2"/>
      <c r="C109" s="42" t="s">
        <v>560</v>
      </c>
      <c r="D109" s="43">
        <f t="shared" si="152"/>
        <v>0.10630652467691311</v>
      </c>
      <c r="E109" s="43">
        <f t="shared" si="119"/>
        <v>0.14466145793007387</v>
      </c>
      <c r="F109" s="43">
        <f t="shared" si="120"/>
        <v>6.2456115679487886E-3</v>
      </c>
      <c r="G109" s="43">
        <f t="shared" si="121"/>
        <v>2.5009732906445415E-3</v>
      </c>
      <c r="H109" s="43">
        <f t="shared" si="122"/>
        <v>4.9969384343448109E-2</v>
      </c>
      <c r="I109" s="43">
        <f t="shared" si="123"/>
        <v>6.6139433542331358E-2</v>
      </c>
      <c r="J109" s="43">
        <f t="shared" si="124"/>
        <v>1.5509985506693509E-2</v>
      </c>
      <c r="K109" s="43">
        <f t="shared" si="125"/>
        <v>0</v>
      </c>
      <c r="L109" s="43">
        <f t="shared" si="126"/>
        <v>0.20868293437543062</v>
      </c>
      <c r="M109" s="43">
        <f t="shared" si="127"/>
        <v>0.31996717090411964</v>
      </c>
      <c r="N109" s="43">
        <f t="shared" si="128"/>
        <v>6.9137625988544796E-2</v>
      </c>
      <c r="O109" s="44">
        <f t="shared" si="129"/>
        <v>1.0878897873851769E-2</v>
      </c>
      <c r="P109" s="115">
        <f t="shared" si="153"/>
        <v>1.0000000000000002</v>
      </c>
      <c r="Q109" s="2"/>
      <c r="R109" s="42" t="s">
        <v>560</v>
      </c>
      <c r="S109" s="43">
        <f t="shared" si="154"/>
        <v>0.10630652467691309</v>
      </c>
      <c r="T109" s="43">
        <f t="shared" si="155"/>
        <v>0.14466145793007384</v>
      </c>
      <c r="U109" s="43">
        <f t="shared" si="156"/>
        <v>6.2456115679487877E-3</v>
      </c>
      <c r="V109" s="43">
        <f t="shared" si="157"/>
        <v>2.5009732906445411E-3</v>
      </c>
      <c r="W109" s="29">
        <f t="shared" si="158"/>
        <v>4.9969384343448102E-2</v>
      </c>
      <c r="X109" s="43">
        <f t="shared" si="159"/>
        <v>6.6139433542331344E-2</v>
      </c>
      <c r="Y109" s="43">
        <f t="shared" si="160"/>
        <v>1.5509985506693507E-2</v>
      </c>
      <c r="Z109" s="43">
        <f t="shared" si="161"/>
        <v>0</v>
      </c>
      <c r="AA109" s="29">
        <f t="shared" si="162"/>
        <v>0.20868293437543059</v>
      </c>
      <c r="AB109" s="43">
        <f t="shared" si="163"/>
        <v>0.31996717090411958</v>
      </c>
      <c r="AC109" s="43">
        <f t="shared" si="164"/>
        <v>6.9137625988544782E-2</v>
      </c>
      <c r="AD109" s="43">
        <f t="shared" si="165"/>
        <v>1.0878897873851767E-2</v>
      </c>
      <c r="AE109" s="32">
        <f t="shared" si="166"/>
        <v>0.36495884339579177</v>
      </c>
      <c r="AF109" s="53">
        <f t="shared" si="167"/>
        <v>0.53076806237652474</v>
      </c>
      <c r="AG109" s="53">
        <f t="shared" si="168"/>
        <v>9.0893223063187076E-2</v>
      </c>
      <c r="AH109" s="53">
        <f t="shared" si="169"/>
        <v>1.3379871164496309E-2</v>
      </c>
      <c r="AI109" s="34">
        <f t="shared" si="170"/>
        <v>0.25971456746558025</v>
      </c>
      <c r="AJ109" s="35">
        <f t="shared" si="171"/>
        <v>0.13161880339247298</v>
      </c>
      <c r="AK109" s="34">
        <f t="shared" ref="AK109" si="223">AI109</f>
        <v>0.25971456746558025</v>
      </c>
      <c r="AL109" s="35">
        <f t="shared" ref="AL109" si="224">AJ109</f>
        <v>0.13161880339247298</v>
      </c>
      <c r="AM109" s="35">
        <f t="shared" ref="AM109:AM110" si="225">1-SUM(AK109:AL109)</f>
        <v>0.6086666291419468</v>
      </c>
      <c r="AN109" s="36">
        <v>1</v>
      </c>
      <c r="AO109" s="54">
        <v>1</v>
      </c>
      <c r="AP109" s="2"/>
      <c r="AQ109" s="42" t="s">
        <v>560</v>
      </c>
      <c r="AR109" s="43">
        <f t="shared" si="175"/>
        <v>0.10630652467691309</v>
      </c>
      <c r="AS109" s="43">
        <f t="shared" si="186"/>
        <v>0.14466145793007384</v>
      </c>
      <c r="AT109" s="43">
        <f t="shared" si="187"/>
        <v>6.2456115679487877E-3</v>
      </c>
      <c r="AU109" s="43">
        <f t="shared" si="188"/>
        <v>2.5009732906445411E-3</v>
      </c>
      <c r="AV109" s="29">
        <f t="shared" si="189"/>
        <v>4.9969384343448116E-2</v>
      </c>
      <c r="AW109" s="43">
        <f t="shared" si="190"/>
        <v>6.6139433542331358E-2</v>
      </c>
      <c r="AX109" s="43">
        <f t="shared" si="191"/>
        <v>1.5509985506693511E-2</v>
      </c>
      <c r="AY109" s="43">
        <f t="shared" si="192"/>
        <v>0</v>
      </c>
      <c r="AZ109" s="29">
        <f t="shared" si="193"/>
        <v>0.20868293437543062</v>
      </c>
      <c r="BA109" s="43">
        <f t="shared" si="194"/>
        <v>0.31996717090411964</v>
      </c>
      <c r="BB109" s="43">
        <f t="shared" si="195"/>
        <v>6.9137625988544796E-2</v>
      </c>
      <c r="BC109" s="44">
        <f t="shared" si="196"/>
        <v>1.0878897873851771E-2</v>
      </c>
      <c r="BD109" s="2"/>
      <c r="BE109" s="42" t="s">
        <v>560</v>
      </c>
      <c r="BF109" s="62">
        <v>1</v>
      </c>
      <c r="BG109" s="62">
        <v>1</v>
      </c>
      <c r="BH109" s="62">
        <v>1</v>
      </c>
      <c r="BI109" s="62">
        <v>1</v>
      </c>
      <c r="BJ109" s="36">
        <v>1</v>
      </c>
      <c r="BK109" s="62">
        <v>1</v>
      </c>
      <c r="BL109" s="62">
        <v>1</v>
      </c>
      <c r="BM109" s="62">
        <v>1</v>
      </c>
      <c r="BN109" s="36">
        <v>1</v>
      </c>
      <c r="BO109" s="62">
        <v>1</v>
      </c>
      <c r="BP109" s="62">
        <v>1</v>
      </c>
      <c r="BQ109" s="54">
        <v>1</v>
      </c>
      <c r="BR109" s="2"/>
      <c r="BS109" s="42" t="s">
        <v>560</v>
      </c>
      <c r="BT109" s="67">
        <f t="shared" si="176"/>
        <v>10129.39</v>
      </c>
      <c r="BU109" s="67">
        <f t="shared" si="130"/>
        <v>13784.03</v>
      </c>
      <c r="BV109" s="67">
        <f t="shared" si="131"/>
        <v>595.11149999999998</v>
      </c>
      <c r="BW109" s="67">
        <f t="shared" si="132"/>
        <v>238.30459999999999</v>
      </c>
      <c r="BX109" s="30">
        <f t="shared" si="133"/>
        <v>4761.32</v>
      </c>
      <c r="BY109" s="67">
        <f t="shared" si="134"/>
        <v>6302.0789999999997</v>
      </c>
      <c r="BZ109" s="67">
        <f t="shared" si="135"/>
        <v>1477.865</v>
      </c>
      <c r="CA109" s="67">
        <f t="shared" si="136"/>
        <v>0</v>
      </c>
      <c r="CB109" s="30">
        <f t="shared" si="137"/>
        <v>19884.3</v>
      </c>
      <c r="CC109" s="67">
        <f t="shared" si="138"/>
        <v>30487.99</v>
      </c>
      <c r="CD109" s="67">
        <f t="shared" si="139"/>
        <v>6587.7610000000004</v>
      </c>
      <c r="CE109" s="68">
        <f t="shared" si="140"/>
        <v>1036.5930000000001</v>
      </c>
      <c r="CF109" s="2"/>
      <c r="CG109" s="37" t="str">
        <f t="shared" si="177"/>
        <v>adsrv</v>
      </c>
      <c r="CH109" s="42" t="s">
        <v>560</v>
      </c>
      <c r="CI109" s="67">
        <f t="shared" si="178"/>
        <v>10129.39</v>
      </c>
      <c r="CJ109" s="67">
        <f t="shared" si="197"/>
        <v>13784.03</v>
      </c>
      <c r="CK109" s="67">
        <f t="shared" si="198"/>
        <v>595.11149999999998</v>
      </c>
      <c r="CL109" s="67">
        <f t="shared" si="199"/>
        <v>238.30459999999999</v>
      </c>
      <c r="CM109" s="30">
        <f t="shared" si="200"/>
        <v>4761.32</v>
      </c>
      <c r="CN109" s="67">
        <f t="shared" si="201"/>
        <v>6302.0789999999997</v>
      </c>
      <c r="CO109" s="67">
        <f t="shared" si="202"/>
        <v>1477.865</v>
      </c>
      <c r="CP109" s="67">
        <f t="shared" si="203"/>
        <v>0</v>
      </c>
      <c r="CQ109" s="30">
        <f t="shared" si="204"/>
        <v>19884.3</v>
      </c>
      <c r="CR109" s="67">
        <f t="shared" si="205"/>
        <v>30487.99</v>
      </c>
      <c r="CS109" s="67">
        <f t="shared" si="206"/>
        <v>6587.7610000000004</v>
      </c>
      <c r="CT109" s="68">
        <f t="shared" si="207"/>
        <v>1036.5930000000001</v>
      </c>
      <c r="CU109" s="2"/>
      <c r="CV109" s="42" t="s">
        <v>560</v>
      </c>
      <c r="CW109" s="67">
        <f t="shared" si="179"/>
        <v>10129.39</v>
      </c>
      <c r="CX109" s="67">
        <f t="shared" si="208"/>
        <v>13784.03</v>
      </c>
      <c r="CY109" s="67">
        <f t="shared" si="209"/>
        <v>595.11149999999998</v>
      </c>
      <c r="CZ109" s="67">
        <f t="shared" si="210"/>
        <v>238.30459999999999</v>
      </c>
      <c r="DA109" s="30">
        <f t="shared" si="211"/>
        <v>4761.32</v>
      </c>
      <c r="DB109" s="67">
        <f t="shared" si="212"/>
        <v>6302.0789999999997</v>
      </c>
      <c r="DC109" s="67">
        <f t="shared" si="213"/>
        <v>1477.865</v>
      </c>
      <c r="DD109" s="67">
        <f t="shared" si="214"/>
        <v>0</v>
      </c>
      <c r="DE109" s="30">
        <f t="shared" si="215"/>
        <v>19884.3</v>
      </c>
      <c r="DF109" s="67">
        <f t="shared" si="216"/>
        <v>30487.99</v>
      </c>
      <c r="DG109" s="67">
        <f t="shared" si="217"/>
        <v>6587.7610000000004</v>
      </c>
      <c r="DH109" s="68">
        <f t="shared" si="218"/>
        <v>1036.5930000000001</v>
      </c>
      <c r="DI109" s="2"/>
      <c r="DJ109" s="37" t="s">
        <v>560</v>
      </c>
      <c r="DK109" s="76" t="s">
        <v>560</v>
      </c>
      <c r="DL109" s="67">
        <f t="shared" si="180"/>
        <v>10129.39</v>
      </c>
      <c r="DM109" s="67">
        <f t="shared" si="141"/>
        <v>13784.03</v>
      </c>
      <c r="DN109" s="67">
        <f t="shared" si="142"/>
        <v>595.11149999999998</v>
      </c>
      <c r="DO109" s="67">
        <f t="shared" si="143"/>
        <v>238.30459999999999</v>
      </c>
      <c r="DP109" s="30">
        <f t="shared" si="144"/>
        <v>4761.32</v>
      </c>
      <c r="DQ109" s="67">
        <f t="shared" si="145"/>
        <v>6302.0789999999997</v>
      </c>
      <c r="DR109" s="67">
        <f t="shared" si="146"/>
        <v>1477.865</v>
      </c>
      <c r="DS109" s="67">
        <f t="shared" si="147"/>
        <v>0</v>
      </c>
      <c r="DT109" s="30">
        <f t="shared" si="148"/>
        <v>19884.3</v>
      </c>
      <c r="DU109" s="67">
        <f t="shared" si="149"/>
        <v>30487.99</v>
      </c>
      <c r="DV109" s="67">
        <f t="shared" si="150"/>
        <v>6587.7610000000004</v>
      </c>
      <c r="DW109" s="68">
        <f t="shared" si="151"/>
        <v>1036.5930000000001</v>
      </c>
      <c r="DX109" s="2"/>
      <c r="DY109" s="81" t="s">
        <v>560</v>
      </c>
      <c r="DZ109" s="82"/>
      <c r="EA109" s="82"/>
      <c r="EB109" s="82"/>
      <c r="EC109" s="83"/>
      <c r="ED109" s="84">
        <v>1</v>
      </c>
      <c r="EE109" s="2"/>
      <c r="EF109" s="38" t="s">
        <v>560</v>
      </c>
      <c r="EG109" s="93" t="s">
        <v>560</v>
      </c>
      <c r="EH109" s="94">
        <v>26544.05</v>
      </c>
      <c r="EI109" s="94">
        <v>17646.93</v>
      </c>
      <c r="EJ109" s="94">
        <v>815.40020000000004</v>
      </c>
      <c r="EK109" s="94">
        <v>61.031399999999998</v>
      </c>
      <c r="EL109" s="94">
        <v>7339.1909999999998</v>
      </c>
      <c r="EM109" s="94">
        <v>6845.0940000000001</v>
      </c>
      <c r="EN109" s="94">
        <v>1781.856</v>
      </c>
      <c r="EO109" s="94"/>
      <c r="EP109" s="94">
        <v>28748.62</v>
      </c>
      <c r="EQ109" s="94">
        <v>47039.98</v>
      </c>
      <c r="ER109" s="94">
        <v>5558.4120000000003</v>
      </c>
      <c r="ES109" s="95">
        <v>2335.0839999999998</v>
      </c>
      <c r="ET109" s="38" t="s">
        <v>560</v>
      </c>
      <c r="EU109" s="93" t="s">
        <v>560</v>
      </c>
      <c r="EV109" s="94"/>
      <c r="EW109" s="94"/>
      <c r="EX109" s="94"/>
      <c r="EY109" s="94"/>
      <c r="EZ109" s="94"/>
      <c r="FA109" s="94"/>
      <c r="FB109" s="94"/>
      <c r="FC109" s="94"/>
      <c r="FD109" s="94"/>
      <c r="FE109" s="94"/>
      <c r="FF109" s="94"/>
      <c r="FG109" s="95"/>
      <c r="FH109" s="38" t="s">
        <v>560</v>
      </c>
      <c r="FI109" s="93" t="s">
        <v>560</v>
      </c>
      <c r="FJ109" s="94"/>
      <c r="FK109" s="94"/>
      <c r="FL109" s="94"/>
      <c r="FM109" s="94"/>
      <c r="FN109" s="94"/>
      <c r="FO109" s="94"/>
      <c r="FP109" s="94"/>
      <c r="FQ109" s="94"/>
      <c r="FR109" s="94"/>
      <c r="FS109" s="94"/>
      <c r="FT109" s="94"/>
      <c r="FU109" s="95"/>
      <c r="FV109" s="38" t="s">
        <v>560</v>
      </c>
      <c r="FW109" s="93" t="s">
        <v>560</v>
      </c>
      <c r="FX109" s="94"/>
      <c r="FY109" s="94"/>
      <c r="FZ109" s="94"/>
      <c r="GA109" s="94"/>
      <c r="GB109" s="94"/>
      <c r="GC109" s="94"/>
      <c r="GD109" s="94"/>
      <c r="GE109" s="94"/>
      <c r="GF109" s="94"/>
      <c r="GG109" s="94"/>
      <c r="GH109" s="94"/>
      <c r="GI109" s="95"/>
      <c r="GJ109" s="38" t="s">
        <v>560</v>
      </c>
      <c r="GK109" s="93" t="s">
        <v>560</v>
      </c>
      <c r="GL109" s="94">
        <v>10129.39</v>
      </c>
      <c r="GM109" s="94">
        <v>13784.03</v>
      </c>
      <c r="GN109" s="94">
        <v>595.11149999999998</v>
      </c>
      <c r="GO109" s="94">
        <v>238.30459999999999</v>
      </c>
      <c r="GP109" s="94">
        <v>4761.32</v>
      </c>
      <c r="GQ109" s="94">
        <v>6302.0789999999997</v>
      </c>
      <c r="GR109" s="94">
        <v>1477.865</v>
      </c>
      <c r="GS109" s="94"/>
      <c r="GT109" s="94">
        <v>19884.3</v>
      </c>
      <c r="GU109" s="94">
        <v>30487.99</v>
      </c>
      <c r="GV109" s="94">
        <v>6587.7610000000004</v>
      </c>
      <c r="GW109" s="95">
        <v>1036.5930000000001</v>
      </c>
      <c r="GX109" s="38"/>
    </row>
    <row r="110" spans="1:206" x14ac:dyDescent="0.35">
      <c r="A110" s="2"/>
      <c r="B110" s="2"/>
      <c r="C110" s="45" t="s">
        <v>561</v>
      </c>
      <c r="D110" s="46">
        <f t="shared" si="152"/>
        <v>0</v>
      </c>
      <c r="E110" s="46">
        <f t="shared" si="119"/>
        <v>0</v>
      </c>
      <c r="F110" s="46">
        <f t="shared" si="120"/>
        <v>0</v>
      </c>
      <c r="G110" s="46">
        <f t="shared" si="121"/>
        <v>0</v>
      </c>
      <c r="H110" s="46">
        <f t="shared" si="122"/>
        <v>0</v>
      </c>
      <c r="I110" s="46">
        <f t="shared" si="123"/>
        <v>0</v>
      </c>
      <c r="J110" s="46">
        <f t="shared" si="124"/>
        <v>0</v>
      </c>
      <c r="K110" s="46">
        <f t="shared" si="125"/>
        <v>0</v>
      </c>
      <c r="L110" s="46">
        <f t="shared" si="126"/>
        <v>0</v>
      </c>
      <c r="M110" s="46">
        <f t="shared" si="127"/>
        <v>0</v>
      </c>
      <c r="N110" s="46">
        <f t="shared" si="128"/>
        <v>0</v>
      </c>
      <c r="O110" s="47">
        <f t="shared" si="129"/>
        <v>0</v>
      </c>
      <c r="P110" s="115">
        <f t="shared" si="153"/>
        <v>0</v>
      </c>
      <c r="Q110" s="2"/>
      <c r="R110" s="45" t="s">
        <v>561</v>
      </c>
      <c r="S110" s="46">
        <f t="shared" si="154"/>
        <v>0</v>
      </c>
      <c r="T110" s="46">
        <f t="shared" si="155"/>
        <v>0</v>
      </c>
      <c r="U110" s="46">
        <f t="shared" si="156"/>
        <v>0</v>
      </c>
      <c r="V110" s="46">
        <f t="shared" si="157"/>
        <v>0</v>
      </c>
      <c r="W110" s="49">
        <f t="shared" si="158"/>
        <v>0</v>
      </c>
      <c r="X110" s="46">
        <f t="shared" si="159"/>
        <v>0</v>
      </c>
      <c r="Y110" s="46">
        <f t="shared" si="160"/>
        <v>0</v>
      </c>
      <c r="Z110" s="46">
        <f t="shared" si="161"/>
        <v>0</v>
      </c>
      <c r="AA110" s="49">
        <f t="shared" si="162"/>
        <v>0</v>
      </c>
      <c r="AB110" s="46">
        <f t="shared" si="163"/>
        <v>0</v>
      </c>
      <c r="AC110" s="46">
        <f t="shared" si="164"/>
        <v>0</v>
      </c>
      <c r="AD110" s="46">
        <f t="shared" si="165"/>
        <v>0</v>
      </c>
      <c r="AE110" s="55">
        <f t="shared" si="166"/>
        <v>0</v>
      </c>
      <c r="AF110" s="56">
        <f t="shared" si="167"/>
        <v>0</v>
      </c>
      <c r="AG110" s="56">
        <f t="shared" si="168"/>
        <v>0</v>
      </c>
      <c r="AH110" s="56">
        <f t="shared" si="169"/>
        <v>0</v>
      </c>
      <c r="AI110" s="57">
        <f t="shared" si="170"/>
        <v>0</v>
      </c>
      <c r="AJ110" s="58">
        <f t="shared" si="171"/>
        <v>0</v>
      </c>
      <c r="AK110" s="59"/>
      <c r="AL110" s="58">
        <f t="shared" ref="AL110" si="226">AI110</f>
        <v>0</v>
      </c>
      <c r="AM110" s="58">
        <f t="shared" si="225"/>
        <v>1</v>
      </c>
      <c r="AN110" s="60">
        <v>1</v>
      </c>
      <c r="AO110" s="61">
        <v>1</v>
      </c>
      <c r="AP110" s="2"/>
      <c r="AQ110" s="45" t="s">
        <v>561</v>
      </c>
      <c r="AR110" s="46">
        <f t="shared" si="175"/>
        <v>0</v>
      </c>
      <c r="AS110" s="46">
        <f t="shared" si="186"/>
        <v>0</v>
      </c>
      <c r="AT110" s="46">
        <f t="shared" si="187"/>
        <v>0</v>
      </c>
      <c r="AU110" s="46">
        <f t="shared" si="188"/>
        <v>0</v>
      </c>
      <c r="AV110" s="49">
        <f t="shared" si="189"/>
        <v>0</v>
      </c>
      <c r="AW110" s="46">
        <f t="shared" si="190"/>
        <v>0</v>
      </c>
      <c r="AX110" s="46">
        <f t="shared" si="191"/>
        <v>0</v>
      </c>
      <c r="AY110" s="46">
        <f t="shared" si="192"/>
        <v>0</v>
      </c>
      <c r="AZ110" s="49">
        <f t="shared" si="193"/>
        <v>0</v>
      </c>
      <c r="BA110" s="46">
        <f t="shared" si="194"/>
        <v>0</v>
      </c>
      <c r="BB110" s="46">
        <f t="shared" si="195"/>
        <v>0</v>
      </c>
      <c r="BC110" s="47">
        <f t="shared" si="196"/>
        <v>0</v>
      </c>
      <c r="BD110" s="2"/>
      <c r="BE110" s="45" t="s">
        <v>561</v>
      </c>
      <c r="BF110" s="63">
        <v>1</v>
      </c>
      <c r="BG110" s="63">
        <v>1</v>
      </c>
      <c r="BH110" s="63">
        <v>1</v>
      </c>
      <c r="BI110" s="63">
        <v>1</v>
      </c>
      <c r="BJ110" s="60">
        <v>1</v>
      </c>
      <c r="BK110" s="63">
        <v>1</v>
      </c>
      <c r="BL110" s="63">
        <v>1</v>
      </c>
      <c r="BM110" s="63">
        <v>1</v>
      </c>
      <c r="BN110" s="60">
        <v>1</v>
      </c>
      <c r="BO110" s="63">
        <v>1</v>
      </c>
      <c r="BP110" s="63">
        <v>1</v>
      </c>
      <c r="BQ110" s="61">
        <v>1</v>
      </c>
      <c r="BR110" s="2"/>
      <c r="BS110" s="45" t="s">
        <v>561</v>
      </c>
      <c r="BT110" s="69">
        <f t="shared" si="176"/>
        <v>0</v>
      </c>
      <c r="BU110" s="69">
        <f t="shared" si="130"/>
        <v>0</v>
      </c>
      <c r="BV110" s="69">
        <f t="shared" si="131"/>
        <v>0</v>
      </c>
      <c r="BW110" s="69">
        <f t="shared" si="132"/>
        <v>0</v>
      </c>
      <c r="BX110" s="70">
        <f t="shared" si="133"/>
        <v>0</v>
      </c>
      <c r="BY110" s="69">
        <f t="shared" si="134"/>
        <v>0</v>
      </c>
      <c r="BZ110" s="69">
        <f t="shared" si="135"/>
        <v>0</v>
      </c>
      <c r="CA110" s="69">
        <f t="shared" si="136"/>
        <v>0</v>
      </c>
      <c r="CB110" s="70">
        <f t="shared" si="137"/>
        <v>0</v>
      </c>
      <c r="CC110" s="69">
        <f t="shared" si="138"/>
        <v>0</v>
      </c>
      <c r="CD110" s="69">
        <f t="shared" si="139"/>
        <v>0</v>
      </c>
      <c r="CE110" s="71">
        <f t="shared" si="140"/>
        <v>0</v>
      </c>
      <c r="CF110" s="2"/>
      <c r="CG110" s="37" t="str">
        <f t="shared" si="177"/>
        <v>atrdc</v>
      </c>
      <c r="CH110" s="45" t="s">
        <v>561</v>
      </c>
      <c r="CI110" s="69">
        <f t="shared" si="178"/>
        <v>0</v>
      </c>
      <c r="CJ110" s="69">
        <f t="shared" si="197"/>
        <v>0</v>
      </c>
      <c r="CK110" s="69">
        <f t="shared" si="198"/>
        <v>0</v>
      </c>
      <c r="CL110" s="69">
        <f t="shared" si="199"/>
        <v>0</v>
      </c>
      <c r="CM110" s="70">
        <f t="shared" si="200"/>
        <v>0</v>
      </c>
      <c r="CN110" s="69">
        <f t="shared" si="201"/>
        <v>0</v>
      </c>
      <c r="CO110" s="69">
        <f t="shared" si="202"/>
        <v>0</v>
      </c>
      <c r="CP110" s="69">
        <f t="shared" si="203"/>
        <v>0</v>
      </c>
      <c r="CQ110" s="70">
        <f t="shared" si="204"/>
        <v>0</v>
      </c>
      <c r="CR110" s="69">
        <f t="shared" si="205"/>
        <v>0</v>
      </c>
      <c r="CS110" s="69">
        <f t="shared" si="206"/>
        <v>0</v>
      </c>
      <c r="CT110" s="71">
        <f t="shared" si="207"/>
        <v>0</v>
      </c>
      <c r="CU110" s="2"/>
      <c r="CV110" s="45" t="s">
        <v>561</v>
      </c>
      <c r="CW110" s="69">
        <f t="shared" si="179"/>
        <v>0</v>
      </c>
      <c r="CX110" s="69">
        <f t="shared" si="208"/>
        <v>0</v>
      </c>
      <c r="CY110" s="69">
        <f t="shared" si="209"/>
        <v>0</v>
      </c>
      <c r="CZ110" s="69">
        <f t="shared" si="210"/>
        <v>0</v>
      </c>
      <c r="DA110" s="70">
        <f t="shared" si="211"/>
        <v>0</v>
      </c>
      <c r="DB110" s="69">
        <f t="shared" si="212"/>
        <v>0</v>
      </c>
      <c r="DC110" s="69">
        <f t="shared" si="213"/>
        <v>0</v>
      </c>
      <c r="DD110" s="69">
        <f t="shared" si="214"/>
        <v>0</v>
      </c>
      <c r="DE110" s="70">
        <f t="shared" si="215"/>
        <v>0</v>
      </c>
      <c r="DF110" s="69">
        <f t="shared" si="216"/>
        <v>0</v>
      </c>
      <c r="DG110" s="69">
        <f t="shared" si="217"/>
        <v>0</v>
      </c>
      <c r="DH110" s="71">
        <f t="shared" si="218"/>
        <v>0</v>
      </c>
      <c r="DI110" s="2"/>
      <c r="DJ110" s="37" t="s">
        <v>561</v>
      </c>
      <c r="DK110" s="77" t="s">
        <v>561</v>
      </c>
      <c r="DL110" s="69">
        <f t="shared" si="180"/>
        <v>0</v>
      </c>
      <c r="DM110" s="69">
        <f t="shared" si="141"/>
        <v>0</v>
      </c>
      <c r="DN110" s="69">
        <f t="shared" si="142"/>
        <v>0</v>
      </c>
      <c r="DO110" s="69">
        <f t="shared" si="143"/>
        <v>0</v>
      </c>
      <c r="DP110" s="70">
        <f t="shared" si="144"/>
        <v>0</v>
      </c>
      <c r="DQ110" s="69">
        <f t="shared" si="145"/>
        <v>0</v>
      </c>
      <c r="DR110" s="69">
        <f t="shared" si="146"/>
        <v>0</v>
      </c>
      <c r="DS110" s="69">
        <f t="shared" si="147"/>
        <v>0</v>
      </c>
      <c r="DT110" s="70">
        <f t="shared" si="148"/>
        <v>0</v>
      </c>
      <c r="DU110" s="69">
        <f t="shared" si="149"/>
        <v>0</v>
      </c>
      <c r="DV110" s="69">
        <f t="shared" si="150"/>
        <v>0</v>
      </c>
      <c r="DW110" s="71">
        <f t="shared" si="151"/>
        <v>0</v>
      </c>
      <c r="DX110" s="2"/>
      <c r="DY110" s="85" t="s">
        <v>561</v>
      </c>
      <c r="DZ110" s="86"/>
      <c r="EA110" s="86"/>
      <c r="EB110" s="86"/>
      <c r="EC110" s="87"/>
      <c r="ED110" s="88">
        <v>1</v>
      </c>
      <c r="EE110" s="2"/>
      <c r="EF110" s="38" t="s">
        <v>561</v>
      </c>
      <c r="EG110" s="96" t="s">
        <v>561</v>
      </c>
      <c r="EH110" s="97"/>
      <c r="EI110" s="97"/>
      <c r="EJ110" s="97"/>
      <c r="EK110" s="97"/>
      <c r="EL110" s="97"/>
      <c r="EM110" s="97"/>
      <c r="EN110" s="97"/>
      <c r="EO110" s="97"/>
      <c r="EP110" s="97"/>
      <c r="EQ110" s="97"/>
      <c r="ER110" s="97"/>
      <c r="ES110" s="98"/>
      <c r="ET110" s="38" t="s">
        <v>561</v>
      </c>
      <c r="EU110" s="96" t="s">
        <v>561</v>
      </c>
      <c r="EV110" s="97"/>
      <c r="EW110" s="97"/>
      <c r="EX110" s="97"/>
      <c r="EY110" s="97"/>
      <c r="EZ110" s="97"/>
      <c r="FA110" s="97"/>
      <c r="FB110" s="97"/>
      <c r="FC110" s="97"/>
      <c r="FD110" s="97"/>
      <c r="FE110" s="97"/>
      <c r="FF110" s="97"/>
      <c r="FG110" s="98"/>
      <c r="FH110" s="38" t="s">
        <v>561</v>
      </c>
      <c r="FI110" s="96" t="s">
        <v>561</v>
      </c>
      <c r="FJ110" s="97"/>
      <c r="FK110" s="97"/>
      <c r="FL110" s="97"/>
      <c r="FM110" s="97"/>
      <c r="FN110" s="97"/>
      <c r="FO110" s="97"/>
      <c r="FP110" s="97"/>
      <c r="FQ110" s="97"/>
      <c r="FR110" s="97"/>
      <c r="FS110" s="97"/>
      <c r="FT110" s="97"/>
      <c r="FU110" s="98"/>
      <c r="FV110" s="38" t="s">
        <v>561</v>
      </c>
      <c r="FW110" s="96" t="s">
        <v>561</v>
      </c>
      <c r="FX110" s="97"/>
      <c r="FY110" s="97"/>
      <c r="FZ110" s="97"/>
      <c r="GA110" s="97"/>
      <c r="GB110" s="97"/>
      <c r="GC110" s="97"/>
      <c r="GD110" s="97"/>
      <c r="GE110" s="97"/>
      <c r="GF110" s="97"/>
      <c r="GG110" s="97"/>
      <c r="GH110" s="97"/>
      <c r="GI110" s="98"/>
      <c r="GJ110" s="38" t="s">
        <v>561</v>
      </c>
      <c r="GK110" s="96" t="s">
        <v>561</v>
      </c>
      <c r="GL110" s="97"/>
      <c r="GM110" s="97"/>
      <c r="GN110" s="97"/>
      <c r="GO110" s="97"/>
      <c r="GP110" s="97"/>
      <c r="GQ110" s="97"/>
      <c r="GR110" s="97"/>
      <c r="GS110" s="97"/>
      <c r="GT110" s="97"/>
      <c r="GU110" s="97"/>
      <c r="GV110" s="97"/>
      <c r="GW110" s="98"/>
      <c r="GX110" s="38"/>
    </row>
    <row r="111" spans="1:20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</row>
    <row r="112" spans="1:20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</row>
    <row r="113" spans="1:7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</row>
    <row r="114" spans="1:71" x14ac:dyDescent="0.35">
      <c r="A114" s="100" t="s">
        <v>669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</row>
    <row r="115" spans="1:71" x14ac:dyDescent="0.35">
      <c r="A115" s="24" t="s">
        <v>601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</row>
    <row r="116" spans="1:71" x14ac:dyDescent="0.35">
      <c r="A116" s="2"/>
      <c r="B116" s="2"/>
      <c r="C116" s="4" t="s">
        <v>626</v>
      </c>
      <c r="D116" s="2"/>
      <c r="E116" s="2"/>
      <c r="F116" s="2"/>
      <c r="G116" s="116"/>
      <c r="H116" s="117" t="s">
        <v>694</v>
      </c>
      <c r="I116" s="117" t="s">
        <v>696</v>
      </c>
      <c r="J116" s="118" t="s">
        <v>695</v>
      </c>
      <c r="K116" s="2"/>
      <c r="L116" s="103"/>
      <c r="M116" s="91" t="s">
        <v>693</v>
      </c>
      <c r="N116" s="92" t="s">
        <v>699</v>
      </c>
      <c r="O116" s="2"/>
      <c r="P116" s="2"/>
      <c r="Q116" s="2"/>
      <c r="R116" s="25" t="s">
        <v>706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</row>
    <row r="117" spans="1:71" x14ac:dyDescent="0.35">
      <c r="A117" s="2"/>
      <c r="B117" s="2"/>
      <c r="C117" s="39" t="s">
        <v>443</v>
      </c>
      <c r="D117" s="99">
        <f>I117</f>
        <v>9.0826841313857206E-3</v>
      </c>
      <c r="E117" s="2"/>
      <c r="F117" s="2"/>
      <c r="G117" s="39" t="s">
        <v>443</v>
      </c>
      <c r="H117" s="62">
        <v>1</v>
      </c>
      <c r="I117" s="109">
        <f>H117*J117</f>
        <v>9.0826841313857206E-3</v>
      </c>
      <c r="J117" s="111">
        <f>IF(SUM(M117:N117),M117/SUM(M117:N117),0)</f>
        <v>9.0826841313857206E-3</v>
      </c>
      <c r="K117" s="2"/>
      <c r="L117" s="104" t="s">
        <v>443</v>
      </c>
      <c r="M117" s="94">
        <f>SUM(AW229:BP229)</f>
        <v>108.06362419999996</v>
      </c>
      <c r="N117" s="95">
        <f>SUM(AW339:BP339)</f>
        <v>11789.699486000001</v>
      </c>
      <c r="O117" s="217"/>
      <c r="P117" s="2"/>
      <c r="Q117" s="2"/>
      <c r="R117" s="6"/>
      <c r="S117" s="6" t="s">
        <v>283</v>
      </c>
      <c r="T117" s="6" t="s">
        <v>285</v>
      </c>
      <c r="U117" s="6" t="s">
        <v>287</v>
      </c>
      <c r="V117" s="6" t="s">
        <v>289</v>
      </c>
      <c r="W117" s="6" t="s">
        <v>291</v>
      </c>
      <c r="X117" s="6" t="s">
        <v>293</v>
      </c>
      <c r="Y117" s="6" t="s">
        <v>295</v>
      </c>
      <c r="Z117" s="6" t="s">
        <v>297</v>
      </c>
      <c r="AA117" s="6" t="s">
        <v>299</v>
      </c>
      <c r="AB117" s="6" t="s">
        <v>301</v>
      </c>
      <c r="AC117" s="6" t="s">
        <v>303</v>
      </c>
      <c r="AD117" s="6" t="s">
        <v>305</v>
      </c>
      <c r="AE117" s="6" t="s">
        <v>307</v>
      </c>
      <c r="AF117" s="6" t="s">
        <v>309</v>
      </c>
      <c r="AG117" s="6" t="s">
        <v>311</v>
      </c>
      <c r="AH117" s="6" t="s">
        <v>322</v>
      </c>
      <c r="AI117" s="6" t="s">
        <v>323</v>
      </c>
      <c r="AJ117" s="6" t="s">
        <v>324</v>
      </c>
      <c r="AK117" s="6" t="s">
        <v>325</v>
      </c>
      <c r="AL117" s="6" t="s">
        <v>326</v>
      </c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</row>
    <row r="118" spans="1:71" x14ac:dyDescent="0.35">
      <c r="A118" s="2"/>
      <c r="B118" s="2"/>
      <c r="C118" s="42" t="s">
        <v>440</v>
      </c>
      <c r="D118" s="44">
        <f t="shared" ref="D118:D181" si="227">I118</f>
        <v>0.37819606366943431</v>
      </c>
      <c r="E118" s="2"/>
      <c r="F118" s="2"/>
      <c r="G118" s="42" t="s">
        <v>440</v>
      </c>
      <c r="H118" s="62">
        <v>1</v>
      </c>
      <c r="I118" s="109">
        <f t="shared" ref="I118:I181" si="228">H118*J118</f>
        <v>0.37819606366943431</v>
      </c>
      <c r="J118" s="111">
        <f t="shared" ref="J118:J181" si="229">IF(SUM(M118:N118),M118/SUM(M118:N118),0)</f>
        <v>0.37819606366943431</v>
      </c>
      <c r="K118" s="2"/>
      <c r="L118" s="104" t="s">
        <v>440</v>
      </c>
      <c r="M118" s="94">
        <f t="shared" ref="M118:M181" si="230">SUM(AW230:BP230)</f>
        <v>23086.830028600005</v>
      </c>
      <c r="N118" s="95">
        <f t="shared" ref="N118:N181" si="231">SUM(AW340:BP340)</f>
        <v>37957.776846999994</v>
      </c>
      <c r="O118" s="217"/>
      <c r="P118" s="2"/>
      <c r="Q118" s="2"/>
      <c r="R118" s="6" t="s">
        <v>700</v>
      </c>
      <c r="S118" s="119">
        <f>SUM(AW229:AW332)</f>
        <v>105080.74371190001</v>
      </c>
      <c r="T118" s="119">
        <f t="shared" ref="T118:AL118" si="232">SUM(AX229:AX332)</f>
        <v>154265.54670370001</v>
      </c>
      <c r="U118" s="119">
        <f t="shared" si="232"/>
        <v>190844.04791590007</v>
      </c>
      <c r="V118" s="119">
        <f t="shared" si="232"/>
        <v>225156.51401690004</v>
      </c>
      <c r="W118" s="119">
        <f t="shared" si="232"/>
        <v>136560.56556400002</v>
      </c>
      <c r="X118" s="119">
        <f t="shared" si="232"/>
        <v>174.6944</v>
      </c>
      <c r="Y118" s="119">
        <f t="shared" si="232"/>
        <v>121.33113379999999</v>
      </c>
      <c r="Z118" s="119">
        <f t="shared" si="232"/>
        <v>233.57131799999999</v>
      </c>
      <c r="AA118" s="119">
        <f t="shared" si="232"/>
        <v>469.66818899999998</v>
      </c>
      <c r="AB118" s="119">
        <f t="shared" si="232"/>
        <v>189.51388599999999</v>
      </c>
      <c r="AC118" s="119">
        <f t="shared" si="232"/>
        <v>3564.458956500001</v>
      </c>
      <c r="AD118" s="119">
        <f t="shared" si="232"/>
        <v>5824.8460685000009</v>
      </c>
      <c r="AE118" s="119">
        <f t="shared" si="232"/>
        <v>8596.3560521000018</v>
      </c>
      <c r="AF118" s="119">
        <f t="shared" si="232"/>
        <v>10941.170843</v>
      </c>
      <c r="AG118" s="119">
        <f t="shared" si="232"/>
        <v>10391.078389300003</v>
      </c>
      <c r="AH118" s="119">
        <f t="shared" si="232"/>
        <v>1182.5993017000001</v>
      </c>
      <c r="AI118" s="119">
        <f t="shared" si="232"/>
        <v>1911.7685299999996</v>
      </c>
      <c r="AJ118" s="119">
        <f t="shared" si="232"/>
        <v>3300.1846811000005</v>
      </c>
      <c r="AK118" s="119">
        <f t="shared" si="232"/>
        <v>5526.0760288000001</v>
      </c>
      <c r="AL118" s="119">
        <f t="shared" si="232"/>
        <v>11186.440792700001</v>
      </c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</row>
    <row r="119" spans="1:71" x14ac:dyDescent="0.35">
      <c r="A119" s="2"/>
      <c r="B119" s="2"/>
      <c r="C119" s="42" t="s">
        <v>450</v>
      </c>
      <c r="D119" s="44">
        <f t="shared" si="227"/>
        <v>5.4519829179715318E-2</v>
      </c>
      <c r="E119" s="2"/>
      <c r="F119" s="2"/>
      <c r="G119" s="42" t="s">
        <v>450</v>
      </c>
      <c r="H119" s="62">
        <v>1</v>
      </c>
      <c r="I119" s="109">
        <f t="shared" si="228"/>
        <v>5.4519829179715318E-2</v>
      </c>
      <c r="J119" s="111">
        <f t="shared" si="229"/>
        <v>5.4519829179715318E-2</v>
      </c>
      <c r="K119" s="2"/>
      <c r="L119" s="104" t="s">
        <v>450</v>
      </c>
      <c r="M119" s="94">
        <f t="shared" si="230"/>
        <v>69.630967999999996</v>
      </c>
      <c r="N119" s="95">
        <f t="shared" si="231"/>
        <v>1207.5367900000001</v>
      </c>
      <c r="O119" s="2"/>
      <c r="P119" s="2"/>
      <c r="Q119" s="2"/>
      <c r="R119" s="6" t="s">
        <v>701</v>
      </c>
      <c r="S119" s="119">
        <f>SUM(AW339:AW442)</f>
        <v>189166.82495399995</v>
      </c>
      <c r="T119" s="119">
        <f t="shared" ref="T119:AL119" si="233">SUM(AX339:AX442)</f>
        <v>275617.6096504</v>
      </c>
      <c r="U119" s="119">
        <f t="shared" si="233"/>
        <v>361784.88533319993</v>
      </c>
      <c r="V119" s="119">
        <f t="shared" si="233"/>
        <v>497528.44376699999</v>
      </c>
      <c r="W119" s="119">
        <f t="shared" si="233"/>
        <v>519740.71785299998</v>
      </c>
      <c r="X119" s="119">
        <f t="shared" si="233"/>
        <v>813.37165579999987</v>
      </c>
      <c r="Y119" s="119">
        <f t="shared" si="233"/>
        <v>957.13810350000017</v>
      </c>
      <c r="Z119" s="119">
        <f t="shared" si="233"/>
        <v>3751.4662708999999</v>
      </c>
      <c r="AA119" s="119">
        <f t="shared" si="233"/>
        <v>9280.3052449000024</v>
      </c>
      <c r="AB119" s="119">
        <f t="shared" si="233"/>
        <v>57968.689764399991</v>
      </c>
      <c r="AC119" s="119">
        <f t="shared" si="233"/>
        <v>13168.055015100006</v>
      </c>
      <c r="AD119" s="119">
        <f t="shared" si="233"/>
        <v>23836.867811099986</v>
      </c>
      <c r="AE119" s="119">
        <f t="shared" si="233"/>
        <v>36550.954530799994</v>
      </c>
      <c r="AF119" s="119">
        <f t="shared" si="233"/>
        <v>58248.09054640001</v>
      </c>
      <c r="AG119" s="119">
        <f t="shared" si="233"/>
        <v>324038.17174300004</v>
      </c>
      <c r="AH119" s="119">
        <f t="shared" si="233"/>
        <v>5656.1081356000004</v>
      </c>
      <c r="AI119" s="119">
        <f t="shared" si="233"/>
        <v>17390.235295100007</v>
      </c>
      <c r="AJ119" s="119">
        <f t="shared" si="233"/>
        <v>29377.783942999999</v>
      </c>
      <c r="AK119" s="119">
        <f t="shared" si="233"/>
        <v>82803.561153999995</v>
      </c>
      <c r="AL119" s="119">
        <f t="shared" si="233"/>
        <v>1082186.0789999999</v>
      </c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</row>
    <row r="120" spans="1:71" x14ac:dyDescent="0.35">
      <c r="A120" s="2"/>
      <c r="B120" s="2"/>
      <c r="C120" s="42" t="s">
        <v>446</v>
      </c>
      <c r="D120" s="44">
        <f t="shared" si="227"/>
        <v>4.8623734188154626E-2</v>
      </c>
      <c r="E120" s="2"/>
      <c r="F120" s="2"/>
      <c r="G120" s="42" t="s">
        <v>446</v>
      </c>
      <c r="H120" s="62">
        <v>1</v>
      </c>
      <c r="I120" s="109">
        <f t="shared" si="228"/>
        <v>4.8623734188154626E-2</v>
      </c>
      <c r="J120" s="111">
        <f t="shared" si="229"/>
        <v>4.8623734188154626E-2</v>
      </c>
      <c r="K120" s="2"/>
      <c r="L120" s="104" t="s">
        <v>446</v>
      </c>
      <c r="M120" s="94">
        <f t="shared" si="230"/>
        <v>4868.0211199999994</v>
      </c>
      <c r="N120" s="95">
        <f t="shared" si="231"/>
        <v>95248.13</v>
      </c>
      <c r="O120" s="2"/>
      <c r="P120" s="2"/>
      <c r="Q120" s="2"/>
      <c r="R120" s="6" t="s">
        <v>87</v>
      </c>
      <c r="S120" s="119">
        <f>SUM(S118:S119)</f>
        <v>294247.56866589998</v>
      </c>
      <c r="T120" s="119">
        <f t="shared" ref="T120:AL120" si="234">SUM(T118:T119)</f>
        <v>429883.15635409998</v>
      </c>
      <c r="U120" s="119">
        <f t="shared" si="234"/>
        <v>552628.9332491</v>
      </c>
      <c r="V120" s="119">
        <f t="shared" si="234"/>
        <v>722684.95778389997</v>
      </c>
      <c r="W120" s="119">
        <f t="shared" si="234"/>
        <v>656301.28341699997</v>
      </c>
      <c r="X120" s="119">
        <f t="shared" si="234"/>
        <v>988.06605579999984</v>
      </c>
      <c r="Y120" s="119">
        <f t="shared" si="234"/>
        <v>1078.4692373000003</v>
      </c>
      <c r="Z120" s="119">
        <f t="shared" si="234"/>
        <v>3985.0375888999997</v>
      </c>
      <c r="AA120" s="119">
        <f t="shared" si="234"/>
        <v>9749.9734339000024</v>
      </c>
      <c r="AB120" s="119">
        <f t="shared" si="234"/>
        <v>58158.203650399992</v>
      </c>
      <c r="AC120" s="119">
        <f t="shared" si="234"/>
        <v>16732.513971600009</v>
      </c>
      <c r="AD120" s="119">
        <f t="shared" si="234"/>
        <v>29661.713879599985</v>
      </c>
      <c r="AE120" s="119">
        <f t="shared" si="234"/>
        <v>45147.310582899998</v>
      </c>
      <c r="AF120" s="119">
        <f t="shared" si="234"/>
        <v>69189.26138940001</v>
      </c>
      <c r="AG120" s="119">
        <f t="shared" si="234"/>
        <v>334429.25013230002</v>
      </c>
      <c r="AH120" s="119">
        <f t="shared" si="234"/>
        <v>6838.7074373000005</v>
      </c>
      <c r="AI120" s="119">
        <f t="shared" si="234"/>
        <v>19302.003825100008</v>
      </c>
      <c r="AJ120" s="119">
        <f t="shared" si="234"/>
        <v>32677.968624099998</v>
      </c>
      <c r="AK120" s="119">
        <f t="shared" si="234"/>
        <v>88329.637182799997</v>
      </c>
      <c r="AL120" s="119">
        <f t="shared" si="234"/>
        <v>1093372.5197927</v>
      </c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</row>
    <row r="121" spans="1:71" x14ac:dyDescent="0.35">
      <c r="A121" s="2"/>
      <c r="B121" s="2"/>
      <c r="C121" s="42" t="s">
        <v>454</v>
      </c>
      <c r="D121" s="44">
        <f t="shared" si="227"/>
        <v>0</v>
      </c>
      <c r="E121" s="2"/>
      <c r="F121" s="2"/>
      <c r="G121" s="42" t="s">
        <v>454</v>
      </c>
      <c r="H121" s="62">
        <v>1</v>
      </c>
      <c r="I121" s="109">
        <f t="shared" si="228"/>
        <v>0</v>
      </c>
      <c r="J121" s="111">
        <f t="shared" si="229"/>
        <v>0</v>
      </c>
      <c r="K121" s="2"/>
      <c r="L121" s="104" t="s">
        <v>454</v>
      </c>
      <c r="M121" s="94">
        <f t="shared" si="230"/>
        <v>0</v>
      </c>
      <c r="N121" s="95">
        <f t="shared" si="231"/>
        <v>228.205353</v>
      </c>
      <c r="O121" s="2"/>
      <c r="P121" s="2"/>
      <c r="Q121" s="2"/>
      <c r="R121" s="6" t="s">
        <v>702</v>
      </c>
      <c r="S121" s="119">
        <f>SUM(AW229:AW249,AW251,AW253:AW261,AW265,AW269:AW277,AW310,AW339:AW359,AW361,AW363:AW371,AW375,AW379:AW387,AW420)</f>
        <v>189943.45695090003</v>
      </c>
      <c r="T121" s="119">
        <f t="shared" ref="T121:AL121" si="235">SUM(AX229:AX249,AX251,AX253:AX261,AX265,AX269:AX277,AX310,AX339:AX359,AX361,AX363:AX371,AX375,AX379:AX387,AX420)</f>
        <v>288339.03300170007</v>
      </c>
      <c r="U121" s="119">
        <f t="shared" si="235"/>
        <v>374776.25344390003</v>
      </c>
      <c r="V121" s="119">
        <f t="shared" si="235"/>
        <v>481563.24619990028</v>
      </c>
      <c r="W121" s="119">
        <f t="shared" si="235"/>
        <v>407632.81159399997</v>
      </c>
      <c r="X121" s="119">
        <f t="shared" si="235"/>
        <v>638.30874189999997</v>
      </c>
      <c r="Y121" s="119">
        <f t="shared" si="235"/>
        <v>663.28308060000018</v>
      </c>
      <c r="Z121" s="119">
        <f t="shared" si="235"/>
        <v>2820.5847909000004</v>
      </c>
      <c r="AA121" s="119">
        <f t="shared" si="235"/>
        <v>6420.908660000001</v>
      </c>
      <c r="AB121" s="119">
        <f t="shared" si="235"/>
        <v>31381.017522400005</v>
      </c>
      <c r="AC121" s="119">
        <f t="shared" si="235"/>
        <v>10480.294003500001</v>
      </c>
      <c r="AD121" s="119">
        <f t="shared" si="235"/>
        <v>18913.801388999997</v>
      </c>
      <c r="AE121" s="119">
        <f t="shared" si="235"/>
        <v>27660.185805100002</v>
      </c>
      <c r="AF121" s="119">
        <f t="shared" si="235"/>
        <v>39857.869685000005</v>
      </c>
      <c r="AG121" s="119">
        <f t="shared" si="235"/>
        <v>172362.11717430005</v>
      </c>
      <c r="AH121" s="119">
        <f t="shared" si="235"/>
        <v>4150.3030244000001</v>
      </c>
      <c r="AI121" s="119">
        <f t="shared" si="235"/>
        <v>11971.782681800001</v>
      </c>
      <c r="AJ121" s="119">
        <f t="shared" si="235"/>
        <v>18599.1147145</v>
      </c>
      <c r="AK121" s="119">
        <f t="shared" si="235"/>
        <v>50800.165779800009</v>
      </c>
      <c r="AL121" s="119">
        <f t="shared" si="235"/>
        <v>400150.38076669991</v>
      </c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</row>
    <row r="122" spans="1:71" x14ac:dyDescent="0.35">
      <c r="A122" s="2"/>
      <c r="B122" s="2"/>
      <c r="C122" s="42" t="s">
        <v>465</v>
      </c>
      <c r="D122" s="44">
        <f t="shared" si="227"/>
        <v>0.74961991952961859</v>
      </c>
      <c r="E122" s="2"/>
      <c r="F122" s="2"/>
      <c r="G122" s="42" t="s">
        <v>465</v>
      </c>
      <c r="H122" s="62">
        <v>1</v>
      </c>
      <c r="I122" s="109">
        <f t="shared" si="228"/>
        <v>0.74961991952961859</v>
      </c>
      <c r="J122" s="111">
        <f t="shared" si="229"/>
        <v>0.74961991952961859</v>
      </c>
      <c r="K122" s="2"/>
      <c r="L122" s="104" t="s">
        <v>465</v>
      </c>
      <c r="M122" s="94">
        <f t="shared" si="230"/>
        <v>53966.099363000001</v>
      </c>
      <c r="N122" s="95">
        <f t="shared" si="231"/>
        <v>18025.183095</v>
      </c>
      <c r="O122" s="2"/>
      <c r="P122" s="2"/>
      <c r="Q122" s="2"/>
      <c r="R122" s="6" t="s">
        <v>715</v>
      </c>
      <c r="S122" s="33">
        <f>S121/S120</f>
        <v>0.64552260469675837</v>
      </c>
      <c r="T122" s="33">
        <f t="shared" ref="T122:AL122" si="236">T121/T120</f>
        <v>0.67073814998276349</v>
      </c>
      <c r="U122" s="33">
        <f t="shared" si="236"/>
        <v>0.67816980055759757</v>
      </c>
      <c r="V122" s="33">
        <f t="shared" si="236"/>
        <v>0.66635293984339328</v>
      </c>
      <c r="W122" s="33">
        <f t="shared" si="236"/>
        <v>0.62110622345834832</v>
      </c>
      <c r="X122" s="33">
        <f t="shared" si="236"/>
        <v>0.64601828810239359</v>
      </c>
      <c r="Y122" s="33">
        <f t="shared" si="236"/>
        <v>0.61502271706939116</v>
      </c>
      <c r="Z122" s="33">
        <f t="shared" si="236"/>
        <v>0.70779377307669855</v>
      </c>
      <c r="AA122" s="33">
        <f t="shared" si="236"/>
        <v>0.65855652874652282</v>
      </c>
      <c r="AB122" s="33">
        <f t="shared" si="236"/>
        <v>0.53958024066625687</v>
      </c>
      <c r="AC122" s="33">
        <f t="shared" si="236"/>
        <v>0.62634306006187346</v>
      </c>
      <c r="AD122" s="33">
        <f t="shared" si="236"/>
        <v>0.63765032141342559</v>
      </c>
      <c r="AE122" s="33">
        <f t="shared" si="236"/>
        <v>0.61266519418272014</v>
      </c>
      <c r="AF122" s="33">
        <f t="shared" si="236"/>
        <v>0.57607017165103525</v>
      </c>
      <c r="AG122" s="33">
        <f t="shared" si="236"/>
        <v>0.51539187169218514</v>
      </c>
      <c r="AH122" s="33">
        <f t="shared" si="236"/>
        <v>0.60688413160697907</v>
      </c>
      <c r="AI122" s="33">
        <f t="shared" si="236"/>
        <v>0.62023522481288151</v>
      </c>
      <c r="AJ122" s="33">
        <f t="shared" si="236"/>
        <v>0.56916373623001626</v>
      </c>
      <c r="AK122" s="33">
        <f t="shared" si="236"/>
        <v>0.57512028125586001</v>
      </c>
      <c r="AL122" s="33">
        <f t="shared" si="236"/>
        <v>0.36597808480001598</v>
      </c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</row>
    <row r="123" spans="1:71" x14ac:dyDescent="0.35">
      <c r="A123" s="2"/>
      <c r="B123" s="2"/>
      <c r="C123" s="42" t="s">
        <v>467</v>
      </c>
      <c r="D123" s="44">
        <f t="shared" si="227"/>
        <v>0.91713353122992858</v>
      </c>
      <c r="E123" s="2"/>
      <c r="F123" s="2"/>
      <c r="G123" s="42" t="s">
        <v>467</v>
      </c>
      <c r="H123" s="62">
        <v>1</v>
      </c>
      <c r="I123" s="109">
        <f t="shared" si="228"/>
        <v>0.91713353122992858</v>
      </c>
      <c r="J123" s="111">
        <f t="shared" si="229"/>
        <v>0.91713353122992858</v>
      </c>
      <c r="K123" s="2"/>
      <c r="L123" s="104" t="s">
        <v>467</v>
      </c>
      <c r="M123" s="94">
        <f t="shared" si="230"/>
        <v>102356.30665000001</v>
      </c>
      <c r="N123" s="95">
        <f t="shared" si="231"/>
        <v>9248.2778130000006</v>
      </c>
      <c r="O123" s="2"/>
      <c r="P123" s="2"/>
      <c r="Q123" s="2"/>
      <c r="R123" s="6" t="s">
        <v>703</v>
      </c>
      <c r="S123" s="119">
        <f>SUM(AW269:AW277,AW310,AW379:AW387,AW420)</f>
        <v>47562.857743600005</v>
      </c>
      <c r="T123" s="119">
        <f t="shared" ref="T123:AL123" si="237">SUM(AX269:AX277,AX310,AX379:AX387,AX420)</f>
        <v>79199.587823999987</v>
      </c>
      <c r="U123" s="119">
        <f t="shared" si="237"/>
        <v>114795.58034000003</v>
      </c>
      <c r="V123" s="119">
        <f t="shared" si="237"/>
        <v>173437.2684839</v>
      </c>
      <c r="W123" s="119">
        <f t="shared" si="237"/>
        <v>190451.90667</v>
      </c>
      <c r="X123" s="119">
        <f t="shared" si="237"/>
        <v>191.37384599999999</v>
      </c>
      <c r="Y123" s="119">
        <f t="shared" si="237"/>
        <v>278.587154</v>
      </c>
      <c r="Z123" s="119">
        <f t="shared" si="237"/>
        <v>1210.8444989</v>
      </c>
      <c r="AA123" s="119">
        <f t="shared" si="237"/>
        <v>3055.700828</v>
      </c>
      <c r="AB123" s="119">
        <f t="shared" si="237"/>
        <v>18078.379816000001</v>
      </c>
      <c r="AC123" s="119">
        <f t="shared" si="237"/>
        <v>3411.2924322000003</v>
      </c>
      <c r="AD123" s="119">
        <f t="shared" si="237"/>
        <v>5886.5673695000005</v>
      </c>
      <c r="AE123" s="119">
        <f t="shared" si="237"/>
        <v>9576.2101289999991</v>
      </c>
      <c r="AF123" s="119">
        <f t="shared" si="237"/>
        <v>16354.873319999999</v>
      </c>
      <c r="AG123" s="119">
        <f t="shared" si="237"/>
        <v>91251.660076300002</v>
      </c>
      <c r="AH123" s="119">
        <f t="shared" si="237"/>
        <v>1234.3124604</v>
      </c>
      <c r="AI123" s="119">
        <f t="shared" si="237"/>
        <v>4550.1773229</v>
      </c>
      <c r="AJ123" s="119">
        <f t="shared" si="237"/>
        <v>7634.5602600000002</v>
      </c>
      <c r="AK123" s="119">
        <f t="shared" si="237"/>
        <v>22761.6766948</v>
      </c>
      <c r="AL123" s="119">
        <f t="shared" si="237"/>
        <v>241926.23199100001</v>
      </c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</row>
    <row r="124" spans="1:71" x14ac:dyDescent="0.35">
      <c r="A124" s="2"/>
      <c r="B124" s="2"/>
      <c r="C124" s="42" t="s">
        <v>463</v>
      </c>
      <c r="D124" s="44">
        <f t="shared" si="227"/>
        <v>0.23666939311323137</v>
      </c>
      <c r="E124" s="2"/>
      <c r="F124" s="2"/>
      <c r="G124" s="42" t="s">
        <v>463</v>
      </c>
      <c r="H124" s="62">
        <v>1</v>
      </c>
      <c r="I124" s="109">
        <f t="shared" si="228"/>
        <v>0.23666939311323137</v>
      </c>
      <c r="J124" s="111">
        <f t="shared" si="229"/>
        <v>0.23666939311323137</v>
      </c>
      <c r="K124" s="2"/>
      <c r="L124" s="104" t="s">
        <v>463</v>
      </c>
      <c r="M124" s="94">
        <f t="shared" si="230"/>
        <v>28465.77058</v>
      </c>
      <c r="N124" s="95">
        <f t="shared" si="231"/>
        <v>91810.747670000012</v>
      </c>
      <c r="O124" s="2"/>
      <c r="P124" s="2"/>
      <c r="Q124" s="2"/>
      <c r="R124" s="6" t="s">
        <v>716</v>
      </c>
      <c r="S124" s="33">
        <f>S123/S121</f>
        <v>0.25040534960830424</v>
      </c>
      <c r="T124" s="33">
        <f t="shared" ref="T124:AL124" si="238">T123/T121</f>
        <v>0.27467522173292791</v>
      </c>
      <c r="U124" s="33">
        <f t="shared" si="238"/>
        <v>0.30630430632975975</v>
      </c>
      <c r="V124" s="33">
        <f t="shared" si="238"/>
        <v>0.36015470418999745</v>
      </c>
      <c r="W124" s="33">
        <f t="shared" si="238"/>
        <v>0.46721436855208076</v>
      </c>
      <c r="X124" s="33">
        <f t="shared" si="238"/>
        <v>0.29981391987575406</v>
      </c>
      <c r="Y124" s="33">
        <f t="shared" si="238"/>
        <v>0.42001245342786742</v>
      </c>
      <c r="Z124" s="33">
        <f t="shared" si="238"/>
        <v>0.4292884591899257</v>
      </c>
      <c r="AA124" s="33">
        <f t="shared" si="238"/>
        <v>0.47589850437149805</v>
      </c>
      <c r="AB124" s="33">
        <f t="shared" si="238"/>
        <v>0.57609284986044562</v>
      </c>
      <c r="AC124" s="33">
        <f t="shared" si="238"/>
        <v>0.32549587168649702</v>
      </c>
      <c r="AD124" s="33">
        <f t="shared" si="238"/>
        <v>0.31123131984052377</v>
      </c>
      <c r="AE124" s="33">
        <f t="shared" si="238"/>
        <v>0.34620917576173083</v>
      </c>
      <c r="AF124" s="33">
        <f t="shared" si="238"/>
        <v>0.41032984073794954</v>
      </c>
      <c r="AG124" s="33">
        <f t="shared" si="238"/>
        <v>0.52941830590316064</v>
      </c>
      <c r="AH124" s="33">
        <f t="shared" si="238"/>
        <v>0.2974029735041917</v>
      </c>
      <c r="AI124" s="33">
        <f t="shared" si="238"/>
        <v>0.38007516873968716</v>
      </c>
      <c r="AJ124" s="33">
        <f t="shared" si="238"/>
        <v>0.41047976622500443</v>
      </c>
      <c r="AK124" s="33">
        <f t="shared" si="238"/>
        <v>0.44806303966533256</v>
      </c>
      <c r="AL124" s="33">
        <f t="shared" si="238"/>
        <v>0.60458828385334096</v>
      </c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</row>
    <row r="125" spans="1:71" x14ac:dyDescent="0.35">
      <c r="A125" s="2"/>
      <c r="B125" s="2"/>
      <c r="C125" s="42" t="s">
        <v>469</v>
      </c>
      <c r="D125" s="44">
        <f t="shared" si="227"/>
        <v>0.63020242290399686</v>
      </c>
      <c r="E125" s="2"/>
      <c r="F125" s="2"/>
      <c r="G125" s="42" t="s">
        <v>469</v>
      </c>
      <c r="H125" s="62">
        <v>1</v>
      </c>
      <c r="I125" s="109">
        <f t="shared" si="228"/>
        <v>0.63020242290399686</v>
      </c>
      <c r="J125" s="111">
        <f t="shared" si="229"/>
        <v>0.63020242290399686</v>
      </c>
      <c r="K125" s="2"/>
      <c r="L125" s="104" t="s">
        <v>469</v>
      </c>
      <c r="M125" s="94">
        <f t="shared" si="230"/>
        <v>15544.739120000002</v>
      </c>
      <c r="N125" s="95">
        <f t="shared" si="231"/>
        <v>9121.5245360000008</v>
      </c>
      <c r="O125" s="2"/>
      <c r="P125" s="2"/>
      <c r="Q125" s="2"/>
      <c r="R125" s="6" t="s">
        <v>704</v>
      </c>
      <c r="S125" s="119">
        <f t="array" ref="S125:AL125">TRANSPOSE(D566:D585)</f>
        <v>2151.384</v>
      </c>
      <c r="T125" s="119">
        <v>2082.6959999999999</v>
      </c>
      <c r="U125" s="119">
        <v>2026.14</v>
      </c>
      <c r="V125" s="119">
        <v>1890.2070000000001</v>
      </c>
      <c r="W125" s="119">
        <v>970.25139999999999</v>
      </c>
      <c r="X125" s="119">
        <v>8.8694009999999999</v>
      </c>
      <c r="Y125" s="119">
        <v>9.1705089999999991</v>
      </c>
      <c r="Z125" s="119">
        <v>18.082000000000001</v>
      </c>
      <c r="AA125" s="119">
        <v>30.331399999999999</v>
      </c>
      <c r="AB125" s="119">
        <v>63.092329999999997</v>
      </c>
      <c r="AC125" s="119">
        <v>128.81870000000001</v>
      </c>
      <c r="AD125" s="119">
        <v>142.28299999999999</v>
      </c>
      <c r="AE125" s="119">
        <v>159.03149999999999</v>
      </c>
      <c r="AF125" s="119">
        <v>166.74299999999999</v>
      </c>
      <c r="AG125" s="119">
        <v>364.5625</v>
      </c>
      <c r="AH125" s="119">
        <v>59.672469999999997</v>
      </c>
      <c r="AI125" s="119">
        <v>115.8914</v>
      </c>
      <c r="AJ125" s="119">
        <v>144.8509</v>
      </c>
      <c r="AK125" s="119">
        <v>264.86779999999999</v>
      </c>
      <c r="AL125" s="119">
        <v>959.89110000000005</v>
      </c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</row>
    <row r="126" spans="1:71" x14ac:dyDescent="0.35">
      <c r="A126" s="2"/>
      <c r="B126" s="2"/>
      <c r="C126" s="42" t="s">
        <v>515</v>
      </c>
      <c r="D126" s="44">
        <f t="shared" si="227"/>
        <v>0.40271013707955805</v>
      </c>
      <c r="E126" s="2"/>
      <c r="F126" s="2"/>
      <c r="G126" s="42" t="s">
        <v>515</v>
      </c>
      <c r="H126" s="62">
        <v>1</v>
      </c>
      <c r="I126" s="109">
        <f t="shared" si="228"/>
        <v>0.40271013707955805</v>
      </c>
      <c r="J126" s="111">
        <f t="shared" si="229"/>
        <v>0.40271013707955805</v>
      </c>
      <c r="K126" s="2"/>
      <c r="L126" s="104" t="s">
        <v>515</v>
      </c>
      <c r="M126" s="94">
        <f t="shared" si="230"/>
        <v>113582.70951</v>
      </c>
      <c r="N126" s="95">
        <f t="shared" si="231"/>
        <v>168463.1072</v>
      </c>
      <c r="O126" s="2"/>
      <c r="P126" s="2"/>
      <c r="Q126" s="2"/>
      <c r="R126" s="6" t="s">
        <v>705</v>
      </c>
      <c r="S126" s="119">
        <f>S120/S125</f>
        <v>136.77129172007415</v>
      </c>
      <c r="T126" s="119">
        <f t="shared" ref="T126:AL126" si="239">T120/T125</f>
        <v>206.40705909748709</v>
      </c>
      <c r="U126" s="119">
        <f t="shared" si="239"/>
        <v>272.7496289738616</v>
      </c>
      <c r="V126" s="119">
        <f t="shared" si="239"/>
        <v>382.33111917578333</v>
      </c>
      <c r="W126" s="119">
        <f t="shared" si="239"/>
        <v>676.42394890334606</v>
      </c>
      <c r="X126" s="119">
        <f>X120/X125</f>
        <v>111.40166689948958</v>
      </c>
      <c r="Y126" s="119">
        <f t="shared" si="239"/>
        <v>117.60189508564905</v>
      </c>
      <c r="Z126" s="119">
        <f t="shared" si="239"/>
        <v>220.38699197544517</v>
      </c>
      <c r="AA126" s="119">
        <f t="shared" si="239"/>
        <v>321.44818352927996</v>
      </c>
      <c r="AB126" s="119">
        <f t="shared" si="239"/>
        <v>921.79514768910883</v>
      </c>
      <c r="AC126" s="119">
        <f t="shared" si="239"/>
        <v>129.89196422258576</v>
      </c>
      <c r="AD126" s="119">
        <f t="shared" si="239"/>
        <v>208.46983743384655</v>
      </c>
      <c r="AE126" s="119">
        <f t="shared" si="239"/>
        <v>283.88910739633343</v>
      </c>
      <c r="AF126" s="119">
        <f t="shared" si="239"/>
        <v>414.94552328673473</v>
      </c>
      <c r="AG126" s="119">
        <f t="shared" si="239"/>
        <v>917.34407716728958</v>
      </c>
      <c r="AH126" s="119">
        <f t="shared" si="239"/>
        <v>114.60406176080865</v>
      </c>
      <c r="AI126" s="119">
        <f t="shared" si="239"/>
        <v>166.55251230980045</v>
      </c>
      <c r="AJ126" s="119">
        <f t="shared" si="239"/>
        <v>225.59727709044265</v>
      </c>
      <c r="AK126" s="119">
        <f t="shared" si="239"/>
        <v>333.48575093990286</v>
      </c>
      <c r="AL126" s="119">
        <f t="shared" si="239"/>
        <v>1139.0589201136461</v>
      </c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</row>
    <row r="127" spans="1:71" x14ac:dyDescent="0.35">
      <c r="A127" s="2"/>
      <c r="B127" s="2"/>
      <c r="C127" s="42" t="s">
        <v>516</v>
      </c>
      <c r="D127" s="44">
        <f t="shared" si="227"/>
        <v>6.6835422263405483E-2</v>
      </c>
      <c r="E127" s="2"/>
      <c r="F127" s="2"/>
      <c r="G127" s="42" t="s">
        <v>516</v>
      </c>
      <c r="H127" s="62">
        <v>1</v>
      </c>
      <c r="I127" s="109">
        <f t="shared" si="228"/>
        <v>6.6835422263405483E-2</v>
      </c>
      <c r="J127" s="111">
        <f t="shared" si="229"/>
        <v>6.6835422263405483E-2</v>
      </c>
      <c r="K127" s="2"/>
      <c r="L127" s="104" t="s">
        <v>516</v>
      </c>
      <c r="M127" s="94">
        <f t="shared" si="230"/>
        <v>5591.7931650999999</v>
      </c>
      <c r="N127" s="95">
        <f t="shared" si="231"/>
        <v>78073.319969999982</v>
      </c>
      <c r="O127" s="2"/>
      <c r="P127" s="2"/>
      <c r="Q127" s="2"/>
      <c r="R127" s="6" t="s">
        <v>717</v>
      </c>
      <c r="S127" s="33">
        <f t="shared" ref="S127:AL127" si="240">S118/S120</f>
        <v>0.35711677818895671</v>
      </c>
      <c r="T127" s="33">
        <f t="shared" si="240"/>
        <v>0.35885459670494652</v>
      </c>
      <c r="U127" s="33">
        <f t="shared" si="240"/>
        <v>0.3453385019019195</v>
      </c>
      <c r="V127" s="33">
        <f t="shared" si="240"/>
        <v>0.31155555625142428</v>
      </c>
      <c r="W127" s="33">
        <f t="shared" si="240"/>
        <v>0.20807603004066094</v>
      </c>
      <c r="X127" s="33">
        <f>X118/X120</f>
        <v>0.17680437352799913</v>
      </c>
      <c r="Y127" s="33">
        <f t="shared" si="240"/>
        <v>0.112503101250953</v>
      </c>
      <c r="Z127" s="33">
        <f t="shared" si="240"/>
        <v>5.8612073986602793E-2</v>
      </c>
      <c r="AA127" s="33">
        <f t="shared" si="240"/>
        <v>4.8171227561194706E-2</v>
      </c>
      <c r="AB127" s="33">
        <f t="shared" si="240"/>
        <v>3.2585924960682063E-3</v>
      </c>
      <c r="AC127" s="33">
        <f t="shared" si="240"/>
        <v>0.21302590648063613</v>
      </c>
      <c r="AD127" s="33">
        <f t="shared" si="240"/>
        <v>0.19637591044616179</v>
      </c>
      <c r="AE127" s="33">
        <f t="shared" si="240"/>
        <v>0.19040682470587647</v>
      </c>
      <c r="AF127" s="33">
        <f t="shared" si="240"/>
        <v>0.15813394482451026</v>
      </c>
      <c r="AG127" s="33">
        <f t="shared" si="240"/>
        <v>3.1071081208325222E-2</v>
      </c>
      <c r="AH127" s="33">
        <f t="shared" si="240"/>
        <v>0.17292731302553041</v>
      </c>
      <c r="AI127" s="33">
        <f t="shared" si="240"/>
        <v>9.9045080879839389E-2</v>
      </c>
      <c r="AJ127" s="33">
        <f t="shared" si="240"/>
        <v>0.10099112093112528</v>
      </c>
      <c r="AK127" s="33">
        <f t="shared" si="240"/>
        <v>6.2561969063267775E-2</v>
      </c>
      <c r="AL127" s="33">
        <f t="shared" si="240"/>
        <v>1.023113402815439E-2</v>
      </c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</row>
    <row r="128" spans="1:71" x14ac:dyDescent="0.35">
      <c r="A128" s="2"/>
      <c r="B128" s="2"/>
      <c r="C128" s="42" t="s">
        <v>472</v>
      </c>
      <c r="D128" s="44">
        <f t="shared" si="227"/>
        <v>0.10262336190012965</v>
      </c>
      <c r="E128" s="2"/>
      <c r="F128" s="2"/>
      <c r="G128" s="42" t="s">
        <v>472</v>
      </c>
      <c r="H128" s="62">
        <v>1</v>
      </c>
      <c r="I128" s="109">
        <f t="shared" si="228"/>
        <v>0.10262336190012965</v>
      </c>
      <c r="J128" s="111">
        <f t="shared" si="229"/>
        <v>0.10262336190012965</v>
      </c>
      <c r="K128" s="2"/>
      <c r="L128" s="104" t="s">
        <v>472</v>
      </c>
      <c r="M128" s="94">
        <f t="shared" si="230"/>
        <v>36130.436380000006</v>
      </c>
      <c r="N128" s="95">
        <f t="shared" si="231"/>
        <v>315937.90079999994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</row>
    <row r="129" spans="1:71" x14ac:dyDescent="0.35">
      <c r="A129" s="2"/>
      <c r="B129" s="2"/>
      <c r="C129" s="42" t="s">
        <v>517</v>
      </c>
      <c r="D129" s="44">
        <f t="shared" si="227"/>
        <v>0.52453872572127658</v>
      </c>
      <c r="E129" s="2"/>
      <c r="F129" s="2"/>
      <c r="G129" s="42" t="s">
        <v>517</v>
      </c>
      <c r="H129" s="62">
        <v>1</v>
      </c>
      <c r="I129" s="109">
        <f t="shared" si="228"/>
        <v>0.52453872572127658</v>
      </c>
      <c r="J129" s="111">
        <f t="shared" si="229"/>
        <v>0.52453872572127658</v>
      </c>
      <c r="K129" s="2"/>
      <c r="L129" s="104" t="s">
        <v>517</v>
      </c>
      <c r="M129" s="94">
        <f t="shared" si="230"/>
        <v>5060.1148580000008</v>
      </c>
      <c r="N129" s="95">
        <f t="shared" si="231"/>
        <v>4586.6749973000005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</row>
    <row r="130" spans="1:71" x14ac:dyDescent="0.35">
      <c r="A130" s="2"/>
      <c r="B130" s="2"/>
      <c r="C130" s="42" t="s">
        <v>518</v>
      </c>
      <c r="D130" s="44">
        <f>I130</f>
        <v>0.97304340399574618</v>
      </c>
      <c r="E130" s="2"/>
      <c r="F130" s="2"/>
      <c r="G130" s="42" t="s">
        <v>518</v>
      </c>
      <c r="H130" s="62">
        <v>1</v>
      </c>
      <c r="I130" s="109">
        <f>H130*J130</f>
        <v>0.97304340399574618</v>
      </c>
      <c r="J130" s="111">
        <f t="shared" si="229"/>
        <v>0.97304340399574618</v>
      </c>
      <c r="K130" s="2"/>
      <c r="L130" s="104" t="s">
        <v>518</v>
      </c>
      <c r="M130" s="94">
        <f>SUM(AW242:BP242)</f>
        <v>48984.848849000002</v>
      </c>
      <c r="N130" s="95">
        <f t="shared" si="231"/>
        <v>1357.0461249</v>
      </c>
      <c r="O130" s="2"/>
      <c r="P130" s="2"/>
      <c r="Q130" s="2"/>
      <c r="R130" s="6"/>
      <c r="S130" s="6" t="s">
        <v>707</v>
      </c>
      <c r="T130" s="6" t="s">
        <v>708</v>
      </c>
      <c r="U130" s="6" t="s">
        <v>709</v>
      </c>
      <c r="V130" s="6" t="s">
        <v>710</v>
      </c>
      <c r="W130" s="6" t="s">
        <v>711</v>
      </c>
      <c r="X130" s="6" t="s">
        <v>632</v>
      </c>
      <c r="Y130" s="6" t="s">
        <v>599</v>
      </c>
      <c r="Z130" s="6" t="s">
        <v>87</v>
      </c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</row>
    <row r="131" spans="1:71" x14ac:dyDescent="0.35">
      <c r="A131" s="2"/>
      <c r="B131" s="2"/>
      <c r="C131" s="42" t="s">
        <v>519</v>
      </c>
      <c r="D131" s="44">
        <f t="shared" si="227"/>
        <v>7.9270381622426458E-2</v>
      </c>
      <c r="E131" s="2"/>
      <c r="F131" s="2"/>
      <c r="G131" s="42" t="s">
        <v>519</v>
      </c>
      <c r="H131" s="62">
        <v>1</v>
      </c>
      <c r="I131" s="109">
        <f t="shared" si="228"/>
        <v>7.9270381622426458E-2</v>
      </c>
      <c r="J131" s="111">
        <f t="shared" si="229"/>
        <v>7.9270381622426458E-2</v>
      </c>
      <c r="K131" s="2"/>
      <c r="L131" s="104" t="s">
        <v>519</v>
      </c>
      <c r="M131" s="94">
        <f t="shared" si="230"/>
        <v>4404.9444220000005</v>
      </c>
      <c r="N131" s="95">
        <f t="shared" si="231"/>
        <v>51163.659283999994</v>
      </c>
      <c r="O131" s="2"/>
      <c r="P131" s="2"/>
      <c r="Q131" s="2"/>
      <c r="R131" s="6" t="s">
        <v>700</v>
      </c>
      <c r="S131" s="119">
        <f t="shared" ref="S131:W134" si="241">S118+X118+AC118+AH118</f>
        <v>110002.49637010001</v>
      </c>
      <c r="T131" s="119">
        <f t="shared" si="241"/>
        <v>162123.492436</v>
      </c>
      <c r="U131" s="119">
        <f t="shared" si="241"/>
        <v>202974.15996710007</v>
      </c>
      <c r="V131" s="119">
        <f t="shared" si="241"/>
        <v>242093.42907770001</v>
      </c>
      <c r="W131" s="119">
        <f t="shared" si="241"/>
        <v>158327.59863200004</v>
      </c>
      <c r="X131" s="119">
        <f>SUM(S118:AB118)</f>
        <v>813096.1968392001</v>
      </c>
      <c r="Y131" s="119">
        <f>SUM(AC118:AL118)</f>
        <v>62424.979643700011</v>
      </c>
      <c r="Z131" s="119">
        <f>SUM(S118:AL118)</f>
        <v>875521.17648290005</v>
      </c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</row>
    <row r="132" spans="1:71" x14ac:dyDescent="0.35">
      <c r="A132" s="2"/>
      <c r="B132" s="2"/>
      <c r="C132" s="42" t="s">
        <v>480</v>
      </c>
      <c r="D132" s="44">
        <f t="shared" si="227"/>
        <v>0.12341458432753645</v>
      </c>
      <c r="E132" s="2"/>
      <c r="F132" s="2"/>
      <c r="G132" s="42" t="s">
        <v>480</v>
      </c>
      <c r="H132" s="62">
        <v>1</v>
      </c>
      <c r="I132" s="109">
        <f t="shared" si="228"/>
        <v>0.12341458432753645</v>
      </c>
      <c r="J132" s="111">
        <f t="shared" si="229"/>
        <v>0.12341458432753645</v>
      </c>
      <c r="K132" s="2"/>
      <c r="L132" s="104" t="s">
        <v>480</v>
      </c>
      <c r="M132" s="94">
        <f t="shared" si="230"/>
        <v>9855.2385459999969</v>
      </c>
      <c r="N132" s="95">
        <f t="shared" si="231"/>
        <v>69999.493369999997</v>
      </c>
      <c r="O132" s="2"/>
      <c r="P132" s="2"/>
      <c r="Q132" s="2"/>
      <c r="R132" s="6" t="s">
        <v>701</v>
      </c>
      <c r="S132" s="119">
        <f t="shared" si="241"/>
        <v>208804.35976049997</v>
      </c>
      <c r="T132" s="119">
        <f t="shared" si="241"/>
        <v>317801.85086010001</v>
      </c>
      <c r="U132" s="119">
        <f t="shared" si="241"/>
        <v>431465.09007789992</v>
      </c>
      <c r="V132" s="119">
        <f t="shared" si="241"/>
        <v>647860.40071229998</v>
      </c>
      <c r="W132" s="119">
        <f t="shared" si="241"/>
        <v>1983933.6583603998</v>
      </c>
      <c r="X132" s="119">
        <f>SUM(S119:AB119)</f>
        <v>1916609.4525970998</v>
      </c>
      <c r="Y132" s="119">
        <f>SUM(AC119:AL119)</f>
        <v>1673255.9071740999</v>
      </c>
      <c r="Z132" s="119">
        <f>SUM(S119:AL119)</f>
        <v>3589865.3597712</v>
      </c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</row>
    <row r="133" spans="1:71" x14ac:dyDescent="0.35">
      <c r="A133" s="2"/>
      <c r="B133" s="2"/>
      <c r="C133" s="42" t="s">
        <v>459</v>
      </c>
      <c r="D133" s="44">
        <f t="shared" si="227"/>
        <v>9.2939331011588855E-2</v>
      </c>
      <c r="E133" s="2"/>
      <c r="F133" s="2"/>
      <c r="G133" s="42" t="s">
        <v>459</v>
      </c>
      <c r="H133" s="62">
        <v>1</v>
      </c>
      <c r="I133" s="109">
        <f t="shared" si="228"/>
        <v>9.2939331011588855E-2</v>
      </c>
      <c r="J133" s="111">
        <f t="shared" si="229"/>
        <v>9.2939331011588855E-2</v>
      </c>
      <c r="K133" s="2"/>
      <c r="L133" s="104" t="s">
        <v>459</v>
      </c>
      <c r="M133" s="94">
        <f t="shared" si="230"/>
        <v>283.21534300000002</v>
      </c>
      <c r="N133" s="95">
        <f t="shared" si="231"/>
        <v>2764.0988556000002</v>
      </c>
      <c r="O133" s="2"/>
      <c r="P133" s="2"/>
      <c r="Q133" s="2"/>
      <c r="R133" s="6" t="s">
        <v>87</v>
      </c>
      <c r="S133" s="119">
        <f t="shared" si="241"/>
        <v>318806.85613059998</v>
      </c>
      <c r="T133" s="119">
        <f t="shared" si="241"/>
        <v>479925.34329609998</v>
      </c>
      <c r="U133" s="119">
        <f t="shared" si="241"/>
        <v>634439.25004499988</v>
      </c>
      <c r="V133" s="119">
        <f t="shared" si="241"/>
        <v>889953.82978999999</v>
      </c>
      <c r="W133" s="119">
        <f t="shared" si="241"/>
        <v>2142261.2569923997</v>
      </c>
      <c r="X133" s="119">
        <f>SUM(S120:AB120)</f>
        <v>2729705.6494362997</v>
      </c>
      <c r="Y133" s="119">
        <f>SUM(AC120:AL120)</f>
        <v>1735680.8868177999</v>
      </c>
      <c r="Z133" s="119">
        <f>SUM(S120:AL120)</f>
        <v>4465386.5362541005</v>
      </c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</row>
    <row r="134" spans="1:71" x14ac:dyDescent="0.35">
      <c r="A134" s="2"/>
      <c r="B134" s="2"/>
      <c r="C134" s="42" t="s">
        <v>520</v>
      </c>
      <c r="D134" s="44">
        <f t="shared" si="227"/>
        <v>0.20635572023537674</v>
      </c>
      <c r="E134" s="2"/>
      <c r="F134" s="2"/>
      <c r="G134" s="42" t="s">
        <v>520</v>
      </c>
      <c r="H134" s="62">
        <v>1</v>
      </c>
      <c r="I134" s="109">
        <f t="shared" si="228"/>
        <v>0.20635572023537674</v>
      </c>
      <c r="J134" s="111">
        <f t="shared" si="229"/>
        <v>0.20635572023537674</v>
      </c>
      <c r="K134" s="2"/>
      <c r="L134" s="104" t="s">
        <v>520</v>
      </c>
      <c r="M134" s="94">
        <f t="shared" si="230"/>
        <v>893.32113699999991</v>
      </c>
      <c r="N134" s="95">
        <f t="shared" si="231"/>
        <v>3435.7138709999999</v>
      </c>
      <c r="O134" s="2"/>
      <c r="P134" s="2"/>
      <c r="Q134" s="2"/>
      <c r="R134" s="6" t="s">
        <v>702</v>
      </c>
      <c r="S134" s="119">
        <f t="shared" si="241"/>
        <v>205212.36272070001</v>
      </c>
      <c r="T134" s="119">
        <f t="shared" si="241"/>
        <v>319887.90015310008</v>
      </c>
      <c r="U134" s="119">
        <f t="shared" si="241"/>
        <v>423856.13875440008</v>
      </c>
      <c r="V134" s="119">
        <f t="shared" si="241"/>
        <v>578642.19032470032</v>
      </c>
      <c r="W134" s="119">
        <f t="shared" si="241"/>
        <v>1011526.3270573999</v>
      </c>
      <c r="X134" s="119">
        <f>SUM(S121:AB121)</f>
        <v>1784178.9039862002</v>
      </c>
      <c r="Y134" s="119">
        <f>SUM(AC121:AL121)</f>
        <v>754946.01502410008</v>
      </c>
      <c r="Z134" s="119">
        <f>SUM(S121:AL121)</f>
        <v>2539124.9190103002</v>
      </c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</row>
    <row r="135" spans="1:71" x14ac:dyDescent="0.35">
      <c r="A135" s="2"/>
      <c r="B135" s="2"/>
      <c r="C135" s="42" t="s">
        <v>461</v>
      </c>
      <c r="D135" s="44">
        <f t="shared" si="227"/>
        <v>0</v>
      </c>
      <c r="E135" s="2"/>
      <c r="F135" s="2"/>
      <c r="G135" s="42" t="s">
        <v>461</v>
      </c>
      <c r="H135" s="62">
        <v>1</v>
      </c>
      <c r="I135" s="109">
        <f t="shared" si="228"/>
        <v>0</v>
      </c>
      <c r="J135" s="111">
        <f t="shared" si="229"/>
        <v>0</v>
      </c>
      <c r="K135" s="2"/>
      <c r="L135" s="104" t="s">
        <v>461</v>
      </c>
      <c r="M135" s="94">
        <f t="shared" si="230"/>
        <v>0</v>
      </c>
      <c r="N135" s="95">
        <f t="shared" si="231"/>
        <v>0</v>
      </c>
      <c r="O135" s="2"/>
      <c r="P135" s="2"/>
      <c r="Q135" s="2"/>
      <c r="R135" s="6" t="s">
        <v>715</v>
      </c>
      <c r="S135" s="33">
        <f t="shared" ref="S135" si="242">S134/S133</f>
        <v>0.64368867473990043</v>
      </c>
      <c r="T135" s="33">
        <f t="shared" ref="T135" si="243">T134/T133</f>
        <v>0.66653679498592044</v>
      </c>
      <c r="U135" s="33">
        <f t="shared" ref="U135" si="244">U134/U133</f>
        <v>0.66807994417800687</v>
      </c>
      <c r="V135" s="33">
        <f t="shared" ref="V135" si="245">V134/V133</f>
        <v>0.65019349426390016</v>
      </c>
      <c r="W135" s="33">
        <f t="shared" ref="W135" si="246">W134/W133</f>
        <v>0.47217692228515551</v>
      </c>
      <c r="X135" s="33">
        <f t="shared" ref="X135" si="247">X134/X133</f>
        <v>0.65361585940764111</v>
      </c>
      <c r="Y135" s="33">
        <f t="shared" ref="Y135" si="248">Y134/Y133</f>
        <v>0.43495669092042566</v>
      </c>
      <c r="Z135" s="33">
        <f t="shared" ref="Z135" si="249">Z134/Z133</f>
        <v>0.56862376826627592</v>
      </c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</row>
    <row r="136" spans="1:71" x14ac:dyDescent="0.35">
      <c r="A136" s="2"/>
      <c r="B136" s="2"/>
      <c r="C136" s="42" t="s">
        <v>482</v>
      </c>
      <c r="D136" s="44">
        <f t="shared" si="227"/>
        <v>0</v>
      </c>
      <c r="E136" s="2"/>
      <c r="F136" s="2"/>
      <c r="G136" s="42" t="s">
        <v>482</v>
      </c>
      <c r="H136" s="62">
        <v>1</v>
      </c>
      <c r="I136" s="109">
        <f t="shared" si="228"/>
        <v>0</v>
      </c>
      <c r="J136" s="111">
        <f t="shared" si="229"/>
        <v>0</v>
      </c>
      <c r="K136" s="2"/>
      <c r="L136" s="104" t="s">
        <v>482</v>
      </c>
      <c r="M136" s="94">
        <f t="shared" si="230"/>
        <v>0</v>
      </c>
      <c r="N136" s="95">
        <f t="shared" si="231"/>
        <v>0</v>
      </c>
      <c r="O136" s="2"/>
      <c r="P136" s="2"/>
      <c r="Q136" s="2"/>
      <c r="R136" s="6" t="s">
        <v>703</v>
      </c>
      <c r="S136" s="119">
        <f>S123+X123+AC123+AH123</f>
        <v>52399.836482200008</v>
      </c>
      <c r="T136" s="119">
        <f>T123+Y123+AD123+AI123</f>
        <v>89914.919670399977</v>
      </c>
      <c r="U136" s="119">
        <f>U123+Z123+AE123+AJ123</f>
        <v>133217.19522790003</v>
      </c>
      <c r="V136" s="119">
        <f>V123+AA123+AF123+AK123</f>
        <v>215609.51932669998</v>
      </c>
      <c r="W136" s="119">
        <f>W123+AB123+AG123+AL123</f>
        <v>541708.17855329998</v>
      </c>
      <c r="X136" s="119">
        <f>SUM(S123:AB123)</f>
        <v>628262.08720439987</v>
      </c>
      <c r="Y136" s="119">
        <f>SUM(AC123:AL123)</f>
        <v>404587.5620561</v>
      </c>
      <c r="Z136" s="119">
        <f>SUM(S123:AL123)</f>
        <v>1032849.6492605001</v>
      </c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</row>
    <row r="137" spans="1:71" x14ac:dyDescent="0.35">
      <c r="A137" s="2"/>
      <c r="B137" s="2"/>
      <c r="C137" s="42" t="s">
        <v>481</v>
      </c>
      <c r="D137" s="44">
        <f t="shared" si="227"/>
        <v>0</v>
      </c>
      <c r="E137" s="2"/>
      <c r="F137" s="2"/>
      <c r="G137" s="42" t="s">
        <v>481</v>
      </c>
      <c r="H137" s="62">
        <v>1</v>
      </c>
      <c r="I137" s="109">
        <f t="shared" si="228"/>
        <v>0</v>
      </c>
      <c r="J137" s="111">
        <f t="shared" si="229"/>
        <v>0</v>
      </c>
      <c r="K137" s="2"/>
      <c r="L137" s="104" t="s">
        <v>481</v>
      </c>
      <c r="M137" s="94">
        <f t="shared" si="230"/>
        <v>0</v>
      </c>
      <c r="N137" s="95">
        <f t="shared" si="231"/>
        <v>0</v>
      </c>
      <c r="O137" s="2"/>
      <c r="P137" s="2"/>
      <c r="Q137" s="2"/>
      <c r="R137" s="6" t="s">
        <v>716</v>
      </c>
      <c r="S137" s="33">
        <f t="shared" ref="S137:Z137" si="250">S136/S134</f>
        <v>0.25534444312947024</v>
      </c>
      <c r="T137" s="33">
        <f t="shared" si="250"/>
        <v>0.28108259058053214</v>
      </c>
      <c r="U137" s="33">
        <f t="shared" si="250"/>
        <v>0.31429813808852636</v>
      </c>
      <c r="V137" s="33">
        <f t="shared" si="250"/>
        <v>0.37261285632441088</v>
      </c>
      <c r="W137" s="33">
        <f t="shared" si="250"/>
        <v>0.53553542212704097</v>
      </c>
      <c r="X137" s="33">
        <f t="shared" si="250"/>
        <v>0.35212953465638508</v>
      </c>
      <c r="Y137" s="33">
        <f t="shared" si="250"/>
        <v>0.53591588538047241</v>
      </c>
      <c r="Z137" s="33">
        <f t="shared" si="250"/>
        <v>0.40677386194259563</v>
      </c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</row>
    <row r="138" spans="1:71" x14ac:dyDescent="0.35">
      <c r="A138" s="2"/>
      <c r="B138" s="2"/>
      <c r="C138" s="42" t="s">
        <v>476</v>
      </c>
      <c r="D138" s="44">
        <f t="shared" si="227"/>
        <v>0</v>
      </c>
      <c r="E138" s="2"/>
      <c r="F138" s="2"/>
      <c r="G138" s="42" t="s">
        <v>476</v>
      </c>
      <c r="H138" s="62">
        <v>1</v>
      </c>
      <c r="I138" s="109">
        <f t="shared" si="228"/>
        <v>0</v>
      </c>
      <c r="J138" s="111">
        <f t="shared" si="229"/>
        <v>0</v>
      </c>
      <c r="K138" s="2"/>
      <c r="L138" s="104" t="s">
        <v>476</v>
      </c>
      <c r="M138" s="94">
        <f t="shared" si="230"/>
        <v>0</v>
      </c>
      <c r="N138" s="95">
        <f t="shared" si="231"/>
        <v>2883.2056520000001</v>
      </c>
      <c r="O138" s="2"/>
      <c r="P138" s="2"/>
      <c r="Q138" s="2"/>
      <c r="R138" s="6" t="s">
        <v>704</v>
      </c>
      <c r="S138" s="119">
        <f>S125+X125+AC125+AH125</f>
        <v>2348.7445709999997</v>
      </c>
      <c r="T138" s="119">
        <f>T125+Y125+AD125+AI125</f>
        <v>2350.0409089999998</v>
      </c>
      <c r="U138" s="119">
        <f>U125+Z125+AE125+AJ125</f>
        <v>2348.1044000000002</v>
      </c>
      <c r="V138" s="119">
        <f>V125+AA125+AF125+AK125</f>
        <v>2352.1492000000003</v>
      </c>
      <c r="W138" s="119">
        <f>W125+AB125+AG125+AL125</f>
        <v>2357.7973300000003</v>
      </c>
      <c r="X138" s="119">
        <f>SUM(S125:AB125)</f>
        <v>9250.2240399999991</v>
      </c>
      <c r="Y138" s="119">
        <f>SUM(AC125:AL125)</f>
        <v>2506.6123699999998</v>
      </c>
      <c r="Z138" s="119">
        <f>SUM(S125:AL125)</f>
        <v>11756.836409999998</v>
      </c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</row>
    <row r="139" spans="1:71" x14ac:dyDescent="0.35">
      <c r="A139" s="2"/>
      <c r="B139" s="2"/>
      <c r="C139" s="42" t="s">
        <v>474</v>
      </c>
      <c r="D139" s="44">
        <f t="shared" si="227"/>
        <v>5.8432554424623709E-2</v>
      </c>
      <c r="E139" s="2"/>
      <c r="F139" s="2"/>
      <c r="G139" s="42" t="s">
        <v>474</v>
      </c>
      <c r="H139" s="62">
        <v>1</v>
      </c>
      <c r="I139" s="109">
        <f t="shared" si="228"/>
        <v>5.8432554424623709E-2</v>
      </c>
      <c r="J139" s="111">
        <f t="shared" si="229"/>
        <v>5.8432554424623709E-2</v>
      </c>
      <c r="K139" s="2"/>
      <c r="L139" s="104" t="s">
        <v>474</v>
      </c>
      <c r="M139" s="94">
        <f t="shared" si="230"/>
        <v>127.940377</v>
      </c>
      <c r="N139" s="95">
        <f t="shared" si="231"/>
        <v>2061.5989690000001</v>
      </c>
      <c r="O139" s="2"/>
      <c r="P139" s="2"/>
      <c r="Q139" s="2"/>
      <c r="R139" s="6" t="s">
        <v>705</v>
      </c>
      <c r="S139" s="119">
        <f t="shared" ref="S139:Z139" si="251">S133/S138</f>
        <v>135.73500501796372</v>
      </c>
      <c r="T139" s="119">
        <f t="shared" si="251"/>
        <v>204.21999525970807</v>
      </c>
      <c r="U139" s="119">
        <f t="shared" si="251"/>
        <v>270.19209624793507</v>
      </c>
      <c r="V139" s="119">
        <f t="shared" si="251"/>
        <v>378.35772908878397</v>
      </c>
      <c r="W139" s="119">
        <f t="shared" si="251"/>
        <v>908.58583548926129</v>
      </c>
      <c r="X139" s="119">
        <f t="shared" si="251"/>
        <v>295.09616606391944</v>
      </c>
      <c r="Y139" s="119">
        <f t="shared" si="251"/>
        <v>692.44088459429406</v>
      </c>
      <c r="Z139" s="119">
        <f t="shared" si="251"/>
        <v>379.81191372672174</v>
      </c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</row>
    <row r="140" spans="1:71" x14ac:dyDescent="0.35">
      <c r="A140" s="2"/>
      <c r="B140" s="2"/>
      <c r="C140" s="42" t="s">
        <v>521</v>
      </c>
      <c r="D140" s="44">
        <f t="shared" si="227"/>
        <v>0</v>
      </c>
      <c r="E140" s="2"/>
      <c r="F140" s="2"/>
      <c r="G140" s="42" t="s">
        <v>521</v>
      </c>
      <c r="H140" s="62">
        <v>1</v>
      </c>
      <c r="I140" s="109">
        <f t="shared" si="228"/>
        <v>0</v>
      </c>
      <c r="J140" s="111">
        <f t="shared" si="229"/>
        <v>0</v>
      </c>
      <c r="K140" s="2"/>
      <c r="L140" s="104" t="s">
        <v>521</v>
      </c>
      <c r="M140" s="94">
        <f t="shared" si="230"/>
        <v>0</v>
      </c>
      <c r="N140" s="95">
        <f t="shared" si="231"/>
        <v>0</v>
      </c>
      <c r="O140" s="2"/>
      <c r="P140" s="2"/>
      <c r="Q140" s="2"/>
      <c r="R140" s="6" t="s">
        <v>717</v>
      </c>
      <c r="S140" s="33">
        <f>S131/S133</f>
        <v>0.34504432465855511</v>
      </c>
      <c r="T140" s="33">
        <f t="shared" ref="T140:Z140" si="252">T131/T133</f>
        <v>0.3378098170906022</v>
      </c>
      <c r="U140" s="33">
        <f t="shared" si="252"/>
        <v>0.31992686447552449</v>
      </c>
      <c r="V140" s="33">
        <f t="shared" si="252"/>
        <v>0.27202920081239063</v>
      </c>
      <c r="W140" s="33">
        <f t="shared" si="252"/>
        <v>7.39067646932485E-2</v>
      </c>
      <c r="X140" s="33">
        <f t="shared" si="252"/>
        <v>0.29786955124890818</v>
      </c>
      <c r="Y140" s="33">
        <f t="shared" si="252"/>
        <v>3.5965700906086528E-2</v>
      </c>
      <c r="Z140" s="33">
        <f t="shared" si="252"/>
        <v>0.19606839617905789</v>
      </c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</row>
    <row r="141" spans="1:71" x14ac:dyDescent="0.35">
      <c r="A141" s="2"/>
      <c r="B141" s="2"/>
      <c r="C141" s="42" t="s">
        <v>483</v>
      </c>
      <c r="D141" s="44">
        <f t="shared" si="227"/>
        <v>4.7178261484819781E-2</v>
      </c>
      <c r="E141" s="2"/>
      <c r="F141" s="2"/>
      <c r="G141" s="42" t="s">
        <v>483</v>
      </c>
      <c r="H141" s="62">
        <v>1</v>
      </c>
      <c r="I141" s="109">
        <f t="shared" si="228"/>
        <v>4.7178261484819781E-2</v>
      </c>
      <c r="J141" s="111">
        <f t="shared" si="229"/>
        <v>4.7178261484819781E-2</v>
      </c>
      <c r="K141" s="2"/>
      <c r="L141" s="104" t="s">
        <v>483</v>
      </c>
      <c r="M141" s="94">
        <f t="shared" si="230"/>
        <v>32.731133499999999</v>
      </c>
      <c r="N141" s="95">
        <f t="shared" si="231"/>
        <v>661.04461130000004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</row>
    <row r="142" spans="1:71" x14ac:dyDescent="0.35">
      <c r="A142" s="2"/>
      <c r="B142" s="2"/>
      <c r="C142" s="42" t="s">
        <v>441</v>
      </c>
      <c r="D142" s="44">
        <f t="shared" si="227"/>
        <v>0</v>
      </c>
      <c r="E142" s="2"/>
      <c r="F142" s="2"/>
      <c r="G142" s="42" t="s">
        <v>441</v>
      </c>
      <c r="H142" s="62">
        <v>1</v>
      </c>
      <c r="I142" s="109">
        <f t="shared" si="228"/>
        <v>0</v>
      </c>
      <c r="J142" s="111">
        <f t="shared" si="229"/>
        <v>0</v>
      </c>
      <c r="K142" s="2"/>
      <c r="L142" s="104" t="s">
        <v>441</v>
      </c>
      <c r="M142" s="94">
        <f t="shared" si="230"/>
        <v>0</v>
      </c>
      <c r="N142" s="95">
        <f t="shared" si="231"/>
        <v>0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</row>
    <row r="143" spans="1:71" x14ac:dyDescent="0.35">
      <c r="A143" s="2"/>
      <c r="B143" s="2"/>
      <c r="C143" s="42" t="s">
        <v>455</v>
      </c>
      <c r="D143" s="44">
        <f t="shared" si="227"/>
        <v>5.5822748098136449E-2</v>
      </c>
      <c r="E143" s="2"/>
      <c r="F143" s="2"/>
      <c r="G143" s="42" t="s">
        <v>455</v>
      </c>
      <c r="H143" s="62">
        <v>1</v>
      </c>
      <c r="I143" s="109">
        <f t="shared" si="228"/>
        <v>5.5822748098136449E-2</v>
      </c>
      <c r="J143" s="111">
        <f t="shared" si="229"/>
        <v>5.5822748098136449E-2</v>
      </c>
      <c r="K143" s="2"/>
      <c r="L143" s="104" t="s">
        <v>455</v>
      </c>
      <c r="M143" s="94">
        <f t="shared" si="230"/>
        <v>585.27196670000001</v>
      </c>
      <c r="N143" s="95">
        <f t="shared" si="231"/>
        <v>9899.1987310000004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</row>
    <row r="144" spans="1:71" x14ac:dyDescent="0.35">
      <c r="A144" s="2"/>
      <c r="B144" s="2"/>
      <c r="C144" s="42" t="s">
        <v>447</v>
      </c>
      <c r="D144" s="44">
        <f t="shared" si="227"/>
        <v>0.41977354950515239</v>
      </c>
      <c r="E144" s="2"/>
      <c r="F144" s="2"/>
      <c r="G144" s="42" t="s">
        <v>447</v>
      </c>
      <c r="H144" s="62">
        <v>1</v>
      </c>
      <c r="I144" s="109">
        <f t="shared" si="228"/>
        <v>0.41977354950515239</v>
      </c>
      <c r="J144" s="111">
        <f t="shared" si="229"/>
        <v>0.41977354950515239</v>
      </c>
      <c r="K144" s="2"/>
      <c r="L144" s="104" t="s">
        <v>447</v>
      </c>
      <c r="M144" s="94">
        <f t="shared" si="230"/>
        <v>1241.5310300000001</v>
      </c>
      <c r="N144" s="95">
        <f t="shared" si="231"/>
        <v>1716.0898859999998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</row>
    <row r="145" spans="1:71" x14ac:dyDescent="0.35">
      <c r="A145" s="2"/>
      <c r="B145" s="2"/>
      <c r="C145" s="42" t="s">
        <v>457</v>
      </c>
      <c r="D145" s="44">
        <f t="shared" si="227"/>
        <v>0.40932719935182704</v>
      </c>
      <c r="E145" s="2"/>
      <c r="F145" s="2"/>
      <c r="G145" s="42" t="s">
        <v>457</v>
      </c>
      <c r="H145" s="62">
        <v>1</v>
      </c>
      <c r="I145" s="109">
        <f t="shared" si="228"/>
        <v>0.40932719935182704</v>
      </c>
      <c r="J145" s="111">
        <f t="shared" si="229"/>
        <v>0.40932719935182704</v>
      </c>
      <c r="K145" s="2"/>
      <c r="L145" s="104" t="s">
        <v>457</v>
      </c>
      <c r="M145" s="94">
        <f t="shared" si="230"/>
        <v>552.92548349999993</v>
      </c>
      <c r="N145" s="95">
        <f t="shared" si="231"/>
        <v>797.88991399999986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</row>
    <row r="146" spans="1:71" x14ac:dyDescent="0.35">
      <c r="A146" s="2"/>
      <c r="B146" s="2"/>
      <c r="C146" s="42" t="s">
        <v>444</v>
      </c>
      <c r="D146" s="44">
        <f t="shared" si="227"/>
        <v>0.29864375395369769</v>
      </c>
      <c r="E146" s="2"/>
      <c r="F146" s="2"/>
      <c r="G146" s="42" t="s">
        <v>444</v>
      </c>
      <c r="H146" s="62">
        <v>1</v>
      </c>
      <c r="I146" s="109">
        <f t="shared" si="228"/>
        <v>0.29864375395369769</v>
      </c>
      <c r="J146" s="111">
        <f t="shared" si="229"/>
        <v>0.29864375395369769</v>
      </c>
      <c r="K146" s="2"/>
      <c r="L146" s="104" t="s">
        <v>444</v>
      </c>
      <c r="M146" s="94">
        <f t="shared" si="230"/>
        <v>11575.164723999998</v>
      </c>
      <c r="N146" s="95">
        <f t="shared" si="231"/>
        <v>27183.940633999999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</row>
    <row r="147" spans="1:71" x14ac:dyDescent="0.35">
      <c r="A147" s="2"/>
      <c r="B147" s="2"/>
      <c r="C147" s="42" t="s">
        <v>451</v>
      </c>
      <c r="D147" s="44">
        <f t="shared" si="227"/>
        <v>0.14363029721603282</v>
      </c>
      <c r="E147" s="2"/>
      <c r="F147" s="2"/>
      <c r="G147" s="42" t="s">
        <v>451</v>
      </c>
      <c r="H147" s="62">
        <v>1</v>
      </c>
      <c r="I147" s="109">
        <f t="shared" si="228"/>
        <v>0.14363029721603282</v>
      </c>
      <c r="J147" s="111">
        <f t="shared" si="229"/>
        <v>0.14363029721603282</v>
      </c>
      <c r="K147" s="2"/>
      <c r="L147" s="104" t="s">
        <v>451</v>
      </c>
      <c r="M147" s="94">
        <f t="shared" si="230"/>
        <v>870.31282699999997</v>
      </c>
      <c r="N147" s="95">
        <f t="shared" si="231"/>
        <v>5189.0830237999999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</row>
    <row r="148" spans="1:71" x14ac:dyDescent="0.35">
      <c r="A148" s="2"/>
      <c r="B148" s="2"/>
      <c r="C148" s="42" t="s">
        <v>522</v>
      </c>
      <c r="D148" s="44">
        <f t="shared" si="227"/>
        <v>3.5951172973254881E-3</v>
      </c>
      <c r="E148" s="2"/>
      <c r="F148" s="2"/>
      <c r="G148" s="42" t="s">
        <v>522</v>
      </c>
      <c r="H148" s="62">
        <v>1</v>
      </c>
      <c r="I148" s="109">
        <f t="shared" si="228"/>
        <v>3.5951172973254881E-3</v>
      </c>
      <c r="J148" s="111">
        <f t="shared" si="229"/>
        <v>3.5951172973254881E-3</v>
      </c>
      <c r="K148" s="2"/>
      <c r="L148" s="104" t="s">
        <v>522</v>
      </c>
      <c r="M148" s="94">
        <f t="shared" si="230"/>
        <v>10.9067291</v>
      </c>
      <c r="N148" s="95">
        <f t="shared" si="231"/>
        <v>3022.8549531999993</v>
      </c>
      <c r="O148" s="2"/>
      <c r="P148" s="2"/>
      <c r="Q148" s="2"/>
      <c r="R148" s="25" t="s">
        <v>712</v>
      </c>
      <c r="S148" s="6"/>
      <c r="T148" s="6"/>
      <c r="U148" s="6"/>
      <c r="V148" s="6"/>
      <c r="W148" s="6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</row>
    <row r="149" spans="1:71" x14ac:dyDescent="0.35">
      <c r="A149" s="2"/>
      <c r="B149" s="2"/>
      <c r="C149" s="42" t="s">
        <v>523</v>
      </c>
      <c r="D149" s="44">
        <f t="shared" si="227"/>
        <v>0</v>
      </c>
      <c r="E149" s="2"/>
      <c r="F149" s="2"/>
      <c r="G149" s="42" t="s">
        <v>523</v>
      </c>
      <c r="H149" s="62">
        <v>1</v>
      </c>
      <c r="I149" s="109">
        <f t="shared" si="228"/>
        <v>0</v>
      </c>
      <c r="J149" s="111">
        <f t="shared" si="229"/>
        <v>0</v>
      </c>
      <c r="K149" s="2"/>
      <c r="L149" s="104" t="s">
        <v>523</v>
      </c>
      <c r="M149" s="94">
        <f t="shared" si="230"/>
        <v>0</v>
      </c>
      <c r="N149" s="95">
        <f t="shared" si="231"/>
        <v>0</v>
      </c>
      <c r="O149" s="2"/>
      <c r="P149" s="2"/>
      <c r="Q149" s="2"/>
      <c r="R149" s="119"/>
      <c r="S149" s="119" t="s">
        <v>707</v>
      </c>
      <c r="T149" s="119" t="s">
        <v>708</v>
      </c>
      <c r="U149" s="119" t="s">
        <v>709</v>
      </c>
      <c r="V149" s="119" t="s">
        <v>710</v>
      </c>
      <c r="W149" s="119" t="s">
        <v>711</v>
      </c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</row>
    <row r="150" spans="1:71" x14ac:dyDescent="0.35">
      <c r="A150" s="2"/>
      <c r="B150" s="2"/>
      <c r="C150" s="42" t="s">
        <v>524</v>
      </c>
      <c r="D150" s="44">
        <f t="shared" si="227"/>
        <v>0.87399610984965048</v>
      </c>
      <c r="E150" s="2"/>
      <c r="F150" s="2"/>
      <c r="G150" s="42" t="s">
        <v>524</v>
      </c>
      <c r="H150" s="62">
        <v>1</v>
      </c>
      <c r="I150" s="109">
        <f t="shared" si="228"/>
        <v>0.87399610984965048</v>
      </c>
      <c r="J150" s="111">
        <f t="shared" si="229"/>
        <v>0.87399610984965048</v>
      </c>
      <c r="K150" s="2"/>
      <c r="L150" s="104" t="s">
        <v>524</v>
      </c>
      <c r="M150" s="94">
        <f t="shared" si="230"/>
        <v>339011.33619999985</v>
      </c>
      <c r="N150" s="95">
        <f t="shared" si="231"/>
        <v>48875.214299999992</v>
      </c>
      <c r="O150" s="2"/>
      <c r="P150" s="2"/>
      <c r="Q150" s="2"/>
      <c r="R150" s="119" t="s">
        <v>713</v>
      </c>
      <c r="S150" s="119">
        <f>S126</f>
        <v>136.77129172007415</v>
      </c>
      <c r="T150" s="119">
        <f t="shared" ref="T150:W150" si="253">T126</f>
        <v>206.40705909748709</v>
      </c>
      <c r="U150" s="119">
        <f t="shared" si="253"/>
        <v>272.7496289738616</v>
      </c>
      <c r="V150" s="119">
        <f t="shared" si="253"/>
        <v>382.33111917578333</v>
      </c>
      <c r="W150" s="119">
        <f t="shared" si="253"/>
        <v>676.42394890334606</v>
      </c>
      <c r="X150" s="119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</row>
    <row r="151" spans="1:71" x14ac:dyDescent="0.35">
      <c r="A151" s="2"/>
      <c r="B151" s="2"/>
      <c r="C151" s="42" t="s">
        <v>525</v>
      </c>
      <c r="D151" s="44">
        <f t="shared" si="227"/>
        <v>1</v>
      </c>
      <c r="E151" s="2"/>
      <c r="F151" s="2"/>
      <c r="G151" s="42" t="s">
        <v>525</v>
      </c>
      <c r="H151" s="62">
        <v>1</v>
      </c>
      <c r="I151" s="109">
        <f t="shared" si="228"/>
        <v>1</v>
      </c>
      <c r="J151" s="111">
        <f t="shared" si="229"/>
        <v>1</v>
      </c>
      <c r="K151" s="2"/>
      <c r="L151" s="104" t="s">
        <v>525</v>
      </c>
      <c r="M151" s="94">
        <f t="shared" si="230"/>
        <v>980.38615200000004</v>
      </c>
      <c r="N151" s="95">
        <f t="shared" si="231"/>
        <v>0</v>
      </c>
      <c r="O151" s="2"/>
      <c r="P151" s="2"/>
      <c r="Q151" s="2"/>
      <c r="R151" s="119" t="s">
        <v>714</v>
      </c>
      <c r="S151" s="119">
        <f>X126</f>
        <v>111.40166689948958</v>
      </c>
      <c r="T151" s="119">
        <f t="shared" ref="T151:W151" si="254">Y126</f>
        <v>117.60189508564905</v>
      </c>
      <c r="U151" s="119">
        <f t="shared" si="254"/>
        <v>220.38699197544517</v>
      </c>
      <c r="V151" s="119">
        <f t="shared" si="254"/>
        <v>321.44818352927996</v>
      </c>
      <c r="W151" s="119">
        <f t="shared" si="254"/>
        <v>921.79514768910883</v>
      </c>
      <c r="X151" s="119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</row>
    <row r="152" spans="1:71" x14ac:dyDescent="0.35">
      <c r="A152" s="2"/>
      <c r="B152" s="2"/>
      <c r="C152" s="42" t="s">
        <v>485</v>
      </c>
      <c r="D152" s="44">
        <f t="shared" si="227"/>
        <v>0</v>
      </c>
      <c r="E152" s="2"/>
      <c r="F152" s="2"/>
      <c r="G152" s="42" t="s">
        <v>485</v>
      </c>
      <c r="H152" s="62">
        <v>1</v>
      </c>
      <c r="I152" s="109">
        <f t="shared" si="228"/>
        <v>0</v>
      </c>
      <c r="J152" s="111">
        <f t="shared" si="229"/>
        <v>0</v>
      </c>
      <c r="K152" s="2"/>
      <c r="L152" s="104" t="s">
        <v>485</v>
      </c>
      <c r="M152" s="94">
        <f t="shared" si="230"/>
        <v>0</v>
      </c>
      <c r="N152" s="95">
        <f t="shared" si="231"/>
        <v>0</v>
      </c>
      <c r="O152" s="2"/>
      <c r="P152" s="2"/>
      <c r="Q152" s="2"/>
      <c r="R152" s="119" t="s">
        <v>599</v>
      </c>
      <c r="S152" s="119">
        <f>AC126</f>
        <v>129.89196422258576</v>
      </c>
      <c r="T152" s="119">
        <f t="shared" ref="T152:W152" si="255">AD126</f>
        <v>208.46983743384655</v>
      </c>
      <c r="U152" s="119">
        <f t="shared" si="255"/>
        <v>283.88910739633343</v>
      </c>
      <c r="V152" s="119">
        <f t="shared" si="255"/>
        <v>414.94552328673473</v>
      </c>
      <c r="W152" s="119">
        <f t="shared" si="255"/>
        <v>917.34407716728958</v>
      </c>
      <c r="X152" s="119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</row>
    <row r="153" spans="1:71" x14ac:dyDescent="0.35">
      <c r="A153" s="2"/>
      <c r="B153" s="2"/>
      <c r="C153" s="42" t="s">
        <v>484</v>
      </c>
      <c r="D153" s="44">
        <f t="shared" si="227"/>
        <v>2.7141766128908347E-2</v>
      </c>
      <c r="E153" s="2"/>
      <c r="F153" s="2"/>
      <c r="G153" s="42" t="s">
        <v>484</v>
      </c>
      <c r="H153" s="62">
        <v>1</v>
      </c>
      <c r="I153" s="109">
        <f t="shared" si="228"/>
        <v>2.7141766128908347E-2</v>
      </c>
      <c r="J153" s="111">
        <f t="shared" si="229"/>
        <v>2.7141766128908347E-2</v>
      </c>
      <c r="K153" s="2"/>
      <c r="L153" s="104" t="s">
        <v>484</v>
      </c>
      <c r="M153" s="94">
        <f t="shared" si="230"/>
        <v>463.48921999999999</v>
      </c>
      <c r="N153" s="95">
        <f t="shared" si="231"/>
        <v>16613.115810000003</v>
      </c>
      <c r="O153" s="2"/>
      <c r="P153" s="2"/>
      <c r="Q153" s="2"/>
      <c r="R153" s="119" t="s">
        <v>668</v>
      </c>
      <c r="S153" s="119">
        <f>AH126</f>
        <v>114.60406176080865</v>
      </c>
      <c r="T153" s="119">
        <f t="shared" ref="T153:W153" si="256">AI126</f>
        <v>166.55251230980045</v>
      </c>
      <c r="U153" s="119">
        <f t="shared" si="256"/>
        <v>225.59727709044265</v>
      </c>
      <c r="V153" s="119">
        <f t="shared" si="256"/>
        <v>333.48575093990286</v>
      </c>
      <c r="W153" s="119">
        <f t="shared" si="256"/>
        <v>1139.0589201136461</v>
      </c>
      <c r="X153" s="119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</row>
    <row r="154" spans="1:71" x14ac:dyDescent="0.35">
      <c r="A154" s="2"/>
      <c r="B154" s="2"/>
      <c r="C154" s="42" t="s">
        <v>448</v>
      </c>
      <c r="D154" s="44">
        <f t="shared" si="227"/>
        <v>0</v>
      </c>
      <c r="E154" s="2"/>
      <c r="F154" s="2"/>
      <c r="G154" s="42" t="s">
        <v>448</v>
      </c>
      <c r="H154" s="62">
        <v>1</v>
      </c>
      <c r="I154" s="109">
        <f t="shared" si="228"/>
        <v>0</v>
      </c>
      <c r="J154" s="111">
        <f t="shared" si="229"/>
        <v>0</v>
      </c>
      <c r="K154" s="2"/>
      <c r="L154" s="104" t="s">
        <v>448</v>
      </c>
      <c r="M154" s="94">
        <f t="shared" si="230"/>
        <v>0</v>
      </c>
      <c r="N154" s="95">
        <f t="shared" si="231"/>
        <v>0</v>
      </c>
      <c r="O154" s="2"/>
      <c r="P154" s="2"/>
      <c r="Q154" s="2"/>
      <c r="R154" s="119" t="s">
        <v>419</v>
      </c>
      <c r="S154" s="119">
        <f>S139</f>
        <v>135.73500501796372</v>
      </c>
      <c r="T154" s="119">
        <f t="shared" ref="T154:W154" si="257">T139</f>
        <v>204.21999525970807</v>
      </c>
      <c r="U154" s="119">
        <f t="shared" si="257"/>
        <v>270.19209624793507</v>
      </c>
      <c r="V154" s="119">
        <f t="shared" si="257"/>
        <v>378.35772908878397</v>
      </c>
      <c r="W154" s="119">
        <f t="shared" si="257"/>
        <v>908.58583548926129</v>
      </c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</row>
    <row r="155" spans="1:71" x14ac:dyDescent="0.35">
      <c r="A155" s="2"/>
      <c r="B155" s="2"/>
      <c r="C155" s="42" t="s">
        <v>526</v>
      </c>
      <c r="D155" s="44">
        <f t="shared" si="227"/>
        <v>0</v>
      </c>
      <c r="E155" s="2"/>
      <c r="F155" s="2"/>
      <c r="G155" s="42" t="s">
        <v>526</v>
      </c>
      <c r="H155" s="62">
        <v>1</v>
      </c>
      <c r="I155" s="109">
        <f t="shared" si="228"/>
        <v>0</v>
      </c>
      <c r="J155" s="111">
        <f t="shared" si="229"/>
        <v>0</v>
      </c>
      <c r="K155" s="2"/>
      <c r="L155" s="104" t="s">
        <v>526</v>
      </c>
      <c r="M155" s="94">
        <f t="shared" si="230"/>
        <v>0</v>
      </c>
      <c r="N155" s="95">
        <f t="shared" si="231"/>
        <v>0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</row>
    <row r="156" spans="1:71" x14ac:dyDescent="0.35">
      <c r="A156" s="2"/>
      <c r="B156" s="2"/>
      <c r="C156" s="42" t="s">
        <v>452</v>
      </c>
      <c r="D156" s="44">
        <f t="shared" si="227"/>
        <v>0</v>
      </c>
      <c r="E156" s="2"/>
      <c r="F156" s="2"/>
      <c r="G156" s="42" t="s">
        <v>452</v>
      </c>
      <c r="H156" s="62">
        <v>1</v>
      </c>
      <c r="I156" s="109">
        <f t="shared" si="228"/>
        <v>0</v>
      </c>
      <c r="J156" s="111">
        <f t="shared" si="229"/>
        <v>0</v>
      </c>
      <c r="K156" s="2"/>
      <c r="L156" s="104" t="s">
        <v>452</v>
      </c>
      <c r="M156" s="94">
        <f t="shared" si="230"/>
        <v>0</v>
      </c>
      <c r="N156" s="95">
        <f t="shared" si="231"/>
        <v>0</v>
      </c>
      <c r="O156" s="2"/>
      <c r="P156" s="2"/>
      <c r="Q156" s="2"/>
      <c r="R156" s="119"/>
      <c r="S156" s="119" t="s">
        <v>707</v>
      </c>
      <c r="T156" s="119" t="s">
        <v>708</v>
      </c>
      <c r="U156" s="119" t="s">
        <v>709</v>
      </c>
      <c r="V156" s="119" t="s">
        <v>710</v>
      </c>
      <c r="W156" s="119" t="s">
        <v>711</v>
      </c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</row>
    <row r="157" spans="1:71" x14ac:dyDescent="0.35">
      <c r="A157" s="2"/>
      <c r="B157" s="2"/>
      <c r="C157" s="42" t="s">
        <v>486</v>
      </c>
      <c r="D157" s="44">
        <f t="shared" si="227"/>
        <v>1.8015518898344322E-3</v>
      </c>
      <c r="E157" s="2"/>
      <c r="F157" s="2"/>
      <c r="G157" s="42" t="s">
        <v>486</v>
      </c>
      <c r="H157" s="62">
        <v>1</v>
      </c>
      <c r="I157" s="109">
        <f t="shared" si="228"/>
        <v>1.8015518898344322E-3</v>
      </c>
      <c r="J157" s="111">
        <f t="shared" si="229"/>
        <v>1.8015518898344322E-3</v>
      </c>
      <c r="K157" s="2"/>
      <c r="L157" s="104" t="s">
        <v>486</v>
      </c>
      <c r="M157" s="94">
        <f t="shared" si="230"/>
        <v>121.3922663</v>
      </c>
      <c r="N157" s="95">
        <f t="shared" si="231"/>
        <v>67260.661498000016</v>
      </c>
      <c r="O157" s="2"/>
      <c r="P157" s="2"/>
      <c r="Q157" s="2"/>
      <c r="R157" s="119" t="s">
        <v>713</v>
      </c>
      <c r="S157" s="37" t="str">
        <f>IF(S150&gt;MIN(T$150:T$154),"high","")</f>
        <v>high</v>
      </c>
      <c r="T157" s="37" t="str">
        <f t="shared" ref="T157:V160" si="258">IF(T150&gt;MIN(U$150:U$154),"high","")</f>
        <v/>
      </c>
      <c r="U157" s="37" t="str">
        <f t="shared" si="258"/>
        <v/>
      </c>
      <c r="V157" s="37" t="str">
        <f t="shared" si="258"/>
        <v/>
      </c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</row>
    <row r="158" spans="1:71" x14ac:dyDescent="0.35">
      <c r="A158" s="2"/>
      <c r="B158" s="2"/>
      <c r="C158" s="42" t="s">
        <v>487</v>
      </c>
      <c r="D158" s="44">
        <f t="shared" si="227"/>
        <v>0</v>
      </c>
      <c r="E158" s="2"/>
      <c r="F158" s="2"/>
      <c r="G158" s="42" t="s">
        <v>487</v>
      </c>
      <c r="H158" s="62">
        <v>0</v>
      </c>
      <c r="I158" s="109">
        <f t="shared" si="228"/>
        <v>0</v>
      </c>
      <c r="J158" s="111">
        <f t="shared" si="229"/>
        <v>3.5558800623981335E-4</v>
      </c>
      <c r="K158" s="2"/>
      <c r="L158" s="104" t="s">
        <v>487</v>
      </c>
      <c r="M158" s="94">
        <f t="shared" si="230"/>
        <v>9.2028756000000005</v>
      </c>
      <c r="N158" s="95">
        <f t="shared" si="231"/>
        <v>25871.522678999998</v>
      </c>
      <c r="O158" s="2"/>
      <c r="P158" s="2"/>
      <c r="Q158" s="2"/>
      <c r="R158" s="119" t="s">
        <v>714</v>
      </c>
      <c r="S158" s="37" t="str">
        <f>IF(S151&gt;MIN(T$150:T$154),"high","")</f>
        <v/>
      </c>
      <c r="T158" s="37" t="str">
        <f t="shared" si="258"/>
        <v/>
      </c>
      <c r="U158" s="37" t="str">
        <f>IF(U151&gt;MIN(V$150:V$154),"high","")</f>
        <v/>
      </c>
      <c r="V158" s="37" t="str">
        <f t="shared" si="258"/>
        <v/>
      </c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</row>
    <row r="159" spans="1:71" x14ac:dyDescent="0.35">
      <c r="A159" s="2"/>
      <c r="B159" s="2"/>
      <c r="C159" s="42" t="s">
        <v>489</v>
      </c>
      <c r="D159" s="44">
        <f t="shared" si="227"/>
        <v>0</v>
      </c>
      <c r="E159" s="2"/>
      <c r="F159" s="2"/>
      <c r="G159" s="42" t="s">
        <v>489</v>
      </c>
      <c r="H159" s="62">
        <v>0</v>
      </c>
      <c r="I159" s="109">
        <f t="shared" si="228"/>
        <v>0</v>
      </c>
      <c r="J159" s="111">
        <f t="shared" si="229"/>
        <v>3.4073669238648008E-4</v>
      </c>
      <c r="K159" s="2"/>
      <c r="L159" s="104" t="s">
        <v>489</v>
      </c>
      <c r="M159" s="94">
        <f t="shared" si="230"/>
        <v>0.70721590000000001</v>
      </c>
      <c r="N159" s="95">
        <f t="shared" si="231"/>
        <v>2074.8423677000001</v>
      </c>
      <c r="O159" s="2"/>
      <c r="P159" s="2"/>
      <c r="Q159" s="2"/>
      <c r="R159" s="119" t="s">
        <v>599</v>
      </c>
      <c r="S159" s="37" t="str">
        <f>IF(S152&gt;MIN(T$150:T$154),"high","")</f>
        <v>high</v>
      </c>
      <c r="T159" s="37" t="str">
        <f t="shared" si="258"/>
        <v/>
      </c>
      <c r="U159" s="37" t="str">
        <f t="shared" si="258"/>
        <v/>
      </c>
      <c r="V159" s="37" t="str">
        <f t="shared" si="258"/>
        <v/>
      </c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</row>
    <row r="160" spans="1:71" x14ac:dyDescent="0.35">
      <c r="A160" s="2"/>
      <c r="B160" s="2"/>
      <c r="C160" s="42" t="s">
        <v>490</v>
      </c>
      <c r="D160" s="44">
        <f t="shared" si="227"/>
        <v>2.6347834096707304E-3</v>
      </c>
      <c r="E160" s="2"/>
      <c r="F160" s="2"/>
      <c r="G160" s="42" t="s">
        <v>490</v>
      </c>
      <c r="H160" s="62">
        <v>1</v>
      </c>
      <c r="I160" s="109">
        <f t="shared" si="228"/>
        <v>2.6347834096707304E-3</v>
      </c>
      <c r="J160" s="111">
        <f t="shared" si="229"/>
        <v>2.6347834096707304E-3</v>
      </c>
      <c r="K160" s="2"/>
      <c r="L160" s="104" t="s">
        <v>490</v>
      </c>
      <c r="M160" s="94">
        <f t="shared" si="230"/>
        <v>297.32069879999995</v>
      </c>
      <c r="N160" s="95">
        <f t="shared" si="231"/>
        <v>112547.13464</v>
      </c>
      <c r="O160" s="2"/>
      <c r="P160" s="2"/>
      <c r="Q160" s="2"/>
      <c r="R160" s="119" t="s">
        <v>668</v>
      </c>
      <c r="S160" s="37" t="str">
        <f>IF(S153&gt;MIN(T$150:T$154),"high","")</f>
        <v/>
      </c>
      <c r="T160" s="37" t="str">
        <f t="shared" si="258"/>
        <v/>
      </c>
      <c r="U160" s="37" t="str">
        <f t="shared" si="258"/>
        <v/>
      </c>
      <c r="V160" s="37" t="str">
        <f t="shared" si="258"/>
        <v/>
      </c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</row>
    <row r="161" spans="1:71" x14ac:dyDescent="0.35">
      <c r="A161" s="2"/>
      <c r="B161" s="2"/>
      <c r="C161" s="42" t="s">
        <v>488</v>
      </c>
      <c r="D161" s="44">
        <f t="shared" si="227"/>
        <v>0.18880620606095758</v>
      </c>
      <c r="E161" s="2"/>
      <c r="F161" s="2"/>
      <c r="G161" s="42" t="s">
        <v>488</v>
      </c>
      <c r="H161" s="62">
        <v>0.5</v>
      </c>
      <c r="I161" s="109">
        <f t="shared" si="228"/>
        <v>0.18880620606095758</v>
      </c>
      <c r="J161" s="111">
        <f t="shared" si="229"/>
        <v>0.37761241212191515</v>
      </c>
      <c r="K161" s="2"/>
      <c r="L161" s="104" t="s">
        <v>488</v>
      </c>
      <c r="M161" s="94">
        <f t="shared" si="230"/>
        <v>5588.8764299999993</v>
      </c>
      <c r="N161" s="95">
        <f t="shared" si="231"/>
        <v>9211.6869270000007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</row>
    <row r="162" spans="1:71" x14ac:dyDescent="0.35">
      <c r="A162" s="2"/>
      <c r="B162" s="2"/>
      <c r="C162" s="42" t="s">
        <v>491</v>
      </c>
      <c r="D162" s="44">
        <f t="shared" si="227"/>
        <v>0.12041189222691046</v>
      </c>
      <c r="E162" s="2"/>
      <c r="F162" s="2"/>
      <c r="G162" s="42" t="s">
        <v>491</v>
      </c>
      <c r="H162" s="62">
        <v>1</v>
      </c>
      <c r="I162" s="109">
        <f t="shared" si="228"/>
        <v>0.12041189222691046</v>
      </c>
      <c r="J162" s="111">
        <f t="shared" si="229"/>
        <v>0.12041189222691046</v>
      </c>
      <c r="K162" s="2"/>
      <c r="L162" s="104" t="s">
        <v>491</v>
      </c>
      <c r="M162" s="94">
        <f t="shared" si="230"/>
        <v>47923.83062700001</v>
      </c>
      <c r="N162" s="95">
        <f t="shared" si="231"/>
        <v>350075.31829999998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</row>
    <row r="163" spans="1:71" x14ac:dyDescent="0.35">
      <c r="A163" s="2"/>
      <c r="B163" s="2"/>
      <c r="C163" s="42" t="s">
        <v>527</v>
      </c>
      <c r="D163" s="44">
        <f t="shared" si="227"/>
        <v>0</v>
      </c>
      <c r="E163" s="2"/>
      <c r="F163" s="2"/>
      <c r="G163" s="42" t="s">
        <v>527</v>
      </c>
      <c r="H163" s="62">
        <v>1</v>
      </c>
      <c r="I163" s="109">
        <f t="shared" si="228"/>
        <v>0</v>
      </c>
      <c r="J163" s="111">
        <f t="shared" si="229"/>
        <v>0</v>
      </c>
      <c r="K163" s="2"/>
      <c r="L163" s="104" t="s">
        <v>527</v>
      </c>
      <c r="M163" s="94">
        <f t="shared" si="230"/>
        <v>0</v>
      </c>
      <c r="N163" s="95">
        <f t="shared" si="231"/>
        <v>66751.185259999998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</row>
    <row r="164" spans="1:71" x14ac:dyDescent="0.35">
      <c r="A164" s="2"/>
      <c r="B164" s="2"/>
      <c r="C164" s="42" t="s">
        <v>493</v>
      </c>
      <c r="D164" s="44">
        <f t="shared" si="227"/>
        <v>0</v>
      </c>
      <c r="E164" s="2"/>
      <c r="F164" s="2"/>
      <c r="G164" s="42" t="s">
        <v>493</v>
      </c>
      <c r="H164" s="62">
        <v>1</v>
      </c>
      <c r="I164" s="109">
        <f t="shared" si="228"/>
        <v>0</v>
      </c>
      <c r="J164" s="111">
        <f t="shared" si="229"/>
        <v>0</v>
      </c>
      <c r="K164" s="2"/>
      <c r="L164" s="104" t="s">
        <v>493</v>
      </c>
      <c r="M164" s="94">
        <f t="shared" si="230"/>
        <v>0</v>
      </c>
      <c r="N164" s="95">
        <f t="shared" si="231"/>
        <v>0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</row>
    <row r="165" spans="1:71" x14ac:dyDescent="0.35">
      <c r="A165" s="2"/>
      <c r="B165" s="2"/>
      <c r="C165" s="42" t="s">
        <v>492</v>
      </c>
      <c r="D165" s="44">
        <f t="shared" si="227"/>
        <v>4.2985001395141303E-2</v>
      </c>
      <c r="E165" s="2"/>
      <c r="F165" s="2"/>
      <c r="G165" s="42" t="s">
        <v>492</v>
      </c>
      <c r="H165" s="62">
        <v>1</v>
      </c>
      <c r="I165" s="109">
        <f t="shared" si="228"/>
        <v>4.2985001395141303E-2</v>
      </c>
      <c r="J165" s="111">
        <f t="shared" si="229"/>
        <v>4.2985001395141303E-2</v>
      </c>
      <c r="K165" s="2"/>
      <c r="L165" s="104" t="s">
        <v>492</v>
      </c>
      <c r="M165" s="94">
        <f t="shared" si="230"/>
        <v>3723.2218252000007</v>
      </c>
      <c r="N165" s="95">
        <f t="shared" si="231"/>
        <v>82893.544590000005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</row>
    <row r="166" spans="1:71" x14ac:dyDescent="0.35">
      <c r="A166" s="2"/>
      <c r="B166" s="2"/>
      <c r="C166" s="42" t="s">
        <v>528</v>
      </c>
      <c r="D166" s="44">
        <f t="shared" si="227"/>
        <v>0.1131674893308497</v>
      </c>
      <c r="E166" s="2"/>
      <c r="F166" s="2"/>
      <c r="G166" s="42" t="s">
        <v>528</v>
      </c>
      <c r="H166" s="62">
        <v>1</v>
      </c>
      <c r="I166" s="109">
        <f t="shared" si="228"/>
        <v>0.1131674893308497</v>
      </c>
      <c r="J166" s="111">
        <f t="shared" si="229"/>
        <v>0.1131674893308497</v>
      </c>
      <c r="K166" s="2"/>
      <c r="L166" s="104" t="s">
        <v>528</v>
      </c>
      <c r="M166" s="94">
        <f t="shared" si="230"/>
        <v>1042.9110108</v>
      </c>
      <c r="N166" s="95">
        <f t="shared" si="231"/>
        <v>8172.730486299999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</row>
    <row r="167" spans="1:71" x14ac:dyDescent="0.35">
      <c r="A167" s="2"/>
      <c r="B167" s="2"/>
      <c r="C167" s="42" t="s">
        <v>494</v>
      </c>
      <c r="D167" s="44">
        <f t="shared" si="227"/>
        <v>0.30347219865406444</v>
      </c>
      <c r="E167" s="2"/>
      <c r="F167" s="2"/>
      <c r="G167" s="42" t="s">
        <v>494</v>
      </c>
      <c r="H167" s="62">
        <v>1</v>
      </c>
      <c r="I167" s="109">
        <f t="shared" si="228"/>
        <v>0.30347219865406444</v>
      </c>
      <c r="J167" s="111">
        <f t="shared" si="229"/>
        <v>0.30347219865406444</v>
      </c>
      <c r="K167" s="2"/>
      <c r="L167" s="104" t="s">
        <v>494</v>
      </c>
      <c r="M167" s="94">
        <f t="shared" si="230"/>
        <v>6116.6041599999999</v>
      </c>
      <c r="N167" s="95">
        <f t="shared" si="231"/>
        <v>14038.797841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</row>
    <row r="168" spans="1:71" x14ac:dyDescent="0.35">
      <c r="A168" s="2"/>
      <c r="B168" s="2"/>
      <c r="C168" s="42" t="s">
        <v>495</v>
      </c>
      <c r="D168" s="44">
        <f t="shared" si="227"/>
        <v>0.32680625821082537</v>
      </c>
      <c r="E168" s="2"/>
      <c r="F168" s="2"/>
      <c r="G168" s="42" t="s">
        <v>495</v>
      </c>
      <c r="H168" s="62">
        <v>1</v>
      </c>
      <c r="I168" s="109">
        <f t="shared" si="228"/>
        <v>0.32680625821082537</v>
      </c>
      <c r="J168" s="111">
        <f t="shared" si="229"/>
        <v>0.32680625821082537</v>
      </c>
      <c r="K168" s="2"/>
      <c r="L168" s="104" t="s">
        <v>495</v>
      </c>
      <c r="M168" s="94">
        <f t="shared" si="230"/>
        <v>1993.0298666000001</v>
      </c>
      <c r="N168" s="95">
        <f t="shared" si="231"/>
        <v>4105.47595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</row>
    <row r="169" spans="1:71" x14ac:dyDescent="0.35">
      <c r="A169" s="2"/>
      <c r="B169" s="2"/>
      <c r="C169" s="42" t="s">
        <v>496</v>
      </c>
      <c r="D169" s="44">
        <f t="shared" si="227"/>
        <v>0</v>
      </c>
      <c r="E169" s="2"/>
      <c r="F169" s="2"/>
      <c r="G169" s="42" t="s">
        <v>496</v>
      </c>
      <c r="H169" s="62">
        <v>1</v>
      </c>
      <c r="I169" s="109">
        <f t="shared" si="228"/>
        <v>0</v>
      </c>
      <c r="J169" s="111">
        <f t="shared" si="229"/>
        <v>0</v>
      </c>
      <c r="K169" s="2"/>
      <c r="L169" s="104" t="s">
        <v>496</v>
      </c>
      <c r="M169" s="94">
        <f t="shared" si="230"/>
        <v>0</v>
      </c>
      <c r="N169" s="95">
        <f t="shared" si="231"/>
        <v>141694.91753000001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</row>
    <row r="170" spans="1:71" x14ac:dyDescent="0.35">
      <c r="A170" s="2"/>
      <c r="B170" s="2"/>
      <c r="C170" s="42" t="s">
        <v>497</v>
      </c>
      <c r="D170" s="44">
        <f t="shared" si="227"/>
        <v>0</v>
      </c>
      <c r="E170" s="2"/>
      <c r="F170" s="2"/>
      <c r="G170" s="42" t="s">
        <v>497</v>
      </c>
      <c r="H170" s="62">
        <v>1</v>
      </c>
      <c r="I170" s="109">
        <f t="shared" si="228"/>
        <v>0</v>
      </c>
      <c r="J170" s="111">
        <f t="shared" si="229"/>
        <v>0</v>
      </c>
      <c r="K170" s="2"/>
      <c r="L170" s="104" t="s">
        <v>497</v>
      </c>
      <c r="M170" s="94">
        <f t="shared" si="230"/>
        <v>0</v>
      </c>
      <c r="N170" s="95">
        <f t="shared" si="231"/>
        <v>11347.095079000001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</row>
    <row r="171" spans="1:71" x14ac:dyDescent="0.35">
      <c r="A171" s="2"/>
      <c r="B171" s="2"/>
      <c r="C171" s="42" t="s">
        <v>529</v>
      </c>
      <c r="D171" s="44">
        <f t="shared" si="227"/>
        <v>0</v>
      </c>
      <c r="E171" s="2"/>
      <c r="F171" s="2"/>
      <c r="G171" s="42" t="s">
        <v>529</v>
      </c>
      <c r="H171" s="62">
        <v>1</v>
      </c>
      <c r="I171" s="109">
        <f t="shared" si="228"/>
        <v>0</v>
      </c>
      <c r="J171" s="111">
        <f t="shared" si="229"/>
        <v>0</v>
      </c>
      <c r="K171" s="2"/>
      <c r="L171" s="104" t="s">
        <v>529</v>
      </c>
      <c r="M171" s="94">
        <f t="shared" si="230"/>
        <v>0</v>
      </c>
      <c r="N171" s="95">
        <f t="shared" si="231"/>
        <v>2274.6351949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</row>
    <row r="172" spans="1:71" x14ac:dyDescent="0.35">
      <c r="A172" s="2"/>
      <c r="B172" s="2"/>
      <c r="C172" s="42" t="s">
        <v>498</v>
      </c>
      <c r="D172" s="44">
        <f t="shared" si="227"/>
        <v>0</v>
      </c>
      <c r="E172" s="2"/>
      <c r="F172" s="2"/>
      <c r="G172" s="42" t="s">
        <v>498</v>
      </c>
      <c r="H172" s="62">
        <v>1</v>
      </c>
      <c r="I172" s="109">
        <f t="shared" si="228"/>
        <v>0</v>
      </c>
      <c r="J172" s="111">
        <f t="shared" si="229"/>
        <v>0</v>
      </c>
      <c r="K172" s="2"/>
      <c r="L172" s="104" t="s">
        <v>498</v>
      </c>
      <c r="M172" s="94">
        <f t="shared" si="230"/>
        <v>0</v>
      </c>
      <c r="N172" s="95">
        <f t="shared" si="231"/>
        <v>27238.339358999998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</row>
    <row r="173" spans="1:71" x14ac:dyDescent="0.35">
      <c r="A173" s="2"/>
      <c r="B173" s="2"/>
      <c r="C173" s="42" t="s">
        <v>499</v>
      </c>
      <c r="D173" s="44">
        <f t="shared" si="227"/>
        <v>0</v>
      </c>
      <c r="E173" s="2"/>
      <c r="F173" s="2"/>
      <c r="G173" s="42" t="s">
        <v>499</v>
      </c>
      <c r="H173" s="62">
        <v>1</v>
      </c>
      <c r="I173" s="109">
        <f t="shared" si="228"/>
        <v>0</v>
      </c>
      <c r="J173" s="111">
        <f t="shared" si="229"/>
        <v>0</v>
      </c>
      <c r="K173" s="2"/>
      <c r="L173" s="104" t="s">
        <v>499</v>
      </c>
      <c r="M173" s="94">
        <f t="shared" si="230"/>
        <v>0</v>
      </c>
      <c r="N173" s="95">
        <f t="shared" si="231"/>
        <v>121874.03092000002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</row>
    <row r="174" spans="1:71" x14ac:dyDescent="0.35">
      <c r="A174" s="2"/>
      <c r="B174" s="2"/>
      <c r="C174" s="42" t="s">
        <v>530</v>
      </c>
      <c r="D174" s="44">
        <f t="shared" si="227"/>
        <v>0</v>
      </c>
      <c r="E174" s="2"/>
      <c r="F174" s="2"/>
      <c r="G174" s="42" t="s">
        <v>530</v>
      </c>
      <c r="H174" s="62">
        <v>1</v>
      </c>
      <c r="I174" s="109">
        <f t="shared" si="228"/>
        <v>0</v>
      </c>
      <c r="J174" s="111">
        <f t="shared" si="229"/>
        <v>0</v>
      </c>
      <c r="K174" s="2"/>
      <c r="L174" s="104" t="s">
        <v>530</v>
      </c>
      <c r="M174" s="94">
        <f t="shared" si="230"/>
        <v>0</v>
      </c>
      <c r="N174" s="95">
        <f t="shared" si="231"/>
        <v>14212.671195999999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</row>
    <row r="175" spans="1:71" x14ac:dyDescent="0.35">
      <c r="A175" s="2"/>
      <c r="B175" s="2"/>
      <c r="C175" s="42" t="s">
        <v>531</v>
      </c>
      <c r="D175" s="44">
        <f t="shared" si="227"/>
        <v>0</v>
      </c>
      <c r="E175" s="2"/>
      <c r="F175" s="2"/>
      <c r="G175" s="42" t="s">
        <v>531</v>
      </c>
      <c r="H175" s="62">
        <v>1</v>
      </c>
      <c r="I175" s="109">
        <f t="shared" si="228"/>
        <v>0</v>
      </c>
      <c r="J175" s="111">
        <f t="shared" si="229"/>
        <v>0</v>
      </c>
      <c r="K175" s="2"/>
      <c r="L175" s="104" t="s">
        <v>531</v>
      </c>
      <c r="M175" s="94">
        <f t="shared" si="230"/>
        <v>0</v>
      </c>
      <c r="N175" s="95">
        <f t="shared" si="231"/>
        <v>0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</row>
    <row r="176" spans="1:71" x14ac:dyDescent="0.35">
      <c r="A176" s="2"/>
      <c r="B176" s="2"/>
      <c r="C176" s="42" t="s">
        <v>500</v>
      </c>
      <c r="D176" s="44">
        <f t="shared" si="227"/>
        <v>0</v>
      </c>
      <c r="E176" s="2"/>
      <c r="F176" s="2"/>
      <c r="G176" s="42" t="s">
        <v>500</v>
      </c>
      <c r="H176" s="62">
        <v>1</v>
      </c>
      <c r="I176" s="109">
        <f t="shared" si="228"/>
        <v>0</v>
      </c>
      <c r="J176" s="111">
        <f t="shared" si="229"/>
        <v>0</v>
      </c>
      <c r="K176" s="2"/>
      <c r="L176" s="104" t="s">
        <v>500</v>
      </c>
      <c r="M176" s="94">
        <f t="shared" si="230"/>
        <v>0</v>
      </c>
      <c r="N176" s="95">
        <f t="shared" si="231"/>
        <v>3292.0697197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</row>
    <row r="177" spans="1:71" x14ac:dyDescent="0.35">
      <c r="A177" s="2"/>
      <c r="B177" s="2"/>
      <c r="C177" s="42" t="s">
        <v>532</v>
      </c>
      <c r="D177" s="44">
        <f t="shared" si="227"/>
        <v>0</v>
      </c>
      <c r="E177" s="2"/>
      <c r="F177" s="2"/>
      <c r="G177" s="42" t="s">
        <v>532</v>
      </c>
      <c r="H177" s="62">
        <v>1</v>
      </c>
      <c r="I177" s="109">
        <f t="shared" si="228"/>
        <v>0</v>
      </c>
      <c r="J177" s="111">
        <f t="shared" si="229"/>
        <v>0</v>
      </c>
      <c r="K177" s="2"/>
      <c r="L177" s="104" t="s">
        <v>532</v>
      </c>
      <c r="M177" s="94">
        <f t="shared" si="230"/>
        <v>0</v>
      </c>
      <c r="N177" s="95">
        <f t="shared" si="231"/>
        <v>0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</row>
    <row r="178" spans="1:71" x14ac:dyDescent="0.35">
      <c r="A178" s="2"/>
      <c r="B178" s="2"/>
      <c r="C178" s="42" t="s">
        <v>533</v>
      </c>
      <c r="D178" s="44">
        <f t="shared" si="227"/>
        <v>0</v>
      </c>
      <c r="E178" s="2"/>
      <c r="F178" s="2"/>
      <c r="G178" s="42" t="s">
        <v>533</v>
      </c>
      <c r="H178" s="62">
        <v>1</v>
      </c>
      <c r="I178" s="109">
        <f t="shared" si="228"/>
        <v>0</v>
      </c>
      <c r="J178" s="111">
        <f t="shared" si="229"/>
        <v>0</v>
      </c>
      <c r="K178" s="2"/>
      <c r="L178" s="104" t="s">
        <v>533</v>
      </c>
      <c r="M178" s="94">
        <f t="shared" si="230"/>
        <v>0</v>
      </c>
      <c r="N178" s="95">
        <f t="shared" si="231"/>
        <v>0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</row>
    <row r="179" spans="1:71" x14ac:dyDescent="0.35">
      <c r="A179" s="2"/>
      <c r="B179" s="2"/>
      <c r="C179" s="42" t="s">
        <v>501</v>
      </c>
      <c r="D179" s="44">
        <f t="shared" si="227"/>
        <v>0</v>
      </c>
      <c r="E179" s="2"/>
      <c r="F179" s="2"/>
      <c r="G179" s="42" t="s">
        <v>501</v>
      </c>
      <c r="H179" s="62">
        <v>1</v>
      </c>
      <c r="I179" s="109">
        <f t="shared" si="228"/>
        <v>0</v>
      </c>
      <c r="J179" s="111">
        <f t="shared" si="229"/>
        <v>0</v>
      </c>
      <c r="K179" s="2"/>
      <c r="L179" s="104" t="s">
        <v>501</v>
      </c>
      <c r="M179" s="94">
        <f t="shared" si="230"/>
        <v>0</v>
      </c>
      <c r="N179" s="95">
        <f t="shared" si="231"/>
        <v>4048.3918268999996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</row>
    <row r="180" spans="1:71" x14ac:dyDescent="0.35">
      <c r="A180" s="2"/>
      <c r="B180" s="2"/>
      <c r="C180" s="42" t="s">
        <v>502</v>
      </c>
      <c r="D180" s="44">
        <f t="shared" si="227"/>
        <v>0</v>
      </c>
      <c r="E180" s="2"/>
      <c r="F180" s="2"/>
      <c r="G180" s="42" t="s">
        <v>502</v>
      </c>
      <c r="H180" s="62">
        <v>1</v>
      </c>
      <c r="I180" s="109">
        <f t="shared" si="228"/>
        <v>0</v>
      </c>
      <c r="J180" s="111">
        <f t="shared" si="229"/>
        <v>0</v>
      </c>
      <c r="K180" s="2"/>
      <c r="L180" s="104" t="s">
        <v>502</v>
      </c>
      <c r="M180" s="94">
        <f t="shared" si="230"/>
        <v>0</v>
      </c>
      <c r="N180" s="95">
        <f t="shared" si="231"/>
        <v>5461.4436372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</row>
    <row r="181" spans="1:71" x14ac:dyDescent="0.35">
      <c r="A181" s="2"/>
      <c r="B181" s="2"/>
      <c r="C181" s="42" t="s">
        <v>503</v>
      </c>
      <c r="D181" s="44">
        <f t="shared" si="227"/>
        <v>0</v>
      </c>
      <c r="E181" s="2"/>
      <c r="F181" s="2"/>
      <c r="G181" s="42" t="s">
        <v>503</v>
      </c>
      <c r="H181" s="62">
        <v>1</v>
      </c>
      <c r="I181" s="109">
        <f t="shared" si="228"/>
        <v>0</v>
      </c>
      <c r="J181" s="111">
        <f t="shared" si="229"/>
        <v>0</v>
      </c>
      <c r="K181" s="2"/>
      <c r="L181" s="104" t="s">
        <v>503</v>
      </c>
      <c r="M181" s="94">
        <f t="shared" si="230"/>
        <v>0</v>
      </c>
      <c r="N181" s="95">
        <f t="shared" si="231"/>
        <v>51981.330633999998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</row>
    <row r="182" spans="1:71" x14ac:dyDescent="0.35">
      <c r="A182" s="2"/>
      <c r="B182" s="2"/>
      <c r="C182" s="42" t="s">
        <v>534</v>
      </c>
      <c r="D182" s="44">
        <f t="shared" ref="D182:D220" si="259">I182</f>
        <v>0</v>
      </c>
      <c r="E182" s="2"/>
      <c r="F182" s="2"/>
      <c r="G182" s="42" t="s">
        <v>534</v>
      </c>
      <c r="H182" s="62">
        <v>1</v>
      </c>
      <c r="I182" s="109">
        <f t="shared" ref="I182:I220" si="260">H182*J182</f>
        <v>0</v>
      </c>
      <c r="J182" s="111">
        <f t="shared" ref="J182:J220" si="261">IF(SUM(M182:N182),M182/SUM(M182:N182),0)</f>
        <v>0</v>
      </c>
      <c r="K182" s="2"/>
      <c r="L182" s="104" t="s">
        <v>534</v>
      </c>
      <c r="M182" s="94">
        <f t="shared" ref="M182:M220" si="262">SUM(AW294:BP294)</f>
        <v>0</v>
      </c>
      <c r="N182" s="95">
        <f t="shared" ref="N182:N220" si="263">SUM(AW404:BP404)</f>
        <v>12728.73763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</row>
    <row r="183" spans="1:71" x14ac:dyDescent="0.35">
      <c r="A183" s="2"/>
      <c r="B183" s="2"/>
      <c r="C183" s="42" t="s">
        <v>504</v>
      </c>
      <c r="D183" s="44">
        <f t="shared" si="259"/>
        <v>0</v>
      </c>
      <c r="E183" s="2"/>
      <c r="F183" s="2"/>
      <c r="G183" s="42" t="s">
        <v>504</v>
      </c>
      <c r="H183" s="62">
        <v>1</v>
      </c>
      <c r="I183" s="109">
        <f t="shared" si="260"/>
        <v>0</v>
      </c>
      <c r="J183" s="111">
        <f t="shared" si="261"/>
        <v>0</v>
      </c>
      <c r="K183" s="2"/>
      <c r="L183" s="104" t="s">
        <v>504</v>
      </c>
      <c r="M183" s="94">
        <f t="shared" si="262"/>
        <v>0</v>
      </c>
      <c r="N183" s="95">
        <f t="shared" si="263"/>
        <v>16684.426058999998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</row>
    <row r="184" spans="1:71" x14ac:dyDescent="0.35">
      <c r="A184" s="2"/>
      <c r="B184" s="2"/>
      <c r="C184" s="42" t="s">
        <v>535</v>
      </c>
      <c r="D184" s="44">
        <f t="shared" si="259"/>
        <v>0</v>
      </c>
      <c r="E184" s="2"/>
      <c r="F184" s="2"/>
      <c r="G184" s="42" t="s">
        <v>535</v>
      </c>
      <c r="H184" s="62">
        <v>1</v>
      </c>
      <c r="I184" s="109">
        <f t="shared" si="260"/>
        <v>0</v>
      </c>
      <c r="J184" s="111">
        <f t="shared" si="261"/>
        <v>0</v>
      </c>
      <c r="K184" s="2"/>
      <c r="L184" s="104" t="s">
        <v>535</v>
      </c>
      <c r="M184" s="94">
        <f t="shared" si="262"/>
        <v>0</v>
      </c>
      <c r="N184" s="95">
        <f t="shared" si="263"/>
        <v>0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</row>
    <row r="185" spans="1:71" x14ac:dyDescent="0.35">
      <c r="A185" s="2"/>
      <c r="B185" s="2"/>
      <c r="C185" s="42" t="s">
        <v>505</v>
      </c>
      <c r="D185" s="44">
        <f t="shared" si="259"/>
        <v>0</v>
      </c>
      <c r="E185" s="2"/>
      <c r="F185" s="2"/>
      <c r="G185" s="42" t="s">
        <v>505</v>
      </c>
      <c r="H185" s="62">
        <v>1</v>
      </c>
      <c r="I185" s="109">
        <f t="shared" si="260"/>
        <v>0</v>
      </c>
      <c r="J185" s="111">
        <f t="shared" si="261"/>
        <v>0</v>
      </c>
      <c r="K185" s="2"/>
      <c r="L185" s="104" t="s">
        <v>505</v>
      </c>
      <c r="M185" s="94">
        <f t="shared" si="262"/>
        <v>0</v>
      </c>
      <c r="N185" s="95">
        <f t="shared" si="263"/>
        <v>20678.386362900001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</row>
    <row r="186" spans="1:71" x14ac:dyDescent="0.35">
      <c r="A186" s="2"/>
      <c r="B186" s="2"/>
      <c r="C186" s="42" t="s">
        <v>506</v>
      </c>
      <c r="D186" s="44">
        <f t="shared" si="259"/>
        <v>0</v>
      </c>
      <c r="E186" s="2"/>
      <c r="F186" s="2"/>
      <c r="G186" s="42" t="s">
        <v>506</v>
      </c>
      <c r="H186" s="62">
        <v>1</v>
      </c>
      <c r="I186" s="109">
        <f t="shared" si="260"/>
        <v>0</v>
      </c>
      <c r="J186" s="111">
        <f t="shared" si="261"/>
        <v>0</v>
      </c>
      <c r="K186" s="2"/>
      <c r="L186" s="104" t="s">
        <v>506</v>
      </c>
      <c r="M186" s="94">
        <f t="shared" si="262"/>
        <v>0</v>
      </c>
      <c r="N186" s="95">
        <f t="shared" si="263"/>
        <v>21153.560743000002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</row>
    <row r="187" spans="1:71" x14ac:dyDescent="0.35">
      <c r="A187" s="2"/>
      <c r="B187" s="2"/>
      <c r="C187" s="42" t="s">
        <v>536</v>
      </c>
      <c r="D187" s="44">
        <f t="shared" si="259"/>
        <v>0</v>
      </c>
      <c r="E187" s="2"/>
      <c r="F187" s="2"/>
      <c r="G187" s="42" t="s">
        <v>536</v>
      </c>
      <c r="H187" s="62">
        <v>1</v>
      </c>
      <c r="I187" s="109">
        <f t="shared" si="260"/>
        <v>0</v>
      </c>
      <c r="J187" s="111">
        <f t="shared" si="261"/>
        <v>0</v>
      </c>
      <c r="K187" s="2"/>
      <c r="L187" s="104" t="s">
        <v>536</v>
      </c>
      <c r="M187" s="94">
        <f t="shared" si="262"/>
        <v>0</v>
      </c>
      <c r="N187" s="95">
        <f t="shared" si="263"/>
        <v>0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</row>
    <row r="188" spans="1:71" x14ac:dyDescent="0.35">
      <c r="A188" s="2"/>
      <c r="B188" s="2"/>
      <c r="C188" s="42" t="s">
        <v>507</v>
      </c>
      <c r="D188" s="44">
        <f t="shared" si="259"/>
        <v>0</v>
      </c>
      <c r="E188" s="2"/>
      <c r="F188" s="2"/>
      <c r="G188" s="42" t="s">
        <v>507</v>
      </c>
      <c r="H188" s="62">
        <v>1</v>
      </c>
      <c r="I188" s="109">
        <f t="shared" si="260"/>
        <v>0</v>
      </c>
      <c r="J188" s="111">
        <f t="shared" si="261"/>
        <v>0</v>
      </c>
      <c r="K188" s="2"/>
      <c r="L188" s="104" t="s">
        <v>507</v>
      </c>
      <c r="M188" s="94">
        <f t="shared" si="262"/>
        <v>0</v>
      </c>
      <c r="N188" s="95">
        <f t="shared" si="263"/>
        <v>32566.279403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</row>
    <row r="189" spans="1:71" x14ac:dyDescent="0.35">
      <c r="A189" s="2"/>
      <c r="B189" s="2"/>
      <c r="C189" s="42" t="s">
        <v>537</v>
      </c>
      <c r="D189" s="44">
        <f t="shared" si="259"/>
        <v>0</v>
      </c>
      <c r="E189" s="2"/>
      <c r="F189" s="2"/>
      <c r="G189" s="42" t="s">
        <v>537</v>
      </c>
      <c r="H189" s="62">
        <v>1</v>
      </c>
      <c r="I189" s="109">
        <f t="shared" si="260"/>
        <v>0</v>
      </c>
      <c r="J189" s="111">
        <f t="shared" si="261"/>
        <v>0</v>
      </c>
      <c r="K189" s="2"/>
      <c r="L189" s="104" t="s">
        <v>537</v>
      </c>
      <c r="M189" s="94">
        <f t="shared" si="262"/>
        <v>0</v>
      </c>
      <c r="N189" s="95">
        <f t="shared" si="263"/>
        <v>0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</row>
    <row r="190" spans="1:71" x14ac:dyDescent="0.35">
      <c r="A190" s="2"/>
      <c r="B190" s="2"/>
      <c r="C190" s="42" t="s">
        <v>538</v>
      </c>
      <c r="D190" s="44">
        <f t="shared" si="259"/>
        <v>0</v>
      </c>
      <c r="E190" s="2"/>
      <c r="F190" s="2"/>
      <c r="G190" s="42" t="s">
        <v>538</v>
      </c>
      <c r="H190" s="62">
        <v>1</v>
      </c>
      <c r="I190" s="109">
        <f t="shared" si="260"/>
        <v>0</v>
      </c>
      <c r="J190" s="111">
        <f t="shared" si="261"/>
        <v>0</v>
      </c>
      <c r="K190" s="2"/>
      <c r="L190" s="104" t="s">
        <v>538</v>
      </c>
      <c r="M190" s="94">
        <f t="shared" si="262"/>
        <v>0</v>
      </c>
      <c r="N190" s="95">
        <f t="shared" si="263"/>
        <v>8792.6609019999996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</row>
    <row r="191" spans="1:71" x14ac:dyDescent="0.35">
      <c r="A191" s="2"/>
      <c r="B191" s="2"/>
      <c r="C191" s="42" t="s">
        <v>539</v>
      </c>
      <c r="D191" s="44">
        <f t="shared" si="259"/>
        <v>0</v>
      </c>
      <c r="E191" s="2"/>
      <c r="F191" s="2"/>
      <c r="G191" s="42" t="s">
        <v>539</v>
      </c>
      <c r="H191" s="62">
        <v>1</v>
      </c>
      <c r="I191" s="109">
        <f t="shared" si="260"/>
        <v>0</v>
      </c>
      <c r="J191" s="111">
        <f t="shared" si="261"/>
        <v>0</v>
      </c>
      <c r="K191" s="2"/>
      <c r="L191" s="104" t="s">
        <v>539</v>
      </c>
      <c r="M191" s="94">
        <f t="shared" si="262"/>
        <v>0</v>
      </c>
      <c r="N191" s="95">
        <f t="shared" si="263"/>
        <v>0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</row>
    <row r="192" spans="1:71" x14ac:dyDescent="0.35">
      <c r="A192" s="2"/>
      <c r="B192" s="2"/>
      <c r="C192" s="42" t="s">
        <v>540</v>
      </c>
      <c r="D192" s="44">
        <f t="shared" si="259"/>
        <v>0</v>
      </c>
      <c r="E192" s="2"/>
      <c r="F192" s="2"/>
      <c r="G192" s="42" t="s">
        <v>540</v>
      </c>
      <c r="H192" s="62">
        <v>1</v>
      </c>
      <c r="I192" s="109">
        <f t="shared" si="260"/>
        <v>0</v>
      </c>
      <c r="J192" s="111">
        <f t="shared" si="261"/>
        <v>0</v>
      </c>
      <c r="K192" s="2"/>
      <c r="L192" s="104" t="s">
        <v>540</v>
      </c>
      <c r="M192" s="94">
        <f t="shared" si="262"/>
        <v>0</v>
      </c>
      <c r="N192" s="95">
        <f t="shared" si="263"/>
        <v>0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</row>
    <row r="193" spans="1:71" x14ac:dyDescent="0.35">
      <c r="A193" s="2"/>
      <c r="B193" s="2"/>
      <c r="C193" s="42" t="s">
        <v>541</v>
      </c>
      <c r="D193" s="44">
        <f t="shared" si="259"/>
        <v>0</v>
      </c>
      <c r="E193" s="2"/>
      <c r="F193" s="2"/>
      <c r="G193" s="42" t="s">
        <v>541</v>
      </c>
      <c r="H193" s="62">
        <v>1</v>
      </c>
      <c r="I193" s="109">
        <f t="shared" si="260"/>
        <v>0</v>
      </c>
      <c r="J193" s="111">
        <f t="shared" si="261"/>
        <v>0</v>
      </c>
      <c r="K193" s="2"/>
      <c r="L193" s="104" t="s">
        <v>541</v>
      </c>
      <c r="M193" s="94">
        <f t="shared" si="262"/>
        <v>0</v>
      </c>
      <c r="N193" s="95">
        <f t="shared" si="263"/>
        <v>0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</row>
    <row r="194" spans="1:71" x14ac:dyDescent="0.35">
      <c r="A194" s="2"/>
      <c r="B194" s="2"/>
      <c r="C194" s="42" t="s">
        <v>542</v>
      </c>
      <c r="D194" s="44">
        <f t="shared" si="259"/>
        <v>0</v>
      </c>
      <c r="E194" s="2"/>
      <c r="F194" s="2"/>
      <c r="G194" s="42" t="s">
        <v>542</v>
      </c>
      <c r="H194" s="62">
        <v>1</v>
      </c>
      <c r="I194" s="109">
        <f t="shared" si="260"/>
        <v>0</v>
      </c>
      <c r="J194" s="111">
        <f t="shared" si="261"/>
        <v>0</v>
      </c>
      <c r="K194" s="2"/>
      <c r="L194" s="104" t="s">
        <v>542</v>
      </c>
      <c r="M194" s="94">
        <f t="shared" si="262"/>
        <v>0</v>
      </c>
      <c r="N194" s="95">
        <f t="shared" si="263"/>
        <v>66073.922077999989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</row>
    <row r="195" spans="1:71" x14ac:dyDescent="0.35">
      <c r="A195" s="2"/>
      <c r="B195" s="2"/>
      <c r="C195" s="42" t="s">
        <v>543</v>
      </c>
      <c r="D195" s="44">
        <f t="shared" si="259"/>
        <v>0</v>
      </c>
      <c r="E195" s="2"/>
      <c r="F195" s="2"/>
      <c r="G195" s="42" t="s">
        <v>543</v>
      </c>
      <c r="H195" s="62">
        <v>1</v>
      </c>
      <c r="I195" s="109">
        <f t="shared" si="260"/>
        <v>0</v>
      </c>
      <c r="J195" s="111">
        <f t="shared" si="261"/>
        <v>0</v>
      </c>
      <c r="K195" s="2"/>
      <c r="L195" s="104" t="s">
        <v>543</v>
      </c>
      <c r="M195" s="94">
        <f t="shared" si="262"/>
        <v>0</v>
      </c>
      <c r="N195" s="95">
        <f t="shared" si="263"/>
        <v>11670.251757399999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</row>
    <row r="196" spans="1:71" x14ac:dyDescent="0.35">
      <c r="A196" s="2"/>
      <c r="B196" s="2"/>
      <c r="C196" s="42" t="s">
        <v>544</v>
      </c>
      <c r="D196" s="44">
        <f t="shared" si="259"/>
        <v>0</v>
      </c>
      <c r="E196" s="2"/>
      <c r="F196" s="2"/>
      <c r="G196" s="42" t="s">
        <v>544</v>
      </c>
      <c r="H196" s="62">
        <v>1</v>
      </c>
      <c r="I196" s="109">
        <f t="shared" si="260"/>
        <v>0</v>
      </c>
      <c r="J196" s="111">
        <f t="shared" si="261"/>
        <v>0</v>
      </c>
      <c r="K196" s="2"/>
      <c r="L196" s="104" t="s">
        <v>544</v>
      </c>
      <c r="M196" s="94">
        <f t="shared" si="262"/>
        <v>0</v>
      </c>
      <c r="N196" s="95">
        <f t="shared" si="263"/>
        <v>381.94441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</row>
    <row r="197" spans="1:71" x14ac:dyDescent="0.35">
      <c r="A197" s="2"/>
      <c r="B197" s="2"/>
      <c r="C197" s="42" t="s">
        <v>545</v>
      </c>
      <c r="D197" s="44">
        <f t="shared" si="259"/>
        <v>0</v>
      </c>
      <c r="E197" s="2"/>
      <c r="F197" s="2"/>
      <c r="G197" s="42" t="s">
        <v>545</v>
      </c>
      <c r="H197" s="62">
        <v>1</v>
      </c>
      <c r="I197" s="109">
        <f t="shared" si="260"/>
        <v>0</v>
      </c>
      <c r="J197" s="111">
        <f t="shared" si="261"/>
        <v>0</v>
      </c>
      <c r="K197" s="2"/>
      <c r="L197" s="104" t="s">
        <v>545</v>
      </c>
      <c r="M197" s="94">
        <f t="shared" si="262"/>
        <v>0</v>
      </c>
      <c r="N197" s="95">
        <f t="shared" si="263"/>
        <v>0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</row>
    <row r="198" spans="1:71" x14ac:dyDescent="0.35">
      <c r="A198" s="2"/>
      <c r="B198" s="2"/>
      <c r="C198" s="42" t="s">
        <v>508</v>
      </c>
      <c r="D198" s="44">
        <f t="shared" si="259"/>
        <v>0</v>
      </c>
      <c r="E198" s="2"/>
      <c r="F198" s="2"/>
      <c r="G198" s="42" t="s">
        <v>508</v>
      </c>
      <c r="H198" s="62">
        <v>1</v>
      </c>
      <c r="I198" s="109">
        <f t="shared" si="260"/>
        <v>0</v>
      </c>
      <c r="J198" s="111">
        <f t="shared" si="261"/>
        <v>0</v>
      </c>
      <c r="K198" s="2"/>
      <c r="L198" s="104" t="s">
        <v>508</v>
      </c>
      <c r="M198" s="94">
        <f t="shared" si="262"/>
        <v>0</v>
      </c>
      <c r="N198" s="95">
        <f t="shared" si="263"/>
        <v>258499.20105999993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</row>
    <row r="199" spans="1:71" x14ac:dyDescent="0.35">
      <c r="A199" s="2"/>
      <c r="B199" s="2"/>
      <c r="C199" s="42" t="s">
        <v>546</v>
      </c>
      <c r="D199" s="44">
        <f t="shared" si="259"/>
        <v>0</v>
      </c>
      <c r="E199" s="2"/>
      <c r="F199" s="2"/>
      <c r="G199" s="42" t="s">
        <v>546</v>
      </c>
      <c r="H199" s="62">
        <v>1</v>
      </c>
      <c r="I199" s="109">
        <f t="shared" si="260"/>
        <v>0</v>
      </c>
      <c r="J199" s="111">
        <f t="shared" si="261"/>
        <v>0</v>
      </c>
      <c r="K199" s="2"/>
      <c r="L199" s="104" t="s">
        <v>546</v>
      </c>
      <c r="M199" s="94">
        <f t="shared" si="262"/>
        <v>0</v>
      </c>
      <c r="N199" s="95">
        <f t="shared" si="263"/>
        <v>3929.6395146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</row>
    <row r="200" spans="1:71" x14ac:dyDescent="0.35">
      <c r="A200" s="2"/>
      <c r="B200" s="2"/>
      <c r="C200" s="42" t="s">
        <v>509</v>
      </c>
      <c r="D200" s="44">
        <f t="shared" si="259"/>
        <v>0</v>
      </c>
      <c r="E200" s="2"/>
      <c r="F200" s="2"/>
      <c r="G200" s="42" t="s">
        <v>509</v>
      </c>
      <c r="H200" s="62">
        <v>1</v>
      </c>
      <c r="I200" s="109">
        <f t="shared" si="260"/>
        <v>0</v>
      </c>
      <c r="J200" s="111">
        <f t="shared" si="261"/>
        <v>0</v>
      </c>
      <c r="K200" s="2"/>
      <c r="L200" s="104" t="s">
        <v>509</v>
      </c>
      <c r="M200" s="94">
        <f t="shared" si="262"/>
        <v>0</v>
      </c>
      <c r="N200" s="95">
        <f t="shared" si="263"/>
        <v>83818.318398000003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</row>
    <row r="201" spans="1:71" x14ac:dyDescent="0.35">
      <c r="A201" s="2"/>
      <c r="B201" s="2"/>
      <c r="C201" s="42" t="s">
        <v>547</v>
      </c>
      <c r="D201" s="44">
        <f t="shared" si="259"/>
        <v>0</v>
      </c>
      <c r="E201" s="2"/>
      <c r="F201" s="2"/>
      <c r="G201" s="42" t="s">
        <v>547</v>
      </c>
      <c r="H201" s="62">
        <v>1</v>
      </c>
      <c r="I201" s="109">
        <f t="shared" si="260"/>
        <v>0</v>
      </c>
      <c r="J201" s="111">
        <f t="shared" si="261"/>
        <v>0</v>
      </c>
      <c r="K201" s="2"/>
      <c r="L201" s="104" t="s">
        <v>547</v>
      </c>
      <c r="M201" s="94">
        <f t="shared" si="262"/>
        <v>0</v>
      </c>
      <c r="N201" s="95">
        <f t="shared" si="263"/>
        <v>0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</row>
    <row r="202" spans="1:71" x14ac:dyDescent="0.35">
      <c r="A202" s="2"/>
      <c r="B202" s="2"/>
      <c r="C202" s="42" t="s">
        <v>548</v>
      </c>
      <c r="D202" s="44">
        <f t="shared" si="259"/>
        <v>0</v>
      </c>
      <c r="E202" s="2"/>
      <c r="F202" s="2"/>
      <c r="G202" s="42" t="s">
        <v>548</v>
      </c>
      <c r="H202" s="62">
        <v>1</v>
      </c>
      <c r="I202" s="109">
        <f t="shared" si="260"/>
        <v>0</v>
      </c>
      <c r="J202" s="111">
        <f t="shared" si="261"/>
        <v>0</v>
      </c>
      <c r="K202" s="2"/>
      <c r="L202" s="104" t="s">
        <v>548</v>
      </c>
      <c r="M202" s="94">
        <f t="shared" si="262"/>
        <v>0</v>
      </c>
      <c r="N202" s="95">
        <f t="shared" si="263"/>
        <v>0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</row>
    <row r="203" spans="1:71" x14ac:dyDescent="0.35">
      <c r="A203" s="2"/>
      <c r="B203" s="2"/>
      <c r="C203" s="42" t="s">
        <v>549</v>
      </c>
      <c r="D203" s="44">
        <f t="shared" si="259"/>
        <v>0</v>
      </c>
      <c r="E203" s="2"/>
      <c r="F203" s="2"/>
      <c r="G203" s="42" t="s">
        <v>549</v>
      </c>
      <c r="H203" s="62">
        <v>1</v>
      </c>
      <c r="I203" s="109">
        <f t="shared" si="260"/>
        <v>0</v>
      </c>
      <c r="J203" s="111">
        <f t="shared" si="261"/>
        <v>0</v>
      </c>
      <c r="K203" s="2"/>
      <c r="L203" s="104" t="s">
        <v>549</v>
      </c>
      <c r="M203" s="94">
        <f t="shared" si="262"/>
        <v>0</v>
      </c>
      <c r="N203" s="95">
        <f t="shared" si="263"/>
        <v>25213.630896000002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</row>
    <row r="204" spans="1:71" x14ac:dyDescent="0.35">
      <c r="A204" s="2"/>
      <c r="B204" s="2"/>
      <c r="C204" s="42" t="s">
        <v>550</v>
      </c>
      <c r="D204" s="44">
        <f t="shared" si="259"/>
        <v>0</v>
      </c>
      <c r="E204" s="2"/>
      <c r="F204" s="2"/>
      <c r="G204" s="42" t="s">
        <v>550</v>
      </c>
      <c r="H204" s="62">
        <v>1</v>
      </c>
      <c r="I204" s="109">
        <f t="shared" si="260"/>
        <v>0</v>
      </c>
      <c r="J204" s="111">
        <f t="shared" si="261"/>
        <v>0</v>
      </c>
      <c r="K204" s="2"/>
      <c r="L204" s="104" t="s">
        <v>550</v>
      </c>
      <c r="M204" s="94">
        <f t="shared" si="262"/>
        <v>0</v>
      </c>
      <c r="N204" s="95">
        <f t="shared" si="263"/>
        <v>0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</row>
    <row r="205" spans="1:71" x14ac:dyDescent="0.35">
      <c r="A205" s="2"/>
      <c r="B205" s="2"/>
      <c r="C205" s="42" t="s">
        <v>551</v>
      </c>
      <c r="D205" s="44">
        <f t="shared" si="259"/>
        <v>0</v>
      </c>
      <c r="E205" s="2"/>
      <c r="F205" s="2"/>
      <c r="G205" s="42" t="s">
        <v>551</v>
      </c>
      <c r="H205" s="62">
        <v>1</v>
      </c>
      <c r="I205" s="109">
        <f t="shared" si="260"/>
        <v>0</v>
      </c>
      <c r="J205" s="111">
        <f t="shared" si="261"/>
        <v>0</v>
      </c>
      <c r="K205" s="2"/>
      <c r="L205" s="104" t="s">
        <v>551</v>
      </c>
      <c r="M205" s="94">
        <f t="shared" si="262"/>
        <v>0</v>
      </c>
      <c r="N205" s="95">
        <f t="shared" si="263"/>
        <v>404921.05524999998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</row>
    <row r="206" spans="1:71" x14ac:dyDescent="0.35">
      <c r="A206" s="2"/>
      <c r="B206" s="2"/>
      <c r="C206" s="42" t="s">
        <v>510</v>
      </c>
      <c r="D206" s="44">
        <f t="shared" si="259"/>
        <v>0</v>
      </c>
      <c r="E206" s="2"/>
      <c r="F206" s="2"/>
      <c r="G206" s="42" t="s">
        <v>510</v>
      </c>
      <c r="H206" s="62">
        <v>1</v>
      </c>
      <c r="I206" s="109">
        <f t="shared" si="260"/>
        <v>0</v>
      </c>
      <c r="J206" s="111">
        <f t="shared" si="261"/>
        <v>0</v>
      </c>
      <c r="K206" s="2"/>
      <c r="L206" s="104" t="s">
        <v>510</v>
      </c>
      <c r="M206" s="94">
        <f t="shared" si="262"/>
        <v>0</v>
      </c>
      <c r="N206" s="95">
        <f t="shared" si="263"/>
        <v>0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</row>
    <row r="207" spans="1:71" x14ac:dyDescent="0.35">
      <c r="A207" s="2"/>
      <c r="B207" s="2"/>
      <c r="C207" s="42" t="s">
        <v>552</v>
      </c>
      <c r="D207" s="44">
        <f t="shared" si="259"/>
        <v>0</v>
      </c>
      <c r="E207" s="2"/>
      <c r="F207" s="2"/>
      <c r="G207" s="42" t="s">
        <v>552</v>
      </c>
      <c r="H207" s="62">
        <v>1</v>
      </c>
      <c r="I207" s="109">
        <f t="shared" si="260"/>
        <v>0</v>
      </c>
      <c r="J207" s="111">
        <f t="shared" si="261"/>
        <v>0</v>
      </c>
      <c r="K207" s="2"/>
      <c r="L207" s="104" t="s">
        <v>552</v>
      </c>
      <c r="M207" s="94">
        <f t="shared" si="262"/>
        <v>0</v>
      </c>
      <c r="N207" s="95">
        <f t="shared" si="263"/>
        <v>0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</row>
    <row r="208" spans="1:71" x14ac:dyDescent="0.35">
      <c r="A208" s="2"/>
      <c r="B208" s="2"/>
      <c r="C208" s="42" t="s">
        <v>553</v>
      </c>
      <c r="D208" s="44">
        <f t="shared" si="259"/>
        <v>0</v>
      </c>
      <c r="E208" s="2"/>
      <c r="F208" s="2"/>
      <c r="G208" s="42" t="s">
        <v>553</v>
      </c>
      <c r="H208" s="62">
        <v>1</v>
      </c>
      <c r="I208" s="109">
        <f t="shared" si="260"/>
        <v>0</v>
      </c>
      <c r="J208" s="111">
        <f t="shared" si="261"/>
        <v>0</v>
      </c>
      <c r="K208" s="2"/>
      <c r="L208" s="104" t="s">
        <v>553</v>
      </c>
      <c r="M208" s="94">
        <f t="shared" si="262"/>
        <v>0</v>
      </c>
      <c r="N208" s="95">
        <f t="shared" si="263"/>
        <v>0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</row>
    <row r="209" spans="1:71" x14ac:dyDescent="0.35">
      <c r="A209" s="2"/>
      <c r="B209" s="2"/>
      <c r="C209" s="42" t="s">
        <v>554</v>
      </c>
      <c r="D209" s="44">
        <f t="shared" si="259"/>
        <v>0</v>
      </c>
      <c r="E209" s="2"/>
      <c r="F209" s="2"/>
      <c r="G209" s="42" t="s">
        <v>554</v>
      </c>
      <c r="H209" s="62">
        <v>1</v>
      </c>
      <c r="I209" s="109">
        <f t="shared" si="260"/>
        <v>0</v>
      </c>
      <c r="J209" s="111">
        <f t="shared" si="261"/>
        <v>0</v>
      </c>
      <c r="K209" s="2"/>
      <c r="L209" s="104" t="s">
        <v>554</v>
      </c>
      <c r="M209" s="94">
        <f t="shared" si="262"/>
        <v>0</v>
      </c>
      <c r="N209" s="95">
        <f t="shared" si="263"/>
        <v>10982.273015000001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</row>
    <row r="210" spans="1:71" x14ac:dyDescent="0.35">
      <c r="A210" s="2"/>
      <c r="B210" s="2"/>
      <c r="C210" s="42" t="s">
        <v>555</v>
      </c>
      <c r="D210" s="44">
        <f t="shared" si="259"/>
        <v>0</v>
      </c>
      <c r="E210" s="2"/>
      <c r="F210" s="2"/>
      <c r="G210" s="42" t="s">
        <v>555</v>
      </c>
      <c r="H210" s="62">
        <v>1</v>
      </c>
      <c r="I210" s="109">
        <f t="shared" si="260"/>
        <v>0</v>
      </c>
      <c r="J210" s="111">
        <f t="shared" si="261"/>
        <v>0</v>
      </c>
      <c r="K210" s="2"/>
      <c r="L210" s="104" t="s">
        <v>555</v>
      </c>
      <c r="M210" s="94">
        <f t="shared" si="262"/>
        <v>0</v>
      </c>
      <c r="N210" s="95">
        <f t="shared" si="263"/>
        <v>0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</row>
    <row r="211" spans="1:71" x14ac:dyDescent="0.35">
      <c r="A211" s="2"/>
      <c r="B211" s="2"/>
      <c r="C211" s="42" t="s">
        <v>556</v>
      </c>
      <c r="D211" s="44">
        <f t="shared" si="259"/>
        <v>0</v>
      </c>
      <c r="E211" s="2"/>
      <c r="F211" s="2"/>
      <c r="G211" s="42" t="s">
        <v>556</v>
      </c>
      <c r="H211" s="62">
        <v>1</v>
      </c>
      <c r="I211" s="109">
        <f t="shared" si="260"/>
        <v>0</v>
      </c>
      <c r="J211" s="111">
        <f t="shared" si="261"/>
        <v>0</v>
      </c>
      <c r="K211" s="2"/>
      <c r="L211" s="104" t="s">
        <v>556</v>
      </c>
      <c r="M211" s="94">
        <f t="shared" si="262"/>
        <v>0</v>
      </c>
      <c r="N211" s="95">
        <f t="shared" si="263"/>
        <v>1177.9913677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</row>
    <row r="212" spans="1:71" x14ac:dyDescent="0.35">
      <c r="A212" s="2"/>
      <c r="B212" s="2"/>
      <c r="C212" s="42" t="s">
        <v>511</v>
      </c>
      <c r="D212" s="44">
        <f t="shared" si="259"/>
        <v>0</v>
      </c>
      <c r="E212" s="2"/>
      <c r="F212" s="2"/>
      <c r="G212" s="42" t="s">
        <v>511</v>
      </c>
      <c r="H212" s="62">
        <v>1</v>
      </c>
      <c r="I212" s="109">
        <f t="shared" si="260"/>
        <v>0</v>
      </c>
      <c r="J212" s="111">
        <f t="shared" si="261"/>
        <v>0</v>
      </c>
      <c r="K212" s="2"/>
      <c r="L212" s="104" t="s">
        <v>511</v>
      </c>
      <c r="M212" s="94">
        <f t="shared" si="262"/>
        <v>0</v>
      </c>
      <c r="N212" s="95">
        <f t="shared" si="263"/>
        <v>3836.4446524000005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</row>
    <row r="213" spans="1:71" x14ac:dyDescent="0.35">
      <c r="A213" s="2"/>
      <c r="B213" s="2"/>
      <c r="C213" s="42" t="s">
        <v>512</v>
      </c>
      <c r="D213" s="44">
        <f t="shared" si="259"/>
        <v>0</v>
      </c>
      <c r="E213" s="2"/>
      <c r="F213" s="2"/>
      <c r="G213" s="42" t="s">
        <v>512</v>
      </c>
      <c r="H213" s="62">
        <v>1</v>
      </c>
      <c r="I213" s="109">
        <f t="shared" si="260"/>
        <v>0</v>
      </c>
      <c r="J213" s="111">
        <f t="shared" si="261"/>
        <v>0</v>
      </c>
      <c r="K213" s="2"/>
      <c r="L213" s="104" t="s">
        <v>512</v>
      </c>
      <c r="M213" s="94">
        <f t="shared" si="262"/>
        <v>0</v>
      </c>
      <c r="N213" s="95">
        <f t="shared" si="263"/>
        <v>193217.60874299996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</row>
    <row r="214" spans="1:71" x14ac:dyDescent="0.35">
      <c r="A214" s="2"/>
      <c r="B214" s="2"/>
      <c r="C214" s="42" t="s">
        <v>513</v>
      </c>
      <c r="D214" s="44">
        <f t="shared" si="259"/>
        <v>0</v>
      </c>
      <c r="E214" s="2"/>
      <c r="F214" s="2"/>
      <c r="G214" s="42" t="s">
        <v>513</v>
      </c>
      <c r="H214" s="62">
        <v>1</v>
      </c>
      <c r="I214" s="109">
        <f t="shared" si="260"/>
        <v>0</v>
      </c>
      <c r="J214" s="111">
        <f t="shared" si="261"/>
        <v>0</v>
      </c>
      <c r="K214" s="2"/>
      <c r="L214" s="104" t="s">
        <v>513</v>
      </c>
      <c r="M214" s="94">
        <f t="shared" si="262"/>
        <v>0</v>
      </c>
      <c r="N214" s="95">
        <f t="shared" si="263"/>
        <v>25602.642472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</row>
    <row r="215" spans="1:71" x14ac:dyDescent="0.35">
      <c r="A215" s="2"/>
      <c r="B215" s="2"/>
      <c r="C215" s="42" t="s">
        <v>557</v>
      </c>
      <c r="D215" s="44">
        <f t="shared" si="259"/>
        <v>0</v>
      </c>
      <c r="E215" s="2"/>
      <c r="F215" s="2"/>
      <c r="G215" s="42" t="s">
        <v>557</v>
      </c>
      <c r="H215" s="62">
        <v>1</v>
      </c>
      <c r="I215" s="109">
        <f t="shared" si="260"/>
        <v>0</v>
      </c>
      <c r="J215" s="111">
        <f t="shared" si="261"/>
        <v>0</v>
      </c>
      <c r="K215" s="2"/>
      <c r="L215" s="104" t="s">
        <v>557</v>
      </c>
      <c r="M215" s="94">
        <f t="shared" si="262"/>
        <v>0</v>
      </c>
      <c r="N215" s="95">
        <f t="shared" si="263"/>
        <v>389.39284799999996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</row>
    <row r="216" spans="1:71" x14ac:dyDescent="0.35">
      <c r="A216" s="2"/>
      <c r="B216" s="2"/>
      <c r="C216" s="42" t="s">
        <v>558</v>
      </c>
      <c r="D216" s="44">
        <f t="shared" si="259"/>
        <v>0</v>
      </c>
      <c r="E216" s="2"/>
      <c r="F216" s="2"/>
      <c r="G216" s="42" t="s">
        <v>558</v>
      </c>
      <c r="H216" s="62">
        <v>1</v>
      </c>
      <c r="I216" s="109">
        <f t="shared" si="260"/>
        <v>0</v>
      </c>
      <c r="J216" s="111">
        <f t="shared" si="261"/>
        <v>0</v>
      </c>
      <c r="K216" s="2"/>
      <c r="L216" s="104" t="s">
        <v>558</v>
      </c>
      <c r="M216" s="94">
        <f t="shared" si="262"/>
        <v>0</v>
      </c>
      <c r="N216" s="95">
        <f t="shared" si="263"/>
        <v>0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</row>
    <row r="217" spans="1:71" x14ac:dyDescent="0.35">
      <c r="A217" s="2"/>
      <c r="B217" s="2"/>
      <c r="C217" s="42" t="s">
        <v>559</v>
      </c>
      <c r="D217" s="44">
        <f t="shared" si="259"/>
        <v>0</v>
      </c>
      <c r="E217" s="2"/>
      <c r="F217" s="2"/>
      <c r="G217" s="42" t="s">
        <v>559</v>
      </c>
      <c r="H217" s="62">
        <v>1</v>
      </c>
      <c r="I217" s="109">
        <f t="shared" si="260"/>
        <v>0</v>
      </c>
      <c r="J217" s="111">
        <f t="shared" si="261"/>
        <v>0</v>
      </c>
      <c r="K217" s="2"/>
      <c r="L217" s="104" t="s">
        <v>559</v>
      </c>
      <c r="M217" s="94">
        <f t="shared" si="262"/>
        <v>0</v>
      </c>
      <c r="N217" s="95">
        <f t="shared" si="263"/>
        <v>407.13720539999997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</row>
    <row r="218" spans="1:71" x14ac:dyDescent="0.35">
      <c r="A218" s="2"/>
      <c r="B218" s="2"/>
      <c r="C218" s="42" t="s">
        <v>514</v>
      </c>
      <c r="D218" s="44">
        <f t="shared" si="259"/>
        <v>0</v>
      </c>
      <c r="E218" s="2"/>
      <c r="F218" s="2"/>
      <c r="G218" s="42" t="s">
        <v>514</v>
      </c>
      <c r="H218" s="62">
        <v>1</v>
      </c>
      <c r="I218" s="109">
        <f t="shared" si="260"/>
        <v>0</v>
      </c>
      <c r="J218" s="111">
        <f t="shared" si="261"/>
        <v>0</v>
      </c>
      <c r="K218" s="2"/>
      <c r="L218" s="104" t="s">
        <v>514</v>
      </c>
      <c r="M218" s="94">
        <f t="shared" si="262"/>
        <v>0</v>
      </c>
      <c r="N218" s="95">
        <f t="shared" si="263"/>
        <v>144842.58698700002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</row>
    <row r="219" spans="1:71" x14ac:dyDescent="0.35">
      <c r="A219" s="2"/>
      <c r="B219" s="2"/>
      <c r="C219" s="42" t="s">
        <v>560</v>
      </c>
      <c r="D219" s="44">
        <f t="shared" si="259"/>
        <v>0</v>
      </c>
      <c r="E219" s="2"/>
      <c r="F219" s="2"/>
      <c r="G219" s="42" t="s">
        <v>560</v>
      </c>
      <c r="H219" s="62">
        <v>1</v>
      </c>
      <c r="I219" s="109">
        <f t="shared" si="260"/>
        <v>0</v>
      </c>
      <c r="J219" s="111">
        <f t="shared" si="261"/>
        <v>0</v>
      </c>
      <c r="K219" s="2"/>
      <c r="L219" s="104" t="s">
        <v>560</v>
      </c>
      <c r="M219" s="94">
        <f t="shared" si="262"/>
        <v>0</v>
      </c>
      <c r="N219" s="95">
        <f t="shared" si="263"/>
        <v>26548.109833999999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</row>
    <row r="220" spans="1:71" x14ac:dyDescent="0.35">
      <c r="A220" s="2"/>
      <c r="B220" s="2"/>
      <c r="C220" s="45" t="s">
        <v>561</v>
      </c>
      <c r="D220" s="47">
        <f t="shared" si="259"/>
        <v>0</v>
      </c>
      <c r="E220" s="2"/>
      <c r="F220" s="2"/>
      <c r="G220" s="45" t="s">
        <v>561</v>
      </c>
      <c r="H220" s="63">
        <v>1</v>
      </c>
      <c r="I220" s="112">
        <f t="shared" si="260"/>
        <v>0</v>
      </c>
      <c r="J220" s="114">
        <f t="shared" si="261"/>
        <v>0</v>
      </c>
      <c r="K220" s="2"/>
      <c r="L220" s="105" t="s">
        <v>561</v>
      </c>
      <c r="M220" s="97">
        <f t="shared" si="262"/>
        <v>0</v>
      </c>
      <c r="N220" s="98">
        <f t="shared" si="263"/>
        <v>0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</row>
    <row r="221" spans="1:7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</row>
    <row r="222" spans="1:7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</row>
    <row r="223" spans="1:7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</row>
    <row r="224" spans="1:7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</row>
    <row r="225" spans="1:71" x14ac:dyDescent="0.35">
      <c r="A225" s="100" t="s">
        <v>596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</row>
    <row r="226" spans="1:71" x14ac:dyDescent="0.35">
      <c r="A226" s="101" t="s">
        <v>597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4" t="s">
        <v>672</v>
      </c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4" t="s">
        <v>670</v>
      </c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</row>
    <row r="227" spans="1:71" x14ac:dyDescent="0.35">
      <c r="A227" s="2"/>
      <c r="B227" s="2"/>
      <c r="C227" s="4" t="s">
        <v>637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7" t="s">
        <v>644</v>
      </c>
      <c r="AA227" s="108">
        <v>1</v>
      </c>
      <c r="AB227" s="108">
        <v>1</v>
      </c>
      <c r="AC227" s="108">
        <v>1</v>
      </c>
      <c r="AD227" s="108">
        <v>1</v>
      </c>
      <c r="AE227" s="108">
        <v>1</v>
      </c>
      <c r="AF227" s="108">
        <v>1</v>
      </c>
      <c r="AG227" s="108">
        <v>1</v>
      </c>
      <c r="AH227" s="108">
        <v>1</v>
      </c>
      <c r="AI227" s="108">
        <v>1</v>
      </c>
      <c r="AJ227" s="108">
        <v>1</v>
      </c>
      <c r="AK227" s="108">
        <v>1</v>
      </c>
      <c r="AL227" s="108">
        <v>1</v>
      </c>
      <c r="AM227" s="108">
        <v>1</v>
      </c>
      <c r="AN227" s="108">
        <v>1</v>
      </c>
      <c r="AO227" s="108">
        <v>1</v>
      </c>
      <c r="AP227" s="108">
        <v>1</v>
      </c>
      <c r="AQ227" s="108">
        <v>1</v>
      </c>
      <c r="AR227" s="108">
        <v>1</v>
      </c>
      <c r="AS227" s="108">
        <v>1</v>
      </c>
      <c r="AT227" s="108">
        <v>1</v>
      </c>
      <c r="AU227" s="2"/>
      <c r="AV227" s="24" t="s">
        <v>671</v>
      </c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</row>
    <row r="228" spans="1:71" x14ac:dyDescent="0.35">
      <c r="A228" s="2"/>
      <c r="B228" s="2"/>
      <c r="C228" s="39"/>
      <c r="D228" s="64" t="s">
        <v>283</v>
      </c>
      <c r="E228" s="64" t="s">
        <v>285</v>
      </c>
      <c r="F228" s="64" t="s">
        <v>287</v>
      </c>
      <c r="G228" s="64" t="s">
        <v>289</v>
      </c>
      <c r="H228" s="64" t="s">
        <v>291</v>
      </c>
      <c r="I228" s="102" t="s">
        <v>293</v>
      </c>
      <c r="J228" s="64" t="s">
        <v>295</v>
      </c>
      <c r="K228" s="64" t="s">
        <v>297</v>
      </c>
      <c r="L228" s="64" t="s">
        <v>299</v>
      </c>
      <c r="M228" s="66" t="s">
        <v>301</v>
      </c>
      <c r="N228" s="64" t="s">
        <v>303</v>
      </c>
      <c r="O228" s="64" t="s">
        <v>305</v>
      </c>
      <c r="P228" s="64" t="s">
        <v>307</v>
      </c>
      <c r="Q228" s="64" t="s">
        <v>309</v>
      </c>
      <c r="R228" s="64" t="s">
        <v>311</v>
      </c>
      <c r="S228" s="102" t="s">
        <v>322</v>
      </c>
      <c r="T228" s="64" t="s">
        <v>323</v>
      </c>
      <c r="U228" s="64" t="s">
        <v>324</v>
      </c>
      <c r="V228" s="64" t="s">
        <v>325</v>
      </c>
      <c r="W228" s="66" t="s">
        <v>326</v>
      </c>
      <c r="X228" s="2"/>
      <c r="Y228" s="2"/>
      <c r="Z228" s="39"/>
      <c r="AA228" s="64" t="s">
        <v>283</v>
      </c>
      <c r="AB228" s="64" t="s">
        <v>285</v>
      </c>
      <c r="AC228" s="64" t="s">
        <v>287</v>
      </c>
      <c r="AD228" s="64" t="s">
        <v>289</v>
      </c>
      <c r="AE228" s="64" t="s">
        <v>291</v>
      </c>
      <c r="AF228" s="102" t="s">
        <v>293</v>
      </c>
      <c r="AG228" s="64" t="s">
        <v>295</v>
      </c>
      <c r="AH228" s="64" t="s">
        <v>297</v>
      </c>
      <c r="AI228" s="64" t="s">
        <v>299</v>
      </c>
      <c r="AJ228" s="66" t="s">
        <v>301</v>
      </c>
      <c r="AK228" s="64" t="s">
        <v>303</v>
      </c>
      <c r="AL228" s="64" t="s">
        <v>305</v>
      </c>
      <c r="AM228" s="64" t="s">
        <v>307</v>
      </c>
      <c r="AN228" s="64" t="s">
        <v>309</v>
      </c>
      <c r="AO228" s="64" t="s">
        <v>311</v>
      </c>
      <c r="AP228" s="102" t="s">
        <v>322</v>
      </c>
      <c r="AQ228" s="64" t="s">
        <v>323</v>
      </c>
      <c r="AR228" s="64" t="s">
        <v>324</v>
      </c>
      <c r="AS228" s="64" t="s">
        <v>325</v>
      </c>
      <c r="AT228" s="66" t="s">
        <v>326</v>
      </c>
      <c r="AU228" s="2"/>
      <c r="AV228" s="103" t="s">
        <v>652</v>
      </c>
      <c r="AW228" s="91" t="s">
        <v>673</v>
      </c>
      <c r="AX228" s="91" t="s">
        <v>674</v>
      </c>
      <c r="AY228" s="91" t="s">
        <v>675</v>
      </c>
      <c r="AZ228" s="91" t="s">
        <v>676</v>
      </c>
      <c r="BA228" s="91" t="s">
        <v>677</v>
      </c>
      <c r="BB228" s="90" t="s">
        <v>678</v>
      </c>
      <c r="BC228" s="91" t="s">
        <v>679</v>
      </c>
      <c r="BD228" s="91" t="s">
        <v>680</v>
      </c>
      <c r="BE228" s="91" t="s">
        <v>681</v>
      </c>
      <c r="BF228" s="92" t="s">
        <v>682</v>
      </c>
      <c r="BG228" s="91" t="s">
        <v>683</v>
      </c>
      <c r="BH228" s="91" t="s">
        <v>684</v>
      </c>
      <c r="BI228" s="91" t="s">
        <v>685</v>
      </c>
      <c r="BJ228" s="91" t="s">
        <v>686</v>
      </c>
      <c r="BK228" s="91" t="s">
        <v>687</v>
      </c>
      <c r="BL228" s="90" t="s">
        <v>688</v>
      </c>
      <c r="BM228" s="91" t="s">
        <v>689</v>
      </c>
      <c r="BN228" s="91" t="s">
        <v>690</v>
      </c>
      <c r="BO228" s="91" t="s">
        <v>691</v>
      </c>
      <c r="BP228" s="92" t="s">
        <v>692</v>
      </c>
      <c r="BQ228" s="2"/>
      <c r="BR228" s="2"/>
      <c r="BS228" s="2"/>
    </row>
    <row r="229" spans="1:71" x14ac:dyDescent="0.35">
      <c r="A229" s="2"/>
      <c r="B229" s="2"/>
      <c r="C229" s="42" t="s">
        <v>443</v>
      </c>
      <c r="D229" s="109">
        <f>IF(SUM($AA229:$AT229),AA229/SUM($AA229:$AT229),0)</f>
        <v>0.10115022590552726</v>
      </c>
      <c r="E229" s="109">
        <f t="shared" ref="E229:E292" si="264">IF(SUM($AA229:$AT229),AB229/SUM($AA229:$AT229),0)</f>
        <v>0.28651565435837018</v>
      </c>
      <c r="F229" s="109">
        <f t="shared" ref="F229:F292" si="265">IF(SUM($AA229:$AT229),AC229/SUM($AA229:$AT229),0)</f>
        <v>0.13900144577975393</v>
      </c>
      <c r="G229" s="109">
        <f t="shared" ref="G229:G292" si="266">IF(SUM($AA229:$AT229),AD229/SUM($AA229:$AT229),0)</f>
        <v>4.7965076485006523E-2</v>
      </c>
      <c r="H229" s="109">
        <f t="shared" ref="H229:H292" si="267">IF(SUM($AA229:$AT229),AE229/SUM($AA229:$AT229),0)</f>
        <v>0.11535926258523545</v>
      </c>
      <c r="I229" s="110">
        <f t="shared" ref="I229:I292" si="268">IF(SUM($AA229:$AT229),AF229/SUM($AA229:$AT229),0)</f>
        <v>0</v>
      </c>
      <c r="J229" s="109">
        <f t="shared" ref="J229:J292" si="269">IF(SUM($AA229:$AT229),AG229/SUM($AA229:$AT229),0)</f>
        <v>0</v>
      </c>
      <c r="K229" s="109">
        <f t="shared" ref="K229:K292" si="270">IF(SUM($AA229:$AT229),AH229/SUM($AA229:$AT229),0)</f>
        <v>0</v>
      </c>
      <c r="L229" s="109">
        <f t="shared" ref="L229:L292" si="271">IF(SUM($AA229:$AT229),AI229/SUM($AA229:$AT229),0)</f>
        <v>0</v>
      </c>
      <c r="M229" s="111">
        <f t="shared" ref="M229:M292" si="272">IF(SUM($AA229:$AT229),AJ229/SUM($AA229:$AT229),0)</f>
        <v>0</v>
      </c>
      <c r="N229" s="109">
        <f t="shared" ref="N229:N292" si="273">IF(SUM($AA229:$AT229),AK229/SUM($AA229:$AT229),0)</f>
        <v>7.5357207943799491E-3</v>
      </c>
      <c r="O229" s="109">
        <f t="shared" ref="O229:O292" si="274">IF(SUM($AA229:$AT229),AL229/SUM($AA229:$AT229),0)</f>
        <v>2.1753952982820662E-2</v>
      </c>
      <c r="P229" s="109">
        <f t="shared" ref="P229:P292" si="275">IF(SUM($AA229:$AT229),AM229/SUM($AA229:$AT229),0)</f>
        <v>0</v>
      </c>
      <c r="Q229" s="109">
        <f t="shared" ref="Q229:Q292" si="276">IF(SUM($AA229:$AT229),AN229/SUM($AA229:$AT229),0)</f>
        <v>8.5190794480128146E-2</v>
      </c>
      <c r="R229" s="109">
        <f t="shared" ref="R229:R292" si="277">IF(SUM($AA229:$AT229),AO229/SUM($AA229:$AT229),0)</f>
        <v>0.13480576935897368</v>
      </c>
      <c r="S229" s="110">
        <f t="shared" ref="S229:S292" si="278">IF(SUM($AA229:$AT229),AP229/SUM($AA229:$AT229),0)</f>
        <v>0</v>
      </c>
      <c r="T229" s="109">
        <f t="shared" ref="T229:T292" si="279">IF(SUM($AA229:$AT229),AQ229/SUM($AA229:$AT229),0)</f>
        <v>4.7052216114735874E-2</v>
      </c>
      <c r="U229" s="109">
        <f t="shared" ref="U229:U292" si="280">IF(SUM($AA229:$AT229),AR229/SUM($AA229:$AT229),0)</f>
        <v>3.9038159521583042E-3</v>
      </c>
      <c r="V229" s="109">
        <f t="shared" ref="V229:V292" si="281">IF(SUM($AA229:$AT229),AS229/SUM($AA229:$AT229),0)</f>
        <v>2.0177279969479317E-3</v>
      </c>
      <c r="W229" s="111">
        <f t="shared" ref="W229:W292" si="282">IF(SUM($AA229:$AT229),AT229/SUM($AA229:$AT229),0)</f>
        <v>7.7483372059624139E-3</v>
      </c>
      <c r="X229" s="115">
        <f>SUM(D229:W229)</f>
        <v>1.0000000000000002</v>
      </c>
      <c r="Y229" s="38" t="s">
        <v>443</v>
      </c>
      <c r="Z229" s="42" t="s">
        <v>443</v>
      </c>
      <c r="AA229" s="67">
        <f>IF($J117,SUMIF($AV$229:$AV$332,$Y229,AW$229:AW$332)*AA$227*$D117/$J117,0)</f>
        <v>10.93066</v>
      </c>
      <c r="AB229" s="67">
        <f t="shared" ref="AB229:AT229" si="283">IF($J117,SUMIF($AV$229:$AV$332,$Y229,AX$229:AX$332)*AB$227*$D117/$J117,0)</f>
        <v>30.961919999999999</v>
      </c>
      <c r="AC229" s="67">
        <f t="shared" si="283"/>
        <v>15.020999999999999</v>
      </c>
      <c r="AD229" s="67">
        <f t="shared" si="283"/>
        <v>5.1832799999999999</v>
      </c>
      <c r="AE229" s="67">
        <f t="shared" si="283"/>
        <v>12.466139999999999</v>
      </c>
      <c r="AF229" s="76">
        <f t="shared" si="283"/>
        <v>0</v>
      </c>
      <c r="AG229" s="67">
        <f t="shared" si="283"/>
        <v>0</v>
      </c>
      <c r="AH229" s="67">
        <f t="shared" si="283"/>
        <v>0</v>
      </c>
      <c r="AI229" s="67">
        <f t="shared" si="283"/>
        <v>0</v>
      </c>
      <c r="AJ229" s="68">
        <f t="shared" si="283"/>
        <v>0</v>
      </c>
      <c r="AK229" s="67">
        <f t="shared" si="283"/>
        <v>0.81433730000000004</v>
      </c>
      <c r="AL229" s="67">
        <f t="shared" si="283"/>
        <v>2.3508110000000002</v>
      </c>
      <c r="AM229" s="67">
        <f t="shared" si="283"/>
        <v>0</v>
      </c>
      <c r="AN229" s="67">
        <f t="shared" si="283"/>
        <v>9.2060259999999996</v>
      </c>
      <c r="AO229" s="67">
        <f t="shared" si="283"/>
        <v>14.567600000000001</v>
      </c>
      <c r="AP229" s="76">
        <f t="shared" si="283"/>
        <v>0</v>
      </c>
      <c r="AQ229" s="67">
        <f t="shared" si="283"/>
        <v>5.0846330000000002</v>
      </c>
      <c r="AR229" s="67">
        <f t="shared" si="283"/>
        <v>0.42186050000000003</v>
      </c>
      <c r="AS229" s="67">
        <f t="shared" si="283"/>
        <v>0.21804299999999999</v>
      </c>
      <c r="AT229" s="68">
        <f t="shared" si="283"/>
        <v>0.83731339999999999</v>
      </c>
      <c r="AU229" s="2"/>
      <c r="AV229" s="104" t="s">
        <v>443</v>
      </c>
      <c r="AW229" s="94">
        <v>10.93066</v>
      </c>
      <c r="AX229" s="94">
        <v>30.961919999999999</v>
      </c>
      <c r="AY229" s="94">
        <v>15.021000000000001</v>
      </c>
      <c r="AZ229" s="94">
        <v>5.1832799999999999</v>
      </c>
      <c r="BA229" s="94">
        <v>12.466139999999999</v>
      </c>
      <c r="BB229" s="106">
        <v>0</v>
      </c>
      <c r="BC229" s="94">
        <v>0</v>
      </c>
      <c r="BD229" s="94">
        <v>0</v>
      </c>
      <c r="BE229" s="94">
        <v>0</v>
      </c>
      <c r="BF229" s="95">
        <v>0</v>
      </c>
      <c r="BG229" s="94">
        <v>0.81433730000000004</v>
      </c>
      <c r="BH229" s="94">
        <v>2.3508110000000002</v>
      </c>
      <c r="BI229" s="94">
        <v>0</v>
      </c>
      <c r="BJ229" s="94">
        <v>9.2060259999999996</v>
      </c>
      <c r="BK229" s="94">
        <v>14.567600000000001</v>
      </c>
      <c r="BL229" s="106">
        <v>0</v>
      </c>
      <c r="BM229" s="94">
        <v>5.0846330000000002</v>
      </c>
      <c r="BN229" s="94">
        <v>0.42186050000000003</v>
      </c>
      <c r="BO229" s="94">
        <v>0.21804299999999999</v>
      </c>
      <c r="BP229" s="95">
        <v>0.83731339999999999</v>
      </c>
      <c r="BQ229" s="2"/>
      <c r="BR229" s="2"/>
      <c r="BS229" s="2"/>
    </row>
    <row r="230" spans="1:71" x14ac:dyDescent="0.35">
      <c r="A230" s="2"/>
      <c r="B230" s="2"/>
      <c r="C230" s="42" t="s">
        <v>440</v>
      </c>
      <c r="D230" s="109">
        <f t="shared" ref="D230:D293" si="284">IF(SUM($AA230:$AT230),AA230/SUM($AA230:$AT230),0)</f>
        <v>0.11365219897012915</v>
      </c>
      <c r="E230" s="109">
        <f t="shared" si="264"/>
        <v>0.21170351208655666</v>
      </c>
      <c r="F230" s="109">
        <f t="shared" si="265"/>
        <v>0.22793791930208582</v>
      </c>
      <c r="G230" s="109">
        <f t="shared" si="266"/>
        <v>0.28953884061688795</v>
      </c>
      <c r="H230" s="109">
        <f t="shared" si="267"/>
        <v>0.13328287149808396</v>
      </c>
      <c r="I230" s="110">
        <f t="shared" si="268"/>
        <v>0</v>
      </c>
      <c r="J230" s="109">
        <f t="shared" si="269"/>
        <v>0</v>
      </c>
      <c r="K230" s="109">
        <f t="shared" si="270"/>
        <v>0</v>
      </c>
      <c r="L230" s="109">
        <f t="shared" si="271"/>
        <v>0</v>
      </c>
      <c r="M230" s="111">
        <f t="shared" si="272"/>
        <v>0</v>
      </c>
      <c r="N230" s="109">
        <f t="shared" si="273"/>
        <v>1.1725031096285806E-3</v>
      </c>
      <c r="O230" s="109">
        <f t="shared" si="274"/>
        <v>3.2783353065899299E-3</v>
      </c>
      <c r="P230" s="109">
        <f t="shared" si="275"/>
        <v>3.1121340569923613E-3</v>
      </c>
      <c r="Q230" s="109">
        <f t="shared" si="276"/>
        <v>1.6599095654330446E-3</v>
      </c>
      <c r="R230" s="109">
        <f t="shared" si="277"/>
        <v>4.2716531406793703E-3</v>
      </c>
      <c r="S230" s="110">
        <f t="shared" si="278"/>
        <v>2.3058107126034109E-5</v>
      </c>
      <c r="T230" s="109">
        <f t="shared" si="279"/>
        <v>0</v>
      </c>
      <c r="U230" s="109">
        <f t="shared" si="280"/>
        <v>1.0466465066908668E-3</v>
      </c>
      <c r="V230" s="109">
        <f t="shared" si="281"/>
        <v>4.6891106256636969E-3</v>
      </c>
      <c r="W230" s="111">
        <f t="shared" si="282"/>
        <v>4.6313071074523694E-3</v>
      </c>
      <c r="X230" s="115">
        <f t="shared" ref="X230:X293" si="285">SUM(D230:W230)</f>
        <v>0.99999999999999978</v>
      </c>
      <c r="Y230" s="38" t="s">
        <v>440</v>
      </c>
      <c r="Z230" s="42" t="s">
        <v>440</v>
      </c>
      <c r="AA230" s="67">
        <f t="shared" ref="AA230:AT230" si="286">IF($J118,SUMIF($AV$229:$AV$332,$Y230,AW$229:AW$332)*AA$227*$D118/$J118,0)</f>
        <v>2623.8690000000001</v>
      </c>
      <c r="AB230" s="67">
        <f t="shared" si="286"/>
        <v>4887.5630000000001</v>
      </c>
      <c r="AC230" s="67">
        <f t="shared" si="286"/>
        <v>5262.3639999999996</v>
      </c>
      <c r="AD230" s="67">
        <f t="shared" si="286"/>
        <v>6684.5339999999997</v>
      </c>
      <c r="AE230" s="67">
        <f t="shared" si="286"/>
        <v>3077.0790000000002</v>
      </c>
      <c r="AF230" s="76">
        <f t="shared" si="286"/>
        <v>0</v>
      </c>
      <c r="AG230" s="67">
        <f t="shared" si="286"/>
        <v>0</v>
      </c>
      <c r="AH230" s="67">
        <f t="shared" si="286"/>
        <v>0</v>
      </c>
      <c r="AI230" s="67">
        <f t="shared" si="286"/>
        <v>0</v>
      </c>
      <c r="AJ230" s="68">
        <f t="shared" si="286"/>
        <v>0</v>
      </c>
      <c r="AK230" s="67">
        <f t="shared" si="286"/>
        <v>27.069379999999999</v>
      </c>
      <c r="AL230" s="67">
        <f t="shared" si="286"/>
        <v>75.686369999999997</v>
      </c>
      <c r="AM230" s="67">
        <f t="shared" si="286"/>
        <v>71.849310000000003</v>
      </c>
      <c r="AN230" s="67">
        <f t="shared" si="286"/>
        <v>38.322049999999997</v>
      </c>
      <c r="AO230" s="67">
        <f t="shared" si="286"/>
        <v>98.618930000000006</v>
      </c>
      <c r="AP230" s="76">
        <f t="shared" si="286"/>
        <v>0.5323386</v>
      </c>
      <c r="AQ230" s="67">
        <f t="shared" si="286"/>
        <v>0</v>
      </c>
      <c r="AR230" s="67">
        <f t="shared" si="286"/>
        <v>24.16375</v>
      </c>
      <c r="AS230" s="67">
        <f t="shared" si="286"/>
        <v>108.2567</v>
      </c>
      <c r="AT230" s="68">
        <f t="shared" si="286"/>
        <v>106.92219999999999</v>
      </c>
      <c r="AU230" s="2"/>
      <c r="AV230" s="104" t="s">
        <v>440</v>
      </c>
      <c r="AW230" s="94">
        <v>2623.8690000000001</v>
      </c>
      <c r="AX230" s="94">
        <v>4887.5630000000001</v>
      </c>
      <c r="AY230" s="94">
        <v>5262.3639999999996</v>
      </c>
      <c r="AZ230" s="94">
        <v>6684.5339999999997</v>
      </c>
      <c r="BA230" s="94">
        <v>3077.0790000000002</v>
      </c>
      <c r="BB230" s="106">
        <v>0</v>
      </c>
      <c r="BC230" s="94">
        <v>0</v>
      </c>
      <c r="BD230" s="94">
        <v>0</v>
      </c>
      <c r="BE230" s="94">
        <v>0</v>
      </c>
      <c r="BF230" s="95">
        <v>0</v>
      </c>
      <c r="BG230" s="94">
        <v>27.069379999999999</v>
      </c>
      <c r="BH230" s="94">
        <v>75.686369999999997</v>
      </c>
      <c r="BI230" s="94">
        <v>71.849310000000003</v>
      </c>
      <c r="BJ230" s="94">
        <v>38.322049999999997</v>
      </c>
      <c r="BK230" s="94">
        <v>98.618930000000006</v>
      </c>
      <c r="BL230" s="106">
        <v>0.5323386</v>
      </c>
      <c r="BM230" s="94">
        <v>0</v>
      </c>
      <c r="BN230" s="94">
        <v>24.16375</v>
      </c>
      <c r="BO230" s="94">
        <v>108.2567</v>
      </c>
      <c r="BP230" s="95">
        <v>106.9222</v>
      </c>
      <c r="BQ230" s="2"/>
      <c r="BR230" s="2"/>
      <c r="BS230" s="2"/>
    </row>
    <row r="231" spans="1:71" x14ac:dyDescent="0.35">
      <c r="A231" s="2"/>
      <c r="B231" s="2"/>
      <c r="C231" s="42" t="s">
        <v>450</v>
      </c>
      <c r="D231" s="109">
        <f t="shared" si="284"/>
        <v>0.42169484129532708</v>
      </c>
      <c r="E231" s="109">
        <f t="shared" si="264"/>
        <v>0.43043721580891997</v>
      </c>
      <c r="F231" s="109">
        <f t="shared" si="265"/>
        <v>3.7551380874096138E-2</v>
      </c>
      <c r="G231" s="109">
        <f t="shared" si="266"/>
        <v>6.7828857412983265E-2</v>
      </c>
      <c r="H231" s="109">
        <f t="shared" si="267"/>
        <v>4.248770460867355E-2</v>
      </c>
      <c r="I231" s="110">
        <f t="shared" si="268"/>
        <v>0</v>
      </c>
      <c r="J231" s="109">
        <f t="shared" si="269"/>
        <v>0</v>
      </c>
      <c r="K231" s="109">
        <f t="shared" si="270"/>
        <v>0</v>
      </c>
      <c r="L231" s="109">
        <f t="shared" si="271"/>
        <v>0</v>
      </c>
      <c r="M231" s="111">
        <f t="shared" si="272"/>
        <v>0</v>
      </c>
      <c r="N231" s="109">
        <f t="shared" si="273"/>
        <v>0</v>
      </c>
      <c r="O231" s="109">
        <f t="shared" si="274"/>
        <v>0</v>
      </c>
      <c r="P231" s="109">
        <f t="shared" si="275"/>
        <v>0</v>
      </c>
      <c r="Q231" s="109">
        <f t="shared" si="276"/>
        <v>0</v>
      </c>
      <c r="R231" s="109">
        <f t="shared" si="277"/>
        <v>0</v>
      </c>
      <c r="S231" s="110">
        <f t="shared" si="278"/>
        <v>0</v>
      </c>
      <c r="T231" s="109">
        <f t="shared" si="279"/>
        <v>0</v>
      </c>
      <c r="U231" s="109">
        <f t="shared" si="280"/>
        <v>0</v>
      </c>
      <c r="V231" s="109">
        <f t="shared" si="281"/>
        <v>0</v>
      </c>
      <c r="W231" s="111">
        <f t="shared" si="282"/>
        <v>0</v>
      </c>
      <c r="X231" s="115">
        <f t="shared" si="285"/>
        <v>1</v>
      </c>
      <c r="Y231" s="38" t="s">
        <v>450</v>
      </c>
      <c r="Z231" s="42" t="s">
        <v>450</v>
      </c>
      <c r="AA231" s="67">
        <f t="shared" ref="AA231:AT231" si="287">IF($J119,SUMIF($AV$229:$AV$332,$Y231,AW$229:AW$332)*AA$227*$D119/$J119,0)</f>
        <v>29.363019999999999</v>
      </c>
      <c r="AB231" s="67">
        <f t="shared" si="287"/>
        <v>29.97176</v>
      </c>
      <c r="AC231" s="67">
        <f t="shared" si="287"/>
        <v>2.6147390000000001</v>
      </c>
      <c r="AD231" s="67">
        <f t="shared" si="287"/>
        <v>4.7229890000000001</v>
      </c>
      <c r="AE231" s="67">
        <f t="shared" si="287"/>
        <v>2.9584600000000001</v>
      </c>
      <c r="AF231" s="76">
        <f t="shared" si="287"/>
        <v>0</v>
      </c>
      <c r="AG231" s="67">
        <f t="shared" si="287"/>
        <v>0</v>
      </c>
      <c r="AH231" s="67">
        <f t="shared" si="287"/>
        <v>0</v>
      </c>
      <c r="AI231" s="67">
        <f t="shared" si="287"/>
        <v>0</v>
      </c>
      <c r="AJ231" s="68">
        <f t="shared" si="287"/>
        <v>0</v>
      </c>
      <c r="AK231" s="67">
        <f t="shared" si="287"/>
        <v>0</v>
      </c>
      <c r="AL231" s="67">
        <f t="shared" si="287"/>
        <v>0</v>
      </c>
      <c r="AM231" s="67">
        <f t="shared" si="287"/>
        <v>0</v>
      </c>
      <c r="AN231" s="67">
        <f t="shared" si="287"/>
        <v>0</v>
      </c>
      <c r="AO231" s="67">
        <f t="shared" si="287"/>
        <v>0</v>
      </c>
      <c r="AP231" s="76">
        <f t="shared" si="287"/>
        <v>0</v>
      </c>
      <c r="AQ231" s="67">
        <f t="shared" si="287"/>
        <v>0</v>
      </c>
      <c r="AR231" s="67">
        <f t="shared" si="287"/>
        <v>0</v>
      </c>
      <c r="AS231" s="67">
        <f t="shared" si="287"/>
        <v>0</v>
      </c>
      <c r="AT231" s="68">
        <f t="shared" si="287"/>
        <v>0</v>
      </c>
      <c r="AU231" s="2"/>
      <c r="AV231" s="104" t="s">
        <v>450</v>
      </c>
      <c r="AW231" s="94">
        <v>29.363019999999999</v>
      </c>
      <c r="AX231" s="94">
        <v>29.97176</v>
      </c>
      <c r="AY231" s="94">
        <v>2.6147390000000001</v>
      </c>
      <c r="AZ231" s="94">
        <v>4.7229890000000001</v>
      </c>
      <c r="BA231" s="94">
        <v>2.9584600000000001</v>
      </c>
      <c r="BB231" s="106">
        <v>0</v>
      </c>
      <c r="BC231" s="94">
        <v>0</v>
      </c>
      <c r="BD231" s="94">
        <v>0</v>
      </c>
      <c r="BE231" s="94">
        <v>0</v>
      </c>
      <c r="BF231" s="95">
        <v>0</v>
      </c>
      <c r="BG231" s="94">
        <v>0</v>
      </c>
      <c r="BH231" s="94">
        <v>0</v>
      </c>
      <c r="BI231" s="94">
        <v>0</v>
      </c>
      <c r="BJ231" s="94">
        <v>0</v>
      </c>
      <c r="BK231" s="94">
        <v>0</v>
      </c>
      <c r="BL231" s="106">
        <v>0</v>
      </c>
      <c r="BM231" s="94">
        <v>0</v>
      </c>
      <c r="BN231" s="94">
        <v>0</v>
      </c>
      <c r="BO231" s="94">
        <v>0</v>
      </c>
      <c r="BP231" s="95">
        <v>0</v>
      </c>
      <c r="BQ231" s="2"/>
      <c r="BR231" s="2"/>
      <c r="BS231" s="2"/>
    </row>
    <row r="232" spans="1:71" x14ac:dyDescent="0.35">
      <c r="A232" s="2"/>
      <c r="B232" s="2"/>
      <c r="C232" s="42" t="s">
        <v>446</v>
      </c>
      <c r="D232" s="109">
        <f t="shared" si="284"/>
        <v>4.2879805747432748E-2</v>
      </c>
      <c r="E232" s="109">
        <f t="shared" si="264"/>
        <v>0.11070648354130397</v>
      </c>
      <c r="F232" s="109">
        <f t="shared" si="265"/>
        <v>0.17345243152930284</v>
      </c>
      <c r="G232" s="109">
        <f t="shared" si="266"/>
        <v>0.35188980445508017</v>
      </c>
      <c r="H232" s="109">
        <f t="shared" si="267"/>
        <v>0.26399988174250155</v>
      </c>
      <c r="I232" s="110">
        <f t="shared" si="268"/>
        <v>0</v>
      </c>
      <c r="J232" s="109">
        <f t="shared" si="269"/>
        <v>0</v>
      </c>
      <c r="K232" s="109">
        <f t="shared" si="270"/>
        <v>0</v>
      </c>
      <c r="L232" s="109">
        <f t="shared" si="271"/>
        <v>0</v>
      </c>
      <c r="M232" s="111">
        <f t="shared" si="272"/>
        <v>0</v>
      </c>
      <c r="N232" s="109">
        <f t="shared" si="273"/>
        <v>0</v>
      </c>
      <c r="O232" s="109">
        <f t="shared" si="274"/>
        <v>0</v>
      </c>
      <c r="P232" s="109">
        <f t="shared" si="275"/>
        <v>0</v>
      </c>
      <c r="Q232" s="109">
        <f t="shared" si="276"/>
        <v>6.4965617897730088E-3</v>
      </c>
      <c r="R232" s="109">
        <f t="shared" si="277"/>
        <v>1.252044280366639E-2</v>
      </c>
      <c r="S232" s="110">
        <f t="shared" si="278"/>
        <v>0</v>
      </c>
      <c r="T232" s="109">
        <f t="shared" si="279"/>
        <v>0</v>
      </c>
      <c r="U232" s="109">
        <f t="shared" si="280"/>
        <v>1.8574709881291559E-2</v>
      </c>
      <c r="V232" s="109">
        <f t="shared" si="281"/>
        <v>1.9479878509647882E-2</v>
      </c>
      <c r="W232" s="111">
        <f t="shared" si="282"/>
        <v>0</v>
      </c>
      <c r="X232" s="115">
        <f t="shared" si="285"/>
        <v>0.99999999999999989</v>
      </c>
      <c r="Y232" s="38" t="s">
        <v>446</v>
      </c>
      <c r="Z232" s="42" t="s">
        <v>446</v>
      </c>
      <c r="AA232" s="67">
        <f t="shared" ref="AA232:AT232" si="288">IF($J120,SUMIF($AV$229:$AV$332,$Y232,AW$229:AW$332)*AA$227*$D120/$J120,0)</f>
        <v>208.73979999999997</v>
      </c>
      <c r="AB232" s="67">
        <f t="shared" si="288"/>
        <v>538.92150000000004</v>
      </c>
      <c r="AC232" s="67">
        <f t="shared" si="288"/>
        <v>844.37009999999998</v>
      </c>
      <c r="AD232" s="67">
        <f t="shared" si="288"/>
        <v>1713.0070000000001</v>
      </c>
      <c r="AE232" s="67">
        <f t="shared" si="288"/>
        <v>1285.1569999999999</v>
      </c>
      <c r="AF232" s="76">
        <f t="shared" si="288"/>
        <v>0</v>
      </c>
      <c r="AG232" s="67">
        <f t="shared" si="288"/>
        <v>0</v>
      </c>
      <c r="AH232" s="67">
        <f t="shared" si="288"/>
        <v>0</v>
      </c>
      <c r="AI232" s="67">
        <f t="shared" si="288"/>
        <v>0</v>
      </c>
      <c r="AJ232" s="68">
        <f t="shared" si="288"/>
        <v>0</v>
      </c>
      <c r="AK232" s="67">
        <f t="shared" si="288"/>
        <v>0</v>
      </c>
      <c r="AL232" s="67">
        <f t="shared" si="288"/>
        <v>0</v>
      </c>
      <c r="AM232" s="67">
        <f t="shared" si="288"/>
        <v>0</v>
      </c>
      <c r="AN232" s="67">
        <f t="shared" si="288"/>
        <v>31.625400000000003</v>
      </c>
      <c r="AO232" s="67">
        <f t="shared" si="288"/>
        <v>60.949779999999997</v>
      </c>
      <c r="AP232" s="76">
        <f t="shared" si="288"/>
        <v>0</v>
      </c>
      <c r="AQ232" s="67">
        <f t="shared" si="288"/>
        <v>0</v>
      </c>
      <c r="AR232" s="67">
        <f t="shared" si="288"/>
        <v>90.422079999999994</v>
      </c>
      <c r="AS232" s="67">
        <f t="shared" si="288"/>
        <v>94.828460000000007</v>
      </c>
      <c r="AT232" s="68">
        <f t="shared" si="288"/>
        <v>0</v>
      </c>
      <c r="AU232" s="2"/>
      <c r="AV232" s="104" t="s">
        <v>446</v>
      </c>
      <c r="AW232" s="94">
        <v>208.7398</v>
      </c>
      <c r="AX232" s="94">
        <v>538.92150000000004</v>
      </c>
      <c r="AY232" s="94">
        <v>844.37009999999998</v>
      </c>
      <c r="AZ232" s="94">
        <v>1713.0070000000001</v>
      </c>
      <c r="BA232" s="94">
        <v>1285.1569999999999</v>
      </c>
      <c r="BB232" s="106">
        <v>0</v>
      </c>
      <c r="BC232" s="94">
        <v>0</v>
      </c>
      <c r="BD232" s="94">
        <v>0</v>
      </c>
      <c r="BE232" s="94">
        <v>0</v>
      </c>
      <c r="BF232" s="95">
        <v>0</v>
      </c>
      <c r="BG232" s="94">
        <v>0</v>
      </c>
      <c r="BH232" s="94">
        <v>0</v>
      </c>
      <c r="BI232" s="94">
        <v>0</v>
      </c>
      <c r="BJ232" s="94">
        <v>31.625399999999999</v>
      </c>
      <c r="BK232" s="94">
        <v>60.949779999999997</v>
      </c>
      <c r="BL232" s="106">
        <v>0</v>
      </c>
      <c r="BM232" s="94">
        <v>0</v>
      </c>
      <c r="BN232" s="94">
        <v>90.422079999999994</v>
      </c>
      <c r="BO232" s="94">
        <v>94.828460000000007</v>
      </c>
      <c r="BP232" s="95">
        <v>0</v>
      </c>
      <c r="BQ232" s="2"/>
      <c r="BR232" s="2"/>
      <c r="BS232" s="2"/>
    </row>
    <row r="233" spans="1:71" x14ac:dyDescent="0.35">
      <c r="A233" s="2"/>
      <c r="B233" s="2"/>
      <c r="C233" s="42" t="s">
        <v>454</v>
      </c>
      <c r="D233" s="109">
        <f t="shared" si="284"/>
        <v>0</v>
      </c>
      <c r="E233" s="109">
        <f t="shared" si="264"/>
        <v>0</v>
      </c>
      <c r="F233" s="109">
        <f t="shared" si="265"/>
        <v>0</v>
      </c>
      <c r="G233" s="109">
        <f t="shared" si="266"/>
        <v>0</v>
      </c>
      <c r="H233" s="109">
        <f t="shared" si="267"/>
        <v>0</v>
      </c>
      <c r="I233" s="110">
        <f t="shared" si="268"/>
        <v>0</v>
      </c>
      <c r="J233" s="109">
        <f t="shared" si="269"/>
        <v>0</v>
      </c>
      <c r="K233" s="109">
        <f t="shared" si="270"/>
        <v>0</v>
      </c>
      <c r="L233" s="109">
        <f t="shared" si="271"/>
        <v>0</v>
      </c>
      <c r="M233" s="111">
        <f t="shared" si="272"/>
        <v>0</v>
      </c>
      <c r="N233" s="109">
        <f t="shared" si="273"/>
        <v>0</v>
      </c>
      <c r="O233" s="109">
        <f t="shared" si="274"/>
        <v>0</v>
      </c>
      <c r="P233" s="109">
        <f t="shared" si="275"/>
        <v>0</v>
      </c>
      <c r="Q233" s="109">
        <f t="shared" si="276"/>
        <v>0</v>
      </c>
      <c r="R233" s="109">
        <f t="shared" si="277"/>
        <v>0</v>
      </c>
      <c r="S233" s="110">
        <f t="shared" si="278"/>
        <v>0</v>
      </c>
      <c r="T233" s="109">
        <f t="shared" si="279"/>
        <v>0</v>
      </c>
      <c r="U233" s="109">
        <f t="shared" si="280"/>
        <v>0</v>
      </c>
      <c r="V233" s="109">
        <f t="shared" si="281"/>
        <v>0</v>
      </c>
      <c r="W233" s="111">
        <f t="shared" si="282"/>
        <v>0</v>
      </c>
      <c r="X233" s="115">
        <f t="shared" si="285"/>
        <v>0</v>
      </c>
      <c r="Y233" s="38" t="s">
        <v>454</v>
      </c>
      <c r="Z233" s="42" t="s">
        <v>454</v>
      </c>
      <c r="AA233" s="67">
        <f t="shared" ref="AA233:AT233" si="289">IF($J121,SUMIF($AV$229:$AV$332,$Y233,AW$229:AW$332)*AA$227*$D121/$J121,0)</f>
        <v>0</v>
      </c>
      <c r="AB233" s="67">
        <f t="shared" si="289"/>
        <v>0</v>
      </c>
      <c r="AC233" s="67">
        <f t="shared" si="289"/>
        <v>0</v>
      </c>
      <c r="AD233" s="67">
        <f t="shared" si="289"/>
        <v>0</v>
      </c>
      <c r="AE233" s="67">
        <f t="shared" si="289"/>
        <v>0</v>
      </c>
      <c r="AF233" s="76">
        <f t="shared" si="289"/>
        <v>0</v>
      </c>
      <c r="AG233" s="67">
        <f t="shared" si="289"/>
        <v>0</v>
      </c>
      <c r="AH233" s="67">
        <f t="shared" si="289"/>
        <v>0</v>
      </c>
      <c r="AI233" s="67">
        <f t="shared" si="289"/>
        <v>0</v>
      </c>
      <c r="AJ233" s="68">
        <f t="shared" si="289"/>
        <v>0</v>
      </c>
      <c r="AK233" s="67">
        <f t="shared" si="289"/>
        <v>0</v>
      </c>
      <c r="AL233" s="67">
        <f t="shared" si="289"/>
        <v>0</v>
      </c>
      <c r="AM233" s="67">
        <f t="shared" si="289"/>
        <v>0</v>
      </c>
      <c r="AN233" s="67">
        <f t="shared" si="289"/>
        <v>0</v>
      </c>
      <c r="AO233" s="67">
        <f t="shared" si="289"/>
        <v>0</v>
      </c>
      <c r="AP233" s="76">
        <f t="shared" si="289"/>
        <v>0</v>
      </c>
      <c r="AQ233" s="67">
        <f t="shared" si="289"/>
        <v>0</v>
      </c>
      <c r="AR233" s="67">
        <f t="shared" si="289"/>
        <v>0</v>
      </c>
      <c r="AS233" s="67">
        <f t="shared" si="289"/>
        <v>0</v>
      </c>
      <c r="AT233" s="68">
        <f t="shared" si="289"/>
        <v>0</v>
      </c>
      <c r="AU233" s="2"/>
      <c r="AV233" s="104" t="s">
        <v>454</v>
      </c>
      <c r="AW233" s="94">
        <v>0</v>
      </c>
      <c r="AX233" s="94">
        <v>0</v>
      </c>
      <c r="AY233" s="94">
        <v>0</v>
      </c>
      <c r="AZ233" s="94">
        <v>0</v>
      </c>
      <c r="BA233" s="94">
        <v>0</v>
      </c>
      <c r="BB233" s="106">
        <v>0</v>
      </c>
      <c r="BC233" s="94">
        <v>0</v>
      </c>
      <c r="BD233" s="94">
        <v>0</v>
      </c>
      <c r="BE233" s="94">
        <v>0</v>
      </c>
      <c r="BF233" s="95">
        <v>0</v>
      </c>
      <c r="BG233" s="94">
        <v>0</v>
      </c>
      <c r="BH233" s="94">
        <v>0</v>
      </c>
      <c r="BI233" s="94">
        <v>0</v>
      </c>
      <c r="BJ233" s="94">
        <v>0</v>
      </c>
      <c r="BK233" s="94">
        <v>0</v>
      </c>
      <c r="BL233" s="106">
        <v>0</v>
      </c>
      <c r="BM233" s="94">
        <v>0</v>
      </c>
      <c r="BN233" s="94">
        <v>0</v>
      </c>
      <c r="BO233" s="94">
        <v>0</v>
      </c>
      <c r="BP233" s="95">
        <v>0</v>
      </c>
      <c r="BQ233" s="2"/>
      <c r="BR233" s="2"/>
      <c r="BS233" s="2"/>
    </row>
    <row r="234" spans="1:71" x14ac:dyDescent="0.35">
      <c r="A234" s="2"/>
      <c r="B234" s="2"/>
      <c r="C234" s="42" t="s">
        <v>465</v>
      </c>
      <c r="D234" s="109">
        <f t="shared" si="284"/>
        <v>6.8822372634669754E-2</v>
      </c>
      <c r="E234" s="109">
        <f t="shared" si="264"/>
        <v>0.15511119200397711</v>
      </c>
      <c r="F234" s="109">
        <f t="shared" si="265"/>
        <v>0.21288179311837804</v>
      </c>
      <c r="G234" s="109">
        <f t="shared" si="266"/>
        <v>0.31738814185528036</v>
      </c>
      <c r="H234" s="109">
        <f t="shared" si="267"/>
        <v>0.22016747810656473</v>
      </c>
      <c r="I234" s="110">
        <f t="shared" si="268"/>
        <v>0</v>
      </c>
      <c r="J234" s="109">
        <f t="shared" si="269"/>
        <v>0</v>
      </c>
      <c r="K234" s="109">
        <f t="shared" si="270"/>
        <v>0</v>
      </c>
      <c r="L234" s="109">
        <f t="shared" si="271"/>
        <v>0</v>
      </c>
      <c r="M234" s="111">
        <f t="shared" si="272"/>
        <v>0</v>
      </c>
      <c r="N234" s="109">
        <f t="shared" si="273"/>
        <v>9.7386508605128142E-4</v>
      </c>
      <c r="O234" s="109">
        <f t="shared" si="274"/>
        <v>4.0900380536179979E-3</v>
      </c>
      <c r="P234" s="109">
        <f t="shared" si="275"/>
        <v>4.0632230713035233E-3</v>
      </c>
      <c r="Q234" s="109">
        <f t="shared" si="276"/>
        <v>2.3878916860971423E-3</v>
      </c>
      <c r="R234" s="109">
        <f t="shared" si="277"/>
        <v>7.1687912331356166E-3</v>
      </c>
      <c r="S234" s="110">
        <f t="shared" si="278"/>
        <v>6.6336200730758002E-4</v>
      </c>
      <c r="T234" s="109">
        <f t="shared" si="279"/>
        <v>4.4851731523503693E-5</v>
      </c>
      <c r="U234" s="109">
        <f t="shared" si="280"/>
        <v>9.4575725506285179E-4</v>
      </c>
      <c r="V234" s="109">
        <f t="shared" si="281"/>
        <v>3.0721823877764036E-3</v>
      </c>
      <c r="W234" s="111">
        <f t="shared" si="282"/>
        <v>2.2190597692540517E-3</v>
      </c>
      <c r="X234" s="115">
        <f t="shared" si="285"/>
        <v>0.99999999999999978</v>
      </c>
      <c r="Y234" s="38" t="s">
        <v>465</v>
      </c>
      <c r="Z234" s="42" t="s">
        <v>465</v>
      </c>
      <c r="AA234" s="67">
        <f t="shared" ref="AA234:AT234" si="290">IF($J122,SUMIF($AV$229:$AV$332,$Y234,AW$229:AW$332)*AA$227*$D122/$J122,0)</f>
        <v>3714.0749999999998</v>
      </c>
      <c r="AB234" s="67">
        <f t="shared" si="290"/>
        <v>8370.7459999999992</v>
      </c>
      <c r="AC234" s="67">
        <f t="shared" si="290"/>
        <v>11488.4</v>
      </c>
      <c r="AD234" s="67">
        <f t="shared" si="290"/>
        <v>17128.2</v>
      </c>
      <c r="AE234" s="67">
        <f t="shared" si="290"/>
        <v>11881.58</v>
      </c>
      <c r="AF234" s="76">
        <f t="shared" si="290"/>
        <v>0</v>
      </c>
      <c r="AG234" s="67">
        <f t="shared" si="290"/>
        <v>0</v>
      </c>
      <c r="AH234" s="67">
        <f t="shared" si="290"/>
        <v>0</v>
      </c>
      <c r="AI234" s="67">
        <f t="shared" si="290"/>
        <v>0</v>
      </c>
      <c r="AJ234" s="68">
        <f t="shared" si="290"/>
        <v>0</v>
      </c>
      <c r="AK234" s="67">
        <f t="shared" si="290"/>
        <v>52.555700000000002</v>
      </c>
      <c r="AL234" s="67">
        <f t="shared" si="290"/>
        <v>220.7234</v>
      </c>
      <c r="AM234" s="67">
        <f t="shared" si="290"/>
        <v>219.27629999999999</v>
      </c>
      <c r="AN234" s="67">
        <f t="shared" si="290"/>
        <v>128.86519999999999</v>
      </c>
      <c r="AO234" s="67">
        <f t="shared" si="290"/>
        <v>386.87169999999998</v>
      </c>
      <c r="AP234" s="76">
        <f t="shared" si="290"/>
        <v>35.799059999999997</v>
      </c>
      <c r="AQ234" s="67">
        <f t="shared" si="290"/>
        <v>2.4204729999999999</v>
      </c>
      <c r="AR234" s="67">
        <f t="shared" si="290"/>
        <v>51.038829999999997</v>
      </c>
      <c r="AS234" s="67">
        <f t="shared" si="290"/>
        <v>165.7937</v>
      </c>
      <c r="AT234" s="68">
        <f t="shared" si="290"/>
        <v>119.754</v>
      </c>
      <c r="AU234" s="2"/>
      <c r="AV234" s="104" t="s">
        <v>465</v>
      </c>
      <c r="AW234" s="94">
        <v>3714.0749999999998</v>
      </c>
      <c r="AX234" s="94">
        <v>8370.7459999999992</v>
      </c>
      <c r="AY234" s="94">
        <v>11488.4</v>
      </c>
      <c r="AZ234" s="94">
        <v>17128.2</v>
      </c>
      <c r="BA234" s="94">
        <v>11881.58</v>
      </c>
      <c r="BB234" s="106">
        <v>0</v>
      </c>
      <c r="BC234" s="94">
        <v>0</v>
      </c>
      <c r="BD234" s="94">
        <v>0</v>
      </c>
      <c r="BE234" s="94">
        <v>0</v>
      </c>
      <c r="BF234" s="95">
        <v>0</v>
      </c>
      <c r="BG234" s="94">
        <v>52.555700000000002</v>
      </c>
      <c r="BH234" s="94">
        <v>220.7234</v>
      </c>
      <c r="BI234" s="94">
        <v>219.27629999999999</v>
      </c>
      <c r="BJ234" s="94">
        <v>128.86519999999999</v>
      </c>
      <c r="BK234" s="94">
        <v>386.87169999999998</v>
      </c>
      <c r="BL234" s="106">
        <v>35.799059999999997</v>
      </c>
      <c r="BM234" s="94">
        <v>2.4204729999999999</v>
      </c>
      <c r="BN234" s="94">
        <v>51.038829999999997</v>
      </c>
      <c r="BO234" s="94">
        <v>165.7937</v>
      </c>
      <c r="BP234" s="95">
        <v>119.754</v>
      </c>
      <c r="BQ234" s="2"/>
      <c r="BR234" s="2"/>
      <c r="BS234" s="2"/>
    </row>
    <row r="235" spans="1:71" x14ac:dyDescent="0.35">
      <c r="A235" s="2"/>
      <c r="B235" s="2"/>
      <c r="C235" s="42" t="s">
        <v>467</v>
      </c>
      <c r="D235" s="109">
        <f t="shared" si="284"/>
        <v>0.10126146926580218</v>
      </c>
      <c r="E235" s="109">
        <f t="shared" si="264"/>
        <v>0.20386100947693775</v>
      </c>
      <c r="F235" s="109">
        <f t="shared" si="265"/>
        <v>0.26130221845006357</v>
      </c>
      <c r="G235" s="109">
        <f t="shared" si="266"/>
        <v>0.27309641110423943</v>
      </c>
      <c r="H235" s="109">
        <f t="shared" si="267"/>
        <v>0.11945565837784165</v>
      </c>
      <c r="I235" s="110">
        <f t="shared" si="268"/>
        <v>0</v>
      </c>
      <c r="J235" s="109">
        <f t="shared" si="269"/>
        <v>0</v>
      </c>
      <c r="K235" s="109">
        <f t="shared" si="270"/>
        <v>0</v>
      </c>
      <c r="L235" s="109">
        <f t="shared" si="271"/>
        <v>0</v>
      </c>
      <c r="M235" s="111">
        <f t="shared" si="272"/>
        <v>0</v>
      </c>
      <c r="N235" s="109">
        <f t="shared" si="273"/>
        <v>6.1619525033927149E-4</v>
      </c>
      <c r="O235" s="109">
        <f t="shared" si="274"/>
        <v>4.5630730072849885E-3</v>
      </c>
      <c r="P235" s="109">
        <f t="shared" si="275"/>
        <v>5.0662476692636699E-3</v>
      </c>
      <c r="Q235" s="109">
        <f t="shared" si="276"/>
        <v>3.6731337062170157E-3</v>
      </c>
      <c r="R235" s="109">
        <f t="shared" si="277"/>
        <v>5.486200297556359E-3</v>
      </c>
      <c r="S235" s="110">
        <f t="shared" si="278"/>
        <v>3.82578087092399E-4</v>
      </c>
      <c r="T235" s="109">
        <f t="shared" si="279"/>
        <v>2.0023885846217173E-3</v>
      </c>
      <c r="U235" s="109">
        <f t="shared" si="280"/>
        <v>3.4813253004376547E-3</v>
      </c>
      <c r="V235" s="109">
        <f t="shared" si="281"/>
        <v>5.6558498342417461E-3</v>
      </c>
      <c r="W235" s="111">
        <f t="shared" si="282"/>
        <v>1.0096241588060464E-2</v>
      </c>
      <c r="X235" s="115">
        <f t="shared" si="285"/>
        <v>0.99999999999999989</v>
      </c>
      <c r="Y235" s="38" t="s">
        <v>467</v>
      </c>
      <c r="Z235" s="42" t="s">
        <v>467</v>
      </c>
      <c r="AA235" s="67">
        <f t="shared" ref="AA235:AT235" si="291">IF($J123,SUMIF($AV$229:$AV$332,$Y235,AW$229:AW$332)*AA$227*$D123/$J123,0)</f>
        <v>10364.75</v>
      </c>
      <c r="AB235" s="67">
        <f t="shared" si="291"/>
        <v>20866.46</v>
      </c>
      <c r="AC235" s="67">
        <f t="shared" si="291"/>
        <v>26745.93</v>
      </c>
      <c r="AD235" s="67">
        <f t="shared" si="291"/>
        <v>27953.14</v>
      </c>
      <c r="AE235" s="67">
        <f t="shared" si="291"/>
        <v>12227.040000000003</v>
      </c>
      <c r="AF235" s="76">
        <f t="shared" si="291"/>
        <v>0</v>
      </c>
      <c r="AG235" s="67">
        <f t="shared" si="291"/>
        <v>0</v>
      </c>
      <c r="AH235" s="67">
        <f t="shared" si="291"/>
        <v>0</v>
      </c>
      <c r="AI235" s="67">
        <f t="shared" si="291"/>
        <v>0</v>
      </c>
      <c r="AJ235" s="68">
        <f t="shared" si="291"/>
        <v>0</v>
      </c>
      <c r="AK235" s="67">
        <f t="shared" si="291"/>
        <v>63.071469999999998</v>
      </c>
      <c r="AL235" s="67">
        <f t="shared" si="291"/>
        <v>467.05930000000001</v>
      </c>
      <c r="AM235" s="67">
        <f t="shared" si="291"/>
        <v>518.56240000000003</v>
      </c>
      <c r="AN235" s="67">
        <f t="shared" si="291"/>
        <v>375.96839999999992</v>
      </c>
      <c r="AO235" s="67">
        <f t="shared" si="291"/>
        <v>561.54719999999998</v>
      </c>
      <c r="AP235" s="76">
        <f t="shared" si="291"/>
        <v>39.159280000000003</v>
      </c>
      <c r="AQ235" s="67">
        <f t="shared" si="291"/>
        <v>204.9571</v>
      </c>
      <c r="AR235" s="67">
        <f t="shared" si="291"/>
        <v>356.3356</v>
      </c>
      <c r="AS235" s="67">
        <f t="shared" si="291"/>
        <v>578.91189999999995</v>
      </c>
      <c r="AT235" s="68">
        <f t="shared" si="291"/>
        <v>1033.414</v>
      </c>
      <c r="AU235" s="2"/>
      <c r="AV235" s="104" t="s">
        <v>467</v>
      </c>
      <c r="AW235" s="94">
        <v>10364.75</v>
      </c>
      <c r="AX235" s="94">
        <v>20866.46</v>
      </c>
      <c r="AY235" s="94">
        <v>26745.93</v>
      </c>
      <c r="AZ235" s="94">
        <v>27953.14</v>
      </c>
      <c r="BA235" s="94">
        <v>12227.04</v>
      </c>
      <c r="BB235" s="106">
        <v>0</v>
      </c>
      <c r="BC235" s="94">
        <v>0</v>
      </c>
      <c r="BD235" s="94">
        <v>0</v>
      </c>
      <c r="BE235" s="94">
        <v>0</v>
      </c>
      <c r="BF235" s="95">
        <v>0</v>
      </c>
      <c r="BG235" s="94">
        <v>63.071469999999998</v>
      </c>
      <c r="BH235" s="94">
        <v>467.05930000000001</v>
      </c>
      <c r="BI235" s="94">
        <v>518.56240000000003</v>
      </c>
      <c r="BJ235" s="94">
        <v>375.96839999999997</v>
      </c>
      <c r="BK235" s="94">
        <v>561.54719999999998</v>
      </c>
      <c r="BL235" s="106">
        <v>39.159280000000003</v>
      </c>
      <c r="BM235" s="94">
        <v>204.9571</v>
      </c>
      <c r="BN235" s="94">
        <v>356.3356</v>
      </c>
      <c r="BO235" s="94">
        <v>578.91189999999995</v>
      </c>
      <c r="BP235" s="95">
        <v>1033.414</v>
      </c>
      <c r="BQ235" s="2"/>
      <c r="BR235" s="2"/>
      <c r="BS235" s="2"/>
    </row>
    <row r="236" spans="1:71" x14ac:dyDescent="0.35">
      <c r="A236" s="2"/>
      <c r="B236" s="2"/>
      <c r="C236" s="42" t="s">
        <v>463</v>
      </c>
      <c r="D236" s="109">
        <f t="shared" si="284"/>
        <v>0.10113465897257998</v>
      </c>
      <c r="E236" s="109">
        <f t="shared" si="264"/>
        <v>0.15450756857747427</v>
      </c>
      <c r="F236" s="109">
        <f t="shared" si="265"/>
        <v>0.25943372863366904</v>
      </c>
      <c r="G236" s="109">
        <f t="shared" si="266"/>
        <v>0.30141685347623565</v>
      </c>
      <c r="H236" s="109">
        <f t="shared" si="267"/>
        <v>0.13318655784655734</v>
      </c>
      <c r="I236" s="110">
        <f t="shared" si="268"/>
        <v>0</v>
      </c>
      <c r="J236" s="109">
        <f t="shared" si="269"/>
        <v>0</v>
      </c>
      <c r="K236" s="109">
        <f t="shared" si="270"/>
        <v>0</v>
      </c>
      <c r="L236" s="109">
        <f t="shared" si="271"/>
        <v>0</v>
      </c>
      <c r="M236" s="111">
        <f t="shared" si="272"/>
        <v>0</v>
      </c>
      <c r="N236" s="109">
        <f t="shared" si="273"/>
        <v>4.3866650175187355E-4</v>
      </c>
      <c r="O236" s="109">
        <f t="shared" si="274"/>
        <v>4.1454068376040433E-3</v>
      </c>
      <c r="P236" s="109">
        <f t="shared" si="275"/>
        <v>1.4670142121267669E-3</v>
      </c>
      <c r="Q236" s="109">
        <f t="shared" si="276"/>
        <v>4.9284806678857171E-3</v>
      </c>
      <c r="R236" s="109">
        <f t="shared" si="277"/>
        <v>5.290431171598377E-3</v>
      </c>
      <c r="S236" s="110">
        <f t="shared" si="278"/>
        <v>1.301652449417022E-3</v>
      </c>
      <c r="T236" s="109">
        <f t="shared" si="279"/>
        <v>3.2637398569239787E-3</v>
      </c>
      <c r="U236" s="109">
        <f t="shared" si="280"/>
        <v>6.5172414524532433E-3</v>
      </c>
      <c r="V236" s="109">
        <f t="shared" si="281"/>
        <v>7.3553884449243673E-3</v>
      </c>
      <c r="W236" s="111">
        <f t="shared" si="282"/>
        <v>1.56126108987983E-2</v>
      </c>
      <c r="X236" s="115">
        <f t="shared" si="285"/>
        <v>0.99999999999999978</v>
      </c>
      <c r="Y236" s="38" t="s">
        <v>463</v>
      </c>
      <c r="Z236" s="42" t="s">
        <v>463</v>
      </c>
      <c r="AA236" s="67">
        <f t="shared" ref="AA236:AT236" si="292">IF($J124,SUMIF($AV$229:$AV$332,$Y236,AW$229:AW$332)*AA$227*$D124/$J124,0)</f>
        <v>2878.8760000000002</v>
      </c>
      <c r="AB236" s="67">
        <f t="shared" si="292"/>
        <v>4398.1769999999997</v>
      </c>
      <c r="AC236" s="67">
        <f t="shared" si="292"/>
        <v>7384.9809999999998</v>
      </c>
      <c r="AD236" s="67">
        <f t="shared" si="292"/>
        <v>8580.0630000000001</v>
      </c>
      <c r="AE236" s="67">
        <f t="shared" si="292"/>
        <v>3791.2579999999998</v>
      </c>
      <c r="AF236" s="76">
        <f t="shared" si="292"/>
        <v>0</v>
      </c>
      <c r="AG236" s="67">
        <f t="shared" si="292"/>
        <v>0</v>
      </c>
      <c r="AH236" s="67">
        <f t="shared" si="292"/>
        <v>0</v>
      </c>
      <c r="AI236" s="67">
        <f t="shared" si="292"/>
        <v>0</v>
      </c>
      <c r="AJ236" s="68">
        <f t="shared" si="292"/>
        <v>0</v>
      </c>
      <c r="AK236" s="67">
        <f t="shared" si="292"/>
        <v>12.486980000000001</v>
      </c>
      <c r="AL236" s="67">
        <f t="shared" si="292"/>
        <v>118.00220000000002</v>
      </c>
      <c r="AM236" s="67">
        <f t="shared" si="292"/>
        <v>41.759689999999999</v>
      </c>
      <c r="AN236" s="67">
        <f t="shared" si="292"/>
        <v>140.29300000000001</v>
      </c>
      <c r="AO236" s="67">
        <f t="shared" si="292"/>
        <v>150.59620000000001</v>
      </c>
      <c r="AP236" s="76">
        <f t="shared" si="292"/>
        <v>37.05254</v>
      </c>
      <c r="AQ236" s="67">
        <f t="shared" si="292"/>
        <v>92.904870000000003</v>
      </c>
      <c r="AR236" s="67">
        <f t="shared" si="292"/>
        <v>185.51830000000001</v>
      </c>
      <c r="AS236" s="67">
        <f t="shared" si="292"/>
        <v>209.3768</v>
      </c>
      <c r="AT236" s="68">
        <f t="shared" si="292"/>
        <v>444.42500000000001</v>
      </c>
      <c r="AU236" s="2"/>
      <c r="AV236" s="104" t="s">
        <v>463</v>
      </c>
      <c r="AW236" s="94">
        <v>2878.8760000000002</v>
      </c>
      <c r="AX236" s="94">
        <v>4398.1769999999997</v>
      </c>
      <c r="AY236" s="94">
        <v>7384.9809999999998</v>
      </c>
      <c r="AZ236" s="94">
        <v>8580.0630000000001</v>
      </c>
      <c r="BA236" s="94">
        <v>3791.2579999999998</v>
      </c>
      <c r="BB236" s="106">
        <v>0</v>
      </c>
      <c r="BC236" s="94">
        <v>0</v>
      </c>
      <c r="BD236" s="94">
        <v>0</v>
      </c>
      <c r="BE236" s="94">
        <v>0</v>
      </c>
      <c r="BF236" s="95">
        <v>0</v>
      </c>
      <c r="BG236" s="94">
        <v>12.486980000000001</v>
      </c>
      <c r="BH236" s="94">
        <v>118.0022</v>
      </c>
      <c r="BI236" s="94">
        <v>41.759689999999999</v>
      </c>
      <c r="BJ236" s="94">
        <v>140.29300000000001</v>
      </c>
      <c r="BK236" s="94">
        <v>150.59620000000001</v>
      </c>
      <c r="BL236" s="106">
        <v>37.05254</v>
      </c>
      <c r="BM236" s="94">
        <v>92.904870000000003</v>
      </c>
      <c r="BN236" s="94">
        <v>185.51830000000001</v>
      </c>
      <c r="BO236" s="94">
        <v>209.3768</v>
      </c>
      <c r="BP236" s="95">
        <v>444.42500000000001</v>
      </c>
      <c r="BQ236" s="2"/>
      <c r="BR236" s="2"/>
      <c r="BS236" s="2"/>
    </row>
    <row r="237" spans="1:71" x14ac:dyDescent="0.35">
      <c r="A237" s="2"/>
      <c r="B237" s="2"/>
      <c r="C237" s="42" t="s">
        <v>469</v>
      </c>
      <c r="D237" s="109">
        <f t="shared" si="284"/>
        <v>7.6354835603056406E-2</v>
      </c>
      <c r="E237" s="109">
        <f t="shared" si="264"/>
        <v>0.15917166450330239</v>
      </c>
      <c r="F237" s="109">
        <f t="shared" si="265"/>
        <v>0.25811780879858209</v>
      </c>
      <c r="G237" s="109">
        <f t="shared" si="266"/>
        <v>0.30856709546374167</v>
      </c>
      <c r="H237" s="109">
        <f t="shared" si="267"/>
        <v>0.1516194631383431</v>
      </c>
      <c r="I237" s="110">
        <f t="shared" si="268"/>
        <v>0</v>
      </c>
      <c r="J237" s="109">
        <f t="shared" si="269"/>
        <v>0</v>
      </c>
      <c r="K237" s="109">
        <f t="shared" si="270"/>
        <v>0</v>
      </c>
      <c r="L237" s="109">
        <f t="shared" si="271"/>
        <v>0</v>
      </c>
      <c r="M237" s="111">
        <f t="shared" si="272"/>
        <v>0</v>
      </c>
      <c r="N237" s="109">
        <f t="shared" si="273"/>
        <v>7.1098201871914069E-4</v>
      </c>
      <c r="O237" s="109">
        <f t="shared" si="274"/>
        <v>2.5641260166738645E-3</v>
      </c>
      <c r="P237" s="109">
        <f t="shared" si="275"/>
        <v>1.6461955265029879E-3</v>
      </c>
      <c r="Q237" s="109">
        <f t="shared" si="276"/>
        <v>4.3004298421445613E-3</v>
      </c>
      <c r="R237" s="109">
        <f t="shared" si="277"/>
        <v>5.9036063128218002E-3</v>
      </c>
      <c r="S237" s="110">
        <f t="shared" si="278"/>
        <v>3.2234661265900994E-3</v>
      </c>
      <c r="T237" s="109">
        <f t="shared" si="279"/>
        <v>5.201794599174977E-3</v>
      </c>
      <c r="U237" s="109">
        <f t="shared" si="280"/>
        <v>2.7627816503362451E-3</v>
      </c>
      <c r="V237" s="109">
        <f t="shared" si="281"/>
        <v>5.8999549167088241E-3</v>
      </c>
      <c r="W237" s="111">
        <f t="shared" si="282"/>
        <v>1.3955795483301748E-2</v>
      </c>
      <c r="X237" s="115">
        <f t="shared" si="285"/>
        <v>0.99999999999999989</v>
      </c>
      <c r="Y237" s="38" t="s">
        <v>469</v>
      </c>
      <c r="Z237" s="42" t="s">
        <v>469</v>
      </c>
      <c r="AA237" s="67">
        <f t="shared" ref="AA237:AT237" si="293">IF($J125,SUMIF($AV$229:$AV$332,$Y237,AW$229:AW$332)*AA$227*$D125/$J125,0)</f>
        <v>1186.9159999999999</v>
      </c>
      <c r="AB237" s="67">
        <f t="shared" si="293"/>
        <v>2474.2820000000002</v>
      </c>
      <c r="AC237" s="67">
        <f t="shared" si="293"/>
        <v>4012.3739999999998</v>
      </c>
      <c r="AD237" s="67">
        <f t="shared" si="293"/>
        <v>4796.5950000000003</v>
      </c>
      <c r="AE237" s="67">
        <f t="shared" si="293"/>
        <v>2356.8850000000002</v>
      </c>
      <c r="AF237" s="76">
        <f t="shared" si="293"/>
        <v>0</v>
      </c>
      <c r="AG237" s="67">
        <f t="shared" si="293"/>
        <v>0</v>
      </c>
      <c r="AH237" s="67">
        <f t="shared" si="293"/>
        <v>0</v>
      </c>
      <c r="AI237" s="67">
        <f t="shared" si="293"/>
        <v>0</v>
      </c>
      <c r="AJ237" s="68">
        <f t="shared" si="293"/>
        <v>0</v>
      </c>
      <c r="AK237" s="67">
        <f t="shared" si="293"/>
        <v>11.05203</v>
      </c>
      <c r="AL237" s="67">
        <f t="shared" si="293"/>
        <v>39.858669999999996</v>
      </c>
      <c r="AM237" s="67">
        <f t="shared" si="293"/>
        <v>25.589679999999998</v>
      </c>
      <c r="AN237" s="67">
        <f t="shared" si="293"/>
        <v>66.849059999999994</v>
      </c>
      <c r="AO237" s="67">
        <f t="shared" si="293"/>
        <v>91.770020000000002</v>
      </c>
      <c r="AP237" s="76">
        <f t="shared" si="293"/>
        <v>50.107939999999999</v>
      </c>
      <c r="AQ237" s="67">
        <f t="shared" si="293"/>
        <v>80.86054</v>
      </c>
      <c r="AR237" s="67">
        <f t="shared" si="293"/>
        <v>42.946719999999999</v>
      </c>
      <c r="AS237" s="67">
        <f t="shared" si="293"/>
        <v>91.713260000000005</v>
      </c>
      <c r="AT237" s="68">
        <f t="shared" si="293"/>
        <v>216.9392</v>
      </c>
      <c r="AU237" s="2"/>
      <c r="AV237" s="104" t="s">
        <v>469</v>
      </c>
      <c r="AW237" s="94">
        <v>1186.9159999999999</v>
      </c>
      <c r="AX237" s="94">
        <v>2474.2820000000002</v>
      </c>
      <c r="AY237" s="94">
        <v>4012.3739999999998</v>
      </c>
      <c r="AZ237" s="94">
        <v>4796.5950000000003</v>
      </c>
      <c r="BA237" s="94">
        <v>2356.8850000000002</v>
      </c>
      <c r="BB237" s="106">
        <v>0</v>
      </c>
      <c r="BC237" s="94">
        <v>0</v>
      </c>
      <c r="BD237" s="94">
        <v>0</v>
      </c>
      <c r="BE237" s="94">
        <v>0</v>
      </c>
      <c r="BF237" s="95">
        <v>0</v>
      </c>
      <c r="BG237" s="94">
        <v>11.05203</v>
      </c>
      <c r="BH237" s="94">
        <v>39.858669999999996</v>
      </c>
      <c r="BI237" s="94">
        <v>25.589680000000001</v>
      </c>
      <c r="BJ237" s="94">
        <v>66.849059999999994</v>
      </c>
      <c r="BK237" s="94">
        <v>91.770020000000002</v>
      </c>
      <c r="BL237" s="106">
        <v>50.107939999999999</v>
      </c>
      <c r="BM237" s="94">
        <v>80.86054</v>
      </c>
      <c r="BN237" s="94">
        <v>42.946719999999999</v>
      </c>
      <c r="BO237" s="94">
        <v>91.713260000000005</v>
      </c>
      <c r="BP237" s="95">
        <v>216.9392</v>
      </c>
      <c r="BQ237" s="2"/>
      <c r="BR237" s="2"/>
      <c r="BS237" s="2"/>
    </row>
    <row r="238" spans="1:71" x14ac:dyDescent="0.35">
      <c r="A238" s="2"/>
      <c r="B238" s="2"/>
      <c r="C238" s="42" t="s">
        <v>515</v>
      </c>
      <c r="D238" s="109">
        <f t="shared" si="284"/>
        <v>0.10365239613308817</v>
      </c>
      <c r="E238" s="109">
        <f t="shared" si="264"/>
        <v>0.17727513357327726</v>
      </c>
      <c r="F238" s="109">
        <f t="shared" si="265"/>
        <v>0.22625054562320945</v>
      </c>
      <c r="G238" s="109">
        <f t="shared" si="266"/>
        <v>0.27725910163489637</v>
      </c>
      <c r="H238" s="109">
        <f t="shared" si="267"/>
        <v>0.1539181454238932</v>
      </c>
      <c r="I238" s="110">
        <f t="shared" si="268"/>
        <v>0</v>
      </c>
      <c r="J238" s="109">
        <f t="shared" si="269"/>
        <v>0</v>
      </c>
      <c r="K238" s="109">
        <f t="shared" si="270"/>
        <v>0</v>
      </c>
      <c r="L238" s="109">
        <f t="shared" si="271"/>
        <v>0</v>
      </c>
      <c r="M238" s="111">
        <f t="shared" si="272"/>
        <v>0</v>
      </c>
      <c r="N238" s="109">
        <f t="shared" si="273"/>
        <v>1.8191659706956395E-3</v>
      </c>
      <c r="O238" s="109">
        <f t="shared" si="274"/>
        <v>2.6951056311352471E-3</v>
      </c>
      <c r="P238" s="109">
        <f t="shared" si="275"/>
        <v>4.6052977804156622E-3</v>
      </c>
      <c r="Q238" s="109">
        <f t="shared" si="276"/>
        <v>6.0387307448376438E-3</v>
      </c>
      <c r="R238" s="109">
        <f t="shared" si="277"/>
        <v>1.1067969811807672E-2</v>
      </c>
      <c r="S238" s="110">
        <f t="shared" si="278"/>
        <v>6.4562212256033362E-4</v>
      </c>
      <c r="T238" s="109">
        <f t="shared" si="279"/>
        <v>2.1429362008534461E-3</v>
      </c>
      <c r="U238" s="109">
        <f t="shared" si="280"/>
        <v>3.9723607752135586E-3</v>
      </c>
      <c r="V238" s="109">
        <f t="shared" si="281"/>
        <v>8.068844315774237E-3</v>
      </c>
      <c r="W238" s="111">
        <f t="shared" si="282"/>
        <v>2.0588644258342101E-2</v>
      </c>
      <c r="X238" s="115">
        <f t="shared" si="285"/>
        <v>1.0000000000000002</v>
      </c>
      <c r="Y238" s="38" t="s">
        <v>515</v>
      </c>
      <c r="Z238" s="42" t="s">
        <v>515</v>
      </c>
      <c r="AA238" s="67">
        <f t="shared" ref="AA238:AT238" si="294">IF($J126,SUMIF($AV$229:$AV$332,$Y238,AW$229:AW$332)*AA$227*$D126/$J126,0)</f>
        <v>11773.12</v>
      </c>
      <c r="AB238" s="67">
        <f t="shared" si="294"/>
        <v>20135.39</v>
      </c>
      <c r="AC238" s="67">
        <f t="shared" si="294"/>
        <v>25698.15</v>
      </c>
      <c r="AD238" s="67">
        <f t="shared" si="294"/>
        <v>31491.84</v>
      </c>
      <c r="AE238" s="67">
        <f t="shared" si="294"/>
        <v>17482.439999999999</v>
      </c>
      <c r="AF238" s="76">
        <f t="shared" si="294"/>
        <v>0</v>
      </c>
      <c r="AG238" s="67">
        <f t="shared" si="294"/>
        <v>0</v>
      </c>
      <c r="AH238" s="67">
        <f t="shared" si="294"/>
        <v>0</v>
      </c>
      <c r="AI238" s="67">
        <f t="shared" si="294"/>
        <v>0</v>
      </c>
      <c r="AJ238" s="68">
        <f t="shared" si="294"/>
        <v>0</v>
      </c>
      <c r="AK238" s="67">
        <f t="shared" si="294"/>
        <v>206.6258</v>
      </c>
      <c r="AL238" s="67">
        <f t="shared" si="294"/>
        <v>306.11739999999998</v>
      </c>
      <c r="AM238" s="67">
        <f t="shared" si="294"/>
        <v>523.08219999999994</v>
      </c>
      <c r="AN238" s="67">
        <f t="shared" si="294"/>
        <v>685.8954</v>
      </c>
      <c r="AO238" s="67">
        <f t="shared" si="294"/>
        <v>1257.1300000000001</v>
      </c>
      <c r="AP238" s="76">
        <f t="shared" si="294"/>
        <v>73.331509999999994</v>
      </c>
      <c r="AQ238" s="67">
        <f t="shared" si="294"/>
        <v>243.40049999999999</v>
      </c>
      <c r="AR238" s="67">
        <f t="shared" si="294"/>
        <v>451.19150000000002</v>
      </c>
      <c r="AS238" s="67">
        <f t="shared" si="294"/>
        <v>916.48119999999994</v>
      </c>
      <c r="AT238" s="68">
        <f t="shared" si="294"/>
        <v>2338.5140000000001</v>
      </c>
      <c r="AU238" s="2"/>
      <c r="AV238" s="104" t="s">
        <v>515</v>
      </c>
      <c r="AW238" s="94">
        <v>11773.12</v>
      </c>
      <c r="AX238" s="94">
        <v>20135.39</v>
      </c>
      <c r="AY238" s="94">
        <v>25698.15</v>
      </c>
      <c r="AZ238" s="94">
        <v>31491.84</v>
      </c>
      <c r="BA238" s="94">
        <v>17482.439999999999</v>
      </c>
      <c r="BB238" s="106">
        <v>0</v>
      </c>
      <c r="BC238" s="94">
        <v>0</v>
      </c>
      <c r="BD238" s="94">
        <v>0</v>
      </c>
      <c r="BE238" s="94">
        <v>0</v>
      </c>
      <c r="BF238" s="95">
        <v>0</v>
      </c>
      <c r="BG238" s="94">
        <v>206.6258</v>
      </c>
      <c r="BH238" s="94">
        <v>306.11739999999998</v>
      </c>
      <c r="BI238" s="94">
        <v>523.08219999999994</v>
      </c>
      <c r="BJ238" s="94">
        <v>685.8954</v>
      </c>
      <c r="BK238" s="94">
        <v>1257.1300000000001</v>
      </c>
      <c r="BL238" s="106">
        <v>73.331509999999994</v>
      </c>
      <c r="BM238" s="94">
        <v>243.40049999999999</v>
      </c>
      <c r="BN238" s="94">
        <v>451.19150000000002</v>
      </c>
      <c r="BO238" s="94">
        <v>916.48119999999994</v>
      </c>
      <c r="BP238" s="95">
        <v>2338.5140000000001</v>
      </c>
      <c r="BQ238" s="2"/>
      <c r="BR238" s="2"/>
      <c r="BS238" s="2"/>
    </row>
    <row r="239" spans="1:71" x14ac:dyDescent="0.35">
      <c r="A239" s="2"/>
      <c r="B239" s="2"/>
      <c r="C239" s="42" t="s">
        <v>516</v>
      </c>
      <c r="D239" s="109">
        <f t="shared" si="284"/>
        <v>5.6417716229022613E-2</v>
      </c>
      <c r="E239" s="109">
        <f t="shared" si="264"/>
        <v>9.9033795358576482E-2</v>
      </c>
      <c r="F239" s="109">
        <f t="shared" si="265"/>
        <v>0.21664892892695808</v>
      </c>
      <c r="G239" s="109">
        <f t="shared" si="266"/>
        <v>0.32256826151182277</v>
      </c>
      <c r="H239" s="109">
        <f t="shared" si="267"/>
        <v>0.29421510263793504</v>
      </c>
      <c r="I239" s="110">
        <f t="shared" si="268"/>
        <v>0</v>
      </c>
      <c r="J239" s="109">
        <f t="shared" si="269"/>
        <v>0</v>
      </c>
      <c r="K239" s="109">
        <f t="shared" si="270"/>
        <v>0</v>
      </c>
      <c r="L239" s="109">
        <f t="shared" si="271"/>
        <v>0</v>
      </c>
      <c r="M239" s="111">
        <f t="shared" si="272"/>
        <v>0</v>
      </c>
      <c r="N239" s="109">
        <f t="shared" si="273"/>
        <v>0</v>
      </c>
      <c r="O239" s="109">
        <f t="shared" si="274"/>
        <v>0</v>
      </c>
      <c r="P239" s="109">
        <f t="shared" si="275"/>
        <v>0</v>
      </c>
      <c r="Q239" s="109">
        <f t="shared" si="276"/>
        <v>5.3975923480818234E-3</v>
      </c>
      <c r="R239" s="109">
        <f t="shared" si="277"/>
        <v>0</v>
      </c>
      <c r="S239" s="110">
        <f t="shared" si="278"/>
        <v>8.8345542371498905E-7</v>
      </c>
      <c r="T239" s="109">
        <f t="shared" si="279"/>
        <v>0</v>
      </c>
      <c r="U239" s="109">
        <f t="shared" si="280"/>
        <v>8.7094369484120671E-4</v>
      </c>
      <c r="V239" s="109">
        <f t="shared" si="281"/>
        <v>1.676415368598913E-3</v>
      </c>
      <c r="W239" s="111">
        <f t="shared" si="282"/>
        <v>3.170360468739363E-3</v>
      </c>
      <c r="X239" s="115">
        <f t="shared" si="285"/>
        <v>0.99999999999999989</v>
      </c>
      <c r="Y239" s="38" t="s">
        <v>516</v>
      </c>
      <c r="Z239" s="42" t="s">
        <v>516</v>
      </c>
      <c r="AA239" s="67">
        <f t="shared" ref="AA239:AT239" si="295">IF($J127,SUMIF($AV$229:$AV$332,$Y239,AW$229:AW$332)*AA$227*$D127/$J127,0)</f>
        <v>315.47620000000001</v>
      </c>
      <c r="AB239" s="67">
        <f t="shared" si="295"/>
        <v>553.77650000000006</v>
      </c>
      <c r="AC239" s="67">
        <f t="shared" si="295"/>
        <v>1211.4559999999999</v>
      </c>
      <c r="AD239" s="67">
        <f t="shared" si="295"/>
        <v>1803.7349999999999</v>
      </c>
      <c r="AE239" s="67">
        <f t="shared" si="295"/>
        <v>1645.19</v>
      </c>
      <c r="AF239" s="76">
        <f t="shared" si="295"/>
        <v>0</v>
      </c>
      <c r="AG239" s="67">
        <f t="shared" si="295"/>
        <v>0</v>
      </c>
      <c r="AH239" s="67">
        <f t="shared" si="295"/>
        <v>0</v>
      </c>
      <c r="AI239" s="67">
        <f t="shared" si="295"/>
        <v>0</v>
      </c>
      <c r="AJ239" s="68">
        <f t="shared" si="295"/>
        <v>0</v>
      </c>
      <c r="AK239" s="67">
        <f t="shared" si="295"/>
        <v>0</v>
      </c>
      <c r="AL239" s="67">
        <f t="shared" si="295"/>
        <v>0</v>
      </c>
      <c r="AM239" s="67">
        <f t="shared" si="295"/>
        <v>0</v>
      </c>
      <c r="AN239" s="67">
        <f t="shared" si="295"/>
        <v>30.182220000000001</v>
      </c>
      <c r="AO239" s="67">
        <f t="shared" si="295"/>
        <v>0</v>
      </c>
      <c r="AP239" s="76">
        <f t="shared" si="295"/>
        <v>4.9401000000000002E-3</v>
      </c>
      <c r="AQ239" s="67">
        <f t="shared" si="295"/>
        <v>0</v>
      </c>
      <c r="AR239" s="67">
        <f t="shared" si="295"/>
        <v>4.8701369999999997</v>
      </c>
      <c r="AS239" s="67">
        <f t="shared" si="295"/>
        <v>9.3741679999999992</v>
      </c>
      <c r="AT239" s="68">
        <f t="shared" si="295"/>
        <v>17.728000000000002</v>
      </c>
      <c r="AU239" s="2"/>
      <c r="AV239" s="104" t="s">
        <v>516</v>
      </c>
      <c r="AW239" s="94">
        <v>315.47620000000001</v>
      </c>
      <c r="AX239" s="94">
        <v>553.77650000000006</v>
      </c>
      <c r="AY239" s="94">
        <v>1211.4559999999999</v>
      </c>
      <c r="AZ239" s="94">
        <v>1803.7349999999999</v>
      </c>
      <c r="BA239" s="94">
        <v>1645.19</v>
      </c>
      <c r="BB239" s="106">
        <v>0</v>
      </c>
      <c r="BC239" s="94">
        <v>0</v>
      </c>
      <c r="BD239" s="94">
        <v>0</v>
      </c>
      <c r="BE239" s="94">
        <v>0</v>
      </c>
      <c r="BF239" s="95">
        <v>0</v>
      </c>
      <c r="BG239" s="94">
        <v>0</v>
      </c>
      <c r="BH239" s="94">
        <v>0</v>
      </c>
      <c r="BI239" s="94">
        <v>0</v>
      </c>
      <c r="BJ239" s="94">
        <v>30.182220000000001</v>
      </c>
      <c r="BK239" s="94">
        <v>0</v>
      </c>
      <c r="BL239" s="106">
        <v>4.9401000000000002E-3</v>
      </c>
      <c r="BM239" s="94">
        <v>0</v>
      </c>
      <c r="BN239" s="94">
        <v>4.8701369999999997</v>
      </c>
      <c r="BO239" s="94">
        <v>9.3741679999999992</v>
      </c>
      <c r="BP239" s="95">
        <v>17.728000000000002</v>
      </c>
      <c r="BQ239" s="2"/>
      <c r="BR239" s="2"/>
      <c r="BS239" s="2"/>
    </row>
    <row r="240" spans="1:71" x14ac:dyDescent="0.35">
      <c r="A240" s="2"/>
      <c r="B240" s="2"/>
      <c r="C240" s="42" t="s">
        <v>472</v>
      </c>
      <c r="D240" s="109">
        <f t="shared" si="284"/>
        <v>0.16266407463745111</v>
      </c>
      <c r="E240" s="109">
        <f t="shared" si="264"/>
        <v>0.18662736118328607</v>
      </c>
      <c r="F240" s="109">
        <f t="shared" si="265"/>
        <v>0.21966371832678094</v>
      </c>
      <c r="G240" s="109">
        <f t="shared" si="266"/>
        <v>0.21845125026967632</v>
      </c>
      <c r="H240" s="109">
        <f t="shared" si="267"/>
        <v>0.12270147953302962</v>
      </c>
      <c r="I240" s="110">
        <f t="shared" si="268"/>
        <v>0</v>
      </c>
      <c r="J240" s="109">
        <f t="shared" si="269"/>
        <v>0</v>
      </c>
      <c r="K240" s="109">
        <f t="shared" si="270"/>
        <v>0</v>
      </c>
      <c r="L240" s="109">
        <f t="shared" si="271"/>
        <v>0</v>
      </c>
      <c r="M240" s="111">
        <f t="shared" si="272"/>
        <v>0</v>
      </c>
      <c r="N240" s="109">
        <f t="shared" si="273"/>
        <v>7.4630540623434327E-3</v>
      </c>
      <c r="O240" s="109">
        <f t="shared" si="274"/>
        <v>9.7913763420756101E-3</v>
      </c>
      <c r="P240" s="109">
        <f t="shared" si="275"/>
        <v>1.1878040870759056E-2</v>
      </c>
      <c r="Q240" s="109">
        <f t="shared" si="276"/>
        <v>1.2757368750053275E-2</v>
      </c>
      <c r="R240" s="109">
        <f t="shared" si="277"/>
        <v>1.9616062550307893E-2</v>
      </c>
      <c r="S240" s="110">
        <f t="shared" si="278"/>
        <v>1.7168815606760184E-3</v>
      </c>
      <c r="T240" s="109">
        <f t="shared" si="279"/>
        <v>1.8473676680237205E-3</v>
      </c>
      <c r="U240" s="109">
        <f t="shared" si="280"/>
        <v>4.0320797254649703E-3</v>
      </c>
      <c r="V240" s="109">
        <f t="shared" si="281"/>
        <v>6.2035065849376262E-3</v>
      </c>
      <c r="W240" s="111">
        <f t="shared" si="282"/>
        <v>1.4586377935134143E-2</v>
      </c>
      <c r="X240" s="115">
        <f t="shared" si="285"/>
        <v>1</v>
      </c>
      <c r="Y240" s="38" t="s">
        <v>472</v>
      </c>
      <c r="Z240" s="42" t="s">
        <v>472</v>
      </c>
      <c r="AA240" s="67">
        <f t="shared" ref="AA240:AT240" si="296">IF($J128,SUMIF($AV$229:$AV$332,$Y240,AW$229:AW$332)*AA$227*$D128/$J128,0)</f>
        <v>5877.1239999999998</v>
      </c>
      <c r="AB240" s="67">
        <f t="shared" si="296"/>
        <v>6742.9279999999999</v>
      </c>
      <c r="AC240" s="67">
        <f t="shared" si="296"/>
        <v>7936.5460000000003</v>
      </c>
      <c r="AD240" s="67">
        <f t="shared" si="296"/>
        <v>7892.7389999999996</v>
      </c>
      <c r="AE240" s="67">
        <f t="shared" si="296"/>
        <v>4433.2579999999998</v>
      </c>
      <c r="AF240" s="76">
        <f t="shared" si="296"/>
        <v>0</v>
      </c>
      <c r="AG240" s="67">
        <f t="shared" si="296"/>
        <v>0</v>
      </c>
      <c r="AH240" s="67">
        <f t="shared" si="296"/>
        <v>0</v>
      </c>
      <c r="AI240" s="67">
        <f t="shared" si="296"/>
        <v>0</v>
      </c>
      <c r="AJ240" s="68">
        <f t="shared" si="296"/>
        <v>0</v>
      </c>
      <c r="AK240" s="67">
        <f t="shared" si="296"/>
        <v>269.64339999999999</v>
      </c>
      <c r="AL240" s="67">
        <f t="shared" si="296"/>
        <v>353.76670000000001</v>
      </c>
      <c r="AM240" s="67">
        <f t="shared" si="296"/>
        <v>429.15879999999999</v>
      </c>
      <c r="AN240" s="67">
        <f t="shared" si="296"/>
        <v>460.92930000000001</v>
      </c>
      <c r="AO240" s="67">
        <f t="shared" si="296"/>
        <v>708.73689999999999</v>
      </c>
      <c r="AP240" s="76">
        <f t="shared" si="296"/>
        <v>62.031680000000001</v>
      </c>
      <c r="AQ240" s="67">
        <f t="shared" si="296"/>
        <v>66.746200000000002</v>
      </c>
      <c r="AR240" s="67">
        <f t="shared" si="296"/>
        <v>145.6808</v>
      </c>
      <c r="AS240" s="67">
        <f t="shared" si="296"/>
        <v>224.1354</v>
      </c>
      <c r="AT240" s="68">
        <f t="shared" si="296"/>
        <v>527.01220000000001</v>
      </c>
      <c r="AU240" s="2"/>
      <c r="AV240" s="104" t="s">
        <v>472</v>
      </c>
      <c r="AW240" s="94">
        <v>5877.1239999999998</v>
      </c>
      <c r="AX240" s="94">
        <v>6742.9279999999999</v>
      </c>
      <c r="AY240" s="94">
        <v>7936.5460000000003</v>
      </c>
      <c r="AZ240" s="94">
        <v>7892.7389999999996</v>
      </c>
      <c r="BA240" s="94">
        <v>4433.2579999999998</v>
      </c>
      <c r="BB240" s="106">
        <v>0</v>
      </c>
      <c r="BC240" s="94">
        <v>0</v>
      </c>
      <c r="BD240" s="94">
        <v>0</v>
      </c>
      <c r="BE240" s="94">
        <v>0</v>
      </c>
      <c r="BF240" s="95">
        <v>0</v>
      </c>
      <c r="BG240" s="94">
        <v>269.64339999999999</v>
      </c>
      <c r="BH240" s="94">
        <v>353.76670000000001</v>
      </c>
      <c r="BI240" s="94">
        <v>429.15879999999999</v>
      </c>
      <c r="BJ240" s="94">
        <v>460.92930000000001</v>
      </c>
      <c r="BK240" s="94">
        <v>708.73689999999999</v>
      </c>
      <c r="BL240" s="106">
        <v>62.031680000000001</v>
      </c>
      <c r="BM240" s="94">
        <v>66.746200000000002</v>
      </c>
      <c r="BN240" s="94">
        <v>145.6808</v>
      </c>
      <c r="BO240" s="94">
        <v>224.1354</v>
      </c>
      <c r="BP240" s="95">
        <v>527.01220000000001</v>
      </c>
      <c r="BQ240" s="2"/>
      <c r="BR240" s="2"/>
      <c r="BS240" s="2"/>
    </row>
    <row r="241" spans="1:71" x14ac:dyDescent="0.35">
      <c r="A241" s="2"/>
      <c r="B241" s="2"/>
      <c r="C241" s="42" t="s">
        <v>517</v>
      </c>
      <c r="D241" s="109">
        <f t="shared" si="284"/>
        <v>0.25148006235237119</v>
      </c>
      <c r="E241" s="109">
        <f t="shared" si="264"/>
        <v>0.22224594333506723</v>
      </c>
      <c r="F241" s="109">
        <f t="shared" si="265"/>
        <v>0.23138605206735799</v>
      </c>
      <c r="G241" s="109">
        <f t="shared" si="266"/>
        <v>0.174579554968671</v>
      </c>
      <c r="H241" s="109">
        <f t="shared" si="267"/>
        <v>6.4534187298876527E-2</v>
      </c>
      <c r="I241" s="110">
        <f t="shared" si="268"/>
        <v>0</v>
      </c>
      <c r="J241" s="109">
        <f t="shared" si="269"/>
        <v>0</v>
      </c>
      <c r="K241" s="109">
        <f t="shared" si="270"/>
        <v>0</v>
      </c>
      <c r="L241" s="109">
        <f t="shared" si="271"/>
        <v>0</v>
      </c>
      <c r="M241" s="111">
        <f t="shared" si="272"/>
        <v>0</v>
      </c>
      <c r="N241" s="109">
        <f t="shared" si="273"/>
        <v>2.6762771952873322E-3</v>
      </c>
      <c r="O241" s="109">
        <f t="shared" si="274"/>
        <v>5.482666061648515E-3</v>
      </c>
      <c r="P241" s="109">
        <f t="shared" si="275"/>
        <v>8.5843308341757001E-3</v>
      </c>
      <c r="Q241" s="109">
        <f t="shared" si="276"/>
        <v>4.0826701724642938E-3</v>
      </c>
      <c r="R241" s="109">
        <f t="shared" si="277"/>
        <v>9.4205252919577083E-4</v>
      </c>
      <c r="S241" s="110">
        <f t="shared" si="278"/>
        <v>1.069901405783465E-3</v>
      </c>
      <c r="T241" s="109">
        <f t="shared" si="279"/>
        <v>0</v>
      </c>
      <c r="U241" s="109">
        <f t="shared" si="280"/>
        <v>3.5784227252021001E-3</v>
      </c>
      <c r="V241" s="109">
        <f t="shared" si="281"/>
        <v>2.1904305161129997E-2</v>
      </c>
      <c r="W241" s="111">
        <f t="shared" si="282"/>
        <v>7.4535738927687398E-3</v>
      </c>
      <c r="X241" s="115">
        <f t="shared" si="285"/>
        <v>0.99999999999999967</v>
      </c>
      <c r="Y241" s="38" t="s">
        <v>517</v>
      </c>
      <c r="Z241" s="42" t="s">
        <v>517</v>
      </c>
      <c r="AA241" s="67">
        <f t="shared" ref="AA241:AT241" si="297">IF($J129,SUMIF($AV$229:$AV$332,$Y241,AW$229:AW$332)*AA$227*$D129/$J129,0)</f>
        <v>1272.518</v>
      </c>
      <c r="AB241" s="67">
        <f t="shared" si="297"/>
        <v>1124.5899999999999</v>
      </c>
      <c r="AC241" s="67">
        <f t="shared" si="297"/>
        <v>1170.8399999999999</v>
      </c>
      <c r="AD241" s="67">
        <f t="shared" si="297"/>
        <v>883.39260000000002</v>
      </c>
      <c r="AE241" s="67">
        <f t="shared" si="297"/>
        <v>326.55040000000002</v>
      </c>
      <c r="AF241" s="76">
        <f t="shared" si="297"/>
        <v>0</v>
      </c>
      <c r="AG241" s="67">
        <f t="shared" si="297"/>
        <v>0</v>
      </c>
      <c r="AH241" s="67">
        <f t="shared" si="297"/>
        <v>0</v>
      </c>
      <c r="AI241" s="67">
        <f t="shared" si="297"/>
        <v>0</v>
      </c>
      <c r="AJ241" s="68">
        <f t="shared" si="297"/>
        <v>0</v>
      </c>
      <c r="AK241" s="67">
        <f t="shared" si="297"/>
        <v>13.54227</v>
      </c>
      <c r="AL241" s="67">
        <f t="shared" si="297"/>
        <v>27.742920000000002</v>
      </c>
      <c r="AM241" s="67">
        <f t="shared" si="297"/>
        <v>43.4377</v>
      </c>
      <c r="AN241" s="67">
        <f t="shared" si="297"/>
        <v>20.65878</v>
      </c>
      <c r="AO241" s="67">
        <f t="shared" si="297"/>
        <v>4.7668939999999997</v>
      </c>
      <c r="AP241" s="76">
        <f t="shared" si="297"/>
        <v>5.413824</v>
      </c>
      <c r="AQ241" s="67">
        <f t="shared" si="297"/>
        <v>0</v>
      </c>
      <c r="AR241" s="67">
        <f t="shared" si="297"/>
        <v>18.107230000000001</v>
      </c>
      <c r="AS241" s="67">
        <f t="shared" si="297"/>
        <v>110.8383</v>
      </c>
      <c r="AT241" s="68">
        <f t="shared" si="297"/>
        <v>37.715940000000003</v>
      </c>
      <c r="AU241" s="2"/>
      <c r="AV241" s="104" t="s">
        <v>517</v>
      </c>
      <c r="AW241" s="94">
        <v>1272.518</v>
      </c>
      <c r="AX241" s="94">
        <v>1124.5899999999999</v>
      </c>
      <c r="AY241" s="94">
        <v>1170.8399999999999</v>
      </c>
      <c r="AZ241" s="94">
        <v>883.39260000000002</v>
      </c>
      <c r="BA241" s="94">
        <v>326.55040000000002</v>
      </c>
      <c r="BB241" s="106">
        <v>0</v>
      </c>
      <c r="BC241" s="94">
        <v>0</v>
      </c>
      <c r="BD241" s="94">
        <v>0</v>
      </c>
      <c r="BE241" s="94">
        <v>0</v>
      </c>
      <c r="BF241" s="95">
        <v>0</v>
      </c>
      <c r="BG241" s="94">
        <v>13.54227</v>
      </c>
      <c r="BH241" s="94">
        <v>27.742920000000002</v>
      </c>
      <c r="BI241" s="94">
        <v>43.4377</v>
      </c>
      <c r="BJ241" s="94">
        <v>20.65878</v>
      </c>
      <c r="BK241" s="94">
        <v>4.7668939999999997</v>
      </c>
      <c r="BL241" s="106">
        <v>5.413824</v>
      </c>
      <c r="BM241" s="94">
        <v>0</v>
      </c>
      <c r="BN241" s="94">
        <v>18.107230000000001</v>
      </c>
      <c r="BO241" s="94">
        <v>110.8383</v>
      </c>
      <c r="BP241" s="95">
        <v>37.715940000000003</v>
      </c>
      <c r="BQ241" s="2"/>
      <c r="BR241" s="2"/>
      <c r="BS241" s="2"/>
    </row>
    <row r="242" spans="1:71" x14ac:dyDescent="0.35">
      <c r="A242" s="2"/>
      <c r="B242" s="2"/>
      <c r="C242" s="42" t="s">
        <v>518</v>
      </c>
      <c r="D242" s="109">
        <f t="shared" si="284"/>
        <v>5.2318789589412371E-2</v>
      </c>
      <c r="E242" s="109">
        <f t="shared" si="264"/>
        <v>0.10955467100741201</v>
      </c>
      <c r="F242" s="109">
        <f t="shared" si="265"/>
        <v>0.18793901004734731</v>
      </c>
      <c r="G242" s="109">
        <f t="shared" si="266"/>
        <v>0.31372169887411466</v>
      </c>
      <c r="H242" s="109">
        <f t="shared" si="267"/>
        <v>0.24656746491617615</v>
      </c>
      <c r="I242" s="110">
        <f t="shared" si="268"/>
        <v>0</v>
      </c>
      <c r="J242" s="109">
        <f t="shared" si="269"/>
        <v>0</v>
      </c>
      <c r="K242" s="109">
        <f t="shared" si="270"/>
        <v>0</v>
      </c>
      <c r="L242" s="109">
        <f t="shared" si="271"/>
        <v>0</v>
      </c>
      <c r="M242" s="111">
        <f t="shared" si="272"/>
        <v>0</v>
      </c>
      <c r="N242" s="109">
        <f t="shared" si="273"/>
        <v>1.1143662026654262E-3</v>
      </c>
      <c r="O242" s="109">
        <f t="shared" si="274"/>
        <v>1.5692168457424815E-3</v>
      </c>
      <c r="P242" s="109">
        <f t="shared" si="275"/>
        <v>1.0011305771539832E-2</v>
      </c>
      <c r="Q242" s="109">
        <f t="shared" si="276"/>
        <v>9.8715462303579516E-3</v>
      </c>
      <c r="R242" s="109">
        <f t="shared" si="277"/>
        <v>2.6537552540116444E-2</v>
      </c>
      <c r="S242" s="110">
        <f t="shared" si="278"/>
        <v>6.0874108424668007E-5</v>
      </c>
      <c r="T242" s="109">
        <f t="shared" si="279"/>
        <v>1.6123256855086186E-3</v>
      </c>
      <c r="U242" s="109">
        <f t="shared" si="280"/>
        <v>3.7413976832908285E-3</v>
      </c>
      <c r="V242" s="109">
        <f t="shared" si="281"/>
        <v>8.6495561373698005E-3</v>
      </c>
      <c r="W242" s="111">
        <f t="shared" si="282"/>
        <v>2.6730224360521429E-2</v>
      </c>
      <c r="X242" s="115">
        <f t="shared" si="285"/>
        <v>1.0000000000000002</v>
      </c>
      <c r="Y242" s="38" t="s">
        <v>518</v>
      </c>
      <c r="Z242" s="42" t="s">
        <v>518</v>
      </c>
      <c r="AA242" s="67">
        <f t="shared" ref="AA242:AT242" si="298">IF($J130,SUMIF($AV$229:$AV$332,$Y242,AW$229:AW$332)*AA$227*$D130/$J130,0)</f>
        <v>2562.828</v>
      </c>
      <c r="AB242" s="67">
        <f t="shared" si="298"/>
        <v>5366.5190000000002</v>
      </c>
      <c r="AC242" s="67">
        <f t="shared" si="298"/>
        <v>9206.1640000000007</v>
      </c>
      <c r="AD242" s="67">
        <f t="shared" si="298"/>
        <v>15367.61</v>
      </c>
      <c r="AE242" s="67">
        <f t="shared" si="298"/>
        <v>12078.07</v>
      </c>
      <c r="AF242" s="76">
        <f t="shared" si="298"/>
        <v>0</v>
      </c>
      <c r="AG242" s="67">
        <f t="shared" si="298"/>
        <v>0</v>
      </c>
      <c r="AH242" s="67">
        <f t="shared" si="298"/>
        <v>0</v>
      </c>
      <c r="AI242" s="67">
        <f t="shared" si="298"/>
        <v>0</v>
      </c>
      <c r="AJ242" s="68">
        <f t="shared" si="298"/>
        <v>0</v>
      </c>
      <c r="AK242" s="67">
        <f t="shared" si="298"/>
        <v>54.587060000000001</v>
      </c>
      <c r="AL242" s="67">
        <f t="shared" si="298"/>
        <v>76.867850000000004</v>
      </c>
      <c r="AM242" s="67">
        <f t="shared" si="298"/>
        <v>490.40230000000003</v>
      </c>
      <c r="AN242" s="67">
        <f t="shared" si="298"/>
        <v>483.55619999999999</v>
      </c>
      <c r="AO242" s="67">
        <f t="shared" si="298"/>
        <v>1299.9380000000001</v>
      </c>
      <c r="AP242" s="76">
        <f t="shared" si="298"/>
        <v>2.9819089999999999</v>
      </c>
      <c r="AQ242" s="67">
        <f t="shared" si="298"/>
        <v>78.979529999999997</v>
      </c>
      <c r="AR242" s="67">
        <f t="shared" si="298"/>
        <v>183.27180000000001</v>
      </c>
      <c r="AS242" s="67">
        <f t="shared" si="298"/>
        <v>423.69720000000001</v>
      </c>
      <c r="AT242" s="68">
        <f t="shared" si="298"/>
        <v>1309.376</v>
      </c>
      <c r="AU242" s="2"/>
      <c r="AV242" s="104" t="s">
        <v>518</v>
      </c>
      <c r="AW242" s="94">
        <v>2562.828</v>
      </c>
      <c r="AX242" s="94">
        <v>5366.5190000000002</v>
      </c>
      <c r="AY242" s="94">
        <v>9206.1640000000007</v>
      </c>
      <c r="AZ242" s="94">
        <v>15367.61</v>
      </c>
      <c r="BA242" s="94">
        <v>12078.07</v>
      </c>
      <c r="BB242" s="106">
        <v>0</v>
      </c>
      <c r="BC242" s="94">
        <v>0</v>
      </c>
      <c r="BD242" s="94">
        <v>0</v>
      </c>
      <c r="BE242" s="94">
        <v>0</v>
      </c>
      <c r="BF242" s="95">
        <v>0</v>
      </c>
      <c r="BG242" s="94">
        <v>54.587060000000001</v>
      </c>
      <c r="BH242" s="94">
        <v>76.867850000000004</v>
      </c>
      <c r="BI242" s="94">
        <v>490.40230000000003</v>
      </c>
      <c r="BJ242" s="94">
        <v>483.55619999999999</v>
      </c>
      <c r="BK242" s="94">
        <v>1299.9380000000001</v>
      </c>
      <c r="BL242" s="106">
        <v>2.9819089999999999</v>
      </c>
      <c r="BM242" s="94">
        <v>78.979529999999997</v>
      </c>
      <c r="BN242" s="94">
        <v>183.27180000000001</v>
      </c>
      <c r="BO242" s="94">
        <v>423.69720000000001</v>
      </c>
      <c r="BP242" s="95">
        <v>1309.376</v>
      </c>
      <c r="BQ242" s="2"/>
      <c r="BR242" s="2"/>
      <c r="BS242" s="2"/>
    </row>
    <row r="243" spans="1:71" x14ac:dyDescent="0.35">
      <c r="A243" s="2"/>
      <c r="B243" s="2"/>
      <c r="C243" s="42" t="s">
        <v>519</v>
      </c>
      <c r="D243" s="109">
        <f t="shared" si="284"/>
        <v>3.2978282149140815E-2</v>
      </c>
      <c r="E243" s="109">
        <f t="shared" si="264"/>
        <v>0.15696554457004222</v>
      </c>
      <c r="F243" s="109">
        <f t="shared" si="265"/>
        <v>0.14625698721244842</v>
      </c>
      <c r="G243" s="109">
        <f t="shared" si="266"/>
        <v>0.29450541839322208</v>
      </c>
      <c r="H243" s="109">
        <f t="shared" si="267"/>
        <v>0.23901550147639974</v>
      </c>
      <c r="I243" s="110">
        <f t="shared" si="268"/>
        <v>0</v>
      </c>
      <c r="J243" s="109">
        <f t="shared" si="269"/>
        <v>0</v>
      </c>
      <c r="K243" s="109">
        <f t="shared" si="270"/>
        <v>0</v>
      </c>
      <c r="L243" s="109">
        <f t="shared" si="271"/>
        <v>0</v>
      </c>
      <c r="M243" s="111">
        <f t="shared" si="272"/>
        <v>0</v>
      </c>
      <c r="N243" s="109">
        <f t="shared" si="273"/>
        <v>0</v>
      </c>
      <c r="O243" s="109">
        <f t="shared" si="274"/>
        <v>6.5165362488198934E-3</v>
      </c>
      <c r="P243" s="109">
        <f t="shared" si="275"/>
        <v>6.6755757128596962E-3</v>
      </c>
      <c r="Q243" s="109">
        <f t="shared" si="276"/>
        <v>2.2331587093064121E-3</v>
      </c>
      <c r="R243" s="109">
        <f t="shared" si="277"/>
        <v>3.1662669636288991E-2</v>
      </c>
      <c r="S243" s="110">
        <f t="shared" si="278"/>
        <v>0</v>
      </c>
      <c r="T243" s="109">
        <f t="shared" si="279"/>
        <v>3.2086761252671258E-3</v>
      </c>
      <c r="U243" s="109">
        <f t="shared" si="280"/>
        <v>1.6265476504575065E-3</v>
      </c>
      <c r="V243" s="109">
        <f t="shared" si="281"/>
        <v>1.5272648995070566E-2</v>
      </c>
      <c r="W243" s="111">
        <f t="shared" si="282"/>
        <v>6.3082453120676396E-2</v>
      </c>
      <c r="X243" s="115">
        <f t="shared" si="285"/>
        <v>0.99999999999999978</v>
      </c>
      <c r="Y243" s="38" t="s">
        <v>519</v>
      </c>
      <c r="Z243" s="42" t="s">
        <v>519</v>
      </c>
      <c r="AA243" s="67">
        <f t="shared" ref="AA243:AT243" si="299">IF($J131,SUMIF($AV$229:$AV$332,$Y243,AW$229:AW$332)*AA$227*$D131/$J131,0)</f>
        <v>145.26750000000001</v>
      </c>
      <c r="AB243" s="67">
        <f t="shared" si="299"/>
        <v>691.42449999999997</v>
      </c>
      <c r="AC243" s="67">
        <f t="shared" si="299"/>
        <v>644.25390000000004</v>
      </c>
      <c r="AD243" s="67">
        <f t="shared" si="299"/>
        <v>1297.28</v>
      </c>
      <c r="AE243" s="67">
        <f t="shared" si="299"/>
        <v>1052.8499999999999</v>
      </c>
      <c r="AF243" s="76">
        <f t="shared" si="299"/>
        <v>0</v>
      </c>
      <c r="AG243" s="67">
        <f t="shared" si="299"/>
        <v>0</v>
      </c>
      <c r="AH243" s="67">
        <f t="shared" si="299"/>
        <v>0</v>
      </c>
      <c r="AI243" s="67">
        <f t="shared" si="299"/>
        <v>0</v>
      </c>
      <c r="AJ243" s="68">
        <f t="shared" si="299"/>
        <v>0</v>
      </c>
      <c r="AK243" s="67">
        <f t="shared" si="299"/>
        <v>0</v>
      </c>
      <c r="AL243" s="67">
        <f t="shared" si="299"/>
        <v>28.704979999999995</v>
      </c>
      <c r="AM243" s="67">
        <f t="shared" si="299"/>
        <v>29.405539999999995</v>
      </c>
      <c r="AN243" s="67">
        <f t="shared" si="299"/>
        <v>9.8369400000000002</v>
      </c>
      <c r="AO243" s="67">
        <f t="shared" si="299"/>
        <v>139.47229999999999</v>
      </c>
      <c r="AP243" s="76">
        <f t="shared" si="299"/>
        <v>0</v>
      </c>
      <c r="AQ243" s="67">
        <f t="shared" si="299"/>
        <v>14.134040000000001</v>
      </c>
      <c r="AR243" s="67">
        <f t="shared" si="299"/>
        <v>7.1648519999999998</v>
      </c>
      <c r="AS243" s="67">
        <f t="shared" si="299"/>
        <v>67.275170000000003</v>
      </c>
      <c r="AT243" s="68">
        <f t="shared" si="299"/>
        <v>277.87470000000002</v>
      </c>
      <c r="AU243" s="2"/>
      <c r="AV243" s="104" t="s">
        <v>519</v>
      </c>
      <c r="AW243" s="94">
        <v>145.26750000000001</v>
      </c>
      <c r="AX243" s="94">
        <v>691.42449999999997</v>
      </c>
      <c r="AY243" s="94">
        <v>644.25390000000004</v>
      </c>
      <c r="AZ243" s="94">
        <v>1297.28</v>
      </c>
      <c r="BA243" s="94">
        <v>1052.8499999999999</v>
      </c>
      <c r="BB243" s="106">
        <v>0</v>
      </c>
      <c r="BC243" s="94">
        <v>0</v>
      </c>
      <c r="BD243" s="94">
        <v>0</v>
      </c>
      <c r="BE243" s="94">
        <v>0</v>
      </c>
      <c r="BF243" s="95">
        <v>0</v>
      </c>
      <c r="BG243" s="94">
        <v>0</v>
      </c>
      <c r="BH243" s="94">
        <v>28.704979999999999</v>
      </c>
      <c r="BI243" s="94">
        <v>29.405539999999998</v>
      </c>
      <c r="BJ243" s="94">
        <v>9.8369400000000002</v>
      </c>
      <c r="BK243" s="94">
        <v>139.47229999999999</v>
      </c>
      <c r="BL243" s="106">
        <v>0</v>
      </c>
      <c r="BM243" s="94">
        <v>14.134040000000001</v>
      </c>
      <c r="BN243" s="94">
        <v>7.1648519999999998</v>
      </c>
      <c r="BO243" s="94">
        <v>67.275170000000003</v>
      </c>
      <c r="BP243" s="95">
        <v>277.87470000000002</v>
      </c>
      <c r="BQ243" s="2"/>
      <c r="BR243" s="2"/>
      <c r="BS243" s="2"/>
    </row>
    <row r="244" spans="1:71" x14ac:dyDescent="0.35">
      <c r="A244" s="2"/>
      <c r="B244" s="2"/>
      <c r="C244" s="42" t="s">
        <v>480</v>
      </c>
      <c r="D244" s="109">
        <f t="shared" si="284"/>
        <v>8.8186997802579645E-2</v>
      </c>
      <c r="E244" s="109">
        <f t="shared" si="264"/>
        <v>0.14584943766616368</v>
      </c>
      <c r="F244" s="109">
        <f t="shared" si="265"/>
        <v>0.19728685317202677</v>
      </c>
      <c r="G244" s="109">
        <f t="shared" si="266"/>
        <v>0.23873384586463775</v>
      </c>
      <c r="H244" s="109">
        <f t="shared" si="267"/>
        <v>0.19585583758227992</v>
      </c>
      <c r="I244" s="110">
        <f t="shared" si="268"/>
        <v>0</v>
      </c>
      <c r="J244" s="109">
        <f t="shared" si="269"/>
        <v>0</v>
      </c>
      <c r="K244" s="109">
        <f t="shared" si="270"/>
        <v>0</v>
      </c>
      <c r="L244" s="109">
        <f t="shared" si="271"/>
        <v>0</v>
      </c>
      <c r="M244" s="111">
        <f t="shared" si="272"/>
        <v>0</v>
      </c>
      <c r="N244" s="109">
        <f t="shared" si="273"/>
        <v>9.5967448741651209E-4</v>
      </c>
      <c r="O244" s="109">
        <f t="shared" si="274"/>
        <v>5.2726557310061907E-3</v>
      </c>
      <c r="P244" s="109">
        <f t="shared" si="275"/>
        <v>9.6965161780671553E-3</v>
      </c>
      <c r="Q244" s="109">
        <f t="shared" si="276"/>
        <v>8.7286126660946709E-3</v>
      </c>
      <c r="R244" s="109">
        <f t="shared" si="277"/>
        <v>3.5374932668829191E-2</v>
      </c>
      <c r="S244" s="110">
        <f t="shared" si="278"/>
        <v>9.0148046224674335E-4</v>
      </c>
      <c r="T244" s="109">
        <f t="shared" si="279"/>
        <v>1.2034117636669131E-3</v>
      </c>
      <c r="U244" s="109">
        <f t="shared" si="280"/>
        <v>7.5459451998941022E-3</v>
      </c>
      <c r="V244" s="109">
        <f t="shared" si="281"/>
        <v>9.8822062546145926E-3</v>
      </c>
      <c r="W244" s="111">
        <f t="shared" si="282"/>
        <v>5.4521592500476466E-2</v>
      </c>
      <c r="X244" s="115">
        <f t="shared" si="285"/>
        <v>1.0000000000000002</v>
      </c>
      <c r="Y244" s="38" t="s">
        <v>480</v>
      </c>
      <c r="Z244" s="42" t="s">
        <v>480</v>
      </c>
      <c r="AA244" s="67">
        <f t="shared" ref="AA244:AT244" si="300">IF($J132,SUMIF($AV$229:$AV$332,$Y244,AW$229:AW$332)*AA$227*$D132/$J132,0)</f>
        <v>869.10389999999995</v>
      </c>
      <c r="AB244" s="67">
        <f t="shared" si="300"/>
        <v>1437.3810000000001</v>
      </c>
      <c r="AC244" s="67">
        <f t="shared" si="300"/>
        <v>1944.309</v>
      </c>
      <c r="AD244" s="67">
        <f t="shared" si="300"/>
        <v>2352.779</v>
      </c>
      <c r="AE244" s="67">
        <f t="shared" si="300"/>
        <v>1930.2059999999999</v>
      </c>
      <c r="AF244" s="76">
        <f t="shared" si="300"/>
        <v>0</v>
      </c>
      <c r="AG244" s="67">
        <f t="shared" si="300"/>
        <v>0</v>
      </c>
      <c r="AH244" s="67">
        <f t="shared" si="300"/>
        <v>0</v>
      </c>
      <c r="AI244" s="67">
        <f t="shared" si="300"/>
        <v>0</v>
      </c>
      <c r="AJ244" s="68">
        <f t="shared" si="300"/>
        <v>0</v>
      </c>
      <c r="AK244" s="67">
        <f t="shared" si="300"/>
        <v>9.4578209999999991</v>
      </c>
      <c r="AL244" s="67">
        <f t="shared" si="300"/>
        <v>51.963279999999997</v>
      </c>
      <c r="AM244" s="67">
        <f t="shared" si="300"/>
        <v>95.561480000000003</v>
      </c>
      <c r="AN244" s="67">
        <f t="shared" si="300"/>
        <v>86.022559999999999</v>
      </c>
      <c r="AO244" s="67">
        <f t="shared" si="300"/>
        <v>348.6284</v>
      </c>
      <c r="AP244" s="76">
        <f t="shared" si="300"/>
        <v>8.8843049999999995</v>
      </c>
      <c r="AQ244" s="67">
        <f t="shared" si="300"/>
        <v>11.859909999999999</v>
      </c>
      <c r="AR244" s="67">
        <f t="shared" si="300"/>
        <v>74.367090000000005</v>
      </c>
      <c r="AS244" s="67">
        <f t="shared" si="300"/>
        <v>97.391499999999994</v>
      </c>
      <c r="AT244" s="68">
        <f t="shared" si="300"/>
        <v>537.32330000000002</v>
      </c>
      <c r="AU244" s="2"/>
      <c r="AV244" s="104" t="s">
        <v>480</v>
      </c>
      <c r="AW244" s="94">
        <v>869.10389999999995</v>
      </c>
      <c r="AX244" s="94">
        <v>1437.3810000000001</v>
      </c>
      <c r="AY244" s="94">
        <v>1944.309</v>
      </c>
      <c r="AZ244" s="94">
        <v>2352.779</v>
      </c>
      <c r="BA244" s="94">
        <v>1930.2059999999999</v>
      </c>
      <c r="BB244" s="106">
        <v>0</v>
      </c>
      <c r="BC244" s="94">
        <v>0</v>
      </c>
      <c r="BD244" s="94">
        <v>0</v>
      </c>
      <c r="BE244" s="94">
        <v>0</v>
      </c>
      <c r="BF244" s="95">
        <v>0</v>
      </c>
      <c r="BG244" s="94">
        <v>9.4578209999999991</v>
      </c>
      <c r="BH244" s="94">
        <v>51.963279999999997</v>
      </c>
      <c r="BI244" s="94">
        <v>95.561480000000003</v>
      </c>
      <c r="BJ244" s="94">
        <v>86.022559999999999</v>
      </c>
      <c r="BK244" s="94">
        <v>348.6284</v>
      </c>
      <c r="BL244" s="106">
        <v>8.8843049999999995</v>
      </c>
      <c r="BM244" s="94">
        <v>11.859909999999999</v>
      </c>
      <c r="BN244" s="94">
        <v>74.367090000000005</v>
      </c>
      <c r="BO244" s="94">
        <v>97.391499999999994</v>
      </c>
      <c r="BP244" s="95">
        <v>537.32330000000002</v>
      </c>
      <c r="BQ244" s="2"/>
      <c r="BR244" s="2"/>
      <c r="BS244" s="2"/>
    </row>
    <row r="245" spans="1:71" x14ac:dyDescent="0.35">
      <c r="A245" s="2"/>
      <c r="B245" s="2"/>
      <c r="C245" s="42" t="s">
        <v>459</v>
      </c>
      <c r="D245" s="109">
        <f t="shared" si="284"/>
        <v>3.2615891858655412E-2</v>
      </c>
      <c r="E245" s="109">
        <f t="shared" si="264"/>
        <v>0.12202033136319172</v>
      </c>
      <c r="F245" s="109">
        <f t="shared" si="265"/>
        <v>9.3938201646088071E-2</v>
      </c>
      <c r="G245" s="109">
        <f t="shared" si="266"/>
        <v>0.44333297295973118</v>
      </c>
      <c r="H245" s="109">
        <f t="shared" si="267"/>
        <v>0.24482759043177968</v>
      </c>
      <c r="I245" s="110">
        <f t="shared" si="268"/>
        <v>0</v>
      </c>
      <c r="J245" s="109">
        <f t="shared" si="269"/>
        <v>0</v>
      </c>
      <c r="K245" s="109">
        <f t="shared" si="270"/>
        <v>0</v>
      </c>
      <c r="L245" s="109">
        <f t="shared" si="271"/>
        <v>0</v>
      </c>
      <c r="M245" s="111">
        <f t="shared" si="272"/>
        <v>0</v>
      </c>
      <c r="N245" s="109">
        <f t="shared" si="273"/>
        <v>0</v>
      </c>
      <c r="O245" s="109">
        <f t="shared" si="274"/>
        <v>0</v>
      </c>
      <c r="P245" s="109">
        <f t="shared" si="275"/>
        <v>0</v>
      </c>
      <c r="Q245" s="109">
        <f t="shared" si="276"/>
        <v>3.843336976273916E-3</v>
      </c>
      <c r="R245" s="109">
        <f t="shared" si="277"/>
        <v>0</v>
      </c>
      <c r="S245" s="110">
        <f t="shared" si="278"/>
        <v>0</v>
      </c>
      <c r="T245" s="109">
        <f t="shared" si="279"/>
        <v>0</v>
      </c>
      <c r="U245" s="109">
        <f t="shared" si="280"/>
        <v>0</v>
      </c>
      <c r="V245" s="109">
        <f t="shared" si="281"/>
        <v>0</v>
      </c>
      <c r="W245" s="111">
        <f t="shared" si="282"/>
        <v>5.942167476427998E-2</v>
      </c>
      <c r="X245" s="115">
        <f t="shared" si="285"/>
        <v>1</v>
      </c>
      <c r="Y245" s="38" t="s">
        <v>459</v>
      </c>
      <c r="Z245" s="42" t="s">
        <v>459</v>
      </c>
      <c r="AA245" s="67">
        <f t="shared" ref="AA245:AT245" si="301">IF($J133,SUMIF($AV$229:$AV$332,$Y245,AW$229:AW$332)*AA$227*$D133/$J133,0)</f>
        <v>9.2373209999999997</v>
      </c>
      <c r="AB245" s="67">
        <f t="shared" si="301"/>
        <v>34.558030000000002</v>
      </c>
      <c r="AC245" s="67">
        <f t="shared" si="301"/>
        <v>26.60474</v>
      </c>
      <c r="AD245" s="67">
        <f t="shared" si="301"/>
        <v>125.5587</v>
      </c>
      <c r="AE245" s="67">
        <f t="shared" si="301"/>
        <v>69.338930000000005</v>
      </c>
      <c r="AF245" s="76">
        <f t="shared" si="301"/>
        <v>0</v>
      </c>
      <c r="AG245" s="67">
        <f t="shared" si="301"/>
        <v>0</v>
      </c>
      <c r="AH245" s="67">
        <f t="shared" si="301"/>
        <v>0</v>
      </c>
      <c r="AI245" s="67">
        <f t="shared" si="301"/>
        <v>0</v>
      </c>
      <c r="AJ245" s="68">
        <f t="shared" si="301"/>
        <v>0</v>
      </c>
      <c r="AK245" s="67">
        <f t="shared" si="301"/>
        <v>0</v>
      </c>
      <c r="AL245" s="67">
        <f t="shared" si="301"/>
        <v>0</v>
      </c>
      <c r="AM245" s="67">
        <f t="shared" si="301"/>
        <v>0</v>
      </c>
      <c r="AN245" s="67">
        <f t="shared" si="301"/>
        <v>1.088492</v>
      </c>
      <c r="AO245" s="67">
        <f t="shared" si="301"/>
        <v>0</v>
      </c>
      <c r="AP245" s="76">
        <f t="shared" si="301"/>
        <v>0</v>
      </c>
      <c r="AQ245" s="67">
        <f t="shared" si="301"/>
        <v>0</v>
      </c>
      <c r="AR245" s="67">
        <f t="shared" si="301"/>
        <v>0</v>
      </c>
      <c r="AS245" s="67">
        <f t="shared" si="301"/>
        <v>0</v>
      </c>
      <c r="AT245" s="68">
        <f t="shared" si="301"/>
        <v>16.829129999999999</v>
      </c>
      <c r="AU245" s="2"/>
      <c r="AV245" s="104" t="s">
        <v>459</v>
      </c>
      <c r="AW245" s="94">
        <v>9.2373209999999997</v>
      </c>
      <c r="AX245" s="94">
        <v>34.558030000000002</v>
      </c>
      <c r="AY245" s="94">
        <v>26.60474</v>
      </c>
      <c r="AZ245" s="94">
        <v>125.5587</v>
      </c>
      <c r="BA245" s="94">
        <v>69.338930000000005</v>
      </c>
      <c r="BB245" s="106">
        <v>0</v>
      </c>
      <c r="BC245" s="94">
        <v>0</v>
      </c>
      <c r="BD245" s="94">
        <v>0</v>
      </c>
      <c r="BE245" s="94">
        <v>0</v>
      </c>
      <c r="BF245" s="95">
        <v>0</v>
      </c>
      <c r="BG245" s="94">
        <v>0</v>
      </c>
      <c r="BH245" s="94">
        <v>0</v>
      </c>
      <c r="BI245" s="94">
        <v>0</v>
      </c>
      <c r="BJ245" s="94">
        <v>1.088492</v>
      </c>
      <c r="BK245" s="94">
        <v>0</v>
      </c>
      <c r="BL245" s="106">
        <v>0</v>
      </c>
      <c r="BM245" s="94">
        <v>0</v>
      </c>
      <c r="BN245" s="94">
        <v>0</v>
      </c>
      <c r="BO245" s="94">
        <v>0</v>
      </c>
      <c r="BP245" s="95">
        <v>16.829129999999999</v>
      </c>
      <c r="BQ245" s="2"/>
      <c r="BR245" s="2"/>
      <c r="BS245" s="2"/>
    </row>
    <row r="246" spans="1:71" x14ac:dyDescent="0.35">
      <c r="A246" s="2"/>
      <c r="B246" s="2"/>
      <c r="C246" s="42" t="s">
        <v>520</v>
      </c>
      <c r="D246" s="109">
        <f t="shared" si="284"/>
        <v>0.23304250999716358</v>
      </c>
      <c r="E246" s="109">
        <f t="shared" si="264"/>
        <v>0.19455713382498863</v>
      </c>
      <c r="F246" s="109">
        <f t="shared" si="265"/>
        <v>0.2531398739309132</v>
      </c>
      <c r="G246" s="109">
        <f t="shared" si="266"/>
        <v>0.22767691435470871</v>
      </c>
      <c r="H246" s="109">
        <f t="shared" si="267"/>
        <v>7.2875338222294861E-2</v>
      </c>
      <c r="I246" s="110">
        <f t="shared" si="268"/>
        <v>0</v>
      </c>
      <c r="J246" s="109">
        <f t="shared" si="269"/>
        <v>0</v>
      </c>
      <c r="K246" s="109">
        <f t="shared" si="270"/>
        <v>0</v>
      </c>
      <c r="L246" s="109">
        <f t="shared" si="271"/>
        <v>0</v>
      </c>
      <c r="M246" s="111">
        <f t="shared" si="272"/>
        <v>0</v>
      </c>
      <c r="N246" s="109">
        <f t="shared" si="273"/>
        <v>7.3606094467683026E-3</v>
      </c>
      <c r="O246" s="109">
        <f t="shared" si="274"/>
        <v>2.9513540996623702E-3</v>
      </c>
      <c r="P246" s="109">
        <f t="shared" si="275"/>
        <v>0</v>
      </c>
      <c r="Q246" s="109">
        <f t="shared" si="276"/>
        <v>0</v>
      </c>
      <c r="R246" s="109">
        <f t="shared" si="277"/>
        <v>8.3962661235004472E-3</v>
      </c>
      <c r="S246" s="110">
        <f t="shared" si="278"/>
        <v>0</v>
      </c>
      <c r="T246" s="109">
        <f t="shared" si="279"/>
        <v>0</v>
      </c>
      <c r="U246" s="109">
        <f t="shared" si="280"/>
        <v>0</v>
      </c>
      <c r="V246" s="109">
        <f t="shared" si="281"/>
        <v>0</v>
      </c>
      <c r="W246" s="111">
        <f t="shared" si="282"/>
        <v>0</v>
      </c>
      <c r="X246" s="115">
        <f t="shared" si="285"/>
        <v>1.0000000000000002</v>
      </c>
      <c r="Y246" s="38" t="s">
        <v>520</v>
      </c>
      <c r="Z246" s="42" t="s">
        <v>520</v>
      </c>
      <c r="AA246" s="67">
        <f t="shared" ref="AA246:AT246" si="302">IF($J134,SUMIF($AV$229:$AV$332,$Y246,AW$229:AW$332)*AA$227*$D134/$J134,0)</f>
        <v>208.18180000000001</v>
      </c>
      <c r="AB246" s="67">
        <f t="shared" si="302"/>
        <v>173.80199999999999</v>
      </c>
      <c r="AC246" s="67">
        <f t="shared" si="302"/>
        <v>226.1352</v>
      </c>
      <c r="AD246" s="67">
        <f t="shared" si="302"/>
        <v>203.3886</v>
      </c>
      <c r="AE246" s="67">
        <f t="shared" si="302"/>
        <v>65.101079999999996</v>
      </c>
      <c r="AF246" s="76">
        <f t="shared" si="302"/>
        <v>0</v>
      </c>
      <c r="AG246" s="67">
        <f t="shared" si="302"/>
        <v>0</v>
      </c>
      <c r="AH246" s="67">
        <f t="shared" si="302"/>
        <v>0</v>
      </c>
      <c r="AI246" s="67">
        <f t="shared" si="302"/>
        <v>0</v>
      </c>
      <c r="AJ246" s="68">
        <f t="shared" si="302"/>
        <v>0</v>
      </c>
      <c r="AK246" s="67">
        <f t="shared" si="302"/>
        <v>6.5753880000000002</v>
      </c>
      <c r="AL246" s="67">
        <f t="shared" si="302"/>
        <v>2.6365069999999995</v>
      </c>
      <c r="AM246" s="67">
        <f t="shared" si="302"/>
        <v>0</v>
      </c>
      <c r="AN246" s="67">
        <f t="shared" si="302"/>
        <v>0</v>
      </c>
      <c r="AO246" s="67">
        <f t="shared" si="302"/>
        <v>7.5005620000000004</v>
      </c>
      <c r="AP246" s="76">
        <f t="shared" si="302"/>
        <v>0</v>
      </c>
      <c r="AQ246" s="67">
        <f t="shared" si="302"/>
        <v>0</v>
      </c>
      <c r="AR246" s="67">
        <f t="shared" si="302"/>
        <v>0</v>
      </c>
      <c r="AS246" s="67">
        <f t="shared" si="302"/>
        <v>0</v>
      </c>
      <c r="AT246" s="68">
        <f t="shared" si="302"/>
        <v>0</v>
      </c>
      <c r="AU246" s="2"/>
      <c r="AV246" s="104" t="s">
        <v>520</v>
      </c>
      <c r="AW246" s="94">
        <v>208.18180000000001</v>
      </c>
      <c r="AX246" s="94">
        <v>173.80199999999999</v>
      </c>
      <c r="AY246" s="94">
        <v>226.1352</v>
      </c>
      <c r="AZ246" s="94">
        <v>203.3886</v>
      </c>
      <c r="BA246" s="94">
        <v>65.101079999999996</v>
      </c>
      <c r="BB246" s="106">
        <v>0</v>
      </c>
      <c r="BC246" s="94">
        <v>0</v>
      </c>
      <c r="BD246" s="94">
        <v>0</v>
      </c>
      <c r="BE246" s="94">
        <v>0</v>
      </c>
      <c r="BF246" s="95">
        <v>0</v>
      </c>
      <c r="BG246" s="94">
        <v>6.5753880000000002</v>
      </c>
      <c r="BH246" s="94">
        <v>2.6365069999999999</v>
      </c>
      <c r="BI246" s="94">
        <v>0</v>
      </c>
      <c r="BJ246" s="94">
        <v>0</v>
      </c>
      <c r="BK246" s="94">
        <v>7.5005620000000004</v>
      </c>
      <c r="BL246" s="106">
        <v>0</v>
      </c>
      <c r="BM246" s="94">
        <v>0</v>
      </c>
      <c r="BN246" s="94">
        <v>0</v>
      </c>
      <c r="BO246" s="94">
        <v>0</v>
      </c>
      <c r="BP246" s="95">
        <v>0</v>
      </c>
      <c r="BQ246" s="2"/>
      <c r="BR246" s="2"/>
      <c r="BS246" s="2"/>
    </row>
    <row r="247" spans="1:71" x14ac:dyDescent="0.35">
      <c r="A247" s="2"/>
      <c r="B247" s="2"/>
      <c r="C247" s="42" t="s">
        <v>461</v>
      </c>
      <c r="D247" s="109">
        <f t="shared" si="284"/>
        <v>0</v>
      </c>
      <c r="E247" s="109">
        <f t="shared" si="264"/>
        <v>0</v>
      </c>
      <c r="F247" s="109">
        <f t="shared" si="265"/>
        <v>0</v>
      </c>
      <c r="G247" s="109">
        <f t="shared" si="266"/>
        <v>0</v>
      </c>
      <c r="H247" s="109">
        <f t="shared" si="267"/>
        <v>0</v>
      </c>
      <c r="I247" s="110">
        <f t="shared" si="268"/>
        <v>0</v>
      </c>
      <c r="J247" s="109">
        <f t="shared" si="269"/>
        <v>0</v>
      </c>
      <c r="K247" s="109">
        <f t="shared" si="270"/>
        <v>0</v>
      </c>
      <c r="L247" s="109">
        <f t="shared" si="271"/>
        <v>0</v>
      </c>
      <c r="M247" s="111">
        <f t="shared" si="272"/>
        <v>0</v>
      </c>
      <c r="N247" s="109">
        <f t="shared" si="273"/>
        <v>0</v>
      </c>
      <c r="O247" s="109">
        <f t="shared" si="274"/>
        <v>0</v>
      </c>
      <c r="P247" s="109">
        <f t="shared" si="275"/>
        <v>0</v>
      </c>
      <c r="Q247" s="109">
        <f t="shared" si="276"/>
        <v>0</v>
      </c>
      <c r="R247" s="109">
        <f t="shared" si="277"/>
        <v>0</v>
      </c>
      <c r="S247" s="110">
        <f t="shared" si="278"/>
        <v>0</v>
      </c>
      <c r="T247" s="109">
        <f t="shared" si="279"/>
        <v>0</v>
      </c>
      <c r="U247" s="109">
        <f t="shared" si="280"/>
        <v>0</v>
      </c>
      <c r="V247" s="109">
        <f t="shared" si="281"/>
        <v>0</v>
      </c>
      <c r="W247" s="111">
        <f t="shared" si="282"/>
        <v>0</v>
      </c>
      <c r="X247" s="115">
        <f t="shared" si="285"/>
        <v>0</v>
      </c>
      <c r="Y247" s="38" t="s">
        <v>461</v>
      </c>
      <c r="Z247" s="42" t="s">
        <v>461</v>
      </c>
      <c r="AA247" s="67">
        <f t="shared" ref="AA247:AT247" si="303">IF($J135,SUMIF($AV$229:$AV$332,$Y247,AW$229:AW$332)*AA$227*$D135/$J135,0)</f>
        <v>0</v>
      </c>
      <c r="AB247" s="67">
        <f t="shared" si="303"/>
        <v>0</v>
      </c>
      <c r="AC247" s="67">
        <f t="shared" si="303"/>
        <v>0</v>
      </c>
      <c r="AD247" s="67">
        <f t="shared" si="303"/>
        <v>0</v>
      </c>
      <c r="AE247" s="67">
        <f t="shared" si="303"/>
        <v>0</v>
      </c>
      <c r="AF247" s="76">
        <f t="shared" si="303"/>
        <v>0</v>
      </c>
      <c r="AG247" s="67">
        <f t="shared" si="303"/>
        <v>0</v>
      </c>
      <c r="AH247" s="67">
        <f t="shared" si="303"/>
        <v>0</v>
      </c>
      <c r="AI247" s="67">
        <f t="shared" si="303"/>
        <v>0</v>
      </c>
      <c r="AJ247" s="68">
        <f t="shared" si="303"/>
        <v>0</v>
      </c>
      <c r="AK247" s="67">
        <f t="shared" si="303"/>
        <v>0</v>
      </c>
      <c r="AL247" s="67">
        <f t="shared" si="303"/>
        <v>0</v>
      </c>
      <c r="AM247" s="67">
        <f t="shared" si="303"/>
        <v>0</v>
      </c>
      <c r="AN247" s="67">
        <f t="shared" si="303"/>
        <v>0</v>
      </c>
      <c r="AO247" s="67">
        <f t="shared" si="303"/>
        <v>0</v>
      </c>
      <c r="AP247" s="76">
        <f t="shared" si="303"/>
        <v>0</v>
      </c>
      <c r="AQ247" s="67">
        <f t="shared" si="303"/>
        <v>0</v>
      </c>
      <c r="AR247" s="67">
        <f t="shared" si="303"/>
        <v>0</v>
      </c>
      <c r="AS247" s="67">
        <f t="shared" si="303"/>
        <v>0</v>
      </c>
      <c r="AT247" s="68">
        <f t="shared" si="303"/>
        <v>0</v>
      </c>
      <c r="AU247" s="2"/>
      <c r="AV247" s="104" t="s">
        <v>461</v>
      </c>
      <c r="AW247" s="94"/>
      <c r="AX247" s="94"/>
      <c r="AY247" s="94"/>
      <c r="AZ247" s="94"/>
      <c r="BA247" s="94"/>
      <c r="BB247" s="106"/>
      <c r="BC247" s="94"/>
      <c r="BD247" s="94"/>
      <c r="BE247" s="94"/>
      <c r="BF247" s="95"/>
      <c r="BG247" s="94"/>
      <c r="BH247" s="94"/>
      <c r="BI247" s="94"/>
      <c r="BJ247" s="94"/>
      <c r="BK247" s="94"/>
      <c r="BL247" s="106"/>
      <c r="BM247" s="94"/>
      <c r="BN247" s="94"/>
      <c r="BO247" s="94"/>
      <c r="BP247" s="95"/>
      <c r="BQ247" s="2"/>
      <c r="BR247" s="2"/>
      <c r="BS247" s="2"/>
    </row>
    <row r="248" spans="1:71" x14ac:dyDescent="0.35">
      <c r="A248" s="2"/>
      <c r="B248" s="2"/>
      <c r="C248" s="42" t="s">
        <v>482</v>
      </c>
      <c r="D248" s="109">
        <f t="shared" si="284"/>
        <v>0</v>
      </c>
      <c r="E248" s="109">
        <f t="shared" si="264"/>
        <v>0</v>
      </c>
      <c r="F248" s="109">
        <f t="shared" si="265"/>
        <v>0</v>
      </c>
      <c r="G248" s="109">
        <f t="shared" si="266"/>
        <v>0</v>
      </c>
      <c r="H248" s="109">
        <f t="shared" si="267"/>
        <v>0</v>
      </c>
      <c r="I248" s="110">
        <f t="shared" si="268"/>
        <v>0</v>
      </c>
      <c r="J248" s="109">
        <f t="shared" si="269"/>
        <v>0</v>
      </c>
      <c r="K248" s="109">
        <f t="shared" si="270"/>
        <v>0</v>
      </c>
      <c r="L248" s="109">
        <f t="shared" si="271"/>
        <v>0</v>
      </c>
      <c r="M248" s="111">
        <f t="shared" si="272"/>
        <v>0</v>
      </c>
      <c r="N248" s="109">
        <f t="shared" si="273"/>
        <v>0</v>
      </c>
      <c r="O248" s="109">
        <f t="shared" si="274"/>
        <v>0</v>
      </c>
      <c r="P248" s="109">
        <f t="shared" si="275"/>
        <v>0</v>
      </c>
      <c r="Q248" s="109">
        <f t="shared" si="276"/>
        <v>0</v>
      </c>
      <c r="R248" s="109">
        <f t="shared" si="277"/>
        <v>0</v>
      </c>
      <c r="S248" s="110">
        <f t="shared" si="278"/>
        <v>0</v>
      </c>
      <c r="T248" s="109">
        <f t="shared" si="279"/>
        <v>0</v>
      </c>
      <c r="U248" s="109">
        <f t="shared" si="280"/>
        <v>0</v>
      </c>
      <c r="V248" s="109">
        <f t="shared" si="281"/>
        <v>0</v>
      </c>
      <c r="W248" s="111">
        <f t="shared" si="282"/>
        <v>0</v>
      </c>
      <c r="X248" s="115">
        <f t="shared" si="285"/>
        <v>0</v>
      </c>
      <c r="Y248" s="38" t="s">
        <v>482</v>
      </c>
      <c r="Z248" s="42" t="s">
        <v>482</v>
      </c>
      <c r="AA248" s="67">
        <f t="shared" ref="AA248:AT248" si="304">IF($J136,SUMIF($AV$229:$AV$332,$Y248,AW$229:AW$332)*AA$227*$D136/$J136,0)</f>
        <v>0</v>
      </c>
      <c r="AB248" s="67">
        <f t="shared" si="304"/>
        <v>0</v>
      </c>
      <c r="AC248" s="67">
        <f t="shared" si="304"/>
        <v>0</v>
      </c>
      <c r="AD248" s="67">
        <f t="shared" si="304"/>
        <v>0</v>
      </c>
      <c r="AE248" s="67">
        <f t="shared" si="304"/>
        <v>0</v>
      </c>
      <c r="AF248" s="76">
        <f t="shared" si="304"/>
        <v>0</v>
      </c>
      <c r="AG248" s="67">
        <f t="shared" si="304"/>
        <v>0</v>
      </c>
      <c r="AH248" s="67">
        <f t="shared" si="304"/>
        <v>0</v>
      </c>
      <c r="AI248" s="67">
        <f t="shared" si="304"/>
        <v>0</v>
      </c>
      <c r="AJ248" s="68">
        <f t="shared" si="304"/>
        <v>0</v>
      </c>
      <c r="AK248" s="67">
        <f t="shared" si="304"/>
        <v>0</v>
      </c>
      <c r="AL248" s="67">
        <f t="shared" si="304"/>
        <v>0</v>
      </c>
      <c r="AM248" s="67">
        <f t="shared" si="304"/>
        <v>0</v>
      </c>
      <c r="AN248" s="67">
        <f t="shared" si="304"/>
        <v>0</v>
      </c>
      <c r="AO248" s="67">
        <f t="shared" si="304"/>
        <v>0</v>
      </c>
      <c r="AP248" s="76">
        <f t="shared" si="304"/>
        <v>0</v>
      </c>
      <c r="AQ248" s="67">
        <f t="shared" si="304"/>
        <v>0</v>
      </c>
      <c r="AR248" s="67">
        <f t="shared" si="304"/>
        <v>0</v>
      </c>
      <c r="AS248" s="67">
        <f t="shared" si="304"/>
        <v>0</v>
      </c>
      <c r="AT248" s="68">
        <f t="shared" si="304"/>
        <v>0</v>
      </c>
      <c r="AU248" s="2"/>
      <c r="AV248" s="104" t="s">
        <v>482</v>
      </c>
      <c r="AW248" s="94"/>
      <c r="AX248" s="94"/>
      <c r="AY248" s="94"/>
      <c r="AZ248" s="94"/>
      <c r="BA248" s="94"/>
      <c r="BB248" s="106"/>
      <c r="BC248" s="94"/>
      <c r="BD248" s="94"/>
      <c r="BE248" s="94"/>
      <c r="BF248" s="95"/>
      <c r="BG248" s="94"/>
      <c r="BH248" s="94"/>
      <c r="BI248" s="94"/>
      <c r="BJ248" s="94"/>
      <c r="BK248" s="94"/>
      <c r="BL248" s="106"/>
      <c r="BM248" s="94"/>
      <c r="BN248" s="94"/>
      <c r="BO248" s="94"/>
      <c r="BP248" s="95"/>
      <c r="BQ248" s="2"/>
      <c r="BR248" s="2"/>
      <c r="BS248" s="2"/>
    </row>
    <row r="249" spans="1:71" x14ac:dyDescent="0.35">
      <c r="A249" s="2"/>
      <c r="B249" s="2"/>
      <c r="C249" s="42" t="s">
        <v>481</v>
      </c>
      <c r="D249" s="109">
        <f t="shared" si="284"/>
        <v>0</v>
      </c>
      <c r="E249" s="109">
        <f t="shared" si="264"/>
        <v>0</v>
      </c>
      <c r="F249" s="109">
        <f t="shared" si="265"/>
        <v>0</v>
      </c>
      <c r="G249" s="109">
        <f t="shared" si="266"/>
        <v>0</v>
      </c>
      <c r="H249" s="109">
        <f t="shared" si="267"/>
        <v>0</v>
      </c>
      <c r="I249" s="110">
        <f t="shared" si="268"/>
        <v>0</v>
      </c>
      <c r="J249" s="109">
        <f t="shared" si="269"/>
        <v>0</v>
      </c>
      <c r="K249" s="109">
        <f t="shared" si="270"/>
        <v>0</v>
      </c>
      <c r="L249" s="109">
        <f t="shared" si="271"/>
        <v>0</v>
      </c>
      <c r="M249" s="111">
        <f t="shared" si="272"/>
        <v>0</v>
      </c>
      <c r="N249" s="109">
        <f t="shared" si="273"/>
        <v>0</v>
      </c>
      <c r="O249" s="109">
        <f t="shared" si="274"/>
        <v>0</v>
      </c>
      <c r="P249" s="109">
        <f t="shared" si="275"/>
        <v>0</v>
      </c>
      <c r="Q249" s="109">
        <f t="shared" si="276"/>
        <v>0</v>
      </c>
      <c r="R249" s="109">
        <f t="shared" si="277"/>
        <v>0</v>
      </c>
      <c r="S249" s="110">
        <f t="shared" si="278"/>
        <v>0</v>
      </c>
      <c r="T249" s="109">
        <f t="shared" si="279"/>
        <v>0</v>
      </c>
      <c r="U249" s="109">
        <f t="shared" si="280"/>
        <v>0</v>
      </c>
      <c r="V249" s="109">
        <f t="shared" si="281"/>
        <v>0</v>
      </c>
      <c r="W249" s="111">
        <f t="shared" si="282"/>
        <v>0</v>
      </c>
      <c r="X249" s="115">
        <f t="shared" si="285"/>
        <v>0</v>
      </c>
      <c r="Y249" s="38" t="s">
        <v>481</v>
      </c>
      <c r="Z249" s="42" t="s">
        <v>481</v>
      </c>
      <c r="AA249" s="67">
        <f t="shared" ref="AA249:AT249" si="305">IF($J137,SUMIF($AV$229:$AV$332,$Y249,AW$229:AW$332)*AA$227*$D137/$J137,0)</f>
        <v>0</v>
      </c>
      <c r="AB249" s="67">
        <f t="shared" si="305"/>
        <v>0</v>
      </c>
      <c r="AC249" s="67">
        <f t="shared" si="305"/>
        <v>0</v>
      </c>
      <c r="AD249" s="67">
        <f t="shared" si="305"/>
        <v>0</v>
      </c>
      <c r="AE249" s="67">
        <f t="shared" si="305"/>
        <v>0</v>
      </c>
      <c r="AF249" s="76">
        <f t="shared" si="305"/>
        <v>0</v>
      </c>
      <c r="AG249" s="67">
        <f t="shared" si="305"/>
        <v>0</v>
      </c>
      <c r="AH249" s="67">
        <f t="shared" si="305"/>
        <v>0</v>
      </c>
      <c r="AI249" s="67">
        <f t="shared" si="305"/>
        <v>0</v>
      </c>
      <c r="AJ249" s="68">
        <f t="shared" si="305"/>
        <v>0</v>
      </c>
      <c r="AK249" s="67">
        <f t="shared" si="305"/>
        <v>0</v>
      </c>
      <c r="AL249" s="67">
        <f t="shared" si="305"/>
        <v>0</v>
      </c>
      <c r="AM249" s="67">
        <f t="shared" si="305"/>
        <v>0</v>
      </c>
      <c r="AN249" s="67">
        <f t="shared" si="305"/>
        <v>0</v>
      </c>
      <c r="AO249" s="67">
        <f t="shared" si="305"/>
        <v>0</v>
      </c>
      <c r="AP249" s="76">
        <f t="shared" si="305"/>
        <v>0</v>
      </c>
      <c r="AQ249" s="67">
        <f t="shared" si="305"/>
        <v>0</v>
      </c>
      <c r="AR249" s="67">
        <f t="shared" si="305"/>
        <v>0</v>
      </c>
      <c r="AS249" s="67">
        <f t="shared" si="305"/>
        <v>0</v>
      </c>
      <c r="AT249" s="68">
        <f t="shared" si="305"/>
        <v>0</v>
      </c>
      <c r="AU249" s="2"/>
      <c r="AV249" s="104" t="s">
        <v>481</v>
      </c>
      <c r="AW249" s="94"/>
      <c r="AX249" s="94"/>
      <c r="AY249" s="94"/>
      <c r="AZ249" s="94"/>
      <c r="BA249" s="94"/>
      <c r="BB249" s="106"/>
      <c r="BC249" s="94"/>
      <c r="BD249" s="94"/>
      <c r="BE249" s="94"/>
      <c r="BF249" s="95"/>
      <c r="BG249" s="94"/>
      <c r="BH249" s="94"/>
      <c r="BI249" s="94"/>
      <c r="BJ249" s="94"/>
      <c r="BK249" s="94"/>
      <c r="BL249" s="106"/>
      <c r="BM249" s="94"/>
      <c r="BN249" s="94"/>
      <c r="BO249" s="94"/>
      <c r="BP249" s="95"/>
      <c r="BQ249" s="2"/>
      <c r="BR249" s="2"/>
      <c r="BS249" s="2"/>
    </row>
    <row r="250" spans="1:71" x14ac:dyDescent="0.35">
      <c r="A250" s="2"/>
      <c r="B250" s="2"/>
      <c r="C250" s="42" t="s">
        <v>476</v>
      </c>
      <c r="D250" s="109">
        <f t="shared" si="284"/>
        <v>0</v>
      </c>
      <c r="E250" s="109">
        <f t="shared" si="264"/>
        <v>0</v>
      </c>
      <c r="F250" s="109">
        <f t="shared" si="265"/>
        <v>0</v>
      </c>
      <c r="G250" s="109">
        <f t="shared" si="266"/>
        <v>0</v>
      </c>
      <c r="H250" s="109">
        <f t="shared" si="267"/>
        <v>0</v>
      </c>
      <c r="I250" s="110">
        <f t="shared" si="268"/>
        <v>0</v>
      </c>
      <c r="J250" s="109">
        <f t="shared" si="269"/>
        <v>0</v>
      </c>
      <c r="K250" s="109">
        <f t="shared" si="270"/>
        <v>0</v>
      </c>
      <c r="L250" s="109">
        <f t="shared" si="271"/>
        <v>0</v>
      </c>
      <c r="M250" s="111">
        <f t="shared" si="272"/>
        <v>0</v>
      </c>
      <c r="N250" s="109">
        <f t="shared" si="273"/>
        <v>0</v>
      </c>
      <c r="O250" s="109">
        <f t="shared" si="274"/>
        <v>0</v>
      </c>
      <c r="P250" s="109">
        <f t="shared" si="275"/>
        <v>0</v>
      </c>
      <c r="Q250" s="109">
        <f t="shared" si="276"/>
        <v>0</v>
      </c>
      <c r="R250" s="109">
        <f t="shared" si="277"/>
        <v>0</v>
      </c>
      <c r="S250" s="110">
        <f t="shared" si="278"/>
        <v>0</v>
      </c>
      <c r="T250" s="109">
        <f t="shared" si="279"/>
        <v>0</v>
      </c>
      <c r="U250" s="109">
        <f t="shared" si="280"/>
        <v>0</v>
      </c>
      <c r="V250" s="109">
        <f t="shared" si="281"/>
        <v>0</v>
      </c>
      <c r="W250" s="111">
        <f t="shared" si="282"/>
        <v>0</v>
      </c>
      <c r="X250" s="115">
        <f t="shared" si="285"/>
        <v>0</v>
      </c>
      <c r="Y250" s="38" t="s">
        <v>476</v>
      </c>
      <c r="Z250" s="42" t="s">
        <v>476</v>
      </c>
      <c r="AA250" s="67">
        <f t="shared" ref="AA250:AT250" si="306">IF($J138,SUMIF($AV$229:$AV$332,$Y250,AW$229:AW$332)*AA$227*$D138/$J138,0)</f>
        <v>0</v>
      </c>
      <c r="AB250" s="67">
        <f t="shared" si="306"/>
        <v>0</v>
      </c>
      <c r="AC250" s="67">
        <f t="shared" si="306"/>
        <v>0</v>
      </c>
      <c r="AD250" s="67">
        <f t="shared" si="306"/>
        <v>0</v>
      </c>
      <c r="AE250" s="67">
        <f t="shared" si="306"/>
        <v>0</v>
      </c>
      <c r="AF250" s="76">
        <f t="shared" si="306"/>
        <v>0</v>
      </c>
      <c r="AG250" s="67">
        <f t="shared" si="306"/>
        <v>0</v>
      </c>
      <c r="AH250" s="67">
        <f t="shared" si="306"/>
        <v>0</v>
      </c>
      <c r="AI250" s="67">
        <f t="shared" si="306"/>
        <v>0</v>
      </c>
      <c r="AJ250" s="68">
        <f t="shared" si="306"/>
        <v>0</v>
      </c>
      <c r="AK250" s="67">
        <f t="shared" si="306"/>
        <v>0</v>
      </c>
      <c r="AL250" s="67">
        <f t="shared" si="306"/>
        <v>0</v>
      </c>
      <c r="AM250" s="67">
        <f t="shared" si="306"/>
        <v>0</v>
      </c>
      <c r="AN250" s="67">
        <f t="shared" si="306"/>
        <v>0</v>
      </c>
      <c r="AO250" s="67">
        <f t="shared" si="306"/>
        <v>0</v>
      </c>
      <c r="AP250" s="76">
        <f t="shared" si="306"/>
        <v>0</v>
      </c>
      <c r="AQ250" s="67">
        <f t="shared" si="306"/>
        <v>0</v>
      </c>
      <c r="AR250" s="67">
        <f t="shared" si="306"/>
        <v>0</v>
      </c>
      <c r="AS250" s="67">
        <f t="shared" si="306"/>
        <v>0</v>
      </c>
      <c r="AT250" s="68">
        <f t="shared" si="306"/>
        <v>0</v>
      </c>
      <c r="AU250" s="2"/>
      <c r="AV250" s="104" t="s">
        <v>476</v>
      </c>
      <c r="AW250" s="94">
        <v>0</v>
      </c>
      <c r="AX250" s="94">
        <v>0</v>
      </c>
      <c r="AY250" s="94">
        <v>0</v>
      </c>
      <c r="AZ250" s="94">
        <v>0</v>
      </c>
      <c r="BA250" s="94">
        <v>0</v>
      </c>
      <c r="BB250" s="106">
        <v>0</v>
      </c>
      <c r="BC250" s="94">
        <v>0</v>
      </c>
      <c r="BD250" s="94">
        <v>0</v>
      </c>
      <c r="BE250" s="94">
        <v>0</v>
      </c>
      <c r="BF250" s="95">
        <v>0</v>
      </c>
      <c r="BG250" s="94">
        <v>0</v>
      </c>
      <c r="BH250" s="94">
        <v>0</v>
      </c>
      <c r="BI250" s="94">
        <v>0</v>
      </c>
      <c r="BJ250" s="94">
        <v>0</v>
      </c>
      <c r="BK250" s="94">
        <v>0</v>
      </c>
      <c r="BL250" s="106">
        <v>0</v>
      </c>
      <c r="BM250" s="94">
        <v>0</v>
      </c>
      <c r="BN250" s="94">
        <v>0</v>
      </c>
      <c r="BO250" s="94">
        <v>0</v>
      </c>
      <c r="BP250" s="95">
        <v>0</v>
      </c>
      <c r="BQ250" s="2"/>
      <c r="BR250" s="2"/>
      <c r="BS250" s="2"/>
    </row>
    <row r="251" spans="1:71" x14ac:dyDescent="0.35">
      <c r="A251" s="2"/>
      <c r="B251" s="2"/>
      <c r="C251" s="42" t="s">
        <v>474</v>
      </c>
      <c r="D251" s="109">
        <f t="shared" si="284"/>
        <v>0</v>
      </c>
      <c r="E251" s="109">
        <f t="shared" si="264"/>
        <v>6.0097345187594686E-2</v>
      </c>
      <c r="F251" s="109">
        <f t="shared" si="265"/>
        <v>0.11338672231675541</v>
      </c>
      <c r="G251" s="109">
        <f t="shared" si="266"/>
        <v>0.59000115342789716</v>
      </c>
      <c r="H251" s="109">
        <f t="shared" si="267"/>
        <v>0.23651477906775278</v>
      </c>
      <c r="I251" s="110">
        <f t="shared" si="268"/>
        <v>0</v>
      </c>
      <c r="J251" s="109">
        <f t="shared" si="269"/>
        <v>0</v>
      </c>
      <c r="K251" s="109">
        <f t="shared" si="270"/>
        <v>0</v>
      </c>
      <c r="L251" s="109">
        <f t="shared" si="271"/>
        <v>0</v>
      </c>
      <c r="M251" s="111">
        <f t="shared" si="272"/>
        <v>0</v>
      </c>
      <c r="N251" s="109">
        <f t="shared" si="273"/>
        <v>0</v>
      </c>
      <c r="O251" s="109">
        <f t="shared" si="274"/>
        <v>0</v>
      </c>
      <c r="P251" s="109">
        <f t="shared" si="275"/>
        <v>0</v>
      </c>
      <c r="Q251" s="109">
        <f t="shared" si="276"/>
        <v>0</v>
      </c>
      <c r="R251" s="109">
        <f t="shared" si="277"/>
        <v>0</v>
      </c>
      <c r="S251" s="110">
        <f t="shared" si="278"/>
        <v>0</v>
      </c>
      <c r="T251" s="109">
        <f t="shared" si="279"/>
        <v>0</v>
      </c>
      <c r="U251" s="109">
        <f t="shared" si="280"/>
        <v>0</v>
      </c>
      <c r="V251" s="109">
        <f t="shared" si="281"/>
        <v>0</v>
      </c>
      <c r="W251" s="111">
        <f t="shared" si="282"/>
        <v>0</v>
      </c>
      <c r="X251" s="115">
        <f t="shared" si="285"/>
        <v>1</v>
      </c>
      <c r="Y251" s="38" t="s">
        <v>474</v>
      </c>
      <c r="Z251" s="42" t="s">
        <v>474</v>
      </c>
      <c r="AA251" s="67">
        <f t="shared" ref="AA251:AT251" si="307">IF($J139,SUMIF($AV$229:$AV$332,$Y251,AW$229:AW$332)*AA$227*$D139/$J139,0)</f>
        <v>0</v>
      </c>
      <c r="AB251" s="67">
        <f t="shared" si="307"/>
        <v>7.6888769999999997</v>
      </c>
      <c r="AC251" s="67">
        <f t="shared" si="307"/>
        <v>14.506740000000001</v>
      </c>
      <c r="AD251" s="67">
        <f t="shared" si="307"/>
        <v>75.484970000000004</v>
      </c>
      <c r="AE251" s="67">
        <f t="shared" si="307"/>
        <v>30.259789999999999</v>
      </c>
      <c r="AF251" s="76">
        <f t="shared" si="307"/>
        <v>0</v>
      </c>
      <c r="AG251" s="67">
        <f t="shared" si="307"/>
        <v>0</v>
      </c>
      <c r="AH251" s="67">
        <f t="shared" si="307"/>
        <v>0</v>
      </c>
      <c r="AI251" s="67">
        <f t="shared" si="307"/>
        <v>0</v>
      </c>
      <c r="AJ251" s="68">
        <f t="shared" si="307"/>
        <v>0</v>
      </c>
      <c r="AK251" s="67">
        <f t="shared" si="307"/>
        <v>0</v>
      </c>
      <c r="AL251" s="67">
        <f t="shared" si="307"/>
        <v>0</v>
      </c>
      <c r="AM251" s="67">
        <f t="shared" si="307"/>
        <v>0</v>
      </c>
      <c r="AN251" s="67">
        <f t="shared" si="307"/>
        <v>0</v>
      </c>
      <c r="AO251" s="67">
        <f t="shared" si="307"/>
        <v>0</v>
      </c>
      <c r="AP251" s="76">
        <f t="shared" si="307"/>
        <v>0</v>
      </c>
      <c r="AQ251" s="67">
        <f t="shared" si="307"/>
        <v>0</v>
      </c>
      <c r="AR251" s="67">
        <f t="shared" si="307"/>
        <v>0</v>
      </c>
      <c r="AS251" s="67">
        <f t="shared" si="307"/>
        <v>0</v>
      </c>
      <c r="AT251" s="68">
        <f t="shared" si="307"/>
        <v>0</v>
      </c>
      <c r="AU251" s="2"/>
      <c r="AV251" s="104" t="s">
        <v>474</v>
      </c>
      <c r="AW251" s="94">
        <v>0</v>
      </c>
      <c r="AX251" s="94">
        <v>7.6888769999999997</v>
      </c>
      <c r="AY251" s="94">
        <v>14.506740000000001</v>
      </c>
      <c r="AZ251" s="94">
        <v>75.484970000000004</v>
      </c>
      <c r="BA251" s="94">
        <v>30.259789999999999</v>
      </c>
      <c r="BB251" s="106">
        <v>0</v>
      </c>
      <c r="BC251" s="94">
        <v>0</v>
      </c>
      <c r="BD251" s="94">
        <v>0</v>
      </c>
      <c r="BE251" s="94">
        <v>0</v>
      </c>
      <c r="BF251" s="95">
        <v>0</v>
      </c>
      <c r="BG251" s="94">
        <v>0</v>
      </c>
      <c r="BH251" s="94">
        <v>0</v>
      </c>
      <c r="BI251" s="94">
        <v>0</v>
      </c>
      <c r="BJ251" s="94">
        <v>0</v>
      </c>
      <c r="BK251" s="94">
        <v>0</v>
      </c>
      <c r="BL251" s="106">
        <v>0</v>
      </c>
      <c r="BM251" s="94">
        <v>0</v>
      </c>
      <c r="BN251" s="94">
        <v>0</v>
      </c>
      <c r="BO251" s="94">
        <v>0</v>
      </c>
      <c r="BP251" s="95">
        <v>0</v>
      </c>
      <c r="BQ251" s="2"/>
      <c r="BR251" s="2"/>
      <c r="BS251" s="2"/>
    </row>
    <row r="252" spans="1:71" x14ac:dyDescent="0.35">
      <c r="A252" s="2"/>
      <c r="B252" s="2"/>
      <c r="C252" s="42" t="s">
        <v>521</v>
      </c>
      <c r="D252" s="109">
        <f t="shared" si="284"/>
        <v>0</v>
      </c>
      <c r="E252" s="109">
        <f t="shared" si="264"/>
        <v>0</v>
      </c>
      <c r="F252" s="109">
        <f t="shared" si="265"/>
        <v>0</v>
      </c>
      <c r="G252" s="109">
        <f t="shared" si="266"/>
        <v>0</v>
      </c>
      <c r="H252" s="109">
        <f t="shared" si="267"/>
        <v>0</v>
      </c>
      <c r="I252" s="110">
        <f t="shared" si="268"/>
        <v>0</v>
      </c>
      <c r="J252" s="109">
        <f t="shared" si="269"/>
        <v>0</v>
      </c>
      <c r="K252" s="109">
        <f t="shared" si="270"/>
        <v>0</v>
      </c>
      <c r="L252" s="109">
        <f t="shared" si="271"/>
        <v>0</v>
      </c>
      <c r="M252" s="111">
        <f t="shared" si="272"/>
        <v>0</v>
      </c>
      <c r="N252" s="109">
        <f t="shared" si="273"/>
        <v>0</v>
      </c>
      <c r="O252" s="109">
        <f t="shared" si="274"/>
        <v>0</v>
      </c>
      <c r="P252" s="109">
        <f t="shared" si="275"/>
        <v>0</v>
      </c>
      <c r="Q252" s="109">
        <f t="shared" si="276"/>
        <v>0</v>
      </c>
      <c r="R252" s="109">
        <f t="shared" si="277"/>
        <v>0</v>
      </c>
      <c r="S252" s="110">
        <f t="shared" si="278"/>
        <v>0</v>
      </c>
      <c r="T252" s="109">
        <f t="shared" si="279"/>
        <v>0</v>
      </c>
      <c r="U252" s="109">
        <f t="shared" si="280"/>
        <v>0</v>
      </c>
      <c r="V252" s="109">
        <f t="shared" si="281"/>
        <v>0</v>
      </c>
      <c r="W252" s="111">
        <f t="shared" si="282"/>
        <v>0</v>
      </c>
      <c r="X252" s="115">
        <f t="shared" si="285"/>
        <v>0</v>
      </c>
      <c r="Y252" s="38" t="s">
        <v>521</v>
      </c>
      <c r="Z252" s="42" t="s">
        <v>521</v>
      </c>
      <c r="AA252" s="67">
        <f t="shared" ref="AA252:AT252" si="308">IF($J140,SUMIF($AV$229:$AV$332,$Y252,AW$229:AW$332)*AA$227*$D140/$J140,0)</f>
        <v>0</v>
      </c>
      <c r="AB252" s="67">
        <f t="shared" si="308"/>
        <v>0</v>
      </c>
      <c r="AC252" s="67">
        <f t="shared" si="308"/>
        <v>0</v>
      </c>
      <c r="AD252" s="67">
        <f t="shared" si="308"/>
        <v>0</v>
      </c>
      <c r="AE252" s="67">
        <f t="shared" si="308"/>
        <v>0</v>
      </c>
      <c r="AF252" s="76">
        <f t="shared" si="308"/>
        <v>0</v>
      </c>
      <c r="AG252" s="67">
        <f t="shared" si="308"/>
        <v>0</v>
      </c>
      <c r="AH252" s="67">
        <f t="shared" si="308"/>
        <v>0</v>
      </c>
      <c r="AI252" s="67">
        <f t="shared" si="308"/>
        <v>0</v>
      </c>
      <c r="AJ252" s="68">
        <f t="shared" si="308"/>
        <v>0</v>
      </c>
      <c r="AK252" s="67">
        <f t="shared" si="308"/>
        <v>0</v>
      </c>
      <c r="AL252" s="67">
        <f t="shared" si="308"/>
        <v>0</v>
      </c>
      <c r="AM252" s="67">
        <f t="shared" si="308"/>
        <v>0</v>
      </c>
      <c r="AN252" s="67">
        <f t="shared" si="308"/>
        <v>0</v>
      </c>
      <c r="AO252" s="67">
        <f t="shared" si="308"/>
        <v>0</v>
      </c>
      <c r="AP252" s="76">
        <f t="shared" si="308"/>
        <v>0</v>
      </c>
      <c r="AQ252" s="67">
        <f t="shared" si="308"/>
        <v>0</v>
      </c>
      <c r="AR252" s="67">
        <f t="shared" si="308"/>
        <v>0</v>
      </c>
      <c r="AS252" s="67">
        <f t="shared" si="308"/>
        <v>0</v>
      </c>
      <c r="AT252" s="68">
        <f t="shared" si="308"/>
        <v>0</v>
      </c>
      <c r="AU252" s="2"/>
      <c r="AV252" s="104" t="s">
        <v>521</v>
      </c>
      <c r="AW252" s="94"/>
      <c r="AX252" s="94"/>
      <c r="AY252" s="94"/>
      <c r="AZ252" s="94"/>
      <c r="BA252" s="94"/>
      <c r="BB252" s="106"/>
      <c r="BC252" s="94"/>
      <c r="BD252" s="94"/>
      <c r="BE252" s="94"/>
      <c r="BF252" s="95"/>
      <c r="BG252" s="94"/>
      <c r="BH252" s="94"/>
      <c r="BI252" s="94"/>
      <c r="BJ252" s="94"/>
      <c r="BK252" s="94"/>
      <c r="BL252" s="106"/>
      <c r="BM252" s="94"/>
      <c r="BN252" s="94"/>
      <c r="BO252" s="94"/>
      <c r="BP252" s="95"/>
      <c r="BQ252" s="2"/>
      <c r="BR252" s="2"/>
      <c r="BS252" s="2"/>
    </row>
    <row r="253" spans="1:71" x14ac:dyDescent="0.35">
      <c r="A253" s="2"/>
      <c r="B253" s="2"/>
      <c r="C253" s="42" t="s">
        <v>483</v>
      </c>
      <c r="D253" s="109">
        <f t="shared" si="284"/>
        <v>1.3575808488270046E-2</v>
      </c>
      <c r="E253" s="109">
        <f t="shared" si="264"/>
        <v>3.2188619437820566E-2</v>
      </c>
      <c r="F253" s="109">
        <f t="shared" si="265"/>
        <v>2.9237911971487327E-4</v>
      </c>
      <c r="G253" s="109">
        <f t="shared" si="266"/>
        <v>0.48388608356627799</v>
      </c>
      <c r="H253" s="109">
        <f t="shared" si="267"/>
        <v>0.37666828739676861</v>
      </c>
      <c r="I253" s="110">
        <f t="shared" si="268"/>
        <v>0</v>
      </c>
      <c r="J253" s="109">
        <f t="shared" si="269"/>
        <v>0</v>
      </c>
      <c r="K253" s="109">
        <f t="shared" si="270"/>
        <v>0</v>
      </c>
      <c r="L253" s="109">
        <f t="shared" si="271"/>
        <v>0</v>
      </c>
      <c r="M253" s="111">
        <f t="shared" si="272"/>
        <v>0</v>
      </c>
      <c r="N253" s="109">
        <f t="shared" si="273"/>
        <v>0</v>
      </c>
      <c r="O253" s="109">
        <f t="shared" si="274"/>
        <v>0</v>
      </c>
      <c r="P253" s="109">
        <f t="shared" si="275"/>
        <v>0</v>
      </c>
      <c r="Q253" s="109">
        <f t="shared" si="276"/>
        <v>0</v>
      </c>
      <c r="R253" s="109">
        <f t="shared" si="277"/>
        <v>9.338882199114798E-2</v>
      </c>
      <c r="S253" s="110">
        <f t="shared" si="278"/>
        <v>0</v>
      </c>
      <c r="T253" s="109">
        <f t="shared" si="279"/>
        <v>0</v>
      </c>
      <c r="U253" s="109">
        <f t="shared" si="280"/>
        <v>0</v>
      </c>
      <c r="V253" s="109">
        <f t="shared" si="281"/>
        <v>0</v>
      </c>
      <c r="W253" s="111">
        <f t="shared" si="282"/>
        <v>0</v>
      </c>
      <c r="X253" s="115">
        <f t="shared" si="285"/>
        <v>1</v>
      </c>
      <c r="Y253" s="38" t="s">
        <v>483</v>
      </c>
      <c r="Z253" s="42" t="s">
        <v>483</v>
      </c>
      <c r="AA253" s="67">
        <f t="shared" ref="AA253:AT253" si="309">IF($J141,SUMIF($AV$229:$AV$332,$Y253,AW$229:AW$332)*AA$227*$D141/$J141,0)</f>
        <v>0.44435160000000001</v>
      </c>
      <c r="AB253" s="67">
        <f t="shared" si="309"/>
        <v>1.0535699999999999</v>
      </c>
      <c r="AC253" s="67">
        <f t="shared" si="309"/>
        <v>9.5698999999999992E-3</v>
      </c>
      <c r="AD253" s="67">
        <f t="shared" si="309"/>
        <v>15.838140000000001</v>
      </c>
      <c r="AE253" s="67">
        <f t="shared" si="309"/>
        <v>12.32878</v>
      </c>
      <c r="AF253" s="76">
        <f t="shared" si="309"/>
        <v>0</v>
      </c>
      <c r="AG253" s="67">
        <f t="shared" si="309"/>
        <v>0</v>
      </c>
      <c r="AH253" s="67">
        <f t="shared" si="309"/>
        <v>0</v>
      </c>
      <c r="AI253" s="67">
        <f t="shared" si="309"/>
        <v>0</v>
      </c>
      <c r="AJ253" s="68">
        <f t="shared" si="309"/>
        <v>0</v>
      </c>
      <c r="AK253" s="67">
        <f t="shared" si="309"/>
        <v>0</v>
      </c>
      <c r="AL253" s="67">
        <f t="shared" si="309"/>
        <v>0</v>
      </c>
      <c r="AM253" s="67">
        <f t="shared" si="309"/>
        <v>0</v>
      </c>
      <c r="AN253" s="67">
        <f t="shared" si="309"/>
        <v>0</v>
      </c>
      <c r="AO253" s="67">
        <f t="shared" si="309"/>
        <v>3.0567220000000002</v>
      </c>
      <c r="AP253" s="76">
        <f t="shared" si="309"/>
        <v>0</v>
      </c>
      <c r="AQ253" s="67">
        <f t="shared" si="309"/>
        <v>0</v>
      </c>
      <c r="AR253" s="67">
        <f t="shared" si="309"/>
        <v>0</v>
      </c>
      <c r="AS253" s="67">
        <f t="shared" si="309"/>
        <v>0</v>
      </c>
      <c r="AT253" s="68">
        <f t="shared" si="309"/>
        <v>0</v>
      </c>
      <c r="AU253" s="2"/>
      <c r="AV253" s="104" t="s">
        <v>483</v>
      </c>
      <c r="AW253" s="94">
        <v>0.44435160000000001</v>
      </c>
      <c r="AX253" s="94">
        <v>1.0535699999999999</v>
      </c>
      <c r="AY253" s="94">
        <v>9.5698999999999992E-3</v>
      </c>
      <c r="AZ253" s="94">
        <v>15.838139999999999</v>
      </c>
      <c r="BA253" s="94">
        <v>12.32878</v>
      </c>
      <c r="BB253" s="106">
        <v>0</v>
      </c>
      <c r="BC253" s="94">
        <v>0</v>
      </c>
      <c r="BD253" s="94">
        <v>0</v>
      </c>
      <c r="BE253" s="94">
        <v>0</v>
      </c>
      <c r="BF253" s="95">
        <v>0</v>
      </c>
      <c r="BG253" s="94">
        <v>0</v>
      </c>
      <c r="BH253" s="94">
        <v>0</v>
      </c>
      <c r="BI253" s="94">
        <v>0</v>
      </c>
      <c r="BJ253" s="94">
        <v>0</v>
      </c>
      <c r="BK253" s="94">
        <v>3.0567220000000002</v>
      </c>
      <c r="BL253" s="106">
        <v>0</v>
      </c>
      <c r="BM253" s="94">
        <v>0</v>
      </c>
      <c r="BN253" s="94">
        <v>0</v>
      </c>
      <c r="BO253" s="94">
        <v>0</v>
      </c>
      <c r="BP253" s="95">
        <v>0</v>
      </c>
      <c r="BQ253" s="2"/>
      <c r="BR253" s="2"/>
      <c r="BS253" s="2"/>
    </row>
    <row r="254" spans="1:71" x14ac:dyDescent="0.35">
      <c r="A254" s="2"/>
      <c r="B254" s="2"/>
      <c r="C254" s="42" t="s">
        <v>441</v>
      </c>
      <c r="D254" s="109">
        <f t="shared" si="284"/>
        <v>0</v>
      </c>
      <c r="E254" s="109">
        <f t="shared" si="264"/>
        <v>0</v>
      </c>
      <c r="F254" s="109">
        <f t="shared" si="265"/>
        <v>0</v>
      </c>
      <c r="G254" s="109">
        <f t="shared" si="266"/>
        <v>0</v>
      </c>
      <c r="H254" s="109">
        <f t="shared" si="267"/>
        <v>0</v>
      </c>
      <c r="I254" s="110">
        <f t="shared" si="268"/>
        <v>0</v>
      </c>
      <c r="J254" s="109">
        <f t="shared" si="269"/>
        <v>0</v>
      </c>
      <c r="K254" s="109">
        <f t="shared" si="270"/>
        <v>0</v>
      </c>
      <c r="L254" s="109">
        <f t="shared" si="271"/>
        <v>0</v>
      </c>
      <c r="M254" s="111">
        <f t="shared" si="272"/>
        <v>0</v>
      </c>
      <c r="N254" s="109">
        <f t="shared" si="273"/>
        <v>0</v>
      </c>
      <c r="O254" s="109">
        <f t="shared" si="274"/>
        <v>0</v>
      </c>
      <c r="P254" s="109">
        <f t="shared" si="275"/>
        <v>0</v>
      </c>
      <c r="Q254" s="109">
        <f t="shared" si="276"/>
        <v>0</v>
      </c>
      <c r="R254" s="109">
        <f t="shared" si="277"/>
        <v>0</v>
      </c>
      <c r="S254" s="110">
        <f t="shared" si="278"/>
        <v>0</v>
      </c>
      <c r="T254" s="109">
        <f t="shared" si="279"/>
        <v>0</v>
      </c>
      <c r="U254" s="109">
        <f t="shared" si="280"/>
        <v>0</v>
      </c>
      <c r="V254" s="109">
        <f t="shared" si="281"/>
        <v>0</v>
      </c>
      <c r="W254" s="111">
        <f t="shared" si="282"/>
        <v>0</v>
      </c>
      <c r="X254" s="115">
        <f t="shared" si="285"/>
        <v>0</v>
      </c>
      <c r="Y254" s="38" t="s">
        <v>441</v>
      </c>
      <c r="Z254" s="42" t="s">
        <v>441</v>
      </c>
      <c r="AA254" s="67">
        <f t="shared" ref="AA254:AT254" si="310">IF($J142,SUMIF($AV$229:$AV$332,$Y254,AW$229:AW$332)*AA$227*$D142/$J142,0)</f>
        <v>0</v>
      </c>
      <c r="AB254" s="67">
        <f t="shared" si="310"/>
        <v>0</v>
      </c>
      <c r="AC254" s="67">
        <f t="shared" si="310"/>
        <v>0</v>
      </c>
      <c r="AD254" s="67">
        <f t="shared" si="310"/>
        <v>0</v>
      </c>
      <c r="AE254" s="67">
        <f t="shared" si="310"/>
        <v>0</v>
      </c>
      <c r="AF254" s="76">
        <f t="shared" si="310"/>
        <v>0</v>
      </c>
      <c r="AG254" s="67">
        <f t="shared" si="310"/>
        <v>0</v>
      </c>
      <c r="AH254" s="67">
        <f t="shared" si="310"/>
        <v>0</v>
      </c>
      <c r="AI254" s="67">
        <f t="shared" si="310"/>
        <v>0</v>
      </c>
      <c r="AJ254" s="68">
        <f t="shared" si="310"/>
        <v>0</v>
      </c>
      <c r="AK254" s="67">
        <f t="shared" si="310"/>
        <v>0</v>
      </c>
      <c r="AL254" s="67">
        <f t="shared" si="310"/>
        <v>0</v>
      </c>
      <c r="AM254" s="67">
        <f t="shared" si="310"/>
        <v>0</v>
      </c>
      <c r="AN254" s="67">
        <f t="shared" si="310"/>
        <v>0</v>
      </c>
      <c r="AO254" s="67">
        <f t="shared" si="310"/>
        <v>0</v>
      </c>
      <c r="AP254" s="76">
        <f t="shared" si="310"/>
        <v>0</v>
      </c>
      <c r="AQ254" s="67">
        <f t="shared" si="310"/>
        <v>0</v>
      </c>
      <c r="AR254" s="67">
        <f t="shared" si="310"/>
        <v>0</v>
      </c>
      <c r="AS254" s="67">
        <f t="shared" si="310"/>
        <v>0</v>
      </c>
      <c r="AT254" s="68">
        <f t="shared" si="310"/>
        <v>0</v>
      </c>
      <c r="AU254" s="2"/>
      <c r="AV254" s="104" t="s">
        <v>441</v>
      </c>
      <c r="AW254" s="94"/>
      <c r="AX254" s="94"/>
      <c r="AY254" s="94"/>
      <c r="AZ254" s="94"/>
      <c r="BA254" s="94"/>
      <c r="BB254" s="106"/>
      <c r="BC254" s="94"/>
      <c r="BD254" s="94"/>
      <c r="BE254" s="94"/>
      <c r="BF254" s="95"/>
      <c r="BG254" s="94"/>
      <c r="BH254" s="94"/>
      <c r="BI254" s="94"/>
      <c r="BJ254" s="94"/>
      <c r="BK254" s="94"/>
      <c r="BL254" s="106"/>
      <c r="BM254" s="94"/>
      <c r="BN254" s="94"/>
      <c r="BO254" s="94"/>
      <c r="BP254" s="95"/>
      <c r="BQ254" s="2"/>
      <c r="BR254" s="2"/>
      <c r="BS254" s="2"/>
    </row>
    <row r="255" spans="1:71" x14ac:dyDescent="0.35">
      <c r="A255" s="2"/>
      <c r="B255" s="2"/>
      <c r="C255" s="42" t="s">
        <v>455</v>
      </c>
      <c r="D255" s="109">
        <f t="shared" si="284"/>
        <v>0</v>
      </c>
      <c r="E255" s="109">
        <f t="shared" si="264"/>
        <v>1.2298619119903253E-3</v>
      </c>
      <c r="F255" s="109">
        <f t="shared" si="265"/>
        <v>6.0568781723609591E-2</v>
      </c>
      <c r="G255" s="109">
        <f t="shared" si="266"/>
        <v>0.50622516856657784</v>
      </c>
      <c r="H255" s="109">
        <f t="shared" si="267"/>
        <v>0.31089392684558254</v>
      </c>
      <c r="I255" s="110">
        <f t="shared" si="268"/>
        <v>0</v>
      </c>
      <c r="J255" s="109">
        <f t="shared" si="269"/>
        <v>0</v>
      </c>
      <c r="K255" s="109">
        <f t="shared" si="270"/>
        <v>0</v>
      </c>
      <c r="L255" s="109">
        <f t="shared" si="271"/>
        <v>0</v>
      </c>
      <c r="M255" s="111">
        <f t="shared" si="272"/>
        <v>0</v>
      </c>
      <c r="N255" s="109">
        <f t="shared" si="273"/>
        <v>0</v>
      </c>
      <c r="O255" s="109">
        <f t="shared" si="274"/>
        <v>0</v>
      </c>
      <c r="P255" s="109">
        <f t="shared" si="275"/>
        <v>0</v>
      </c>
      <c r="Q255" s="109">
        <f t="shared" si="276"/>
        <v>0</v>
      </c>
      <c r="R255" s="109">
        <f t="shared" si="277"/>
        <v>8.0272612858769951E-2</v>
      </c>
      <c r="S255" s="110">
        <f t="shared" si="278"/>
        <v>0</v>
      </c>
      <c r="T255" s="109">
        <f t="shared" si="279"/>
        <v>0</v>
      </c>
      <c r="U255" s="109">
        <f t="shared" si="280"/>
        <v>0</v>
      </c>
      <c r="V255" s="109">
        <f t="shared" si="281"/>
        <v>1.70046295846276E-2</v>
      </c>
      <c r="W255" s="111">
        <f t="shared" si="282"/>
        <v>2.3805018508842243E-2</v>
      </c>
      <c r="X255" s="115">
        <f t="shared" si="285"/>
        <v>1</v>
      </c>
      <c r="Y255" s="38" t="s">
        <v>455</v>
      </c>
      <c r="Z255" s="42" t="s">
        <v>455</v>
      </c>
      <c r="AA255" s="67">
        <f t="shared" ref="AA255:AT255" si="311">IF($J143,SUMIF($AV$229:$AV$332,$Y255,AW$229:AW$332)*AA$227*$D143/$J143,0)</f>
        <v>0</v>
      </c>
      <c r="AB255" s="67">
        <f t="shared" si="311"/>
        <v>0.71980370000000005</v>
      </c>
      <c r="AC255" s="67">
        <f t="shared" si="311"/>
        <v>35.449210000000001</v>
      </c>
      <c r="AD255" s="67">
        <f t="shared" si="311"/>
        <v>296.27940000000001</v>
      </c>
      <c r="AE255" s="67">
        <f t="shared" si="311"/>
        <v>181.95750000000001</v>
      </c>
      <c r="AF255" s="76">
        <f t="shared" si="311"/>
        <v>0</v>
      </c>
      <c r="AG255" s="67">
        <f t="shared" si="311"/>
        <v>0</v>
      </c>
      <c r="AH255" s="67">
        <f t="shared" si="311"/>
        <v>0</v>
      </c>
      <c r="AI255" s="67">
        <f t="shared" si="311"/>
        <v>0</v>
      </c>
      <c r="AJ255" s="68">
        <f t="shared" si="311"/>
        <v>0</v>
      </c>
      <c r="AK255" s="67">
        <f t="shared" si="311"/>
        <v>0</v>
      </c>
      <c r="AL255" s="67">
        <f t="shared" si="311"/>
        <v>0</v>
      </c>
      <c r="AM255" s="67">
        <f t="shared" si="311"/>
        <v>0</v>
      </c>
      <c r="AN255" s="67">
        <f t="shared" si="311"/>
        <v>0</v>
      </c>
      <c r="AO255" s="67">
        <f t="shared" si="311"/>
        <v>46.981310000000001</v>
      </c>
      <c r="AP255" s="76">
        <f t="shared" si="311"/>
        <v>0</v>
      </c>
      <c r="AQ255" s="67">
        <f t="shared" si="311"/>
        <v>0</v>
      </c>
      <c r="AR255" s="67">
        <f t="shared" si="311"/>
        <v>0</v>
      </c>
      <c r="AS255" s="67">
        <f t="shared" si="311"/>
        <v>9.9523329999999994</v>
      </c>
      <c r="AT255" s="68">
        <f t="shared" si="311"/>
        <v>13.932410000000001</v>
      </c>
      <c r="AU255" s="2"/>
      <c r="AV255" s="104" t="s">
        <v>455</v>
      </c>
      <c r="AW255" s="94">
        <v>0</v>
      </c>
      <c r="AX255" s="94">
        <v>0.71980370000000005</v>
      </c>
      <c r="AY255" s="94">
        <v>35.449210000000001</v>
      </c>
      <c r="AZ255" s="94">
        <v>296.27940000000001</v>
      </c>
      <c r="BA255" s="94">
        <v>181.95750000000001</v>
      </c>
      <c r="BB255" s="106">
        <v>0</v>
      </c>
      <c r="BC255" s="94">
        <v>0</v>
      </c>
      <c r="BD255" s="94">
        <v>0</v>
      </c>
      <c r="BE255" s="94">
        <v>0</v>
      </c>
      <c r="BF255" s="95">
        <v>0</v>
      </c>
      <c r="BG255" s="94">
        <v>0</v>
      </c>
      <c r="BH255" s="94">
        <v>0</v>
      </c>
      <c r="BI255" s="94">
        <v>0</v>
      </c>
      <c r="BJ255" s="94">
        <v>0</v>
      </c>
      <c r="BK255" s="94">
        <v>46.981310000000001</v>
      </c>
      <c r="BL255" s="106">
        <v>0</v>
      </c>
      <c r="BM255" s="94">
        <v>0</v>
      </c>
      <c r="BN255" s="94">
        <v>0</v>
      </c>
      <c r="BO255" s="94">
        <v>9.9523329999999994</v>
      </c>
      <c r="BP255" s="95">
        <v>13.932410000000001</v>
      </c>
      <c r="BQ255" s="2"/>
      <c r="BR255" s="2"/>
      <c r="BS255" s="2"/>
    </row>
    <row r="256" spans="1:71" x14ac:dyDescent="0.35">
      <c r="A256" s="2"/>
      <c r="B256" s="2"/>
      <c r="C256" s="42" t="s">
        <v>447</v>
      </c>
      <c r="D256" s="109">
        <f t="shared" si="284"/>
        <v>2.5120298443124692E-2</v>
      </c>
      <c r="E256" s="109">
        <f t="shared" si="264"/>
        <v>8.5839497704700937E-2</v>
      </c>
      <c r="F256" s="109">
        <f t="shared" si="265"/>
        <v>8.368602756549709E-2</v>
      </c>
      <c r="G256" s="109">
        <f t="shared" si="266"/>
        <v>0.15338956127419545</v>
      </c>
      <c r="H256" s="109">
        <f t="shared" si="267"/>
        <v>0.2953197231002756</v>
      </c>
      <c r="I256" s="110">
        <f t="shared" si="268"/>
        <v>0</v>
      </c>
      <c r="J256" s="109">
        <f t="shared" si="269"/>
        <v>0</v>
      </c>
      <c r="K256" s="109">
        <f t="shared" si="270"/>
        <v>0</v>
      </c>
      <c r="L256" s="109">
        <f t="shared" si="271"/>
        <v>0</v>
      </c>
      <c r="M256" s="111">
        <f t="shared" si="272"/>
        <v>0</v>
      </c>
      <c r="N256" s="109">
        <f t="shared" si="273"/>
        <v>0</v>
      </c>
      <c r="O256" s="109">
        <f t="shared" si="274"/>
        <v>0</v>
      </c>
      <c r="P256" s="109">
        <f t="shared" si="275"/>
        <v>0</v>
      </c>
      <c r="Q256" s="109">
        <f t="shared" si="276"/>
        <v>0</v>
      </c>
      <c r="R256" s="109">
        <f t="shared" si="277"/>
        <v>9.0688671712055399E-2</v>
      </c>
      <c r="S256" s="110">
        <f t="shared" si="278"/>
        <v>0</v>
      </c>
      <c r="T256" s="109">
        <f t="shared" si="279"/>
        <v>0</v>
      </c>
      <c r="U256" s="109">
        <f t="shared" si="280"/>
        <v>0</v>
      </c>
      <c r="V256" s="109">
        <f t="shared" si="281"/>
        <v>0</v>
      </c>
      <c r="W256" s="111">
        <f t="shared" si="282"/>
        <v>0.26595622020015075</v>
      </c>
      <c r="X256" s="115">
        <f t="shared" si="285"/>
        <v>0.99999999999999989</v>
      </c>
      <c r="Y256" s="38" t="s">
        <v>447</v>
      </c>
      <c r="Z256" s="42" t="s">
        <v>447</v>
      </c>
      <c r="AA256" s="67">
        <f t="shared" ref="AA256:AT256" si="312">IF($J144,SUMIF($AV$229:$AV$332,$Y256,AW$229:AW$332)*AA$227*$D144/$J144,0)</f>
        <v>31.187629999999999</v>
      </c>
      <c r="AB256" s="67">
        <f t="shared" si="312"/>
        <v>106.5724</v>
      </c>
      <c r="AC256" s="67">
        <f t="shared" si="312"/>
        <v>103.89880000000001</v>
      </c>
      <c r="AD256" s="67">
        <f t="shared" si="312"/>
        <v>190.43790000000001</v>
      </c>
      <c r="AE256" s="67">
        <f t="shared" si="312"/>
        <v>366.64859999999999</v>
      </c>
      <c r="AF256" s="76">
        <f t="shared" si="312"/>
        <v>0</v>
      </c>
      <c r="AG256" s="67">
        <f t="shared" si="312"/>
        <v>0</v>
      </c>
      <c r="AH256" s="67">
        <f t="shared" si="312"/>
        <v>0</v>
      </c>
      <c r="AI256" s="67">
        <f t="shared" si="312"/>
        <v>0</v>
      </c>
      <c r="AJ256" s="68">
        <f t="shared" si="312"/>
        <v>0</v>
      </c>
      <c r="AK256" s="67">
        <f t="shared" si="312"/>
        <v>0</v>
      </c>
      <c r="AL256" s="67">
        <f t="shared" si="312"/>
        <v>0</v>
      </c>
      <c r="AM256" s="67">
        <f t="shared" si="312"/>
        <v>0</v>
      </c>
      <c r="AN256" s="67">
        <f t="shared" si="312"/>
        <v>0</v>
      </c>
      <c r="AO256" s="67">
        <f t="shared" si="312"/>
        <v>112.59280000000001</v>
      </c>
      <c r="AP256" s="76">
        <f t="shared" si="312"/>
        <v>0</v>
      </c>
      <c r="AQ256" s="67">
        <f t="shared" si="312"/>
        <v>0</v>
      </c>
      <c r="AR256" s="67">
        <f t="shared" si="312"/>
        <v>0</v>
      </c>
      <c r="AS256" s="67">
        <f t="shared" si="312"/>
        <v>0</v>
      </c>
      <c r="AT256" s="68">
        <f t="shared" si="312"/>
        <v>330.19290000000001</v>
      </c>
      <c r="AU256" s="2"/>
      <c r="AV256" s="104" t="s">
        <v>447</v>
      </c>
      <c r="AW256" s="94">
        <v>31.187629999999999</v>
      </c>
      <c r="AX256" s="94">
        <v>106.5724</v>
      </c>
      <c r="AY256" s="94">
        <v>103.89879999999999</v>
      </c>
      <c r="AZ256" s="94">
        <v>190.43790000000001</v>
      </c>
      <c r="BA256" s="94">
        <v>366.64859999999999</v>
      </c>
      <c r="BB256" s="106">
        <v>0</v>
      </c>
      <c r="BC256" s="94">
        <v>0</v>
      </c>
      <c r="BD256" s="94">
        <v>0</v>
      </c>
      <c r="BE256" s="94">
        <v>0</v>
      </c>
      <c r="BF256" s="95">
        <v>0</v>
      </c>
      <c r="BG256" s="94">
        <v>0</v>
      </c>
      <c r="BH256" s="94">
        <v>0</v>
      </c>
      <c r="BI256" s="94">
        <v>0</v>
      </c>
      <c r="BJ256" s="94">
        <v>0</v>
      </c>
      <c r="BK256" s="94">
        <v>112.5928</v>
      </c>
      <c r="BL256" s="106">
        <v>0</v>
      </c>
      <c r="BM256" s="94">
        <v>0</v>
      </c>
      <c r="BN256" s="94">
        <v>0</v>
      </c>
      <c r="BO256" s="94">
        <v>0</v>
      </c>
      <c r="BP256" s="95">
        <v>330.19290000000001</v>
      </c>
      <c r="BQ256" s="2"/>
      <c r="BR256" s="2"/>
      <c r="BS256" s="2"/>
    </row>
    <row r="257" spans="1:71" x14ac:dyDescent="0.35">
      <c r="A257" s="2"/>
      <c r="B257" s="2"/>
      <c r="C257" s="42" t="s">
        <v>457</v>
      </c>
      <c r="D257" s="109">
        <f t="shared" si="284"/>
        <v>8.190695012522424E-2</v>
      </c>
      <c r="E257" s="109">
        <f t="shared" si="264"/>
        <v>0.1301331411685604</v>
      </c>
      <c r="F257" s="109">
        <f t="shared" si="265"/>
        <v>0.32681582852022778</v>
      </c>
      <c r="G257" s="109">
        <f t="shared" si="266"/>
        <v>0.1587213695496095</v>
      </c>
      <c r="H257" s="109">
        <f t="shared" si="267"/>
        <v>0.28235215170725625</v>
      </c>
      <c r="I257" s="110">
        <f t="shared" si="268"/>
        <v>0</v>
      </c>
      <c r="J257" s="109">
        <f t="shared" si="269"/>
        <v>0</v>
      </c>
      <c r="K257" s="109">
        <f t="shared" si="270"/>
        <v>0</v>
      </c>
      <c r="L257" s="109">
        <f t="shared" si="271"/>
        <v>0</v>
      </c>
      <c r="M257" s="111">
        <f t="shared" si="272"/>
        <v>0</v>
      </c>
      <c r="N257" s="109">
        <f t="shared" si="273"/>
        <v>0</v>
      </c>
      <c r="O257" s="109">
        <f t="shared" si="274"/>
        <v>1.5468512946555124E-3</v>
      </c>
      <c r="P257" s="109">
        <f t="shared" si="275"/>
        <v>0</v>
      </c>
      <c r="Q257" s="109">
        <f t="shared" si="276"/>
        <v>0</v>
      </c>
      <c r="R257" s="109">
        <f t="shared" si="277"/>
        <v>0</v>
      </c>
      <c r="S257" s="110">
        <f t="shared" si="278"/>
        <v>0</v>
      </c>
      <c r="T257" s="109">
        <f t="shared" si="279"/>
        <v>0</v>
      </c>
      <c r="U257" s="109">
        <f t="shared" si="280"/>
        <v>0</v>
      </c>
      <c r="V257" s="109">
        <f t="shared" si="281"/>
        <v>0</v>
      </c>
      <c r="W257" s="111">
        <f t="shared" si="282"/>
        <v>1.8523707634466445E-2</v>
      </c>
      <c r="X257" s="115">
        <f t="shared" si="285"/>
        <v>1</v>
      </c>
      <c r="Y257" s="38" t="s">
        <v>457</v>
      </c>
      <c r="Z257" s="42" t="s">
        <v>457</v>
      </c>
      <c r="AA257" s="67">
        <f t="shared" ref="AA257:AT257" si="313">IF($J145,SUMIF($AV$229:$AV$332,$Y257,AW$229:AW$332)*AA$227*$D145/$J145,0)</f>
        <v>45.288439999999994</v>
      </c>
      <c r="AB257" s="67">
        <f t="shared" si="313"/>
        <v>71.95393</v>
      </c>
      <c r="AC257" s="67">
        <f t="shared" si="313"/>
        <v>180.70480000000001</v>
      </c>
      <c r="AD257" s="67">
        <f t="shared" si="313"/>
        <v>87.761089999999996</v>
      </c>
      <c r="AE257" s="67">
        <f t="shared" si="313"/>
        <v>156.11969999999999</v>
      </c>
      <c r="AF257" s="76">
        <f t="shared" si="313"/>
        <v>0</v>
      </c>
      <c r="AG257" s="67">
        <f t="shared" si="313"/>
        <v>0</v>
      </c>
      <c r="AH257" s="67">
        <f t="shared" si="313"/>
        <v>0</v>
      </c>
      <c r="AI257" s="67">
        <f t="shared" si="313"/>
        <v>0</v>
      </c>
      <c r="AJ257" s="68">
        <f t="shared" si="313"/>
        <v>0</v>
      </c>
      <c r="AK257" s="67">
        <f t="shared" si="313"/>
        <v>0</v>
      </c>
      <c r="AL257" s="67">
        <f t="shared" si="313"/>
        <v>0.85529350000000004</v>
      </c>
      <c r="AM257" s="67">
        <f t="shared" si="313"/>
        <v>0</v>
      </c>
      <c r="AN257" s="67">
        <f t="shared" si="313"/>
        <v>0</v>
      </c>
      <c r="AO257" s="67">
        <f t="shared" si="313"/>
        <v>0</v>
      </c>
      <c r="AP257" s="76">
        <f t="shared" si="313"/>
        <v>0</v>
      </c>
      <c r="AQ257" s="67">
        <f t="shared" si="313"/>
        <v>0</v>
      </c>
      <c r="AR257" s="67">
        <f t="shared" si="313"/>
        <v>0</v>
      </c>
      <c r="AS257" s="67">
        <f t="shared" si="313"/>
        <v>0</v>
      </c>
      <c r="AT257" s="68">
        <f t="shared" si="313"/>
        <v>10.242229999999999</v>
      </c>
      <c r="AU257" s="2"/>
      <c r="AV257" s="104" t="s">
        <v>457</v>
      </c>
      <c r="AW257" s="94">
        <v>45.288440000000001</v>
      </c>
      <c r="AX257" s="94">
        <v>71.95393</v>
      </c>
      <c r="AY257" s="94">
        <v>180.70480000000001</v>
      </c>
      <c r="AZ257" s="94">
        <v>87.761089999999996</v>
      </c>
      <c r="BA257" s="94">
        <v>156.11969999999999</v>
      </c>
      <c r="BB257" s="106">
        <v>0</v>
      </c>
      <c r="BC257" s="94">
        <v>0</v>
      </c>
      <c r="BD257" s="94">
        <v>0</v>
      </c>
      <c r="BE257" s="94">
        <v>0</v>
      </c>
      <c r="BF257" s="95">
        <v>0</v>
      </c>
      <c r="BG257" s="94">
        <v>0</v>
      </c>
      <c r="BH257" s="94">
        <v>0.85529350000000004</v>
      </c>
      <c r="BI257" s="94">
        <v>0</v>
      </c>
      <c r="BJ257" s="94">
        <v>0</v>
      </c>
      <c r="BK257" s="94">
        <v>0</v>
      </c>
      <c r="BL257" s="106">
        <v>0</v>
      </c>
      <c r="BM257" s="94">
        <v>0</v>
      </c>
      <c r="BN257" s="94">
        <v>0</v>
      </c>
      <c r="BO257" s="94">
        <v>0</v>
      </c>
      <c r="BP257" s="95">
        <v>10.242229999999999</v>
      </c>
      <c r="BQ257" s="2"/>
      <c r="BR257" s="2"/>
      <c r="BS257" s="2"/>
    </row>
    <row r="258" spans="1:71" x14ac:dyDescent="0.35">
      <c r="A258" s="2"/>
      <c r="B258" s="2"/>
      <c r="C258" s="42" t="s">
        <v>444</v>
      </c>
      <c r="D258" s="109">
        <f t="shared" si="284"/>
        <v>9.9317290717805973E-3</v>
      </c>
      <c r="E258" s="109">
        <f t="shared" si="264"/>
        <v>6.3475450891561758E-2</v>
      </c>
      <c r="F258" s="109">
        <f t="shared" si="265"/>
        <v>0.12181252134377835</v>
      </c>
      <c r="G258" s="109">
        <f t="shared" si="266"/>
        <v>0.30660868200358243</v>
      </c>
      <c r="H258" s="109">
        <f t="shared" si="267"/>
        <v>0.3402851789947452</v>
      </c>
      <c r="I258" s="110">
        <f t="shared" si="268"/>
        <v>0</v>
      </c>
      <c r="J258" s="109">
        <f t="shared" si="269"/>
        <v>0</v>
      </c>
      <c r="K258" s="109">
        <f t="shared" si="270"/>
        <v>2.0859927764082853E-4</v>
      </c>
      <c r="L258" s="109">
        <f t="shared" si="271"/>
        <v>4.007599123303846E-3</v>
      </c>
      <c r="M258" s="111">
        <f t="shared" si="272"/>
        <v>0</v>
      </c>
      <c r="N258" s="109">
        <f t="shared" si="273"/>
        <v>4.6213709502627732E-4</v>
      </c>
      <c r="O258" s="109">
        <f t="shared" si="274"/>
        <v>1.0248605771806727E-3</v>
      </c>
      <c r="P258" s="109">
        <f t="shared" si="275"/>
        <v>8.1723381269783492E-3</v>
      </c>
      <c r="Q258" s="109">
        <f t="shared" si="276"/>
        <v>2.0452996190121437E-2</v>
      </c>
      <c r="R258" s="109">
        <f t="shared" si="277"/>
        <v>5.8987713460724664E-2</v>
      </c>
      <c r="S258" s="110">
        <f t="shared" si="278"/>
        <v>0</v>
      </c>
      <c r="T258" s="109">
        <f t="shared" si="279"/>
        <v>4.1955497963071589E-3</v>
      </c>
      <c r="U258" s="109">
        <f t="shared" si="280"/>
        <v>1.4554903020142973E-3</v>
      </c>
      <c r="V258" s="109">
        <f t="shared" si="281"/>
        <v>7.825677833524369E-3</v>
      </c>
      <c r="W258" s="111">
        <f t="shared" si="282"/>
        <v>5.1093475911729934E-2</v>
      </c>
      <c r="X258" s="115">
        <f t="shared" si="285"/>
        <v>1.0000000000000002</v>
      </c>
      <c r="Y258" s="38" t="s">
        <v>444</v>
      </c>
      <c r="Z258" s="42" t="s">
        <v>444</v>
      </c>
      <c r="AA258" s="67">
        <f t="shared" ref="AA258:AT258" si="314">IF($J146,SUMIF($AV$229:$AV$332,$Y258,AW$229:AW$332)*AA$227*$D146/$J146,0)</f>
        <v>114.96140000000001</v>
      </c>
      <c r="AB258" s="67">
        <f t="shared" si="314"/>
        <v>734.73879999999997</v>
      </c>
      <c r="AC258" s="67">
        <f t="shared" si="314"/>
        <v>1410</v>
      </c>
      <c r="AD258" s="67">
        <f t="shared" si="314"/>
        <v>3549.0460000000003</v>
      </c>
      <c r="AE258" s="67">
        <f t="shared" si="314"/>
        <v>3938.8569999999995</v>
      </c>
      <c r="AF258" s="76">
        <f t="shared" si="314"/>
        <v>0</v>
      </c>
      <c r="AG258" s="67">
        <f t="shared" si="314"/>
        <v>0</v>
      </c>
      <c r="AH258" s="67">
        <f t="shared" si="314"/>
        <v>2.414571</v>
      </c>
      <c r="AI258" s="67">
        <f t="shared" si="314"/>
        <v>46.388620000000003</v>
      </c>
      <c r="AJ258" s="68">
        <f t="shared" si="314"/>
        <v>0</v>
      </c>
      <c r="AK258" s="67">
        <f t="shared" si="314"/>
        <v>5.3493130000000004</v>
      </c>
      <c r="AL258" s="67">
        <f t="shared" si="314"/>
        <v>11.86293</v>
      </c>
      <c r="AM258" s="67">
        <f t="shared" si="314"/>
        <v>94.596159999999998</v>
      </c>
      <c r="AN258" s="67">
        <f t="shared" si="314"/>
        <v>236.74680000000001</v>
      </c>
      <c r="AO258" s="67">
        <f t="shared" si="314"/>
        <v>682.79250000000002</v>
      </c>
      <c r="AP258" s="76">
        <f t="shared" si="314"/>
        <v>0</v>
      </c>
      <c r="AQ258" s="67">
        <f t="shared" si="314"/>
        <v>48.56418</v>
      </c>
      <c r="AR258" s="67">
        <f t="shared" si="314"/>
        <v>16.847539999999999</v>
      </c>
      <c r="AS258" s="67">
        <f t="shared" si="314"/>
        <v>90.583510000000004</v>
      </c>
      <c r="AT258" s="68">
        <f t="shared" si="314"/>
        <v>591.41539999999998</v>
      </c>
      <c r="AU258" s="2"/>
      <c r="AV258" s="104" t="s">
        <v>444</v>
      </c>
      <c r="AW258" s="94">
        <v>114.9614</v>
      </c>
      <c r="AX258" s="94">
        <v>734.73879999999997</v>
      </c>
      <c r="AY258" s="94">
        <v>1410</v>
      </c>
      <c r="AZ258" s="94">
        <v>3549.0459999999998</v>
      </c>
      <c r="BA258" s="94">
        <v>3938.857</v>
      </c>
      <c r="BB258" s="106">
        <v>0</v>
      </c>
      <c r="BC258" s="94">
        <v>0</v>
      </c>
      <c r="BD258" s="94">
        <v>2.414571</v>
      </c>
      <c r="BE258" s="94">
        <v>46.388620000000003</v>
      </c>
      <c r="BF258" s="95">
        <v>0</v>
      </c>
      <c r="BG258" s="94">
        <v>5.3493130000000004</v>
      </c>
      <c r="BH258" s="94">
        <v>11.86293</v>
      </c>
      <c r="BI258" s="94">
        <v>94.596159999999998</v>
      </c>
      <c r="BJ258" s="94">
        <v>236.74680000000001</v>
      </c>
      <c r="BK258" s="94">
        <v>682.79250000000002</v>
      </c>
      <c r="BL258" s="106">
        <v>0</v>
      </c>
      <c r="BM258" s="94">
        <v>48.56418</v>
      </c>
      <c r="BN258" s="94">
        <v>16.847539999999999</v>
      </c>
      <c r="BO258" s="94">
        <v>90.583510000000004</v>
      </c>
      <c r="BP258" s="95">
        <v>591.41539999999998</v>
      </c>
      <c r="BQ258" s="2"/>
      <c r="BR258" s="2"/>
      <c r="BS258" s="2"/>
    </row>
    <row r="259" spans="1:71" x14ac:dyDescent="0.35">
      <c r="A259" s="2"/>
      <c r="B259" s="2"/>
      <c r="C259" s="42" t="s">
        <v>451</v>
      </c>
      <c r="D259" s="109">
        <f t="shared" si="284"/>
        <v>3.1253876946478694E-2</v>
      </c>
      <c r="E259" s="109">
        <f t="shared" si="264"/>
        <v>3.8916052882672268E-2</v>
      </c>
      <c r="F259" s="109">
        <f t="shared" si="265"/>
        <v>9.4073771476195889E-2</v>
      </c>
      <c r="G259" s="109">
        <f t="shared" si="266"/>
        <v>0.26683026240172836</v>
      </c>
      <c r="H259" s="109">
        <f t="shared" si="267"/>
        <v>0.34673670275573226</v>
      </c>
      <c r="I259" s="110">
        <f t="shared" si="268"/>
        <v>0</v>
      </c>
      <c r="J259" s="109">
        <f t="shared" si="269"/>
        <v>0</v>
      </c>
      <c r="K259" s="109">
        <f t="shared" si="270"/>
        <v>0</v>
      </c>
      <c r="L259" s="109">
        <f t="shared" si="271"/>
        <v>0</v>
      </c>
      <c r="M259" s="111">
        <f t="shared" si="272"/>
        <v>0</v>
      </c>
      <c r="N259" s="109">
        <f t="shared" si="273"/>
        <v>0</v>
      </c>
      <c r="O259" s="109">
        <f t="shared" si="274"/>
        <v>6.4808937947550211E-3</v>
      </c>
      <c r="P259" s="109">
        <f t="shared" si="275"/>
        <v>4.9625409002503418E-3</v>
      </c>
      <c r="Q259" s="109">
        <f t="shared" si="276"/>
        <v>9.8902529446460753E-3</v>
      </c>
      <c r="R259" s="109">
        <f t="shared" si="277"/>
        <v>0.10533343546825606</v>
      </c>
      <c r="S259" s="110">
        <f t="shared" si="278"/>
        <v>1.9996200745413121E-3</v>
      </c>
      <c r="T259" s="109">
        <f t="shared" si="279"/>
        <v>0</v>
      </c>
      <c r="U259" s="109">
        <f t="shared" si="280"/>
        <v>0</v>
      </c>
      <c r="V259" s="109">
        <f t="shared" si="281"/>
        <v>0</v>
      </c>
      <c r="W259" s="111">
        <f t="shared" si="282"/>
        <v>9.3522590354743793E-2</v>
      </c>
      <c r="X259" s="115">
        <f t="shared" si="285"/>
        <v>1.0000000000000002</v>
      </c>
      <c r="Y259" s="38" t="s">
        <v>451</v>
      </c>
      <c r="Z259" s="42" t="s">
        <v>451</v>
      </c>
      <c r="AA259" s="67">
        <f t="shared" ref="AA259:AT259" si="315">IF($J147,SUMIF($AV$229:$AV$332,$Y259,AW$229:AW$332)*AA$227*$D147/$J147,0)</f>
        <v>27.20065</v>
      </c>
      <c r="AB259" s="67">
        <f t="shared" si="315"/>
        <v>33.869140000000002</v>
      </c>
      <c r="AC259" s="67">
        <f t="shared" si="315"/>
        <v>81.873609999999999</v>
      </c>
      <c r="AD259" s="67">
        <f t="shared" si="315"/>
        <v>232.22579999999999</v>
      </c>
      <c r="AE259" s="67">
        <f t="shared" si="315"/>
        <v>301.76940000000002</v>
      </c>
      <c r="AF259" s="76">
        <f t="shared" si="315"/>
        <v>0</v>
      </c>
      <c r="AG259" s="67">
        <f t="shared" si="315"/>
        <v>0</v>
      </c>
      <c r="AH259" s="67">
        <f t="shared" si="315"/>
        <v>0</v>
      </c>
      <c r="AI259" s="67">
        <f t="shared" si="315"/>
        <v>0</v>
      </c>
      <c r="AJ259" s="68">
        <f t="shared" si="315"/>
        <v>0</v>
      </c>
      <c r="AK259" s="67">
        <f t="shared" si="315"/>
        <v>0</v>
      </c>
      <c r="AL259" s="67">
        <f t="shared" si="315"/>
        <v>5.6404050000000003</v>
      </c>
      <c r="AM259" s="67">
        <f t="shared" si="315"/>
        <v>4.3189630000000001</v>
      </c>
      <c r="AN259" s="67">
        <f t="shared" si="315"/>
        <v>8.6076139999999999</v>
      </c>
      <c r="AO259" s="67">
        <f t="shared" si="315"/>
        <v>91.67304</v>
      </c>
      <c r="AP259" s="76">
        <f t="shared" si="315"/>
        <v>1.7402949999999999</v>
      </c>
      <c r="AQ259" s="67">
        <f t="shared" si="315"/>
        <v>0</v>
      </c>
      <c r="AR259" s="67">
        <f t="shared" si="315"/>
        <v>0</v>
      </c>
      <c r="AS259" s="67">
        <f t="shared" si="315"/>
        <v>0</v>
      </c>
      <c r="AT259" s="68">
        <f t="shared" si="315"/>
        <v>81.393910000000005</v>
      </c>
      <c r="AU259" s="2"/>
      <c r="AV259" s="104" t="s">
        <v>451</v>
      </c>
      <c r="AW259" s="94">
        <v>27.20065</v>
      </c>
      <c r="AX259" s="94">
        <v>33.869140000000002</v>
      </c>
      <c r="AY259" s="94">
        <v>81.873609999999999</v>
      </c>
      <c r="AZ259" s="94">
        <v>232.22579999999999</v>
      </c>
      <c r="BA259" s="94">
        <v>301.76940000000002</v>
      </c>
      <c r="BB259" s="106">
        <v>0</v>
      </c>
      <c r="BC259" s="94">
        <v>0</v>
      </c>
      <c r="BD259" s="94">
        <v>0</v>
      </c>
      <c r="BE259" s="94">
        <v>0</v>
      </c>
      <c r="BF259" s="95">
        <v>0</v>
      </c>
      <c r="BG259" s="94">
        <v>0</v>
      </c>
      <c r="BH259" s="94">
        <v>5.6404050000000003</v>
      </c>
      <c r="BI259" s="94">
        <v>4.3189630000000001</v>
      </c>
      <c r="BJ259" s="94">
        <v>8.6076139999999999</v>
      </c>
      <c r="BK259" s="94">
        <v>91.67304</v>
      </c>
      <c r="BL259" s="106">
        <v>1.7402949999999999</v>
      </c>
      <c r="BM259" s="94">
        <v>0</v>
      </c>
      <c r="BN259" s="94">
        <v>0</v>
      </c>
      <c r="BO259" s="94">
        <v>0</v>
      </c>
      <c r="BP259" s="95">
        <v>81.393910000000005</v>
      </c>
      <c r="BQ259" s="2"/>
      <c r="BR259" s="2"/>
      <c r="BS259" s="2"/>
    </row>
    <row r="260" spans="1:71" x14ac:dyDescent="0.35">
      <c r="A260" s="2"/>
      <c r="B260" s="2"/>
      <c r="C260" s="42" t="s">
        <v>522</v>
      </c>
      <c r="D260" s="109">
        <f t="shared" si="284"/>
        <v>2.1794957756858562E-2</v>
      </c>
      <c r="E260" s="109">
        <f t="shared" si="264"/>
        <v>0.19024823858511347</v>
      </c>
      <c r="F260" s="109">
        <f t="shared" si="265"/>
        <v>0.30867861199559821</v>
      </c>
      <c r="G260" s="109">
        <f t="shared" si="266"/>
        <v>0.22553086057670582</v>
      </c>
      <c r="H260" s="109">
        <f t="shared" si="267"/>
        <v>0.19255213737728208</v>
      </c>
      <c r="I260" s="110">
        <f t="shared" si="268"/>
        <v>0</v>
      </c>
      <c r="J260" s="109">
        <f t="shared" si="269"/>
        <v>0</v>
      </c>
      <c r="K260" s="109">
        <f t="shared" si="270"/>
        <v>0</v>
      </c>
      <c r="L260" s="109">
        <f t="shared" si="271"/>
        <v>0</v>
      </c>
      <c r="M260" s="111">
        <f t="shared" si="272"/>
        <v>0</v>
      </c>
      <c r="N260" s="109">
        <f t="shared" si="273"/>
        <v>0</v>
      </c>
      <c r="O260" s="109">
        <f t="shared" si="274"/>
        <v>0</v>
      </c>
      <c r="P260" s="109">
        <f t="shared" si="275"/>
        <v>4.3031700493963862E-2</v>
      </c>
      <c r="Q260" s="109">
        <f t="shared" si="276"/>
        <v>0</v>
      </c>
      <c r="R260" s="109">
        <f t="shared" si="277"/>
        <v>0</v>
      </c>
      <c r="S260" s="110">
        <f t="shared" si="278"/>
        <v>0</v>
      </c>
      <c r="T260" s="109">
        <f t="shared" si="279"/>
        <v>9.6080134602407972E-3</v>
      </c>
      <c r="U260" s="109">
        <f t="shared" si="280"/>
        <v>0</v>
      </c>
      <c r="V260" s="109">
        <f t="shared" si="281"/>
        <v>0</v>
      </c>
      <c r="W260" s="111">
        <f t="shared" si="282"/>
        <v>8.555479754237226E-3</v>
      </c>
      <c r="X260" s="115">
        <f t="shared" si="285"/>
        <v>0.99999999999999989</v>
      </c>
      <c r="Y260" s="38" t="s">
        <v>522</v>
      </c>
      <c r="Z260" s="42" t="s">
        <v>522</v>
      </c>
      <c r="AA260" s="67">
        <f t="shared" ref="AA260:AT260" si="316">IF($J148,SUMIF($AV$229:$AV$332,$Y260,AW$229:AW$332)*AA$227*$D148/$J148,0)</f>
        <v>0.2377117</v>
      </c>
      <c r="AB260" s="67">
        <f t="shared" si="316"/>
        <v>2.074986</v>
      </c>
      <c r="AC260" s="67">
        <f t="shared" si="316"/>
        <v>3.3666740000000002</v>
      </c>
      <c r="AD260" s="67">
        <f t="shared" si="316"/>
        <v>2.4598040000000001</v>
      </c>
      <c r="AE260" s="67">
        <f t="shared" si="316"/>
        <v>2.100114</v>
      </c>
      <c r="AF260" s="76">
        <f t="shared" si="316"/>
        <v>0</v>
      </c>
      <c r="AG260" s="67">
        <f t="shared" si="316"/>
        <v>0</v>
      </c>
      <c r="AH260" s="67">
        <f t="shared" si="316"/>
        <v>0</v>
      </c>
      <c r="AI260" s="67">
        <f t="shared" si="316"/>
        <v>0</v>
      </c>
      <c r="AJ260" s="68">
        <f t="shared" si="316"/>
        <v>0</v>
      </c>
      <c r="AK260" s="67">
        <f t="shared" si="316"/>
        <v>0</v>
      </c>
      <c r="AL260" s="67">
        <f t="shared" si="316"/>
        <v>0</v>
      </c>
      <c r="AM260" s="67">
        <f t="shared" si="316"/>
        <v>0.46933510000000001</v>
      </c>
      <c r="AN260" s="67">
        <f t="shared" si="316"/>
        <v>0</v>
      </c>
      <c r="AO260" s="67">
        <f t="shared" si="316"/>
        <v>0</v>
      </c>
      <c r="AP260" s="76">
        <f t="shared" si="316"/>
        <v>0</v>
      </c>
      <c r="AQ260" s="67">
        <f t="shared" si="316"/>
        <v>0.104792</v>
      </c>
      <c r="AR260" s="67">
        <f t="shared" si="316"/>
        <v>0</v>
      </c>
      <c r="AS260" s="67">
        <f t="shared" si="316"/>
        <v>0</v>
      </c>
      <c r="AT260" s="68">
        <f t="shared" si="316"/>
        <v>9.3312300000000001E-2</v>
      </c>
      <c r="AU260" s="2"/>
      <c r="AV260" s="104" t="s">
        <v>522</v>
      </c>
      <c r="AW260" s="94">
        <v>0.2377117</v>
      </c>
      <c r="AX260" s="94">
        <v>2.074986</v>
      </c>
      <c r="AY260" s="94">
        <v>3.3666740000000002</v>
      </c>
      <c r="AZ260" s="94">
        <v>2.4598040000000001</v>
      </c>
      <c r="BA260" s="94">
        <v>2.100114</v>
      </c>
      <c r="BB260" s="106">
        <v>0</v>
      </c>
      <c r="BC260" s="94">
        <v>0</v>
      </c>
      <c r="BD260" s="94">
        <v>0</v>
      </c>
      <c r="BE260" s="94">
        <v>0</v>
      </c>
      <c r="BF260" s="95">
        <v>0</v>
      </c>
      <c r="BG260" s="94">
        <v>0</v>
      </c>
      <c r="BH260" s="94">
        <v>0</v>
      </c>
      <c r="BI260" s="94">
        <v>0.46933510000000001</v>
      </c>
      <c r="BJ260" s="94">
        <v>0</v>
      </c>
      <c r="BK260" s="94">
        <v>0</v>
      </c>
      <c r="BL260" s="106">
        <v>0</v>
      </c>
      <c r="BM260" s="94">
        <v>0.104792</v>
      </c>
      <c r="BN260" s="94">
        <v>0</v>
      </c>
      <c r="BO260" s="94">
        <v>0</v>
      </c>
      <c r="BP260" s="95">
        <v>9.3312300000000001E-2</v>
      </c>
      <c r="BQ260" s="2"/>
      <c r="BR260" s="2"/>
      <c r="BS260" s="2"/>
    </row>
    <row r="261" spans="1:71" x14ac:dyDescent="0.35">
      <c r="A261" s="2"/>
      <c r="B261" s="2"/>
      <c r="C261" s="42" t="s">
        <v>523</v>
      </c>
      <c r="D261" s="109">
        <f t="shared" si="284"/>
        <v>0</v>
      </c>
      <c r="E261" s="109">
        <f t="shared" si="264"/>
        <v>0</v>
      </c>
      <c r="F261" s="109">
        <f t="shared" si="265"/>
        <v>0</v>
      </c>
      <c r="G261" s="109">
        <f t="shared" si="266"/>
        <v>0</v>
      </c>
      <c r="H261" s="109">
        <f t="shared" si="267"/>
        <v>0</v>
      </c>
      <c r="I261" s="110">
        <f t="shared" si="268"/>
        <v>0</v>
      </c>
      <c r="J261" s="109">
        <f t="shared" si="269"/>
        <v>0</v>
      </c>
      <c r="K261" s="109">
        <f t="shared" si="270"/>
        <v>0</v>
      </c>
      <c r="L261" s="109">
        <f t="shared" si="271"/>
        <v>0</v>
      </c>
      <c r="M261" s="111">
        <f t="shared" si="272"/>
        <v>0</v>
      </c>
      <c r="N261" s="109">
        <f t="shared" si="273"/>
        <v>0</v>
      </c>
      <c r="O261" s="109">
        <f t="shared" si="274"/>
        <v>0</v>
      </c>
      <c r="P261" s="109">
        <f t="shared" si="275"/>
        <v>0</v>
      </c>
      <c r="Q261" s="109">
        <f t="shared" si="276"/>
        <v>0</v>
      </c>
      <c r="R261" s="109">
        <f t="shared" si="277"/>
        <v>0</v>
      </c>
      <c r="S261" s="110">
        <f t="shared" si="278"/>
        <v>0</v>
      </c>
      <c r="T261" s="109">
        <f t="shared" si="279"/>
        <v>0</v>
      </c>
      <c r="U261" s="109">
        <f t="shared" si="280"/>
        <v>0</v>
      </c>
      <c r="V261" s="109">
        <f t="shared" si="281"/>
        <v>0</v>
      </c>
      <c r="W261" s="111">
        <f t="shared" si="282"/>
        <v>0</v>
      </c>
      <c r="X261" s="115">
        <f t="shared" si="285"/>
        <v>0</v>
      </c>
      <c r="Y261" s="38" t="s">
        <v>523</v>
      </c>
      <c r="Z261" s="42" t="s">
        <v>523</v>
      </c>
      <c r="AA261" s="67">
        <f t="shared" ref="AA261:AT261" si="317">IF($J149,SUMIF($AV$229:$AV$332,$Y261,AW$229:AW$332)*AA$227*$D149/$J149,0)</f>
        <v>0</v>
      </c>
      <c r="AB261" s="67">
        <f t="shared" si="317"/>
        <v>0</v>
      </c>
      <c r="AC261" s="67">
        <f t="shared" si="317"/>
        <v>0</v>
      </c>
      <c r="AD261" s="67">
        <f t="shared" si="317"/>
        <v>0</v>
      </c>
      <c r="AE261" s="67">
        <f t="shared" si="317"/>
        <v>0</v>
      </c>
      <c r="AF261" s="76">
        <f t="shared" si="317"/>
        <v>0</v>
      </c>
      <c r="AG261" s="67">
        <f t="shared" si="317"/>
        <v>0</v>
      </c>
      <c r="AH261" s="67">
        <f t="shared" si="317"/>
        <v>0</v>
      </c>
      <c r="AI261" s="67">
        <f t="shared" si="317"/>
        <v>0</v>
      </c>
      <c r="AJ261" s="68">
        <f t="shared" si="317"/>
        <v>0</v>
      </c>
      <c r="AK261" s="67">
        <f t="shared" si="317"/>
        <v>0</v>
      </c>
      <c r="AL261" s="67">
        <f t="shared" si="317"/>
        <v>0</v>
      </c>
      <c r="AM261" s="67">
        <f t="shared" si="317"/>
        <v>0</v>
      </c>
      <c r="AN261" s="67">
        <f t="shared" si="317"/>
        <v>0</v>
      </c>
      <c r="AO261" s="67">
        <f t="shared" si="317"/>
        <v>0</v>
      </c>
      <c r="AP261" s="76">
        <f t="shared" si="317"/>
        <v>0</v>
      </c>
      <c r="AQ261" s="67">
        <f t="shared" si="317"/>
        <v>0</v>
      </c>
      <c r="AR261" s="67">
        <f t="shared" si="317"/>
        <v>0</v>
      </c>
      <c r="AS261" s="67">
        <f t="shared" si="317"/>
        <v>0</v>
      </c>
      <c r="AT261" s="68">
        <f t="shared" si="317"/>
        <v>0</v>
      </c>
      <c r="AU261" s="2"/>
      <c r="AV261" s="104" t="s">
        <v>523</v>
      </c>
      <c r="AW261" s="94"/>
      <c r="AX261" s="94"/>
      <c r="AY261" s="94"/>
      <c r="AZ261" s="94"/>
      <c r="BA261" s="94"/>
      <c r="BB261" s="106"/>
      <c r="BC261" s="94"/>
      <c r="BD261" s="94"/>
      <c r="BE261" s="94"/>
      <c r="BF261" s="95"/>
      <c r="BG261" s="94"/>
      <c r="BH261" s="94"/>
      <c r="BI261" s="94"/>
      <c r="BJ261" s="94"/>
      <c r="BK261" s="94"/>
      <c r="BL261" s="106"/>
      <c r="BM261" s="94"/>
      <c r="BN261" s="94"/>
      <c r="BO261" s="94"/>
      <c r="BP261" s="95"/>
      <c r="BQ261" s="2"/>
      <c r="BR261" s="2"/>
      <c r="BS261" s="2"/>
    </row>
    <row r="262" spans="1:71" x14ac:dyDescent="0.35">
      <c r="A262" s="2"/>
      <c r="B262" s="2"/>
      <c r="C262" s="42" t="s">
        <v>524</v>
      </c>
      <c r="D262" s="109">
        <f t="shared" si="284"/>
        <v>0.16817390426839662</v>
      </c>
      <c r="E262" s="109">
        <f t="shared" si="264"/>
        <v>0.19680955435849531</v>
      </c>
      <c r="F262" s="109">
        <f t="shared" si="265"/>
        <v>0.21064746919811125</v>
      </c>
      <c r="G262" s="109">
        <f t="shared" si="266"/>
        <v>0.21357931805939423</v>
      </c>
      <c r="H262" s="109">
        <f t="shared" si="267"/>
        <v>0.11953671064289331</v>
      </c>
      <c r="I262" s="110">
        <f t="shared" si="268"/>
        <v>5.1530548198818632E-4</v>
      </c>
      <c r="J262" s="109">
        <f t="shared" si="269"/>
        <v>3.5418579610318074E-4</v>
      </c>
      <c r="K262" s="109">
        <f t="shared" si="270"/>
        <v>6.7744784753896996E-4</v>
      </c>
      <c r="L262" s="109">
        <f t="shared" si="271"/>
        <v>1.2202031490650791E-3</v>
      </c>
      <c r="M262" s="111">
        <f t="shared" si="272"/>
        <v>5.4564045578367308E-4</v>
      </c>
      <c r="N262" s="109">
        <f t="shared" si="273"/>
        <v>8.1416510460631652E-3</v>
      </c>
      <c r="O262" s="109">
        <f t="shared" si="274"/>
        <v>1.1560460024522335E-2</v>
      </c>
      <c r="P262" s="109">
        <f t="shared" si="275"/>
        <v>1.6883615350913456E-2</v>
      </c>
      <c r="Q262" s="109">
        <f t="shared" si="276"/>
        <v>2.1925597188923746E-2</v>
      </c>
      <c r="R262" s="109">
        <f t="shared" si="277"/>
        <v>8.0511673461850473E-3</v>
      </c>
      <c r="S262" s="110">
        <f t="shared" si="278"/>
        <v>2.3394754549803764E-3</v>
      </c>
      <c r="T262" s="109">
        <f t="shared" si="279"/>
        <v>2.8151082223308865E-3</v>
      </c>
      <c r="U262" s="109">
        <f t="shared" si="280"/>
        <v>4.2202541544391001E-3</v>
      </c>
      <c r="V262" s="109">
        <f t="shared" si="281"/>
        <v>5.3893714012033115E-3</v>
      </c>
      <c r="W262" s="111">
        <f t="shared" si="282"/>
        <v>6.6135605526692152E-3</v>
      </c>
      <c r="X262" s="115">
        <f t="shared" si="285"/>
        <v>1.0000000000000004</v>
      </c>
      <c r="Y262" s="38" t="s">
        <v>524</v>
      </c>
      <c r="Z262" s="42" t="s">
        <v>524</v>
      </c>
      <c r="AA262" s="67">
        <f t="shared" ref="AA262:AT262" si="318">IF($J150,SUMIF($AV$229:$AV$332,$Y262,AW$229:AW$332)*AA$227*$D150/$J150,0)</f>
        <v>57012.86</v>
      </c>
      <c r="AB262" s="67">
        <f t="shared" si="318"/>
        <v>66720.67</v>
      </c>
      <c r="AC262" s="67">
        <f t="shared" si="318"/>
        <v>71411.88</v>
      </c>
      <c r="AD262" s="67">
        <f t="shared" si="318"/>
        <v>72405.81</v>
      </c>
      <c r="AE262" s="67">
        <f t="shared" si="318"/>
        <v>40524.300000000003</v>
      </c>
      <c r="AF262" s="76">
        <f t="shared" si="318"/>
        <v>174.6944</v>
      </c>
      <c r="AG262" s="67">
        <f t="shared" si="318"/>
        <v>120.07299999999999</v>
      </c>
      <c r="AH262" s="67">
        <f t="shared" si="318"/>
        <v>229.66249999999999</v>
      </c>
      <c r="AI262" s="67">
        <f t="shared" si="318"/>
        <v>413.66270000000003</v>
      </c>
      <c r="AJ262" s="68">
        <f t="shared" si="318"/>
        <v>184.97829999999996</v>
      </c>
      <c r="AK262" s="67">
        <f t="shared" si="318"/>
        <v>2760.1120000000001</v>
      </c>
      <c r="AL262" s="67">
        <f t="shared" si="318"/>
        <v>3919.127</v>
      </c>
      <c r="AM262" s="67">
        <f t="shared" si="318"/>
        <v>5723.7370000000001</v>
      </c>
      <c r="AN262" s="67">
        <f t="shared" si="318"/>
        <v>7433.0259999999998</v>
      </c>
      <c r="AO262" s="67">
        <f t="shared" si="318"/>
        <v>2729.4369999999999</v>
      </c>
      <c r="AP262" s="76">
        <f t="shared" si="318"/>
        <v>793.1087</v>
      </c>
      <c r="AQ262" s="67">
        <f t="shared" si="318"/>
        <v>954.35360000000003</v>
      </c>
      <c r="AR262" s="67">
        <f t="shared" si="318"/>
        <v>1430.7139999999997</v>
      </c>
      <c r="AS262" s="67">
        <f t="shared" si="318"/>
        <v>1827.058</v>
      </c>
      <c r="AT262" s="68">
        <f t="shared" si="318"/>
        <v>2242.0720000000001</v>
      </c>
      <c r="AU262" s="2"/>
      <c r="AV262" s="104" t="s">
        <v>524</v>
      </c>
      <c r="AW262" s="94">
        <v>57012.86</v>
      </c>
      <c r="AX262" s="94">
        <v>66720.67</v>
      </c>
      <c r="AY262" s="94">
        <v>71411.88</v>
      </c>
      <c r="AZ262" s="94">
        <v>72405.81</v>
      </c>
      <c r="BA262" s="94">
        <v>40524.300000000003</v>
      </c>
      <c r="BB262" s="106">
        <v>174.6944</v>
      </c>
      <c r="BC262" s="94">
        <v>120.07299999999999</v>
      </c>
      <c r="BD262" s="94">
        <v>229.66249999999999</v>
      </c>
      <c r="BE262" s="94">
        <v>413.66269999999997</v>
      </c>
      <c r="BF262" s="95">
        <v>184.97829999999999</v>
      </c>
      <c r="BG262" s="94">
        <v>2760.1120000000001</v>
      </c>
      <c r="BH262" s="94">
        <v>3919.127</v>
      </c>
      <c r="BI262" s="94">
        <v>5723.7370000000001</v>
      </c>
      <c r="BJ262" s="94">
        <v>7433.0259999999998</v>
      </c>
      <c r="BK262" s="94">
        <v>2729.4369999999999</v>
      </c>
      <c r="BL262" s="106">
        <v>793.1087</v>
      </c>
      <c r="BM262" s="94">
        <v>954.35360000000003</v>
      </c>
      <c r="BN262" s="94">
        <v>1430.7139999999999</v>
      </c>
      <c r="BO262" s="94">
        <v>1827.058</v>
      </c>
      <c r="BP262" s="95">
        <v>2242.0720000000001</v>
      </c>
      <c r="BQ262" s="2"/>
      <c r="BR262" s="2"/>
      <c r="BS262" s="2"/>
    </row>
    <row r="263" spans="1:71" x14ac:dyDescent="0.35">
      <c r="A263" s="2"/>
      <c r="B263" s="2"/>
      <c r="C263" s="42" t="s">
        <v>525</v>
      </c>
      <c r="D263" s="109">
        <f t="shared" si="284"/>
        <v>2.9343560128132041E-2</v>
      </c>
      <c r="E263" s="109">
        <f t="shared" si="264"/>
        <v>2.6270923908358099E-2</v>
      </c>
      <c r="F263" s="109">
        <f t="shared" si="265"/>
        <v>5.0679347008973251E-3</v>
      </c>
      <c r="G263" s="109">
        <f t="shared" si="266"/>
        <v>4.9087321257879207E-2</v>
      </c>
      <c r="H263" s="109">
        <f t="shared" si="267"/>
        <v>0.11426262985403735</v>
      </c>
      <c r="I263" s="110">
        <f t="shared" si="268"/>
        <v>0</v>
      </c>
      <c r="J263" s="109">
        <f t="shared" si="269"/>
        <v>0</v>
      </c>
      <c r="K263" s="109">
        <f t="shared" si="270"/>
        <v>0</v>
      </c>
      <c r="L263" s="109">
        <f t="shared" si="271"/>
        <v>0</v>
      </c>
      <c r="M263" s="111">
        <f t="shared" si="272"/>
        <v>0</v>
      </c>
      <c r="N263" s="109">
        <f t="shared" si="273"/>
        <v>2.3361152086122081E-2</v>
      </c>
      <c r="O263" s="109">
        <f t="shared" si="274"/>
        <v>2.4536505285113412E-2</v>
      </c>
      <c r="P263" s="109">
        <f t="shared" si="275"/>
        <v>1.1050278482513693E-3</v>
      </c>
      <c r="Q263" s="109">
        <f t="shared" si="276"/>
        <v>0</v>
      </c>
      <c r="R263" s="109">
        <f t="shared" si="277"/>
        <v>0.68771524222835001</v>
      </c>
      <c r="S263" s="110">
        <f t="shared" si="278"/>
        <v>3.1493916898981248E-3</v>
      </c>
      <c r="T263" s="109">
        <f t="shared" si="279"/>
        <v>0</v>
      </c>
      <c r="U263" s="109">
        <f t="shared" si="280"/>
        <v>4.2030632435942445E-3</v>
      </c>
      <c r="V263" s="109">
        <f t="shared" si="281"/>
        <v>1.8461225674268805E-2</v>
      </c>
      <c r="W263" s="111">
        <f t="shared" si="282"/>
        <v>1.343602209509789E-2</v>
      </c>
      <c r="X263" s="115">
        <f t="shared" si="285"/>
        <v>0.99999999999999989</v>
      </c>
      <c r="Y263" s="38" t="s">
        <v>525</v>
      </c>
      <c r="Z263" s="42" t="s">
        <v>525</v>
      </c>
      <c r="AA263" s="67">
        <f t="shared" ref="AA263:AT263" si="319">IF($J151,SUMIF($AV$229:$AV$332,$Y263,AW$229:AW$332)*AA$227*$D151/$J151,0)</f>
        <v>28.76802</v>
      </c>
      <c r="AB263" s="67">
        <f t="shared" si="319"/>
        <v>25.755649999999999</v>
      </c>
      <c r="AC263" s="67">
        <f t="shared" si="319"/>
        <v>4.9685329999999999</v>
      </c>
      <c r="AD263" s="67">
        <f t="shared" si="319"/>
        <v>48.12453</v>
      </c>
      <c r="AE263" s="67">
        <f t="shared" si="319"/>
        <v>112.0215</v>
      </c>
      <c r="AF263" s="76">
        <f t="shared" si="319"/>
        <v>0</v>
      </c>
      <c r="AG263" s="67">
        <f t="shared" si="319"/>
        <v>0</v>
      </c>
      <c r="AH263" s="67">
        <f t="shared" si="319"/>
        <v>0</v>
      </c>
      <c r="AI263" s="67">
        <f t="shared" si="319"/>
        <v>0</v>
      </c>
      <c r="AJ263" s="68">
        <f t="shared" si="319"/>
        <v>0</v>
      </c>
      <c r="AK263" s="67">
        <f t="shared" si="319"/>
        <v>22.902950000000001</v>
      </c>
      <c r="AL263" s="67">
        <f t="shared" si="319"/>
        <v>24.055250000000001</v>
      </c>
      <c r="AM263" s="67">
        <f t="shared" si="319"/>
        <v>1.0833539999999999</v>
      </c>
      <c r="AN263" s="67">
        <f t="shared" si="319"/>
        <v>0</v>
      </c>
      <c r="AO263" s="67">
        <f t="shared" si="319"/>
        <v>674.22649999999999</v>
      </c>
      <c r="AP263" s="76">
        <f t="shared" si="319"/>
        <v>3.0876199999999998</v>
      </c>
      <c r="AQ263" s="67">
        <f t="shared" si="319"/>
        <v>0</v>
      </c>
      <c r="AR263" s="67">
        <f t="shared" si="319"/>
        <v>4.1206250000000004</v>
      </c>
      <c r="AS263" s="67">
        <f t="shared" si="319"/>
        <v>18.099129999999999</v>
      </c>
      <c r="AT263" s="68">
        <f t="shared" si="319"/>
        <v>13.17249</v>
      </c>
      <c r="AU263" s="2"/>
      <c r="AV263" s="104" t="s">
        <v>525</v>
      </c>
      <c r="AW263" s="94">
        <v>28.76802</v>
      </c>
      <c r="AX263" s="94">
        <v>25.755649999999999</v>
      </c>
      <c r="AY263" s="94">
        <v>4.9685329999999999</v>
      </c>
      <c r="AZ263" s="94">
        <v>48.12453</v>
      </c>
      <c r="BA263" s="94">
        <v>112.0215</v>
      </c>
      <c r="BB263" s="106">
        <v>0</v>
      </c>
      <c r="BC263" s="94">
        <v>0</v>
      </c>
      <c r="BD263" s="94">
        <v>0</v>
      </c>
      <c r="BE263" s="94">
        <v>0</v>
      </c>
      <c r="BF263" s="95">
        <v>0</v>
      </c>
      <c r="BG263" s="94">
        <v>22.902950000000001</v>
      </c>
      <c r="BH263" s="94">
        <v>24.055250000000001</v>
      </c>
      <c r="BI263" s="94">
        <v>1.0833539999999999</v>
      </c>
      <c r="BJ263" s="94">
        <v>0</v>
      </c>
      <c r="BK263" s="94">
        <v>674.22649999999999</v>
      </c>
      <c r="BL263" s="106">
        <v>3.0876199999999998</v>
      </c>
      <c r="BM263" s="94">
        <v>0</v>
      </c>
      <c r="BN263" s="94">
        <v>4.1206250000000004</v>
      </c>
      <c r="BO263" s="94">
        <v>18.099129999999999</v>
      </c>
      <c r="BP263" s="95">
        <v>13.17249</v>
      </c>
      <c r="BQ263" s="2"/>
      <c r="BR263" s="2"/>
      <c r="BS263" s="2"/>
    </row>
    <row r="264" spans="1:71" x14ac:dyDescent="0.35">
      <c r="A264" s="2"/>
      <c r="B264" s="2"/>
      <c r="C264" s="42" t="s">
        <v>485</v>
      </c>
      <c r="D264" s="109">
        <f t="shared" si="284"/>
        <v>0</v>
      </c>
      <c r="E264" s="109">
        <f t="shared" si="264"/>
        <v>0</v>
      </c>
      <c r="F264" s="109">
        <f t="shared" si="265"/>
        <v>0</v>
      </c>
      <c r="G264" s="109">
        <f t="shared" si="266"/>
        <v>0</v>
      </c>
      <c r="H264" s="109">
        <f t="shared" si="267"/>
        <v>0</v>
      </c>
      <c r="I264" s="110">
        <f t="shared" si="268"/>
        <v>0</v>
      </c>
      <c r="J264" s="109">
        <f t="shared" si="269"/>
        <v>0</v>
      </c>
      <c r="K264" s="109">
        <f t="shared" si="270"/>
        <v>0</v>
      </c>
      <c r="L264" s="109">
        <f t="shared" si="271"/>
        <v>0</v>
      </c>
      <c r="M264" s="111">
        <f t="shared" si="272"/>
        <v>0</v>
      </c>
      <c r="N264" s="109">
        <f t="shared" si="273"/>
        <v>0</v>
      </c>
      <c r="O264" s="109">
        <f t="shared" si="274"/>
        <v>0</v>
      </c>
      <c r="P264" s="109">
        <f t="shared" si="275"/>
        <v>0</v>
      </c>
      <c r="Q264" s="109">
        <f t="shared" si="276"/>
        <v>0</v>
      </c>
      <c r="R264" s="109">
        <f t="shared" si="277"/>
        <v>0</v>
      </c>
      <c r="S264" s="110">
        <f t="shared" si="278"/>
        <v>0</v>
      </c>
      <c r="T264" s="109">
        <f t="shared" si="279"/>
        <v>0</v>
      </c>
      <c r="U264" s="109">
        <f t="shared" si="280"/>
        <v>0</v>
      </c>
      <c r="V264" s="109">
        <f t="shared" si="281"/>
        <v>0</v>
      </c>
      <c r="W264" s="111">
        <f t="shared" si="282"/>
        <v>0</v>
      </c>
      <c r="X264" s="115">
        <f t="shared" si="285"/>
        <v>0</v>
      </c>
      <c r="Y264" s="38" t="s">
        <v>485</v>
      </c>
      <c r="Z264" s="42" t="s">
        <v>485</v>
      </c>
      <c r="AA264" s="67">
        <f t="shared" ref="AA264:AT264" si="320">IF($J152,SUMIF($AV$229:$AV$332,$Y264,AW$229:AW$332)*AA$227*$D152/$J152,0)</f>
        <v>0</v>
      </c>
      <c r="AB264" s="67">
        <f t="shared" si="320"/>
        <v>0</v>
      </c>
      <c r="AC264" s="67">
        <f t="shared" si="320"/>
        <v>0</v>
      </c>
      <c r="AD264" s="67">
        <f t="shared" si="320"/>
        <v>0</v>
      </c>
      <c r="AE264" s="67">
        <f t="shared" si="320"/>
        <v>0</v>
      </c>
      <c r="AF264" s="76">
        <f t="shared" si="320"/>
        <v>0</v>
      </c>
      <c r="AG264" s="67">
        <f t="shared" si="320"/>
        <v>0</v>
      </c>
      <c r="AH264" s="67">
        <f t="shared" si="320"/>
        <v>0</v>
      </c>
      <c r="AI264" s="67">
        <f t="shared" si="320"/>
        <v>0</v>
      </c>
      <c r="AJ264" s="68">
        <f t="shared" si="320"/>
        <v>0</v>
      </c>
      <c r="AK264" s="67">
        <f t="shared" si="320"/>
        <v>0</v>
      </c>
      <c r="AL264" s="67">
        <f t="shared" si="320"/>
        <v>0</v>
      </c>
      <c r="AM264" s="67">
        <f t="shared" si="320"/>
        <v>0</v>
      </c>
      <c r="AN264" s="67">
        <f t="shared" si="320"/>
        <v>0</v>
      </c>
      <c r="AO264" s="67">
        <f t="shared" si="320"/>
        <v>0</v>
      </c>
      <c r="AP264" s="76">
        <f t="shared" si="320"/>
        <v>0</v>
      </c>
      <c r="AQ264" s="67">
        <f t="shared" si="320"/>
        <v>0</v>
      </c>
      <c r="AR264" s="67">
        <f t="shared" si="320"/>
        <v>0</v>
      </c>
      <c r="AS264" s="67">
        <f t="shared" si="320"/>
        <v>0</v>
      </c>
      <c r="AT264" s="68">
        <f t="shared" si="320"/>
        <v>0</v>
      </c>
      <c r="AU264" s="2"/>
      <c r="AV264" s="104" t="s">
        <v>485</v>
      </c>
      <c r="AW264" s="94"/>
      <c r="AX264" s="94"/>
      <c r="AY264" s="94"/>
      <c r="AZ264" s="94"/>
      <c r="BA264" s="94"/>
      <c r="BB264" s="106"/>
      <c r="BC264" s="94"/>
      <c r="BD264" s="94"/>
      <c r="BE264" s="94"/>
      <c r="BF264" s="95"/>
      <c r="BG264" s="94"/>
      <c r="BH264" s="94"/>
      <c r="BI264" s="94"/>
      <c r="BJ264" s="94"/>
      <c r="BK264" s="94"/>
      <c r="BL264" s="106"/>
      <c r="BM264" s="94"/>
      <c r="BN264" s="94"/>
      <c r="BO264" s="94"/>
      <c r="BP264" s="95"/>
      <c r="BQ264" s="2"/>
      <c r="BR264" s="2"/>
      <c r="BS264" s="2"/>
    </row>
    <row r="265" spans="1:71" x14ac:dyDescent="0.35">
      <c r="A265" s="2"/>
      <c r="B265" s="2"/>
      <c r="C265" s="42" t="s">
        <v>484</v>
      </c>
      <c r="D265" s="109">
        <f t="shared" si="284"/>
        <v>6.647520302629692E-2</v>
      </c>
      <c r="E265" s="109">
        <f t="shared" si="264"/>
        <v>0.16915763434584302</v>
      </c>
      <c r="F265" s="109">
        <f t="shared" si="265"/>
        <v>0.30014009818825993</v>
      </c>
      <c r="G265" s="109">
        <f t="shared" si="266"/>
        <v>0.20015555054333303</v>
      </c>
      <c r="H265" s="109">
        <f t="shared" si="267"/>
        <v>0.2640715138962671</v>
      </c>
      <c r="I265" s="110">
        <f t="shared" si="268"/>
        <v>0</v>
      </c>
      <c r="J265" s="109">
        <f t="shared" si="269"/>
        <v>0</v>
      </c>
      <c r="K265" s="109">
        <f t="shared" si="270"/>
        <v>0</v>
      </c>
      <c r="L265" s="109">
        <f t="shared" si="271"/>
        <v>0</v>
      </c>
      <c r="M265" s="111">
        <f t="shared" si="272"/>
        <v>0</v>
      </c>
      <c r="N265" s="109">
        <f t="shared" si="273"/>
        <v>0</v>
      </c>
      <c r="O265" s="109">
        <f t="shared" si="274"/>
        <v>0</v>
      </c>
      <c r="P265" s="109">
        <f t="shared" si="275"/>
        <v>0</v>
      </c>
      <c r="Q265" s="109">
        <f t="shared" si="276"/>
        <v>0</v>
      </c>
      <c r="R265" s="109">
        <f t="shared" si="277"/>
        <v>0</v>
      </c>
      <c r="S265" s="110">
        <f t="shared" si="278"/>
        <v>0</v>
      </c>
      <c r="T265" s="109">
        <f t="shared" si="279"/>
        <v>0</v>
      </c>
      <c r="U265" s="109">
        <f t="shared" si="280"/>
        <v>0</v>
      </c>
      <c r="V265" s="109">
        <f t="shared" si="281"/>
        <v>0</v>
      </c>
      <c r="W265" s="111">
        <f t="shared" si="282"/>
        <v>0</v>
      </c>
      <c r="X265" s="115">
        <f t="shared" si="285"/>
        <v>1</v>
      </c>
      <c r="Y265" s="38" t="s">
        <v>484</v>
      </c>
      <c r="Z265" s="42" t="s">
        <v>484</v>
      </c>
      <c r="AA265" s="67">
        <f t="shared" ref="AA265:AT265" si="321">IF($J153,SUMIF($AV$229:$AV$332,$Y265,AW$229:AW$332)*AA$227*$D153/$J153,0)</f>
        <v>30.81054</v>
      </c>
      <c r="AB265" s="67">
        <f t="shared" si="321"/>
        <v>78.402739999999994</v>
      </c>
      <c r="AC265" s="67">
        <f t="shared" si="321"/>
        <v>139.11170000000001</v>
      </c>
      <c r="AD265" s="67">
        <f t="shared" si="321"/>
        <v>92.769940000000005</v>
      </c>
      <c r="AE265" s="67">
        <f t="shared" si="321"/>
        <v>122.3943</v>
      </c>
      <c r="AF265" s="76">
        <f t="shared" si="321"/>
        <v>0</v>
      </c>
      <c r="AG265" s="67">
        <f t="shared" si="321"/>
        <v>0</v>
      </c>
      <c r="AH265" s="67">
        <f t="shared" si="321"/>
        <v>0</v>
      </c>
      <c r="AI265" s="67">
        <f t="shared" si="321"/>
        <v>0</v>
      </c>
      <c r="AJ265" s="68">
        <f t="shared" si="321"/>
        <v>0</v>
      </c>
      <c r="AK265" s="67">
        <f t="shared" si="321"/>
        <v>0</v>
      </c>
      <c r="AL265" s="67">
        <f t="shared" si="321"/>
        <v>0</v>
      </c>
      <c r="AM265" s="67">
        <f t="shared" si="321"/>
        <v>0</v>
      </c>
      <c r="AN265" s="67">
        <f t="shared" si="321"/>
        <v>0</v>
      </c>
      <c r="AO265" s="67">
        <f t="shared" si="321"/>
        <v>0</v>
      </c>
      <c r="AP265" s="76">
        <f t="shared" si="321"/>
        <v>0</v>
      </c>
      <c r="AQ265" s="67">
        <f t="shared" si="321"/>
        <v>0</v>
      </c>
      <c r="AR265" s="67">
        <f t="shared" si="321"/>
        <v>0</v>
      </c>
      <c r="AS265" s="67">
        <f t="shared" si="321"/>
        <v>0</v>
      </c>
      <c r="AT265" s="68">
        <f t="shared" si="321"/>
        <v>0</v>
      </c>
      <c r="AU265" s="2"/>
      <c r="AV265" s="104" t="s">
        <v>484</v>
      </c>
      <c r="AW265" s="94">
        <v>30.81054</v>
      </c>
      <c r="AX265" s="94">
        <v>78.402739999999994</v>
      </c>
      <c r="AY265" s="94">
        <v>139.11170000000001</v>
      </c>
      <c r="AZ265" s="94">
        <v>92.769940000000005</v>
      </c>
      <c r="BA265" s="94">
        <v>122.3943</v>
      </c>
      <c r="BB265" s="106">
        <v>0</v>
      </c>
      <c r="BC265" s="94">
        <v>0</v>
      </c>
      <c r="BD265" s="94">
        <v>0</v>
      </c>
      <c r="BE265" s="94">
        <v>0</v>
      </c>
      <c r="BF265" s="95">
        <v>0</v>
      </c>
      <c r="BG265" s="94">
        <v>0</v>
      </c>
      <c r="BH265" s="94">
        <v>0</v>
      </c>
      <c r="BI265" s="94">
        <v>0</v>
      </c>
      <c r="BJ265" s="94">
        <v>0</v>
      </c>
      <c r="BK265" s="94">
        <v>0</v>
      </c>
      <c r="BL265" s="106">
        <v>0</v>
      </c>
      <c r="BM265" s="94">
        <v>0</v>
      </c>
      <c r="BN265" s="94">
        <v>0</v>
      </c>
      <c r="BO265" s="94">
        <v>0</v>
      </c>
      <c r="BP265" s="95">
        <v>0</v>
      </c>
      <c r="BQ265" s="2"/>
      <c r="BR265" s="2"/>
      <c r="BS265" s="2"/>
    </row>
    <row r="266" spans="1:71" x14ac:dyDescent="0.35">
      <c r="A266" s="2"/>
      <c r="B266" s="2"/>
      <c r="C266" s="42" t="s">
        <v>448</v>
      </c>
      <c r="D266" s="109">
        <f t="shared" si="284"/>
        <v>0</v>
      </c>
      <c r="E266" s="109">
        <f t="shared" si="264"/>
        <v>0</v>
      </c>
      <c r="F266" s="109">
        <f t="shared" si="265"/>
        <v>0</v>
      </c>
      <c r="G266" s="109">
        <f t="shared" si="266"/>
        <v>0</v>
      </c>
      <c r="H266" s="109">
        <f t="shared" si="267"/>
        <v>0</v>
      </c>
      <c r="I266" s="110">
        <f t="shared" si="268"/>
        <v>0</v>
      </c>
      <c r="J266" s="109">
        <f t="shared" si="269"/>
        <v>0</v>
      </c>
      <c r="K266" s="109">
        <f t="shared" si="270"/>
        <v>0</v>
      </c>
      <c r="L266" s="109">
        <f t="shared" si="271"/>
        <v>0</v>
      </c>
      <c r="M266" s="111">
        <f t="shared" si="272"/>
        <v>0</v>
      </c>
      <c r="N266" s="109">
        <f t="shared" si="273"/>
        <v>0</v>
      </c>
      <c r="O266" s="109">
        <f t="shared" si="274"/>
        <v>0</v>
      </c>
      <c r="P266" s="109">
        <f t="shared" si="275"/>
        <v>0</v>
      </c>
      <c r="Q266" s="109">
        <f t="shared" si="276"/>
        <v>0</v>
      </c>
      <c r="R266" s="109">
        <f t="shared" si="277"/>
        <v>0</v>
      </c>
      <c r="S266" s="110">
        <f t="shared" si="278"/>
        <v>0</v>
      </c>
      <c r="T266" s="109">
        <f t="shared" si="279"/>
        <v>0</v>
      </c>
      <c r="U266" s="109">
        <f t="shared" si="280"/>
        <v>0</v>
      </c>
      <c r="V266" s="109">
        <f t="shared" si="281"/>
        <v>0</v>
      </c>
      <c r="W266" s="111">
        <f t="shared" si="282"/>
        <v>0</v>
      </c>
      <c r="X266" s="115">
        <f t="shared" si="285"/>
        <v>0</v>
      </c>
      <c r="Y266" s="38" t="s">
        <v>448</v>
      </c>
      <c r="Z266" s="42" t="s">
        <v>448</v>
      </c>
      <c r="AA266" s="67">
        <f t="shared" ref="AA266:AT266" si="322">IF($J154,SUMIF($AV$229:$AV$332,$Y266,AW$229:AW$332)*AA$227*$D154/$J154,0)</f>
        <v>0</v>
      </c>
      <c r="AB266" s="67">
        <f t="shared" si="322"/>
        <v>0</v>
      </c>
      <c r="AC266" s="67">
        <f t="shared" si="322"/>
        <v>0</v>
      </c>
      <c r="AD266" s="67">
        <f t="shared" si="322"/>
        <v>0</v>
      </c>
      <c r="AE266" s="67">
        <f t="shared" si="322"/>
        <v>0</v>
      </c>
      <c r="AF266" s="76">
        <f t="shared" si="322"/>
        <v>0</v>
      </c>
      <c r="AG266" s="67">
        <f t="shared" si="322"/>
        <v>0</v>
      </c>
      <c r="AH266" s="67">
        <f t="shared" si="322"/>
        <v>0</v>
      </c>
      <c r="AI266" s="67">
        <f t="shared" si="322"/>
        <v>0</v>
      </c>
      <c r="AJ266" s="68">
        <f t="shared" si="322"/>
        <v>0</v>
      </c>
      <c r="AK266" s="67">
        <f t="shared" si="322"/>
        <v>0</v>
      </c>
      <c r="AL266" s="67">
        <f t="shared" si="322"/>
        <v>0</v>
      </c>
      <c r="AM266" s="67">
        <f t="shared" si="322"/>
        <v>0</v>
      </c>
      <c r="AN266" s="67">
        <f t="shared" si="322"/>
        <v>0</v>
      </c>
      <c r="AO266" s="67">
        <f t="shared" si="322"/>
        <v>0</v>
      </c>
      <c r="AP266" s="76">
        <f t="shared" si="322"/>
        <v>0</v>
      </c>
      <c r="AQ266" s="67">
        <f t="shared" si="322"/>
        <v>0</v>
      </c>
      <c r="AR266" s="67">
        <f t="shared" si="322"/>
        <v>0</v>
      </c>
      <c r="AS266" s="67">
        <f t="shared" si="322"/>
        <v>0</v>
      </c>
      <c r="AT266" s="68">
        <f t="shared" si="322"/>
        <v>0</v>
      </c>
      <c r="AU266" s="2"/>
      <c r="AV266" s="104" t="s">
        <v>448</v>
      </c>
      <c r="AW266" s="94"/>
      <c r="AX266" s="94"/>
      <c r="AY266" s="94"/>
      <c r="AZ266" s="94"/>
      <c r="BA266" s="94"/>
      <c r="BB266" s="106"/>
      <c r="BC266" s="94"/>
      <c r="BD266" s="94"/>
      <c r="BE266" s="94"/>
      <c r="BF266" s="95"/>
      <c r="BG266" s="94"/>
      <c r="BH266" s="94"/>
      <c r="BI266" s="94"/>
      <c r="BJ266" s="94"/>
      <c r="BK266" s="94"/>
      <c r="BL266" s="106"/>
      <c r="BM266" s="94"/>
      <c r="BN266" s="94"/>
      <c r="BO266" s="94"/>
      <c r="BP266" s="95"/>
      <c r="BQ266" s="2"/>
      <c r="BR266" s="2"/>
      <c r="BS266" s="2"/>
    </row>
    <row r="267" spans="1:71" x14ac:dyDescent="0.35">
      <c r="A267" s="2"/>
      <c r="B267" s="2"/>
      <c r="C267" s="42" t="s">
        <v>526</v>
      </c>
      <c r="D267" s="109">
        <f t="shared" si="284"/>
        <v>0</v>
      </c>
      <c r="E267" s="109">
        <f t="shared" si="264"/>
        <v>0</v>
      </c>
      <c r="F267" s="109">
        <f t="shared" si="265"/>
        <v>0</v>
      </c>
      <c r="G267" s="109">
        <f t="shared" si="266"/>
        <v>0</v>
      </c>
      <c r="H267" s="109">
        <f t="shared" si="267"/>
        <v>0</v>
      </c>
      <c r="I267" s="110">
        <f t="shared" si="268"/>
        <v>0</v>
      </c>
      <c r="J267" s="109">
        <f t="shared" si="269"/>
        <v>0</v>
      </c>
      <c r="K267" s="109">
        <f t="shared" si="270"/>
        <v>0</v>
      </c>
      <c r="L267" s="109">
        <f t="shared" si="271"/>
        <v>0</v>
      </c>
      <c r="M267" s="111">
        <f t="shared" si="272"/>
        <v>0</v>
      </c>
      <c r="N267" s="109">
        <f t="shared" si="273"/>
        <v>0</v>
      </c>
      <c r="O267" s="109">
        <f t="shared" si="274"/>
        <v>0</v>
      </c>
      <c r="P267" s="109">
        <f t="shared" si="275"/>
        <v>0</v>
      </c>
      <c r="Q267" s="109">
        <f t="shared" si="276"/>
        <v>0</v>
      </c>
      <c r="R267" s="109">
        <f t="shared" si="277"/>
        <v>0</v>
      </c>
      <c r="S267" s="110">
        <f t="shared" si="278"/>
        <v>0</v>
      </c>
      <c r="T267" s="109">
        <f t="shared" si="279"/>
        <v>0</v>
      </c>
      <c r="U267" s="109">
        <f t="shared" si="280"/>
        <v>0</v>
      </c>
      <c r="V267" s="109">
        <f t="shared" si="281"/>
        <v>0</v>
      </c>
      <c r="W267" s="111">
        <f t="shared" si="282"/>
        <v>0</v>
      </c>
      <c r="X267" s="115">
        <f t="shared" si="285"/>
        <v>0</v>
      </c>
      <c r="Y267" s="38" t="s">
        <v>526</v>
      </c>
      <c r="Z267" s="42" t="s">
        <v>526</v>
      </c>
      <c r="AA267" s="67">
        <f t="shared" ref="AA267:AT267" si="323">IF($J155,SUMIF($AV$229:$AV$332,$Y267,AW$229:AW$332)*AA$227*$D155/$J155,0)</f>
        <v>0</v>
      </c>
      <c r="AB267" s="67">
        <f t="shared" si="323"/>
        <v>0</v>
      </c>
      <c r="AC267" s="67">
        <f t="shared" si="323"/>
        <v>0</v>
      </c>
      <c r="AD267" s="67">
        <f t="shared" si="323"/>
        <v>0</v>
      </c>
      <c r="AE267" s="67">
        <f t="shared" si="323"/>
        <v>0</v>
      </c>
      <c r="AF267" s="76">
        <f t="shared" si="323"/>
        <v>0</v>
      </c>
      <c r="AG267" s="67">
        <f t="shared" si="323"/>
        <v>0</v>
      </c>
      <c r="AH267" s="67">
        <f t="shared" si="323"/>
        <v>0</v>
      </c>
      <c r="AI267" s="67">
        <f t="shared" si="323"/>
        <v>0</v>
      </c>
      <c r="AJ267" s="68">
        <f t="shared" si="323"/>
        <v>0</v>
      </c>
      <c r="AK267" s="67">
        <f t="shared" si="323"/>
        <v>0</v>
      </c>
      <c r="AL267" s="67">
        <f t="shared" si="323"/>
        <v>0</v>
      </c>
      <c r="AM267" s="67">
        <f t="shared" si="323"/>
        <v>0</v>
      </c>
      <c r="AN267" s="67">
        <f t="shared" si="323"/>
        <v>0</v>
      </c>
      <c r="AO267" s="67">
        <f t="shared" si="323"/>
        <v>0</v>
      </c>
      <c r="AP267" s="76">
        <f t="shared" si="323"/>
        <v>0</v>
      </c>
      <c r="AQ267" s="67">
        <f t="shared" si="323"/>
        <v>0</v>
      </c>
      <c r="AR267" s="67">
        <f t="shared" si="323"/>
        <v>0</v>
      </c>
      <c r="AS267" s="67">
        <f t="shared" si="323"/>
        <v>0</v>
      </c>
      <c r="AT267" s="68">
        <f t="shared" si="323"/>
        <v>0</v>
      </c>
      <c r="AU267" s="2"/>
      <c r="AV267" s="104" t="s">
        <v>526</v>
      </c>
      <c r="AW267" s="94"/>
      <c r="AX267" s="94"/>
      <c r="AY267" s="94"/>
      <c r="AZ267" s="94"/>
      <c r="BA267" s="94"/>
      <c r="BB267" s="106"/>
      <c r="BC267" s="94"/>
      <c r="BD267" s="94"/>
      <c r="BE267" s="94"/>
      <c r="BF267" s="95"/>
      <c r="BG267" s="94"/>
      <c r="BH267" s="94"/>
      <c r="BI267" s="94"/>
      <c r="BJ267" s="94"/>
      <c r="BK267" s="94"/>
      <c r="BL267" s="106"/>
      <c r="BM267" s="94"/>
      <c r="BN267" s="94"/>
      <c r="BO267" s="94"/>
      <c r="BP267" s="95"/>
      <c r="BQ267" s="2"/>
      <c r="BR267" s="2"/>
      <c r="BS267" s="2"/>
    </row>
    <row r="268" spans="1:71" x14ac:dyDescent="0.35">
      <c r="A268" s="2"/>
      <c r="B268" s="2"/>
      <c r="C268" s="42" t="s">
        <v>452</v>
      </c>
      <c r="D268" s="109">
        <f t="shared" si="284"/>
        <v>0</v>
      </c>
      <c r="E268" s="109">
        <f t="shared" si="264"/>
        <v>0</v>
      </c>
      <c r="F268" s="109">
        <f t="shared" si="265"/>
        <v>0</v>
      </c>
      <c r="G268" s="109">
        <f t="shared" si="266"/>
        <v>0</v>
      </c>
      <c r="H268" s="109">
        <f t="shared" si="267"/>
        <v>0</v>
      </c>
      <c r="I268" s="110">
        <f t="shared" si="268"/>
        <v>0</v>
      </c>
      <c r="J268" s="109">
        <f t="shared" si="269"/>
        <v>0</v>
      </c>
      <c r="K268" s="109">
        <f t="shared" si="270"/>
        <v>0</v>
      </c>
      <c r="L268" s="109">
        <f t="shared" si="271"/>
        <v>0</v>
      </c>
      <c r="M268" s="111">
        <f t="shared" si="272"/>
        <v>0</v>
      </c>
      <c r="N268" s="109">
        <f t="shared" si="273"/>
        <v>0</v>
      </c>
      <c r="O268" s="109">
        <f t="shared" si="274"/>
        <v>0</v>
      </c>
      <c r="P268" s="109">
        <f t="shared" si="275"/>
        <v>0</v>
      </c>
      <c r="Q268" s="109">
        <f t="shared" si="276"/>
        <v>0</v>
      </c>
      <c r="R268" s="109">
        <f t="shared" si="277"/>
        <v>0</v>
      </c>
      <c r="S268" s="110">
        <f t="shared" si="278"/>
        <v>0</v>
      </c>
      <c r="T268" s="109">
        <f t="shared" si="279"/>
        <v>0</v>
      </c>
      <c r="U268" s="109">
        <f t="shared" si="280"/>
        <v>0</v>
      </c>
      <c r="V268" s="109">
        <f t="shared" si="281"/>
        <v>0</v>
      </c>
      <c r="W268" s="111">
        <f t="shared" si="282"/>
        <v>0</v>
      </c>
      <c r="X268" s="115">
        <f t="shared" si="285"/>
        <v>0</v>
      </c>
      <c r="Y268" s="38" t="s">
        <v>452</v>
      </c>
      <c r="Z268" s="42" t="s">
        <v>452</v>
      </c>
      <c r="AA268" s="67">
        <f t="shared" ref="AA268:AT268" si="324">IF($J156,SUMIF($AV$229:$AV$332,$Y268,AW$229:AW$332)*AA$227*$D156/$J156,0)</f>
        <v>0</v>
      </c>
      <c r="AB268" s="67">
        <f t="shared" si="324"/>
        <v>0</v>
      </c>
      <c r="AC268" s="67">
        <f t="shared" si="324"/>
        <v>0</v>
      </c>
      <c r="AD268" s="67">
        <f t="shared" si="324"/>
        <v>0</v>
      </c>
      <c r="AE268" s="67">
        <f t="shared" si="324"/>
        <v>0</v>
      </c>
      <c r="AF268" s="76">
        <f t="shared" si="324"/>
        <v>0</v>
      </c>
      <c r="AG268" s="67">
        <f t="shared" si="324"/>
        <v>0</v>
      </c>
      <c r="AH268" s="67">
        <f t="shared" si="324"/>
        <v>0</v>
      </c>
      <c r="AI268" s="67">
        <f t="shared" si="324"/>
        <v>0</v>
      </c>
      <c r="AJ268" s="68">
        <f t="shared" si="324"/>
        <v>0</v>
      </c>
      <c r="AK268" s="67">
        <f t="shared" si="324"/>
        <v>0</v>
      </c>
      <c r="AL268" s="67">
        <f t="shared" si="324"/>
        <v>0</v>
      </c>
      <c r="AM268" s="67">
        <f t="shared" si="324"/>
        <v>0</v>
      </c>
      <c r="AN268" s="67">
        <f t="shared" si="324"/>
        <v>0</v>
      </c>
      <c r="AO268" s="67">
        <f t="shared" si="324"/>
        <v>0</v>
      </c>
      <c r="AP268" s="76">
        <f t="shared" si="324"/>
        <v>0</v>
      </c>
      <c r="AQ268" s="67">
        <f t="shared" si="324"/>
        <v>0</v>
      </c>
      <c r="AR268" s="67">
        <f t="shared" si="324"/>
        <v>0</v>
      </c>
      <c r="AS268" s="67">
        <f t="shared" si="324"/>
        <v>0</v>
      </c>
      <c r="AT268" s="68">
        <f t="shared" si="324"/>
        <v>0</v>
      </c>
      <c r="AU268" s="2"/>
      <c r="AV268" s="104" t="s">
        <v>452</v>
      </c>
      <c r="AW268" s="94"/>
      <c r="AX268" s="94"/>
      <c r="AY268" s="94"/>
      <c r="AZ268" s="94"/>
      <c r="BA268" s="94"/>
      <c r="BB268" s="106"/>
      <c r="BC268" s="94"/>
      <c r="BD268" s="94"/>
      <c r="BE268" s="94"/>
      <c r="BF268" s="95"/>
      <c r="BG268" s="94"/>
      <c r="BH268" s="94"/>
      <c r="BI268" s="94"/>
      <c r="BJ268" s="94"/>
      <c r="BK268" s="94"/>
      <c r="BL268" s="106"/>
      <c r="BM268" s="94"/>
      <c r="BN268" s="94"/>
      <c r="BO268" s="94"/>
      <c r="BP268" s="95"/>
      <c r="BQ268" s="2"/>
      <c r="BR268" s="2"/>
      <c r="BS268" s="2"/>
    </row>
    <row r="269" spans="1:71" x14ac:dyDescent="0.35">
      <c r="A269" s="2"/>
      <c r="B269" s="2"/>
      <c r="C269" s="42" t="s">
        <v>486</v>
      </c>
      <c r="D269" s="109">
        <f t="shared" si="284"/>
        <v>0.20771240844689626</v>
      </c>
      <c r="E269" s="109">
        <f t="shared" si="264"/>
        <v>0.11924103932805478</v>
      </c>
      <c r="F269" s="109">
        <f t="shared" si="265"/>
        <v>0</v>
      </c>
      <c r="G269" s="109">
        <f t="shared" si="266"/>
        <v>0.6083020957653873</v>
      </c>
      <c r="H269" s="109">
        <f t="shared" si="267"/>
        <v>6.46078225495655E-2</v>
      </c>
      <c r="I269" s="110">
        <f t="shared" si="268"/>
        <v>0</v>
      </c>
      <c r="J269" s="109">
        <f t="shared" si="269"/>
        <v>0</v>
      </c>
      <c r="K269" s="109">
        <f t="shared" si="270"/>
        <v>0</v>
      </c>
      <c r="L269" s="109">
        <f t="shared" si="271"/>
        <v>0</v>
      </c>
      <c r="M269" s="111">
        <f t="shared" si="272"/>
        <v>0</v>
      </c>
      <c r="N269" s="109">
        <f t="shared" si="273"/>
        <v>0</v>
      </c>
      <c r="O269" s="109">
        <f t="shared" si="274"/>
        <v>0</v>
      </c>
      <c r="P269" s="109">
        <f t="shared" si="275"/>
        <v>0</v>
      </c>
      <c r="Q269" s="109">
        <f t="shared" si="276"/>
        <v>0</v>
      </c>
      <c r="R269" s="109">
        <f t="shared" si="277"/>
        <v>1.366339100961327E-4</v>
      </c>
      <c r="S269" s="110">
        <f t="shared" si="278"/>
        <v>0</v>
      </c>
      <c r="T269" s="109">
        <f t="shared" si="279"/>
        <v>0</v>
      </c>
      <c r="U269" s="109">
        <f t="shared" si="280"/>
        <v>0</v>
      </c>
      <c r="V269" s="109">
        <f t="shared" si="281"/>
        <v>0</v>
      </c>
      <c r="W269" s="111">
        <f t="shared" si="282"/>
        <v>0</v>
      </c>
      <c r="X269" s="115">
        <f t="shared" si="285"/>
        <v>1</v>
      </c>
      <c r="Y269" s="38" t="s">
        <v>486</v>
      </c>
      <c r="Z269" s="42" t="s">
        <v>486</v>
      </c>
      <c r="AA269" s="67">
        <f t="shared" ref="AA269:AT269" si="325">IF($J157,SUMIF($AV$229:$AV$332,$Y269,AW$229:AW$332)*AA$227*$D157/$J157,0)</f>
        <v>25.214680000000001</v>
      </c>
      <c r="AB269" s="67">
        <f t="shared" si="325"/>
        <v>14.47494</v>
      </c>
      <c r="AC269" s="67">
        <f t="shared" si="325"/>
        <v>0</v>
      </c>
      <c r="AD269" s="67">
        <f t="shared" si="325"/>
        <v>73.843170000000001</v>
      </c>
      <c r="AE269" s="67">
        <f t="shared" si="325"/>
        <v>7.8428899999999997</v>
      </c>
      <c r="AF269" s="76">
        <f t="shared" si="325"/>
        <v>0</v>
      </c>
      <c r="AG269" s="67">
        <f t="shared" si="325"/>
        <v>0</v>
      </c>
      <c r="AH269" s="67">
        <f t="shared" si="325"/>
        <v>0</v>
      </c>
      <c r="AI269" s="67">
        <f t="shared" si="325"/>
        <v>0</v>
      </c>
      <c r="AJ269" s="68">
        <f t="shared" si="325"/>
        <v>0</v>
      </c>
      <c r="AK269" s="67">
        <f t="shared" si="325"/>
        <v>0</v>
      </c>
      <c r="AL269" s="67">
        <f t="shared" si="325"/>
        <v>0</v>
      </c>
      <c r="AM269" s="67">
        <f t="shared" si="325"/>
        <v>0</v>
      </c>
      <c r="AN269" s="67">
        <f t="shared" si="325"/>
        <v>0</v>
      </c>
      <c r="AO269" s="67">
        <f t="shared" si="325"/>
        <v>1.6586299999999998E-2</v>
      </c>
      <c r="AP269" s="76">
        <f t="shared" si="325"/>
        <v>0</v>
      </c>
      <c r="AQ269" s="67">
        <f t="shared" si="325"/>
        <v>0</v>
      </c>
      <c r="AR269" s="67">
        <f t="shared" si="325"/>
        <v>0</v>
      </c>
      <c r="AS269" s="67">
        <f t="shared" si="325"/>
        <v>0</v>
      </c>
      <c r="AT269" s="68">
        <f t="shared" si="325"/>
        <v>0</v>
      </c>
      <c r="AU269" s="2"/>
      <c r="AV269" s="104" t="s">
        <v>486</v>
      </c>
      <c r="AW269" s="94">
        <v>25.214680000000001</v>
      </c>
      <c r="AX269" s="94">
        <v>14.47494</v>
      </c>
      <c r="AY269" s="94">
        <v>0</v>
      </c>
      <c r="AZ269" s="94">
        <v>73.843170000000001</v>
      </c>
      <c r="BA269" s="94">
        <v>7.8428899999999997</v>
      </c>
      <c r="BB269" s="106">
        <v>0</v>
      </c>
      <c r="BC269" s="94">
        <v>0</v>
      </c>
      <c r="BD269" s="94">
        <v>0</v>
      </c>
      <c r="BE269" s="94">
        <v>0</v>
      </c>
      <c r="BF269" s="95">
        <v>0</v>
      </c>
      <c r="BG269" s="94">
        <v>0</v>
      </c>
      <c r="BH269" s="94">
        <v>0</v>
      </c>
      <c r="BI269" s="94">
        <v>0</v>
      </c>
      <c r="BJ269" s="94">
        <v>0</v>
      </c>
      <c r="BK269" s="94">
        <v>1.6586299999999998E-2</v>
      </c>
      <c r="BL269" s="106">
        <v>0</v>
      </c>
      <c r="BM269" s="94">
        <v>0</v>
      </c>
      <c r="BN269" s="94">
        <v>0</v>
      </c>
      <c r="BO269" s="94">
        <v>0</v>
      </c>
      <c r="BP269" s="95">
        <v>0</v>
      </c>
      <c r="BQ269" s="2"/>
      <c r="BR269" s="2"/>
      <c r="BS269" s="2"/>
    </row>
    <row r="270" spans="1:71" x14ac:dyDescent="0.35">
      <c r="A270" s="2"/>
      <c r="B270" s="2"/>
      <c r="C270" s="42" t="s">
        <v>487</v>
      </c>
      <c r="D270" s="109">
        <f t="shared" si="284"/>
        <v>0</v>
      </c>
      <c r="E270" s="109">
        <f t="shared" si="264"/>
        <v>0</v>
      </c>
      <c r="F270" s="109">
        <f t="shared" si="265"/>
        <v>0</v>
      </c>
      <c r="G270" s="109">
        <f t="shared" si="266"/>
        <v>0</v>
      </c>
      <c r="H270" s="109">
        <f t="shared" si="267"/>
        <v>0</v>
      </c>
      <c r="I270" s="110">
        <f t="shared" si="268"/>
        <v>0</v>
      </c>
      <c r="J270" s="109">
        <f t="shared" si="269"/>
        <v>0</v>
      </c>
      <c r="K270" s="109">
        <f t="shared" si="270"/>
        <v>0</v>
      </c>
      <c r="L270" s="109">
        <f t="shared" si="271"/>
        <v>0</v>
      </c>
      <c r="M270" s="111">
        <f t="shared" si="272"/>
        <v>0</v>
      </c>
      <c r="N270" s="109">
        <f t="shared" si="273"/>
        <v>0</v>
      </c>
      <c r="O270" s="109">
        <f t="shared" si="274"/>
        <v>0</v>
      </c>
      <c r="P270" s="109">
        <f t="shared" si="275"/>
        <v>0</v>
      </c>
      <c r="Q270" s="109">
        <f t="shared" si="276"/>
        <v>0</v>
      </c>
      <c r="R270" s="109">
        <f t="shared" si="277"/>
        <v>0</v>
      </c>
      <c r="S270" s="110">
        <f t="shared" si="278"/>
        <v>0</v>
      </c>
      <c r="T270" s="109">
        <f t="shared" si="279"/>
        <v>0</v>
      </c>
      <c r="U270" s="109">
        <f t="shared" si="280"/>
        <v>0</v>
      </c>
      <c r="V270" s="109">
        <f t="shared" si="281"/>
        <v>0</v>
      </c>
      <c r="W270" s="111">
        <f t="shared" si="282"/>
        <v>0</v>
      </c>
      <c r="X270" s="115">
        <f t="shared" si="285"/>
        <v>0</v>
      </c>
      <c r="Y270" s="38" t="s">
        <v>487</v>
      </c>
      <c r="Z270" s="42" t="s">
        <v>487</v>
      </c>
      <c r="AA270" s="67">
        <f t="shared" ref="AA270:AT270" si="326">IF($J158,SUMIF($AV$229:$AV$332,$Y270,AW$229:AW$332)*AA$227*$D158/$J158,0)</f>
        <v>0</v>
      </c>
      <c r="AB270" s="67">
        <f t="shared" si="326"/>
        <v>0</v>
      </c>
      <c r="AC270" s="67">
        <f t="shared" si="326"/>
        <v>0</v>
      </c>
      <c r="AD270" s="67">
        <f t="shared" si="326"/>
        <v>0</v>
      </c>
      <c r="AE270" s="67">
        <f t="shared" si="326"/>
        <v>0</v>
      </c>
      <c r="AF270" s="76">
        <f t="shared" si="326"/>
        <v>0</v>
      </c>
      <c r="AG270" s="67">
        <f t="shared" si="326"/>
        <v>0</v>
      </c>
      <c r="AH270" s="67">
        <f t="shared" si="326"/>
        <v>0</v>
      </c>
      <c r="AI270" s="67">
        <f t="shared" si="326"/>
        <v>0</v>
      </c>
      <c r="AJ270" s="68">
        <f t="shared" si="326"/>
        <v>0</v>
      </c>
      <c r="AK270" s="67">
        <f t="shared" si="326"/>
        <v>0</v>
      </c>
      <c r="AL270" s="67">
        <f t="shared" si="326"/>
        <v>0</v>
      </c>
      <c r="AM270" s="67">
        <f t="shared" si="326"/>
        <v>0</v>
      </c>
      <c r="AN270" s="67">
        <f t="shared" si="326"/>
        <v>0</v>
      </c>
      <c r="AO270" s="67">
        <f t="shared" si="326"/>
        <v>0</v>
      </c>
      <c r="AP270" s="76">
        <f t="shared" si="326"/>
        <v>0</v>
      </c>
      <c r="AQ270" s="67">
        <f t="shared" si="326"/>
        <v>0</v>
      </c>
      <c r="AR270" s="67">
        <f t="shared" si="326"/>
        <v>0</v>
      </c>
      <c r="AS270" s="67">
        <f t="shared" si="326"/>
        <v>0</v>
      </c>
      <c r="AT270" s="68">
        <f t="shared" si="326"/>
        <v>0</v>
      </c>
      <c r="AU270" s="2"/>
      <c r="AV270" s="104" t="s">
        <v>487</v>
      </c>
      <c r="AW270" s="94">
        <v>0.51418759999999997</v>
      </c>
      <c r="AX270" s="94">
        <v>0</v>
      </c>
      <c r="AY270" s="94">
        <v>0</v>
      </c>
      <c r="AZ270" s="94">
        <v>8.6886880000000009</v>
      </c>
      <c r="BA270" s="94">
        <v>0</v>
      </c>
      <c r="BB270" s="106">
        <v>0</v>
      </c>
      <c r="BC270" s="94">
        <v>0</v>
      </c>
      <c r="BD270" s="94">
        <v>0</v>
      </c>
      <c r="BE270" s="94">
        <v>0</v>
      </c>
      <c r="BF270" s="95">
        <v>0</v>
      </c>
      <c r="BG270" s="94">
        <v>0</v>
      </c>
      <c r="BH270" s="94">
        <v>0</v>
      </c>
      <c r="BI270" s="94">
        <v>0</v>
      </c>
      <c r="BJ270" s="94">
        <v>0</v>
      </c>
      <c r="BK270" s="94">
        <v>0</v>
      </c>
      <c r="BL270" s="106">
        <v>0</v>
      </c>
      <c r="BM270" s="94">
        <v>0</v>
      </c>
      <c r="BN270" s="94">
        <v>0</v>
      </c>
      <c r="BO270" s="94">
        <v>0</v>
      </c>
      <c r="BP270" s="95">
        <v>0</v>
      </c>
      <c r="BQ270" s="2"/>
      <c r="BR270" s="2"/>
      <c r="BS270" s="2"/>
    </row>
    <row r="271" spans="1:71" x14ac:dyDescent="0.35">
      <c r="A271" s="2"/>
      <c r="B271" s="2"/>
      <c r="C271" s="42" t="s">
        <v>489</v>
      </c>
      <c r="D271" s="109">
        <f t="shared" si="284"/>
        <v>0</v>
      </c>
      <c r="E271" s="109">
        <f t="shared" si="264"/>
        <v>0</v>
      </c>
      <c r="F271" s="109">
        <f t="shared" si="265"/>
        <v>0</v>
      </c>
      <c r="G271" s="109">
        <f t="shared" si="266"/>
        <v>0</v>
      </c>
      <c r="H271" s="109">
        <f t="shared" si="267"/>
        <v>0</v>
      </c>
      <c r="I271" s="110">
        <f t="shared" si="268"/>
        <v>0</v>
      </c>
      <c r="J271" s="109">
        <f t="shared" si="269"/>
        <v>0</v>
      </c>
      <c r="K271" s="109">
        <f t="shared" si="270"/>
        <v>0</v>
      </c>
      <c r="L271" s="109">
        <f t="shared" si="271"/>
        <v>0</v>
      </c>
      <c r="M271" s="111">
        <f t="shared" si="272"/>
        <v>0</v>
      </c>
      <c r="N271" s="109">
        <f t="shared" si="273"/>
        <v>0</v>
      </c>
      <c r="O271" s="109">
        <f t="shared" si="274"/>
        <v>0</v>
      </c>
      <c r="P271" s="109">
        <f t="shared" si="275"/>
        <v>0</v>
      </c>
      <c r="Q271" s="109">
        <f t="shared" si="276"/>
        <v>0</v>
      </c>
      <c r="R271" s="109">
        <f t="shared" si="277"/>
        <v>0</v>
      </c>
      <c r="S271" s="110">
        <f t="shared" si="278"/>
        <v>0</v>
      </c>
      <c r="T271" s="109">
        <f t="shared" si="279"/>
        <v>0</v>
      </c>
      <c r="U271" s="109">
        <f t="shared" si="280"/>
        <v>0</v>
      </c>
      <c r="V271" s="109">
        <f t="shared" si="281"/>
        <v>0</v>
      </c>
      <c r="W271" s="111">
        <f t="shared" si="282"/>
        <v>0</v>
      </c>
      <c r="X271" s="115">
        <f t="shared" si="285"/>
        <v>0</v>
      </c>
      <c r="Y271" s="38" t="s">
        <v>489</v>
      </c>
      <c r="Z271" s="42" t="s">
        <v>489</v>
      </c>
      <c r="AA271" s="67">
        <f t="shared" ref="AA271:AT271" si="327">IF($J159,SUMIF($AV$229:$AV$332,$Y271,AW$229:AW$332)*AA$227*$D159/$J159,0)</f>
        <v>0</v>
      </c>
      <c r="AB271" s="67">
        <f t="shared" si="327"/>
        <v>0</v>
      </c>
      <c r="AC271" s="67">
        <f t="shared" si="327"/>
        <v>0</v>
      </c>
      <c r="AD271" s="67">
        <f t="shared" si="327"/>
        <v>0</v>
      </c>
      <c r="AE271" s="67">
        <f t="shared" si="327"/>
        <v>0</v>
      </c>
      <c r="AF271" s="76">
        <f t="shared" si="327"/>
        <v>0</v>
      </c>
      <c r="AG271" s="67">
        <f t="shared" si="327"/>
        <v>0</v>
      </c>
      <c r="AH271" s="67">
        <f t="shared" si="327"/>
        <v>0</v>
      </c>
      <c r="AI271" s="67">
        <f t="shared" si="327"/>
        <v>0</v>
      </c>
      <c r="AJ271" s="68">
        <f t="shared" si="327"/>
        <v>0</v>
      </c>
      <c r="AK271" s="67">
        <f t="shared" si="327"/>
        <v>0</v>
      </c>
      <c r="AL271" s="67">
        <f t="shared" si="327"/>
        <v>0</v>
      </c>
      <c r="AM271" s="67">
        <f t="shared" si="327"/>
        <v>0</v>
      </c>
      <c r="AN271" s="67">
        <f t="shared" si="327"/>
        <v>0</v>
      </c>
      <c r="AO271" s="67">
        <f t="shared" si="327"/>
        <v>0</v>
      </c>
      <c r="AP271" s="76">
        <f t="shared" si="327"/>
        <v>0</v>
      </c>
      <c r="AQ271" s="67">
        <f t="shared" si="327"/>
        <v>0</v>
      </c>
      <c r="AR271" s="67">
        <f t="shared" si="327"/>
        <v>0</v>
      </c>
      <c r="AS271" s="67">
        <f t="shared" si="327"/>
        <v>0</v>
      </c>
      <c r="AT271" s="68">
        <f t="shared" si="327"/>
        <v>0</v>
      </c>
      <c r="AU271" s="2"/>
      <c r="AV271" s="104" t="s">
        <v>489</v>
      </c>
      <c r="AW271" s="94">
        <v>0</v>
      </c>
      <c r="AX271" s="94">
        <v>0</v>
      </c>
      <c r="AY271" s="94">
        <v>0</v>
      </c>
      <c r="AZ271" s="94">
        <v>0.70721590000000001</v>
      </c>
      <c r="BA271" s="94">
        <v>0</v>
      </c>
      <c r="BB271" s="106">
        <v>0</v>
      </c>
      <c r="BC271" s="94">
        <v>0</v>
      </c>
      <c r="BD271" s="94">
        <v>0</v>
      </c>
      <c r="BE271" s="94">
        <v>0</v>
      </c>
      <c r="BF271" s="95">
        <v>0</v>
      </c>
      <c r="BG271" s="94">
        <v>0</v>
      </c>
      <c r="BH271" s="94">
        <v>0</v>
      </c>
      <c r="BI271" s="94">
        <v>0</v>
      </c>
      <c r="BJ271" s="94">
        <v>0</v>
      </c>
      <c r="BK271" s="94">
        <v>0</v>
      </c>
      <c r="BL271" s="106">
        <v>0</v>
      </c>
      <c r="BM271" s="94">
        <v>0</v>
      </c>
      <c r="BN271" s="94">
        <v>0</v>
      </c>
      <c r="BO271" s="94">
        <v>0</v>
      </c>
      <c r="BP271" s="95">
        <v>0</v>
      </c>
      <c r="BQ271" s="2"/>
      <c r="BR271" s="2"/>
      <c r="BS271" s="2"/>
    </row>
    <row r="272" spans="1:71" x14ac:dyDescent="0.35">
      <c r="A272" s="2"/>
      <c r="B272" s="2"/>
      <c r="C272" s="42" t="s">
        <v>490</v>
      </c>
      <c r="D272" s="109">
        <f t="shared" si="284"/>
        <v>0</v>
      </c>
      <c r="E272" s="109">
        <f t="shared" si="264"/>
        <v>1.7070378956071525E-2</v>
      </c>
      <c r="F272" s="109">
        <f t="shared" si="265"/>
        <v>6.958815879118338E-2</v>
      </c>
      <c r="G272" s="109">
        <f t="shared" si="266"/>
        <v>0.52331405323604063</v>
      </c>
      <c r="H272" s="109">
        <f t="shared" si="267"/>
        <v>0.32410316667801403</v>
      </c>
      <c r="I272" s="110">
        <f t="shared" si="268"/>
        <v>0</v>
      </c>
      <c r="J272" s="109">
        <f t="shared" si="269"/>
        <v>0</v>
      </c>
      <c r="K272" s="109">
        <f t="shared" si="270"/>
        <v>0</v>
      </c>
      <c r="L272" s="109">
        <f t="shared" si="271"/>
        <v>0</v>
      </c>
      <c r="M272" s="111">
        <f t="shared" si="272"/>
        <v>0</v>
      </c>
      <c r="N272" s="109">
        <f t="shared" si="273"/>
        <v>0</v>
      </c>
      <c r="O272" s="109">
        <f t="shared" si="274"/>
        <v>0</v>
      </c>
      <c r="P272" s="109">
        <f t="shared" si="275"/>
        <v>0</v>
      </c>
      <c r="Q272" s="109">
        <f t="shared" si="276"/>
        <v>5.1570240692573009E-2</v>
      </c>
      <c r="R272" s="109">
        <f t="shared" si="277"/>
        <v>0</v>
      </c>
      <c r="S272" s="110">
        <f t="shared" si="278"/>
        <v>0</v>
      </c>
      <c r="T272" s="109">
        <f t="shared" si="279"/>
        <v>0</v>
      </c>
      <c r="U272" s="109">
        <f t="shared" si="280"/>
        <v>0</v>
      </c>
      <c r="V272" s="109">
        <f t="shared" si="281"/>
        <v>2.0920871049694982E-3</v>
      </c>
      <c r="W272" s="111">
        <f t="shared" si="282"/>
        <v>1.2261914541147986E-2</v>
      </c>
      <c r="X272" s="115">
        <f t="shared" si="285"/>
        <v>1.0000000000000002</v>
      </c>
      <c r="Y272" s="38" t="s">
        <v>490</v>
      </c>
      <c r="Z272" s="42" t="s">
        <v>490</v>
      </c>
      <c r="AA272" s="67">
        <f t="shared" ref="AA272:AT272" si="328">IF($J160,SUMIF($AV$229:$AV$332,$Y272,AW$229:AW$332)*AA$227*$D160/$J160,0)</f>
        <v>0</v>
      </c>
      <c r="AB272" s="67">
        <f t="shared" si="328"/>
        <v>5.0753769999999996</v>
      </c>
      <c r="AC272" s="67">
        <f t="shared" si="328"/>
        <v>20.69</v>
      </c>
      <c r="AD272" s="67">
        <f t="shared" si="328"/>
        <v>155.59209999999999</v>
      </c>
      <c r="AE272" s="67">
        <f t="shared" si="328"/>
        <v>96.362579999999994</v>
      </c>
      <c r="AF272" s="76">
        <f t="shared" si="328"/>
        <v>0</v>
      </c>
      <c r="AG272" s="67">
        <f t="shared" si="328"/>
        <v>0</v>
      </c>
      <c r="AH272" s="67">
        <f t="shared" si="328"/>
        <v>0</v>
      </c>
      <c r="AI272" s="67">
        <f t="shared" si="328"/>
        <v>0</v>
      </c>
      <c r="AJ272" s="68">
        <f t="shared" si="328"/>
        <v>0</v>
      </c>
      <c r="AK272" s="67">
        <f t="shared" si="328"/>
        <v>0</v>
      </c>
      <c r="AL272" s="67">
        <f t="shared" si="328"/>
        <v>0</v>
      </c>
      <c r="AM272" s="67">
        <f t="shared" si="328"/>
        <v>0</v>
      </c>
      <c r="AN272" s="67">
        <f t="shared" si="328"/>
        <v>15.3329</v>
      </c>
      <c r="AO272" s="67">
        <f t="shared" si="328"/>
        <v>0</v>
      </c>
      <c r="AP272" s="76">
        <f t="shared" si="328"/>
        <v>0</v>
      </c>
      <c r="AQ272" s="67">
        <f t="shared" si="328"/>
        <v>0</v>
      </c>
      <c r="AR272" s="67">
        <f t="shared" si="328"/>
        <v>0</v>
      </c>
      <c r="AS272" s="67">
        <f t="shared" si="328"/>
        <v>0.62202080000000004</v>
      </c>
      <c r="AT272" s="68">
        <f t="shared" si="328"/>
        <v>3.645721</v>
      </c>
      <c r="AU272" s="2"/>
      <c r="AV272" s="104" t="s">
        <v>490</v>
      </c>
      <c r="AW272" s="94">
        <v>0</v>
      </c>
      <c r="AX272" s="94">
        <v>5.0753769999999996</v>
      </c>
      <c r="AY272" s="94">
        <v>20.69</v>
      </c>
      <c r="AZ272" s="94">
        <v>155.59209999999999</v>
      </c>
      <c r="BA272" s="94">
        <v>96.362579999999994</v>
      </c>
      <c r="BB272" s="106">
        <v>0</v>
      </c>
      <c r="BC272" s="94">
        <v>0</v>
      </c>
      <c r="BD272" s="94">
        <v>0</v>
      </c>
      <c r="BE272" s="94">
        <v>0</v>
      </c>
      <c r="BF272" s="95">
        <v>0</v>
      </c>
      <c r="BG272" s="94">
        <v>0</v>
      </c>
      <c r="BH272" s="94">
        <v>0</v>
      </c>
      <c r="BI272" s="94">
        <v>0</v>
      </c>
      <c r="BJ272" s="94">
        <v>15.3329</v>
      </c>
      <c r="BK272" s="94">
        <v>0</v>
      </c>
      <c r="BL272" s="106">
        <v>0</v>
      </c>
      <c r="BM272" s="94">
        <v>0</v>
      </c>
      <c r="BN272" s="94">
        <v>0</v>
      </c>
      <c r="BO272" s="94">
        <v>0.62202080000000004</v>
      </c>
      <c r="BP272" s="95">
        <v>3.645721</v>
      </c>
      <c r="BQ272" s="2"/>
      <c r="BR272" s="2"/>
      <c r="BS272" s="2"/>
    </row>
    <row r="273" spans="1:71" x14ac:dyDescent="0.35">
      <c r="A273" s="2"/>
      <c r="B273" s="2"/>
      <c r="C273" s="42" t="s">
        <v>488</v>
      </c>
      <c r="D273" s="109">
        <f t="shared" si="284"/>
        <v>2.5438923508280181E-2</v>
      </c>
      <c r="E273" s="109">
        <f t="shared" si="264"/>
        <v>0.10469601669114019</v>
      </c>
      <c r="F273" s="109">
        <f t="shared" si="265"/>
        <v>0.16503415517454911</v>
      </c>
      <c r="G273" s="109">
        <f t="shared" si="266"/>
        <v>0.35064829658436375</v>
      </c>
      <c r="H273" s="109">
        <f t="shared" si="267"/>
        <v>0.29174754897917826</v>
      </c>
      <c r="I273" s="110">
        <f t="shared" si="268"/>
        <v>0</v>
      </c>
      <c r="J273" s="109">
        <f t="shared" si="269"/>
        <v>0</v>
      </c>
      <c r="K273" s="109">
        <f t="shared" si="270"/>
        <v>0</v>
      </c>
      <c r="L273" s="109">
        <f t="shared" si="271"/>
        <v>0</v>
      </c>
      <c r="M273" s="111">
        <f t="shared" si="272"/>
        <v>0</v>
      </c>
      <c r="N273" s="109">
        <f t="shared" si="273"/>
        <v>3.357359969399073E-3</v>
      </c>
      <c r="O273" s="109">
        <f t="shared" si="274"/>
        <v>0</v>
      </c>
      <c r="P273" s="109">
        <f t="shared" si="275"/>
        <v>1.5987059495605985E-2</v>
      </c>
      <c r="Q273" s="109">
        <f t="shared" si="276"/>
        <v>9.4469435245681382E-3</v>
      </c>
      <c r="R273" s="109">
        <f t="shared" si="277"/>
        <v>5.8468370895793809E-3</v>
      </c>
      <c r="S273" s="110">
        <f t="shared" si="278"/>
        <v>0</v>
      </c>
      <c r="T273" s="109">
        <f t="shared" si="279"/>
        <v>0</v>
      </c>
      <c r="U273" s="109">
        <f t="shared" si="280"/>
        <v>0</v>
      </c>
      <c r="V273" s="109">
        <f t="shared" si="281"/>
        <v>1.4940235492019992E-2</v>
      </c>
      <c r="W273" s="111">
        <f t="shared" si="282"/>
        <v>1.2856623491315944E-2</v>
      </c>
      <c r="X273" s="115">
        <f t="shared" si="285"/>
        <v>1</v>
      </c>
      <c r="Y273" s="38" t="s">
        <v>488</v>
      </c>
      <c r="Z273" s="42" t="s">
        <v>488</v>
      </c>
      <c r="AA273" s="67">
        <f t="shared" ref="AA273:AT273" si="329">IF($J161,SUMIF($AV$229:$AV$332,$Y273,AW$229:AW$332)*AA$227*$D161/$J161,0)</f>
        <v>71.087500000000006</v>
      </c>
      <c r="AB273" s="67">
        <f t="shared" si="329"/>
        <v>292.56655000000001</v>
      </c>
      <c r="AC273" s="67">
        <f t="shared" si="329"/>
        <v>461.17775000000006</v>
      </c>
      <c r="AD273" s="67">
        <f t="shared" si="329"/>
        <v>979.86500000000001</v>
      </c>
      <c r="AE273" s="67">
        <f t="shared" si="329"/>
        <v>815.27050000000008</v>
      </c>
      <c r="AF273" s="76">
        <f t="shared" si="329"/>
        <v>0</v>
      </c>
      <c r="AG273" s="67">
        <f t="shared" si="329"/>
        <v>0</v>
      </c>
      <c r="AH273" s="67">
        <f t="shared" si="329"/>
        <v>0</v>
      </c>
      <c r="AI273" s="67">
        <f t="shared" si="329"/>
        <v>0</v>
      </c>
      <c r="AJ273" s="68">
        <f t="shared" si="329"/>
        <v>0</v>
      </c>
      <c r="AK273" s="67">
        <f t="shared" si="329"/>
        <v>9.3819350000000004</v>
      </c>
      <c r="AL273" s="67">
        <f t="shared" si="329"/>
        <v>0</v>
      </c>
      <c r="AM273" s="67">
        <f t="shared" si="329"/>
        <v>44.674849999999992</v>
      </c>
      <c r="AN273" s="67">
        <f t="shared" si="329"/>
        <v>26.398899999999998</v>
      </c>
      <c r="AO273" s="67">
        <f t="shared" si="329"/>
        <v>16.338625</v>
      </c>
      <c r="AP273" s="76">
        <f t="shared" si="329"/>
        <v>0</v>
      </c>
      <c r="AQ273" s="67">
        <f t="shared" si="329"/>
        <v>0</v>
      </c>
      <c r="AR273" s="67">
        <f t="shared" si="329"/>
        <v>0</v>
      </c>
      <c r="AS273" s="67">
        <f t="shared" si="329"/>
        <v>41.749564999999997</v>
      </c>
      <c r="AT273" s="68">
        <f t="shared" si="329"/>
        <v>35.927039999999998</v>
      </c>
      <c r="AU273" s="2"/>
      <c r="AV273" s="104" t="s">
        <v>488</v>
      </c>
      <c r="AW273" s="94">
        <v>142.17500000000001</v>
      </c>
      <c r="AX273" s="94">
        <v>585.13310000000001</v>
      </c>
      <c r="AY273" s="94">
        <v>922.35550000000001</v>
      </c>
      <c r="AZ273" s="94">
        <v>1959.73</v>
      </c>
      <c r="BA273" s="94">
        <v>1630.5409999999999</v>
      </c>
      <c r="BB273" s="106">
        <v>0</v>
      </c>
      <c r="BC273" s="94">
        <v>0</v>
      </c>
      <c r="BD273" s="94">
        <v>0</v>
      </c>
      <c r="BE273" s="94">
        <v>0</v>
      </c>
      <c r="BF273" s="95">
        <v>0</v>
      </c>
      <c r="BG273" s="94">
        <v>18.763870000000001</v>
      </c>
      <c r="BH273" s="94">
        <v>0</v>
      </c>
      <c r="BI273" s="94">
        <v>89.349699999999999</v>
      </c>
      <c r="BJ273" s="94">
        <v>52.797800000000002</v>
      </c>
      <c r="BK273" s="94">
        <v>32.677250000000001</v>
      </c>
      <c r="BL273" s="106">
        <v>0</v>
      </c>
      <c r="BM273" s="94">
        <v>0</v>
      </c>
      <c r="BN273" s="94">
        <v>0</v>
      </c>
      <c r="BO273" s="94">
        <v>83.499129999999994</v>
      </c>
      <c r="BP273" s="95">
        <v>71.854079999999996</v>
      </c>
      <c r="BQ273" s="2"/>
      <c r="BR273" s="2"/>
      <c r="BS273" s="2"/>
    </row>
    <row r="274" spans="1:71" x14ac:dyDescent="0.35">
      <c r="A274" s="2"/>
      <c r="B274" s="2"/>
      <c r="C274" s="42" t="s">
        <v>491</v>
      </c>
      <c r="D274" s="109">
        <f t="shared" si="284"/>
        <v>5.8418618949518955E-2</v>
      </c>
      <c r="E274" s="109">
        <f t="shared" si="264"/>
        <v>0.14694845774770746</v>
      </c>
      <c r="F274" s="109">
        <f t="shared" si="265"/>
        <v>0.22057460477803467</v>
      </c>
      <c r="G274" s="109">
        <f t="shared" si="266"/>
        <v>0.29137090706878893</v>
      </c>
      <c r="H274" s="109">
        <f t="shared" si="267"/>
        <v>0.233151437475136</v>
      </c>
      <c r="I274" s="110">
        <f t="shared" si="268"/>
        <v>0</v>
      </c>
      <c r="J274" s="109">
        <f t="shared" si="269"/>
        <v>2.0486717926234768E-5</v>
      </c>
      <c r="K274" s="109">
        <f t="shared" si="270"/>
        <v>0</v>
      </c>
      <c r="L274" s="109">
        <f t="shared" si="271"/>
        <v>2.0066987288328139E-4</v>
      </c>
      <c r="M274" s="111">
        <f t="shared" si="272"/>
        <v>9.4641558086232722E-5</v>
      </c>
      <c r="N274" s="109">
        <f t="shared" si="273"/>
        <v>6.227726291809639E-4</v>
      </c>
      <c r="O274" s="109">
        <f t="shared" si="274"/>
        <v>5.68880234390951E-4</v>
      </c>
      <c r="P274" s="109">
        <f t="shared" si="275"/>
        <v>3.666109275935363E-3</v>
      </c>
      <c r="Q274" s="109">
        <f t="shared" si="276"/>
        <v>9.3739898109668676E-3</v>
      </c>
      <c r="R274" s="109">
        <f t="shared" si="277"/>
        <v>8.7373816850961523E-3</v>
      </c>
      <c r="S274" s="110">
        <f t="shared" si="278"/>
        <v>1.447366771238881E-3</v>
      </c>
      <c r="T274" s="109">
        <f t="shared" si="279"/>
        <v>1.9683075990769333E-3</v>
      </c>
      <c r="U274" s="109">
        <f t="shared" si="280"/>
        <v>3.5259890077484388E-3</v>
      </c>
      <c r="V274" s="109">
        <f t="shared" si="281"/>
        <v>7.8617880722525475E-3</v>
      </c>
      <c r="W274" s="111">
        <f t="shared" si="282"/>
        <v>1.1447590746030951E-2</v>
      </c>
      <c r="X274" s="115">
        <f t="shared" si="285"/>
        <v>1</v>
      </c>
      <c r="Y274" s="38" t="s">
        <v>491</v>
      </c>
      <c r="Z274" s="42" t="s">
        <v>491</v>
      </c>
      <c r="AA274" s="67">
        <f t="shared" ref="AA274:AT274" si="330">IF($J162,SUMIF($AV$229:$AV$332,$Y274,AW$229:AW$332)*AA$227*$D162/$J162,0)</f>
        <v>2799.6439999999998</v>
      </c>
      <c r="AB274" s="67">
        <f t="shared" si="330"/>
        <v>7042.3329999999996</v>
      </c>
      <c r="AC274" s="67">
        <f t="shared" si="330"/>
        <v>10570.78</v>
      </c>
      <c r="AD274" s="67">
        <f t="shared" si="330"/>
        <v>13963.61</v>
      </c>
      <c r="AE274" s="67">
        <f t="shared" si="330"/>
        <v>11173.51</v>
      </c>
      <c r="AF274" s="76">
        <f t="shared" si="330"/>
        <v>0</v>
      </c>
      <c r="AG274" s="67">
        <f t="shared" si="330"/>
        <v>0.98180199999999995</v>
      </c>
      <c r="AH274" s="67">
        <f t="shared" si="330"/>
        <v>0</v>
      </c>
      <c r="AI274" s="67">
        <f t="shared" si="330"/>
        <v>9.6168689999999994</v>
      </c>
      <c r="AJ274" s="68">
        <f t="shared" si="330"/>
        <v>4.5355860000000003</v>
      </c>
      <c r="AK274" s="67">
        <f t="shared" si="330"/>
        <v>29.845649999999999</v>
      </c>
      <c r="AL274" s="67">
        <f t="shared" si="330"/>
        <v>27.262920000000001</v>
      </c>
      <c r="AM274" s="67">
        <f t="shared" si="330"/>
        <v>175.69399999999999</v>
      </c>
      <c r="AN274" s="67">
        <f t="shared" si="330"/>
        <v>449.23750000000001</v>
      </c>
      <c r="AO274" s="67">
        <f t="shared" si="330"/>
        <v>418.72879999999998</v>
      </c>
      <c r="AP274" s="76">
        <f t="shared" si="330"/>
        <v>69.36336</v>
      </c>
      <c r="AQ274" s="67">
        <f t="shared" si="330"/>
        <v>94.32884</v>
      </c>
      <c r="AR274" s="67">
        <f t="shared" si="330"/>
        <v>168.97890000000001</v>
      </c>
      <c r="AS274" s="67">
        <f t="shared" si="330"/>
        <v>376.767</v>
      </c>
      <c r="AT274" s="68">
        <f t="shared" si="330"/>
        <v>548.61239999999998</v>
      </c>
      <c r="AU274" s="2"/>
      <c r="AV274" s="104" t="s">
        <v>491</v>
      </c>
      <c r="AW274" s="94">
        <v>2799.6439999999998</v>
      </c>
      <c r="AX274" s="94">
        <v>7042.3329999999996</v>
      </c>
      <c r="AY274" s="94">
        <v>10570.78</v>
      </c>
      <c r="AZ274" s="94">
        <v>13963.61</v>
      </c>
      <c r="BA274" s="94">
        <v>11173.51</v>
      </c>
      <c r="BB274" s="106">
        <v>0</v>
      </c>
      <c r="BC274" s="94">
        <v>0.98180199999999995</v>
      </c>
      <c r="BD274" s="94">
        <v>0</v>
      </c>
      <c r="BE274" s="94">
        <v>9.6168689999999994</v>
      </c>
      <c r="BF274" s="95">
        <v>4.5355860000000003</v>
      </c>
      <c r="BG274" s="94">
        <v>29.845649999999999</v>
      </c>
      <c r="BH274" s="94">
        <v>27.262920000000001</v>
      </c>
      <c r="BI274" s="94">
        <v>175.69399999999999</v>
      </c>
      <c r="BJ274" s="94">
        <v>449.23750000000001</v>
      </c>
      <c r="BK274" s="94">
        <v>418.72879999999998</v>
      </c>
      <c r="BL274" s="106">
        <v>69.36336</v>
      </c>
      <c r="BM274" s="94">
        <v>94.32884</v>
      </c>
      <c r="BN274" s="94">
        <v>168.97890000000001</v>
      </c>
      <c r="BO274" s="94">
        <v>376.767</v>
      </c>
      <c r="BP274" s="95">
        <v>548.61239999999998</v>
      </c>
      <c r="BQ274" s="2"/>
      <c r="BR274" s="2"/>
      <c r="BS274" s="2"/>
    </row>
    <row r="275" spans="1:71" x14ac:dyDescent="0.35">
      <c r="A275" s="2"/>
      <c r="B275" s="2"/>
      <c r="C275" s="42" t="s">
        <v>527</v>
      </c>
      <c r="D275" s="109">
        <f t="shared" si="284"/>
        <v>0</v>
      </c>
      <c r="E275" s="109">
        <f t="shared" si="264"/>
        <v>0</v>
      </c>
      <c r="F275" s="109">
        <f t="shared" si="265"/>
        <v>0</v>
      </c>
      <c r="G275" s="109">
        <f t="shared" si="266"/>
        <v>0</v>
      </c>
      <c r="H275" s="109">
        <f t="shared" si="267"/>
        <v>0</v>
      </c>
      <c r="I275" s="110">
        <f t="shared" si="268"/>
        <v>0</v>
      </c>
      <c r="J275" s="109">
        <f t="shared" si="269"/>
        <v>0</v>
      </c>
      <c r="K275" s="109">
        <f t="shared" si="270"/>
        <v>0</v>
      </c>
      <c r="L275" s="109">
        <f t="shared" si="271"/>
        <v>0</v>
      </c>
      <c r="M275" s="111">
        <f t="shared" si="272"/>
        <v>0</v>
      </c>
      <c r="N275" s="109">
        <f t="shared" si="273"/>
        <v>0</v>
      </c>
      <c r="O275" s="109">
        <f t="shared" si="274"/>
        <v>0</v>
      </c>
      <c r="P275" s="109">
        <f t="shared" si="275"/>
        <v>0</v>
      </c>
      <c r="Q275" s="109">
        <f t="shared" si="276"/>
        <v>0</v>
      </c>
      <c r="R275" s="109">
        <f t="shared" si="277"/>
        <v>0</v>
      </c>
      <c r="S275" s="110">
        <f t="shared" si="278"/>
        <v>0</v>
      </c>
      <c r="T275" s="109">
        <f t="shared" si="279"/>
        <v>0</v>
      </c>
      <c r="U275" s="109">
        <f t="shared" si="280"/>
        <v>0</v>
      </c>
      <c r="V275" s="109">
        <f t="shared" si="281"/>
        <v>0</v>
      </c>
      <c r="W275" s="111">
        <f t="shared" si="282"/>
        <v>0</v>
      </c>
      <c r="X275" s="115">
        <f t="shared" si="285"/>
        <v>0</v>
      </c>
      <c r="Y275" s="38" t="s">
        <v>527</v>
      </c>
      <c r="Z275" s="42" t="s">
        <v>527</v>
      </c>
      <c r="AA275" s="67">
        <f t="shared" ref="AA275:AT275" si="331">IF($J163,SUMIF($AV$229:$AV$332,$Y275,AW$229:AW$332)*AA$227*$D163/$J163,0)</f>
        <v>0</v>
      </c>
      <c r="AB275" s="67">
        <f t="shared" si="331"/>
        <v>0</v>
      </c>
      <c r="AC275" s="67">
        <f t="shared" si="331"/>
        <v>0</v>
      </c>
      <c r="AD275" s="67">
        <f t="shared" si="331"/>
        <v>0</v>
      </c>
      <c r="AE275" s="67">
        <f t="shared" si="331"/>
        <v>0</v>
      </c>
      <c r="AF275" s="76">
        <f t="shared" si="331"/>
        <v>0</v>
      </c>
      <c r="AG275" s="67">
        <f t="shared" si="331"/>
        <v>0</v>
      </c>
      <c r="AH275" s="67">
        <f t="shared" si="331"/>
        <v>0</v>
      </c>
      <c r="AI275" s="67">
        <f t="shared" si="331"/>
        <v>0</v>
      </c>
      <c r="AJ275" s="68">
        <f t="shared" si="331"/>
        <v>0</v>
      </c>
      <c r="AK275" s="67">
        <f t="shared" si="331"/>
        <v>0</v>
      </c>
      <c r="AL275" s="67">
        <f t="shared" si="331"/>
        <v>0</v>
      </c>
      <c r="AM275" s="67">
        <f t="shared" si="331"/>
        <v>0</v>
      </c>
      <c r="AN275" s="67">
        <f t="shared" si="331"/>
        <v>0</v>
      </c>
      <c r="AO275" s="67">
        <f t="shared" si="331"/>
        <v>0</v>
      </c>
      <c r="AP275" s="76">
        <f t="shared" si="331"/>
        <v>0</v>
      </c>
      <c r="AQ275" s="67">
        <f t="shared" si="331"/>
        <v>0</v>
      </c>
      <c r="AR275" s="67">
        <f t="shared" si="331"/>
        <v>0</v>
      </c>
      <c r="AS275" s="67">
        <f t="shared" si="331"/>
        <v>0</v>
      </c>
      <c r="AT275" s="68">
        <f t="shared" si="331"/>
        <v>0</v>
      </c>
      <c r="AU275" s="2"/>
      <c r="AV275" s="104" t="s">
        <v>527</v>
      </c>
      <c r="AW275" s="94">
        <v>0</v>
      </c>
      <c r="AX275" s="94">
        <v>0</v>
      </c>
      <c r="AY275" s="94">
        <v>0</v>
      </c>
      <c r="AZ275" s="94">
        <v>0</v>
      </c>
      <c r="BA275" s="94">
        <v>0</v>
      </c>
      <c r="BB275" s="106">
        <v>0</v>
      </c>
      <c r="BC275" s="94">
        <v>0</v>
      </c>
      <c r="BD275" s="94">
        <v>0</v>
      </c>
      <c r="BE275" s="94">
        <v>0</v>
      </c>
      <c r="BF275" s="95">
        <v>0</v>
      </c>
      <c r="BG275" s="94">
        <v>0</v>
      </c>
      <c r="BH275" s="94">
        <v>0</v>
      </c>
      <c r="BI275" s="94">
        <v>0</v>
      </c>
      <c r="BJ275" s="94">
        <v>0</v>
      </c>
      <c r="BK275" s="94">
        <v>0</v>
      </c>
      <c r="BL275" s="106">
        <v>0</v>
      </c>
      <c r="BM275" s="94">
        <v>0</v>
      </c>
      <c r="BN275" s="94">
        <v>0</v>
      </c>
      <c r="BO275" s="94">
        <v>0</v>
      </c>
      <c r="BP275" s="95">
        <v>0</v>
      </c>
      <c r="BQ275" s="2"/>
      <c r="BR275" s="2"/>
      <c r="BS275" s="2"/>
    </row>
    <row r="276" spans="1:71" x14ac:dyDescent="0.35">
      <c r="A276" s="2"/>
      <c r="B276" s="2"/>
      <c r="C276" s="42" t="s">
        <v>493</v>
      </c>
      <c r="D276" s="109">
        <f t="shared" si="284"/>
        <v>0</v>
      </c>
      <c r="E276" s="109">
        <f t="shared" si="264"/>
        <v>0</v>
      </c>
      <c r="F276" s="109">
        <f t="shared" si="265"/>
        <v>0</v>
      </c>
      <c r="G276" s="109">
        <f t="shared" si="266"/>
        <v>0</v>
      </c>
      <c r="H276" s="109">
        <f t="shared" si="267"/>
        <v>0</v>
      </c>
      <c r="I276" s="110">
        <f t="shared" si="268"/>
        <v>0</v>
      </c>
      <c r="J276" s="109">
        <f t="shared" si="269"/>
        <v>0</v>
      </c>
      <c r="K276" s="109">
        <f t="shared" si="270"/>
        <v>0</v>
      </c>
      <c r="L276" s="109">
        <f t="shared" si="271"/>
        <v>0</v>
      </c>
      <c r="M276" s="111">
        <f t="shared" si="272"/>
        <v>0</v>
      </c>
      <c r="N276" s="109">
        <f t="shared" si="273"/>
        <v>0</v>
      </c>
      <c r="O276" s="109">
        <f t="shared" si="274"/>
        <v>0</v>
      </c>
      <c r="P276" s="109">
        <f t="shared" si="275"/>
        <v>0</v>
      </c>
      <c r="Q276" s="109">
        <f t="shared" si="276"/>
        <v>0</v>
      </c>
      <c r="R276" s="109">
        <f t="shared" si="277"/>
        <v>0</v>
      </c>
      <c r="S276" s="110">
        <f t="shared" si="278"/>
        <v>0</v>
      </c>
      <c r="T276" s="109">
        <f t="shared" si="279"/>
        <v>0</v>
      </c>
      <c r="U276" s="109">
        <f t="shared" si="280"/>
        <v>0</v>
      </c>
      <c r="V276" s="109">
        <f t="shared" si="281"/>
        <v>0</v>
      </c>
      <c r="W276" s="111">
        <f t="shared" si="282"/>
        <v>0</v>
      </c>
      <c r="X276" s="115">
        <f t="shared" si="285"/>
        <v>0</v>
      </c>
      <c r="Y276" s="38" t="s">
        <v>493</v>
      </c>
      <c r="Z276" s="42" t="s">
        <v>493</v>
      </c>
      <c r="AA276" s="67">
        <f t="shared" ref="AA276:AT276" si="332">IF($J164,SUMIF($AV$229:$AV$332,$Y276,AW$229:AW$332)*AA$227*$D164/$J164,0)</f>
        <v>0</v>
      </c>
      <c r="AB276" s="67">
        <f t="shared" si="332"/>
        <v>0</v>
      </c>
      <c r="AC276" s="67">
        <f t="shared" si="332"/>
        <v>0</v>
      </c>
      <c r="AD276" s="67">
        <f t="shared" si="332"/>
        <v>0</v>
      </c>
      <c r="AE276" s="67">
        <f t="shared" si="332"/>
        <v>0</v>
      </c>
      <c r="AF276" s="76">
        <f t="shared" si="332"/>
        <v>0</v>
      </c>
      <c r="AG276" s="67">
        <f t="shared" si="332"/>
        <v>0</v>
      </c>
      <c r="AH276" s="67">
        <f t="shared" si="332"/>
        <v>0</v>
      </c>
      <c r="AI276" s="67">
        <f t="shared" si="332"/>
        <v>0</v>
      </c>
      <c r="AJ276" s="68">
        <f t="shared" si="332"/>
        <v>0</v>
      </c>
      <c r="AK276" s="67">
        <f t="shared" si="332"/>
        <v>0</v>
      </c>
      <c r="AL276" s="67">
        <f t="shared" si="332"/>
        <v>0</v>
      </c>
      <c r="AM276" s="67">
        <f t="shared" si="332"/>
        <v>0</v>
      </c>
      <c r="AN276" s="67">
        <f t="shared" si="332"/>
        <v>0</v>
      </c>
      <c r="AO276" s="67">
        <f t="shared" si="332"/>
        <v>0</v>
      </c>
      <c r="AP276" s="76">
        <f t="shared" si="332"/>
        <v>0</v>
      </c>
      <c r="AQ276" s="67">
        <f t="shared" si="332"/>
        <v>0</v>
      </c>
      <c r="AR276" s="67">
        <f t="shared" si="332"/>
        <v>0</v>
      </c>
      <c r="AS276" s="67">
        <f t="shared" si="332"/>
        <v>0</v>
      </c>
      <c r="AT276" s="68">
        <f t="shared" si="332"/>
        <v>0</v>
      </c>
      <c r="AU276" s="2"/>
      <c r="AV276" s="104" t="s">
        <v>493</v>
      </c>
      <c r="AW276" s="94"/>
      <c r="AX276" s="94"/>
      <c r="AY276" s="94"/>
      <c r="AZ276" s="94"/>
      <c r="BA276" s="94"/>
      <c r="BB276" s="106"/>
      <c r="BC276" s="94"/>
      <c r="BD276" s="94"/>
      <c r="BE276" s="94"/>
      <c r="BF276" s="95"/>
      <c r="BG276" s="94"/>
      <c r="BH276" s="94"/>
      <c r="BI276" s="94"/>
      <c r="BJ276" s="94"/>
      <c r="BK276" s="94"/>
      <c r="BL276" s="106"/>
      <c r="BM276" s="94"/>
      <c r="BN276" s="94"/>
      <c r="BO276" s="94"/>
      <c r="BP276" s="95"/>
      <c r="BQ276" s="2"/>
      <c r="BR276" s="2"/>
      <c r="BS276" s="2"/>
    </row>
    <row r="277" spans="1:71" x14ac:dyDescent="0.35">
      <c r="A277" s="2"/>
      <c r="B277" s="2"/>
      <c r="C277" s="42" t="s">
        <v>492</v>
      </c>
      <c r="D277" s="109">
        <f t="shared" si="284"/>
        <v>5.9371643801568459E-2</v>
      </c>
      <c r="E277" s="109">
        <f t="shared" si="264"/>
        <v>9.1152210621178745E-2</v>
      </c>
      <c r="F277" s="109">
        <f t="shared" si="265"/>
        <v>0.23377908727026867</v>
      </c>
      <c r="G277" s="109">
        <f t="shared" si="266"/>
        <v>0.30200805989839141</v>
      </c>
      <c r="H277" s="109">
        <f t="shared" si="267"/>
        <v>0.26829430178964453</v>
      </c>
      <c r="I277" s="110">
        <f t="shared" si="268"/>
        <v>0</v>
      </c>
      <c r="J277" s="109">
        <f t="shared" si="269"/>
        <v>0</v>
      </c>
      <c r="K277" s="109">
        <f t="shared" si="270"/>
        <v>0</v>
      </c>
      <c r="L277" s="109">
        <f t="shared" si="271"/>
        <v>0</v>
      </c>
      <c r="M277" s="111">
        <f t="shared" si="272"/>
        <v>0</v>
      </c>
      <c r="N277" s="109">
        <f t="shared" si="273"/>
        <v>9.5003740471734898E-7</v>
      </c>
      <c r="O277" s="109">
        <f t="shared" si="274"/>
        <v>2.435802223390984E-3</v>
      </c>
      <c r="P277" s="109">
        <f t="shared" si="275"/>
        <v>2.3988256459901453E-3</v>
      </c>
      <c r="Q277" s="109">
        <f t="shared" si="276"/>
        <v>4.4626591645818645E-3</v>
      </c>
      <c r="R277" s="109">
        <f t="shared" si="277"/>
        <v>9.0734695879113505E-3</v>
      </c>
      <c r="S277" s="110">
        <f t="shared" si="278"/>
        <v>0</v>
      </c>
      <c r="T277" s="109">
        <f t="shared" si="279"/>
        <v>5.8886687469453323E-4</v>
      </c>
      <c r="U277" s="109">
        <f t="shared" si="280"/>
        <v>3.3651715068916056E-3</v>
      </c>
      <c r="V277" s="109">
        <f t="shared" si="281"/>
        <v>1.7071327732826054E-3</v>
      </c>
      <c r="W277" s="111">
        <f t="shared" si="282"/>
        <v>2.1361818804800228E-2</v>
      </c>
      <c r="X277" s="115">
        <f t="shared" si="285"/>
        <v>1</v>
      </c>
      <c r="Y277" s="38" t="s">
        <v>492</v>
      </c>
      <c r="Z277" s="42" t="s">
        <v>492</v>
      </c>
      <c r="AA277" s="67">
        <f t="shared" ref="AA277:AT277" si="333">IF($J165,SUMIF($AV$229:$AV$332,$Y277,AW$229:AW$332)*AA$227*$D165/$J165,0)</f>
        <v>221.05380000000002</v>
      </c>
      <c r="AB277" s="67">
        <f t="shared" si="333"/>
        <v>339.37990000000002</v>
      </c>
      <c r="AC277" s="67">
        <f t="shared" si="333"/>
        <v>870.41139999999996</v>
      </c>
      <c r="AD277" s="67">
        <f t="shared" si="333"/>
        <v>1124.443</v>
      </c>
      <c r="AE277" s="67">
        <f t="shared" si="333"/>
        <v>998.91920000000005</v>
      </c>
      <c r="AF277" s="76">
        <f t="shared" si="333"/>
        <v>0</v>
      </c>
      <c r="AG277" s="67">
        <f t="shared" si="333"/>
        <v>0</v>
      </c>
      <c r="AH277" s="67">
        <f t="shared" si="333"/>
        <v>0</v>
      </c>
      <c r="AI277" s="67">
        <f t="shared" si="333"/>
        <v>0</v>
      </c>
      <c r="AJ277" s="68">
        <f t="shared" si="333"/>
        <v>0</v>
      </c>
      <c r="AK277" s="67">
        <f t="shared" si="333"/>
        <v>3.5371999999999999E-3</v>
      </c>
      <c r="AL277" s="67">
        <f t="shared" si="333"/>
        <v>9.069032</v>
      </c>
      <c r="AM277" s="67">
        <f t="shared" si="333"/>
        <v>8.9313599999999997</v>
      </c>
      <c r="AN277" s="67">
        <f t="shared" si="333"/>
        <v>16.615469999999998</v>
      </c>
      <c r="AO277" s="67">
        <f t="shared" si="333"/>
        <v>33.782539999999997</v>
      </c>
      <c r="AP277" s="76">
        <f t="shared" si="333"/>
        <v>0</v>
      </c>
      <c r="AQ277" s="67">
        <f t="shared" si="333"/>
        <v>2.192482</v>
      </c>
      <c r="AR277" s="67">
        <f t="shared" si="333"/>
        <v>12.52928</v>
      </c>
      <c r="AS277" s="67">
        <f t="shared" si="333"/>
        <v>6.3560340000000011</v>
      </c>
      <c r="AT277" s="68">
        <f t="shared" si="333"/>
        <v>79.534790000000001</v>
      </c>
      <c r="AU277" s="2"/>
      <c r="AV277" s="104" t="s">
        <v>492</v>
      </c>
      <c r="AW277" s="94">
        <v>221.0538</v>
      </c>
      <c r="AX277" s="94">
        <v>339.37990000000002</v>
      </c>
      <c r="AY277" s="94">
        <v>870.41139999999996</v>
      </c>
      <c r="AZ277" s="94">
        <v>1124.443</v>
      </c>
      <c r="BA277" s="94">
        <v>998.91920000000005</v>
      </c>
      <c r="BB277" s="106">
        <v>0</v>
      </c>
      <c r="BC277" s="94">
        <v>0</v>
      </c>
      <c r="BD277" s="94">
        <v>0</v>
      </c>
      <c r="BE277" s="94">
        <v>0</v>
      </c>
      <c r="BF277" s="95">
        <v>0</v>
      </c>
      <c r="BG277" s="94">
        <v>3.5371999999999999E-3</v>
      </c>
      <c r="BH277" s="94">
        <v>9.069032</v>
      </c>
      <c r="BI277" s="94">
        <v>8.9313599999999997</v>
      </c>
      <c r="BJ277" s="94">
        <v>16.615469999999998</v>
      </c>
      <c r="BK277" s="94">
        <v>33.782539999999997</v>
      </c>
      <c r="BL277" s="106">
        <v>0</v>
      </c>
      <c r="BM277" s="94">
        <v>2.192482</v>
      </c>
      <c r="BN277" s="94">
        <v>12.52928</v>
      </c>
      <c r="BO277" s="94">
        <v>6.3560340000000002</v>
      </c>
      <c r="BP277" s="95">
        <v>79.534790000000001</v>
      </c>
      <c r="BQ277" s="2"/>
      <c r="BR277" s="2"/>
      <c r="BS277" s="2"/>
    </row>
    <row r="278" spans="1:71" x14ac:dyDescent="0.35">
      <c r="A278" s="2"/>
      <c r="B278" s="2"/>
      <c r="C278" s="42" t="s">
        <v>528</v>
      </c>
      <c r="D278" s="109">
        <f t="shared" si="284"/>
        <v>2.6239822685358499E-2</v>
      </c>
      <c r="E278" s="109">
        <f t="shared" si="264"/>
        <v>5.4123582372288058E-2</v>
      </c>
      <c r="F278" s="109">
        <f t="shared" si="265"/>
        <v>5.6127224081274414E-2</v>
      </c>
      <c r="G278" s="109">
        <f t="shared" si="266"/>
        <v>0.24558547886413784</v>
      </c>
      <c r="H278" s="109">
        <f t="shared" si="267"/>
        <v>0.59732881669562288</v>
      </c>
      <c r="I278" s="110">
        <f t="shared" si="268"/>
        <v>0</v>
      </c>
      <c r="J278" s="109">
        <f t="shared" si="269"/>
        <v>2.6496201223154259E-4</v>
      </c>
      <c r="K278" s="109">
        <f t="shared" si="270"/>
        <v>1.432765580693014E-3</v>
      </c>
      <c r="L278" s="109">
        <f t="shared" si="271"/>
        <v>0</v>
      </c>
      <c r="M278" s="111">
        <f t="shared" si="272"/>
        <v>0</v>
      </c>
      <c r="N278" s="109">
        <f t="shared" si="273"/>
        <v>0</v>
      </c>
      <c r="O278" s="109">
        <f t="shared" si="274"/>
        <v>0</v>
      </c>
      <c r="P278" s="109">
        <f t="shared" si="275"/>
        <v>0</v>
      </c>
      <c r="Q278" s="109">
        <f t="shared" si="276"/>
        <v>6.9046264977836386E-3</v>
      </c>
      <c r="R278" s="109">
        <f t="shared" si="277"/>
        <v>3.4789497497172269E-3</v>
      </c>
      <c r="S278" s="110">
        <f t="shared" si="278"/>
        <v>0</v>
      </c>
      <c r="T278" s="109">
        <f t="shared" si="279"/>
        <v>0</v>
      </c>
      <c r="U278" s="109">
        <f t="shared" si="280"/>
        <v>0</v>
      </c>
      <c r="V278" s="109">
        <f t="shared" si="281"/>
        <v>0</v>
      </c>
      <c r="W278" s="111">
        <f t="shared" si="282"/>
        <v>8.5137714608928914E-3</v>
      </c>
      <c r="X278" s="115">
        <f t="shared" si="285"/>
        <v>1</v>
      </c>
      <c r="Y278" s="38" t="s">
        <v>528</v>
      </c>
      <c r="Z278" s="42" t="s">
        <v>528</v>
      </c>
      <c r="AA278" s="67">
        <f t="shared" ref="AA278:AT278" si="334">IF($J166,SUMIF($AV$229:$AV$332,$Y278,AW$229:AW$332)*AA$227*$D166/$J166,0)</f>
        <v>27.3658</v>
      </c>
      <c r="AB278" s="67">
        <f t="shared" si="334"/>
        <v>56.446080000000002</v>
      </c>
      <c r="AC278" s="67">
        <f t="shared" si="334"/>
        <v>58.535699999999999</v>
      </c>
      <c r="AD278" s="67">
        <f t="shared" si="334"/>
        <v>256.12380000000002</v>
      </c>
      <c r="AE278" s="67">
        <f t="shared" si="334"/>
        <v>622.96079999999995</v>
      </c>
      <c r="AF278" s="76">
        <f t="shared" si="334"/>
        <v>0</v>
      </c>
      <c r="AG278" s="67">
        <f t="shared" si="334"/>
        <v>0.27633180000000002</v>
      </c>
      <c r="AH278" s="67">
        <f t="shared" si="334"/>
        <v>1.4942470000000001</v>
      </c>
      <c r="AI278" s="67">
        <f t="shared" si="334"/>
        <v>0</v>
      </c>
      <c r="AJ278" s="68">
        <f t="shared" si="334"/>
        <v>0</v>
      </c>
      <c r="AK278" s="67">
        <f t="shared" si="334"/>
        <v>0</v>
      </c>
      <c r="AL278" s="67">
        <f t="shared" si="334"/>
        <v>0</v>
      </c>
      <c r="AM278" s="67">
        <f t="shared" si="334"/>
        <v>0</v>
      </c>
      <c r="AN278" s="67">
        <f t="shared" si="334"/>
        <v>7.2009109999999987</v>
      </c>
      <c r="AO278" s="67">
        <f t="shared" si="334"/>
        <v>3.6282350000000001</v>
      </c>
      <c r="AP278" s="76">
        <f t="shared" si="334"/>
        <v>0</v>
      </c>
      <c r="AQ278" s="67">
        <f t="shared" si="334"/>
        <v>0</v>
      </c>
      <c r="AR278" s="67">
        <f t="shared" si="334"/>
        <v>0</v>
      </c>
      <c r="AS278" s="67">
        <f t="shared" si="334"/>
        <v>0</v>
      </c>
      <c r="AT278" s="68">
        <f t="shared" si="334"/>
        <v>8.8791059999999984</v>
      </c>
      <c r="AU278" s="2"/>
      <c r="AV278" s="104" t="s">
        <v>528</v>
      </c>
      <c r="AW278" s="94">
        <v>27.3658</v>
      </c>
      <c r="AX278" s="94">
        <v>56.446080000000002</v>
      </c>
      <c r="AY278" s="94">
        <v>58.535699999999999</v>
      </c>
      <c r="AZ278" s="94">
        <v>256.12380000000002</v>
      </c>
      <c r="BA278" s="94">
        <v>622.96079999999995</v>
      </c>
      <c r="BB278" s="106">
        <v>0</v>
      </c>
      <c r="BC278" s="94">
        <v>0.27633180000000002</v>
      </c>
      <c r="BD278" s="94">
        <v>1.4942470000000001</v>
      </c>
      <c r="BE278" s="94">
        <v>0</v>
      </c>
      <c r="BF278" s="95">
        <v>0</v>
      </c>
      <c r="BG278" s="94">
        <v>0</v>
      </c>
      <c r="BH278" s="94">
        <v>0</v>
      </c>
      <c r="BI278" s="94">
        <v>0</v>
      </c>
      <c r="BJ278" s="94">
        <v>7.2009109999999996</v>
      </c>
      <c r="BK278" s="94">
        <v>3.6282350000000001</v>
      </c>
      <c r="BL278" s="106">
        <v>0</v>
      </c>
      <c r="BM278" s="94">
        <v>0</v>
      </c>
      <c r="BN278" s="94">
        <v>0</v>
      </c>
      <c r="BO278" s="94">
        <v>0</v>
      </c>
      <c r="BP278" s="95">
        <v>8.8791060000000002</v>
      </c>
      <c r="BQ278" s="2"/>
      <c r="BR278" s="2"/>
      <c r="BS278" s="2"/>
    </row>
    <row r="279" spans="1:71" x14ac:dyDescent="0.35">
      <c r="A279" s="2"/>
      <c r="B279" s="2"/>
      <c r="C279" s="42" t="s">
        <v>494</v>
      </c>
      <c r="D279" s="109">
        <f t="shared" si="284"/>
        <v>2.5082610544475713E-2</v>
      </c>
      <c r="E279" s="109">
        <f t="shared" si="264"/>
        <v>6.1387313969979054E-2</v>
      </c>
      <c r="F279" s="109">
        <f t="shared" si="265"/>
        <v>0.15848337977130109</v>
      </c>
      <c r="G279" s="109">
        <f t="shared" si="266"/>
        <v>0.34760807539325872</v>
      </c>
      <c r="H279" s="109">
        <f t="shared" si="267"/>
        <v>0.29058362344637978</v>
      </c>
      <c r="I279" s="110">
        <f t="shared" si="268"/>
        <v>0</v>
      </c>
      <c r="J279" s="109">
        <f t="shared" si="269"/>
        <v>0</v>
      </c>
      <c r="K279" s="109">
        <f t="shared" si="270"/>
        <v>0</v>
      </c>
      <c r="L279" s="109">
        <f t="shared" si="271"/>
        <v>0</v>
      </c>
      <c r="M279" s="111">
        <f t="shared" si="272"/>
        <v>0</v>
      </c>
      <c r="N279" s="109">
        <f t="shared" si="273"/>
        <v>0</v>
      </c>
      <c r="O279" s="109">
        <f t="shared" si="274"/>
        <v>7.317383768708682E-3</v>
      </c>
      <c r="P279" s="109">
        <f t="shared" si="275"/>
        <v>1.6497356598599968E-3</v>
      </c>
      <c r="Q279" s="109">
        <f t="shared" si="276"/>
        <v>7.0768548802085636E-3</v>
      </c>
      <c r="R279" s="109">
        <f t="shared" si="277"/>
        <v>6.0323324895361553E-2</v>
      </c>
      <c r="S279" s="110">
        <f t="shared" si="278"/>
        <v>0</v>
      </c>
      <c r="T279" s="109">
        <f t="shared" si="279"/>
        <v>1.77824814480066E-3</v>
      </c>
      <c r="U279" s="109">
        <f t="shared" si="280"/>
        <v>5.0257151183705183E-3</v>
      </c>
      <c r="V279" s="109">
        <f t="shared" si="281"/>
        <v>2.4273387016105355E-3</v>
      </c>
      <c r="W279" s="111">
        <f t="shared" si="282"/>
        <v>3.1256395705685162E-2</v>
      </c>
      <c r="X279" s="115">
        <f t="shared" si="285"/>
        <v>1</v>
      </c>
      <c r="Y279" s="38" t="s">
        <v>494</v>
      </c>
      <c r="Z279" s="42" t="s">
        <v>494</v>
      </c>
      <c r="AA279" s="67">
        <f t="shared" ref="AA279:AT279" si="335">IF($J167,SUMIF($AV$229:$AV$332,$Y279,AW$229:AW$332)*AA$227*$D167/$J167,0)</f>
        <v>153.4204</v>
      </c>
      <c r="AB279" s="67">
        <f t="shared" si="335"/>
        <v>375.4819</v>
      </c>
      <c r="AC279" s="67">
        <f t="shared" si="335"/>
        <v>969.38009999999997</v>
      </c>
      <c r="AD279" s="67">
        <f t="shared" si="335"/>
        <v>2126.181</v>
      </c>
      <c r="AE279" s="67">
        <f t="shared" si="335"/>
        <v>1777.385</v>
      </c>
      <c r="AF279" s="76">
        <f t="shared" si="335"/>
        <v>0</v>
      </c>
      <c r="AG279" s="67">
        <f t="shared" si="335"/>
        <v>0</v>
      </c>
      <c r="AH279" s="67">
        <f t="shared" si="335"/>
        <v>0</v>
      </c>
      <c r="AI279" s="67">
        <f t="shared" si="335"/>
        <v>0</v>
      </c>
      <c r="AJ279" s="68">
        <f t="shared" si="335"/>
        <v>0</v>
      </c>
      <c r="AK279" s="67">
        <f t="shared" si="335"/>
        <v>0</v>
      </c>
      <c r="AL279" s="67">
        <f t="shared" si="335"/>
        <v>44.757539999999999</v>
      </c>
      <c r="AM279" s="67">
        <f t="shared" si="335"/>
        <v>10.090780000000001</v>
      </c>
      <c r="AN279" s="67">
        <f t="shared" si="335"/>
        <v>43.286320000000003</v>
      </c>
      <c r="AO279" s="67">
        <f t="shared" si="335"/>
        <v>368.97390000000001</v>
      </c>
      <c r="AP279" s="76">
        <f t="shared" si="335"/>
        <v>0</v>
      </c>
      <c r="AQ279" s="67">
        <f t="shared" si="335"/>
        <v>10.87684</v>
      </c>
      <c r="AR279" s="67">
        <f t="shared" si="335"/>
        <v>30.740310000000004</v>
      </c>
      <c r="AS279" s="67">
        <f t="shared" si="335"/>
        <v>14.84707</v>
      </c>
      <c r="AT279" s="68">
        <f t="shared" si="335"/>
        <v>191.18299999999999</v>
      </c>
      <c r="AU279" s="2"/>
      <c r="AV279" s="104" t="s">
        <v>494</v>
      </c>
      <c r="AW279" s="94">
        <v>153.4204</v>
      </c>
      <c r="AX279" s="94">
        <v>375.4819</v>
      </c>
      <c r="AY279" s="94">
        <v>969.38009999999997</v>
      </c>
      <c r="AZ279" s="94">
        <v>2126.181</v>
      </c>
      <c r="BA279" s="94">
        <v>1777.385</v>
      </c>
      <c r="BB279" s="106">
        <v>0</v>
      </c>
      <c r="BC279" s="94">
        <v>0</v>
      </c>
      <c r="BD279" s="94">
        <v>0</v>
      </c>
      <c r="BE279" s="94">
        <v>0</v>
      </c>
      <c r="BF279" s="95">
        <v>0</v>
      </c>
      <c r="BG279" s="94">
        <v>0</v>
      </c>
      <c r="BH279" s="94">
        <v>44.757539999999999</v>
      </c>
      <c r="BI279" s="94">
        <v>10.090780000000001</v>
      </c>
      <c r="BJ279" s="94">
        <v>43.286320000000003</v>
      </c>
      <c r="BK279" s="94">
        <v>368.97390000000001</v>
      </c>
      <c r="BL279" s="106">
        <v>0</v>
      </c>
      <c r="BM279" s="94">
        <v>10.87684</v>
      </c>
      <c r="BN279" s="94">
        <v>30.740310000000001</v>
      </c>
      <c r="BO279" s="94">
        <v>14.84707</v>
      </c>
      <c r="BP279" s="95">
        <v>191.18299999999999</v>
      </c>
      <c r="BQ279" s="2"/>
      <c r="BR279" s="2"/>
      <c r="BS279" s="2"/>
    </row>
    <row r="280" spans="1:71" x14ac:dyDescent="0.35">
      <c r="A280" s="2"/>
      <c r="B280" s="2"/>
      <c r="C280" s="42" t="s">
        <v>495</v>
      </c>
      <c r="D280" s="109">
        <f t="shared" si="284"/>
        <v>0.18525607979466491</v>
      </c>
      <c r="E280" s="109">
        <f t="shared" si="264"/>
        <v>0.10349583990524228</v>
      </c>
      <c r="F280" s="109">
        <f t="shared" si="265"/>
        <v>0.113200461157605</v>
      </c>
      <c r="G280" s="109">
        <f t="shared" si="266"/>
        <v>0.10415764634482673</v>
      </c>
      <c r="H280" s="109">
        <f t="shared" si="267"/>
        <v>0.39480562393294144</v>
      </c>
      <c r="I280" s="110">
        <f t="shared" si="268"/>
        <v>0</v>
      </c>
      <c r="J280" s="109">
        <f t="shared" si="269"/>
        <v>0</v>
      </c>
      <c r="K280" s="109">
        <f t="shared" si="270"/>
        <v>0</v>
      </c>
      <c r="L280" s="109">
        <f t="shared" si="271"/>
        <v>0</v>
      </c>
      <c r="M280" s="111">
        <f t="shared" si="272"/>
        <v>0</v>
      </c>
      <c r="N280" s="109">
        <f t="shared" si="273"/>
        <v>0</v>
      </c>
      <c r="O280" s="109">
        <f t="shared" si="274"/>
        <v>5.3864270575703175E-3</v>
      </c>
      <c r="P280" s="109">
        <f t="shared" si="275"/>
        <v>0</v>
      </c>
      <c r="Q280" s="109">
        <f t="shared" si="276"/>
        <v>5.4700886237085349E-2</v>
      </c>
      <c r="R280" s="109">
        <f t="shared" si="277"/>
        <v>3.0815754961451509E-2</v>
      </c>
      <c r="S280" s="110">
        <f t="shared" si="278"/>
        <v>0</v>
      </c>
      <c r="T280" s="109">
        <f t="shared" si="279"/>
        <v>0</v>
      </c>
      <c r="U280" s="109">
        <f t="shared" si="280"/>
        <v>3.7805584985306311E-4</v>
      </c>
      <c r="V280" s="109">
        <f t="shared" si="281"/>
        <v>0</v>
      </c>
      <c r="W280" s="111">
        <f t="shared" si="282"/>
        <v>7.8032247587593671E-3</v>
      </c>
      <c r="X280" s="115">
        <f t="shared" si="285"/>
        <v>1</v>
      </c>
      <c r="Y280" s="38" t="s">
        <v>495</v>
      </c>
      <c r="Z280" s="42" t="s">
        <v>495</v>
      </c>
      <c r="AA280" s="67">
        <f t="shared" ref="AA280:AT280" si="336">IF($J168,SUMIF($AV$229:$AV$332,$Y280,AW$229:AW$332)*AA$227*$D168/$J168,0)</f>
        <v>369.22089999999997</v>
      </c>
      <c r="AB280" s="67">
        <f t="shared" si="336"/>
        <v>206.27029999999999</v>
      </c>
      <c r="AC280" s="67">
        <f t="shared" si="336"/>
        <v>225.61189999999999</v>
      </c>
      <c r="AD280" s="67">
        <f t="shared" si="336"/>
        <v>207.58930000000001</v>
      </c>
      <c r="AE280" s="67">
        <f t="shared" si="336"/>
        <v>786.85940000000005</v>
      </c>
      <c r="AF280" s="76">
        <f t="shared" si="336"/>
        <v>0</v>
      </c>
      <c r="AG280" s="67">
        <f t="shared" si="336"/>
        <v>0</v>
      </c>
      <c r="AH280" s="67">
        <f t="shared" si="336"/>
        <v>0</v>
      </c>
      <c r="AI280" s="67">
        <f t="shared" si="336"/>
        <v>0</v>
      </c>
      <c r="AJ280" s="68">
        <f t="shared" si="336"/>
        <v>0</v>
      </c>
      <c r="AK280" s="67">
        <f t="shared" si="336"/>
        <v>0</v>
      </c>
      <c r="AL280" s="67">
        <f t="shared" si="336"/>
        <v>10.73531</v>
      </c>
      <c r="AM280" s="67">
        <f t="shared" si="336"/>
        <v>0</v>
      </c>
      <c r="AN280" s="67">
        <f t="shared" si="336"/>
        <v>109.0205</v>
      </c>
      <c r="AO280" s="67">
        <f t="shared" si="336"/>
        <v>61.416719999999991</v>
      </c>
      <c r="AP280" s="76">
        <f t="shared" si="336"/>
        <v>0</v>
      </c>
      <c r="AQ280" s="67">
        <f t="shared" si="336"/>
        <v>0</v>
      </c>
      <c r="AR280" s="67">
        <f t="shared" si="336"/>
        <v>0.75347660000000005</v>
      </c>
      <c r="AS280" s="67">
        <f t="shared" si="336"/>
        <v>0</v>
      </c>
      <c r="AT280" s="68">
        <f t="shared" si="336"/>
        <v>15.552059999999999</v>
      </c>
      <c r="AU280" s="2"/>
      <c r="AV280" s="104" t="s">
        <v>495</v>
      </c>
      <c r="AW280" s="94">
        <v>369.22089999999997</v>
      </c>
      <c r="AX280" s="94">
        <v>206.27029999999999</v>
      </c>
      <c r="AY280" s="94">
        <v>225.61189999999999</v>
      </c>
      <c r="AZ280" s="94">
        <v>207.58930000000001</v>
      </c>
      <c r="BA280" s="94">
        <v>786.85940000000005</v>
      </c>
      <c r="BB280" s="106">
        <v>0</v>
      </c>
      <c r="BC280" s="94">
        <v>0</v>
      </c>
      <c r="BD280" s="94">
        <v>0</v>
      </c>
      <c r="BE280" s="94">
        <v>0</v>
      </c>
      <c r="BF280" s="95">
        <v>0</v>
      </c>
      <c r="BG280" s="94">
        <v>0</v>
      </c>
      <c r="BH280" s="94">
        <v>10.73531</v>
      </c>
      <c r="BI280" s="94">
        <v>0</v>
      </c>
      <c r="BJ280" s="94">
        <v>109.0205</v>
      </c>
      <c r="BK280" s="94">
        <v>61.416719999999998</v>
      </c>
      <c r="BL280" s="106">
        <v>0</v>
      </c>
      <c r="BM280" s="94">
        <v>0</v>
      </c>
      <c r="BN280" s="94">
        <v>0.75347660000000005</v>
      </c>
      <c r="BO280" s="94">
        <v>0</v>
      </c>
      <c r="BP280" s="95">
        <v>15.552060000000001</v>
      </c>
      <c r="BQ280" s="2"/>
      <c r="BR280" s="2"/>
      <c r="BS280" s="2"/>
    </row>
    <row r="281" spans="1:71" x14ac:dyDescent="0.35">
      <c r="A281" s="2"/>
      <c r="B281" s="2"/>
      <c r="C281" s="42" t="s">
        <v>496</v>
      </c>
      <c r="D281" s="109">
        <f t="shared" si="284"/>
        <v>0</v>
      </c>
      <c r="E281" s="109">
        <f t="shared" si="264"/>
        <v>0</v>
      </c>
      <c r="F281" s="109">
        <f t="shared" si="265"/>
        <v>0</v>
      </c>
      <c r="G281" s="109">
        <f t="shared" si="266"/>
        <v>0</v>
      </c>
      <c r="H281" s="109">
        <f t="shared" si="267"/>
        <v>0</v>
      </c>
      <c r="I281" s="110">
        <f t="shared" si="268"/>
        <v>0</v>
      </c>
      <c r="J281" s="109">
        <f t="shared" si="269"/>
        <v>0</v>
      </c>
      <c r="K281" s="109">
        <f t="shared" si="270"/>
        <v>0</v>
      </c>
      <c r="L281" s="109">
        <f t="shared" si="271"/>
        <v>0</v>
      </c>
      <c r="M281" s="111">
        <f t="shared" si="272"/>
        <v>0</v>
      </c>
      <c r="N281" s="109">
        <f t="shared" si="273"/>
        <v>0</v>
      </c>
      <c r="O281" s="109">
        <f t="shared" si="274"/>
        <v>0</v>
      </c>
      <c r="P281" s="109">
        <f t="shared" si="275"/>
        <v>0</v>
      </c>
      <c r="Q281" s="109">
        <f t="shared" si="276"/>
        <v>0</v>
      </c>
      <c r="R281" s="109">
        <f t="shared" si="277"/>
        <v>0</v>
      </c>
      <c r="S281" s="110">
        <f t="shared" si="278"/>
        <v>0</v>
      </c>
      <c r="T281" s="109">
        <f t="shared" si="279"/>
        <v>0</v>
      </c>
      <c r="U281" s="109">
        <f t="shared" si="280"/>
        <v>0</v>
      </c>
      <c r="V281" s="109">
        <f t="shared" si="281"/>
        <v>0</v>
      </c>
      <c r="W281" s="111">
        <f t="shared" si="282"/>
        <v>0</v>
      </c>
      <c r="X281" s="115">
        <f t="shared" si="285"/>
        <v>0</v>
      </c>
      <c r="Y281" s="38" t="s">
        <v>496</v>
      </c>
      <c r="Z281" s="42" t="s">
        <v>496</v>
      </c>
      <c r="AA281" s="67">
        <f t="shared" ref="AA281:AT281" si="337">IF($J169,SUMIF($AV$229:$AV$332,$Y281,AW$229:AW$332)*AA$227*$D169/$J169,0)</f>
        <v>0</v>
      </c>
      <c r="AB281" s="67">
        <f t="shared" si="337"/>
        <v>0</v>
      </c>
      <c r="AC281" s="67">
        <f t="shared" si="337"/>
        <v>0</v>
      </c>
      <c r="AD281" s="67">
        <f t="shared" si="337"/>
        <v>0</v>
      </c>
      <c r="AE281" s="67">
        <f t="shared" si="337"/>
        <v>0</v>
      </c>
      <c r="AF281" s="76">
        <f t="shared" si="337"/>
        <v>0</v>
      </c>
      <c r="AG281" s="67">
        <f t="shared" si="337"/>
        <v>0</v>
      </c>
      <c r="AH281" s="67">
        <f t="shared" si="337"/>
        <v>0</v>
      </c>
      <c r="AI281" s="67">
        <f t="shared" si="337"/>
        <v>0</v>
      </c>
      <c r="AJ281" s="68">
        <f t="shared" si="337"/>
        <v>0</v>
      </c>
      <c r="AK281" s="67">
        <f t="shared" si="337"/>
        <v>0</v>
      </c>
      <c r="AL281" s="67">
        <f t="shared" si="337"/>
        <v>0</v>
      </c>
      <c r="AM281" s="67">
        <f t="shared" si="337"/>
        <v>0</v>
      </c>
      <c r="AN281" s="67">
        <f t="shared" si="337"/>
        <v>0</v>
      </c>
      <c r="AO281" s="67">
        <f t="shared" si="337"/>
        <v>0</v>
      </c>
      <c r="AP281" s="76">
        <f t="shared" si="337"/>
        <v>0</v>
      </c>
      <c r="AQ281" s="67">
        <f t="shared" si="337"/>
        <v>0</v>
      </c>
      <c r="AR281" s="67">
        <f t="shared" si="337"/>
        <v>0</v>
      </c>
      <c r="AS281" s="67">
        <f t="shared" si="337"/>
        <v>0</v>
      </c>
      <c r="AT281" s="68">
        <f t="shared" si="337"/>
        <v>0</v>
      </c>
      <c r="AU281" s="2"/>
      <c r="AV281" s="104" t="s">
        <v>496</v>
      </c>
      <c r="AW281" s="94">
        <v>0</v>
      </c>
      <c r="AX281" s="94">
        <v>0</v>
      </c>
      <c r="AY281" s="94">
        <v>0</v>
      </c>
      <c r="AZ281" s="94">
        <v>0</v>
      </c>
      <c r="BA281" s="94">
        <v>0</v>
      </c>
      <c r="BB281" s="106">
        <v>0</v>
      </c>
      <c r="BC281" s="94">
        <v>0</v>
      </c>
      <c r="BD281" s="94">
        <v>0</v>
      </c>
      <c r="BE281" s="94">
        <v>0</v>
      </c>
      <c r="BF281" s="95">
        <v>0</v>
      </c>
      <c r="BG281" s="94">
        <v>0</v>
      </c>
      <c r="BH281" s="94">
        <v>0</v>
      </c>
      <c r="BI281" s="94">
        <v>0</v>
      </c>
      <c r="BJ281" s="94">
        <v>0</v>
      </c>
      <c r="BK281" s="94">
        <v>0</v>
      </c>
      <c r="BL281" s="106">
        <v>0</v>
      </c>
      <c r="BM281" s="94">
        <v>0</v>
      </c>
      <c r="BN281" s="94">
        <v>0</v>
      </c>
      <c r="BO281" s="94">
        <v>0</v>
      </c>
      <c r="BP281" s="95">
        <v>0</v>
      </c>
      <c r="BQ281" s="2"/>
      <c r="BR281" s="2"/>
      <c r="BS281" s="2"/>
    </row>
    <row r="282" spans="1:71" x14ac:dyDescent="0.35">
      <c r="A282" s="2"/>
      <c r="B282" s="2"/>
      <c r="C282" s="42" t="s">
        <v>497</v>
      </c>
      <c r="D282" s="109">
        <f t="shared" si="284"/>
        <v>0</v>
      </c>
      <c r="E282" s="109">
        <f t="shared" si="264"/>
        <v>0</v>
      </c>
      <c r="F282" s="109">
        <f t="shared" si="265"/>
        <v>0</v>
      </c>
      <c r="G282" s="109">
        <f t="shared" si="266"/>
        <v>0</v>
      </c>
      <c r="H282" s="109">
        <f t="shared" si="267"/>
        <v>0</v>
      </c>
      <c r="I282" s="110">
        <f t="shared" si="268"/>
        <v>0</v>
      </c>
      <c r="J282" s="109">
        <f t="shared" si="269"/>
        <v>0</v>
      </c>
      <c r="K282" s="109">
        <f t="shared" si="270"/>
        <v>0</v>
      </c>
      <c r="L282" s="109">
        <f t="shared" si="271"/>
        <v>0</v>
      </c>
      <c r="M282" s="111">
        <f t="shared" si="272"/>
        <v>0</v>
      </c>
      <c r="N282" s="109">
        <f t="shared" si="273"/>
        <v>0</v>
      </c>
      <c r="O282" s="109">
        <f t="shared" si="274"/>
        <v>0</v>
      </c>
      <c r="P282" s="109">
        <f t="shared" si="275"/>
        <v>0</v>
      </c>
      <c r="Q282" s="109">
        <f t="shared" si="276"/>
        <v>0</v>
      </c>
      <c r="R282" s="109">
        <f t="shared" si="277"/>
        <v>0</v>
      </c>
      <c r="S282" s="110">
        <f t="shared" si="278"/>
        <v>0</v>
      </c>
      <c r="T282" s="109">
        <f t="shared" si="279"/>
        <v>0</v>
      </c>
      <c r="U282" s="109">
        <f t="shared" si="280"/>
        <v>0</v>
      </c>
      <c r="V282" s="109">
        <f t="shared" si="281"/>
        <v>0</v>
      </c>
      <c r="W282" s="111">
        <f t="shared" si="282"/>
        <v>0</v>
      </c>
      <c r="X282" s="115">
        <f t="shared" si="285"/>
        <v>0</v>
      </c>
      <c r="Y282" s="38" t="s">
        <v>497</v>
      </c>
      <c r="Z282" s="42" t="s">
        <v>497</v>
      </c>
      <c r="AA282" s="67">
        <f t="shared" ref="AA282:AT282" si="338">IF($J170,SUMIF($AV$229:$AV$332,$Y282,AW$229:AW$332)*AA$227*$D170/$J170,0)</f>
        <v>0</v>
      </c>
      <c r="AB282" s="67">
        <f t="shared" si="338"/>
        <v>0</v>
      </c>
      <c r="AC282" s="67">
        <f t="shared" si="338"/>
        <v>0</v>
      </c>
      <c r="AD282" s="67">
        <f t="shared" si="338"/>
        <v>0</v>
      </c>
      <c r="AE282" s="67">
        <f t="shared" si="338"/>
        <v>0</v>
      </c>
      <c r="AF282" s="76">
        <f t="shared" si="338"/>
        <v>0</v>
      </c>
      <c r="AG282" s="67">
        <f t="shared" si="338"/>
        <v>0</v>
      </c>
      <c r="AH282" s="67">
        <f t="shared" si="338"/>
        <v>0</v>
      </c>
      <c r="AI282" s="67">
        <f t="shared" si="338"/>
        <v>0</v>
      </c>
      <c r="AJ282" s="68">
        <f t="shared" si="338"/>
        <v>0</v>
      </c>
      <c r="AK282" s="67">
        <f t="shared" si="338"/>
        <v>0</v>
      </c>
      <c r="AL282" s="67">
        <f t="shared" si="338"/>
        <v>0</v>
      </c>
      <c r="AM282" s="67">
        <f t="shared" si="338"/>
        <v>0</v>
      </c>
      <c r="AN282" s="67">
        <f t="shared" si="338"/>
        <v>0</v>
      </c>
      <c r="AO282" s="67">
        <f t="shared" si="338"/>
        <v>0</v>
      </c>
      <c r="AP282" s="76">
        <f t="shared" si="338"/>
        <v>0</v>
      </c>
      <c r="AQ282" s="67">
        <f t="shared" si="338"/>
        <v>0</v>
      </c>
      <c r="AR282" s="67">
        <f t="shared" si="338"/>
        <v>0</v>
      </c>
      <c r="AS282" s="67">
        <f t="shared" si="338"/>
        <v>0</v>
      </c>
      <c r="AT282" s="68">
        <f t="shared" si="338"/>
        <v>0</v>
      </c>
      <c r="AU282" s="2"/>
      <c r="AV282" s="104" t="s">
        <v>497</v>
      </c>
      <c r="AW282" s="94">
        <v>0</v>
      </c>
      <c r="AX282" s="94">
        <v>0</v>
      </c>
      <c r="AY282" s="94">
        <v>0</v>
      </c>
      <c r="AZ282" s="94">
        <v>0</v>
      </c>
      <c r="BA282" s="94">
        <v>0</v>
      </c>
      <c r="BB282" s="106">
        <v>0</v>
      </c>
      <c r="BC282" s="94">
        <v>0</v>
      </c>
      <c r="BD282" s="94">
        <v>0</v>
      </c>
      <c r="BE282" s="94">
        <v>0</v>
      </c>
      <c r="BF282" s="95">
        <v>0</v>
      </c>
      <c r="BG282" s="94">
        <v>0</v>
      </c>
      <c r="BH282" s="94">
        <v>0</v>
      </c>
      <c r="BI282" s="94">
        <v>0</v>
      </c>
      <c r="BJ282" s="94">
        <v>0</v>
      </c>
      <c r="BK282" s="94">
        <v>0</v>
      </c>
      <c r="BL282" s="106">
        <v>0</v>
      </c>
      <c r="BM282" s="94">
        <v>0</v>
      </c>
      <c r="BN282" s="94">
        <v>0</v>
      </c>
      <c r="BO282" s="94">
        <v>0</v>
      </c>
      <c r="BP282" s="95">
        <v>0</v>
      </c>
      <c r="BQ282" s="2"/>
      <c r="BR282" s="2"/>
      <c r="BS282" s="2"/>
    </row>
    <row r="283" spans="1:71" x14ac:dyDescent="0.35">
      <c r="A283" s="2"/>
      <c r="B283" s="2"/>
      <c r="C283" s="42" t="s">
        <v>529</v>
      </c>
      <c r="D283" s="109">
        <f t="shared" si="284"/>
        <v>0</v>
      </c>
      <c r="E283" s="109">
        <f t="shared" si="264"/>
        <v>0</v>
      </c>
      <c r="F283" s="109">
        <f t="shared" si="265"/>
        <v>0</v>
      </c>
      <c r="G283" s="109">
        <f t="shared" si="266"/>
        <v>0</v>
      </c>
      <c r="H283" s="109">
        <f t="shared" si="267"/>
        <v>0</v>
      </c>
      <c r="I283" s="110">
        <f t="shared" si="268"/>
        <v>0</v>
      </c>
      <c r="J283" s="109">
        <f t="shared" si="269"/>
        <v>0</v>
      </c>
      <c r="K283" s="109">
        <f t="shared" si="270"/>
        <v>0</v>
      </c>
      <c r="L283" s="109">
        <f t="shared" si="271"/>
        <v>0</v>
      </c>
      <c r="M283" s="111">
        <f t="shared" si="272"/>
        <v>0</v>
      </c>
      <c r="N283" s="109">
        <f t="shared" si="273"/>
        <v>0</v>
      </c>
      <c r="O283" s="109">
        <f t="shared" si="274"/>
        <v>0</v>
      </c>
      <c r="P283" s="109">
        <f t="shared" si="275"/>
        <v>0</v>
      </c>
      <c r="Q283" s="109">
        <f t="shared" si="276"/>
        <v>0</v>
      </c>
      <c r="R283" s="109">
        <f t="shared" si="277"/>
        <v>0</v>
      </c>
      <c r="S283" s="110">
        <f t="shared" si="278"/>
        <v>0</v>
      </c>
      <c r="T283" s="109">
        <f t="shared" si="279"/>
        <v>0</v>
      </c>
      <c r="U283" s="109">
        <f t="shared" si="280"/>
        <v>0</v>
      </c>
      <c r="V283" s="109">
        <f t="shared" si="281"/>
        <v>0</v>
      </c>
      <c r="W283" s="111">
        <f t="shared" si="282"/>
        <v>0</v>
      </c>
      <c r="X283" s="115">
        <f t="shared" si="285"/>
        <v>0</v>
      </c>
      <c r="Y283" s="38" t="s">
        <v>529</v>
      </c>
      <c r="Z283" s="42" t="s">
        <v>529</v>
      </c>
      <c r="AA283" s="67">
        <f t="shared" ref="AA283:AT283" si="339">IF($J171,SUMIF($AV$229:$AV$332,$Y283,AW$229:AW$332)*AA$227*$D171/$J171,0)</f>
        <v>0</v>
      </c>
      <c r="AB283" s="67">
        <f t="shared" si="339"/>
        <v>0</v>
      </c>
      <c r="AC283" s="67">
        <f t="shared" si="339"/>
        <v>0</v>
      </c>
      <c r="AD283" s="67">
        <f t="shared" si="339"/>
        <v>0</v>
      </c>
      <c r="AE283" s="67">
        <f t="shared" si="339"/>
        <v>0</v>
      </c>
      <c r="AF283" s="76">
        <f t="shared" si="339"/>
        <v>0</v>
      </c>
      <c r="AG283" s="67">
        <f t="shared" si="339"/>
        <v>0</v>
      </c>
      <c r="AH283" s="67">
        <f t="shared" si="339"/>
        <v>0</v>
      </c>
      <c r="AI283" s="67">
        <f t="shared" si="339"/>
        <v>0</v>
      </c>
      <c r="AJ283" s="68">
        <f t="shared" si="339"/>
        <v>0</v>
      </c>
      <c r="AK283" s="67">
        <f t="shared" si="339"/>
        <v>0</v>
      </c>
      <c r="AL283" s="67">
        <f t="shared" si="339"/>
        <v>0</v>
      </c>
      <c r="AM283" s="67">
        <f t="shared" si="339"/>
        <v>0</v>
      </c>
      <c r="AN283" s="67">
        <f t="shared" si="339"/>
        <v>0</v>
      </c>
      <c r="AO283" s="67">
        <f t="shared" si="339"/>
        <v>0</v>
      </c>
      <c r="AP283" s="76">
        <f t="shared" si="339"/>
        <v>0</v>
      </c>
      <c r="AQ283" s="67">
        <f t="shared" si="339"/>
        <v>0</v>
      </c>
      <c r="AR283" s="67">
        <f t="shared" si="339"/>
        <v>0</v>
      </c>
      <c r="AS283" s="67">
        <f t="shared" si="339"/>
        <v>0</v>
      </c>
      <c r="AT283" s="68">
        <f t="shared" si="339"/>
        <v>0</v>
      </c>
      <c r="AU283" s="2"/>
      <c r="AV283" s="104" t="s">
        <v>529</v>
      </c>
      <c r="AW283" s="94">
        <v>0</v>
      </c>
      <c r="AX283" s="94">
        <v>0</v>
      </c>
      <c r="AY283" s="94">
        <v>0</v>
      </c>
      <c r="AZ283" s="94">
        <v>0</v>
      </c>
      <c r="BA283" s="94">
        <v>0</v>
      </c>
      <c r="BB283" s="106">
        <v>0</v>
      </c>
      <c r="BC283" s="94">
        <v>0</v>
      </c>
      <c r="BD283" s="94">
        <v>0</v>
      </c>
      <c r="BE283" s="94">
        <v>0</v>
      </c>
      <c r="BF283" s="95">
        <v>0</v>
      </c>
      <c r="BG283" s="94">
        <v>0</v>
      </c>
      <c r="BH283" s="94">
        <v>0</v>
      </c>
      <c r="BI283" s="94">
        <v>0</v>
      </c>
      <c r="BJ283" s="94">
        <v>0</v>
      </c>
      <c r="BK283" s="94">
        <v>0</v>
      </c>
      <c r="BL283" s="106">
        <v>0</v>
      </c>
      <c r="BM283" s="94">
        <v>0</v>
      </c>
      <c r="BN283" s="94">
        <v>0</v>
      </c>
      <c r="BO283" s="94">
        <v>0</v>
      </c>
      <c r="BP283" s="95">
        <v>0</v>
      </c>
      <c r="BQ283" s="2"/>
      <c r="BR283" s="2"/>
      <c r="BS283" s="2"/>
    </row>
    <row r="284" spans="1:71" x14ac:dyDescent="0.35">
      <c r="A284" s="2"/>
      <c r="B284" s="2"/>
      <c r="C284" s="42" t="s">
        <v>498</v>
      </c>
      <c r="D284" s="109">
        <f t="shared" si="284"/>
        <v>0</v>
      </c>
      <c r="E284" s="109">
        <f t="shared" si="264"/>
        <v>0</v>
      </c>
      <c r="F284" s="109">
        <f t="shared" si="265"/>
        <v>0</v>
      </c>
      <c r="G284" s="109">
        <f t="shared" si="266"/>
        <v>0</v>
      </c>
      <c r="H284" s="109">
        <f t="shared" si="267"/>
        <v>0</v>
      </c>
      <c r="I284" s="110">
        <f t="shared" si="268"/>
        <v>0</v>
      </c>
      <c r="J284" s="109">
        <f t="shared" si="269"/>
        <v>0</v>
      </c>
      <c r="K284" s="109">
        <f t="shared" si="270"/>
        <v>0</v>
      </c>
      <c r="L284" s="109">
        <f t="shared" si="271"/>
        <v>0</v>
      </c>
      <c r="M284" s="111">
        <f t="shared" si="272"/>
        <v>0</v>
      </c>
      <c r="N284" s="109">
        <f t="shared" si="273"/>
        <v>0</v>
      </c>
      <c r="O284" s="109">
        <f t="shared" si="274"/>
        <v>0</v>
      </c>
      <c r="P284" s="109">
        <f t="shared" si="275"/>
        <v>0</v>
      </c>
      <c r="Q284" s="109">
        <f t="shared" si="276"/>
        <v>0</v>
      </c>
      <c r="R284" s="109">
        <f t="shared" si="277"/>
        <v>0</v>
      </c>
      <c r="S284" s="110">
        <f t="shared" si="278"/>
        <v>0</v>
      </c>
      <c r="T284" s="109">
        <f t="shared" si="279"/>
        <v>0</v>
      </c>
      <c r="U284" s="109">
        <f t="shared" si="280"/>
        <v>0</v>
      </c>
      <c r="V284" s="109">
        <f t="shared" si="281"/>
        <v>0</v>
      </c>
      <c r="W284" s="111">
        <f t="shared" si="282"/>
        <v>0</v>
      </c>
      <c r="X284" s="115">
        <f t="shared" si="285"/>
        <v>0</v>
      </c>
      <c r="Y284" s="38" t="s">
        <v>498</v>
      </c>
      <c r="Z284" s="42" t="s">
        <v>498</v>
      </c>
      <c r="AA284" s="67">
        <f t="shared" ref="AA284:AT284" si="340">IF($J172,SUMIF($AV$229:$AV$332,$Y284,AW$229:AW$332)*AA$227*$D172/$J172,0)</f>
        <v>0</v>
      </c>
      <c r="AB284" s="67">
        <f t="shared" si="340"/>
        <v>0</v>
      </c>
      <c r="AC284" s="67">
        <f t="shared" si="340"/>
        <v>0</v>
      </c>
      <c r="AD284" s="67">
        <f t="shared" si="340"/>
        <v>0</v>
      </c>
      <c r="AE284" s="67">
        <f t="shared" si="340"/>
        <v>0</v>
      </c>
      <c r="AF284" s="76">
        <f t="shared" si="340"/>
        <v>0</v>
      </c>
      <c r="AG284" s="67">
        <f t="shared" si="340"/>
        <v>0</v>
      </c>
      <c r="AH284" s="67">
        <f t="shared" si="340"/>
        <v>0</v>
      </c>
      <c r="AI284" s="67">
        <f t="shared" si="340"/>
        <v>0</v>
      </c>
      <c r="AJ284" s="68">
        <f t="shared" si="340"/>
        <v>0</v>
      </c>
      <c r="AK284" s="67">
        <f t="shared" si="340"/>
        <v>0</v>
      </c>
      <c r="AL284" s="67">
        <f t="shared" si="340"/>
        <v>0</v>
      </c>
      <c r="AM284" s="67">
        <f t="shared" si="340"/>
        <v>0</v>
      </c>
      <c r="AN284" s="67">
        <f t="shared" si="340"/>
        <v>0</v>
      </c>
      <c r="AO284" s="67">
        <f t="shared" si="340"/>
        <v>0</v>
      </c>
      <c r="AP284" s="76">
        <f t="shared" si="340"/>
        <v>0</v>
      </c>
      <c r="AQ284" s="67">
        <f t="shared" si="340"/>
        <v>0</v>
      </c>
      <c r="AR284" s="67">
        <f t="shared" si="340"/>
        <v>0</v>
      </c>
      <c r="AS284" s="67">
        <f t="shared" si="340"/>
        <v>0</v>
      </c>
      <c r="AT284" s="68">
        <f t="shared" si="340"/>
        <v>0</v>
      </c>
      <c r="AU284" s="2"/>
      <c r="AV284" s="104" t="s">
        <v>498</v>
      </c>
      <c r="AW284" s="94">
        <v>0</v>
      </c>
      <c r="AX284" s="94">
        <v>0</v>
      </c>
      <c r="AY284" s="94">
        <v>0</v>
      </c>
      <c r="AZ284" s="94">
        <v>0</v>
      </c>
      <c r="BA284" s="94">
        <v>0</v>
      </c>
      <c r="BB284" s="106">
        <v>0</v>
      </c>
      <c r="BC284" s="94">
        <v>0</v>
      </c>
      <c r="BD284" s="94">
        <v>0</v>
      </c>
      <c r="BE284" s="94">
        <v>0</v>
      </c>
      <c r="BF284" s="95">
        <v>0</v>
      </c>
      <c r="BG284" s="94">
        <v>0</v>
      </c>
      <c r="BH284" s="94">
        <v>0</v>
      </c>
      <c r="BI284" s="94">
        <v>0</v>
      </c>
      <c r="BJ284" s="94">
        <v>0</v>
      </c>
      <c r="BK284" s="94">
        <v>0</v>
      </c>
      <c r="BL284" s="106">
        <v>0</v>
      </c>
      <c r="BM284" s="94">
        <v>0</v>
      </c>
      <c r="BN284" s="94">
        <v>0</v>
      </c>
      <c r="BO284" s="94">
        <v>0</v>
      </c>
      <c r="BP284" s="95">
        <v>0</v>
      </c>
      <c r="BQ284" s="2"/>
      <c r="BR284" s="2"/>
      <c r="BS284" s="2"/>
    </row>
    <row r="285" spans="1:71" x14ac:dyDescent="0.35">
      <c r="A285" s="2"/>
      <c r="B285" s="2"/>
      <c r="C285" s="42" t="s">
        <v>499</v>
      </c>
      <c r="D285" s="109">
        <f t="shared" si="284"/>
        <v>0</v>
      </c>
      <c r="E285" s="109">
        <f t="shared" si="264"/>
        <v>0</v>
      </c>
      <c r="F285" s="109">
        <f t="shared" si="265"/>
        <v>0</v>
      </c>
      <c r="G285" s="109">
        <f t="shared" si="266"/>
        <v>0</v>
      </c>
      <c r="H285" s="109">
        <f t="shared" si="267"/>
        <v>0</v>
      </c>
      <c r="I285" s="110">
        <f t="shared" si="268"/>
        <v>0</v>
      </c>
      <c r="J285" s="109">
        <f t="shared" si="269"/>
        <v>0</v>
      </c>
      <c r="K285" s="109">
        <f t="shared" si="270"/>
        <v>0</v>
      </c>
      <c r="L285" s="109">
        <f t="shared" si="271"/>
        <v>0</v>
      </c>
      <c r="M285" s="111">
        <f t="shared" si="272"/>
        <v>0</v>
      </c>
      <c r="N285" s="109">
        <f t="shared" si="273"/>
        <v>0</v>
      </c>
      <c r="O285" s="109">
        <f t="shared" si="274"/>
        <v>0</v>
      </c>
      <c r="P285" s="109">
        <f t="shared" si="275"/>
        <v>0</v>
      </c>
      <c r="Q285" s="109">
        <f t="shared" si="276"/>
        <v>0</v>
      </c>
      <c r="R285" s="109">
        <f t="shared" si="277"/>
        <v>0</v>
      </c>
      <c r="S285" s="110">
        <f t="shared" si="278"/>
        <v>0</v>
      </c>
      <c r="T285" s="109">
        <f t="shared" si="279"/>
        <v>0</v>
      </c>
      <c r="U285" s="109">
        <f t="shared" si="280"/>
        <v>0</v>
      </c>
      <c r="V285" s="109">
        <f t="shared" si="281"/>
        <v>0</v>
      </c>
      <c r="W285" s="111">
        <f t="shared" si="282"/>
        <v>0</v>
      </c>
      <c r="X285" s="115">
        <f t="shared" si="285"/>
        <v>0</v>
      </c>
      <c r="Y285" s="38" t="s">
        <v>499</v>
      </c>
      <c r="Z285" s="42" t="s">
        <v>499</v>
      </c>
      <c r="AA285" s="67">
        <f t="shared" ref="AA285:AT285" si="341">IF($J173,SUMIF($AV$229:$AV$332,$Y285,AW$229:AW$332)*AA$227*$D173/$J173,0)</f>
        <v>0</v>
      </c>
      <c r="AB285" s="67">
        <f t="shared" si="341"/>
        <v>0</v>
      </c>
      <c r="AC285" s="67">
        <f t="shared" si="341"/>
        <v>0</v>
      </c>
      <c r="AD285" s="67">
        <f t="shared" si="341"/>
        <v>0</v>
      </c>
      <c r="AE285" s="67">
        <f t="shared" si="341"/>
        <v>0</v>
      </c>
      <c r="AF285" s="76">
        <f t="shared" si="341"/>
        <v>0</v>
      </c>
      <c r="AG285" s="67">
        <f t="shared" si="341"/>
        <v>0</v>
      </c>
      <c r="AH285" s="67">
        <f t="shared" si="341"/>
        <v>0</v>
      </c>
      <c r="AI285" s="67">
        <f t="shared" si="341"/>
        <v>0</v>
      </c>
      <c r="AJ285" s="68">
        <f t="shared" si="341"/>
        <v>0</v>
      </c>
      <c r="AK285" s="67">
        <f t="shared" si="341"/>
        <v>0</v>
      </c>
      <c r="AL285" s="67">
        <f t="shared" si="341"/>
        <v>0</v>
      </c>
      <c r="AM285" s="67">
        <f t="shared" si="341"/>
        <v>0</v>
      </c>
      <c r="AN285" s="67">
        <f t="shared" si="341"/>
        <v>0</v>
      </c>
      <c r="AO285" s="67">
        <f t="shared" si="341"/>
        <v>0</v>
      </c>
      <c r="AP285" s="76">
        <f t="shared" si="341"/>
        <v>0</v>
      </c>
      <c r="AQ285" s="67">
        <f t="shared" si="341"/>
        <v>0</v>
      </c>
      <c r="AR285" s="67">
        <f t="shared" si="341"/>
        <v>0</v>
      </c>
      <c r="AS285" s="67">
        <f t="shared" si="341"/>
        <v>0</v>
      </c>
      <c r="AT285" s="68">
        <f t="shared" si="341"/>
        <v>0</v>
      </c>
      <c r="AU285" s="2"/>
      <c r="AV285" s="104" t="s">
        <v>499</v>
      </c>
      <c r="AW285" s="94">
        <v>0</v>
      </c>
      <c r="AX285" s="94">
        <v>0</v>
      </c>
      <c r="AY285" s="94">
        <v>0</v>
      </c>
      <c r="AZ285" s="94">
        <v>0</v>
      </c>
      <c r="BA285" s="94">
        <v>0</v>
      </c>
      <c r="BB285" s="106">
        <v>0</v>
      </c>
      <c r="BC285" s="94">
        <v>0</v>
      </c>
      <c r="BD285" s="94">
        <v>0</v>
      </c>
      <c r="BE285" s="94">
        <v>0</v>
      </c>
      <c r="BF285" s="95">
        <v>0</v>
      </c>
      <c r="BG285" s="94">
        <v>0</v>
      </c>
      <c r="BH285" s="94">
        <v>0</v>
      </c>
      <c r="BI285" s="94">
        <v>0</v>
      </c>
      <c r="BJ285" s="94">
        <v>0</v>
      </c>
      <c r="BK285" s="94">
        <v>0</v>
      </c>
      <c r="BL285" s="106">
        <v>0</v>
      </c>
      <c r="BM285" s="94">
        <v>0</v>
      </c>
      <c r="BN285" s="94">
        <v>0</v>
      </c>
      <c r="BO285" s="94">
        <v>0</v>
      </c>
      <c r="BP285" s="95">
        <v>0</v>
      </c>
      <c r="BQ285" s="2"/>
      <c r="BR285" s="2"/>
      <c r="BS285" s="2"/>
    </row>
    <row r="286" spans="1:71" x14ac:dyDescent="0.35">
      <c r="A286" s="2"/>
      <c r="B286" s="2"/>
      <c r="C286" s="42" t="s">
        <v>530</v>
      </c>
      <c r="D286" s="109">
        <f t="shared" si="284"/>
        <v>0</v>
      </c>
      <c r="E286" s="109">
        <f t="shared" si="264"/>
        <v>0</v>
      </c>
      <c r="F286" s="109">
        <f t="shared" si="265"/>
        <v>0</v>
      </c>
      <c r="G286" s="109">
        <f t="shared" si="266"/>
        <v>0</v>
      </c>
      <c r="H286" s="109">
        <f t="shared" si="267"/>
        <v>0</v>
      </c>
      <c r="I286" s="110">
        <f t="shared" si="268"/>
        <v>0</v>
      </c>
      <c r="J286" s="109">
        <f t="shared" si="269"/>
        <v>0</v>
      </c>
      <c r="K286" s="109">
        <f t="shared" si="270"/>
        <v>0</v>
      </c>
      <c r="L286" s="109">
        <f t="shared" si="271"/>
        <v>0</v>
      </c>
      <c r="M286" s="111">
        <f t="shared" si="272"/>
        <v>0</v>
      </c>
      <c r="N286" s="109">
        <f t="shared" si="273"/>
        <v>0</v>
      </c>
      <c r="O286" s="109">
        <f t="shared" si="274"/>
        <v>0</v>
      </c>
      <c r="P286" s="109">
        <f t="shared" si="275"/>
        <v>0</v>
      </c>
      <c r="Q286" s="109">
        <f t="shared" si="276"/>
        <v>0</v>
      </c>
      <c r="R286" s="109">
        <f t="shared" si="277"/>
        <v>0</v>
      </c>
      <c r="S286" s="110">
        <f t="shared" si="278"/>
        <v>0</v>
      </c>
      <c r="T286" s="109">
        <f t="shared" si="279"/>
        <v>0</v>
      </c>
      <c r="U286" s="109">
        <f t="shared" si="280"/>
        <v>0</v>
      </c>
      <c r="V286" s="109">
        <f t="shared" si="281"/>
        <v>0</v>
      </c>
      <c r="W286" s="111">
        <f t="shared" si="282"/>
        <v>0</v>
      </c>
      <c r="X286" s="115">
        <f t="shared" si="285"/>
        <v>0</v>
      </c>
      <c r="Y286" s="38" t="s">
        <v>530</v>
      </c>
      <c r="Z286" s="42" t="s">
        <v>530</v>
      </c>
      <c r="AA286" s="67">
        <f t="shared" ref="AA286:AT286" si="342">IF($J174,SUMIF($AV$229:$AV$332,$Y286,AW$229:AW$332)*AA$227*$D174/$J174,0)</f>
        <v>0</v>
      </c>
      <c r="AB286" s="67">
        <f t="shared" si="342"/>
        <v>0</v>
      </c>
      <c r="AC286" s="67">
        <f t="shared" si="342"/>
        <v>0</v>
      </c>
      <c r="AD286" s="67">
        <f t="shared" si="342"/>
        <v>0</v>
      </c>
      <c r="AE286" s="67">
        <f t="shared" si="342"/>
        <v>0</v>
      </c>
      <c r="AF286" s="76">
        <f t="shared" si="342"/>
        <v>0</v>
      </c>
      <c r="AG286" s="67">
        <f t="shared" si="342"/>
        <v>0</v>
      </c>
      <c r="AH286" s="67">
        <f t="shared" si="342"/>
        <v>0</v>
      </c>
      <c r="AI286" s="67">
        <f t="shared" si="342"/>
        <v>0</v>
      </c>
      <c r="AJ286" s="68">
        <f t="shared" si="342"/>
        <v>0</v>
      </c>
      <c r="AK286" s="67">
        <f t="shared" si="342"/>
        <v>0</v>
      </c>
      <c r="AL286" s="67">
        <f t="shared" si="342"/>
        <v>0</v>
      </c>
      <c r="AM286" s="67">
        <f t="shared" si="342"/>
        <v>0</v>
      </c>
      <c r="AN286" s="67">
        <f t="shared" si="342"/>
        <v>0</v>
      </c>
      <c r="AO286" s="67">
        <f t="shared" si="342"/>
        <v>0</v>
      </c>
      <c r="AP286" s="76">
        <f t="shared" si="342"/>
        <v>0</v>
      </c>
      <c r="AQ286" s="67">
        <f t="shared" si="342"/>
        <v>0</v>
      </c>
      <c r="AR286" s="67">
        <f t="shared" si="342"/>
        <v>0</v>
      </c>
      <c r="AS286" s="67">
        <f t="shared" si="342"/>
        <v>0</v>
      </c>
      <c r="AT286" s="68">
        <f t="shared" si="342"/>
        <v>0</v>
      </c>
      <c r="AU286" s="2"/>
      <c r="AV286" s="104" t="s">
        <v>530</v>
      </c>
      <c r="AW286" s="94">
        <v>0</v>
      </c>
      <c r="AX286" s="94">
        <v>0</v>
      </c>
      <c r="AY286" s="94">
        <v>0</v>
      </c>
      <c r="AZ286" s="94">
        <v>0</v>
      </c>
      <c r="BA286" s="94">
        <v>0</v>
      </c>
      <c r="BB286" s="106">
        <v>0</v>
      </c>
      <c r="BC286" s="94">
        <v>0</v>
      </c>
      <c r="BD286" s="94">
        <v>0</v>
      </c>
      <c r="BE286" s="94">
        <v>0</v>
      </c>
      <c r="BF286" s="95">
        <v>0</v>
      </c>
      <c r="BG286" s="94">
        <v>0</v>
      </c>
      <c r="BH286" s="94">
        <v>0</v>
      </c>
      <c r="BI286" s="94">
        <v>0</v>
      </c>
      <c r="BJ286" s="94">
        <v>0</v>
      </c>
      <c r="BK286" s="94">
        <v>0</v>
      </c>
      <c r="BL286" s="106">
        <v>0</v>
      </c>
      <c r="BM286" s="94">
        <v>0</v>
      </c>
      <c r="BN286" s="94">
        <v>0</v>
      </c>
      <c r="BO286" s="94">
        <v>0</v>
      </c>
      <c r="BP286" s="95">
        <v>0</v>
      </c>
      <c r="BQ286" s="2"/>
      <c r="BR286" s="2"/>
      <c r="BS286" s="2"/>
    </row>
    <row r="287" spans="1:71" x14ac:dyDescent="0.35">
      <c r="A287" s="2"/>
      <c r="B287" s="2"/>
      <c r="C287" s="42" t="s">
        <v>531</v>
      </c>
      <c r="D287" s="109">
        <f t="shared" si="284"/>
        <v>0</v>
      </c>
      <c r="E287" s="109">
        <f t="shared" si="264"/>
        <v>0</v>
      </c>
      <c r="F287" s="109">
        <f t="shared" si="265"/>
        <v>0</v>
      </c>
      <c r="G287" s="109">
        <f t="shared" si="266"/>
        <v>0</v>
      </c>
      <c r="H287" s="109">
        <f t="shared" si="267"/>
        <v>0</v>
      </c>
      <c r="I287" s="110">
        <f t="shared" si="268"/>
        <v>0</v>
      </c>
      <c r="J287" s="109">
        <f t="shared" si="269"/>
        <v>0</v>
      </c>
      <c r="K287" s="109">
        <f t="shared" si="270"/>
        <v>0</v>
      </c>
      <c r="L287" s="109">
        <f t="shared" si="271"/>
        <v>0</v>
      </c>
      <c r="M287" s="111">
        <f t="shared" si="272"/>
        <v>0</v>
      </c>
      <c r="N287" s="109">
        <f t="shared" si="273"/>
        <v>0</v>
      </c>
      <c r="O287" s="109">
        <f t="shared" si="274"/>
        <v>0</v>
      </c>
      <c r="P287" s="109">
        <f t="shared" si="275"/>
        <v>0</v>
      </c>
      <c r="Q287" s="109">
        <f t="shared" si="276"/>
        <v>0</v>
      </c>
      <c r="R287" s="109">
        <f t="shared" si="277"/>
        <v>0</v>
      </c>
      <c r="S287" s="110">
        <f t="shared" si="278"/>
        <v>0</v>
      </c>
      <c r="T287" s="109">
        <f t="shared" si="279"/>
        <v>0</v>
      </c>
      <c r="U287" s="109">
        <f t="shared" si="280"/>
        <v>0</v>
      </c>
      <c r="V287" s="109">
        <f t="shared" si="281"/>
        <v>0</v>
      </c>
      <c r="W287" s="111">
        <f t="shared" si="282"/>
        <v>0</v>
      </c>
      <c r="X287" s="115">
        <f t="shared" si="285"/>
        <v>0</v>
      </c>
      <c r="Y287" s="38" t="s">
        <v>531</v>
      </c>
      <c r="Z287" s="42" t="s">
        <v>531</v>
      </c>
      <c r="AA287" s="67">
        <f t="shared" ref="AA287:AT287" si="343">IF($J175,SUMIF($AV$229:$AV$332,$Y287,AW$229:AW$332)*AA$227*$D175/$J175,0)</f>
        <v>0</v>
      </c>
      <c r="AB287" s="67">
        <f t="shared" si="343"/>
        <v>0</v>
      </c>
      <c r="AC287" s="67">
        <f t="shared" si="343"/>
        <v>0</v>
      </c>
      <c r="AD287" s="67">
        <f t="shared" si="343"/>
        <v>0</v>
      </c>
      <c r="AE287" s="67">
        <f t="shared" si="343"/>
        <v>0</v>
      </c>
      <c r="AF287" s="76">
        <f t="shared" si="343"/>
        <v>0</v>
      </c>
      <c r="AG287" s="67">
        <f t="shared" si="343"/>
        <v>0</v>
      </c>
      <c r="AH287" s="67">
        <f t="shared" si="343"/>
        <v>0</v>
      </c>
      <c r="AI287" s="67">
        <f t="shared" si="343"/>
        <v>0</v>
      </c>
      <c r="AJ287" s="68">
        <f t="shared" si="343"/>
        <v>0</v>
      </c>
      <c r="AK287" s="67">
        <f t="shared" si="343"/>
        <v>0</v>
      </c>
      <c r="AL287" s="67">
        <f t="shared" si="343"/>
        <v>0</v>
      </c>
      <c r="AM287" s="67">
        <f t="shared" si="343"/>
        <v>0</v>
      </c>
      <c r="AN287" s="67">
        <f t="shared" si="343"/>
        <v>0</v>
      </c>
      <c r="AO287" s="67">
        <f t="shared" si="343"/>
        <v>0</v>
      </c>
      <c r="AP287" s="76">
        <f t="shared" si="343"/>
        <v>0</v>
      </c>
      <c r="AQ287" s="67">
        <f t="shared" si="343"/>
        <v>0</v>
      </c>
      <c r="AR287" s="67">
        <f t="shared" si="343"/>
        <v>0</v>
      </c>
      <c r="AS287" s="67">
        <f t="shared" si="343"/>
        <v>0</v>
      </c>
      <c r="AT287" s="68">
        <f t="shared" si="343"/>
        <v>0</v>
      </c>
      <c r="AU287" s="2"/>
      <c r="AV287" s="104" t="s">
        <v>531</v>
      </c>
      <c r="AW287" s="94"/>
      <c r="AX287" s="94"/>
      <c r="AY287" s="94"/>
      <c r="AZ287" s="94"/>
      <c r="BA287" s="94"/>
      <c r="BB287" s="106"/>
      <c r="BC287" s="94"/>
      <c r="BD287" s="94"/>
      <c r="BE287" s="94"/>
      <c r="BF287" s="95"/>
      <c r="BG287" s="94"/>
      <c r="BH287" s="94"/>
      <c r="BI287" s="94"/>
      <c r="BJ287" s="94"/>
      <c r="BK287" s="94"/>
      <c r="BL287" s="106"/>
      <c r="BM287" s="94"/>
      <c r="BN287" s="94"/>
      <c r="BO287" s="94"/>
      <c r="BP287" s="95"/>
      <c r="BQ287" s="2"/>
      <c r="BR287" s="2"/>
      <c r="BS287" s="2"/>
    </row>
    <row r="288" spans="1:71" x14ac:dyDescent="0.35">
      <c r="A288" s="2"/>
      <c r="B288" s="2"/>
      <c r="C288" s="42" t="s">
        <v>500</v>
      </c>
      <c r="D288" s="109">
        <f t="shared" si="284"/>
        <v>0</v>
      </c>
      <c r="E288" s="109">
        <f t="shared" si="264"/>
        <v>0</v>
      </c>
      <c r="F288" s="109">
        <f t="shared" si="265"/>
        <v>0</v>
      </c>
      <c r="G288" s="109">
        <f t="shared" si="266"/>
        <v>0</v>
      </c>
      <c r="H288" s="109">
        <f t="shared" si="267"/>
        <v>0</v>
      </c>
      <c r="I288" s="110">
        <f t="shared" si="268"/>
        <v>0</v>
      </c>
      <c r="J288" s="109">
        <f t="shared" si="269"/>
        <v>0</v>
      </c>
      <c r="K288" s="109">
        <f t="shared" si="270"/>
        <v>0</v>
      </c>
      <c r="L288" s="109">
        <f t="shared" si="271"/>
        <v>0</v>
      </c>
      <c r="M288" s="111">
        <f t="shared" si="272"/>
        <v>0</v>
      </c>
      <c r="N288" s="109">
        <f t="shared" si="273"/>
        <v>0</v>
      </c>
      <c r="O288" s="109">
        <f t="shared" si="274"/>
        <v>0</v>
      </c>
      <c r="P288" s="109">
        <f t="shared" si="275"/>
        <v>0</v>
      </c>
      <c r="Q288" s="109">
        <f t="shared" si="276"/>
        <v>0</v>
      </c>
      <c r="R288" s="109">
        <f t="shared" si="277"/>
        <v>0</v>
      </c>
      <c r="S288" s="110">
        <f t="shared" si="278"/>
        <v>0</v>
      </c>
      <c r="T288" s="109">
        <f t="shared" si="279"/>
        <v>0</v>
      </c>
      <c r="U288" s="109">
        <f t="shared" si="280"/>
        <v>0</v>
      </c>
      <c r="V288" s="109">
        <f t="shared" si="281"/>
        <v>0</v>
      </c>
      <c r="W288" s="111">
        <f t="shared" si="282"/>
        <v>0</v>
      </c>
      <c r="X288" s="115">
        <f t="shared" si="285"/>
        <v>0</v>
      </c>
      <c r="Y288" s="38" t="s">
        <v>500</v>
      </c>
      <c r="Z288" s="42" t="s">
        <v>500</v>
      </c>
      <c r="AA288" s="67">
        <f t="shared" ref="AA288:AT288" si="344">IF($J176,SUMIF($AV$229:$AV$332,$Y288,AW$229:AW$332)*AA$227*$D176/$J176,0)</f>
        <v>0</v>
      </c>
      <c r="AB288" s="67">
        <f t="shared" si="344"/>
        <v>0</v>
      </c>
      <c r="AC288" s="67">
        <f t="shared" si="344"/>
        <v>0</v>
      </c>
      <c r="AD288" s="67">
        <f t="shared" si="344"/>
        <v>0</v>
      </c>
      <c r="AE288" s="67">
        <f t="shared" si="344"/>
        <v>0</v>
      </c>
      <c r="AF288" s="76">
        <f t="shared" si="344"/>
        <v>0</v>
      </c>
      <c r="AG288" s="67">
        <f t="shared" si="344"/>
        <v>0</v>
      </c>
      <c r="AH288" s="67">
        <f t="shared" si="344"/>
        <v>0</v>
      </c>
      <c r="AI288" s="67">
        <f t="shared" si="344"/>
        <v>0</v>
      </c>
      <c r="AJ288" s="68">
        <f t="shared" si="344"/>
        <v>0</v>
      </c>
      <c r="AK288" s="67">
        <f t="shared" si="344"/>
        <v>0</v>
      </c>
      <c r="AL288" s="67">
        <f t="shared" si="344"/>
        <v>0</v>
      </c>
      <c r="AM288" s="67">
        <f t="shared" si="344"/>
        <v>0</v>
      </c>
      <c r="AN288" s="67">
        <f t="shared" si="344"/>
        <v>0</v>
      </c>
      <c r="AO288" s="67">
        <f t="shared" si="344"/>
        <v>0</v>
      </c>
      <c r="AP288" s="76">
        <f t="shared" si="344"/>
        <v>0</v>
      </c>
      <c r="AQ288" s="67">
        <f t="shared" si="344"/>
        <v>0</v>
      </c>
      <c r="AR288" s="67">
        <f t="shared" si="344"/>
        <v>0</v>
      </c>
      <c r="AS288" s="67">
        <f t="shared" si="344"/>
        <v>0</v>
      </c>
      <c r="AT288" s="68">
        <f t="shared" si="344"/>
        <v>0</v>
      </c>
      <c r="AU288" s="2"/>
      <c r="AV288" s="104" t="s">
        <v>500</v>
      </c>
      <c r="AW288" s="94">
        <v>0</v>
      </c>
      <c r="AX288" s="94">
        <v>0</v>
      </c>
      <c r="AY288" s="94">
        <v>0</v>
      </c>
      <c r="AZ288" s="94">
        <v>0</v>
      </c>
      <c r="BA288" s="94">
        <v>0</v>
      </c>
      <c r="BB288" s="106">
        <v>0</v>
      </c>
      <c r="BC288" s="94">
        <v>0</v>
      </c>
      <c r="BD288" s="94">
        <v>0</v>
      </c>
      <c r="BE288" s="94">
        <v>0</v>
      </c>
      <c r="BF288" s="95">
        <v>0</v>
      </c>
      <c r="BG288" s="94">
        <v>0</v>
      </c>
      <c r="BH288" s="94">
        <v>0</v>
      </c>
      <c r="BI288" s="94">
        <v>0</v>
      </c>
      <c r="BJ288" s="94">
        <v>0</v>
      </c>
      <c r="BK288" s="94">
        <v>0</v>
      </c>
      <c r="BL288" s="106">
        <v>0</v>
      </c>
      <c r="BM288" s="94">
        <v>0</v>
      </c>
      <c r="BN288" s="94">
        <v>0</v>
      </c>
      <c r="BO288" s="94">
        <v>0</v>
      </c>
      <c r="BP288" s="95">
        <v>0</v>
      </c>
      <c r="BQ288" s="2"/>
      <c r="BR288" s="2"/>
      <c r="BS288" s="2"/>
    </row>
    <row r="289" spans="1:71" x14ac:dyDescent="0.35">
      <c r="A289" s="2"/>
      <c r="B289" s="2"/>
      <c r="C289" s="42" t="s">
        <v>532</v>
      </c>
      <c r="D289" s="109">
        <f t="shared" si="284"/>
        <v>0</v>
      </c>
      <c r="E289" s="109">
        <f t="shared" si="264"/>
        <v>0</v>
      </c>
      <c r="F289" s="109">
        <f t="shared" si="265"/>
        <v>0</v>
      </c>
      <c r="G289" s="109">
        <f t="shared" si="266"/>
        <v>0</v>
      </c>
      <c r="H289" s="109">
        <f t="shared" si="267"/>
        <v>0</v>
      </c>
      <c r="I289" s="110">
        <f t="shared" si="268"/>
        <v>0</v>
      </c>
      <c r="J289" s="109">
        <f t="shared" si="269"/>
        <v>0</v>
      </c>
      <c r="K289" s="109">
        <f t="shared" si="270"/>
        <v>0</v>
      </c>
      <c r="L289" s="109">
        <f t="shared" si="271"/>
        <v>0</v>
      </c>
      <c r="M289" s="111">
        <f t="shared" si="272"/>
        <v>0</v>
      </c>
      <c r="N289" s="109">
        <f t="shared" si="273"/>
        <v>0</v>
      </c>
      <c r="O289" s="109">
        <f t="shared" si="274"/>
        <v>0</v>
      </c>
      <c r="P289" s="109">
        <f t="shared" si="275"/>
        <v>0</v>
      </c>
      <c r="Q289" s="109">
        <f t="shared" si="276"/>
        <v>0</v>
      </c>
      <c r="R289" s="109">
        <f t="shared" si="277"/>
        <v>0</v>
      </c>
      <c r="S289" s="110">
        <f t="shared" si="278"/>
        <v>0</v>
      </c>
      <c r="T289" s="109">
        <f t="shared" si="279"/>
        <v>0</v>
      </c>
      <c r="U289" s="109">
        <f t="shared" si="280"/>
        <v>0</v>
      </c>
      <c r="V289" s="109">
        <f t="shared" si="281"/>
        <v>0</v>
      </c>
      <c r="W289" s="111">
        <f t="shared" si="282"/>
        <v>0</v>
      </c>
      <c r="X289" s="115">
        <f t="shared" si="285"/>
        <v>0</v>
      </c>
      <c r="Y289" s="38" t="s">
        <v>532</v>
      </c>
      <c r="Z289" s="42" t="s">
        <v>532</v>
      </c>
      <c r="AA289" s="67">
        <f t="shared" ref="AA289:AT289" si="345">IF($J177,SUMIF($AV$229:$AV$332,$Y289,AW$229:AW$332)*AA$227*$D177/$J177,0)</f>
        <v>0</v>
      </c>
      <c r="AB289" s="67">
        <f t="shared" si="345"/>
        <v>0</v>
      </c>
      <c r="AC289" s="67">
        <f t="shared" si="345"/>
        <v>0</v>
      </c>
      <c r="AD289" s="67">
        <f t="shared" si="345"/>
        <v>0</v>
      </c>
      <c r="AE289" s="67">
        <f t="shared" si="345"/>
        <v>0</v>
      </c>
      <c r="AF289" s="76">
        <f t="shared" si="345"/>
        <v>0</v>
      </c>
      <c r="AG289" s="67">
        <f t="shared" si="345"/>
        <v>0</v>
      </c>
      <c r="AH289" s="67">
        <f t="shared" si="345"/>
        <v>0</v>
      </c>
      <c r="AI289" s="67">
        <f t="shared" si="345"/>
        <v>0</v>
      </c>
      <c r="AJ289" s="68">
        <f t="shared" si="345"/>
        <v>0</v>
      </c>
      <c r="AK289" s="67">
        <f t="shared" si="345"/>
        <v>0</v>
      </c>
      <c r="AL289" s="67">
        <f t="shared" si="345"/>
        <v>0</v>
      </c>
      <c r="AM289" s="67">
        <f t="shared" si="345"/>
        <v>0</v>
      </c>
      <c r="AN289" s="67">
        <f t="shared" si="345"/>
        <v>0</v>
      </c>
      <c r="AO289" s="67">
        <f t="shared" si="345"/>
        <v>0</v>
      </c>
      <c r="AP289" s="76">
        <f t="shared" si="345"/>
        <v>0</v>
      </c>
      <c r="AQ289" s="67">
        <f t="shared" si="345"/>
        <v>0</v>
      </c>
      <c r="AR289" s="67">
        <f t="shared" si="345"/>
        <v>0</v>
      </c>
      <c r="AS289" s="67">
        <f t="shared" si="345"/>
        <v>0</v>
      </c>
      <c r="AT289" s="68">
        <f t="shared" si="345"/>
        <v>0</v>
      </c>
      <c r="AU289" s="2"/>
      <c r="AV289" s="104" t="s">
        <v>532</v>
      </c>
      <c r="AW289" s="94"/>
      <c r="AX289" s="94"/>
      <c r="AY289" s="94"/>
      <c r="AZ289" s="94"/>
      <c r="BA289" s="94"/>
      <c r="BB289" s="106"/>
      <c r="BC289" s="94"/>
      <c r="BD289" s="94"/>
      <c r="BE289" s="94"/>
      <c r="BF289" s="95"/>
      <c r="BG289" s="94"/>
      <c r="BH289" s="94"/>
      <c r="BI289" s="94"/>
      <c r="BJ289" s="94"/>
      <c r="BK289" s="94"/>
      <c r="BL289" s="106"/>
      <c r="BM289" s="94"/>
      <c r="BN289" s="94"/>
      <c r="BO289" s="94"/>
      <c r="BP289" s="95"/>
      <c r="BQ289" s="2"/>
      <c r="BR289" s="2"/>
      <c r="BS289" s="2"/>
    </row>
    <row r="290" spans="1:71" x14ac:dyDescent="0.35">
      <c r="A290" s="2"/>
      <c r="B290" s="2"/>
      <c r="C290" s="42" t="s">
        <v>533</v>
      </c>
      <c r="D290" s="109">
        <f t="shared" si="284"/>
        <v>0</v>
      </c>
      <c r="E290" s="109">
        <f t="shared" si="264"/>
        <v>0</v>
      </c>
      <c r="F290" s="109">
        <f t="shared" si="265"/>
        <v>0</v>
      </c>
      <c r="G290" s="109">
        <f t="shared" si="266"/>
        <v>0</v>
      </c>
      <c r="H290" s="109">
        <f t="shared" si="267"/>
        <v>0</v>
      </c>
      <c r="I290" s="110">
        <f t="shared" si="268"/>
        <v>0</v>
      </c>
      <c r="J290" s="109">
        <f t="shared" si="269"/>
        <v>0</v>
      </c>
      <c r="K290" s="109">
        <f t="shared" si="270"/>
        <v>0</v>
      </c>
      <c r="L290" s="109">
        <f t="shared" si="271"/>
        <v>0</v>
      </c>
      <c r="M290" s="111">
        <f t="shared" si="272"/>
        <v>0</v>
      </c>
      <c r="N290" s="109">
        <f t="shared" si="273"/>
        <v>0</v>
      </c>
      <c r="O290" s="109">
        <f t="shared" si="274"/>
        <v>0</v>
      </c>
      <c r="P290" s="109">
        <f t="shared" si="275"/>
        <v>0</v>
      </c>
      <c r="Q290" s="109">
        <f t="shared" si="276"/>
        <v>0</v>
      </c>
      <c r="R290" s="109">
        <f t="shared" si="277"/>
        <v>0</v>
      </c>
      <c r="S290" s="110">
        <f t="shared" si="278"/>
        <v>0</v>
      </c>
      <c r="T290" s="109">
        <f t="shared" si="279"/>
        <v>0</v>
      </c>
      <c r="U290" s="109">
        <f t="shared" si="280"/>
        <v>0</v>
      </c>
      <c r="V290" s="109">
        <f t="shared" si="281"/>
        <v>0</v>
      </c>
      <c r="W290" s="111">
        <f t="shared" si="282"/>
        <v>0</v>
      </c>
      <c r="X290" s="115">
        <f t="shared" si="285"/>
        <v>0</v>
      </c>
      <c r="Y290" s="38" t="s">
        <v>533</v>
      </c>
      <c r="Z290" s="42" t="s">
        <v>533</v>
      </c>
      <c r="AA290" s="67">
        <f t="shared" ref="AA290:AT290" si="346">IF($J178,SUMIF($AV$229:$AV$332,$Y290,AW$229:AW$332)*AA$227*$D178/$J178,0)</f>
        <v>0</v>
      </c>
      <c r="AB290" s="67">
        <f t="shared" si="346"/>
        <v>0</v>
      </c>
      <c r="AC290" s="67">
        <f t="shared" si="346"/>
        <v>0</v>
      </c>
      <c r="AD290" s="67">
        <f t="shared" si="346"/>
        <v>0</v>
      </c>
      <c r="AE290" s="67">
        <f t="shared" si="346"/>
        <v>0</v>
      </c>
      <c r="AF290" s="76">
        <f t="shared" si="346"/>
        <v>0</v>
      </c>
      <c r="AG290" s="67">
        <f t="shared" si="346"/>
        <v>0</v>
      </c>
      <c r="AH290" s="67">
        <f t="shared" si="346"/>
        <v>0</v>
      </c>
      <c r="AI290" s="67">
        <f t="shared" si="346"/>
        <v>0</v>
      </c>
      <c r="AJ290" s="68">
        <f t="shared" si="346"/>
        <v>0</v>
      </c>
      <c r="AK290" s="67">
        <f t="shared" si="346"/>
        <v>0</v>
      </c>
      <c r="AL290" s="67">
        <f t="shared" si="346"/>
        <v>0</v>
      </c>
      <c r="AM290" s="67">
        <f t="shared" si="346"/>
        <v>0</v>
      </c>
      <c r="AN290" s="67">
        <f t="shared" si="346"/>
        <v>0</v>
      </c>
      <c r="AO290" s="67">
        <f t="shared" si="346"/>
        <v>0</v>
      </c>
      <c r="AP290" s="76">
        <f t="shared" si="346"/>
        <v>0</v>
      </c>
      <c r="AQ290" s="67">
        <f t="shared" si="346"/>
        <v>0</v>
      </c>
      <c r="AR290" s="67">
        <f t="shared" si="346"/>
        <v>0</v>
      </c>
      <c r="AS290" s="67">
        <f t="shared" si="346"/>
        <v>0</v>
      </c>
      <c r="AT290" s="68">
        <f t="shared" si="346"/>
        <v>0</v>
      </c>
      <c r="AU290" s="2"/>
      <c r="AV290" s="104" t="s">
        <v>533</v>
      </c>
      <c r="AW290" s="94"/>
      <c r="AX290" s="94"/>
      <c r="AY290" s="94"/>
      <c r="AZ290" s="94"/>
      <c r="BA290" s="94"/>
      <c r="BB290" s="106"/>
      <c r="BC290" s="94"/>
      <c r="BD290" s="94"/>
      <c r="BE290" s="94"/>
      <c r="BF290" s="95"/>
      <c r="BG290" s="94"/>
      <c r="BH290" s="94"/>
      <c r="BI290" s="94"/>
      <c r="BJ290" s="94"/>
      <c r="BK290" s="94"/>
      <c r="BL290" s="106"/>
      <c r="BM290" s="94"/>
      <c r="BN290" s="94"/>
      <c r="BO290" s="94"/>
      <c r="BP290" s="95"/>
      <c r="BQ290" s="2"/>
      <c r="BR290" s="2"/>
      <c r="BS290" s="2"/>
    </row>
    <row r="291" spans="1:71" x14ac:dyDescent="0.35">
      <c r="A291" s="2"/>
      <c r="B291" s="2"/>
      <c r="C291" s="42" t="s">
        <v>501</v>
      </c>
      <c r="D291" s="109">
        <f t="shared" si="284"/>
        <v>0</v>
      </c>
      <c r="E291" s="109">
        <f t="shared" si="264"/>
        <v>0</v>
      </c>
      <c r="F291" s="109">
        <f t="shared" si="265"/>
        <v>0</v>
      </c>
      <c r="G291" s="109">
        <f t="shared" si="266"/>
        <v>0</v>
      </c>
      <c r="H291" s="109">
        <f t="shared" si="267"/>
        <v>0</v>
      </c>
      <c r="I291" s="110">
        <f t="shared" si="268"/>
        <v>0</v>
      </c>
      <c r="J291" s="109">
        <f t="shared" si="269"/>
        <v>0</v>
      </c>
      <c r="K291" s="109">
        <f t="shared" si="270"/>
        <v>0</v>
      </c>
      <c r="L291" s="109">
        <f t="shared" si="271"/>
        <v>0</v>
      </c>
      <c r="M291" s="111">
        <f t="shared" si="272"/>
        <v>0</v>
      </c>
      <c r="N291" s="109">
        <f t="shared" si="273"/>
        <v>0</v>
      </c>
      <c r="O291" s="109">
        <f t="shared" si="274"/>
        <v>0</v>
      </c>
      <c r="P291" s="109">
        <f t="shared" si="275"/>
        <v>0</v>
      </c>
      <c r="Q291" s="109">
        <f t="shared" si="276"/>
        <v>0</v>
      </c>
      <c r="R291" s="109">
        <f t="shared" si="277"/>
        <v>0</v>
      </c>
      <c r="S291" s="110">
        <f t="shared" si="278"/>
        <v>0</v>
      </c>
      <c r="T291" s="109">
        <f t="shared" si="279"/>
        <v>0</v>
      </c>
      <c r="U291" s="109">
        <f t="shared" si="280"/>
        <v>0</v>
      </c>
      <c r="V291" s="109">
        <f t="shared" si="281"/>
        <v>0</v>
      </c>
      <c r="W291" s="111">
        <f t="shared" si="282"/>
        <v>0</v>
      </c>
      <c r="X291" s="115">
        <f t="shared" si="285"/>
        <v>0</v>
      </c>
      <c r="Y291" s="38" t="s">
        <v>501</v>
      </c>
      <c r="Z291" s="42" t="s">
        <v>501</v>
      </c>
      <c r="AA291" s="67">
        <f t="shared" ref="AA291:AT291" si="347">IF($J179,SUMIF($AV$229:$AV$332,$Y291,AW$229:AW$332)*AA$227*$D179/$J179,0)</f>
        <v>0</v>
      </c>
      <c r="AB291" s="67">
        <f t="shared" si="347"/>
        <v>0</v>
      </c>
      <c r="AC291" s="67">
        <f t="shared" si="347"/>
        <v>0</v>
      </c>
      <c r="AD291" s="67">
        <f t="shared" si="347"/>
        <v>0</v>
      </c>
      <c r="AE291" s="67">
        <f t="shared" si="347"/>
        <v>0</v>
      </c>
      <c r="AF291" s="76">
        <f t="shared" si="347"/>
        <v>0</v>
      </c>
      <c r="AG291" s="67">
        <f t="shared" si="347"/>
        <v>0</v>
      </c>
      <c r="AH291" s="67">
        <f t="shared" si="347"/>
        <v>0</v>
      </c>
      <c r="AI291" s="67">
        <f t="shared" si="347"/>
        <v>0</v>
      </c>
      <c r="AJ291" s="68">
        <f t="shared" si="347"/>
        <v>0</v>
      </c>
      <c r="AK291" s="67">
        <f t="shared" si="347"/>
        <v>0</v>
      </c>
      <c r="AL291" s="67">
        <f t="shared" si="347"/>
        <v>0</v>
      </c>
      <c r="AM291" s="67">
        <f t="shared" si="347"/>
        <v>0</v>
      </c>
      <c r="AN291" s="67">
        <f t="shared" si="347"/>
        <v>0</v>
      </c>
      <c r="AO291" s="67">
        <f t="shared" si="347"/>
        <v>0</v>
      </c>
      <c r="AP291" s="76">
        <f t="shared" si="347"/>
        <v>0</v>
      </c>
      <c r="AQ291" s="67">
        <f t="shared" si="347"/>
        <v>0</v>
      </c>
      <c r="AR291" s="67">
        <f t="shared" si="347"/>
        <v>0</v>
      </c>
      <c r="AS291" s="67">
        <f t="shared" si="347"/>
        <v>0</v>
      </c>
      <c r="AT291" s="68">
        <f t="shared" si="347"/>
        <v>0</v>
      </c>
      <c r="AU291" s="2"/>
      <c r="AV291" s="104" t="s">
        <v>501</v>
      </c>
      <c r="AW291" s="94">
        <v>0</v>
      </c>
      <c r="AX291" s="94">
        <v>0</v>
      </c>
      <c r="AY291" s="94">
        <v>0</v>
      </c>
      <c r="AZ291" s="94">
        <v>0</v>
      </c>
      <c r="BA291" s="94">
        <v>0</v>
      </c>
      <c r="BB291" s="106">
        <v>0</v>
      </c>
      <c r="BC291" s="94">
        <v>0</v>
      </c>
      <c r="BD291" s="94">
        <v>0</v>
      </c>
      <c r="BE291" s="94">
        <v>0</v>
      </c>
      <c r="BF291" s="95">
        <v>0</v>
      </c>
      <c r="BG291" s="94">
        <v>0</v>
      </c>
      <c r="BH291" s="94">
        <v>0</v>
      </c>
      <c r="BI291" s="94">
        <v>0</v>
      </c>
      <c r="BJ291" s="94">
        <v>0</v>
      </c>
      <c r="BK291" s="94">
        <v>0</v>
      </c>
      <c r="BL291" s="106">
        <v>0</v>
      </c>
      <c r="BM291" s="94">
        <v>0</v>
      </c>
      <c r="BN291" s="94">
        <v>0</v>
      </c>
      <c r="BO291" s="94">
        <v>0</v>
      </c>
      <c r="BP291" s="95">
        <v>0</v>
      </c>
      <c r="BQ291" s="2"/>
      <c r="BR291" s="2"/>
      <c r="BS291" s="2"/>
    </row>
    <row r="292" spans="1:71" x14ac:dyDescent="0.35">
      <c r="A292" s="2"/>
      <c r="B292" s="2"/>
      <c r="C292" s="42" t="s">
        <v>502</v>
      </c>
      <c r="D292" s="109">
        <f t="shared" si="284"/>
        <v>0</v>
      </c>
      <c r="E292" s="109">
        <f t="shared" si="264"/>
        <v>0</v>
      </c>
      <c r="F292" s="109">
        <f t="shared" si="265"/>
        <v>0</v>
      </c>
      <c r="G292" s="109">
        <f t="shared" si="266"/>
        <v>0</v>
      </c>
      <c r="H292" s="109">
        <f t="shared" si="267"/>
        <v>0</v>
      </c>
      <c r="I292" s="110">
        <f t="shared" si="268"/>
        <v>0</v>
      </c>
      <c r="J292" s="109">
        <f t="shared" si="269"/>
        <v>0</v>
      </c>
      <c r="K292" s="109">
        <f t="shared" si="270"/>
        <v>0</v>
      </c>
      <c r="L292" s="109">
        <f t="shared" si="271"/>
        <v>0</v>
      </c>
      <c r="M292" s="111">
        <f t="shared" si="272"/>
        <v>0</v>
      </c>
      <c r="N292" s="109">
        <f t="shared" si="273"/>
        <v>0</v>
      </c>
      <c r="O292" s="109">
        <f t="shared" si="274"/>
        <v>0</v>
      </c>
      <c r="P292" s="109">
        <f t="shared" si="275"/>
        <v>0</v>
      </c>
      <c r="Q292" s="109">
        <f t="shared" si="276"/>
        <v>0</v>
      </c>
      <c r="R292" s="109">
        <f t="shared" si="277"/>
        <v>0</v>
      </c>
      <c r="S292" s="110">
        <f t="shared" si="278"/>
        <v>0</v>
      </c>
      <c r="T292" s="109">
        <f t="shared" si="279"/>
        <v>0</v>
      </c>
      <c r="U292" s="109">
        <f t="shared" si="280"/>
        <v>0</v>
      </c>
      <c r="V292" s="109">
        <f t="shared" si="281"/>
        <v>0</v>
      </c>
      <c r="W292" s="111">
        <f t="shared" si="282"/>
        <v>0</v>
      </c>
      <c r="X292" s="115">
        <f t="shared" si="285"/>
        <v>0</v>
      </c>
      <c r="Y292" s="38" t="s">
        <v>502</v>
      </c>
      <c r="Z292" s="42" t="s">
        <v>502</v>
      </c>
      <c r="AA292" s="67">
        <f t="shared" ref="AA292:AT292" si="348">IF($J180,SUMIF($AV$229:$AV$332,$Y292,AW$229:AW$332)*AA$227*$D180/$J180,0)</f>
        <v>0</v>
      </c>
      <c r="AB292" s="67">
        <f t="shared" si="348"/>
        <v>0</v>
      </c>
      <c r="AC292" s="67">
        <f t="shared" si="348"/>
        <v>0</v>
      </c>
      <c r="AD292" s="67">
        <f t="shared" si="348"/>
        <v>0</v>
      </c>
      <c r="AE292" s="67">
        <f t="shared" si="348"/>
        <v>0</v>
      </c>
      <c r="AF292" s="76">
        <f t="shared" si="348"/>
        <v>0</v>
      </c>
      <c r="AG292" s="67">
        <f t="shared" si="348"/>
        <v>0</v>
      </c>
      <c r="AH292" s="67">
        <f t="shared" si="348"/>
        <v>0</v>
      </c>
      <c r="AI292" s="67">
        <f t="shared" si="348"/>
        <v>0</v>
      </c>
      <c r="AJ292" s="68">
        <f t="shared" si="348"/>
        <v>0</v>
      </c>
      <c r="AK292" s="67">
        <f t="shared" si="348"/>
        <v>0</v>
      </c>
      <c r="AL292" s="67">
        <f t="shared" si="348"/>
        <v>0</v>
      </c>
      <c r="AM292" s="67">
        <f t="shared" si="348"/>
        <v>0</v>
      </c>
      <c r="AN292" s="67">
        <f t="shared" si="348"/>
        <v>0</v>
      </c>
      <c r="AO292" s="67">
        <f t="shared" si="348"/>
        <v>0</v>
      </c>
      <c r="AP292" s="76">
        <f t="shared" si="348"/>
        <v>0</v>
      </c>
      <c r="AQ292" s="67">
        <f t="shared" si="348"/>
        <v>0</v>
      </c>
      <c r="AR292" s="67">
        <f t="shared" si="348"/>
        <v>0</v>
      </c>
      <c r="AS292" s="67">
        <f t="shared" si="348"/>
        <v>0</v>
      </c>
      <c r="AT292" s="68">
        <f t="shared" si="348"/>
        <v>0</v>
      </c>
      <c r="AU292" s="2"/>
      <c r="AV292" s="104" t="s">
        <v>502</v>
      </c>
      <c r="AW292" s="94">
        <v>0</v>
      </c>
      <c r="AX292" s="94">
        <v>0</v>
      </c>
      <c r="AY292" s="94">
        <v>0</v>
      </c>
      <c r="AZ292" s="94">
        <v>0</v>
      </c>
      <c r="BA292" s="94">
        <v>0</v>
      </c>
      <c r="BB292" s="106">
        <v>0</v>
      </c>
      <c r="BC292" s="94">
        <v>0</v>
      </c>
      <c r="BD292" s="94">
        <v>0</v>
      </c>
      <c r="BE292" s="94">
        <v>0</v>
      </c>
      <c r="BF292" s="95">
        <v>0</v>
      </c>
      <c r="BG292" s="94">
        <v>0</v>
      </c>
      <c r="BH292" s="94">
        <v>0</v>
      </c>
      <c r="BI292" s="94">
        <v>0</v>
      </c>
      <c r="BJ292" s="94">
        <v>0</v>
      </c>
      <c r="BK292" s="94">
        <v>0</v>
      </c>
      <c r="BL292" s="106">
        <v>0</v>
      </c>
      <c r="BM292" s="94">
        <v>0</v>
      </c>
      <c r="BN292" s="94">
        <v>0</v>
      </c>
      <c r="BO292" s="94">
        <v>0</v>
      </c>
      <c r="BP292" s="95">
        <v>0</v>
      </c>
      <c r="BQ292" s="2"/>
      <c r="BR292" s="2"/>
      <c r="BS292" s="2"/>
    </row>
    <row r="293" spans="1:71" x14ac:dyDescent="0.35">
      <c r="A293" s="2"/>
      <c r="B293" s="2"/>
      <c r="C293" s="42" t="s">
        <v>503</v>
      </c>
      <c r="D293" s="109">
        <f t="shared" si="284"/>
        <v>0</v>
      </c>
      <c r="E293" s="109">
        <f t="shared" ref="E293:E332" si="349">IF(SUM($AA293:$AT293),AB293/SUM($AA293:$AT293),0)</f>
        <v>0</v>
      </c>
      <c r="F293" s="109">
        <f t="shared" ref="F293:F332" si="350">IF(SUM($AA293:$AT293),AC293/SUM($AA293:$AT293),0)</f>
        <v>0</v>
      </c>
      <c r="G293" s="109">
        <f t="shared" ref="G293:G332" si="351">IF(SUM($AA293:$AT293),AD293/SUM($AA293:$AT293),0)</f>
        <v>0</v>
      </c>
      <c r="H293" s="109">
        <f t="shared" ref="H293:H332" si="352">IF(SUM($AA293:$AT293),AE293/SUM($AA293:$AT293),0)</f>
        <v>0</v>
      </c>
      <c r="I293" s="110">
        <f t="shared" ref="I293:I332" si="353">IF(SUM($AA293:$AT293),AF293/SUM($AA293:$AT293),0)</f>
        <v>0</v>
      </c>
      <c r="J293" s="109">
        <f t="shared" ref="J293:J332" si="354">IF(SUM($AA293:$AT293),AG293/SUM($AA293:$AT293),0)</f>
        <v>0</v>
      </c>
      <c r="K293" s="109">
        <f t="shared" ref="K293:K332" si="355">IF(SUM($AA293:$AT293),AH293/SUM($AA293:$AT293),0)</f>
        <v>0</v>
      </c>
      <c r="L293" s="109">
        <f t="shared" ref="L293:L332" si="356">IF(SUM($AA293:$AT293),AI293/SUM($AA293:$AT293),0)</f>
        <v>0</v>
      </c>
      <c r="M293" s="111">
        <f t="shared" ref="M293:M332" si="357">IF(SUM($AA293:$AT293),AJ293/SUM($AA293:$AT293),0)</f>
        <v>0</v>
      </c>
      <c r="N293" s="109">
        <f t="shared" ref="N293:N332" si="358">IF(SUM($AA293:$AT293),AK293/SUM($AA293:$AT293),0)</f>
        <v>0</v>
      </c>
      <c r="O293" s="109">
        <f t="shared" ref="O293:O332" si="359">IF(SUM($AA293:$AT293),AL293/SUM($AA293:$AT293),0)</f>
        <v>0</v>
      </c>
      <c r="P293" s="109">
        <f t="shared" ref="P293:P332" si="360">IF(SUM($AA293:$AT293),AM293/SUM($AA293:$AT293),0)</f>
        <v>0</v>
      </c>
      <c r="Q293" s="109">
        <f t="shared" ref="Q293:Q332" si="361">IF(SUM($AA293:$AT293),AN293/SUM($AA293:$AT293),0)</f>
        <v>0</v>
      </c>
      <c r="R293" s="109">
        <f t="shared" ref="R293:R332" si="362">IF(SUM($AA293:$AT293),AO293/SUM($AA293:$AT293),0)</f>
        <v>0</v>
      </c>
      <c r="S293" s="110">
        <f t="shared" ref="S293:S332" si="363">IF(SUM($AA293:$AT293),AP293/SUM($AA293:$AT293),0)</f>
        <v>0</v>
      </c>
      <c r="T293" s="109">
        <f t="shared" ref="T293:T332" si="364">IF(SUM($AA293:$AT293),AQ293/SUM($AA293:$AT293),0)</f>
        <v>0</v>
      </c>
      <c r="U293" s="109">
        <f t="shared" ref="U293:U332" si="365">IF(SUM($AA293:$AT293),AR293/SUM($AA293:$AT293),0)</f>
        <v>0</v>
      </c>
      <c r="V293" s="109">
        <f t="shared" ref="V293:V332" si="366">IF(SUM($AA293:$AT293),AS293/SUM($AA293:$AT293),0)</f>
        <v>0</v>
      </c>
      <c r="W293" s="111">
        <f t="shared" ref="W293:W332" si="367">IF(SUM($AA293:$AT293),AT293/SUM($AA293:$AT293),0)</f>
        <v>0</v>
      </c>
      <c r="X293" s="115">
        <f t="shared" si="285"/>
        <v>0</v>
      </c>
      <c r="Y293" s="38" t="s">
        <v>503</v>
      </c>
      <c r="Z293" s="42" t="s">
        <v>503</v>
      </c>
      <c r="AA293" s="67">
        <f t="shared" ref="AA293:AT293" si="368">IF($J181,SUMIF($AV$229:$AV$332,$Y293,AW$229:AW$332)*AA$227*$D181/$J181,0)</f>
        <v>0</v>
      </c>
      <c r="AB293" s="67">
        <f t="shared" si="368"/>
        <v>0</v>
      </c>
      <c r="AC293" s="67">
        <f t="shared" si="368"/>
        <v>0</v>
      </c>
      <c r="AD293" s="67">
        <f t="shared" si="368"/>
        <v>0</v>
      </c>
      <c r="AE293" s="67">
        <f t="shared" si="368"/>
        <v>0</v>
      </c>
      <c r="AF293" s="76">
        <f t="shared" si="368"/>
        <v>0</v>
      </c>
      <c r="AG293" s="67">
        <f t="shared" si="368"/>
        <v>0</v>
      </c>
      <c r="AH293" s="67">
        <f t="shared" si="368"/>
        <v>0</v>
      </c>
      <c r="AI293" s="67">
        <f t="shared" si="368"/>
        <v>0</v>
      </c>
      <c r="AJ293" s="68">
        <f t="shared" si="368"/>
        <v>0</v>
      </c>
      <c r="AK293" s="67">
        <f t="shared" si="368"/>
        <v>0</v>
      </c>
      <c r="AL293" s="67">
        <f t="shared" si="368"/>
        <v>0</v>
      </c>
      <c r="AM293" s="67">
        <f t="shared" si="368"/>
        <v>0</v>
      </c>
      <c r="AN293" s="67">
        <f t="shared" si="368"/>
        <v>0</v>
      </c>
      <c r="AO293" s="67">
        <f t="shared" si="368"/>
        <v>0</v>
      </c>
      <c r="AP293" s="76">
        <f t="shared" si="368"/>
        <v>0</v>
      </c>
      <c r="AQ293" s="67">
        <f t="shared" si="368"/>
        <v>0</v>
      </c>
      <c r="AR293" s="67">
        <f t="shared" si="368"/>
        <v>0</v>
      </c>
      <c r="AS293" s="67">
        <f t="shared" si="368"/>
        <v>0</v>
      </c>
      <c r="AT293" s="68">
        <f t="shared" si="368"/>
        <v>0</v>
      </c>
      <c r="AU293" s="2"/>
      <c r="AV293" s="104" t="s">
        <v>503</v>
      </c>
      <c r="AW293" s="94">
        <v>0</v>
      </c>
      <c r="AX293" s="94">
        <v>0</v>
      </c>
      <c r="AY293" s="94">
        <v>0</v>
      </c>
      <c r="AZ293" s="94">
        <v>0</v>
      </c>
      <c r="BA293" s="94">
        <v>0</v>
      </c>
      <c r="BB293" s="106">
        <v>0</v>
      </c>
      <c r="BC293" s="94">
        <v>0</v>
      </c>
      <c r="BD293" s="94">
        <v>0</v>
      </c>
      <c r="BE293" s="94">
        <v>0</v>
      </c>
      <c r="BF293" s="95">
        <v>0</v>
      </c>
      <c r="BG293" s="94">
        <v>0</v>
      </c>
      <c r="BH293" s="94">
        <v>0</v>
      </c>
      <c r="BI293" s="94">
        <v>0</v>
      </c>
      <c r="BJ293" s="94">
        <v>0</v>
      </c>
      <c r="BK293" s="94">
        <v>0</v>
      </c>
      <c r="BL293" s="106">
        <v>0</v>
      </c>
      <c r="BM293" s="94">
        <v>0</v>
      </c>
      <c r="BN293" s="94">
        <v>0</v>
      </c>
      <c r="BO293" s="94">
        <v>0</v>
      </c>
      <c r="BP293" s="95">
        <v>0</v>
      </c>
      <c r="BQ293" s="2"/>
      <c r="BR293" s="2"/>
      <c r="BS293" s="2"/>
    </row>
    <row r="294" spans="1:71" x14ac:dyDescent="0.35">
      <c r="A294" s="2"/>
      <c r="B294" s="2"/>
      <c r="C294" s="42" t="s">
        <v>534</v>
      </c>
      <c r="D294" s="109">
        <f t="shared" ref="D294:D332" si="369">IF(SUM($AA294:$AT294),AA294/SUM($AA294:$AT294),0)</f>
        <v>0</v>
      </c>
      <c r="E294" s="109">
        <f t="shared" si="349"/>
        <v>0</v>
      </c>
      <c r="F294" s="109">
        <f t="shared" si="350"/>
        <v>0</v>
      </c>
      <c r="G294" s="109">
        <f t="shared" si="351"/>
        <v>0</v>
      </c>
      <c r="H294" s="109">
        <f t="shared" si="352"/>
        <v>0</v>
      </c>
      <c r="I294" s="110">
        <f t="shared" si="353"/>
        <v>0</v>
      </c>
      <c r="J294" s="109">
        <f t="shared" si="354"/>
        <v>0</v>
      </c>
      <c r="K294" s="109">
        <f t="shared" si="355"/>
        <v>0</v>
      </c>
      <c r="L294" s="109">
        <f t="shared" si="356"/>
        <v>0</v>
      </c>
      <c r="M294" s="111">
        <f t="shared" si="357"/>
        <v>0</v>
      </c>
      <c r="N294" s="109">
        <f t="shared" si="358"/>
        <v>0</v>
      </c>
      <c r="O294" s="109">
        <f t="shared" si="359"/>
        <v>0</v>
      </c>
      <c r="P294" s="109">
        <f t="shared" si="360"/>
        <v>0</v>
      </c>
      <c r="Q294" s="109">
        <f t="shared" si="361"/>
        <v>0</v>
      </c>
      <c r="R294" s="109">
        <f t="shared" si="362"/>
        <v>0</v>
      </c>
      <c r="S294" s="110">
        <f t="shared" si="363"/>
        <v>0</v>
      </c>
      <c r="T294" s="109">
        <f t="shared" si="364"/>
        <v>0</v>
      </c>
      <c r="U294" s="109">
        <f t="shared" si="365"/>
        <v>0</v>
      </c>
      <c r="V294" s="109">
        <f t="shared" si="366"/>
        <v>0</v>
      </c>
      <c r="W294" s="111">
        <f t="shared" si="367"/>
        <v>0</v>
      </c>
      <c r="X294" s="115">
        <f t="shared" ref="X294:X332" si="370">SUM(D294:W294)</f>
        <v>0</v>
      </c>
      <c r="Y294" s="38" t="s">
        <v>534</v>
      </c>
      <c r="Z294" s="42" t="s">
        <v>534</v>
      </c>
      <c r="AA294" s="67">
        <f t="shared" ref="AA294:AT294" si="371">IF($J182,SUMIF($AV$229:$AV$332,$Y294,AW$229:AW$332)*AA$227*$D182/$J182,0)</f>
        <v>0</v>
      </c>
      <c r="AB294" s="67">
        <f t="shared" si="371"/>
        <v>0</v>
      </c>
      <c r="AC294" s="67">
        <f t="shared" si="371"/>
        <v>0</v>
      </c>
      <c r="AD294" s="67">
        <f t="shared" si="371"/>
        <v>0</v>
      </c>
      <c r="AE294" s="67">
        <f t="shared" si="371"/>
        <v>0</v>
      </c>
      <c r="AF294" s="76">
        <f t="shared" si="371"/>
        <v>0</v>
      </c>
      <c r="AG294" s="67">
        <f t="shared" si="371"/>
        <v>0</v>
      </c>
      <c r="AH294" s="67">
        <f t="shared" si="371"/>
        <v>0</v>
      </c>
      <c r="AI294" s="67">
        <f t="shared" si="371"/>
        <v>0</v>
      </c>
      <c r="AJ294" s="68">
        <f t="shared" si="371"/>
        <v>0</v>
      </c>
      <c r="AK294" s="67">
        <f t="shared" si="371"/>
        <v>0</v>
      </c>
      <c r="AL294" s="67">
        <f t="shared" si="371"/>
        <v>0</v>
      </c>
      <c r="AM294" s="67">
        <f t="shared" si="371"/>
        <v>0</v>
      </c>
      <c r="AN294" s="67">
        <f t="shared" si="371"/>
        <v>0</v>
      </c>
      <c r="AO294" s="67">
        <f t="shared" si="371"/>
        <v>0</v>
      </c>
      <c r="AP294" s="76">
        <f t="shared" si="371"/>
        <v>0</v>
      </c>
      <c r="AQ294" s="67">
        <f t="shared" si="371"/>
        <v>0</v>
      </c>
      <c r="AR294" s="67">
        <f t="shared" si="371"/>
        <v>0</v>
      </c>
      <c r="AS294" s="67">
        <f t="shared" si="371"/>
        <v>0</v>
      </c>
      <c r="AT294" s="68">
        <f t="shared" si="371"/>
        <v>0</v>
      </c>
      <c r="AU294" s="2"/>
      <c r="AV294" s="104" t="s">
        <v>534</v>
      </c>
      <c r="AW294" s="94">
        <v>0</v>
      </c>
      <c r="AX294" s="94">
        <v>0</v>
      </c>
      <c r="AY294" s="94">
        <v>0</v>
      </c>
      <c r="AZ294" s="94">
        <v>0</v>
      </c>
      <c r="BA294" s="94">
        <v>0</v>
      </c>
      <c r="BB294" s="106">
        <v>0</v>
      </c>
      <c r="BC294" s="94">
        <v>0</v>
      </c>
      <c r="BD294" s="94">
        <v>0</v>
      </c>
      <c r="BE294" s="94">
        <v>0</v>
      </c>
      <c r="BF294" s="95">
        <v>0</v>
      </c>
      <c r="BG294" s="94">
        <v>0</v>
      </c>
      <c r="BH294" s="94">
        <v>0</v>
      </c>
      <c r="BI294" s="94">
        <v>0</v>
      </c>
      <c r="BJ294" s="94">
        <v>0</v>
      </c>
      <c r="BK294" s="94">
        <v>0</v>
      </c>
      <c r="BL294" s="106">
        <v>0</v>
      </c>
      <c r="BM294" s="94">
        <v>0</v>
      </c>
      <c r="BN294" s="94">
        <v>0</v>
      </c>
      <c r="BO294" s="94">
        <v>0</v>
      </c>
      <c r="BP294" s="95">
        <v>0</v>
      </c>
      <c r="BQ294" s="2"/>
      <c r="BR294" s="2"/>
      <c r="BS294" s="2"/>
    </row>
    <row r="295" spans="1:71" x14ac:dyDescent="0.35">
      <c r="A295" s="2"/>
      <c r="B295" s="2"/>
      <c r="C295" s="42" t="s">
        <v>504</v>
      </c>
      <c r="D295" s="109">
        <f t="shared" si="369"/>
        <v>0</v>
      </c>
      <c r="E295" s="109">
        <f t="shared" si="349"/>
        <v>0</v>
      </c>
      <c r="F295" s="109">
        <f t="shared" si="350"/>
        <v>0</v>
      </c>
      <c r="G295" s="109">
        <f t="shared" si="351"/>
        <v>0</v>
      </c>
      <c r="H295" s="109">
        <f t="shared" si="352"/>
        <v>0</v>
      </c>
      <c r="I295" s="110">
        <f t="shared" si="353"/>
        <v>0</v>
      </c>
      <c r="J295" s="109">
        <f t="shared" si="354"/>
        <v>0</v>
      </c>
      <c r="K295" s="109">
        <f t="shared" si="355"/>
        <v>0</v>
      </c>
      <c r="L295" s="109">
        <f t="shared" si="356"/>
        <v>0</v>
      </c>
      <c r="M295" s="111">
        <f t="shared" si="357"/>
        <v>0</v>
      </c>
      <c r="N295" s="109">
        <f t="shared" si="358"/>
        <v>0</v>
      </c>
      <c r="O295" s="109">
        <f t="shared" si="359"/>
        <v>0</v>
      </c>
      <c r="P295" s="109">
        <f t="shared" si="360"/>
        <v>0</v>
      </c>
      <c r="Q295" s="109">
        <f t="shared" si="361"/>
        <v>0</v>
      </c>
      <c r="R295" s="109">
        <f t="shared" si="362"/>
        <v>0</v>
      </c>
      <c r="S295" s="110">
        <f t="shared" si="363"/>
        <v>0</v>
      </c>
      <c r="T295" s="109">
        <f t="shared" si="364"/>
        <v>0</v>
      </c>
      <c r="U295" s="109">
        <f t="shared" si="365"/>
        <v>0</v>
      </c>
      <c r="V295" s="109">
        <f t="shared" si="366"/>
        <v>0</v>
      </c>
      <c r="W295" s="111">
        <f t="shared" si="367"/>
        <v>0</v>
      </c>
      <c r="X295" s="115">
        <f t="shared" si="370"/>
        <v>0</v>
      </c>
      <c r="Y295" s="38" t="s">
        <v>504</v>
      </c>
      <c r="Z295" s="42" t="s">
        <v>504</v>
      </c>
      <c r="AA295" s="67">
        <f t="shared" ref="AA295:AT295" si="372">IF($J183,SUMIF($AV$229:$AV$332,$Y295,AW$229:AW$332)*AA$227*$D183/$J183,0)</f>
        <v>0</v>
      </c>
      <c r="AB295" s="67">
        <f t="shared" si="372"/>
        <v>0</v>
      </c>
      <c r="AC295" s="67">
        <f t="shared" si="372"/>
        <v>0</v>
      </c>
      <c r="AD295" s="67">
        <f t="shared" si="372"/>
        <v>0</v>
      </c>
      <c r="AE295" s="67">
        <f t="shared" si="372"/>
        <v>0</v>
      </c>
      <c r="AF295" s="76">
        <f t="shared" si="372"/>
        <v>0</v>
      </c>
      <c r="AG295" s="67">
        <f t="shared" si="372"/>
        <v>0</v>
      </c>
      <c r="AH295" s="67">
        <f t="shared" si="372"/>
        <v>0</v>
      </c>
      <c r="AI295" s="67">
        <f t="shared" si="372"/>
        <v>0</v>
      </c>
      <c r="AJ295" s="68">
        <f t="shared" si="372"/>
        <v>0</v>
      </c>
      <c r="AK295" s="67">
        <f t="shared" si="372"/>
        <v>0</v>
      </c>
      <c r="AL295" s="67">
        <f t="shared" si="372"/>
        <v>0</v>
      </c>
      <c r="AM295" s="67">
        <f t="shared" si="372"/>
        <v>0</v>
      </c>
      <c r="AN295" s="67">
        <f t="shared" si="372"/>
        <v>0</v>
      </c>
      <c r="AO295" s="67">
        <f t="shared" si="372"/>
        <v>0</v>
      </c>
      <c r="AP295" s="76">
        <f t="shared" si="372"/>
        <v>0</v>
      </c>
      <c r="AQ295" s="67">
        <f t="shared" si="372"/>
        <v>0</v>
      </c>
      <c r="AR295" s="67">
        <f t="shared" si="372"/>
        <v>0</v>
      </c>
      <c r="AS295" s="67">
        <f t="shared" si="372"/>
        <v>0</v>
      </c>
      <c r="AT295" s="68">
        <f t="shared" si="372"/>
        <v>0</v>
      </c>
      <c r="AU295" s="2"/>
      <c r="AV295" s="104" t="s">
        <v>504</v>
      </c>
      <c r="AW295" s="94">
        <v>0</v>
      </c>
      <c r="AX295" s="94">
        <v>0</v>
      </c>
      <c r="AY295" s="94">
        <v>0</v>
      </c>
      <c r="AZ295" s="94">
        <v>0</v>
      </c>
      <c r="BA295" s="94">
        <v>0</v>
      </c>
      <c r="BB295" s="106">
        <v>0</v>
      </c>
      <c r="BC295" s="94">
        <v>0</v>
      </c>
      <c r="BD295" s="94">
        <v>0</v>
      </c>
      <c r="BE295" s="94">
        <v>0</v>
      </c>
      <c r="BF295" s="95">
        <v>0</v>
      </c>
      <c r="BG295" s="94">
        <v>0</v>
      </c>
      <c r="BH295" s="94">
        <v>0</v>
      </c>
      <c r="BI295" s="94">
        <v>0</v>
      </c>
      <c r="BJ295" s="94">
        <v>0</v>
      </c>
      <c r="BK295" s="94">
        <v>0</v>
      </c>
      <c r="BL295" s="106">
        <v>0</v>
      </c>
      <c r="BM295" s="94">
        <v>0</v>
      </c>
      <c r="BN295" s="94">
        <v>0</v>
      </c>
      <c r="BO295" s="94">
        <v>0</v>
      </c>
      <c r="BP295" s="95">
        <v>0</v>
      </c>
      <c r="BQ295" s="2"/>
      <c r="BR295" s="2"/>
      <c r="BS295" s="2"/>
    </row>
    <row r="296" spans="1:71" x14ac:dyDescent="0.35">
      <c r="A296" s="2"/>
      <c r="B296" s="2"/>
      <c r="C296" s="42" t="s">
        <v>535</v>
      </c>
      <c r="D296" s="109">
        <f t="shared" si="369"/>
        <v>0</v>
      </c>
      <c r="E296" s="109">
        <f t="shared" si="349"/>
        <v>0</v>
      </c>
      <c r="F296" s="109">
        <f t="shared" si="350"/>
        <v>0</v>
      </c>
      <c r="G296" s="109">
        <f t="shared" si="351"/>
        <v>0</v>
      </c>
      <c r="H296" s="109">
        <f t="shared" si="352"/>
        <v>0</v>
      </c>
      <c r="I296" s="110">
        <f t="shared" si="353"/>
        <v>0</v>
      </c>
      <c r="J296" s="109">
        <f t="shared" si="354"/>
        <v>0</v>
      </c>
      <c r="K296" s="109">
        <f t="shared" si="355"/>
        <v>0</v>
      </c>
      <c r="L296" s="109">
        <f t="shared" si="356"/>
        <v>0</v>
      </c>
      <c r="M296" s="111">
        <f t="shared" si="357"/>
        <v>0</v>
      </c>
      <c r="N296" s="109">
        <f t="shared" si="358"/>
        <v>0</v>
      </c>
      <c r="O296" s="109">
        <f t="shared" si="359"/>
        <v>0</v>
      </c>
      <c r="P296" s="109">
        <f t="shared" si="360"/>
        <v>0</v>
      </c>
      <c r="Q296" s="109">
        <f t="shared" si="361"/>
        <v>0</v>
      </c>
      <c r="R296" s="109">
        <f t="shared" si="362"/>
        <v>0</v>
      </c>
      <c r="S296" s="110">
        <f t="shared" si="363"/>
        <v>0</v>
      </c>
      <c r="T296" s="109">
        <f t="shared" si="364"/>
        <v>0</v>
      </c>
      <c r="U296" s="109">
        <f t="shared" si="365"/>
        <v>0</v>
      </c>
      <c r="V296" s="109">
        <f t="shared" si="366"/>
        <v>0</v>
      </c>
      <c r="W296" s="111">
        <f t="shared" si="367"/>
        <v>0</v>
      </c>
      <c r="X296" s="115">
        <f t="shared" si="370"/>
        <v>0</v>
      </c>
      <c r="Y296" s="38" t="s">
        <v>535</v>
      </c>
      <c r="Z296" s="42" t="s">
        <v>535</v>
      </c>
      <c r="AA296" s="67">
        <f t="shared" ref="AA296:AT296" si="373">IF($J184,SUMIF($AV$229:$AV$332,$Y296,AW$229:AW$332)*AA$227*$D184/$J184,0)</f>
        <v>0</v>
      </c>
      <c r="AB296" s="67">
        <f t="shared" si="373"/>
        <v>0</v>
      </c>
      <c r="AC296" s="67">
        <f t="shared" si="373"/>
        <v>0</v>
      </c>
      <c r="AD296" s="67">
        <f t="shared" si="373"/>
        <v>0</v>
      </c>
      <c r="AE296" s="67">
        <f t="shared" si="373"/>
        <v>0</v>
      </c>
      <c r="AF296" s="76">
        <f t="shared" si="373"/>
        <v>0</v>
      </c>
      <c r="AG296" s="67">
        <f t="shared" si="373"/>
        <v>0</v>
      </c>
      <c r="AH296" s="67">
        <f t="shared" si="373"/>
        <v>0</v>
      </c>
      <c r="AI296" s="67">
        <f t="shared" si="373"/>
        <v>0</v>
      </c>
      <c r="AJ296" s="68">
        <f t="shared" si="373"/>
        <v>0</v>
      </c>
      <c r="AK296" s="67">
        <f t="shared" si="373"/>
        <v>0</v>
      </c>
      <c r="AL296" s="67">
        <f t="shared" si="373"/>
        <v>0</v>
      </c>
      <c r="AM296" s="67">
        <f t="shared" si="373"/>
        <v>0</v>
      </c>
      <c r="AN296" s="67">
        <f t="shared" si="373"/>
        <v>0</v>
      </c>
      <c r="AO296" s="67">
        <f t="shared" si="373"/>
        <v>0</v>
      </c>
      <c r="AP296" s="76">
        <f t="shared" si="373"/>
        <v>0</v>
      </c>
      <c r="AQ296" s="67">
        <f t="shared" si="373"/>
        <v>0</v>
      </c>
      <c r="AR296" s="67">
        <f t="shared" si="373"/>
        <v>0</v>
      </c>
      <c r="AS296" s="67">
        <f t="shared" si="373"/>
        <v>0</v>
      </c>
      <c r="AT296" s="68">
        <f t="shared" si="373"/>
        <v>0</v>
      </c>
      <c r="AU296" s="2"/>
      <c r="AV296" s="104" t="s">
        <v>535</v>
      </c>
      <c r="AW296" s="94"/>
      <c r="AX296" s="94"/>
      <c r="AY296" s="94"/>
      <c r="AZ296" s="94"/>
      <c r="BA296" s="94"/>
      <c r="BB296" s="106"/>
      <c r="BC296" s="94"/>
      <c r="BD296" s="94"/>
      <c r="BE296" s="94"/>
      <c r="BF296" s="95"/>
      <c r="BG296" s="94"/>
      <c r="BH296" s="94"/>
      <c r="BI296" s="94"/>
      <c r="BJ296" s="94"/>
      <c r="BK296" s="94"/>
      <c r="BL296" s="106"/>
      <c r="BM296" s="94"/>
      <c r="BN296" s="94"/>
      <c r="BO296" s="94"/>
      <c r="BP296" s="95"/>
      <c r="BQ296" s="2"/>
      <c r="BR296" s="2"/>
      <c r="BS296" s="2"/>
    </row>
    <row r="297" spans="1:71" x14ac:dyDescent="0.35">
      <c r="A297" s="2"/>
      <c r="B297" s="2"/>
      <c r="C297" s="42" t="s">
        <v>505</v>
      </c>
      <c r="D297" s="109">
        <f t="shared" si="369"/>
        <v>0</v>
      </c>
      <c r="E297" s="109">
        <f t="shared" si="349"/>
        <v>0</v>
      </c>
      <c r="F297" s="109">
        <f t="shared" si="350"/>
        <v>0</v>
      </c>
      <c r="G297" s="109">
        <f t="shared" si="351"/>
        <v>0</v>
      </c>
      <c r="H297" s="109">
        <f t="shared" si="352"/>
        <v>0</v>
      </c>
      <c r="I297" s="110">
        <f t="shared" si="353"/>
        <v>0</v>
      </c>
      <c r="J297" s="109">
        <f t="shared" si="354"/>
        <v>0</v>
      </c>
      <c r="K297" s="109">
        <f t="shared" si="355"/>
        <v>0</v>
      </c>
      <c r="L297" s="109">
        <f t="shared" si="356"/>
        <v>0</v>
      </c>
      <c r="M297" s="111">
        <f t="shared" si="357"/>
        <v>0</v>
      </c>
      <c r="N297" s="109">
        <f t="shared" si="358"/>
        <v>0</v>
      </c>
      <c r="O297" s="109">
        <f t="shared" si="359"/>
        <v>0</v>
      </c>
      <c r="P297" s="109">
        <f t="shared" si="360"/>
        <v>0</v>
      </c>
      <c r="Q297" s="109">
        <f t="shared" si="361"/>
        <v>0</v>
      </c>
      <c r="R297" s="109">
        <f t="shared" si="362"/>
        <v>0</v>
      </c>
      <c r="S297" s="110">
        <f t="shared" si="363"/>
        <v>0</v>
      </c>
      <c r="T297" s="109">
        <f t="shared" si="364"/>
        <v>0</v>
      </c>
      <c r="U297" s="109">
        <f t="shared" si="365"/>
        <v>0</v>
      </c>
      <c r="V297" s="109">
        <f t="shared" si="366"/>
        <v>0</v>
      </c>
      <c r="W297" s="111">
        <f t="shared" si="367"/>
        <v>0</v>
      </c>
      <c r="X297" s="115">
        <f t="shared" si="370"/>
        <v>0</v>
      </c>
      <c r="Y297" s="38" t="s">
        <v>505</v>
      </c>
      <c r="Z297" s="42" t="s">
        <v>505</v>
      </c>
      <c r="AA297" s="67">
        <f t="shared" ref="AA297:AT297" si="374">IF($J185,SUMIF($AV$229:$AV$332,$Y297,AW$229:AW$332)*AA$227*$D185/$J185,0)</f>
        <v>0</v>
      </c>
      <c r="AB297" s="67">
        <f t="shared" si="374"/>
        <v>0</v>
      </c>
      <c r="AC297" s="67">
        <f t="shared" si="374"/>
        <v>0</v>
      </c>
      <c r="AD297" s="67">
        <f t="shared" si="374"/>
        <v>0</v>
      </c>
      <c r="AE297" s="67">
        <f t="shared" si="374"/>
        <v>0</v>
      </c>
      <c r="AF297" s="76">
        <f t="shared" si="374"/>
        <v>0</v>
      </c>
      <c r="AG297" s="67">
        <f t="shared" si="374"/>
        <v>0</v>
      </c>
      <c r="AH297" s="67">
        <f t="shared" si="374"/>
        <v>0</v>
      </c>
      <c r="AI297" s="67">
        <f t="shared" si="374"/>
        <v>0</v>
      </c>
      <c r="AJ297" s="68">
        <f t="shared" si="374"/>
        <v>0</v>
      </c>
      <c r="AK297" s="67">
        <f t="shared" si="374"/>
        <v>0</v>
      </c>
      <c r="AL297" s="67">
        <f t="shared" si="374"/>
        <v>0</v>
      </c>
      <c r="AM297" s="67">
        <f t="shared" si="374"/>
        <v>0</v>
      </c>
      <c r="AN297" s="67">
        <f t="shared" si="374"/>
        <v>0</v>
      </c>
      <c r="AO297" s="67">
        <f t="shared" si="374"/>
        <v>0</v>
      </c>
      <c r="AP297" s="76">
        <f t="shared" si="374"/>
        <v>0</v>
      </c>
      <c r="AQ297" s="67">
        <f t="shared" si="374"/>
        <v>0</v>
      </c>
      <c r="AR297" s="67">
        <f t="shared" si="374"/>
        <v>0</v>
      </c>
      <c r="AS297" s="67">
        <f t="shared" si="374"/>
        <v>0</v>
      </c>
      <c r="AT297" s="68">
        <f t="shared" si="374"/>
        <v>0</v>
      </c>
      <c r="AU297" s="2"/>
      <c r="AV297" s="104" t="s">
        <v>505</v>
      </c>
      <c r="AW297" s="94">
        <v>0</v>
      </c>
      <c r="AX297" s="94">
        <v>0</v>
      </c>
      <c r="AY297" s="94">
        <v>0</v>
      </c>
      <c r="AZ297" s="94">
        <v>0</v>
      </c>
      <c r="BA297" s="94">
        <v>0</v>
      </c>
      <c r="BB297" s="106">
        <v>0</v>
      </c>
      <c r="BC297" s="94">
        <v>0</v>
      </c>
      <c r="BD297" s="94">
        <v>0</v>
      </c>
      <c r="BE297" s="94">
        <v>0</v>
      </c>
      <c r="BF297" s="95">
        <v>0</v>
      </c>
      <c r="BG297" s="94">
        <v>0</v>
      </c>
      <c r="BH297" s="94">
        <v>0</v>
      </c>
      <c r="BI297" s="94">
        <v>0</v>
      </c>
      <c r="BJ297" s="94">
        <v>0</v>
      </c>
      <c r="BK297" s="94">
        <v>0</v>
      </c>
      <c r="BL297" s="106">
        <v>0</v>
      </c>
      <c r="BM297" s="94">
        <v>0</v>
      </c>
      <c r="BN297" s="94">
        <v>0</v>
      </c>
      <c r="BO297" s="94">
        <v>0</v>
      </c>
      <c r="BP297" s="95">
        <v>0</v>
      </c>
      <c r="BQ297" s="2"/>
      <c r="BR297" s="2"/>
      <c r="BS297" s="2"/>
    </row>
    <row r="298" spans="1:71" x14ac:dyDescent="0.35">
      <c r="A298" s="2"/>
      <c r="B298" s="2"/>
      <c r="C298" s="42" t="s">
        <v>506</v>
      </c>
      <c r="D298" s="109">
        <f t="shared" si="369"/>
        <v>0</v>
      </c>
      <c r="E298" s="109">
        <f t="shared" si="349"/>
        <v>0</v>
      </c>
      <c r="F298" s="109">
        <f t="shared" si="350"/>
        <v>0</v>
      </c>
      <c r="G298" s="109">
        <f t="shared" si="351"/>
        <v>0</v>
      </c>
      <c r="H298" s="109">
        <f t="shared" si="352"/>
        <v>0</v>
      </c>
      <c r="I298" s="110">
        <f t="shared" si="353"/>
        <v>0</v>
      </c>
      <c r="J298" s="109">
        <f t="shared" si="354"/>
        <v>0</v>
      </c>
      <c r="K298" s="109">
        <f t="shared" si="355"/>
        <v>0</v>
      </c>
      <c r="L298" s="109">
        <f t="shared" si="356"/>
        <v>0</v>
      </c>
      <c r="M298" s="111">
        <f t="shared" si="357"/>
        <v>0</v>
      </c>
      <c r="N298" s="109">
        <f t="shared" si="358"/>
        <v>0</v>
      </c>
      <c r="O298" s="109">
        <f t="shared" si="359"/>
        <v>0</v>
      </c>
      <c r="P298" s="109">
        <f t="shared" si="360"/>
        <v>0</v>
      </c>
      <c r="Q298" s="109">
        <f t="shared" si="361"/>
        <v>0</v>
      </c>
      <c r="R298" s="109">
        <f t="shared" si="362"/>
        <v>0</v>
      </c>
      <c r="S298" s="110">
        <f t="shared" si="363"/>
        <v>0</v>
      </c>
      <c r="T298" s="109">
        <f t="shared" si="364"/>
        <v>0</v>
      </c>
      <c r="U298" s="109">
        <f t="shared" si="365"/>
        <v>0</v>
      </c>
      <c r="V298" s="109">
        <f t="shared" si="366"/>
        <v>0</v>
      </c>
      <c r="W298" s="111">
        <f t="shared" si="367"/>
        <v>0</v>
      </c>
      <c r="X298" s="115">
        <f t="shared" si="370"/>
        <v>0</v>
      </c>
      <c r="Y298" s="38" t="s">
        <v>506</v>
      </c>
      <c r="Z298" s="42" t="s">
        <v>506</v>
      </c>
      <c r="AA298" s="67">
        <f t="shared" ref="AA298:AT298" si="375">IF($J186,SUMIF($AV$229:$AV$332,$Y298,AW$229:AW$332)*AA$227*$D186/$J186,0)</f>
        <v>0</v>
      </c>
      <c r="AB298" s="67">
        <f t="shared" si="375"/>
        <v>0</v>
      </c>
      <c r="AC298" s="67">
        <f t="shared" si="375"/>
        <v>0</v>
      </c>
      <c r="AD298" s="67">
        <f t="shared" si="375"/>
        <v>0</v>
      </c>
      <c r="AE298" s="67">
        <f t="shared" si="375"/>
        <v>0</v>
      </c>
      <c r="AF298" s="76">
        <f t="shared" si="375"/>
        <v>0</v>
      </c>
      <c r="AG298" s="67">
        <f t="shared" si="375"/>
        <v>0</v>
      </c>
      <c r="AH298" s="67">
        <f t="shared" si="375"/>
        <v>0</v>
      </c>
      <c r="AI298" s="67">
        <f t="shared" si="375"/>
        <v>0</v>
      </c>
      <c r="AJ298" s="68">
        <f t="shared" si="375"/>
        <v>0</v>
      </c>
      <c r="AK298" s="67">
        <f t="shared" si="375"/>
        <v>0</v>
      </c>
      <c r="AL298" s="67">
        <f t="shared" si="375"/>
        <v>0</v>
      </c>
      <c r="AM298" s="67">
        <f t="shared" si="375"/>
        <v>0</v>
      </c>
      <c r="AN298" s="67">
        <f t="shared" si="375"/>
        <v>0</v>
      </c>
      <c r="AO298" s="67">
        <f t="shared" si="375"/>
        <v>0</v>
      </c>
      <c r="AP298" s="76">
        <f t="shared" si="375"/>
        <v>0</v>
      </c>
      <c r="AQ298" s="67">
        <f t="shared" si="375"/>
        <v>0</v>
      </c>
      <c r="AR298" s="67">
        <f t="shared" si="375"/>
        <v>0</v>
      </c>
      <c r="AS298" s="67">
        <f t="shared" si="375"/>
        <v>0</v>
      </c>
      <c r="AT298" s="68">
        <f t="shared" si="375"/>
        <v>0</v>
      </c>
      <c r="AU298" s="2"/>
      <c r="AV298" s="104" t="s">
        <v>506</v>
      </c>
      <c r="AW298" s="94">
        <v>0</v>
      </c>
      <c r="AX298" s="94">
        <v>0</v>
      </c>
      <c r="AY298" s="94">
        <v>0</v>
      </c>
      <c r="AZ298" s="94">
        <v>0</v>
      </c>
      <c r="BA298" s="94">
        <v>0</v>
      </c>
      <c r="BB298" s="106">
        <v>0</v>
      </c>
      <c r="BC298" s="94">
        <v>0</v>
      </c>
      <c r="BD298" s="94">
        <v>0</v>
      </c>
      <c r="BE298" s="94">
        <v>0</v>
      </c>
      <c r="BF298" s="95">
        <v>0</v>
      </c>
      <c r="BG298" s="94">
        <v>0</v>
      </c>
      <c r="BH298" s="94">
        <v>0</v>
      </c>
      <c r="BI298" s="94">
        <v>0</v>
      </c>
      <c r="BJ298" s="94">
        <v>0</v>
      </c>
      <c r="BK298" s="94">
        <v>0</v>
      </c>
      <c r="BL298" s="106">
        <v>0</v>
      </c>
      <c r="BM298" s="94">
        <v>0</v>
      </c>
      <c r="BN298" s="94">
        <v>0</v>
      </c>
      <c r="BO298" s="94">
        <v>0</v>
      </c>
      <c r="BP298" s="95">
        <v>0</v>
      </c>
      <c r="BQ298" s="2"/>
      <c r="BR298" s="2"/>
      <c r="BS298" s="2"/>
    </row>
    <row r="299" spans="1:71" x14ac:dyDescent="0.35">
      <c r="A299" s="2"/>
      <c r="B299" s="2"/>
      <c r="C299" s="42" t="s">
        <v>536</v>
      </c>
      <c r="D299" s="109">
        <f t="shared" si="369"/>
        <v>0</v>
      </c>
      <c r="E299" s="109">
        <f t="shared" si="349"/>
        <v>0</v>
      </c>
      <c r="F299" s="109">
        <f t="shared" si="350"/>
        <v>0</v>
      </c>
      <c r="G299" s="109">
        <f t="shared" si="351"/>
        <v>0</v>
      </c>
      <c r="H299" s="109">
        <f t="shared" si="352"/>
        <v>0</v>
      </c>
      <c r="I299" s="110">
        <f t="shared" si="353"/>
        <v>0</v>
      </c>
      <c r="J299" s="109">
        <f t="shared" si="354"/>
        <v>0</v>
      </c>
      <c r="K299" s="109">
        <f t="shared" si="355"/>
        <v>0</v>
      </c>
      <c r="L299" s="109">
        <f t="shared" si="356"/>
        <v>0</v>
      </c>
      <c r="M299" s="111">
        <f t="shared" si="357"/>
        <v>0</v>
      </c>
      <c r="N299" s="109">
        <f t="shared" si="358"/>
        <v>0</v>
      </c>
      <c r="O299" s="109">
        <f t="shared" si="359"/>
        <v>0</v>
      </c>
      <c r="P299" s="109">
        <f t="shared" si="360"/>
        <v>0</v>
      </c>
      <c r="Q299" s="109">
        <f t="shared" si="361"/>
        <v>0</v>
      </c>
      <c r="R299" s="109">
        <f t="shared" si="362"/>
        <v>0</v>
      </c>
      <c r="S299" s="110">
        <f t="shared" si="363"/>
        <v>0</v>
      </c>
      <c r="T299" s="109">
        <f t="shared" si="364"/>
        <v>0</v>
      </c>
      <c r="U299" s="109">
        <f t="shared" si="365"/>
        <v>0</v>
      </c>
      <c r="V299" s="109">
        <f t="shared" si="366"/>
        <v>0</v>
      </c>
      <c r="W299" s="111">
        <f t="shared" si="367"/>
        <v>0</v>
      </c>
      <c r="X299" s="115">
        <f t="shared" si="370"/>
        <v>0</v>
      </c>
      <c r="Y299" s="38" t="s">
        <v>536</v>
      </c>
      <c r="Z299" s="42" t="s">
        <v>536</v>
      </c>
      <c r="AA299" s="67">
        <f t="shared" ref="AA299:AT299" si="376">IF($J187,SUMIF($AV$229:$AV$332,$Y299,AW$229:AW$332)*AA$227*$D187/$J187,0)</f>
        <v>0</v>
      </c>
      <c r="AB299" s="67">
        <f t="shared" si="376"/>
        <v>0</v>
      </c>
      <c r="AC299" s="67">
        <f t="shared" si="376"/>
        <v>0</v>
      </c>
      <c r="AD299" s="67">
        <f t="shared" si="376"/>
        <v>0</v>
      </c>
      <c r="AE299" s="67">
        <f t="shared" si="376"/>
        <v>0</v>
      </c>
      <c r="AF299" s="76">
        <f t="shared" si="376"/>
        <v>0</v>
      </c>
      <c r="AG299" s="67">
        <f t="shared" si="376"/>
        <v>0</v>
      </c>
      <c r="AH299" s="67">
        <f t="shared" si="376"/>
        <v>0</v>
      </c>
      <c r="AI299" s="67">
        <f t="shared" si="376"/>
        <v>0</v>
      </c>
      <c r="AJ299" s="68">
        <f t="shared" si="376"/>
        <v>0</v>
      </c>
      <c r="AK299" s="67">
        <f t="shared" si="376"/>
        <v>0</v>
      </c>
      <c r="AL299" s="67">
        <f t="shared" si="376"/>
        <v>0</v>
      </c>
      <c r="AM299" s="67">
        <f t="shared" si="376"/>
        <v>0</v>
      </c>
      <c r="AN299" s="67">
        <f t="shared" si="376"/>
        <v>0</v>
      </c>
      <c r="AO299" s="67">
        <f t="shared" si="376"/>
        <v>0</v>
      </c>
      <c r="AP299" s="76">
        <f t="shared" si="376"/>
        <v>0</v>
      </c>
      <c r="AQ299" s="67">
        <f t="shared" si="376"/>
        <v>0</v>
      </c>
      <c r="AR299" s="67">
        <f t="shared" si="376"/>
        <v>0</v>
      </c>
      <c r="AS299" s="67">
        <f t="shared" si="376"/>
        <v>0</v>
      </c>
      <c r="AT299" s="68">
        <f t="shared" si="376"/>
        <v>0</v>
      </c>
      <c r="AU299" s="2"/>
      <c r="AV299" s="104" t="s">
        <v>536</v>
      </c>
      <c r="AW299" s="94"/>
      <c r="AX299" s="94"/>
      <c r="AY299" s="94"/>
      <c r="AZ299" s="94"/>
      <c r="BA299" s="94"/>
      <c r="BB299" s="106"/>
      <c r="BC299" s="94"/>
      <c r="BD299" s="94"/>
      <c r="BE299" s="94"/>
      <c r="BF299" s="95"/>
      <c r="BG299" s="94"/>
      <c r="BH299" s="94"/>
      <c r="BI299" s="94"/>
      <c r="BJ299" s="94"/>
      <c r="BK299" s="94"/>
      <c r="BL299" s="106"/>
      <c r="BM299" s="94"/>
      <c r="BN299" s="94"/>
      <c r="BO299" s="94"/>
      <c r="BP299" s="95"/>
      <c r="BQ299" s="2"/>
      <c r="BR299" s="2"/>
      <c r="BS299" s="2"/>
    </row>
    <row r="300" spans="1:71" x14ac:dyDescent="0.35">
      <c r="A300" s="2"/>
      <c r="B300" s="2"/>
      <c r="C300" s="42" t="s">
        <v>507</v>
      </c>
      <c r="D300" s="109">
        <f t="shared" si="369"/>
        <v>0</v>
      </c>
      <c r="E300" s="109">
        <f t="shared" si="349"/>
        <v>0</v>
      </c>
      <c r="F300" s="109">
        <f t="shared" si="350"/>
        <v>0</v>
      </c>
      <c r="G300" s="109">
        <f t="shared" si="351"/>
        <v>0</v>
      </c>
      <c r="H300" s="109">
        <f t="shared" si="352"/>
        <v>0</v>
      </c>
      <c r="I300" s="110">
        <f t="shared" si="353"/>
        <v>0</v>
      </c>
      <c r="J300" s="109">
        <f t="shared" si="354"/>
        <v>0</v>
      </c>
      <c r="K300" s="109">
        <f t="shared" si="355"/>
        <v>0</v>
      </c>
      <c r="L300" s="109">
        <f t="shared" si="356"/>
        <v>0</v>
      </c>
      <c r="M300" s="111">
        <f t="shared" si="357"/>
        <v>0</v>
      </c>
      <c r="N300" s="109">
        <f t="shared" si="358"/>
        <v>0</v>
      </c>
      <c r="O300" s="109">
        <f t="shared" si="359"/>
        <v>0</v>
      </c>
      <c r="P300" s="109">
        <f t="shared" si="360"/>
        <v>0</v>
      </c>
      <c r="Q300" s="109">
        <f t="shared" si="361"/>
        <v>0</v>
      </c>
      <c r="R300" s="109">
        <f t="shared" si="362"/>
        <v>0</v>
      </c>
      <c r="S300" s="110">
        <f t="shared" si="363"/>
        <v>0</v>
      </c>
      <c r="T300" s="109">
        <f t="shared" si="364"/>
        <v>0</v>
      </c>
      <c r="U300" s="109">
        <f t="shared" si="365"/>
        <v>0</v>
      </c>
      <c r="V300" s="109">
        <f t="shared" si="366"/>
        <v>0</v>
      </c>
      <c r="W300" s="111">
        <f t="shared" si="367"/>
        <v>0</v>
      </c>
      <c r="X300" s="115">
        <f t="shared" si="370"/>
        <v>0</v>
      </c>
      <c r="Y300" s="38" t="s">
        <v>507</v>
      </c>
      <c r="Z300" s="42" t="s">
        <v>507</v>
      </c>
      <c r="AA300" s="67">
        <f t="shared" ref="AA300:AT300" si="377">IF($J188,SUMIF($AV$229:$AV$332,$Y300,AW$229:AW$332)*AA$227*$D188/$J188,0)</f>
        <v>0</v>
      </c>
      <c r="AB300" s="67">
        <f t="shared" si="377"/>
        <v>0</v>
      </c>
      <c r="AC300" s="67">
        <f t="shared" si="377"/>
        <v>0</v>
      </c>
      <c r="AD300" s="67">
        <f t="shared" si="377"/>
        <v>0</v>
      </c>
      <c r="AE300" s="67">
        <f t="shared" si="377"/>
        <v>0</v>
      </c>
      <c r="AF300" s="76">
        <f t="shared" si="377"/>
        <v>0</v>
      </c>
      <c r="AG300" s="67">
        <f t="shared" si="377"/>
        <v>0</v>
      </c>
      <c r="AH300" s="67">
        <f t="shared" si="377"/>
        <v>0</v>
      </c>
      <c r="AI300" s="67">
        <f t="shared" si="377"/>
        <v>0</v>
      </c>
      <c r="AJ300" s="68">
        <f t="shared" si="377"/>
        <v>0</v>
      </c>
      <c r="AK300" s="67">
        <f t="shared" si="377"/>
        <v>0</v>
      </c>
      <c r="AL300" s="67">
        <f t="shared" si="377"/>
        <v>0</v>
      </c>
      <c r="AM300" s="67">
        <f t="shared" si="377"/>
        <v>0</v>
      </c>
      <c r="AN300" s="67">
        <f t="shared" si="377"/>
        <v>0</v>
      </c>
      <c r="AO300" s="67">
        <f t="shared" si="377"/>
        <v>0</v>
      </c>
      <c r="AP300" s="76">
        <f t="shared" si="377"/>
        <v>0</v>
      </c>
      <c r="AQ300" s="67">
        <f t="shared" si="377"/>
        <v>0</v>
      </c>
      <c r="AR300" s="67">
        <f t="shared" si="377"/>
        <v>0</v>
      </c>
      <c r="AS300" s="67">
        <f t="shared" si="377"/>
        <v>0</v>
      </c>
      <c r="AT300" s="68">
        <f t="shared" si="377"/>
        <v>0</v>
      </c>
      <c r="AU300" s="2"/>
      <c r="AV300" s="104" t="s">
        <v>507</v>
      </c>
      <c r="AW300" s="94">
        <v>0</v>
      </c>
      <c r="AX300" s="94">
        <v>0</v>
      </c>
      <c r="AY300" s="94">
        <v>0</v>
      </c>
      <c r="AZ300" s="94">
        <v>0</v>
      </c>
      <c r="BA300" s="94">
        <v>0</v>
      </c>
      <c r="BB300" s="106">
        <v>0</v>
      </c>
      <c r="BC300" s="94">
        <v>0</v>
      </c>
      <c r="BD300" s="94">
        <v>0</v>
      </c>
      <c r="BE300" s="94">
        <v>0</v>
      </c>
      <c r="BF300" s="95">
        <v>0</v>
      </c>
      <c r="BG300" s="94">
        <v>0</v>
      </c>
      <c r="BH300" s="94">
        <v>0</v>
      </c>
      <c r="BI300" s="94">
        <v>0</v>
      </c>
      <c r="BJ300" s="94">
        <v>0</v>
      </c>
      <c r="BK300" s="94">
        <v>0</v>
      </c>
      <c r="BL300" s="106">
        <v>0</v>
      </c>
      <c r="BM300" s="94">
        <v>0</v>
      </c>
      <c r="BN300" s="94">
        <v>0</v>
      </c>
      <c r="BO300" s="94">
        <v>0</v>
      </c>
      <c r="BP300" s="95">
        <v>0</v>
      </c>
      <c r="BQ300" s="2"/>
      <c r="BR300" s="2"/>
      <c r="BS300" s="2"/>
    </row>
    <row r="301" spans="1:71" x14ac:dyDescent="0.35">
      <c r="A301" s="2"/>
      <c r="B301" s="2"/>
      <c r="C301" s="42" t="s">
        <v>537</v>
      </c>
      <c r="D301" s="109">
        <f t="shared" si="369"/>
        <v>0</v>
      </c>
      <c r="E301" s="109">
        <f t="shared" si="349"/>
        <v>0</v>
      </c>
      <c r="F301" s="109">
        <f t="shared" si="350"/>
        <v>0</v>
      </c>
      <c r="G301" s="109">
        <f t="shared" si="351"/>
        <v>0</v>
      </c>
      <c r="H301" s="109">
        <f t="shared" si="352"/>
        <v>0</v>
      </c>
      <c r="I301" s="110">
        <f t="shared" si="353"/>
        <v>0</v>
      </c>
      <c r="J301" s="109">
        <f t="shared" si="354"/>
        <v>0</v>
      </c>
      <c r="K301" s="109">
        <f t="shared" si="355"/>
        <v>0</v>
      </c>
      <c r="L301" s="109">
        <f t="shared" si="356"/>
        <v>0</v>
      </c>
      <c r="M301" s="111">
        <f t="shared" si="357"/>
        <v>0</v>
      </c>
      <c r="N301" s="109">
        <f t="shared" si="358"/>
        <v>0</v>
      </c>
      <c r="O301" s="109">
        <f t="shared" si="359"/>
        <v>0</v>
      </c>
      <c r="P301" s="109">
        <f t="shared" si="360"/>
        <v>0</v>
      </c>
      <c r="Q301" s="109">
        <f t="shared" si="361"/>
        <v>0</v>
      </c>
      <c r="R301" s="109">
        <f t="shared" si="362"/>
        <v>0</v>
      </c>
      <c r="S301" s="110">
        <f t="shared" si="363"/>
        <v>0</v>
      </c>
      <c r="T301" s="109">
        <f t="shared" si="364"/>
        <v>0</v>
      </c>
      <c r="U301" s="109">
        <f t="shared" si="365"/>
        <v>0</v>
      </c>
      <c r="V301" s="109">
        <f t="shared" si="366"/>
        <v>0</v>
      </c>
      <c r="W301" s="111">
        <f t="shared" si="367"/>
        <v>0</v>
      </c>
      <c r="X301" s="115">
        <f t="shared" si="370"/>
        <v>0</v>
      </c>
      <c r="Y301" s="38" t="s">
        <v>537</v>
      </c>
      <c r="Z301" s="42" t="s">
        <v>537</v>
      </c>
      <c r="AA301" s="67">
        <f t="shared" ref="AA301:AT301" si="378">IF($J189,SUMIF($AV$229:$AV$332,$Y301,AW$229:AW$332)*AA$227*$D189/$J189,0)</f>
        <v>0</v>
      </c>
      <c r="AB301" s="67">
        <f t="shared" si="378"/>
        <v>0</v>
      </c>
      <c r="AC301" s="67">
        <f t="shared" si="378"/>
        <v>0</v>
      </c>
      <c r="AD301" s="67">
        <f t="shared" si="378"/>
        <v>0</v>
      </c>
      <c r="AE301" s="67">
        <f t="shared" si="378"/>
        <v>0</v>
      </c>
      <c r="AF301" s="76">
        <f t="shared" si="378"/>
        <v>0</v>
      </c>
      <c r="AG301" s="67">
        <f t="shared" si="378"/>
        <v>0</v>
      </c>
      <c r="AH301" s="67">
        <f t="shared" si="378"/>
        <v>0</v>
      </c>
      <c r="AI301" s="67">
        <f t="shared" si="378"/>
        <v>0</v>
      </c>
      <c r="AJ301" s="68">
        <f t="shared" si="378"/>
        <v>0</v>
      </c>
      <c r="AK301" s="67">
        <f t="shared" si="378"/>
        <v>0</v>
      </c>
      <c r="AL301" s="67">
        <f t="shared" si="378"/>
        <v>0</v>
      </c>
      <c r="AM301" s="67">
        <f t="shared" si="378"/>
        <v>0</v>
      </c>
      <c r="AN301" s="67">
        <f t="shared" si="378"/>
        <v>0</v>
      </c>
      <c r="AO301" s="67">
        <f t="shared" si="378"/>
        <v>0</v>
      </c>
      <c r="AP301" s="76">
        <f t="shared" si="378"/>
        <v>0</v>
      </c>
      <c r="AQ301" s="67">
        <f t="shared" si="378"/>
        <v>0</v>
      </c>
      <c r="AR301" s="67">
        <f t="shared" si="378"/>
        <v>0</v>
      </c>
      <c r="AS301" s="67">
        <f t="shared" si="378"/>
        <v>0</v>
      </c>
      <c r="AT301" s="68">
        <f t="shared" si="378"/>
        <v>0</v>
      </c>
      <c r="AU301" s="2"/>
      <c r="AV301" s="104" t="s">
        <v>537</v>
      </c>
      <c r="AW301" s="94"/>
      <c r="AX301" s="94"/>
      <c r="AY301" s="94"/>
      <c r="AZ301" s="94"/>
      <c r="BA301" s="94"/>
      <c r="BB301" s="106"/>
      <c r="BC301" s="94"/>
      <c r="BD301" s="94"/>
      <c r="BE301" s="94"/>
      <c r="BF301" s="95"/>
      <c r="BG301" s="94"/>
      <c r="BH301" s="94"/>
      <c r="BI301" s="94"/>
      <c r="BJ301" s="94"/>
      <c r="BK301" s="94"/>
      <c r="BL301" s="106"/>
      <c r="BM301" s="94"/>
      <c r="BN301" s="94"/>
      <c r="BO301" s="94"/>
      <c r="BP301" s="95"/>
      <c r="BQ301" s="2"/>
      <c r="BR301" s="2"/>
      <c r="BS301" s="2"/>
    </row>
    <row r="302" spans="1:71" x14ac:dyDescent="0.35">
      <c r="A302" s="2"/>
      <c r="B302" s="2"/>
      <c r="C302" s="42" t="s">
        <v>538</v>
      </c>
      <c r="D302" s="109">
        <f t="shared" si="369"/>
        <v>0</v>
      </c>
      <c r="E302" s="109">
        <f t="shared" si="349"/>
        <v>0</v>
      </c>
      <c r="F302" s="109">
        <f t="shared" si="350"/>
        <v>0</v>
      </c>
      <c r="G302" s="109">
        <f t="shared" si="351"/>
        <v>0</v>
      </c>
      <c r="H302" s="109">
        <f t="shared" si="352"/>
        <v>0</v>
      </c>
      <c r="I302" s="110">
        <f t="shared" si="353"/>
        <v>0</v>
      </c>
      <c r="J302" s="109">
        <f t="shared" si="354"/>
        <v>0</v>
      </c>
      <c r="K302" s="109">
        <f t="shared" si="355"/>
        <v>0</v>
      </c>
      <c r="L302" s="109">
        <f t="shared" si="356"/>
        <v>0</v>
      </c>
      <c r="M302" s="111">
        <f t="shared" si="357"/>
        <v>0</v>
      </c>
      <c r="N302" s="109">
        <f t="shared" si="358"/>
        <v>0</v>
      </c>
      <c r="O302" s="109">
        <f t="shared" si="359"/>
        <v>0</v>
      </c>
      <c r="P302" s="109">
        <f t="shared" si="360"/>
        <v>0</v>
      </c>
      <c r="Q302" s="109">
        <f t="shared" si="361"/>
        <v>0</v>
      </c>
      <c r="R302" s="109">
        <f t="shared" si="362"/>
        <v>0</v>
      </c>
      <c r="S302" s="110">
        <f t="shared" si="363"/>
        <v>0</v>
      </c>
      <c r="T302" s="109">
        <f t="shared" si="364"/>
        <v>0</v>
      </c>
      <c r="U302" s="109">
        <f t="shared" si="365"/>
        <v>0</v>
      </c>
      <c r="V302" s="109">
        <f t="shared" si="366"/>
        <v>0</v>
      </c>
      <c r="W302" s="111">
        <f t="shared" si="367"/>
        <v>0</v>
      </c>
      <c r="X302" s="115">
        <f t="shared" si="370"/>
        <v>0</v>
      </c>
      <c r="Y302" s="38" t="s">
        <v>538</v>
      </c>
      <c r="Z302" s="42" t="s">
        <v>538</v>
      </c>
      <c r="AA302" s="67">
        <f t="shared" ref="AA302:AT302" si="379">IF($J190,SUMIF($AV$229:$AV$332,$Y302,AW$229:AW$332)*AA$227*$D190/$J190,0)</f>
        <v>0</v>
      </c>
      <c r="AB302" s="67">
        <f t="shared" si="379"/>
        <v>0</v>
      </c>
      <c r="AC302" s="67">
        <f t="shared" si="379"/>
        <v>0</v>
      </c>
      <c r="AD302" s="67">
        <f t="shared" si="379"/>
        <v>0</v>
      </c>
      <c r="AE302" s="67">
        <f t="shared" si="379"/>
        <v>0</v>
      </c>
      <c r="AF302" s="76">
        <f t="shared" si="379"/>
        <v>0</v>
      </c>
      <c r="AG302" s="67">
        <f t="shared" si="379"/>
        <v>0</v>
      </c>
      <c r="AH302" s="67">
        <f t="shared" si="379"/>
        <v>0</v>
      </c>
      <c r="AI302" s="67">
        <f t="shared" si="379"/>
        <v>0</v>
      </c>
      <c r="AJ302" s="68">
        <f t="shared" si="379"/>
        <v>0</v>
      </c>
      <c r="AK302" s="67">
        <f t="shared" si="379"/>
        <v>0</v>
      </c>
      <c r="AL302" s="67">
        <f t="shared" si="379"/>
        <v>0</v>
      </c>
      <c r="AM302" s="67">
        <f t="shared" si="379"/>
        <v>0</v>
      </c>
      <c r="AN302" s="67">
        <f t="shared" si="379"/>
        <v>0</v>
      </c>
      <c r="AO302" s="67">
        <f t="shared" si="379"/>
        <v>0</v>
      </c>
      <c r="AP302" s="76">
        <f t="shared" si="379"/>
        <v>0</v>
      </c>
      <c r="AQ302" s="67">
        <f t="shared" si="379"/>
        <v>0</v>
      </c>
      <c r="AR302" s="67">
        <f t="shared" si="379"/>
        <v>0</v>
      </c>
      <c r="AS302" s="67">
        <f t="shared" si="379"/>
        <v>0</v>
      </c>
      <c r="AT302" s="68">
        <f t="shared" si="379"/>
        <v>0</v>
      </c>
      <c r="AU302" s="2"/>
      <c r="AV302" s="104" t="s">
        <v>538</v>
      </c>
      <c r="AW302" s="94">
        <v>0</v>
      </c>
      <c r="AX302" s="94">
        <v>0</v>
      </c>
      <c r="AY302" s="94">
        <v>0</v>
      </c>
      <c r="AZ302" s="94">
        <v>0</v>
      </c>
      <c r="BA302" s="94">
        <v>0</v>
      </c>
      <c r="BB302" s="106">
        <v>0</v>
      </c>
      <c r="BC302" s="94">
        <v>0</v>
      </c>
      <c r="BD302" s="94">
        <v>0</v>
      </c>
      <c r="BE302" s="94">
        <v>0</v>
      </c>
      <c r="BF302" s="95">
        <v>0</v>
      </c>
      <c r="BG302" s="94">
        <v>0</v>
      </c>
      <c r="BH302" s="94">
        <v>0</v>
      </c>
      <c r="BI302" s="94">
        <v>0</v>
      </c>
      <c r="BJ302" s="94">
        <v>0</v>
      </c>
      <c r="BK302" s="94">
        <v>0</v>
      </c>
      <c r="BL302" s="106">
        <v>0</v>
      </c>
      <c r="BM302" s="94">
        <v>0</v>
      </c>
      <c r="BN302" s="94">
        <v>0</v>
      </c>
      <c r="BO302" s="94">
        <v>0</v>
      </c>
      <c r="BP302" s="95">
        <v>0</v>
      </c>
      <c r="BQ302" s="2"/>
      <c r="BR302" s="2"/>
      <c r="BS302" s="2"/>
    </row>
    <row r="303" spans="1:71" x14ac:dyDescent="0.35">
      <c r="A303" s="2"/>
      <c r="B303" s="2"/>
      <c r="C303" s="42" t="s">
        <v>539</v>
      </c>
      <c r="D303" s="109">
        <f t="shared" si="369"/>
        <v>0</v>
      </c>
      <c r="E303" s="109">
        <f t="shared" si="349"/>
        <v>0</v>
      </c>
      <c r="F303" s="109">
        <f t="shared" si="350"/>
        <v>0</v>
      </c>
      <c r="G303" s="109">
        <f t="shared" si="351"/>
        <v>0</v>
      </c>
      <c r="H303" s="109">
        <f t="shared" si="352"/>
        <v>0</v>
      </c>
      <c r="I303" s="110">
        <f t="shared" si="353"/>
        <v>0</v>
      </c>
      <c r="J303" s="109">
        <f t="shared" si="354"/>
        <v>0</v>
      </c>
      <c r="K303" s="109">
        <f t="shared" si="355"/>
        <v>0</v>
      </c>
      <c r="L303" s="109">
        <f t="shared" si="356"/>
        <v>0</v>
      </c>
      <c r="M303" s="111">
        <f t="shared" si="357"/>
        <v>0</v>
      </c>
      <c r="N303" s="109">
        <f t="shared" si="358"/>
        <v>0</v>
      </c>
      <c r="O303" s="109">
        <f t="shared" si="359"/>
        <v>0</v>
      </c>
      <c r="P303" s="109">
        <f t="shared" si="360"/>
        <v>0</v>
      </c>
      <c r="Q303" s="109">
        <f t="shared" si="361"/>
        <v>0</v>
      </c>
      <c r="R303" s="109">
        <f t="shared" si="362"/>
        <v>0</v>
      </c>
      <c r="S303" s="110">
        <f t="shared" si="363"/>
        <v>0</v>
      </c>
      <c r="T303" s="109">
        <f t="shared" si="364"/>
        <v>0</v>
      </c>
      <c r="U303" s="109">
        <f t="shared" si="365"/>
        <v>0</v>
      </c>
      <c r="V303" s="109">
        <f t="shared" si="366"/>
        <v>0</v>
      </c>
      <c r="W303" s="111">
        <f t="shared" si="367"/>
        <v>0</v>
      </c>
      <c r="X303" s="115">
        <f t="shared" si="370"/>
        <v>0</v>
      </c>
      <c r="Y303" s="38" t="s">
        <v>539</v>
      </c>
      <c r="Z303" s="42" t="s">
        <v>539</v>
      </c>
      <c r="AA303" s="67">
        <f t="shared" ref="AA303:AT303" si="380">IF($J191,SUMIF($AV$229:$AV$332,$Y303,AW$229:AW$332)*AA$227*$D191/$J191,0)</f>
        <v>0</v>
      </c>
      <c r="AB303" s="67">
        <f t="shared" si="380"/>
        <v>0</v>
      </c>
      <c r="AC303" s="67">
        <f t="shared" si="380"/>
        <v>0</v>
      </c>
      <c r="AD303" s="67">
        <f t="shared" si="380"/>
        <v>0</v>
      </c>
      <c r="AE303" s="67">
        <f t="shared" si="380"/>
        <v>0</v>
      </c>
      <c r="AF303" s="76">
        <f t="shared" si="380"/>
        <v>0</v>
      </c>
      <c r="AG303" s="67">
        <f t="shared" si="380"/>
        <v>0</v>
      </c>
      <c r="AH303" s="67">
        <f t="shared" si="380"/>
        <v>0</v>
      </c>
      <c r="AI303" s="67">
        <f t="shared" si="380"/>
        <v>0</v>
      </c>
      <c r="AJ303" s="68">
        <f t="shared" si="380"/>
        <v>0</v>
      </c>
      <c r="AK303" s="67">
        <f t="shared" si="380"/>
        <v>0</v>
      </c>
      <c r="AL303" s="67">
        <f t="shared" si="380"/>
        <v>0</v>
      </c>
      <c r="AM303" s="67">
        <f t="shared" si="380"/>
        <v>0</v>
      </c>
      <c r="AN303" s="67">
        <f t="shared" si="380"/>
        <v>0</v>
      </c>
      <c r="AO303" s="67">
        <f t="shared" si="380"/>
        <v>0</v>
      </c>
      <c r="AP303" s="76">
        <f t="shared" si="380"/>
        <v>0</v>
      </c>
      <c r="AQ303" s="67">
        <f t="shared" si="380"/>
        <v>0</v>
      </c>
      <c r="AR303" s="67">
        <f t="shared" si="380"/>
        <v>0</v>
      </c>
      <c r="AS303" s="67">
        <f t="shared" si="380"/>
        <v>0</v>
      </c>
      <c r="AT303" s="68">
        <f t="shared" si="380"/>
        <v>0</v>
      </c>
      <c r="AU303" s="2"/>
      <c r="AV303" s="104" t="s">
        <v>539</v>
      </c>
      <c r="AW303" s="94"/>
      <c r="AX303" s="94"/>
      <c r="AY303" s="94"/>
      <c r="AZ303" s="94"/>
      <c r="BA303" s="94"/>
      <c r="BB303" s="106"/>
      <c r="BC303" s="94"/>
      <c r="BD303" s="94"/>
      <c r="BE303" s="94"/>
      <c r="BF303" s="95"/>
      <c r="BG303" s="94"/>
      <c r="BH303" s="94"/>
      <c r="BI303" s="94"/>
      <c r="BJ303" s="94"/>
      <c r="BK303" s="94"/>
      <c r="BL303" s="106"/>
      <c r="BM303" s="94"/>
      <c r="BN303" s="94"/>
      <c r="BO303" s="94"/>
      <c r="BP303" s="95"/>
      <c r="BQ303" s="2"/>
      <c r="BR303" s="2"/>
      <c r="BS303" s="2"/>
    </row>
    <row r="304" spans="1:71" x14ac:dyDescent="0.35">
      <c r="A304" s="2"/>
      <c r="B304" s="2"/>
      <c r="C304" s="42" t="s">
        <v>540</v>
      </c>
      <c r="D304" s="109">
        <f t="shared" si="369"/>
        <v>0</v>
      </c>
      <c r="E304" s="109">
        <f t="shared" si="349"/>
        <v>0</v>
      </c>
      <c r="F304" s="109">
        <f t="shared" si="350"/>
        <v>0</v>
      </c>
      <c r="G304" s="109">
        <f t="shared" si="351"/>
        <v>0</v>
      </c>
      <c r="H304" s="109">
        <f t="shared" si="352"/>
        <v>0</v>
      </c>
      <c r="I304" s="110">
        <f t="shared" si="353"/>
        <v>0</v>
      </c>
      <c r="J304" s="109">
        <f t="shared" si="354"/>
        <v>0</v>
      </c>
      <c r="K304" s="109">
        <f t="shared" si="355"/>
        <v>0</v>
      </c>
      <c r="L304" s="109">
        <f t="shared" si="356"/>
        <v>0</v>
      </c>
      <c r="M304" s="111">
        <f t="shared" si="357"/>
        <v>0</v>
      </c>
      <c r="N304" s="109">
        <f t="shared" si="358"/>
        <v>0</v>
      </c>
      <c r="O304" s="109">
        <f t="shared" si="359"/>
        <v>0</v>
      </c>
      <c r="P304" s="109">
        <f t="shared" si="360"/>
        <v>0</v>
      </c>
      <c r="Q304" s="109">
        <f t="shared" si="361"/>
        <v>0</v>
      </c>
      <c r="R304" s="109">
        <f t="shared" si="362"/>
        <v>0</v>
      </c>
      <c r="S304" s="110">
        <f t="shared" si="363"/>
        <v>0</v>
      </c>
      <c r="T304" s="109">
        <f t="shared" si="364"/>
        <v>0</v>
      </c>
      <c r="U304" s="109">
        <f t="shared" si="365"/>
        <v>0</v>
      </c>
      <c r="V304" s="109">
        <f t="shared" si="366"/>
        <v>0</v>
      </c>
      <c r="W304" s="111">
        <f t="shared" si="367"/>
        <v>0</v>
      </c>
      <c r="X304" s="115">
        <f t="shared" si="370"/>
        <v>0</v>
      </c>
      <c r="Y304" s="38" t="s">
        <v>540</v>
      </c>
      <c r="Z304" s="42" t="s">
        <v>540</v>
      </c>
      <c r="AA304" s="67">
        <f t="shared" ref="AA304:AT304" si="381">IF($J192,SUMIF($AV$229:$AV$332,$Y304,AW$229:AW$332)*AA$227*$D192/$J192,0)</f>
        <v>0</v>
      </c>
      <c r="AB304" s="67">
        <f t="shared" si="381"/>
        <v>0</v>
      </c>
      <c r="AC304" s="67">
        <f t="shared" si="381"/>
        <v>0</v>
      </c>
      <c r="AD304" s="67">
        <f t="shared" si="381"/>
        <v>0</v>
      </c>
      <c r="AE304" s="67">
        <f t="shared" si="381"/>
        <v>0</v>
      </c>
      <c r="AF304" s="76">
        <f t="shared" si="381"/>
        <v>0</v>
      </c>
      <c r="AG304" s="67">
        <f t="shared" si="381"/>
        <v>0</v>
      </c>
      <c r="AH304" s="67">
        <f t="shared" si="381"/>
        <v>0</v>
      </c>
      <c r="AI304" s="67">
        <f t="shared" si="381"/>
        <v>0</v>
      </c>
      <c r="AJ304" s="68">
        <f t="shared" si="381"/>
        <v>0</v>
      </c>
      <c r="AK304" s="67">
        <f t="shared" si="381"/>
        <v>0</v>
      </c>
      <c r="AL304" s="67">
        <f t="shared" si="381"/>
        <v>0</v>
      </c>
      <c r="AM304" s="67">
        <f t="shared" si="381"/>
        <v>0</v>
      </c>
      <c r="AN304" s="67">
        <f t="shared" si="381"/>
        <v>0</v>
      </c>
      <c r="AO304" s="67">
        <f t="shared" si="381"/>
        <v>0</v>
      </c>
      <c r="AP304" s="76">
        <f t="shared" si="381"/>
        <v>0</v>
      </c>
      <c r="AQ304" s="67">
        <f t="shared" si="381"/>
        <v>0</v>
      </c>
      <c r="AR304" s="67">
        <f t="shared" si="381"/>
        <v>0</v>
      </c>
      <c r="AS304" s="67">
        <f t="shared" si="381"/>
        <v>0</v>
      </c>
      <c r="AT304" s="68">
        <f t="shared" si="381"/>
        <v>0</v>
      </c>
      <c r="AU304" s="2"/>
      <c r="AV304" s="104" t="s">
        <v>540</v>
      </c>
      <c r="AW304" s="94"/>
      <c r="AX304" s="94"/>
      <c r="AY304" s="94"/>
      <c r="AZ304" s="94"/>
      <c r="BA304" s="94"/>
      <c r="BB304" s="106"/>
      <c r="BC304" s="94"/>
      <c r="BD304" s="94"/>
      <c r="BE304" s="94"/>
      <c r="BF304" s="95"/>
      <c r="BG304" s="94"/>
      <c r="BH304" s="94"/>
      <c r="BI304" s="94"/>
      <c r="BJ304" s="94"/>
      <c r="BK304" s="94"/>
      <c r="BL304" s="106"/>
      <c r="BM304" s="94"/>
      <c r="BN304" s="94"/>
      <c r="BO304" s="94"/>
      <c r="BP304" s="95"/>
      <c r="BQ304" s="2"/>
      <c r="BR304" s="2"/>
      <c r="BS304" s="2"/>
    </row>
    <row r="305" spans="1:71" x14ac:dyDescent="0.35">
      <c r="A305" s="2"/>
      <c r="B305" s="2"/>
      <c r="C305" s="42" t="s">
        <v>541</v>
      </c>
      <c r="D305" s="109">
        <f t="shared" si="369"/>
        <v>0</v>
      </c>
      <c r="E305" s="109">
        <f t="shared" si="349"/>
        <v>0</v>
      </c>
      <c r="F305" s="109">
        <f t="shared" si="350"/>
        <v>0</v>
      </c>
      <c r="G305" s="109">
        <f t="shared" si="351"/>
        <v>0</v>
      </c>
      <c r="H305" s="109">
        <f t="shared" si="352"/>
        <v>0</v>
      </c>
      <c r="I305" s="110">
        <f t="shared" si="353"/>
        <v>0</v>
      </c>
      <c r="J305" s="109">
        <f t="shared" si="354"/>
        <v>0</v>
      </c>
      <c r="K305" s="109">
        <f t="shared" si="355"/>
        <v>0</v>
      </c>
      <c r="L305" s="109">
        <f t="shared" si="356"/>
        <v>0</v>
      </c>
      <c r="M305" s="111">
        <f t="shared" si="357"/>
        <v>0</v>
      </c>
      <c r="N305" s="109">
        <f t="shared" si="358"/>
        <v>0</v>
      </c>
      <c r="O305" s="109">
        <f t="shared" si="359"/>
        <v>0</v>
      </c>
      <c r="P305" s="109">
        <f t="shared" si="360"/>
        <v>0</v>
      </c>
      <c r="Q305" s="109">
        <f t="shared" si="361"/>
        <v>0</v>
      </c>
      <c r="R305" s="109">
        <f t="shared" si="362"/>
        <v>0</v>
      </c>
      <c r="S305" s="110">
        <f t="shared" si="363"/>
        <v>0</v>
      </c>
      <c r="T305" s="109">
        <f t="shared" si="364"/>
        <v>0</v>
      </c>
      <c r="U305" s="109">
        <f t="shared" si="365"/>
        <v>0</v>
      </c>
      <c r="V305" s="109">
        <f t="shared" si="366"/>
        <v>0</v>
      </c>
      <c r="W305" s="111">
        <f t="shared" si="367"/>
        <v>0</v>
      </c>
      <c r="X305" s="115">
        <f t="shared" si="370"/>
        <v>0</v>
      </c>
      <c r="Y305" s="38" t="s">
        <v>541</v>
      </c>
      <c r="Z305" s="42" t="s">
        <v>541</v>
      </c>
      <c r="AA305" s="67">
        <f t="shared" ref="AA305:AT305" si="382">IF($J193,SUMIF($AV$229:$AV$332,$Y305,AW$229:AW$332)*AA$227*$D193/$J193,0)</f>
        <v>0</v>
      </c>
      <c r="AB305" s="67">
        <f t="shared" si="382"/>
        <v>0</v>
      </c>
      <c r="AC305" s="67">
        <f t="shared" si="382"/>
        <v>0</v>
      </c>
      <c r="AD305" s="67">
        <f t="shared" si="382"/>
        <v>0</v>
      </c>
      <c r="AE305" s="67">
        <f t="shared" si="382"/>
        <v>0</v>
      </c>
      <c r="AF305" s="76">
        <f t="shared" si="382"/>
        <v>0</v>
      </c>
      <c r="AG305" s="67">
        <f t="shared" si="382"/>
        <v>0</v>
      </c>
      <c r="AH305" s="67">
        <f t="shared" si="382"/>
        <v>0</v>
      </c>
      <c r="AI305" s="67">
        <f t="shared" si="382"/>
        <v>0</v>
      </c>
      <c r="AJ305" s="68">
        <f t="shared" si="382"/>
        <v>0</v>
      </c>
      <c r="AK305" s="67">
        <f t="shared" si="382"/>
        <v>0</v>
      </c>
      <c r="AL305" s="67">
        <f t="shared" si="382"/>
        <v>0</v>
      </c>
      <c r="AM305" s="67">
        <f t="shared" si="382"/>
        <v>0</v>
      </c>
      <c r="AN305" s="67">
        <f t="shared" si="382"/>
        <v>0</v>
      </c>
      <c r="AO305" s="67">
        <f t="shared" si="382"/>
        <v>0</v>
      </c>
      <c r="AP305" s="76">
        <f t="shared" si="382"/>
        <v>0</v>
      </c>
      <c r="AQ305" s="67">
        <f t="shared" si="382"/>
        <v>0</v>
      </c>
      <c r="AR305" s="67">
        <f t="shared" si="382"/>
        <v>0</v>
      </c>
      <c r="AS305" s="67">
        <f t="shared" si="382"/>
        <v>0</v>
      </c>
      <c r="AT305" s="68">
        <f t="shared" si="382"/>
        <v>0</v>
      </c>
      <c r="AU305" s="2"/>
      <c r="AV305" s="104" t="s">
        <v>541</v>
      </c>
      <c r="AW305" s="94"/>
      <c r="AX305" s="94"/>
      <c r="AY305" s="94"/>
      <c r="AZ305" s="94"/>
      <c r="BA305" s="94"/>
      <c r="BB305" s="106"/>
      <c r="BC305" s="94"/>
      <c r="BD305" s="94"/>
      <c r="BE305" s="94"/>
      <c r="BF305" s="95"/>
      <c r="BG305" s="94"/>
      <c r="BH305" s="94"/>
      <c r="BI305" s="94"/>
      <c r="BJ305" s="94"/>
      <c r="BK305" s="94"/>
      <c r="BL305" s="106"/>
      <c r="BM305" s="94"/>
      <c r="BN305" s="94"/>
      <c r="BO305" s="94"/>
      <c r="BP305" s="95"/>
      <c r="BQ305" s="2"/>
      <c r="BR305" s="2"/>
      <c r="BS305" s="2"/>
    </row>
    <row r="306" spans="1:71" x14ac:dyDescent="0.35">
      <c r="A306" s="2"/>
      <c r="B306" s="2"/>
      <c r="C306" s="42" t="s">
        <v>542</v>
      </c>
      <c r="D306" s="109">
        <f t="shared" si="369"/>
        <v>0</v>
      </c>
      <c r="E306" s="109">
        <f t="shared" si="349"/>
        <v>0</v>
      </c>
      <c r="F306" s="109">
        <f t="shared" si="350"/>
        <v>0</v>
      </c>
      <c r="G306" s="109">
        <f t="shared" si="351"/>
        <v>0</v>
      </c>
      <c r="H306" s="109">
        <f t="shared" si="352"/>
        <v>0</v>
      </c>
      <c r="I306" s="110">
        <f t="shared" si="353"/>
        <v>0</v>
      </c>
      <c r="J306" s="109">
        <f t="shared" si="354"/>
        <v>0</v>
      </c>
      <c r="K306" s="109">
        <f t="shared" si="355"/>
        <v>0</v>
      </c>
      <c r="L306" s="109">
        <f t="shared" si="356"/>
        <v>0</v>
      </c>
      <c r="M306" s="111">
        <f t="shared" si="357"/>
        <v>0</v>
      </c>
      <c r="N306" s="109">
        <f t="shared" si="358"/>
        <v>0</v>
      </c>
      <c r="O306" s="109">
        <f t="shared" si="359"/>
        <v>0</v>
      </c>
      <c r="P306" s="109">
        <f t="shared" si="360"/>
        <v>0</v>
      </c>
      <c r="Q306" s="109">
        <f t="shared" si="361"/>
        <v>0</v>
      </c>
      <c r="R306" s="109">
        <f t="shared" si="362"/>
        <v>0</v>
      </c>
      <c r="S306" s="110">
        <f t="shared" si="363"/>
        <v>0</v>
      </c>
      <c r="T306" s="109">
        <f t="shared" si="364"/>
        <v>0</v>
      </c>
      <c r="U306" s="109">
        <f t="shared" si="365"/>
        <v>0</v>
      </c>
      <c r="V306" s="109">
        <f t="shared" si="366"/>
        <v>0</v>
      </c>
      <c r="W306" s="111">
        <f t="shared" si="367"/>
        <v>0</v>
      </c>
      <c r="X306" s="115">
        <f t="shared" si="370"/>
        <v>0</v>
      </c>
      <c r="Y306" s="38" t="s">
        <v>542</v>
      </c>
      <c r="Z306" s="42" t="s">
        <v>542</v>
      </c>
      <c r="AA306" s="67">
        <f t="shared" ref="AA306:AT306" si="383">IF($J194,SUMIF($AV$229:$AV$332,$Y306,AW$229:AW$332)*AA$227*$D194/$J194,0)</f>
        <v>0</v>
      </c>
      <c r="AB306" s="67">
        <f t="shared" si="383"/>
        <v>0</v>
      </c>
      <c r="AC306" s="67">
        <f t="shared" si="383"/>
        <v>0</v>
      </c>
      <c r="AD306" s="67">
        <f t="shared" si="383"/>
        <v>0</v>
      </c>
      <c r="AE306" s="67">
        <f t="shared" si="383"/>
        <v>0</v>
      </c>
      <c r="AF306" s="76">
        <f t="shared" si="383"/>
        <v>0</v>
      </c>
      <c r="AG306" s="67">
        <f t="shared" si="383"/>
        <v>0</v>
      </c>
      <c r="AH306" s="67">
        <f t="shared" si="383"/>
        <v>0</v>
      </c>
      <c r="AI306" s="67">
        <f t="shared" si="383"/>
        <v>0</v>
      </c>
      <c r="AJ306" s="68">
        <f t="shared" si="383"/>
        <v>0</v>
      </c>
      <c r="AK306" s="67">
        <f t="shared" si="383"/>
        <v>0</v>
      </c>
      <c r="AL306" s="67">
        <f t="shared" si="383"/>
        <v>0</v>
      </c>
      <c r="AM306" s="67">
        <f t="shared" si="383"/>
        <v>0</v>
      </c>
      <c r="AN306" s="67">
        <f t="shared" si="383"/>
        <v>0</v>
      </c>
      <c r="AO306" s="67">
        <f t="shared" si="383"/>
        <v>0</v>
      </c>
      <c r="AP306" s="76">
        <f t="shared" si="383"/>
        <v>0</v>
      </c>
      <c r="AQ306" s="67">
        <f t="shared" si="383"/>
        <v>0</v>
      </c>
      <c r="AR306" s="67">
        <f t="shared" si="383"/>
        <v>0</v>
      </c>
      <c r="AS306" s="67">
        <f t="shared" si="383"/>
        <v>0</v>
      </c>
      <c r="AT306" s="68">
        <f t="shared" si="383"/>
        <v>0</v>
      </c>
      <c r="AU306" s="2"/>
      <c r="AV306" s="104" t="s">
        <v>542</v>
      </c>
      <c r="AW306" s="94">
        <v>0</v>
      </c>
      <c r="AX306" s="94">
        <v>0</v>
      </c>
      <c r="AY306" s="94">
        <v>0</v>
      </c>
      <c r="AZ306" s="94">
        <v>0</v>
      </c>
      <c r="BA306" s="94">
        <v>0</v>
      </c>
      <c r="BB306" s="106">
        <v>0</v>
      </c>
      <c r="BC306" s="94">
        <v>0</v>
      </c>
      <c r="BD306" s="94">
        <v>0</v>
      </c>
      <c r="BE306" s="94">
        <v>0</v>
      </c>
      <c r="BF306" s="95">
        <v>0</v>
      </c>
      <c r="BG306" s="94">
        <v>0</v>
      </c>
      <c r="BH306" s="94">
        <v>0</v>
      </c>
      <c r="BI306" s="94">
        <v>0</v>
      </c>
      <c r="BJ306" s="94">
        <v>0</v>
      </c>
      <c r="BK306" s="94">
        <v>0</v>
      </c>
      <c r="BL306" s="106">
        <v>0</v>
      </c>
      <c r="BM306" s="94">
        <v>0</v>
      </c>
      <c r="BN306" s="94">
        <v>0</v>
      </c>
      <c r="BO306" s="94">
        <v>0</v>
      </c>
      <c r="BP306" s="95">
        <v>0</v>
      </c>
      <c r="BQ306" s="2"/>
      <c r="BR306" s="2"/>
      <c r="BS306" s="2"/>
    </row>
    <row r="307" spans="1:71" x14ac:dyDescent="0.35">
      <c r="A307" s="2"/>
      <c r="B307" s="2"/>
      <c r="C307" s="42" t="s">
        <v>543</v>
      </c>
      <c r="D307" s="109">
        <f t="shared" si="369"/>
        <v>0</v>
      </c>
      <c r="E307" s="109">
        <f t="shared" si="349"/>
        <v>0</v>
      </c>
      <c r="F307" s="109">
        <f t="shared" si="350"/>
        <v>0</v>
      </c>
      <c r="G307" s="109">
        <f t="shared" si="351"/>
        <v>0</v>
      </c>
      <c r="H307" s="109">
        <f t="shared" si="352"/>
        <v>0</v>
      </c>
      <c r="I307" s="110">
        <f t="shared" si="353"/>
        <v>0</v>
      </c>
      <c r="J307" s="109">
        <f t="shared" si="354"/>
        <v>0</v>
      </c>
      <c r="K307" s="109">
        <f t="shared" si="355"/>
        <v>0</v>
      </c>
      <c r="L307" s="109">
        <f t="shared" si="356"/>
        <v>0</v>
      </c>
      <c r="M307" s="111">
        <f t="shared" si="357"/>
        <v>0</v>
      </c>
      <c r="N307" s="109">
        <f t="shared" si="358"/>
        <v>0</v>
      </c>
      <c r="O307" s="109">
        <f t="shared" si="359"/>
        <v>0</v>
      </c>
      <c r="P307" s="109">
        <f t="shared" si="360"/>
        <v>0</v>
      </c>
      <c r="Q307" s="109">
        <f t="shared" si="361"/>
        <v>0</v>
      </c>
      <c r="R307" s="109">
        <f t="shared" si="362"/>
        <v>0</v>
      </c>
      <c r="S307" s="110">
        <f t="shared" si="363"/>
        <v>0</v>
      </c>
      <c r="T307" s="109">
        <f t="shared" si="364"/>
        <v>0</v>
      </c>
      <c r="U307" s="109">
        <f t="shared" si="365"/>
        <v>0</v>
      </c>
      <c r="V307" s="109">
        <f t="shared" si="366"/>
        <v>0</v>
      </c>
      <c r="W307" s="111">
        <f t="shared" si="367"/>
        <v>0</v>
      </c>
      <c r="X307" s="115">
        <f t="shared" si="370"/>
        <v>0</v>
      </c>
      <c r="Y307" s="38" t="s">
        <v>543</v>
      </c>
      <c r="Z307" s="42" t="s">
        <v>543</v>
      </c>
      <c r="AA307" s="67">
        <f t="shared" ref="AA307:AT307" si="384">IF($J195,SUMIF($AV$229:$AV$332,$Y307,AW$229:AW$332)*AA$227*$D195/$J195,0)</f>
        <v>0</v>
      </c>
      <c r="AB307" s="67">
        <f t="shared" si="384"/>
        <v>0</v>
      </c>
      <c r="AC307" s="67">
        <f t="shared" si="384"/>
        <v>0</v>
      </c>
      <c r="AD307" s="67">
        <f t="shared" si="384"/>
        <v>0</v>
      </c>
      <c r="AE307" s="67">
        <f t="shared" si="384"/>
        <v>0</v>
      </c>
      <c r="AF307" s="76">
        <f t="shared" si="384"/>
        <v>0</v>
      </c>
      <c r="AG307" s="67">
        <f t="shared" si="384"/>
        <v>0</v>
      </c>
      <c r="AH307" s="67">
        <f t="shared" si="384"/>
        <v>0</v>
      </c>
      <c r="AI307" s="67">
        <f t="shared" si="384"/>
        <v>0</v>
      </c>
      <c r="AJ307" s="68">
        <f t="shared" si="384"/>
        <v>0</v>
      </c>
      <c r="AK307" s="67">
        <f t="shared" si="384"/>
        <v>0</v>
      </c>
      <c r="AL307" s="67">
        <f t="shared" si="384"/>
        <v>0</v>
      </c>
      <c r="AM307" s="67">
        <f t="shared" si="384"/>
        <v>0</v>
      </c>
      <c r="AN307" s="67">
        <f t="shared" si="384"/>
        <v>0</v>
      </c>
      <c r="AO307" s="67">
        <f t="shared" si="384"/>
        <v>0</v>
      </c>
      <c r="AP307" s="76">
        <f t="shared" si="384"/>
        <v>0</v>
      </c>
      <c r="AQ307" s="67">
        <f t="shared" si="384"/>
        <v>0</v>
      </c>
      <c r="AR307" s="67">
        <f t="shared" si="384"/>
        <v>0</v>
      </c>
      <c r="AS307" s="67">
        <f t="shared" si="384"/>
        <v>0</v>
      </c>
      <c r="AT307" s="68">
        <f t="shared" si="384"/>
        <v>0</v>
      </c>
      <c r="AU307" s="2"/>
      <c r="AV307" s="104" t="s">
        <v>543</v>
      </c>
      <c r="AW307" s="94">
        <v>0</v>
      </c>
      <c r="AX307" s="94">
        <v>0</v>
      </c>
      <c r="AY307" s="94">
        <v>0</v>
      </c>
      <c r="AZ307" s="94">
        <v>0</v>
      </c>
      <c r="BA307" s="94">
        <v>0</v>
      </c>
      <c r="BB307" s="106">
        <v>0</v>
      </c>
      <c r="BC307" s="94">
        <v>0</v>
      </c>
      <c r="BD307" s="94">
        <v>0</v>
      </c>
      <c r="BE307" s="94">
        <v>0</v>
      </c>
      <c r="BF307" s="95">
        <v>0</v>
      </c>
      <c r="BG307" s="94">
        <v>0</v>
      </c>
      <c r="BH307" s="94">
        <v>0</v>
      </c>
      <c r="BI307" s="94">
        <v>0</v>
      </c>
      <c r="BJ307" s="94">
        <v>0</v>
      </c>
      <c r="BK307" s="94">
        <v>0</v>
      </c>
      <c r="BL307" s="106">
        <v>0</v>
      </c>
      <c r="BM307" s="94">
        <v>0</v>
      </c>
      <c r="BN307" s="94">
        <v>0</v>
      </c>
      <c r="BO307" s="94">
        <v>0</v>
      </c>
      <c r="BP307" s="95">
        <v>0</v>
      </c>
      <c r="BQ307" s="2"/>
      <c r="BR307" s="2"/>
      <c r="BS307" s="2"/>
    </row>
    <row r="308" spans="1:71" x14ac:dyDescent="0.35">
      <c r="A308" s="2"/>
      <c r="B308" s="2"/>
      <c r="C308" s="42" t="s">
        <v>544</v>
      </c>
      <c r="D308" s="109">
        <f t="shared" si="369"/>
        <v>0</v>
      </c>
      <c r="E308" s="109">
        <f t="shared" si="349"/>
        <v>0</v>
      </c>
      <c r="F308" s="109">
        <f t="shared" si="350"/>
        <v>0</v>
      </c>
      <c r="G308" s="109">
        <f t="shared" si="351"/>
        <v>0</v>
      </c>
      <c r="H308" s="109">
        <f t="shared" si="352"/>
        <v>0</v>
      </c>
      <c r="I308" s="110">
        <f t="shared" si="353"/>
        <v>0</v>
      </c>
      <c r="J308" s="109">
        <f t="shared" si="354"/>
        <v>0</v>
      </c>
      <c r="K308" s="109">
        <f t="shared" si="355"/>
        <v>0</v>
      </c>
      <c r="L308" s="109">
        <f t="shared" si="356"/>
        <v>0</v>
      </c>
      <c r="M308" s="111">
        <f t="shared" si="357"/>
        <v>0</v>
      </c>
      <c r="N308" s="109">
        <f t="shared" si="358"/>
        <v>0</v>
      </c>
      <c r="O308" s="109">
        <f t="shared" si="359"/>
        <v>0</v>
      </c>
      <c r="P308" s="109">
        <f t="shared" si="360"/>
        <v>0</v>
      </c>
      <c r="Q308" s="109">
        <f t="shared" si="361"/>
        <v>0</v>
      </c>
      <c r="R308" s="109">
        <f t="shared" si="362"/>
        <v>0</v>
      </c>
      <c r="S308" s="110">
        <f t="shared" si="363"/>
        <v>0</v>
      </c>
      <c r="T308" s="109">
        <f t="shared" si="364"/>
        <v>0</v>
      </c>
      <c r="U308" s="109">
        <f t="shared" si="365"/>
        <v>0</v>
      </c>
      <c r="V308" s="109">
        <f t="shared" si="366"/>
        <v>0</v>
      </c>
      <c r="W308" s="111">
        <f t="shared" si="367"/>
        <v>0</v>
      </c>
      <c r="X308" s="115">
        <f t="shared" si="370"/>
        <v>0</v>
      </c>
      <c r="Y308" s="38" t="s">
        <v>544</v>
      </c>
      <c r="Z308" s="42" t="s">
        <v>544</v>
      </c>
      <c r="AA308" s="67">
        <f t="shared" ref="AA308:AT308" si="385">IF($J196,SUMIF($AV$229:$AV$332,$Y308,AW$229:AW$332)*AA$227*$D196/$J196,0)</f>
        <v>0</v>
      </c>
      <c r="AB308" s="67">
        <f t="shared" si="385"/>
        <v>0</v>
      </c>
      <c r="AC308" s="67">
        <f t="shared" si="385"/>
        <v>0</v>
      </c>
      <c r="AD308" s="67">
        <f t="shared" si="385"/>
        <v>0</v>
      </c>
      <c r="AE308" s="67">
        <f t="shared" si="385"/>
        <v>0</v>
      </c>
      <c r="AF308" s="76">
        <f t="shared" si="385"/>
        <v>0</v>
      </c>
      <c r="AG308" s="67">
        <f t="shared" si="385"/>
        <v>0</v>
      </c>
      <c r="AH308" s="67">
        <f t="shared" si="385"/>
        <v>0</v>
      </c>
      <c r="AI308" s="67">
        <f t="shared" si="385"/>
        <v>0</v>
      </c>
      <c r="AJ308" s="68">
        <f t="shared" si="385"/>
        <v>0</v>
      </c>
      <c r="AK308" s="67">
        <f t="shared" si="385"/>
        <v>0</v>
      </c>
      <c r="AL308" s="67">
        <f t="shared" si="385"/>
        <v>0</v>
      </c>
      <c r="AM308" s="67">
        <f t="shared" si="385"/>
        <v>0</v>
      </c>
      <c r="AN308" s="67">
        <f t="shared" si="385"/>
        <v>0</v>
      </c>
      <c r="AO308" s="67">
        <f t="shared" si="385"/>
        <v>0</v>
      </c>
      <c r="AP308" s="76">
        <f t="shared" si="385"/>
        <v>0</v>
      </c>
      <c r="AQ308" s="67">
        <f t="shared" si="385"/>
        <v>0</v>
      </c>
      <c r="AR308" s="67">
        <f t="shared" si="385"/>
        <v>0</v>
      </c>
      <c r="AS308" s="67">
        <f t="shared" si="385"/>
        <v>0</v>
      </c>
      <c r="AT308" s="68">
        <f t="shared" si="385"/>
        <v>0</v>
      </c>
      <c r="AU308" s="2"/>
      <c r="AV308" s="104" t="s">
        <v>544</v>
      </c>
      <c r="AW308" s="94">
        <v>0</v>
      </c>
      <c r="AX308" s="94">
        <v>0</v>
      </c>
      <c r="AY308" s="94">
        <v>0</v>
      </c>
      <c r="AZ308" s="94">
        <v>0</v>
      </c>
      <c r="BA308" s="94">
        <v>0</v>
      </c>
      <c r="BB308" s="106">
        <v>0</v>
      </c>
      <c r="BC308" s="94">
        <v>0</v>
      </c>
      <c r="BD308" s="94">
        <v>0</v>
      </c>
      <c r="BE308" s="94">
        <v>0</v>
      </c>
      <c r="BF308" s="95">
        <v>0</v>
      </c>
      <c r="BG308" s="94">
        <v>0</v>
      </c>
      <c r="BH308" s="94">
        <v>0</v>
      </c>
      <c r="BI308" s="94">
        <v>0</v>
      </c>
      <c r="BJ308" s="94">
        <v>0</v>
      </c>
      <c r="BK308" s="94">
        <v>0</v>
      </c>
      <c r="BL308" s="106">
        <v>0</v>
      </c>
      <c r="BM308" s="94">
        <v>0</v>
      </c>
      <c r="BN308" s="94">
        <v>0</v>
      </c>
      <c r="BO308" s="94">
        <v>0</v>
      </c>
      <c r="BP308" s="95">
        <v>0</v>
      </c>
      <c r="BQ308" s="2"/>
      <c r="BR308" s="2"/>
      <c r="BS308" s="2"/>
    </row>
    <row r="309" spans="1:71" x14ac:dyDescent="0.35">
      <c r="A309" s="2"/>
      <c r="B309" s="2"/>
      <c r="C309" s="42" t="s">
        <v>545</v>
      </c>
      <c r="D309" s="109">
        <f t="shared" si="369"/>
        <v>0</v>
      </c>
      <c r="E309" s="109">
        <f t="shared" si="349"/>
        <v>0</v>
      </c>
      <c r="F309" s="109">
        <f t="shared" si="350"/>
        <v>0</v>
      </c>
      <c r="G309" s="109">
        <f t="shared" si="351"/>
        <v>0</v>
      </c>
      <c r="H309" s="109">
        <f t="shared" si="352"/>
        <v>0</v>
      </c>
      <c r="I309" s="110">
        <f t="shared" si="353"/>
        <v>0</v>
      </c>
      <c r="J309" s="109">
        <f t="shared" si="354"/>
        <v>0</v>
      </c>
      <c r="K309" s="109">
        <f t="shared" si="355"/>
        <v>0</v>
      </c>
      <c r="L309" s="109">
        <f t="shared" si="356"/>
        <v>0</v>
      </c>
      <c r="M309" s="111">
        <f t="shared" si="357"/>
        <v>0</v>
      </c>
      <c r="N309" s="109">
        <f t="shared" si="358"/>
        <v>0</v>
      </c>
      <c r="O309" s="109">
        <f t="shared" si="359"/>
        <v>0</v>
      </c>
      <c r="P309" s="109">
        <f t="shared" si="360"/>
        <v>0</v>
      </c>
      <c r="Q309" s="109">
        <f t="shared" si="361"/>
        <v>0</v>
      </c>
      <c r="R309" s="109">
        <f t="shared" si="362"/>
        <v>0</v>
      </c>
      <c r="S309" s="110">
        <f t="shared" si="363"/>
        <v>0</v>
      </c>
      <c r="T309" s="109">
        <f t="shared" si="364"/>
        <v>0</v>
      </c>
      <c r="U309" s="109">
        <f t="shared" si="365"/>
        <v>0</v>
      </c>
      <c r="V309" s="109">
        <f t="shared" si="366"/>
        <v>0</v>
      </c>
      <c r="W309" s="111">
        <f t="shared" si="367"/>
        <v>0</v>
      </c>
      <c r="X309" s="115">
        <f t="shared" si="370"/>
        <v>0</v>
      </c>
      <c r="Y309" s="38" t="s">
        <v>545</v>
      </c>
      <c r="Z309" s="42" t="s">
        <v>545</v>
      </c>
      <c r="AA309" s="67">
        <f t="shared" ref="AA309:AT309" si="386">IF($J197,SUMIF($AV$229:$AV$332,$Y309,AW$229:AW$332)*AA$227*$D197/$J197,0)</f>
        <v>0</v>
      </c>
      <c r="AB309" s="67">
        <f t="shared" si="386"/>
        <v>0</v>
      </c>
      <c r="AC309" s="67">
        <f t="shared" si="386"/>
        <v>0</v>
      </c>
      <c r="AD309" s="67">
        <f t="shared" si="386"/>
        <v>0</v>
      </c>
      <c r="AE309" s="67">
        <f t="shared" si="386"/>
        <v>0</v>
      </c>
      <c r="AF309" s="76">
        <f t="shared" si="386"/>
        <v>0</v>
      </c>
      <c r="AG309" s="67">
        <f t="shared" si="386"/>
        <v>0</v>
      </c>
      <c r="AH309" s="67">
        <f t="shared" si="386"/>
        <v>0</v>
      </c>
      <c r="AI309" s="67">
        <f t="shared" si="386"/>
        <v>0</v>
      </c>
      <c r="AJ309" s="68">
        <f t="shared" si="386"/>
        <v>0</v>
      </c>
      <c r="AK309" s="67">
        <f t="shared" si="386"/>
        <v>0</v>
      </c>
      <c r="AL309" s="67">
        <f t="shared" si="386"/>
        <v>0</v>
      </c>
      <c r="AM309" s="67">
        <f t="shared" si="386"/>
        <v>0</v>
      </c>
      <c r="AN309" s="67">
        <f t="shared" si="386"/>
        <v>0</v>
      </c>
      <c r="AO309" s="67">
        <f t="shared" si="386"/>
        <v>0</v>
      </c>
      <c r="AP309" s="76">
        <f t="shared" si="386"/>
        <v>0</v>
      </c>
      <c r="AQ309" s="67">
        <f t="shared" si="386"/>
        <v>0</v>
      </c>
      <c r="AR309" s="67">
        <f t="shared" si="386"/>
        <v>0</v>
      </c>
      <c r="AS309" s="67">
        <f t="shared" si="386"/>
        <v>0</v>
      </c>
      <c r="AT309" s="68">
        <f t="shared" si="386"/>
        <v>0</v>
      </c>
      <c r="AU309" s="2"/>
      <c r="AV309" s="104" t="s">
        <v>545</v>
      </c>
      <c r="AW309" s="94"/>
      <c r="AX309" s="94"/>
      <c r="AY309" s="94"/>
      <c r="AZ309" s="94"/>
      <c r="BA309" s="94"/>
      <c r="BB309" s="106"/>
      <c r="BC309" s="94"/>
      <c r="BD309" s="94"/>
      <c r="BE309" s="94"/>
      <c r="BF309" s="95"/>
      <c r="BG309" s="94"/>
      <c r="BH309" s="94"/>
      <c r="BI309" s="94"/>
      <c r="BJ309" s="94"/>
      <c r="BK309" s="94"/>
      <c r="BL309" s="106"/>
      <c r="BM309" s="94"/>
      <c r="BN309" s="94"/>
      <c r="BO309" s="94"/>
      <c r="BP309" s="95"/>
      <c r="BQ309" s="2"/>
      <c r="BR309" s="2"/>
      <c r="BS309" s="2"/>
    </row>
    <row r="310" spans="1:71" x14ac:dyDescent="0.35">
      <c r="A310" s="2"/>
      <c r="B310" s="2"/>
      <c r="C310" s="42" t="s">
        <v>508</v>
      </c>
      <c r="D310" s="109">
        <f t="shared" si="369"/>
        <v>0</v>
      </c>
      <c r="E310" s="109">
        <f t="shared" si="349"/>
        <v>0</v>
      </c>
      <c r="F310" s="109">
        <f t="shared" si="350"/>
        <v>0</v>
      </c>
      <c r="G310" s="109">
        <f t="shared" si="351"/>
        <v>0</v>
      </c>
      <c r="H310" s="109">
        <f t="shared" si="352"/>
        <v>0</v>
      </c>
      <c r="I310" s="110">
        <f t="shared" si="353"/>
        <v>0</v>
      </c>
      <c r="J310" s="109">
        <f t="shared" si="354"/>
        <v>0</v>
      </c>
      <c r="K310" s="109">
        <f t="shared" si="355"/>
        <v>0</v>
      </c>
      <c r="L310" s="109">
        <f t="shared" si="356"/>
        <v>0</v>
      </c>
      <c r="M310" s="111">
        <f t="shared" si="357"/>
        <v>0</v>
      </c>
      <c r="N310" s="109">
        <f t="shared" si="358"/>
        <v>0</v>
      </c>
      <c r="O310" s="109">
        <f t="shared" si="359"/>
        <v>0</v>
      </c>
      <c r="P310" s="109">
        <f t="shared" si="360"/>
        <v>0</v>
      </c>
      <c r="Q310" s="109">
        <f t="shared" si="361"/>
        <v>0</v>
      </c>
      <c r="R310" s="109">
        <f t="shared" si="362"/>
        <v>0</v>
      </c>
      <c r="S310" s="110">
        <f t="shared" si="363"/>
        <v>0</v>
      </c>
      <c r="T310" s="109">
        <f t="shared" si="364"/>
        <v>0</v>
      </c>
      <c r="U310" s="109">
        <f t="shared" si="365"/>
        <v>0</v>
      </c>
      <c r="V310" s="109">
        <f t="shared" si="366"/>
        <v>0</v>
      </c>
      <c r="W310" s="111">
        <f t="shared" si="367"/>
        <v>0</v>
      </c>
      <c r="X310" s="115">
        <f t="shared" si="370"/>
        <v>0</v>
      </c>
      <c r="Y310" s="38" t="s">
        <v>508</v>
      </c>
      <c r="Z310" s="42" t="s">
        <v>508</v>
      </c>
      <c r="AA310" s="67">
        <f t="shared" ref="AA310:AT310" si="387">IF($J198,SUMIF($AV$229:$AV$332,$Y310,AW$229:AW$332)*AA$227*$D198/$J198,0)</f>
        <v>0</v>
      </c>
      <c r="AB310" s="67">
        <f t="shared" si="387"/>
        <v>0</v>
      </c>
      <c r="AC310" s="67">
        <f t="shared" si="387"/>
        <v>0</v>
      </c>
      <c r="AD310" s="67">
        <f t="shared" si="387"/>
        <v>0</v>
      </c>
      <c r="AE310" s="67">
        <f t="shared" si="387"/>
        <v>0</v>
      </c>
      <c r="AF310" s="76">
        <f t="shared" si="387"/>
        <v>0</v>
      </c>
      <c r="AG310" s="67">
        <f t="shared" si="387"/>
        <v>0</v>
      </c>
      <c r="AH310" s="67">
        <f t="shared" si="387"/>
        <v>0</v>
      </c>
      <c r="AI310" s="67">
        <f t="shared" si="387"/>
        <v>0</v>
      </c>
      <c r="AJ310" s="68">
        <f t="shared" si="387"/>
        <v>0</v>
      </c>
      <c r="AK310" s="67">
        <f t="shared" si="387"/>
        <v>0</v>
      </c>
      <c r="AL310" s="67">
        <f t="shared" si="387"/>
        <v>0</v>
      </c>
      <c r="AM310" s="67">
        <f t="shared" si="387"/>
        <v>0</v>
      </c>
      <c r="AN310" s="67">
        <f t="shared" si="387"/>
        <v>0</v>
      </c>
      <c r="AO310" s="67">
        <f t="shared" si="387"/>
        <v>0</v>
      </c>
      <c r="AP310" s="76">
        <f t="shared" si="387"/>
        <v>0</v>
      </c>
      <c r="AQ310" s="67">
        <f t="shared" si="387"/>
        <v>0</v>
      </c>
      <c r="AR310" s="67">
        <f t="shared" si="387"/>
        <v>0</v>
      </c>
      <c r="AS310" s="67">
        <f t="shared" si="387"/>
        <v>0</v>
      </c>
      <c r="AT310" s="68">
        <f t="shared" si="387"/>
        <v>0</v>
      </c>
      <c r="AU310" s="2"/>
      <c r="AV310" s="104" t="s">
        <v>508</v>
      </c>
      <c r="AW310" s="94">
        <v>0</v>
      </c>
      <c r="AX310" s="94">
        <v>0</v>
      </c>
      <c r="AY310" s="94">
        <v>0</v>
      </c>
      <c r="AZ310" s="94">
        <v>0</v>
      </c>
      <c r="BA310" s="94">
        <v>0</v>
      </c>
      <c r="BB310" s="106">
        <v>0</v>
      </c>
      <c r="BC310" s="94">
        <v>0</v>
      </c>
      <c r="BD310" s="94">
        <v>0</v>
      </c>
      <c r="BE310" s="94">
        <v>0</v>
      </c>
      <c r="BF310" s="95">
        <v>0</v>
      </c>
      <c r="BG310" s="94">
        <v>0</v>
      </c>
      <c r="BH310" s="94">
        <v>0</v>
      </c>
      <c r="BI310" s="94">
        <v>0</v>
      </c>
      <c r="BJ310" s="94">
        <v>0</v>
      </c>
      <c r="BK310" s="94">
        <v>0</v>
      </c>
      <c r="BL310" s="106">
        <v>0</v>
      </c>
      <c r="BM310" s="94">
        <v>0</v>
      </c>
      <c r="BN310" s="94">
        <v>0</v>
      </c>
      <c r="BO310" s="94">
        <v>0</v>
      </c>
      <c r="BP310" s="95">
        <v>0</v>
      </c>
      <c r="BQ310" s="2"/>
      <c r="BR310" s="2"/>
      <c r="BS310" s="2"/>
    </row>
    <row r="311" spans="1:71" x14ac:dyDescent="0.35">
      <c r="A311" s="2"/>
      <c r="B311" s="2"/>
      <c r="C311" s="42" t="s">
        <v>546</v>
      </c>
      <c r="D311" s="109">
        <f t="shared" si="369"/>
        <v>0</v>
      </c>
      <c r="E311" s="109">
        <f t="shared" si="349"/>
        <v>0</v>
      </c>
      <c r="F311" s="109">
        <f t="shared" si="350"/>
        <v>0</v>
      </c>
      <c r="G311" s="109">
        <f t="shared" si="351"/>
        <v>0</v>
      </c>
      <c r="H311" s="109">
        <f t="shared" si="352"/>
        <v>0</v>
      </c>
      <c r="I311" s="110">
        <f t="shared" si="353"/>
        <v>0</v>
      </c>
      <c r="J311" s="109">
        <f t="shared" si="354"/>
        <v>0</v>
      </c>
      <c r="K311" s="109">
        <f t="shared" si="355"/>
        <v>0</v>
      </c>
      <c r="L311" s="109">
        <f t="shared" si="356"/>
        <v>0</v>
      </c>
      <c r="M311" s="111">
        <f t="shared" si="357"/>
        <v>0</v>
      </c>
      <c r="N311" s="109">
        <f t="shared" si="358"/>
        <v>0</v>
      </c>
      <c r="O311" s="109">
        <f t="shared" si="359"/>
        <v>0</v>
      </c>
      <c r="P311" s="109">
        <f t="shared" si="360"/>
        <v>0</v>
      </c>
      <c r="Q311" s="109">
        <f t="shared" si="361"/>
        <v>0</v>
      </c>
      <c r="R311" s="109">
        <f t="shared" si="362"/>
        <v>0</v>
      </c>
      <c r="S311" s="110">
        <f t="shared" si="363"/>
        <v>0</v>
      </c>
      <c r="T311" s="109">
        <f t="shared" si="364"/>
        <v>0</v>
      </c>
      <c r="U311" s="109">
        <f t="shared" si="365"/>
        <v>0</v>
      </c>
      <c r="V311" s="109">
        <f t="shared" si="366"/>
        <v>0</v>
      </c>
      <c r="W311" s="111">
        <f t="shared" si="367"/>
        <v>0</v>
      </c>
      <c r="X311" s="115">
        <f t="shared" si="370"/>
        <v>0</v>
      </c>
      <c r="Y311" s="38" t="s">
        <v>546</v>
      </c>
      <c r="Z311" s="42" t="s">
        <v>546</v>
      </c>
      <c r="AA311" s="67">
        <f t="shared" ref="AA311:AT311" si="388">IF($J199,SUMIF($AV$229:$AV$332,$Y311,AW$229:AW$332)*AA$227*$D199/$J199,0)</f>
        <v>0</v>
      </c>
      <c r="AB311" s="67">
        <f t="shared" si="388"/>
        <v>0</v>
      </c>
      <c r="AC311" s="67">
        <f t="shared" si="388"/>
        <v>0</v>
      </c>
      <c r="AD311" s="67">
        <f t="shared" si="388"/>
        <v>0</v>
      </c>
      <c r="AE311" s="67">
        <f t="shared" si="388"/>
        <v>0</v>
      </c>
      <c r="AF311" s="76">
        <f t="shared" si="388"/>
        <v>0</v>
      </c>
      <c r="AG311" s="67">
        <f t="shared" si="388"/>
        <v>0</v>
      </c>
      <c r="AH311" s="67">
        <f t="shared" si="388"/>
        <v>0</v>
      </c>
      <c r="AI311" s="67">
        <f t="shared" si="388"/>
        <v>0</v>
      </c>
      <c r="AJ311" s="68">
        <f t="shared" si="388"/>
        <v>0</v>
      </c>
      <c r="AK311" s="67">
        <f t="shared" si="388"/>
        <v>0</v>
      </c>
      <c r="AL311" s="67">
        <f t="shared" si="388"/>
        <v>0</v>
      </c>
      <c r="AM311" s="67">
        <f t="shared" si="388"/>
        <v>0</v>
      </c>
      <c r="AN311" s="67">
        <f t="shared" si="388"/>
        <v>0</v>
      </c>
      <c r="AO311" s="67">
        <f t="shared" si="388"/>
        <v>0</v>
      </c>
      <c r="AP311" s="76">
        <f t="shared" si="388"/>
        <v>0</v>
      </c>
      <c r="AQ311" s="67">
        <f t="shared" si="388"/>
        <v>0</v>
      </c>
      <c r="AR311" s="67">
        <f t="shared" si="388"/>
        <v>0</v>
      </c>
      <c r="AS311" s="67">
        <f t="shared" si="388"/>
        <v>0</v>
      </c>
      <c r="AT311" s="68">
        <f t="shared" si="388"/>
        <v>0</v>
      </c>
      <c r="AU311" s="2"/>
      <c r="AV311" s="104" t="s">
        <v>546</v>
      </c>
      <c r="AW311" s="94">
        <v>0</v>
      </c>
      <c r="AX311" s="94">
        <v>0</v>
      </c>
      <c r="AY311" s="94">
        <v>0</v>
      </c>
      <c r="AZ311" s="94">
        <v>0</v>
      </c>
      <c r="BA311" s="94">
        <v>0</v>
      </c>
      <c r="BB311" s="106">
        <v>0</v>
      </c>
      <c r="BC311" s="94">
        <v>0</v>
      </c>
      <c r="BD311" s="94">
        <v>0</v>
      </c>
      <c r="BE311" s="94">
        <v>0</v>
      </c>
      <c r="BF311" s="95">
        <v>0</v>
      </c>
      <c r="BG311" s="94">
        <v>0</v>
      </c>
      <c r="BH311" s="94">
        <v>0</v>
      </c>
      <c r="BI311" s="94">
        <v>0</v>
      </c>
      <c r="BJ311" s="94">
        <v>0</v>
      </c>
      <c r="BK311" s="94">
        <v>0</v>
      </c>
      <c r="BL311" s="106">
        <v>0</v>
      </c>
      <c r="BM311" s="94">
        <v>0</v>
      </c>
      <c r="BN311" s="94">
        <v>0</v>
      </c>
      <c r="BO311" s="94">
        <v>0</v>
      </c>
      <c r="BP311" s="95">
        <v>0</v>
      </c>
      <c r="BQ311" s="2"/>
      <c r="BR311" s="2"/>
      <c r="BS311" s="2"/>
    </row>
    <row r="312" spans="1:71" x14ac:dyDescent="0.35">
      <c r="A312" s="2"/>
      <c r="B312" s="2"/>
      <c r="C312" s="42" t="s">
        <v>509</v>
      </c>
      <c r="D312" s="109">
        <f t="shared" si="369"/>
        <v>0</v>
      </c>
      <c r="E312" s="109">
        <f t="shared" si="349"/>
        <v>0</v>
      </c>
      <c r="F312" s="109">
        <f t="shared" si="350"/>
        <v>0</v>
      </c>
      <c r="G312" s="109">
        <f t="shared" si="351"/>
        <v>0</v>
      </c>
      <c r="H312" s="109">
        <f t="shared" si="352"/>
        <v>0</v>
      </c>
      <c r="I312" s="110">
        <f t="shared" si="353"/>
        <v>0</v>
      </c>
      <c r="J312" s="109">
        <f t="shared" si="354"/>
        <v>0</v>
      </c>
      <c r="K312" s="109">
        <f t="shared" si="355"/>
        <v>0</v>
      </c>
      <c r="L312" s="109">
        <f t="shared" si="356"/>
        <v>0</v>
      </c>
      <c r="M312" s="111">
        <f t="shared" si="357"/>
        <v>0</v>
      </c>
      <c r="N312" s="109">
        <f t="shared" si="358"/>
        <v>0</v>
      </c>
      <c r="O312" s="109">
        <f t="shared" si="359"/>
        <v>0</v>
      </c>
      <c r="P312" s="109">
        <f t="shared" si="360"/>
        <v>0</v>
      </c>
      <c r="Q312" s="109">
        <f t="shared" si="361"/>
        <v>0</v>
      </c>
      <c r="R312" s="109">
        <f t="shared" si="362"/>
        <v>0</v>
      </c>
      <c r="S312" s="110">
        <f t="shared" si="363"/>
        <v>0</v>
      </c>
      <c r="T312" s="109">
        <f t="shared" si="364"/>
        <v>0</v>
      </c>
      <c r="U312" s="109">
        <f t="shared" si="365"/>
        <v>0</v>
      </c>
      <c r="V312" s="109">
        <f t="shared" si="366"/>
        <v>0</v>
      </c>
      <c r="W312" s="111">
        <f t="shared" si="367"/>
        <v>0</v>
      </c>
      <c r="X312" s="115">
        <f t="shared" si="370"/>
        <v>0</v>
      </c>
      <c r="Y312" s="38" t="s">
        <v>509</v>
      </c>
      <c r="Z312" s="42" t="s">
        <v>509</v>
      </c>
      <c r="AA312" s="67">
        <f t="shared" ref="AA312:AT312" si="389">IF($J200,SUMIF($AV$229:$AV$332,$Y312,AW$229:AW$332)*AA$227*$D200/$J200,0)</f>
        <v>0</v>
      </c>
      <c r="AB312" s="67">
        <f t="shared" si="389"/>
        <v>0</v>
      </c>
      <c r="AC312" s="67">
        <f t="shared" si="389"/>
        <v>0</v>
      </c>
      <c r="AD312" s="67">
        <f t="shared" si="389"/>
        <v>0</v>
      </c>
      <c r="AE312" s="67">
        <f t="shared" si="389"/>
        <v>0</v>
      </c>
      <c r="AF312" s="76">
        <f t="shared" si="389"/>
        <v>0</v>
      </c>
      <c r="AG312" s="67">
        <f t="shared" si="389"/>
        <v>0</v>
      </c>
      <c r="AH312" s="67">
        <f t="shared" si="389"/>
        <v>0</v>
      </c>
      <c r="AI312" s="67">
        <f t="shared" si="389"/>
        <v>0</v>
      </c>
      <c r="AJ312" s="68">
        <f t="shared" si="389"/>
        <v>0</v>
      </c>
      <c r="AK312" s="67">
        <f t="shared" si="389"/>
        <v>0</v>
      </c>
      <c r="AL312" s="67">
        <f t="shared" si="389"/>
        <v>0</v>
      </c>
      <c r="AM312" s="67">
        <f t="shared" si="389"/>
        <v>0</v>
      </c>
      <c r="AN312" s="67">
        <f t="shared" si="389"/>
        <v>0</v>
      </c>
      <c r="AO312" s="67">
        <f t="shared" si="389"/>
        <v>0</v>
      </c>
      <c r="AP312" s="76">
        <f t="shared" si="389"/>
        <v>0</v>
      </c>
      <c r="AQ312" s="67">
        <f t="shared" si="389"/>
        <v>0</v>
      </c>
      <c r="AR312" s="67">
        <f t="shared" si="389"/>
        <v>0</v>
      </c>
      <c r="AS312" s="67">
        <f t="shared" si="389"/>
        <v>0</v>
      </c>
      <c r="AT312" s="68">
        <f t="shared" si="389"/>
        <v>0</v>
      </c>
      <c r="AU312" s="2"/>
      <c r="AV312" s="104" t="s">
        <v>509</v>
      </c>
      <c r="AW312" s="94">
        <v>0</v>
      </c>
      <c r="AX312" s="94">
        <v>0</v>
      </c>
      <c r="AY312" s="94">
        <v>0</v>
      </c>
      <c r="AZ312" s="94">
        <v>0</v>
      </c>
      <c r="BA312" s="94">
        <v>0</v>
      </c>
      <c r="BB312" s="106">
        <v>0</v>
      </c>
      <c r="BC312" s="94">
        <v>0</v>
      </c>
      <c r="BD312" s="94">
        <v>0</v>
      </c>
      <c r="BE312" s="94">
        <v>0</v>
      </c>
      <c r="BF312" s="95">
        <v>0</v>
      </c>
      <c r="BG312" s="94">
        <v>0</v>
      </c>
      <c r="BH312" s="94">
        <v>0</v>
      </c>
      <c r="BI312" s="94">
        <v>0</v>
      </c>
      <c r="BJ312" s="94">
        <v>0</v>
      </c>
      <c r="BK312" s="94">
        <v>0</v>
      </c>
      <c r="BL312" s="106">
        <v>0</v>
      </c>
      <c r="BM312" s="94">
        <v>0</v>
      </c>
      <c r="BN312" s="94">
        <v>0</v>
      </c>
      <c r="BO312" s="94">
        <v>0</v>
      </c>
      <c r="BP312" s="95">
        <v>0</v>
      </c>
      <c r="BQ312" s="2"/>
      <c r="BR312" s="2"/>
      <c r="BS312" s="2"/>
    </row>
    <row r="313" spans="1:71" x14ac:dyDescent="0.35">
      <c r="A313" s="2"/>
      <c r="B313" s="2"/>
      <c r="C313" s="42" t="s">
        <v>547</v>
      </c>
      <c r="D313" s="109">
        <f t="shared" si="369"/>
        <v>0</v>
      </c>
      <c r="E313" s="109">
        <f t="shared" si="349"/>
        <v>0</v>
      </c>
      <c r="F313" s="109">
        <f t="shared" si="350"/>
        <v>0</v>
      </c>
      <c r="G313" s="109">
        <f t="shared" si="351"/>
        <v>0</v>
      </c>
      <c r="H313" s="109">
        <f t="shared" si="352"/>
        <v>0</v>
      </c>
      <c r="I313" s="110">
        <f t="shared" si="353"/>
        <v>0</v>
      </c>
      <c r="J313" s="109">
        <f t="shared" si="354"/>
        <v>0</v>
      </c>
      <c r="K313" s="109">
        <f t="shared" si="355"/>
        <v>0</v>
      </c>
      <c r="L313" s="109">
        <f t="shared" si="356"/>
        <v>0</v>
      </c>
      <c r="M313" s="111">
        <f t="shared" si="357"/>
        <v>0</v>
      </c>
      <c r="N313" s="109">
        <f t="shared" si="358"/>
        <v>0</v>
      </c>
      <c r="O313" s="109">
        <f t="shared" si="359"/>
        <v>0</v>
      </c>
      <c r="P313" s="109">
        <f t="shared" si="360"/>
        <v>0</v>
      </c>
      <c r="Q313" s="109">
        <f t="shared" si="361"/>
        <v>0</v>
      </c>
      <c r="R313" s="109">
        <f t="shared" si="362"/>
        <v>0</v>
      </c>
      <c r="S313" s="110">
        <f t="shared" si="363"/>
        <v>0</v>
      </c>
      <c r="T313" s="109">
        <f t="shared" si="364"/>
        <v>0</v>
      </c>
      <c r="U313" s="109">
        <f t="shared" si="365"/>
        <v>0</v>
      </c>
      <c r="V313" s="109">
        <f t="shared" si="366"/>
        <v>0</v>
      </c>
      <c r="W313" s="111">
        <f t="shared" si="367"/>
        <v>0</v>
      </c>
      <c r="X313" s="115">
        <f t="shared" si="370"/>
        <v>0</v>
      </c>
      <c r="Y313" s="38" t="s">
        <v>547</v>
      </c>
      <c r="Z313" s="42" t="s">
        <v>547</v>
      </c>
      <c r="AA313" s="67">
        <f t="shared" ref="AA313:AT313" si="390">IF($J201,SUMIF($AV$229:$AV$332,$Y313,AW$229:AW$332)*AA$227*$D201/$J201,0)</f>
        <v>0</v>
      </c>
      <c r="AB313" s="67">
        <f t="shared" si="390"/>
        <v>0</v>
      </c>
      <c r="AC313" s="67">
        <f t="shared" si="390"/>
        <v>0</v>
      </c>
      <c r="AD313" s="67">
        <f t="shared" si="390"/>
        <v>0</v>
      </c>
      <c r="AE313" s="67">
        <f t="shared" si="390"/>
        <v>0</v>
      </c>
      <c r="AF313" s="76">
        <f t="shared" si="390"/>
        <v>0</v>
      </c>
      <c r="AG313" s="67">
        <f t="shared" si="390"/>
        <v>0</v>
      </c>
      <c r="AH313" s="67">
        <f t="shared" si="390"/>
        <v>0</v>
      </c>
      <c r="AI313" s="67">
        <f t="shared" si="390"/>
        <v>0</v>
      </c>
      <c r="AJ313" s="68">
        <f t="shared" si="390"/>
        <v>0</v>
      </c>
      <c r="AK313" s="67">
        <f t="shared" si="390"/>
        <v>0</v>
      </c>
      <c r="AL313" s="67">
        <f t="shared" si="390"/>
        <v>0</v>
      </c>
      <c r="AM313" s="67">
        <f t="shared" si="390"/>
        <v>0</v>
      </c>
      <c r="AN313" s="67">
        <f t="shared" si="390"/>
        <v>0</v>
      </c>
      <c r="AO313" s="67">
        <f t="shared" si="390"/>
        <v>0</v>
      </c>
      <c r="AP313" s="76">
        <f t="shared" si="390"/>
        <v>0</v>
      </c>
      <c r="AQ313" s="67">
        <f t="shared" si="390"/>
        <v>0</v>
      </c>
      <c r="AR313" s="67">
        <f t="shared" si="390"/>
        <v>0</v>
      </c>
      <c r="AS313" s="67">
        <f t="shared" si="390"/>
        <v>0</v>
      </c>
      <c r="AT313" s="68">
        <f t="shared" si="390"/>
        <v>0</v>
      </c>
      <c r="AU313" s="2"/>
      <c r="AV313" s="104" t="s">
        <v>547</v>
      </c>
      <c r="AW313" s="94"/>
      <c r="AX313" s="94"/>
      <c r="AY313" s="94"/>
      <c r="AZ313" s="94"/>
      <c r="BA313" s="94"/>
      <c r="BB313" s="106"/>
      <c r="BC313" s="94"/>
      <c r="BD313" s="94"/>
      <c r="BE313" s="94"/>
      <c r="BF313" s="95"/>
      <c r="BG313" s="94"/>
      <c r="BH313" s="94"/>
      <c r="BI313" s="94"/>
      <c r="BJ313" s="94"/>
      <c r="BK313" s="94"/>
      <c r="BL313" s="106"/>
      <c r="BM313" s="94"/>
      <c r="BN313" s="94"/>
      <c r="BO313" s="94"/>
      <c r="BP313" s="95"/>
      <c r="BQ313" s="2"/>
      <c r="BR313" s="2"/>
      <c r="BS313" s="2"/>
    </row>
    <row r="314" spans="1:71" x14ac:dyDescent="0.35">
      <c r="A314" s="2"/>
      <c r="B314" s="2"/>
      <c r="C314" s="42" t="s">
        <v>548</v>
      </c>
      <c r="D314" s="109">
        <f t="shared" si="369"/>
        <v>0</v>
      </c>
      <c r="E314" s="109">
        <f t="shared" si="349"/>
        <v>0</v>
      </c>
      <c r="F314" s="109">
        <f t="shared" si="350"/>
        <v>0</v>
      </c>
      <c r="G314" s="109">
        <f t="shared" si="351"/>
        <v>0</v>
      </c>
      <c r="H314" s="109">
        <f t="shared" si="352"/>
        <v>0</v>
      </c>
      <c r="I314" s="110">
        <f t="shared" si="353"/>
        <v>0</v>
      </c>
      <c r="J314" s="109">
        <f t="shared" si="354"/>
        <v>0</v>
      </c>
      <c r="K314" s="109">
        <f t="shared" si="355"/>
        <v>0</v>
      </c>
      <c r="L314" s="109">
        <f t="shared" si="356"/>
        <v>0</v>
      </c>
      <c r="M314" s="111">
        <f t="shared" si="357"/>
        <v>0</v>
      </c>
      <c r="N314" s="109">
        <f t="shared" si="358"/>
        <v>0</v>
      </c>
      <c r="O314" s="109">
        <f t="shared" si="359"/>
        <v>0</v>
      </c>
      <c r="P314" s="109">
        <f t="shared" si="360"/>
        <v>0</v>
      </c>
      <c r="Q314" s="109">
        <f t="shared" si="361"/>
        <v>0</v>
      </c>
      <c r="R314" s="109">
        <f t="shared" si="362"/>
        <v>0</v>
      </c>
      <c r="S314" s="110">
        <f t="shared" si="363"/>
        <v>0</v>
      </c>
      <c r="T314" s="109">
        <f t="shared" si="364"/>
        <v>0</v>
      </c>
      <c r="U314" s="109">
        <f t="shared" si="365"/>
        <v>0</v>
      </c>
      <c r="V314" s="109">
        <f t="shared" si="366"/>
        <v>0</v>
      </c>
      <c r="W314" s="111">
        <f t="shared" si="367"/>
        <v>0</v>
      </c>
      <c r="X314" s="115">
        <f t="shared" si="370"/>
        <v>0</v>
      </c>
      <c r="Y314" s="38" t="s">
        <v>548</v>
      </c>
      <c r="Z314" s="42" t="s">
        <v>548</v>
      </c>
      <c r="AA314" s="67">
        <f t="shared" ref="AA314:AT314" si="391">IF($J202,SUMIF($AV$229:$AV$332,$Y314,AW$229:AW$332)*AA$227*$D202/$J202,0)</f>
        <v>0</v>
      </c>
      <c r="AB314" s="67">
        <f t="shared" si="391"/>
        <v>0</v>
      </c>
      <c r="AC314" s="67">
        <f t="shared" si="391"/>
        <v>0</v>
      </c>
      <c r="AD314" s="67">
        <f t="shared" si="391"/>
        <v>0</v>
      </c>
      <c r="AE314" s="67">
        <f t="shared" si="391"/>
        <v>0</v>
      </c>
      <c r="AF314" s="76">
        <f t="shared" si="391"/>
        <v>0</v>
      </c>
      <c r="AG314" s="67">
        <f t="shared" si="391"/>
        <v>0</v>
      </c>
      <c r="AH314" s="67">
        <f t="shared" si="391"/>
        <v>0</v>
      </c>
      <c r="AI314" s="67">
        <f t="shared" si="391"/>
        <v>0</v>
      </c>
      <c r="AJ314" s="68">
        <f t="shared" si="391"/>
        <v>0</v>
      </c>
      <c r="AK314" s="67">
        <f t="shared" si="391"/>
        <v>0</v>
      </c>
      <c r="AL314" s="67">
        <f t="shared" si="391"/>
        <v>0</v>
      </c>
      <c r="AM314" s="67">
        <f t="shared" si="391"/>
        <v>0</v>
      </c>
      <c r="AN314" s="67">
        <f t="shared" si="391"/>
        <v>0</v>
      </c>
      <c r="AO314" s="67">
        <f t="shared" si="391"/>
        <v>0</v>
      </c>
      <c r="AP314" s="76">
        <f t="shared" si="391"/>
        <v>0</v>
      </c>
      <c r="AQ314" s="67">
        <f t="shared" si="391"/>
        <v>0</v>
      </c>
      <c r="AR314" s="67">
        <f t="shared" si="391"/>
        <v>0</v>
      </c>
      <c r="AS314" s="67">
        <f t="shared" si="391"/>
        <v>0</v>
      </c>
      <c r="AT314" s="68">
        <f t="shared" si="391"/>
        <v>0</v>
      </c>
      <c r="AU314" s="2"/>
      <c r="AV314" s="104" t="s">
        <v>548</v>
      </c>
      <c r="AW314" s="94"/>
      <c r="AX314" s="94"/>
      <c r="AY314" s="94"/>
      <c r="AZ314" s="94"/>
      <c r="BA314" s="94"/>
      <c r="BB314" s="106"/>
      <c r="BC314" s="94"/>
      <c r="BD314" s="94"/>
      <c r="BE314" s="94"/>
      <c r="BF314" s="95"/>
      <c r="BG314" s="94"/>
      <c r="BH314" s="94"/>
      <c r="BI314" s="94"/>
      <c r="BJ314" s="94"/>
      <c r="BK314" s="94"/>
      <c r="BL314" s="106"/>
      <c r="BM314" s="94"/>
      <c r="BN314" s="94"/>
      <c r="BO314" s="94"/>
      <c r="BP314" s="95"/>
      <c r="BQ314" s="2"/>
      <c r="BR314" s="2"/>
      <c r="BS314" s="2"/>
    </row>
    <row r="315" spans="1:71" x14ac:dyDescent="0.35">
      <c r="A315" s="2"/>
      <c r="B315" s="2"/>
      <c r="C315" s="42" t="s">
        <v>549</v>
      </c>
      <c r="D315" s="109">
        <f t="shared" si="369"/>
        <v>0</v>
      </c>
      <c r="E315" s="109">
        <f t="shared" si="349"/>
        <v>0</v>
      </c>
      <c r="F315" s="109">
        <f t="shared" si="350"/>
        <v>0</v>
      </c>
      <c r="G315" s="109">
        <f t="shared" si="351"/>
        <v>0</v>
      </c>
      <c r="H315" s="109">
        <f t="shared" si="352"/>
        <v>0</v>
      </c>
      <c r="I315" s="110">
        <f t="shared" si="353"/>
        <v>0</v>
      </c>
      <c r="J315" s="109">
        <f t="shared" si="354"/>
        <v>0</v>
      </c>
      <c r="K315" s="109">
        <f t="shared" si="355"/>
        <v>0</v>
      </c>
      <c r="L315" s="109">
        <f t="shared" si="356"/>
        <v>0</v>
      </c>
      <c r="M315" s="111">
        <f t="shared" si="357"/>
        <v>0</v>
      </c>
      <c r="N315" s="109">
        <f t="shared" si="358"/>
        <v>0</v>
      </c>
      <c r="O315" s="109">
        <f t="shared" si="359"/>
        <v>0</v>
      </c>
      <c r="P315" s="109">
        <f t="shared" si="360"/>
        <v>0</v>
      </c>
      <c r="Q315" s="109">
        <f t="shared" si="361"/>
        <v>0</v>
      </c>
      <c r="R315" s="109">
        <f t="shared" si="362"/>
        <v>0</v>
      </c>
      <c r="S315" s="110">
        <f t="shared" si="363"/>
        <v>0</v>
      </c>
      <c r="T315" s="109">
        <f t="shared" si="364"/>
        <v>0</v>
      </c>
      <c r="U315" s="109">
        <f t="shared" si="365"/>
        <v>0</v>
      </c>
      <c r="V315" s="109">
        <f t="shared" si="366"/>
        <v>0</v>
      </c>
      <c r="W315" s="111">
        <f t="shared" si="367"/>
        <v>0</v>
      </c>
      <c r="X315" s="115">
        <f t="shared" si="370"/>
        <v>0</v>
      </c>
      <c r="Y315" s="38" t="s">
        <v>549</v>
      </c>
      <c r="Z315" s="42" t="s">
        <v>549</v>
      </c>
      <c r="AA315" s="67">
        <f t="shared" ref="AA315:AT315" si="392">IF($J203,SUMIF($AV$229:$AV$332,$Y315,AW$229:AW$332)*AA$227*$D203/$J203,0)</f>
        <v>0</v>
      </c>
      <c r="AB315" s="67">
        <f t="shared" si="392"/>
        <v>0</v>
      </c>
      <c r="AC315" s="67">
        <f t="shared" si="392"/>
        <v>0</v>
      </c>
      <c r="AD315" s="67">
        <f t="shared" si="392"/>
        <v>0</v>
      </c>
      <c r="AE315" s="67">
        <f t="shared" si="392"/>
        <v>0</v>
      </c>
      <c r="AF315" s="76">
        <f t="shared" si="392"/>
        <v>0</v>
      </c>
      <c r="AG315" s="67">
        <f t="shared" si="392"/>
        <v>0</v>
      </c>
      <c r="AH315" s="67">
        <f t="shared" si="392"/>
        <v>0</v>
      </c>
      <c r="AI315" s="67">
        <f t="shared" si="392"/>
        <v>0</v>
      </c>
      <c r="AJ315" s="68">
        <f t="shared" si="392"/>
        <v>0</v>
      </c>
      <c r="AK315" s="67">
        <f t="shared" si="392"/>
        <v>0</v>
      </c>
      <c r="AL315" s="67">
        <f t="shared" si="392"/>
        <v>0</v>
      </c>
      <c r="AM315" s="67">
        <f t="shared" si="392"/>
        <v>0</v>
      </c>
      <c r="AN315" s="67">
        <f t="shared" si="392"/>
        <v>0</v>
      </c>
      <c r="AO315" s="67">
        <f t="shared" si="392"/>
        <v>0</v>
      </c>
      <c r="AP315" s="76">
        <f t="shared" si="392"/>
        <v>0</v>
      </c>
      <c r="AQ315" s="67">
        <f t="shared" si="392"/>
        <v>0</v>
      </c>
      <c r="AR315" s="67">
        <f t="shared" si="392"/>
        <v>0</v>
      </c>
      <c r="AS315" s="67">
        <f t="shared" si="392"/>
        <v>0</v>
      </c>
      <c r="AT315" s="68">
        <f t="shared" si="392"/>
        <v>0</v>
      </c>
      <c r="AU315" s="2"/>
      <c r="AV315" s="104" t="s">
        <v>549</v>
      </c>
      <c r="AW315" s="94">
        <v>0</v>
      </c>
      <c r="AX315" s="94">
        <v>0</v>
      </c>
      <c r="AY315" s="94">
        <v>0</v>
      </c>
      <c r="AZ315" s="94">
        <v>0</v>
      </c>
      <c r="BA315" s="94">
        <v>0</v>
      </c>
      <c r="BB315" s="106">
        <v>0</v>
      </c>
      <c r="BC315" s="94">
        <v>0</v>
      </c>
      <c r="BD315" s="94">
        <v>0</v>
      </c>
      <c r="BE315" s="94">
        <v>0</v>
      </c>
      <c r="BF315" s="95">
        <v>0</v>
      </c>
      <c r="BG315" s="94">
        <v>0</v>
      </c>
      <c r="BH315" s="94">
        <v>0</v>
      </c>
      <c r="BI315" s="94">
        <v>0</v>
      </c>
      <c r="BJ315" s="94">
        <v>0</v>
      </c>
      <c r="BK315" s="94">
        <v>0</v>
      </c>
      <c r="BL315" s="106">
        <v>0</v>
      </c>
      <c r="BM315" s="94">
        <v>0</v>
      </c>
      <c r="BN315" s="94">
        <v>0</v>
      </c>
      <c r="BO315" s="94">
        <v>0</v>
      </c>
      <c r="BP315" s="95">
        <v>0</v>
      </c>
      <c r="BQ315" s="2"/>
      <c r="BR315" s="2"/>
      <c r="BS315" s="2"/>
    </row>
    <row r="316" spans="1:71" x14ac:dyDescent="0.35">
      <c r="A316" s="2"/>
      <c r="B316" s="2"/>
      <c r="C316" s="42" t="s">
        <v>550</v>
      </c>
      <c r="D316" s="109">
        <f t="shared" si="369"/>
        <v>0</v>
      </c>
      <c r="E316" s="109">
        <f t="shared" si="349"/>
        <v>0</v>
      </c>
      <c r="F316" s="109">
        <f t="shared" si="350"/>
        <v>0</v>
      </c>
      <c r="G316" s="109">
        <f t="shared" si="351"/>
        <v>0</v>
      </c>
      <c r="H316" s="109">
        <f t="shared" si="352"/>
        <v>0</v>
      </c>
      <c r="I316" s="110">
        <f t="shared" si="353"/>
        <v>0</v>
      </c>
      <c r="J316" s="109">
        <f t="shared" si="354"/>
        <v>0</v>
      </c>
      <c r="K316" s="109">
        <f t="shared" si="355"/>
        <v>0</v>
      </c>
      <c r="L316" s="109">
        <f t="shared" si="356"/>
        <v>0</v>
      </c>
      <c r="M316" s="111">
        <f t="shared" si="357"/>
        <v>0</v>
      </c>
      <c r="N316" s="109">
        <f t="shared" si="358"/>
        <v>0</v>
      </c>
      <c r="O316" s="109">
        <f t="shared" si="359"/>
        <v>0</v>
      </c>
      <c r="P316" s="109">
        <f t="shared" si="360"/>
        <v>0</v>
      </c>
      <c r="Q316" s="109">
        <f t="shared" si="361"/>
        <v>0</v>
      </c>
      <c r="R316" s="109">
        <f t="shared" si="362"/>
        <v>0</v>
      </c>
      <c r="S316" s="110">
        <f t="shared" si="363"/>
        <v>0</v>
      </c>
      <c r="T316" s="109">
        <f t="shared" si="364"/>
        <v>0</v>
      </c>
      <c r="U316" s="109">
        <f t="shared" si="365"/>
        <v>0</v>
      </c>
      <c r="V316" s="109">
        <f t="shared" si="366"/>
        <v>0</v>
      </c>
      <c r="W316" s="111">
        <f t="shared" si="367"/>
        <v>0</v>
      </c>
      <c r="X316" s="115">
        <f t="shared" si="370"/>
        <v>0</v>
      </c>
      <c r="Y316" s="38" t="s">
        <v>550</v>
      </c>
      <c r="Z316" s="42" t="s">
        <v>550</v>
      </c>
      <c r="AA316" s="67">
        <f t="shared" ref="AA316:AT316" si="393">IF($J204,SUMIF($AV$229:$AV$332,$Y316,AW$229:AW$332)*AA$227*$D204/$J204,0)</f>
        <v>0</v>
      </c>
      <c r="AB316" s="67">
        <f t="shared" si="393"/>
        <v>0</v>
      </c>
      <c r="AC316" s="67">
        <f t="shared" si="393"/>
        <v>0</v>
      </c>
      <c r="AD316" s="67">
        <f t="shared" si="393"/>
        <v>0</v>
      </c>
      <c r="AE316" s="67">
        <f t="shared" si="393"/>
        <v>0</v>
      </c>
      <c r="AF316" s="76">
        <f t="shared" si="393"/>
        <v>0</v>
      </c>
      <c r="AG316" s="67">
        <f t="shared" si="393"/>
        <v>0</v>
      </c>
      <c r="AH316" s="67">
        <f t="shared" si="393"/>
        <v>0</v>
      </c>
      <c r="AI316" s="67">
        <f t="shared" si="393"/>
        <v>0</v>
      </c>
      <c r="AJ316" s="68">
        <f t="shared" si="393"/>
        <v>0</v>
      </c>
      <c r="AK316" s="67">
        <f t="shared" si="393"/>
        <v>0</v>
      </c>
      <c r="AL316" s="67">
        <f t="shared" si="393"/>
        <v>0</v>
      </c>
      <c r="AM316" s="67">
        <f t="shared" si="393"/>
        <v>0</v>
      </c>
      <c r="AN316" s="67">
        <f t="shared" si="393"/>
        <v>0</v>
      </c>
      <c r="AO316" s="67">
        <f t="shared" si="393"/>
        <v>0</v>
      </c>
      <c r="AP316" s="76">
        <f t="shared" si="393"/>
        <v>0</v>
      </c>
      <c r="AQ316" s="67">
        <f t="shared" si="393"/>
        <v>0</v>
      </c>
      <c r="AR316" s="67">
        <f t="shared" si="393"/>
        <v>0</v>
      </c>
      <c r="AS316" s="67">
        <f t="shared" si="393"/>
        <v>0</v>
      </c>
      <c r="AT316" s="68">
        <f t="shared" si="393"/>
        <v>0</v>
      </c>
      <c r="AU316" s="2"/>
      <c r="AV316" s="104" t="s">
        <v>550</v>
      </c>
      <c r="AW316" s="94"/>
      <c r="AX316" s="94"/>
      <c r="AY316" s="94"/>
      <c r="AZ316" s="94"/>
      <c r="BA316" s="94"/>
      <c r="BB316" s="106"/>
      <c r="BC316" s="94"/>
      <c r="BD316" s="94"/>
      <c r="BE316" s="94"/>
      <c r="BF316" s="95"/>
      <c r="BG316" s="94"/>
      <c r="BH316" s="94"/>
      <c r="BI316" s="94"/>
      <c r="BJ316" s="94"/>
      <c r="BK316" s="94"/>
      <c r="BL316" s="106"/>
      <c r="BM316" s="94"/>
      <c r="BN316" s="94"/>
      <c r="BO316" s="94"/>
      <c r="BP316" s="95"/>
      <c r="BQ316" s="2"/>
      <c r="BR316" s="2"/>
      <c r="BS316" s="2"/>
    </row>
    <row r="317" spans="1:71" x14ac:dyDescent="0.35">
      <c r="A317" s="2"/>
      <c r="B317" s="2"/>
      <c r="C317" s="42" t="s">
        <v>551</v>
      </c>
      <c r="D317" s="109">
        <f t="shared" si="369"/>
        <v>0</v>
      </c>
      <c r="E317" s="109">
        <f t="shared" si="349"/>
        <v>0</v>
      </c>
      <c r="F317" s="109">
        <f t="shared" si="350"/>
        <v>0</v>
      </c>
      <c r="G317" s="109">
        <f t="shared" si="351"/>
        <v>0</v>
      </c>
      <c r="H317" s="109">
        <f t="shared" si="352"/>
        <v>0</v>
      </c>
      <c r="I317" s="110">
        <f t="shared" si="353"/>
        <v>0</v>
      </c>
      <c r="J317" s="109">
        <f t="shared" si="354"/>
        <v>0</v>
      </c>
      <c r="K317" s="109">
        <f t="shared" si="355"/>
        <v>0</v>
      </c>
      <c r="L317" s="109">
        <f t="shared" si="356"/>
        <v>0</v>
      </c>
      <c r="M317" s="111">
        <f t="shared" si="357"/>
        <v>0</v>
      </c>
      <c r="N317" s="109">
        <f t="shared" si="358"/>
        <v>0</v>
      </c>
      <c r="O317" s="109">
        <f t="shared" si="359"/>
        <v>0</v>
      </c>
      <c r="P317" s="109">
        <f t="shared" si="360"/>
        <v>0</v>
      </c>
      <c r="Q317" s="109">
        <f t="shared" si="361"/>
        <v>0</v>
      </c>
      <c r="R317" s="109">
        <f t="shared" si="362"/>
        <v>0</v>
      </c>
      <c r="S317" s="110">
        <f t="shared" si="363"/>
        <v>0</v>
      </c>
      <c r="T317" s="109">
        <f t="shared" si="364"/>
        <v>0</v>
      </c>
      <c r="U317" s="109">
        <f t="shared" si="365"/>
        <v>0</v>
      </c>
      <c r="V317" s="109">
        <f t="shared" si="366"/>
        <v>0</v>
      </c>
      <c r="W317" s="111">
        <f t="shared" si="367"/>
        <v>0</v>
      </c>
      <c r="X317" s="115">
        <f t="shared" si="370"/>
        <v>0</v>
      </c>
      <c r="Y317" s="38" t="s">
        <v>551</v>
      </c>
      <c r="Z317" s="42" t="s">
        <v>551</v>
      </c>
      <c r="AA317" s="67">
        <f t="shared" ref="AA317:AT317" si="394">IF($J205,SUMIF($AV$229:$AV$332,$Y317,AW$229:AW$332)*AA$227*$D205/$J205,0)</f>
        <v>0</v>
      </c>
      <c r="AB317" s="67">
        <f t="shared" si="394"/>
        <v>0</v>
      </c>
      <c r="AC317" s="67">
        <f t="shared" si="394"/>
        <v>0</v>
      </c>
      <c r="AD317" s="67">
        <f t="shared" si="394"/>
        <v>0</v>
      </c>
      <c r="AE317" s="67">
        <f t="shared" si="394"/>
        <v>0</v>
      </c>
      <c r="AF317" s="76">
        <f t="shared" si="394"/>
        <v>0</v>
      </c>
      <c r="AG317" s="67">
        <f t="shared" si="394"/>
        <v>0</v>
      </c>
      <c r="AH317" s="67">
        <f t="shared" si="394"/>
        <v>0</v>
      </c>
      <c r="AI317" s="67">
        <f t="shared" si="394"/>
        <v>0</v>
      </c>
      <c r="AJ317" s="68">
        <f t="shared" si="394"/>
        <v>0</v>
      </c>
      <c r="AK317" s="67">
        <f t="shared" si="394"/>
        <v>0</v>
      </c>
      <c r="AL317" s="67">
        <f t="shared" si="394"/>
        <v>0</v>
      </c>
      <c r="AM317" s="67">
        <f t="shared" si="394"/>
        <v>0</v>
      </c>
      <c r="AN317" s="67">
        <f t="shared" si="394"/>
        <v>0</v>
      </c>
      <c r="AO317" s="67">
        <f t="shared" si="394"/>
        <v>0</v>
      </c>
      <c r="AP317" s="76">
        <f t="shared" si="394"/>
        <v>0</v>
      </c>
      <c r="AQ317" s="67">
        <f t="shared" si="394"/>
        <v>0</v>
      </c>
      <c r="AR317" s="67">
        <f t="shared" si="394"/>
        <v>0</v>
      </c>
      <c r="AS317" s="67">
        <f t="shared" si="394"/>
        <v>0</v>
      </c>
      <c r="AT317" s="68">
        <f t="shared" si="394"/>
        <v>0</v>
      </c>
      <c r="AU317" s="2"/>
      <c r="AV317" s="104" t="s">
        <v>551</v>
      </c>
      <c r="AW317" s="94">
        <v>0</v>
      </c>
      <c r="AX317" s="94">
        <v>0</v>
      </c>
      <c r="AY317" s="94">
        <v>0</v>
      </c>
      <c r="AZ317" s="94">
        <v>0</v>
      </c>
      <c r="BA317" s="94">
        <v>0</v>
      </c>
      <c r="BB317" s="106">
        <v>0</v>
      </c>
      <c r="BC317" s="94">
        <v>0</v>
      </c>
      <c r="BD317" s="94">
        <v>0</v>
      </c>
      <c r="BE317" s="94">
        <v>0</v>
      </c>
      <c r="BF317" s="95">
        <v>0</v>
      </c>
      <c r="BG317" s="94">
        <v>0</v>
      </c>
      <c r="BH317" s="94">
        <v>0</v>
      </c>
      <c r="BI317" s="94">
        <v>0</v>
      </c>
      <c r="BJ317" s="94">
        <v>0</v>
      </c>
      <c r="BK317" s="94">
        <v>0</v>
      </c>
      <c r="BL317" s="106">
        <v>0</v>
      </c>
      <c r="BM317" s="94">
        <v>0</v>
      </c>
      <c r="BN317" s="94">
        <v>0</v>
      </c>
      <c r="BO317" s="94">
        <v>0</v>
      </c>
      <c r="BP317" s="95">
        <v>0</v>
      </c>
      <c r="BQ317" s="2"/>
      <c r="BR317" s="2"/>
      <c r="BS317" s="2"/>
    </row>
    <row r="318" spans="1:71" x14ac:dyDescent="0.35">
      <c r="A318" s="2"/>
      <c r="B318" s="2"/>
      <c r="C318" s="42" t="s">
        <v>510</v>
      </c>
      <c r="D318" s="109">
        <f t="shared" si="369"/>
        <v>0</v>
      </c>
      <c r="E318" s="109">
        <f t="shared" si="349"/>
        <v>0</v>
      </c>
      <c r="F318" s="109">
        <f t="shared" si="350"/>
        <v>0</v>
      </c>
      <c r="G318" s="109">
        <f t="shared" si="351"/>
        <v>0</v>
      </c>
      <c r="H318" s="109">
        <f t="shared" si="352"/>
        <v>0</v>
      </c>
      <c r="I318" s="110">
        <f t="shared" si="353"/>
        <v>0</v>
      </c>
      <c r="J318" s="109">
        <f t="shared" si="354"/>
        <v>0</v>
      </c>
      <c r="K318" s="109">
        <f t="shared" si="355"/>
        <v>0</v>
      </c>
      <c r="L318" s="109">
        <f t="shared" si="356"/>
        <v>0</v>
      </c>
      <c r="M318" s="111">
        <f t="shared" si="357"/>
        <v>0</v>
      </c>
      <c r="N318" s="109">
        <f t="shared" si="358"/>
        <v>0</v>
      </c>
      <c r="O318" s="109">
        <f t="shared" si="359"/>
        <v>0</v>
      </c>
      <c r="P318" s="109">
        <f t="shared" si="360"/>
        <v>0</v>
      </c>
      <c r="Q318" s="109">
        <f t="shared" si="361"/>
        <v>0</v>
      </c>
      <c r="R318" s="109">
        <f t="shared" si="362"/>
        <v>0</v>
      </c>
      <c r="S318" s="110">
        <f t="shared" si="363"/>
        <v>0</v>
      </c>
      <c r="T318" s="109">
        <f t="shared" si="364"/>
        <v>0</v>
      </c>
      <c r="U318" s="109">
        <f t="shared" si="365"/>
        <v>0</v>
      </c>
      <c r="V318" s="109">
        <f t="shared" si="366"/>
        <v>0</v>
      </c>
      <c r="W318" s="111">
        <f t="shared" si="367"/>
        <v>0</v>
      </c>
      <c r="X318" s="115">
        <f t="shared" si="370"/>
        <v>0</v>
      </c>
      <c r="Y318" s="38" t="s">
        <v>510</v>
      </c>
      <c r="Z318" s="42" t="s">
        <v>510</v>
      </c>
      <c r="AA318" s="67">
        <f t="shared" ref="AA318:AT318" si="395">IF($J206,SUMIF($AV$229:$AV$332,$Y318,AW$229:AW$332)*AA$227*$D206/$J206,0)</f>
        <v>0</v>
      </c>
      <c r="AB318" s="67">
        <f t="shared" si="395"/>
        <v>0</v>
      </c>
      <c r="AC318" s="67">
        <f t="shared" si="395"/>
        <v>0</v>
      </c>
      <c r="AD318" s="67">
        <f t="shared" si="395"/>
        <v>0</v>
      </c>
      <c r="AE318" s="67">
        <f t="shared" si="395"/>
        <v>0</v>
      </c>
      <c r="AF318" s="76">
        <f t="shared" si="395"/>
        <v>0</v>
      </c>
      <c r="AG318" s="67">
        <f t="shared" si="395"/>
        <v>0</v>
      </c>
      <c r="AH318" s="67">
        <f t="shared" si="395"/>
        <v>0</v>
      </c>
      <c r="AI318" s="67">
        <f t="shared" si="395"/>
        <v>0</v>
      </c>
      <c r="AJ318" s="68">
        <f t="shared" si="395"/>
        <v>0</v>
      </c>
      <c r="AK318" s="67">
        <f t="shared" si="395"/>
        <v>0</v>
      </c>
      <c r="AL318" s="67">
        <f t="shared" si="395"/>
        <v>0</v>
      </c>
      <c r="AM318" s="67">
        <f t="shared" si="395"/>
        <v>0</v>
      </c>
      <c r="AN318" s="67">
        <f t="shared" si="395"/>
        <v>0</v>
      </c>
      <c r="AO318" s="67">
        <f t="shared" si="395"/>
        <v>0</v>
      </c>
      <c r="AP318" s="76">
        <f t="shared" si="395"/>
        <v>0</v>
      </c>
      <c r="AQ318" s="67">
        <f t="shared" si="395"/>
        <v>0</v>
      </c>
      <c r="AR318" s="67">
        <f t="shared" si="395"/>
        <v>0</v>
      </c>
      <c r="AS318" s="67">
        <f t="shared" si="395"/>
        <v>0</v>
      </c>
      <c r="AT318" s="68">
        <f t="shared" si="395"/>
        <v>0</v>
      </c>
      <c r="AU318" s="2"/>
      <c r="AV318" s="104" t="s">
        <v>510</v>
      </c>
      <c r="AW318" s="94"/>
      <c r="AX318" s="94"/>
      <c r="AY318" s="94"/>
      <c r="AZ318" s="94"/>
      <c r="BA318" s="94"/>
      <c r="BB318" s="106"/>
      <c r="BC318" s="94"/>
      <c r="BD318" s="94"/>
      <c r="BE318" s="94"/>
      <c r="BF318" s="95"/>
      <c r="BG318" s="94"/>
      <c r="BH318" s="94"/>
      <c r="BI318" s="94"/>
      <c r="BJ318" s="94"/>
      <c r="BK318" s="94"/>
      <c r="BL318" s="106"/>
      <c r="BM318" s="94"/>
      <c r="BN318" s="94"/>
      <c r="BO318" s="94"/>
      <c r="BP318" s="95"/>
      <c r="BQ318" s="2"/>
      <c r="BR318" s="2"/>
      <c r="BS318" s="2"/>
    </row>
    <row r="319" spans="1:71" x14ac:dyDescent="0.35">
      <c r="A319" s="2"/>
      <c r="B319" s="2"/>
      <c r="C319" s="42" t="s">
        <v>552</v>
      </c>
      <c r="D319" s="109">
        <f t="shared" si="369"/>
        <v>0</v>
      </c>
      <c r="E319" s="109">
        <f t="shared" si="349"/>
        <v>0</v>
      </c>
      <c r="F319" s="109">
        <f t="shared" si="350"/>
        <v>0</v>
      </c>
      <c r="G319" s="109">
        <f t="shared" si="351"/>
        <v>0</v>
      </c>
      <c r="H319" s="109">
        <f t="shared" si="352"/>
        <v>0</v>
      </c>
      <c r="I319" s="110">
        <f t="shared" si="353"/>
        <v>0</v>
      </c>
      <c r="J319" s="109">
        <f t="shared" si="354"/>
        <v>0</v>
      </c>
      <c r="K319" s="109">
        <f t="shared" si="355"/>
        <v>0</v>
      </c>
      <c r="L319" s="109">
        <f t="shared" si="356"/>
        <v>0</v>
      </c>
      <c r="M319" s="111">
        <f t="shared" si="357"/>
        <v>0</v>
      </c>
      <c r="N319" s="109">
        <f t="shared" si="358"/>
        <v>0</v>
      </c>
      <c r="O319" s="109">
        <f t="shared" si="359"/>
        <v>0</v>
      </c>
      <c r="P319" s="109">
        <f t="shared" si="360"/>
        <v>0</v>
      </c>
      <c r="Q319" s="109">
        <f t="shared" si="361"/>
        <v>0</v>
      </c>
      <c r="R319" s="109">
        <f t="shared" si="362"/>
        <v>0</v>
      </c>
      <c r="S319" s="110">
        <f t="shared" si="363"/>
        <v>0</v>
      </c>
      <c r="T319" s="109">
        <f t="shared" si="364"/>
        <v>0</v>
      </c>
      <c r="U319" s="109">
        <f t="shared" si="365"/>
        <v>0</v>
      </c>
      <c r="V319" s="109">
        <f t="shared" si="366"/>
        <v>0</v>
      </c>
      <c r="W319" s="111">
        <f t="shared" si="367"/>
        <v>0</v>
      </c>
      <c r="X319" s="115">
        <f t="shared" si="370"/>
        <v>0</v>
      </c>
      <c r="Y319" s="38" t="s">
        <v>552</v>
      </c>
      <c r="Z319" s="42" t="s">
        <v>552</v>
      </c>
      <c r="AA319" s="67">
        <f t="shared" ref="AA319:AT319" si="396">IF($J207,SUMIF($AV$229:$AV$332,$Y319,AW$229:AW$332)*AA$227*$D207/$J207,0)</f>
        <v>0</v>
      </c>
      <c r="AB319" s="67">
        <f t="shared" si="396"/>
        <v>0</v>
      </c>
      <c r="AC319" s="67">
        <f t="shared" si="396"/>
        <v>0</v>
      </c>
      <c r="AD319" s="67">
        <f t="shared" si="396"/>
        <v>0</v>
      </c>
      <c r="AE319" s="67">
        <f t="shared" si="396"/>
        <v>0</v>
      </c>
      <c r="AF319" s="76">
        <f t="shared" si="396"/>
        <v>0</v>
      </c>
      <c r="AG319" s="67">
        <f t="shared" si="396"/>
        <v>0</v>
      </c>
      <c r="AH319" s="67">
        <f t="shared" si="396"/>
        <v>0</v>
      </c>
      <c r="AI319" s="67">
        <f t="shared" si="396"/>
        <v>0</v>
      </c>
      <c r="AJ319" s="68">
        <f t="shared" si="396"/>
        <v>0</v>
      </c>
      <c r="AK319" s="67">
        <f t="shared" si="396"/>
        <v>0</v>
      </c>
      <c r="AL319" s="67">
        <f t="shared" si="396"/>
        <v>0</v>
      </c>
      <c r="AM319" s="67">
        <f t="shared" si="396"/>
        <v>0</v>
      </c>
      <c r="AN319" s="67">
        <f t="shared" si="396"/>
        <v>0</v>
      </c>
      <c r="AO319" s="67">
        <f t="shared" si="396"/>
        <v>0</v>
      </c>
      <c r="AP319" s="76">
        <f t="shared" si="396"/>
        <v>0</v>
      </c>
      <c r="AQ319" s="67">
        <f t="shared" si="396"/>
        <v>0</v>
      </c>
      <c r="AR319" s="67">
        <f t="shared" si="396"/>
        <v>0</v>
      </c>
      <c r="AS319" s="67">
        <f t="shared" si="396"/>
        <v>0</v>
      </c>
      <c r="AT319" s="68">
        <f t="shared" si="396"/>
        <v>0</v>
      </c>
      <c r="AU319" s="2"/>
      <c r="AV319" s="104" t="s">
        <v>552</v>
      </c>
      <c r="AW319" s="94"/>
      <c r="AX319" s="94"/>
      <c r="AY319" s="94"/>
      <c r="AZ319" s="94"/>
      <c r="BA319" s="94"/>
      <c r="BB319" s="106"/>
      <c r="BC319" s="94"/>
      <c r="BD319" s="94"/>
      <c r="BE319" s="94"/>
      <c r="BF319" s="95"/>
      <c r="BG319" s="94"/>
      <c r="BH319" s="94"/>
      <c r="BI319" s="94"/>
      <c r="BJ319" s="94"/>
      <c r="BK319" s="94"/>
      <c r="BL319" s="106"/>
      <c r="BM319" s="94"/>
      <c r="BN319" s="94"/>
      <c r="BO319" s="94"/>
      <c r="BP319" s="95"/>
      <c r="BQ319" s="2"/>
      <c r="BR319" s="2"/>
      <c r="BS319" s="2"/>
    </row>
    <row r="320" spans="1:71" x14ac:dyDescent="0.35">
      <c r="A320" s="2"/>
      <c r="B320" s="2"/>
      <c r="C320" s="42" t="s">
        <v>553</v>
      </c>
      <c r="D320" s="109">
        <f t="shared" si="369"/>
        <v>0</v>
      </c>
      <c r="E320" s="109">
        <f t="shared" si="349"/>
        <v>0</v>
      </c>
      <c r="F320" s="109">
        <f t="shared" si="350"/>
        <v>0</v>
      </c>
      <c r="G320" s="109">
        <f t="shared" si="351"/>
        <v>0</v>
      </c>
      <c r="H320" s="109">
        <f t="shared" si="352"/>
        <v>0</v>
      </c>
      <c r="I320" s="110">
        <f t="shared" si="353"/>
        <v>0</v>
      </c>
      <c r="J320" s="109">
        <f t="shared" si="354"/>
        <v>0</v>
      </c>
      <c r="K320" s="109">
        <f t="shared" si="355"/>
        <v>0</v>
      </c>
      <c r="L320" s="109">
        <f t="shared" si="356"/>
        <v>0</v>
      </c>
      <c r="M320" s="111">
        <f t="shared" si="357"/>
        <v>0</v>
      </c>
      <c r="N320" s="109">
        <f t="shared" si="358"/>
        <v>0</v>
      </c>
      <c r="O320" s="109">
        <f t="shared" si="359"/>
        <v>0</v>
      </c>
      <c r="P320" s="109">
        <f t="shared" si="360"/>
        <v>0</v>
      </c>
      <c r="Q320" s="109">
        <f t="shared" si="361"/>
        <v>0</v>
      </c>
      <c r="R320" s="109">
        <f t="shared" si="362"/>
        <v>0</v>
      </c>
      <c r="S320" s="110">
        <f t="shared" si="363"/>
        <v>0</v>
      </c>
      <c r="T320" s="109">
        <f t="shared" si="364"/>
        <v>0</v>
      </c>
      <c r="U320" s="109">
        <f t="shared" si="365"/>
        <v>0</v>
      </c>
      <c r="V320" s="109">
        <f t="shared" si="366"/>
        <v>0</v>
      </c>
      <c r="W320" s="111">
        <f t="shared" si="367"/>
        <v>0</v>
      </c>
      <c r="X320" s="115">
        <f t="shared" si="370"/>
        <v>0</v>
      </c>
      <c r="Y320" s="38" t="s">
        <v>553</v>
      </c>
      <c r="Z320" s="42" t="s">
        <v>553</v>
      </c>
      <c r="AA320" s="67">
        <f t="shared" ref="AA320:AT320" si="397">IF($J208,SUMIF($AV$229:$AV$332,$Y320,AW$229:AW$332)*AA$227*$D208/$J208,0)</f>
        <v>0</v>
      </c>
      <c r="AB320" s="67">
        <f t="shared" si="397"/>
        <v>0</v>
      </c>
      <c r="AC320" s="67">
        <f t="shared" si="397"/>
        <v>0</v>
      </c>
      <c r="AD320" s="67">
        <f t="shared" si="397"/>
        <v>0</v>
      </c>
      <c r="AE320" s="67">
        <f t="shared" si="397"/>
        <v>0</v>
      </c>
      <c r="AF320" s="76">
        <f t="shared" si="397"/>
        <v>0</v>
      </c>
      <c r="AG320" s="67">
        <f t="shared" si="397"/>
        <v>0</v>
      </c>
      <c r="AH320" s="67">
        <f t="shared" si="397"/>
        <v>0</v>
      </c>
      <c r="AI320" s="67">
        <f t="shared" si="397"/>
        <v>0</v>
      </c>
      <c r="AJ320" s="68">
        <f t="shared" si="397"/>
        <v>0</v>
      </c>
      <c r="AK320" s="67">
        <f t="shared" si="397"/>
        <v>0</v>
      </c>
      <c r="AL320" s="67">
        <f t="shared" si="397"/>
        <v>0</v>
      </c>
      <c r="AM320" s="67">
        <f t="shared" si="397"/>
        <v>0</v>
      </c>
      <c r="AN320" s="67">
        <f t="shared" si="397"/>
        <v>0</v>
      </c>
      <c r="AO320" s="67">
        <f t="shared" si="397"/>
        <v>0</v>
      </c>
      <c r="AP320" s="76">
        <f t="shared" si="397"/>
        <v>0</v>
      </c>
      <c r="AQ320" s="67">
        <f t="shared" si="397"/>
        <v>0</v>
      </c>
      <c r="AR320" s="67">
        <f t="shared" si="397"/>
        <v>0</v>
      </c>
      <c r="AS320" s="67">
        <f t="shared" si="397"/>
        <v>0</v>
      </c>
      <c r="AT320" s="68">
        <f t="shared" si="397"/>
        <v>0</v>
      </c>
      <c r="AU320" s="2"/>
      <c r="AV320" s="104" t="s">
        <v>553</v>
      </c>
      <c r="AW320" s="94"/>
      <c r="AX320" s="94"/>
      <c r="AY320" s="94"/>
      <c r="AZ320" s="94"/>
      <c r="BA320" s="94"/>
      <c r="BB320" s="106"/>
      <c r="BC320" s="94"/>
      <c r="BD320" s="94"/>
      <c r="BE320" s="94"/>
      <c r="BF320" s="95"/>
      <c r="BG320" s="94"/>
      <c r="BH320" s="94"/>
      <c r="BI320" s="94"/>
      <c r="BJ320" s="94"/>
      <c r="BK320" s="94"/>
      <c r="BL320" s="106"/>
      <c r="BM320" s="94"/>
      <c r="BN320" s="94"/>
      <c r="BO320" s="94"/>
      <c r="BP320" s="95"/>
      <c r="BQ320" s="2"/>
      <c r="BR320" s="2"/>
      <c r="BS320" s="2"/>
    </row>
    <row r="321" spans="1:71" x14ac:dyDescent="0.35">
      <c r="A321" s="2"/>
      <c r="B321" s="2"/>
      <c r="C321" s="42" t="s">
        <v>554</v>
      </c>
      <c r="D321" s="109">
        <f t="shared" si="369"/>
        <v>0</v>
      </c>
      <c r="E321" s="109">
        <f t="shared" si="349"/>
        <v>0</v>
      </c>
      <c r="F321" s="109">
        <f t="shared" si="350"/>
        <v>0</v>
      </c>
      <c r="G321" s="109">
        <f t="shared" si="351"/>
        <v>0</v>
      </c>
      <c r="H321" s="109">
        <f t="shared" si="352"/>
        <v>0</v>
      </c>
      <c r="I321" s="110">
        <f t="shared" si="353"/>
        <v>0</v>
      </c>
      <c r="J321" s="109">
        <f t="shared" si="354"/>
        <v>0</v>
      </c>
      <c r="K321" s="109">
        <f t="shared" si="355"/>
        <v>0</v>
      </c>
      <c r="L321" s="109">
        <f t="shared" si="356"/>
        <v>0</v>
      </c>
      <c r="M321" s="111">
        <f t="shared" si="357"/>
        <v>0</v>
      </c>
      <c r="N321" s="109">
        <f t="shared" si="358"/>
        <v>0</v>
      </c>
      <c r="O321" s="109">
        <f t="shared" si="359"/>
        <v>0</v>
      </c>
      <c r="P321" s="109">
        <f t="shared" si="360"/>
        <v>0</v>
      </c>
      <c r="Q321" s="109">
        <f t="shared" si="361"/>
        <v>0</v>
      </c>
      <c r="R321" s="109">
        <f t="shared" si="362"/>
        <v>0</v>
      </c>
      <c r="S321" s="110">
        <f t="shared" si="363"/>
        <v>0</v>
      </c>
      <c r="T321" s="109">
        <f t="shared" si="364"/>
        <v>0</v>
      </c>
      <c r="U321" s="109">
        <f t="shared" si="365"/>
        <v>0</v>
      </c>
      <c r="V321" s="109">
        <f t="shared" si="366"/>
        <v>0</v>
      </c>
      <c r="W321" s="111">
        <f t="shared" si="367"/>
        <v>0</v>
      </c>
      <c r="X321" s="115">
        <f t="shared" si="370"/>
        <v>0</v>
      </c>
      <c r="Y321" s="38" t="s">
        <v>554</v>
      </c>
      <c r="Z321" s="42" t="s">
        <v>554</v>
      </c>
      <c r="AA321" s="67">
        <f t="shared" ref="AA321:AT321" si="398">IF($J209,SUMIF($AV$229:$AV$332,$Y321,AW$229:AW$332)*AA$227*$D209/$J209,0)</f>
        <v>0</v>
      </c>
      <c r="AB321" s="67">
        <f t="shared" si="398"/>
        <v>0</v>
      </c>
      <c r="AC321" s="67">
        <f t="shared" si="398"/>
        <v>0</v>
      </c>
      <c r="AD321" s="67">
        <f t="shared" si="398"/>
        <v>0</v>
      </c>
      <c r="AE321" s="67">
        <f t="shared" si="398"/>
        <v>0</v>
      </c>
      <c r="AF321" s="76">
        <f t="shared" si="398"/>
        <v>0</v>
      </c>
      <c r="AG321" s="67">
        <f t="shared" si="398"/>
        <v>0</v>
      </c>
      <c r="AH321" s="67">
        <f t="shared" si="398"/>
        <v>0</v>
      </c>
      <c r="AI321" s="67">
        <f t="shared" si="398"/>
        <v>0</v>
      </c>
      <c r="AJ321" s="68">
        <f t="shared" si="398"/>
        <v>0</v>
      </c>
      <c r="AK321" s="67">
        <f t="shared" si="398"/>
        <v>0</v>
      </c>
      <c r="AL321" s="67">
        <f t="shared" si="398"/>
        <v>0</v>
      </c>
      <c r="AM321" s="67">
        <f t="shared" si="398"/>
        <v>0</v>
      </c>
      <c r="AN321" s="67">
        <f t="shared" si="398"/>
        <v>0</v>
      </c>
      <c r="AO321" s="67">
        <f t="shared" si="398"/>
        <v>0</v>
      </c>
      <c r="AP321" s="76">
        <f t="shared" si="398"/>
        <v>0</v>
      </c>
      <c r="AQ321" s="67">
        <f t="shared" si="398"/>
        <v>0</v>
      </c>
      <c r="AR321" s="67">
        <f t="shared" si="398"/>
        <v>0</v>
      </c>
      <c r="AS321" s="67">
        <f t="shared" si="398"/>
        <v>0</v>
      </c>
      <c r="AT321" s="68">
        <f t="shared" si="398"/>
        <v>0</v>
      </c>
      <c r="AU321" s="2"/>
      <c r="AV321" s="104" t="s">
        <v>554</v>
      </c>
      <c r="AW321" s="94">
        <v>0</v>
      </c>
      <c r="AX321" s="94">
        <v>0</v>
      </c>
      <c r="AY321" s="94">
        <v>0</v>
      </c>
      <c r="AZ321" s="94">
        <v>0</v>
      </c>
      <c r="BA321" s="94">
        <v>0</v>
      </c>
      <c r="BB321" s="106">
        <v>0</v>
      </c>
      <c r="BC321" s="94">
        <v>0</v>
      </c>
      <c r="BD321" s="94">
        <v>0</v>
      </c>
      <c r="BE321" s="94">
        <v>0</v>
      </c>
      <c r="BF321" s="95">
        <v>0</v>
      </c>
      <c r="BG321" s="94">
        <v>0</v>
      </c>
      <c r="BH321" s="94">
        <v>0</v>
      </c>
      <c r="BI321" s="94">
        <v>0</v>
      </c>
      <c r="BJ321" s="94">
        <v>0</v>
      </c>
      <c r="BK321" s="94">
        <v>0</v>
      </c>
      <c r="BL321" s="106">
        <v>0</v>
      </c>
      <c r="BM321" s="94">
        <v>0</v>
      </c>
      <c r="BN321" s="94">
        <v>0</v>
      </c>
      <c r="BO321" s="94">
        <v>0</v>
      </c>
      <c r="BP321" s="95">
        <v>0</v>
      </c>
      <c r="BQ321" s="2"/>
      <c r="BR321" s="2"/>
      <c r="BS321" s="2"/>
    </row>
    <row r="322" spans="1:71" x14ac:dyDescent="0.35">
      <c r="A322" s="2"/>
      <c r="B322" s="2"/>
      <c r="C322" s="42" t="s">
        <v>555</v>
      </c>
      <c r="D322" s="109">
        <f t="shared" si="369"/>
        <v>0</v>
      </c>
      <c r="E322" s="109">
        <f t="shared" si="349"/>
        <v>0</v>
      </c>
      <c r="F322" s="109">
        <f t="shared" si="350"/>
        <v>0</v>
      </c>
      <c r="G322" s="109">
        <f t="shared" si="351"/>
        <v>0</v>
      </c>
      <c r="H322" s="109">
        <f t="shared" si="352"/>
        <v>0</v>
      </c>
      <c r="I322" s="110">
        <f t="shared" si="353"/>
        <v>0</v>
      </c>
      <c r="J322" s="109">
        <f t="shared" si="354"/>
        <v>0</v>
      </c>
      <c r="K322" s="109">
        <f t="shared" si="355"/>
        <v>0</v>
      </c>
      <c r="L322" s="109">
        <f t="shared" si="356"/>
        <v>0</v>
      </c>
      <c r="M322" s="111">
        <f t="shared" si="357"/>
        <v>0</v>
      </c>
      <c r="N322" s="109">
        <f t="shared" si="358"/>
        <v>0</v>
      </c>
      <c r="O322" s="109">
        <f t="shared" si="359"/>
        <v>0</v>
      </c>
      <c r="P322" s="109">
        <f t="shared" si="360"/>
        <v>0</v>
      </c>
      <c r="Q322" s="109">
        <f t="shared" si="361"/>
        <v>0</v>
      </c>
      <c r="R322" s="109">
        <f t="shared" si="362"/>
        <v>0</v>
      </c>
      <c r="S322" s="110">
        <f t="shared" si="363"/>
        <v>0</v>
      </c>
      <c r="T322" s="109">
        <f t="shared" si="364"/>
        <v>0</v>
      </c>
      <c r="U322" s="109">
        <f t="shared" si="365"/>
        <v>0</v>
      </c>
      <c r="V322" s="109">
        <f t="shared" si="366"/>
        <v>0</v>
      </c>
      <c r="W322" s="111">
        <f t="shared" si="367"/>
        <v>0</v>
      </c>
      <c r="X322" s="115">
        <f t="shared" si="370"/>
        <v>0</v>
      </c>
      <c r="Y322" s="38" t="s">
        <v>555</v>
      </c>
      <c r="Z322" s="42" t="s">
        <v>555</v>
      </c>
      <c r="AA322" s="67">
        <f t="shared" ref="AA322:AT322" si="399">IF($J210,SUMIF($AV$229:$AV$332,$Y322,AW$229:AW$332)*AA$227*$D210/$J210,0)</f>
        <v>0</v>
      </c>
      <c r="AB322" s="67">
        <f t="shared" si="399"/>
        <v>0</v>
      </c>
      <c r="AC322" s="67">
        <f t="shared" si="399"/>
        <v>0</v>
      </c>
      <c r="AD322" s="67">
        <f t="shared" si="399"/>
        <v>0</v>
      </c>
      <c r="AE322" s="67">
        <f t="shared" si="399"/>
        <v>0</v>
      </c>
      <c r="AF322" s="76">
        <f t="shared" si="399"/>
        <v>0</v>
      </c>
      <c r="AG322" s="67">
        <f t="shared" si="399"/>
        <v>0</v>
      </c>
      <c r="AH322" s="67">
        <f t="shared" si="399"/>
        <v>0</v>
      </c>
      <c r="AI322" s="67">
        <f t="shared" si="399"/>
        <v>0</v>
      </c>
      <c r="AJ322" s="68">
        <f t="shared" si="399"/>
        <v>0</v>
      </c>
      <c r="AK322" s="67">
        <f t="shared" si="399"/>
        <v>0</v>
      </c>
      <c r="AL322" s="67">
        <f t="shared" si="399"/>
        <v>0</v>
      </c>
      <c r="AM322" s="67">
        <f t="shared" si="399"/>
        <v>0</v>
      </c>
      <c r="AN322" s="67">
        <f t="shared" si="399"/>
        <v>0</v>
      </c>
      <c r="AO322" s="67">
        <f t="shared" si="399"/>
        <v>0</v>
      </c>
      <c r="AP322" s="76">
        <f t="shared" si="399"/>
        <v>0</v>
      </c>
      <c r="AQ322" s="67">
        <f t="shared" si="399"/>
        <v>0</v>
      </c>
      <c r="AR322" s="67">
        <f t="shared" si="399"/>
        <v>0</v>
      </c>
      <c r="AS322" s="67">
        <f t="shared" si="399"/>
        <v>0</v>
      </c>
      <c r="AT322" s="68">
        <f t="shared" si="399"/>
        <v>0</v>
      </c>
      <c r="AU322" s="2"/>
      <c r="AV322" s="104" t="s">
        <v>555</v>
      </c>
      <c r="AW322" s="94"/>
      <c r="AX322" s="94"/>
      <c r="AY322" s="94"/>
      <c r="AZ322" s="94"/>
      <c r="BA322" s="94"/>
      <c r="BB322" s="106"/>
      <c r="BC322" s="94"/>
      <c r="BD322" s="94"/>
      <c r="BE322" s="94"/>
      <c r="BF322" s="95"/>
      <c r="BG322" s="94"/>
      <c r="BH322" s="94"/>
      <c r="BI322" s="94"/>
      <c r="BJ322" s="94"/>
      <c r="BK322" s="94"/>
      <c r="BL322" s="106"/>
      <c r="BM322" s="94"/>
      <c r="BN322" s="94"/>
      <c r="BO322" s="94"/>
      <c r="BP322" s="95"/>
      <c r="BQ322" s="2"/>
      <c r="BR322" s="2"/>
      <c r="BS322" s="2"/>
    </row>
    <row r="323" spans="1:71" x14ac:dyDescent="0.35">
      <c r="A323" s="2"/>
      <c r="B323" s="2"/>
      <c r="C323" s="42" t="s">
        <v>556</v>
      </c>
      <c r="D323" s="109">
        <f t="shared" si="369"/>
        <v>0</v>
      </c>
      <c r="E323" s="109">
        <f t="shared" si="349"/>
        <v>0</v>
      </c>
      <c r="F323" s="109">
        <f t="shared" si="350"/>
        <v>0</v>
      </c>
      <c r="G323" s="109">
        <f t="shared" si="351"/>
        <v>0</v>
      </c>
      <c r="H323" s="109">
        <f t="shared" si="352"/>
        <v>0</v>
      </c>
      <c r="I323" s="110">
        <f t="shared" si="353"/>
        <v>0</v>
      </c>
      <c r="J323" s="109">
        <f t="shared" si="354"/>
        <v>0</v>
      </c>
      <c r="K323" s="109">
        <f t="shared" si="355"/>
        <v>0</v>
      </c>
      <c r="L323" s="109">
        <f t="shared" si="356"/>
        <v>0</v>
      </c>
      <c r="M323" s="111">
        <f t="shared" si="357"/>
        <v>0</v>
      </c>
      <c r="N323" s="109">
        <f t="shared" si="358"/>
        <v>0</v>
      </c>
      <c r="O323" s="109">
        <f t="shared" si="359"/>
        <v>0</v>
      </c>
      <c r="P323" s="109">
        <f t="shared" si="360"/>
        <v>0</v>
      </c>
      <c r="Q323" s="109">
        <f t="shared" si="361"/>
        <v>0</v>
      </c>
      <c r="R323" s="109">
        <f t="shared" si="362"/>
        <v>0</v>
      </c>
      <c r="S323" s="110">
        <f t="shared" si="363"/>
        <v>0</v>
      </c>
      <c r="T323" s="109">
        <f t="shared" si="364"/>
        <v>0</v>
      </c>
      <c r="U323" s="109">
        <f t="shared" si="365"/>
        <v>0</v>
      </c>
      <c r="V323" s="109">
        <f t="shared" si="366"/>
        <v>0</v>
      </c>
      <c r="W323" s="111">
        <f t="shared" si="367"/>
        <v>0</v>
      </c>
      <c r="X323" s="115">
        <f t="shared" si="370"/>
        <v>0</v>
      </c>
      <c r="Y323" s="38" t="s">
        <v>556</v>
      </c>
      <c r="Z323" s="42" t="s">
        <v>556</v>
      </c>
      <c r="AA323" s="67">
        <f t="shared" ref="AA323:AT323" si="400">IF($J211,SUMIF($AV$229:$AV$332,$Y323,AW$229:AW$332)*AA$227*$D211/$J211,0)</f>
        <v>0</v>
      </c>
      <c r="AB323" s="67">
        <f t="shared" si="400"/>
        <v>0</v>
      </c>
      <c r="AC323" s="67">
        <f t="shared" si="400"/>
        <v>0</v>
      </c>
      <c r="AD323" s="67">
        <f t="shared" si="400"/>
        <v>0</v>
      </c>
      <c r="AE323" s="67">
        <f t="shared" si="400"/>
        <v>0</v>
      </c>
      <c r="AF323" s="76">
        <f t="shared" si="400"/>
        <v>0</v>
      </c>
      <c r="AG323" s="67">
        <f t="shared" si="400"/>
        <v>0</v>
      </c>
      <c r="AH323" s="67">
        <f t="shared" si="400"/>
        <v>0</v>
      </c>
      <c r="AI323" s="67">
        <f t="shared" si="400"/>
        <v>0</v>
      </c>
      <c r="AJ323" s="68">
        <f t="shared" si="400"/>
        <v>0</v>
      </c>
      <c r="AK323" s="67">
        <f t="shared" si="400"/>
        <v>0</v>
      </c>
      <c r="AL323" s="67">
        <f t="shared" si="400"/>
        <v>0</v>
      </c>
      <c r="AM323" s="67">
        <f t="shared" si="400"/>
        <v>0</v>
      </c>
      <c r="AN323" s="67">
        <f t="shared" si="400"/>
        <v>0</v>
      </c>
      <c r="AO323" s="67">
        <f t="shared" si="400"/>
        <v>0</v>
      </c>
      <c r="AP323" s="76">
        <f t="shared" si="400"/>
        <v>0</v>
      </c>
      <c r="AQ323" s="67">
        <f t="shared" si="400"/>
        <v>0</v>
      </c>
      <c r="AR323" s="67">
        <f t="shared" si="400"/>
        <v>0</v>
      </c>
      <c r="AS323" s="67">
        <f t="shared" si="400"/>
        <v>0</v>
      </c>
      <c r="AT323" s="68">
        <f t="shared" si="400"/>
        <v>0</v>
      </c>
      <c r="AU323" s="2"/>
      <c r="AV323" s="104" t="s">
        <v>556</v>
      </c>
      <c r="AW323" s="94">
        <v>0</v>
      </c>
      <c r="AX323" s="94">
        <v>0</v>
      </c>
      <c r="AY323" s="94">
        <v>0</v>
      </c>
      <c r="AZ323" s="94">
        <v>0</v>
      </c>
      <c r="BA323" s="94">
        <v>0</v>
      </c>
      <c r="BB323" s="106">
        <v>0</v>
      </c>
      <c r="BC323" s="94">
        <v>0</v>
      </c>
      <c r="BD323" s="94">
        <v>0</v>
      </c>
      <c r="BE323" s="94">
        <v>0</v>
      </c>
      <c r="BF323" s="95">
        <v>0</v>
      </c>
      <c r="BG323" s="94">
        <v>0</v>
      </c>
      <c r="BH323" s="94">
        <v>0</v>
      </c>
      <c r="BI323" s="94">
        <v>0</v>
      </c>
      <c r="BJ323" s="94">
        <v>0</v>
      </c>
      <c r="BK323" s="94">
        <v>0</v>
      </c>
      <c r="BL323" s="106">
        <v>0</v>
      </c>
      <c r="BM323" s="94">
        <v>0</v>
      </c>
      <c r="BN323" s="94">
        <v>0</v>
      </c>
      <c r="BO323" s="94">
        <v>0</v>
      </c>
      <c r="BP323" s="95">
        <v>0</v>
      </c>
      <c r="BQ323" s="2"/>
      <c r="BR323" s="2"/>
      <c r="BS323" s="2"/>
    </row>
    <row r="324" spans="1:71" x14ac:dyDescent="0.35">
      <c r="A324" s="2"/>
      <c r="B324" s="2"/>
      <c r="C324" s="42" t="s">
        <v>511</v>
      </c>
      <c r="D324" s="109">
        <f t="shared" si="369"/>
        <v>0</v>
      </c>
      <c r="E324" s="109">
        <f t="shared" si="349"/>
        <v>0</v>
      </c>
      <c r="F324" s="109">
        <f t="shared" si="350"/>
        <v>0</v>
      </c>
      <c r="G324" s="109">
        <f t="shared" si="351"/>
        <v>0</v>
      </c>
      <c r="H324" s="109">
        <f t="shared" si="352"/>
        <v>0</v>
      </c>
      <c r="I324" s="110">
        <f t="shared" si="353"/>
        <v>0</v>
      </c>
      <c r="J324" s="109">
        <f t="shared" si="354"/>
        <v>0</v>
      </c>
      <c r="K324" s="109">
        <f t="shared" si="355"/>
        <v>0</v>
      </c>
      <c r="L324" s="109">
        <f t="shared" si="356"/>
        <v>0</v>
      </c>
      <c r="M324" s="111">
        <f t="shared" si="357"/>
        <v>0</v>
      </c>
      <c r="N324" s="109">
        <f t="shared" si="358"/>
        <v>0</v>
      </c>
      <c r="O324" s="109">
        <f t="shared" si="359"/>
        <v>0</v>
      </c>
      <c r="P324" s="109">
        <f t="shared" si="360"/>
        <v>0</v>
      </c>
      <c r="Q324" s="109">
        <f t="shared" si="361"/>
        <v>0</v>
      </c>
      <c r="R324" s="109">
        <f t="shared" si="362"/>
        <v>0</v>
      </c>
      <c r="S324" s="110">
        <f t="shared" si="363"/>
        <v>0</v>
      </c>
      <c r="T324" s="109">
        <f t="shared" si="364"/>
        <v>0</v>
      </c>
      <c r="U324" s="109">
        <f t="shared" si="365"/>
        <v>0</v>
      </c>
      <c r="V324" s="109">
        <f t="shared" si="366"/>
        <v>0</v>
      </c>
      <c r="W324" s="111">
        <f t="shared" si="367"/>
        <v>0</v>
      </c>
      <c r="X324" s="115">
        <f t="shared" si="370"/>
        <v>0</v>
      </c>
      <c r="Y324" s="38" t="s">
        <v>511</v>
      </c>
      <c r="Z324" s="42" t="s">
        <v>511</v>
      </c>
      <c r="AA324" s="67">
        <f t="shared" ref="AA324:AT324" si="401">IF($J212,SUMIF($AV$229:$AV$332,$Y324,AW$229:AW$332)*AA$227*$D212/$J212,0)</f>
        <v>0</v>
      </c>
      <c r="AB324" s="67">
        <f t="shared" si="401"/>
        <v>0</v>
      </c>
      <c r="AC324" s="67">
        <f t="shared" si="401"/>
        <v>0</v>
      </c>
      <c r="AD324" s="67">
        <f t="shared" si="401"/>
        <v>0</v>
      </c>
      <c r="AE324" s="67">
        <f t="shared" si="401"/>
        <v>0</v>
      </c>
      <c r="AF324" s="76">
        <f t="shared" si="401"/>
        <v>0</v>
      </c>
      <c r="AG324" s="67">
        <f t="shared" si="401"/>
        <v>0</v>
      </c>
      <c r="AH324" s="67">
        <f t="shared" si="401"/>
        <v>0</v>
      </c>
      <c r="AI324" s="67">
        <f t="shared" si="401"/>
        <v>0</v>
      </c>
      <c r="AJ324" s="68">
        <f t="shared" si="401"/>
        <v>0</v>
      </c>
      <c r="AK324" s="67">
        <f t="shared" si="401"/>
        <v>0</v>
      </c>
      <c r="AL324" s="67">
        <f t="shared" si="401"/>
        <v>0</v>
      </c>
      <c r="AM324" s="67">
        <f t="shared" si="401"/>
        <v>0</v>
      </c>
      <c r="AN324" s="67">
        <f t="shared" si="401"/>
        <v>0</v>
      </c>
      <c r="AO324" s="67">
        <f t="shared" si="401"/>
        <v>0</v>
      </c>
      <c r="AP324" s="76">
        <f t="shared" si="401"/>
        <v>0</v>
      </c>
      <c r="AQ324" s="67">
        <f t="shared" si="401"/>
        <v>0</v>
      </c>
      <c r="AR324" s="67">
        <f t="shared" si="401"/>
        <v>0</v>
      </c>
      <c r="AS324" s="67">
        <f t="shared" si="401"/>
        <v>0</v>
      </c>
      <c r="AT324" s="68">
        <f t="shared" si="401"/>
        <v>0</v>
      </c>
      <c r="AU324" s="2"/>
      <c r="AV324" s="104" t="s">
        <v>511</v>
      </c>
      <c r="AW324" s="94">
        <v>0</v>
      </c>
      <c r="AX324" s="94">
        <v>0</v>
      </c>
      <c r="AY324" s="94">
        <v>0</v>
      </c>
      <c r="AZ324" s="94">
        <v>0</v>
      </c>
      <c r="BA324" s="94">
        <v>0</v>
      </c>
      <c r="BB324" s="106">
        <v>0</v>
      </c>
      <c r="BC324" s="94">
        <v>0</v>
      </c>
      <c r="BD324" s="94">
        <v>0</v>
      </c>
      <c r="BE324" s="94">
        <v>0</v>
      </c>
      <c r="BF324" s="95">
        <v>0</v>
      </c>
      <c r="BG324" s="94">
        <v>0</v>
      </c>
      <c r="BH324" s="94">
        <v>0</v>
      </c>
      <c r="BI324" s="94">
        <v>0</v>
      </c>
      <c r="BJ324" s="94">
        <v>0</v>
      </c>
      <c r="BK324" s="94">
        <v>0</v>
      </c>
      <c r="BL324" s="106">
        <v>0</v>
      </c>
      <c r="BM324" s="94">
        <v>0</v>
      </c>
      <c r="BN324" s="94">
        <v>0</v>
      </c>
      <c r="BO324" s="94">
        <v>0</v>
      </c>
      <c r="BP324" s="95">
        <v>0</v>
      </c>
      <c r="BQ324" s="2"/>
      <c r="BR324" s="2"/>
      <c r="BS324" s="2"/>
    </row>
    <row r="325" spans="1:71" x14ac:dyDescent="0.35">
      <c r="A325" s="2"/>
      <c r="B325" s="2"/>
      <c r="C325" s="42" t="s">
        <v>512</v>
      </c>
      <c r="D325" s="109">
        <f t="shared" si="369"/>
        <v>0</v>
      </c>
      <c r="E325" s="109">
        <f t="shared" si="349"/>
        <v>0</v>
      </c>
      <c r="F325" s="109">
        <f t="shared" si="350"/>
        <v>0</v>
      </c>
      <c r="G325" s="109">
        <f t="shared" si="351"/>
        <v>0</v>
      </c>
      <c r="H325" s="109">
        <f t="shared" si="352"/>
        <v>0</v>
      </c>
      <c r="I325" s="110">
        <f t="shared" si="353"/>
        <v>0</v>
      </c>
      <c r="J325" s="109">
        <f t="shared" si="354"/>
        <v>0</v>
      </c>
      <c r="K325" s="109">
        <f t="shared" si="355"/>
        <v>0</v>
      </c>
      <c r="L325" s="109">
        <f t="shared" si="356"/>
        <v>0</v>
      </c>
      <c r="M325" s="111">
        <f t="shared" si="357"/>
        <v>0</v>
      </c>
      <c r="N325" s="109">
        <f t="shared" si="358"/>
        <v>0</v>
      </c>
      <c r="O325" s="109">
        <f t="shared" si="359"/>
        <v>0</v>
      </c>
      <c r="P325" s="109">
        <f t="shared" si="360"/>
        <v>0</v>
      </c>
      <c r="Q325" s="109">
        <f t="shared" si="361"/>
        <v>0</v>
      </c>
      <c r="R325" s="109">
        <f t="shared" si="362"/>
        <v>0</v>
      </c>
      <c r="S325" s="110">
        <f t="shared" si="363"/>
        <v>0</v>
      </c>
      <c r="T325" s="109">
        <f t="shared" si="364"/>
        <v>0</v>
      </c>
      <c r="U325" s="109">
        <f t="shared" si="365"/>
        <v>0</v>
      </c>
      <c r="V325" s="109">
        <f t="shared" si="366"/>
        <v>0</v>
      </c>
      <c r="W325" s="111">
        <f t="shared" si="367"/>
        <v>0</v>
      </c>
      <c r="X325" s="115">
        <f t="shared" si="370"/>
        <v>0</v>
      </c>
      <c r="Y325" s="38" t="s">
        <v>512</v>
      </c>
      <c r="Z325" s="42" t="s">
        <v>512</v>
      </c>
      <c r="AA325" s="67">
        <f t="shared" ref="AA325:AT325" si="402">IF($J213,SUMIF($AV$229:$AV$332,$Y325,AW$229:AW$332)*AA$227*$D213/$J213,0)</f>
        <v>0</v>
      </c>
      <c r="AB325" s="67">
        <f t="shared" si="402"/>
        <v>0</v>
      </c>
      <c r="AC325" s="67">
        <f t="shared" si="402"/>
        <v>0</v>
      </c>
      <c r="AD325" s="67">
        <f t="shared" si="402"/>
        <v>0</v>
      </c>
      <c r="AE325" s="67">
        <f t="shared" si="402"/>
        <v>0</v>
      </c>
      <c r="AF325" s="76">
        <f t="shared" si="402"/>
        <v>0</v>
      </c>
      <c r="AG325" s="67">
        <f t="shared" si="402"/>
        <v>0</v>
      </c>
      <c r="AH325" s="67">
        <f t="shared" si="402"/>
        <v>0</v>
      </c>
      <c r="AI325" s="67">
        <f t="shared" si="402"/>
        <v>0</v>
      </c>
      <c r="AJ325" s="68">
        <f t="shared" si="402"/>
        <v>0</v>
      </c>
      <c r="AK325" s="67">
        <f t="shared" si="402"/>
        <v>0</v>
      </c>
      <c r="AL325" s="67">
        <f t="shared" si="402"/>
        <v>0</v>
      </c>
      <c r="AM325" s="67">
        <f t="shared" si="402"/>
        <v>0</v>
      </c>
      <c r="AN325" s="67">
        <f t="shared" si="402"/>
        <v>0</v>
      </c>
      <c r="AO325" s="67">
        <f t="shared" si="402"/>
        <v>0</v>
      </c>
      <c r="AP325" s="76">
        <f t="shared" si="402"/>
        <v>0</v>
      </c>
      <c r="AQ325" s="67">
        <f t="shared" si="402"/>
        <v>0</v>
      </c>
      <c r="AR325" s="67">
        <f t="shared" si="402"/>
        <v>0</v>
      </c>
      <c r="AS325" s="67">
        <f t="shared" si="402"/>
        <v>0</v>
      </c>
      <c r="AT325" s="68">
        <f t="shared" si="402"/>
        <v>0</v>
      </c>
      <c r="AU325" s="2"/>
      <c r="AV325" s="104" t="s">
        <v>512</v>
      </c>
      <c r="AW325" s="94">
        <v>0</v>
      </c>
      <c r="AX325" s="94">
        <v>0</v>
      </c>
      <c r="AY325" s="94">
        <v>0</v>
      </c>
      <c r="AZ325" s="94">
        <v>0</v>
      </c>
      <c r="BA325" s="94">
        <v>0</v>
      </c>
      <c r="BB325" s="106">
        <v>0</v>
      </c>
      <c r="BC325" s="94">
        <v>0</v>
      </c>
      <c r="BD325" s="94">
        <v>0</v>
      </c>
      <c r="BE325" s="94">
        <v>0</v>
      </c>
      <c r="BF325" s="95">
        <v>0</v>
      </c>
      <c r="BG325" s="94">
        <v>0</v>
      </c>
      <c r="BH325" s="94">
        <v>0</v>
      </c>
      <c r="BI325" s="94">
        <v>0</v>
      </c>
      <c r="BJ325" s="94">
        <v>0</v>
      </c>
      <c r="BK325" s="94">
        <v>0</v>
      </c>
      <c r="BL325" s="106">
        <v>0</v>
      </c>
      <c r="BM325" s="94">
        <v>0</v>
      </c>
      <c r="BN325" s="94">
        <v>0</v>
      </c>
      <c r="BO325" s="94">
        <v>0</v>
      </c>
      <c r="BP325" s="95">
        <v>0</v>
      </c>
      <c r="BQ325" s="2"/>
      <c r="BR325" s="2"/>
      <c r="BS325" s="2"/>
    </row>
    <row r="326" spans="1:71" x14ac:dyDescent="0.35">
      <c r="A326" s="2"/>
      <c r="B326" s="2"/>
      <c r="C326" s="42" t="s">
        <v>513</v>
      </c>
      <c r="D326" s="109">
        <f t="shared" si="369"/>
        <v>0</v>
      </c>
      <c r="E326" s="109">
        <f t="shared" si="349"/>
        <v>0</v>
      </c>
      <c r="F326" s="109">
        <f t="shared" si="350"/>
        <v>0</v>
      </c>
      <c r="G326" s="109">
        <f t="shared" si="351"/>
        <v>0</v>
      </c>
      <c r="H326" s="109">
        <f t="shared" si="352"/>
        <v>0</v>
      </c>
      <c r="I326" s="110">
        <f t="shared" si="353"/>
        <v>0</v>
      </c>
      <c r="J326" s="109">
        <f t="shared" si="354"/>
        <v>0</v>
      </c>
      <c r="K326" s="109">
        <f t="shared" si="355"/>
        <v>0</v>
      </c>
      <c r="L326" s="109">
        <f t="shared" si="356"/>
        <v>0</v>
      </c>
      <c r="M326" s="111">
        <f t="shared" si="357"/>
        <v>0</v>
      </c>
      <c r="N326" s="109">
        <f t="shared" si="358"/>
        <v>0</v>
      </c>
      <c r="O326" s="109">
        <f t="shared" si="359"/>
        <v>0</v>
      </c>
      <c r="P326" s="109">
        <f t="shared" si="360"/>
        <v>0</v>
      </c>
      <c r="Q326" s="109">
        <f t="shared" si="361"/>
        <v>0</v>
      </c>
      <c r="R326" s="109">
        <f t="shared" si="362"/>
        <v>0</v>
      </c>
      <c r="S326" s="110">
        <f t="shared" si="363"/>
        <v>0</v>
      </c>
      <c r="T326" s="109">
        <f t="shared" si="364"/>
        <v>0</v>
      </c>
      <c r="U326" s="109">
        <f t="shared" si="365"/>
        <v>0</v>
      </c>
      <c r="V326" s="109">
        <f t="shared" si="366"/>
        <v>0</v>
      </c>
      <c r="W326" s="111">
        <f t="shared" si="367"/>
        <v>0</v>
      </c>
      <c r="X326" s="115">
        <f t="shared" si="370"/>
        <v>0</v>
      </c>
      <c r="Y326" s="38" t="s">
        <v>513</v>
      </c>
      <c r="Z326" s="42" t="s">
        <v>513</v>
      </c>
      <c r="AA326" s="67">
        <f t="shared" ref="AA326:AT326" si="403">IF($J214,SUMIF($AV$229:$AV$332,$Y326,AW$229:AW$332)*AA$227*$D214/$J214,0)</f>
        <v>0</v>
      </c>
      <c r="AB326" s="67">
        <f t="shared" si="403"/>
        <v>0</v>
      </c>
      <c r="AC326" s="67">
        <f t="shared" si="403"/>
        <v>0</v>
      </c>
      <c r="AD326" s="67">
        <f t="shared" si="403"/>
        <v>0</v>
      </c>
      <c r="AE326" s="67">
        <f t="shared" si="403"/>
        <v>0</v>
      </c>
      <c r="AF326" s="76">
        <f t="shared" si="403"/>
        <v>0</v>
      </c>
      <c r="AG326" s="67">
        <f t="shared" si="403"/>
        <v>0</v>
      </c>
      <c r="AH326" s="67">
        <f t="shared" si="403"/>
        <v>0</v>
      </c>
      <c r="AI326" s="67">
        <f t="shared" si="403"/>
        <v>0</v>
      </c>
      <c r="AJ326" s="68">
        <f t="shared" si="403"/>
        <v>0</v>
      </c>
      <c r="AK326" s="67">
        <f t="shared" si="403"/>
        <v>0</v>
      </c>
      <c r="AL326" s="67">
        <f t="shared" si="403"/>
        <v>0</v>
      </c>
      <c r="AM326" s="67">
        <f t="shared" si="403"/>
        <v>0</v>
      </c>
      <c r="AN326" s="67">
        <f t="shared" si="403"/>
        <v>0</v>
      </c>
      <c r="AO326" s="67">
        <f t="shared" si="403"/>
        <v>0</v>
      </c>
      <c r="AP326" s="76">
        <f t="shared" si="403"/>
        <v>0</v>
      </c>
      <c r="AQ326" s="67">
        <f t="shared" si="403"/>
        <v>0</v>
      </c>
      <c r="AR326" s="67">
        <f t="shared" si="403"/>
        <v>0</v>
      </c>
      <c r="AS326" s="67">
        <f t="shared" si="403"/>
        <v>0</v>
      </c>
      <c r="AT326" s="68">
        <f t="shared" si="403"/>
        <v>0</v>
      </c>
      <c r="AU326" s="2"/>
      <c r="AV326" s="104" t="s">
        <v>513</v>
      </c>
      <c r="AW326" s="94">
        <v>0</v>
      </c>
      <c r="AX326" s="94">
        <v>0</v>
      </c>
      <c r="AY326" s="94">
        <v>0</v>
      </c>
      <c r="AZ326" s="94">
        <v>0</v>
      </c>
      <c r="BA326" s="94">
        <v>0</v>
      </c>
      <c r="BB326" s="106">
        <v>0</v>
      </c>
      <c r="BC326" s="94">
        <v>0</v>
      </c>
      <c r="BD326" s="94">
        <v>0</v>
      </c>
      <c r="BE326" s="94">
        <v>0</v>
      </c>
      <c r="BF326" s="95">
        <v>0</v>
      </c>
      <c r="BG326" s="94">
        <v>0</v>
      </c>
      <c r="BH326" s="94">
        <v>0</v>
      </c>
      <c r="BI326" s="94">
        <v>0</v>
      </c>
      <c r="BJ326" s="94">
        <v>0</v>
      </c>
      <c r="BK326" s="94">
        <v>0</v>
      </c>
      <c r="BL326" s="106">
        <v>0</v>
      </c>
      <c r="BM326" s="94">
        <v>0</v>
      </c>
      <c r="BN326" s="94">
        <v>0</v>
      </c>
      <c r="BO326" s="94">
        <v>0</v>
      </c>
      <c r="BP326" s="95">
        <v>0</v>
      </c>
      <c r="BQ326" s="2"/>
      <c r="BR326" s="2"/>
      <c r="BS326" s="2"/>
    </row>
    <row r="327" spans="1:71" x14ac:dyDescent="0.35">
      <c r="A327" s="2"/>
      <c r="B327" s="2"/>
      <c r="C327" s="42" t="s">
        <v>557</v>
      </c>
      <c r="D327" s="109">
        <f t="shared" si="369"/>
        <v>0</v>
      </c>
      <c r="E327" s="109">
        <f t="shared" si="349"/>
        <v>0</v>
      </c>
      <c r="F327" s="109">
        <f t="shared" si="350"/>
        <v>0</v>
      </c>
      <c r="G327" s="109">
        <f t="shared" si="351"/>
        <v>0</v>
      </c>
      <c r="H327" s="109">
        <f t="shared" si="352"/>
        <v>0</v>
      </c>
      <c r="I327" s="110">
        <f t="shared" si="353"/>
        <v>0</v>
      </c>
      <c r="J327" s="109">
        <f t="shared" si="354"/>
        <v>0</v>
      </c>
      <c r="K327" s="109">
        <f t="shared" si="355"/>
        <v>0</v>
      </c>
      <c r="L327" s="109">
        <f t="shared" si="356"/>
        <v>0</v>
      </c>
      <c r="M327" s="111">
        <f t="shared" si="357"/>
        <v>0</v>
      </c>
      <c r="N327" s="109">
        <f t="shared" si="358"/>
        <v>0</v>
      </c>
      <c r="O327" s="109">
        <f t="shared" si="359"/>
        <v>0</v>
      </c>
      <c r="P327" s="109">
        <f t="shared" si="360"/>
        <v>0</v>
      </c>
      <c r="Q327" s="109">
        <f t="shared" si="361"/>
        <v>0</v>
      </c>
      <c r="R327" s="109">
        <f t="shared" si="362"/>
        <v>0</v>
      </c>
      <c r="S327" s="110">
        <f t="shared" si="363"/>
        <v>0</v>
      </c>
      <c r="T327" s="109">
        <f t="shared" si="364"/>
        <v>0</v>
      </c>
      <c r="U327" s="109">
        <f t="shared" si="365"/>
        <v>0</v>
      </c>
      <c r="V327" s="109">
        <f t="shared" si="366"/>
        <v>0</v>
      </c>
      <c r="W327" s="111">
        <f t="shared" si="367"/>
        <v>0</v>
      </c>
      <c r="X327" s="115">
        <f t="shared" si="370"/>
        <v>0</v>
      </c>
      <c r="Y327" s="38" t="s">
        <v>557</v>
      </c>
      <c r="Z327" s="42" t="s">
        <v>557</v>
      </c>
      <c r="AA327" s="67">
        <f t="shared" ref="AA327:AT327" si="404">IF($J215,SUMIF($AV$229:$AV$332,$Y327,AW$229:AW$332)*AA$227*$D215/$J215,0)</f>
        <v>0</v>
      </c>
      <c r="AB327" s="67">
        <f t="shared" si="404"/>
        <v>0</v>
      </c>
      <c r="AC327" s="67">
        <f t="shared" si="404"/>
        <v>0</v>
      </c>
      <c r="AD327" s="67">
        <f t="shared" si="404"/>
        <v>0</v>
      </c>
      <c r="AE327" s="67">
        <f t="shared" si="404"/>
        <v>0</v>
      </c>
      <c r="AF327" s="76">
        <f t="shared" si="404"/>
        <v>0</v>
      </c>
      <c r="AG327" s="67">
        <f t="shared" si="404"/>
        <v>0</v>
      </c>
      <c r="AH327" s="67">
        <f t="shared" si="404"/>
        <v>0</v>
      </c>
      <c r="AI327" s="67">
        <f t="shared" si="404"/>
        <v>0</v>
      </c>
      <c r="AJ327" s="68">
        <f t="shared" si="404"/>
        <v>0</v>
      </c>
      <c r="AK327" s="67">
        <f t="shared" si="404"/>
        <v>0</v>
      </c>
      <c r="AL327" s="67">
        <f t="shared" si="404"/>
        <v>0</v>
      </c>
      <c r="AM327" s="67">
        <f t="shared" si="404"/>
        <v>0</v>
      </c>
      <c r="AN327" s="67">
        <f t="shared" si="404"/>
        <v>0</v>
      </c>
      <c r="AO327" s="67">
        <f t="shared" si="404"/>
        <v>0</v>
      </c>
      <c r="AP327" s="76">
        <f t="shared" si="404"/>
        <v>0</v>
      </c>
      <c r="AQ327" s="67">
        <f t="shared" si="404"/>
        <v>0</v>
      </c>
      <c r="AR327" s="67">
        <f t="shared" si="404"/>
        <v>0</v>
      </c>
      <c r="AS327" s="67">
        <f t="shared" si="404"/>
        <v>0</v>
      </c>
      <c r="AT327" s="68">
        <f t="shared" si="404"/>
        <v>0</v>
      </c>
      <c r="AU327" s="2"/>
      <c r="AV327" s="104" t="s">
        <v>557</v>
      </c>
      <c r="AW327" s="94">
        <v>0</v>
      </c>
      <c r="AX327" s="94">
        <v>0</v>
      </c>
      <c r="AY327" s="94">
        <v>0</v>
      </c>
      <c r="AZ327" s="94">
        <v>0</v>
      </c>
      <c r="BA327" s="94">
        <v>0</v>
      </c>
      <c r="BB327" s="106">
        <v>0</v>
      </c>
      <c r="BC327" s="94">
        <v>0</v>
      </c>
      <c r="BD327" s="94">
        <v>0</v>
      </c>
      <c r="BE327" s="94">
        <v>0</v>
      </c>
      <c r="BF327" s="95">
        <v>0</v>
      </c>
      <c r="BG327" s="94">
        <v>0</v>
      </c>
      <c r="BH327" s="94">
        <v>0</v>
      </c>
      <c r="BI327" s="94">
        <v>0</v>
      </c>
      <c r="BJ327" s="94">
        <v>0</v>
      </c>
      <c r="BK327" s="94">
        <v>0</v>
      </c>
      <c r="BL327" s="106">
        <v>0</v>
      </c>
      <c r="BM327" s="94">
        <v>0</v>
      </c>
      <c r="BN327" s="94">
        <v>0</v>
      </c>
      <c r="BO327" s="94">
        <v>0</v>
      </c>
      <c r="BP327" s="95">
        <v>0</v>
      </c>
      <c r="BQ327" s="2"/>
      <c r="BR327" s="2"/>
      <c r="BS327" s="2"/>
    </row>
    <row r="328" spans="1:71" x14ac:dyDescent="0.35">
      <c r="A328" s="2"/>
      <c r="B328" s="2"/>
      <c r="C328" s="42" t="s">
        <v>558</v>
      </c>
      <c r="D328" s="109">
        <f t="shared" si="369"/>
        <v>0</v>
      </c>
      <c r="E328" s="109">
        <f t="shared" si="349"/>
        <v>0</v>
      </c>
      <c r="F328" s="109">
        <f t="shared" si="350"/>
        <v>0</v>
      </c>
      <c r="G328" s="109">
        <f t="shared" si="351"/>
        <v>0</v>
      </c>
      <c r="H328" s="109">
        <f t="shared" si="352"/>
        <v>0</v>
      </c>
      <c r="I328" s="110">
        <f t="shared" si="353"/>
        <v>0</v>
      </c>
      <c r="J328" s="109">
        <f t="shared" si="354"/>
        <v>0</v>
      </c>
      <c r="K328" s="109">
        <f t="shared" si="355"/>
        <v>0</v>
      </c>
      <c r="L328" s="109">
        <f t="shared" si="356"/>
        <v>0</v>
      </c>
      <c r="M328" s="111">
        <f t="shared" si="357"/>
        <v>0</v>
      </c>
      <c r="N328" s="109">
        <f t="shared" si="358"/>
        <v>0</v>
      </c>
      <c r="O328" s="109">
        <f t="shared" si="359"/>
        <v>0</v>
      </c>
      <c r="P328" s="109">
        <f t="shared" si="360"/>
        <v>0</v>
      </c>
      <c r="Q328" s="109">
        <f t="shared" si="361"/>
        <v>0</v>
      </c>
      <c r="R328" s="109">
        <f t="shared" si="362"/>
        <v>0</v>
      </c>
      <c r="S328" s="110">
        <f t="shared" si="363"/>
        <v>0</v>
      </c>
      <c r="T328" s="109">
        <f t="shared" si="364"/>
        <v>0</v>
      </c>
      <c r="U328" s="109">
        <f t="shared" si="365"/>
        <v>0</v>
      </c>
      <c r="V328" s="109">
        <f t="shared" si="366"/>
        <v>0</v>
      </c>
      <c r="W328" s="111">
        <f t="shared" si="367"/>
        <v>0</v>
      </c>
      <c r="X328" s="115">
        <f t="shared" si="370"/>
        <v>0</v>
      </c>
      <c r="Y328" s="38" t="s">
        <v>558</v>
      </c>
      <c r="Z328" s="42" t="s">
        <v>558</v>
      </c>
      <c r="AA328" s="67">
        <f t="shared" ref="AA328:AT328" si="405">IF($J216,SUMIF($AV$229:$AV$332,$Y328,AW$229:AW$332)*AA$227*$D216/$J216,0)</f>
        <v>0</v>
      </c>
      <c r="AB328" s="67">
        <f t="shared" si="405"/>
        <v>0</v>
      </c>
      <c r="AC328" s="67">
        <f t="shared" si="405"/>
        <v>0</v>
      </c>
      <c r="AD328" s="67">
        <f t="shared" si="405"/>
        <v>0</v>
      </c>
      <c r="AE328" s="67">
        <f t="shared" si="405"/>
        <v>0</v>
      </c>
      <c r="AF328" s="76">
        <f t="shared" si="405"/>
        <v>0</v>
      </c>
      <c r="AG328" s="67">
        <f t="shared" si="405"/>
        <v>0</v>
      </c>
      <c r="AH328" s="67">
        <f t="shared" si="405"/>
        <v>0</v>
      </c>
      <c r="AI328" s="67">
        <f t="shared" si="405"/>
        <v>0</v>
      </c>
      <c r="AJ328" s="68">
        <f t="shared" si="405"/>
        <v>0</v>
      </c>
      <c r="AK328" s="67">
        <f t="shared" si="405"/>
        <v>0</v>
      </c>
      <c r="AL328" s="67">
        <f t="shared" si="405"/>
        <v>0</v>
      </c>
      <c r="AM328" s="67">
        <f t="shared" si="405"/>
        <v>0</v>
      </c>
      <c r="AN328" s="67">
        <f t="shared" si="405"/>
        <v>0</v>
      </c>
      <c r="AO328" s="67">
        <f t="shared" si="405"/>
        <v>0</v>
      </c>
      <c r="AP328" s="76">
        <f t="shared" si="405"/>
        <v>0</v>
      </c>
      <c r="AQ328" s="67">
        <f t="shared" si="405"/>
        <v>0</v>
      </c>
      <c r="AR328" s="67">
        <f t="shared" si="405"/>
        <v>0</v>
      </c>
      <c r="AS328" s="67">
        <f t="shared" si="405"/>
        <v>0</v>
      </c>
      <c r="AT328" s="68">
        <f t="shared" si="405"/>
        <v>0</v>
      </c>
      <c r="AU328" s="2"/>
      <c r="AV328" s="104" t="s">
        <v>558</v>
      </c>
      <c r="AW328" s="94"/>
      <c r="AX328" s="94"/>
      <c r="AY328" s="94"/>
      <c r="AZ328" s="94"/>
      <c r="BA328" s="94"/>
      <c r="BB328" s="106"/>
      <c r="BC328" s="94"/>
      <c r="BD328" s="94"/>
      <c r="BE328" s="94"/>
      <c r="BF328" s="95"/>
      <c r="BG328" s="94"/>
      <c r="BH328" s="94"/>
      <c r="BI328" s="94"/>
      <c r="BJ328" s="94"/>
      <c r="BK328" s="94"/>
      <c r="BL328" s="106"/>
      <c r="BM328" s="94"/>
      <c r="BN328" s="94"/>
      <c r="BO328" s="94"/>
      <c r="BP328" s="95"/>
      <c r="BQ328" s="2"/>
      <c r="BR328" s="2"/>
      <c r="BS328" s="2"/>
    </row>
    <row r="329" spans="1:71" x14ac:dyDescent="0.35">
      <c r="A329" s="2"/>
      <c r="B329" s="2"/>
      <c r="C329" s="42" t="s">
        <v>559</v>
      </c>
      <c r="D329" s="109">
        <f t="shared" si="369"/>
        <v>0</v>
      </c>
      <c r="E329" s="109">
        <f t="shared" si="349"/>
        <v>0</v>
      </c>
      <c r="F329" s="109">
        <f t="shared" si="350"/>
        <v>0</v>
      </c>
      <c r="G329" s="109">
        <f t="shared" si="351"/>
        <v>0</v>
      </c>
      <c r="H329" s="109">
        <f t="shared" si="352"/>
        <v>0</v>
      </c>
      <c r="I329" s="110">
        <f t="shared" si="353"/>
        <v>0</v>
      </c>
      <c r="J329" s="109">
        <f t="shared" si="354"/>
        <v>0</v>
      </c>
      <c r="K329" s="109">
        <f t="shared" si="355"/>
        <v>0</v>
      </c>
      <c r="L329" s="109">
        <f t="shared" si="356"/>
        <v>0</v>
      </c>
      <c r="M329" s="111">
        <f t="shared" si="357"/>
        <v>0</v>
      </c>
      <c r="N329" s="109">
        <f t="shared" si="358"/>
        <v>0</v>
      </c>
      <c r="O329" s="109">
        <f t="shared" si="359"/>
        <v>0</v>
      </c>
      <c r="P329" s="109">
        <f t="shared" si="360"/>
        <v>0</v>
      </c>
      <c r="Q329" s="109">
        <f t="shared" si="361"/>
        <v>0</v>
      </c>
      <c r="R329" s="109">
        <f t="shared" si="362"/>
        <v>0</v>
      </c>
      <c r="S329" s="110">
        <f t="shared" si="363"/>
        <v>0</v>
      </c>
      <c r="T329" s="109">
        <f t="shared" si="364"/>
        <v>0</v>
      </c>
      <c r="U329" s="109">
        <f t="shared" si="365"/>
        <v>0</v>
      </c>
      <c r="V329" s="109">
        <f t="shared" si="366"/>
        <v>0</v>
      </c>
      <c r="W329" s="111">
        <f t="shared" si="367"/>
        <v>0</v>
      </c>
      <c r="X329" s="115">
        <f t="shared" si="370"/>
        <v>0</v>
      </c>
      <c r="Y329" s="38" t="s">
        <v>559</v>
      </c>
      <c r="Z329" s="42" t="s">
        <v>559</v>
      </c>
      <c r="AA329" s="67">
        <f t="shared" ref="AA329:AT329" si="406">IF($J217,SUMIF($AV$229:$AV$332,$Y329,AW$229:AW$332)*AA$227*$D217/$J217,0)</f>
        <v>0</v>
      </c>
      <c r="AB329" s="67">
        <f t="shared" si="406"/>
        <v>0</v>
      </c>
      <c r="AC329" s="67">
        <f t="shared" si="406"/>
        <v>0</v>
      </c>
      <c r="AD329" s="67">
        <f t="shared" si="406"/>
        <v>0</v>
      </c>
      <c r="AE329" s="67">
        <f t="shared" si="406"/>
        <v>0</v>
      </c>
      <c r="AF329" s="76">
        <f t="shared" si="406"/>
        <v>0</v>
      </c>
      <c r="AG329" s="67">
        <f t="shared" si="406"/>
        <v>0</v>
      </c>
      <c r="AH329" s="67">
        <f t="shared" si="406"/>
        <v>0</v>
      </c>
      <c r="AI329" s="67">
        <f t="shared" si="406"/>
        <v>0</v>
      </c>
      <c r="AJ329" s="68">
        <f t="shared" si="406"/>
        <v>0</v>
      </c>
      <c r="AK329" s="67">
        <f t="shared" si="406"/>
        <v>0</v>
      </c>
      <c r="AL329" s="67">
        <f t="shared" si="406"/>
        <v>0</v>
      </c>
      <c r="AM329" s="67">
        <f t="shared" si="406"/>
        <v>0</v>
      </c>
      <c r="AN329" s="67">
        <f t="shared" si="406"/>
        <v>0</v>
      </c>
      <c r="AO329" s="67">
        <f t="shared" si="406"/>
        <v>0</v>
      </c>
      <c r="AP329" s="76">
        <f t="shared" si="406"/>
        <v>0</v>
      </c>
      <c r="AQ329" s="67">
        <f t="shared" si="406"/>
        <v>0</v>
      </c>
      <c r="AR329" s="67">
        <f t="shared" si="406"/>
        <v>0</v>
      </c>
      <c r="AS329" s="67">
        <f t="shared" si="406"/>
        <v>0</v>
      </c>
      <c r="AT329" s="68">
        <f t="shared" si="406"/>
        <v>0</v>
      </c>
      <c r="AU329" s="2"/>
      <c r="AV329" s="104" t="s">
        <v>559</v>
      </c>
      <c r="AW329" s="94">
        <v>0</v>
      </c>
      <c r="AX329" s="94">
        <v>0</v>
      </c>
      <c r="AY329" s="94">
        <v>0</v>
      </c>
      <c r="AZ329" s="94">
        <v>0</v>
      </c>
      <c r="BA329" s="94">
        <v>0</v>
      </c>
      <c r="BB329" s="106">
        <v>0</v>
      </c>
      <c r="BC329" s="94">
        <v>0</v>
      </c>
      <c r="BD329" s="94">
        <v>0</v>
      </c>
      <c r="BE329" s="94">
        <v>0</v>
      </c>
      <c r="BF329" s="95">
        <v>0</v>
      </c>
      <c r="BG329" s="94">
        <v>0</v>
      </c>
      <c r="BH329" s="94">
        <v>0</v>
      </c>
      <c r="BI329" s="94">
        <v>0</v>
      </c>
      <c r="BJ329" s="94">
        <v>0</v>
      </c>
      <c r="BK329" s="94">
        <v>0</v>
      </c>
      <c r="BL329" s="106">
        <v>0</v>
      </c>
      <c r="BM329" s="94">
        <v>0</v>
      </c>
      <c r="BN329" s="94">
        <v>0</v>
      </c>
      <c r="BO329" s="94">
        <v>0</v>
      </c>
      <c r="BP329" s="95">
        <v>0</v>
      </c>
      <c r="BQ329" s="2"/>
      <c r="BR329" s="2"/>
      <c r="BS329" s="2"/>
    </row>
    <row r="330" spans="1:71" x14ac:dyDescent="0.35">
      <c r="A330" s="2"/>
      <c r="B330" s="2"/>
      <c r="C330" s="42" t="s">
        <v>514</v>
      </c>
      <c r="D330" s="109">
        <f t="shared" si="369"/>
        <v>0</v>
      </c>
      <c r="E330" s="109">
        <f t="shared" si="349"/>
        <v>0</v>
      </c>
      <c r="F330" s="109">
        <f t="shared" si="350"/>
        <v>0</v>
      </c>
      <c r="G330" s="109">
        <f t="shared" si="351"/>
        <v>0</v>
      </c>
      <c r="H330" s="109">
        <f t="shared" si="352"/>
        <v>0</v>
      </c>
      <c r="I330" s="110">
        <f t="shared" si="353"/>
        <v>0</v>
      </c>
      <c r="J330" s="109">
        <f t="shared" si="354"/>
        <v>0</v>
      </c>
      <c r="K330" s="109">
        <f t="shared" si="355"/>
        <v>0</v>
      </c>
      <c r="L330" s="109">
        <f t="shared" si="356"/>
        <v>0</v>
      </c>
      <c r="M330" s="111">
        <f t="shared" si="357"/>
        <v>0</v>
      </c>
      <c r="N330" s="109">
        <f t="shared" si="358"/>
        <v>0</v>
      </c>
      <c r="O330" s="109">
        <f t="shared" si="359"/>
        <v>0</v>
      </c>
      <c r="P330" s="109">
        <f t="shared" si="360"/>
        <v>0</v>
      </c>
      <c r="Q330" s="109">
        <f t="shared" si="361"/>
        <v>0</v>
      </c>
      <c r="R330" s="109">
        <f t="shared" si="362"/>
        <v>0</v>
      </c>
      <c r="S330" s="110">
        <f t="shared" si="363"/>
        <v>0</v>
      </c>
      <c r="T330" s="109">
        <f t="shared" si="364"/>
        <v>0</v>
      </c>
      <c r="U330" s="109">
        <f t="shared" si="365"/>
        <v>0</v>
      </c>
      <c r="V330" s="109">
        <f t="shared" si="366"/>
        <v>0</v>
      </c>
      <c r="W330" s="111">
        <f t="shared" si="367"/>
        <v>0</v>
      </c>
      <c r="X330" s="115">
        <f t="shared" si="370"/>
        <v>0</v>
      </c>
      <c r="Y330" s="38" t="s">
        <v>514</v>
      </c>
      <c r="Z330" s="42" t="s">
        <v>514</v>
      </c>
      <c r="AA330" s="67">
        <f t="shared" ref="AA330:AT330" si="407">IF($J218,SUMIF($AV$229:$AV$332,$Y330,AW$229:AW$332)*AA$227*$D218/$J218,0)</f>
        <v>0</v>
      </c>
      <c r="AB330" s="67">
        <f t="shared" si="407"/>
        <v>0</v>
      </c>
      <c r="AC330" s="67">
        <f t="shared" si="407"/>
        <v>0</v>
      </c>
      <c r="AD330" s="67">
        <f t="shared" si="407"/>
        <v>0</v>
      </c>
      <c r="AE330" s="67">
        <f t="shared" si="407"/>
        <v>0</v>
      </c>
      <c r="AF330" s="76">
        <f t="shared" si="407"/>
        <v>0</v>
      </c>
      <c r="AG330" s="67">
        <f t="shared" si="407"/>
        <v>0</v>
      </c>
      <c r="AH330" s="67">
        <f t="shared" si="407"/>
        <v>0</v>
      </c>
      <c r="AI330" s="67">
        <f t="shared" si="407"/>
        <v>0</v>
      </c>
      <c r="AJ330" s="68">
        <f t="shared" si="407"/>
        <v>0</v>
      </c>
      <c r="AK330" s="67">
        <f t="shared" si="407"/>
        <v>0</v>
      </c>
      <c r="AL330" s="67">
        <f t="shared" si="407"/>
        <v>0</v>
      </c>
      <c r="AM330" s="67">
        <f t="shared" si="407"/>
        <v>0</v>
      </c>
      <c r="AN330" s="67">
        <f t="shared" si="407"/>
        <v>0</v>
      </c>
      <c r="AO330" s="67">
        <f t="shared" si="407"/>
        <v>0</v>
      </c>
      <c r="AP330" s="76">
        <f t="shared" si="407"/>
        <v>0</v>
      </c>
      <c r="AQ330" s="67">
        <f t="shared" si="407"/>
        <v>0</v>
      </c>
      <c r="AR330" s="67">
        <f t="shared" si="407"/>
        <v>0</v>
      </c>
      <c r="AS330" s="67">
        <f t="shared" si="407"/>
        <v>0</v>
      </c>
      <c r="AT330" s="68">
        <f t="shared" si="407"/>
        <v>0</v>
      </c>
      <c r="AU330" s="2"/>
      <c r="AV330" s="104" t="s">
        <v>514</v>
      </c>
      <c r="AW330" s="94">
        <v>0</v>
      </c>
      <c r="AX330" s="94">
        <v>0</v>
      </c>
      <c r="AY330" s="94">
        <v>0</v>
      </c>
      <c r="AZ330" s="94">
        <v>0</v>
      </c>
      <c r="BA330" s="94">
        <v>0</v>
      </c>
      <c r="BB330" s="106">
        <v>0</v>
      </c>
      <c r="BC330" s="94">
        <v>0</v>
      </c>
      <c r="BD330" s="94">
        <v>0</v>
      </c>
      <c r="BE330" s="94">
        <v>0</v>
      </c>
      <c r="BF330" s="95">
        <v>0</v>
      </c>
      <c r="BG330" s="94">
        <v>0</v>
      </c>
      <c r="BH330" s="94">
        <v>0</v>
      </c>
      <c r="BI330" s="94">
        <v>0</v>
      </c>
      <c r="BJ330" s="94">
        <v>0</v>
      </c>
      <c r="BK330" s="94">
        <v>0</v>
      </c>
      <c r="BL330" s="106">
        <v>0</v>
      </c>
      <c r="BM330" s="94">
        <v>0</v>
      </c>
      <c r="BN330" s="94">
        <v>0</v>
      </c>
      <c r="BO330" s="94">
        <v>0</v>
      </c>
      <c r="BP330" s="95">
        <v>0</v>
      </c>
      <c r="BQ330" s="2"/>
      <c r="BR330" s="2"/>
      <c r="BS330" s="2"/>
    </row>
    <row r="331" spans="1:71" x14ac:dyDescent="0.35">
      <c r="A331" s="2"/>
      <c r="B331" s="2"/>
      <c r="C331" s="42" t="s">
        <v>560</v>
      </c>
      <c r="D331" s="109">
        <f t="shared" si="369"/>
        <v>0</v>
      </c>
      <c r="E331" s="109">
        <f t="shared" si="349"/>
        <v>0</v>
      </c>
      <c r="F331" s="109">
        <f t="shared" si="350"/>
        <v>0</v>
      </c>
      <c r="G331" s="109">
        <f t="shared" si="351"/>
        <v>0</v>
      </c>
      <c r="H331" s="109">
        <f t="shared" si="352"/>
        <v>0</v>
      </c>
      <c r="I331" s="110">
        <f t="shared" si="353"/>
        <v>0</v>
      </c>
      <c r="J331" s="109">
        <f t="shared" si="354"/>
        <v>0</v>
      </c>
      <c r="K331" s="109">
        <f t="shared" si="355"/>
        <v>0</v>
      </c>
      <c r="L331" s="109">
        <f t="shared" si="356"/>
        <v>0</v>
      </c>
      <c r="M331" s="111">
        <f t="shared" si="357"/>
        <v>0</v>
      </c>
      <c r="N331" s="109">
        <f t="shared" si="358"/>
        <v>0</v>
      </c>
      <c r="O331" s="109">
        <f t="shared" si="359"/>
        <v>0</v>
      </c>
      <c r="P331" s="109">
        <f t="shared" si="360"/>
        <v>0</v>
      </c>
      <c r="Q331" s="109">
        <f t="shared" si="361"/>
        <v>0</v>
      </c>
      <c r="R331" s="109">
        <f t="shared" si="362"/>
        <v>0</v>
      </c>
      <c r="S331" s="110">
        <f t="shared" si="363"/>
        <v>0</v>
      </c>
      <c r="T331" s="109">
        <f t="shared" si="364"/>
        <v>0</v>
      </c>
      <c r="U331" s="109">
        <f t="shared" si="365"/>
        <v>0</v>
      </c>
      <c r="V331" s="109">
        <f t="shared" si="366"/>
        <v>0</v>
      </c>
      <c r="W331" s="111">
        <f t="shared" si="367"/>
        <v>0</v>
      </c>
      <c r="X331" s="115">
        <f t="shared" si="370"/>
        <v>0</v>
      </c>
      <c r="Y331" s="38" t="s">
        <v>560</v>
      </c>
      <c r="Z331" s="42" t="s">
        <v>560</v>
      </c>
      <c r="AA331" s="67">
        <f t="shared" ref="AA331:AT331" si="408">IF($J219,SUMIF($AV$229:$AV$332,$Y331,AW$229:AW$332)*AA$227*$D219/$J219,0)</f>
        <v>0</v>
      </c>
      <c r="AB331" s="67">
        <f t="shared" si="408"/>
        <v>0</v>
      </c>
      <c r="AC331" s="67">
        <f t="shared" si="408"/>
        <v>0</v>
      </c>
      <c r="AD331" s="67">
        <f t="shared" si="408"/>
        <v>0</v>
      </c>
      <c r="AE331" s="67">
        <f t="shared" si="408"/>
        <v>0</v>
      </c>
      <c r="AF331" s="76">
        <f t="shared" si="408"/>
        <v>0</v>
      </c>
      <c r="AG331" s="67">
        <f t="shared" si="408"/>
        <v>0</v>
      </c>
      <c r="AH331" s="67">
        <f t="shared" si="408"/>
        <v>0</v>
      </c>
      <c r="AI331" s="67">
        <f t="shared" si="408"/>
        <v>0</v>
      </c>
      <c r="AJ331" s="68">
        <f t="shared" si="408"/>
        <v>0</v>
      </c>
      <c r="AK331" s="67">
        <f t="shared" si="408"/>
        <v>0</v>
      </c>
      <c r="AL331" s="67">
        <f t="shared" si="408"/>
        <v>0</v>
      </c>
      <c r="AM331" s="67">
        <f t="shared" si="408"/>
        <v>0</v>
      </c>
      <c r="AN331" s="67">
        <f t="shared" si="408"/>
        <v>0</v>
      </c>
      <c r="AO331" s="67">
        <f t="shared" si="408"/>
        <v>0</v>
      </c>
      <c r="AP331" s="76">
        <f t="shared" si="408"/>
        <v>0</v>
      </c>
      <c r="AQ331" s="67">
        <f t="shared" si="408"/>
        <v>0</v>
      </c>
      <c r="AR331" s="67">
        <f t="shared" si="408"/>
        <v>0</v>
      </c>
      <c r="AS331" s="67">
        <f t="shared" si="408"/>
        <v>0</v>
      </c>
      <c r="AT331" s="68">
        <f t="shared" si="408"/>
        <v>0</v>
      </c>
      <c r="AU331" s="2"/>
      <c r="AV331" s="104" t="s">
        <v>560</v>
      </c>
      <c r="AW331" s="94">
        <v>0</v>
      </c>
      <c r="AX331" s="94">
        <v>0</v>
      </c>
      <c r="AY331" s="94">
        <v>0</v>
      </c>
      <c r="AZ331" s="94">
        <v>0</v>
      </c>
      <c r="BA331" s="94">
        <v>0</v>
      </c>
      <c r="BB331" s="106">
        <v>0</v>
      </c>
      <c r="BC331" s="94">
        <v>0</v>
      </c>
      <c r="BD331" s="94">
        <v>0</v>
      </c>
      <c r="BE331" s="94">
        <v>0</v>
      </c>
      <c r="BF331" s="95">
        <v>0</v>
      </c>
      <c r="BG331" s="94">
        <v>0</v>
      </c>
      <c r="BH331" s="94">
        <v>0</v>
      </c>
      <c r="BI331" s="94">
        <v>0</v>
      </c>
      <c r="BJ331" s="94">
        <v>0</v>
      </c>
      <c r="BK331" s="94">
        <v>0</v>
      </c>
      <c r="BL331" s="106">
        <v>0</v>
      </c>
      <c r="BM331" s="94">
        <v>0</v>
      </c>
      <c r="BN331" s="94">
        <v>0</v>
      </c>
      <c r="BO331" s="94">
        <v>0</v>
      </c>
      <c r="BP331" s="95">
        <v>0</v>
      </c>
      <c r="BQ331" s="2"/>
      <c r="BR331" s="2"/>
      <c r="BS331" s="2"/>
    </row>
    <row r="332" spans="1:71" x14ac:dyDescent="0.35">
      <c r="A332" s="2"/>
      <c r="B332" s="2"/>
      <c r="C332" s="45" t="s">
        <v>561</v>
      </c>
      <c r="D332" s="112">
        <f t="shared" si="369"/>
        <v>0</v>
      </c>
      <c r="E332" s="112">
        <f t="shared" si="349"/>
        <v>0</v>
      </c>
      <c r="F332" s="112">
        <f t="shared" si="350"/>
        <v>0</v>
      </c>
      <c r="G332" s="112">
        <f t="shared" si="351"/>
        <v>0</v>
      </c>
      <c r="H332" s="112">
        <f t="shared" si="352"/>
        <v>0</v>
      </c>
      <c r="I332" s="113">
        <f t="shared" si="353"/>
        <v>0</v>
      </c>
      <c r="J332" s="112">
        <f t="shared" si="354"/>
        <v>0</v>
      </c>
      <c r="K332" s="112">
        <f t="shared" si="355"/>
        <v>0</v>
      </c>
      <c r="L332" s="112">
        <f t="shared" si="356"/>
        <v>0</v>
      </c>
      <c r="M332" s="114">
        <f t="shared" si="357"/>
        <v>0</v>
      </c>
      <c r="N332" s="112">
        <f t="shared" si="358"/>
        <v>0</v>
      </c>
      <c r="O332" s="112">
        <f t="shared" si="359"/>
        <v>0</v>
      </c>
      <c r="P332" s="112">
        <f t="shared" si="360"/>
        <v>0</v>
      </c>
      <c r="Q332" s="112">
        <f t="shared" si="361"/>
        <v>0</v>
      </c>
      <c r="R332" s="112">
        <f t="shared" si="362"/>
        <v>0</v>
      </c>
      <c r="S332" s="113">
        <f t="shared" si="363"/>
        <v>0</v>
      </c>
      <c r="T332" s="112">
        <f t="shared" si="364"/>
        <v>0</v>
      </c>
      <c r="U332" s="112">
        <f t="shared" si="365"/>
        <v>0</v>
      </c>
      <c r="V332" s="112">
        <f t="shared" si="366"/>
        <v>0</v>
      </c>
      <c r="W332" s="114">
        <f t="shared" si="367"/>
        <v>0</v>
      </c>
      <c r="X332" s="115">
        <f t="shared" si="370"/>
        <v>0</v>
      </c>
      <c r="Y332" s="38" t="s">
        <v>561</v>
      </c>
      <c r="Z332" s="45" t="s">
        <v>561</v>
      </c>
      <c r="AA332" s="69">
        <f t="shared" ref="AA332:AT332" si="409">IF($J220,SUMIF($AV$229:$AV$332,$Y332,AW$229:AW$332)*AA$227*$D220/$J220,0)</f>
        <v>0</v>
      </c>
      <c r="AB332" s="69">
        <f t="shared" si="409"/>
        <v>0</v>
      </c>
      <c r="AC332" s="69">
        <f t="shared" si="409"/>
        <v>0</v>
      </c>
      <c r="AD332" s="69">
        <f t="shared" si="409"/>
        <v>0</v>
      </c>
      <c r="AE332" s="69">
        <f t="shared" si="409"/>
        <v>0</v>
      </c>
      <c r="AF332" s="77">
        <f t="shared" si="409"/>
        <v>0</v>
      </c>
      <c r="AG332" s="69">
        <f t="shared" si="409"/>
        <v>0</v>
      </c>
      <c r="AH332" s="69">
        <f t="shared" si="409"/>
        <v>0</v>
      </c>
      <c r="AI332" s="69">
        <f t="shared" si="409"/>
        <v>0</v>
      </c>
      <c r="AJ332" s="71">
        <f t="shared" si="409"/>
        <v>0</v>
      </c>
      <c r="AK332" s="69">
        <f t="shared" si="409"/>
        <v>0</v>
      </c>
      <c r="AL332" s="69">
        <f t="shared" si="409"/>
        <v>0</v>
      </c>
      <c r="AM332" s="69">
        <f t="shared" si="409"/>
        <v>0</v>
      </c>
      <c r="AN332" s="69">
        <f t="shared" si="409"/>
        <v>0</v>
      </c>
      <c r="AO332" s="69">
        <f t="shared" si="409"/>
        <v>0</v>
      </c>
      <c r="AP332" s="77">
        <f t="shared" si="409"/>
        <v>0</v>
      </c>
      <c r="AQ332" s="69">
        <f t="shared" si="409"/>
        <v>0</v>
      </c>
      <c r="AR332" s="69">
        <f t="shared" si="409"/>
        <v>0</v>
      </c>
      <c r="AS332" s="69">
        <f t="shared" si="409"/>
        <v>0</v>
      </c>
      <c r="AT332" s="71">
        <f t="shared" si="409"/>
        <v>0</v>
      </c>
      <c r="AU332" s="2"/>
      <c r="AV332" s="105" t="s">
        <v>561</v>
      </c>
      <c r="AW332" s="97"/>
      <c r="AX332" s="97"/>
      <c r="AY332" s="97"/>
      <c r="AZ332" s="97"/>
      <c r="BA332" s="97"/>
      <c r="BB332" s="107"/>
      <c r="BC332" s="97"/>
      <c r="BD332" s="97"/>
      <c r="BE332" s="97"/>
      <c r="BF332" s="98"/>
      <c r="BG332" s="97"/>
      <c r="BH332" s="97"/>
      <c r="BI332" s="97"/>
      <c r="BJ332" s="97"/>
      <c r="BK332" s="97"/>
      <c r="BL332" s="107"/>
      <c r="BM332" s="97"/>
      <c r="BN332" s="97"/>
      <c r="BO332" s="97"/>
      <c r="BP332" s="98"/>
      <c r="BQ332" s="2"/>
      <c r="BR332" s="2"/>
      <c r="BS332" s="2"/>
    </row>
    <row r="333" spans="1:7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</row>
    <row r="334" spans="1:7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</row>
    <row r="335" spans="1:71" x14ac:dyDescent="0.35">
      <c r="A335" s="100" t="s">
        <v>603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</row>
    <row r="336" spans="1:71" x14ac:dyDescent="0.35">
      <c r="A336" s="101" t="s">
        <v>604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4" t="s">
        <v>672</v>
      </c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4" t="s">
        <v>697</v>
      </c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</row>
    <row r="337" spans="1:71" x14ac:dyDescent="0.35">
      <c r="A337" s="2"/>
      <c r="B337" s="2"/>
      <c r="C337" s="4" t="s">
        <v>637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7" t="s">
        <v>644</v>
      </c>
      <c r="AA337" s="108">
        <v>1</v>
      </c>
      <c r="AB337" s="108">
        <v>1</v>
      </c>
      <c r="AC337" s="108">
        <v>1</v>
      </c>
      <c r="AD337" s="108">
        <v>1</v>
      </c>
      <c r="AE337" s="108">
        <v>1</v>
      </c>
      <c r="AF337" s="108">
        <v>1</v>
      </c>
      <c r="AG337" s="108">
        <v>1</v>
      </c>
      <c r="AH337" s="108">
        <v>1</v>
      </c>
      <c r="AI337" s="108">
        <v>1</v>
      </c>
      <c r="AJ337" s="108">
        <v>1</v>
      </c>
      <c r="AK337" s="108">
        <v>1</v>
      </c>
      <c r="AL337" s="108">
        <v>1</v>
      </c>
      <c r="AM337" s="108">
        <v>1</v>
      </c>
      <c r="AN337" s="108">
        <v>1</v>
      </c>
      <c r="AO337" s="108">
        <v>1</v>
      </c>
      <c r="AP337" s="108">
        <v>1</v>
      </c>
      <c r="AQ337" s="108">
        <v>1</v>
      </c>
      <c r="AR337" s="108">
        <v>1</v>
      </c>
      <c r="AS337" s="108">
        <v>1</v>
      </c>
      <c r="AT337" s="108">
        <v>1</v>
      </c>
      <c r="AU337" s="2"/>
      <c r="AV337" s="24" t="s">
        <v>698</v>
      </c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</row>
    <row r="338" spans="1:71" x14ac:dyDescent="0.35">
      <c r="A338" s="2"/>
      <c r="B338" s="2"/>
      <c r="C338" s="39"/>
      <c r="D338" s="64" t="s">
        <v>283</v>
      </c>
      <c r="E338" s="64" t="s">
        <v>285</v>
      </c>
      <c r="F338" s="64" t="s">
        <v>287</v>
      </c>
      <c r="G338" s="64" t="s">
        <v>289</v>
      </c>
      <c r="H338" s="64" t="s">
        <v>291</v>
      </c>
      <c r="I338" s="102" t="s">
        <v>293</v>
      </c>
      <c r="J338" s="64" t="s">
        <v>295</v>
      </c>
      <c r="K338" s="64" t="s">
        <v>297</v>
      </c>
      <c r="L338" s="64" t="s">
        <v>299</v>
      </c>
      <c r="M338" s="66" t="s">
        <v>301</v>
      </c>
      <c r="N338" s="64" t="s">
        <v>303</v>
      </c>
      <c r="O338" s="64" t="s">
        <v>305</v>
      </c>
      <c r="P338" s="64" t="s">
        <v>307</v>
      </c>
      <c r="Q338" s="64" t="s">
        <v>309</v>
      </c>
      <c r="R338" s="64" t="s">
        <v>311</v>
      </c>
      <c r="S338" s="102" t="s">
        <v>322</v>
      </c>
      <c r="T338" s="64" t="s">
        <v>323</v>
      </c>
      <c r="U338" s="64" t="s">
        <v>324</v>
      </c>
      <c r="V338" s="64" t="s">
        <v>325</v>
      </c>
      <c r="W338" s="66" t="s">
        <v>326</v>
      </c>
      <c r="X338" s="2"/>
      <c r="Y338" s="2"/>
      <c r="Z338" s="39"/>
      <c r="AA338" s="64" t="s">
        <v>283</v>
      </c>
      <c r="AB338" s="64" t="s">
        <v>285</v>
      </c>
      <c r="AC338" s="64" t="s">
        <v>287</v>
      </c>
      <c r="AD338" s="64" t="s">
        <v>289</v>
      </c>
      <c r="AE338" s="64" t="s">
        <v>291</v>
      </c>
      <c r="AF338" s="102" t="s">
        <v>293</v>
      </c>
      <c r="AG338" s="64" t="s">
        <v>295</v>
      </c>
      <c r="AH338" s="64" t="s">
        <v>297</v>
      </c>
      <c r="AI338" s="64" t="s">
        <v>299</v>
      </c>
      <c r="AJ338" s="66" t="s">
        <v>301</v>
      </c>
      <c r="AK338" s="64" t="s">
        <v>303</v>
      </c>
      <c r="AL338" s="64" t="s">
        <v>305</v>
      </c>
      <c r="AM338" s="64" t="s">
        <v>307</v>
      </c>
      <c r="AN338" s="64" t="s">
        <v>309</v>
      </c>
      <c r="AO338" s="64" t="s">
        <v>311</v>
      </c>
      <c r="AP338" s="102" t="s">
        <v>322</v>
      </c>
      <c r="AQ338" s="64" t="s">
        <v>323</v>
      </c>
      <c r="AR338" s="64" t="s">
        <v>324</v>
      </c>
      <c r="AS338" s="64" t="s">
        <v>325</v>
      </c>
      <c r="AT338" s="66" t="s">
        <v>326</v>
      </c>
      <c r="AU338" s="2"/>
      <c r="AV338" s="103" t="s">
        <v>652</v>
      </c>
      <c r="AW338" s="91" t="s">
        <v>673</v>
      </c>
      <c r="AX338" s="91" t="s">
        <v>674</v>
      </c>
      <c r="AY338" s="91" t="s">
        <v>675</v>
      </c>
      <c r="AZ338" s="91" t="s">
        <v>676</v>
      </c>
      <c r="BA338" s="91" t="s">
        <v>677</v>
      </c>
      <c r="BB338" s="90" t="s">
        <v>678</v>
      </c>
      <c r="BC338" s="91" t="s">
        <v>679</v>
      </c>
      <c r="BD338" s="91" t="s">
        <v>680</v>
      </c>
      <c r="BE338" s="91" t="s">
        <v>681</v>
      </c>
      <c r="BF338" s="92" t="s">
        <v>682</v>
      </c>
      <c r="BG338" s="91" t="s">
        <v>683</v>
      </c>
      <c r="BH338" s="91" t="s">
        <v>684</v>
      </c>
      <c r="BI338" s="91" t="s">
        <v>685</v>
      </c>
      <c r="BJ338" s="91" t="s">
        <v>686</v>
      </c>
      <c r="BK338" s="91" t="s">
        <v>687</v>
      </c>
      <c r="BL338" s="90" t="s">
        <v>688</v>
      </c>
      <c r="BM338" s="91" t="s">
        <v>689</v>
      </c>
      <c r="BN338" s="91" t="s">
        <v>690</v>
      </c>
      <c r="BO338" s="91" t="s">
        <v>691</v>
      </c>
      <c r="BP338" s="92" t="s">
        <v>692</v>
      </c>
      <c r="BQ338" s="2"/>
      <c r="BR338" s="2"/>
      <c r="BS338" s="2"/>
    </row>
    <row r="339" spans="1:71" x14ac:dyDescent="0.35">
      <c r="A339" s="2"/>
      <c r="B339" s="2"/>
      <c r="C339" s="42" t="s">
        <v>8</v>
      </c>
      <c r="D339" s="109">
        <f>IF(SUM($AA339:$AT339),AA339/SUM($AA339:$AT339),0)</f>
        <v>7.7741862809004247E-2</v>
      </c>
      <c r="E339" s="109">
        <f t="shared" ref="E339:E402" si="410">IF(SUM($AA339:$AT339),AB339/SUM($AA339:$AT339),0)</f>
        <v>0.12811140791108031</v>
      </c>
      <c r="F339" s="109">
        <f t="shared" ref="F339:F402" si="411">IF(SUM($AA339:$AT339),AC339/SUM($AA339:$AT339),0)</f>
        <v>0.21020467934257911</v>
      </c>
      <c r="G339" s="109">
        <f t="shared" ref="G339:G402" si="412">IF(SUM($AA339:$AT339),AD339/SUM($AA339:$AT339),0)</f>
        <v>0.22813236276241416</v>
      </c>
      <c r="H339" s="109">
        <f t="shared" ref="H339:H402" si="413">IF(SUM($AA339:$AT339),AE339/SUM($AA339:$AT339),0)</f>
        <v>0.20098425772546444</v>
      </c>
      <c r="I339" s="110">
        <f t="shared" ref="I339:I402" si="414">IF(SUM($AA339:$AT339),AF339/SUM($AA339:$AT339),0)</f>
        <v>2.1867699028813056E-3</v>
      </c>
      <c r="J339" s="109">
        <f t="shared" ref="J339:J402" si="415">IF(SUM($AA339:$AT339),AG339/SUM($AA339:$AT339),0)</f>
        <v>0</v>
      </c>
      <c r="K339" s="109">
        <f t="shared" ref="K339:K402" si="416">IF(SUM($AA339:$AT339),AH339/SUM($AA339:$AT339),0)</f>
        <v>6.7208422143492106E-4</v>
      </c>
      <c r="L339" s="109">
        <f t="shared" ref="L339:L402" si="417">IF(SUM($AA339:$AT339),AI339/SUM($AA339:$AT339),0)</f>
        <v>2.7781462995637883E-3</v>
      </c>
      <c r="M339" s="111">
        <f t="shared" ref="M339:M402" si="418">IF(SUM($AA339:$AT339),AJ339/SUM($AA339:$AT339),0)</f>
        <v>2.9290280079663088E-3</v>
      </c>
      <c r="N339" s="109">
        <f t="shared" ref="N339:N402" si="419">IF(SUM($AA339:$AT339),AK339/SUM($AA339:$AT339),0)</f>
        <v>2.9087221468810215E-3</v>
      </c>
      <c r="O339" s="109">
        <f t="shared" ref="O339:O402" si="420">IF(SUM($AA339:$AT339),AL339/SUM($AA339:$AT339),0)</f>
        <v>1.0597360869830741E-2</v>
      </c>
      <c r="P339" s="109">
        <f t="shared" ref="P339:P402" si="421">IF(SUM($AA339:$AT339),AM339/SUM($AA339:$AT339),0)</f>
        <v>6.6770081878234563E-3</v>
      </c>
      <c r="Q339" s="109">
        <f t="shared" ref="Q339:Q402" si="422">IF(SUM($AA339:$AT339),AN339/SUM($AA339:$AT339),0)</f>
        <v>1.6124982678799381E-2</v>
      </c>
      <c r="R339" s="109">
        <f t="shared" ref="R339:R402" si="423">IF(SUM($AA339:$AT339),AO339/SUM($AA339:$AT339),0)</f>
        <v>6.5660333490200035E-2</v>
      </c>
      <c r="S339" s="110">
        <f t="shared" ref="S339:S402" si="424">IF(SUM($AA339:$AT339),AP339/SUM($AA339:$AT339),0)</f>
        <v>4.0467995012642336E-4</v>
      </c>
      <c r="T339" s="109">
        <f t="shared" ref="T339:T402" si="425">IF(SUM($AA339:$AT339),AQ339/SUM($AA339:$AT339),0)</f>
        <v>1.7084320108343768E-3</v>
      </c>
      <c r="U339" s="109">
        <f t="shared" ref="U339:U402" si="426">IF(SUM($AA339:$AT339),AR339/SUM($AA339:$AT339),0)</f>
        <v>4.9244215316040837E-3</v>
      </c>
      <c r="V339" s="109">
        <f t="shared" ref="V339:V402" si="427">IF(SUM($AA339:$AT339),AS339/SUM($AA339:$AT339),0)</f>
        <v>1.3480335116999774E-2</v>
      </c>
      <c r="W339" s="111">
        <f t="shared" ref="W339:W402" si="428">IF(SUM($AA339:$AT339),AT339/SUM($AA339:$AT339),0)</f>
        <v>2.377312503451201E-2</v>
      </c>
      <c r="X339" s="115">
        <f>SUM(D339:W339)</f>
        <v>1</v>
      </c>
      <c r="Y339" s="38" t="s">
        <v>443</v>
      </c>
      <c r="Z339" s="42" t="s">
        <v>8</v>
      </c>
      <c r="AA339" s="67">
        <f t="shared" ref="AA339:AT339" si="429">(SUMIF($AV$339:$AV$442,$Y339,AW$339:AW$442)*AA$337+IF($J117,SUMIF($AV$229:$AV$332,$Y229,AW$229:AW$332)*AA$227*(1-$D117/$J117),0))*$AU339</f>
        <v>916.55319999999995</v>
      </c>
      <c r="AB339" s="67">
        <f t="shared" si="429"/>
        <v>1510.395</v>
      </c>
      <c r="AC339" s="67">
        <f t="shared" si="429"/>
        <v>2478.25</v>
      </c>
      <c r="AD339" s="67">
        <f t="shared" si="429"/>
        <v>2689.6120000000001</v>
      </c>
      <c r="AE339" s="67">
        <f t="shared" si="429"/>
        <v>2369.5439999999999</v>
      </c>
      <c r="AF339" s="76">
        <f t="shared" si="429"/>
        <v>25.781359999999999</v>
      </c>
      <c r="AG339" s="67">
        <f t="shared" si="429"/>
        <v>0</v>
      </c>
      <c r="AH339" s="67">
        <f t="shared" si="429"/>
        <v>7.9236709999999997</v>
      </c>
      <c r="AI339" s="67">
        <f t="shared" si="429"/>
        <v>32.753509999999999</v>
      </c>
      <c r="AJ339" s="68">
        <f t="shared" si="429"/>
        <v>34.532359999999997</v>
      </c>
      <c r="AK339" s="67">
        <f t="shared" si="429"/>
        <v>34.292960000000001</v>
      </c>
      <c r="AL339" s="67">
        <f t="shared" si="429"/>
        <v>124.9397</v>
      </c>
      <c r="AM339" s="67">
        <f t="shared" si="429"/>
        <v>78.719920000000002</v>
      </c>
      <c r="AN339" s="67">
        <f t="shared" si="429"/>
        <v>190.1087</v>
      </c>
      <c r="AO339" s="67">
        <f t="shared" si="429"/>
        <v>774.11559999999997</v>
      </c>
      <c r="AP339" s="76">
        <f t="shared" si="429"/>
        <v>4.7710549999999996</v>
      </c>
      <c r="AQ339" s="67">
        <f t="shared" si="429"/>
        <v>20.1419</v>
      </c>
      <c r="AR339" s="67">
        <f t="shared" si="429"/>
        <v>58.057450000000003</v>
      </c>
      <c r="AS339" s="67">
        <f t="shared" si="429"/>
        <v>158.92910000000001</v>
      </c>
      <c r="AT339" s="68">
        <f t="shared" si="429"/>
        <v>280.27800000000002</v>
      </c>
      <c r="AU339" s="216">
        <v>1</v>
      </c>
      <c r="AV339" s="104" t="s">
        <v>443</v>
      </c>
      <c r="AW339" s="94">
        <v>916.55319999999995</v>
      </c>
      <c r="AX339" s="94">
        <v>1510.395</v>
      </c>
      <c r="AY339" s="94">
        <v>2478.25</v>
      </c>
      <c r="AZ339" s="94">
        <v>2689.6120000000001</v>
      </c>
      <c r="BA339" s="94">
        <v>2369.5439999999999</v>
      </c>
      <c r="BB339" s="106">
        <v>25.781359999999999</v>
      </c>
      <c r="BC339" s="94">
        <v>0</v>
      </c>
      <c r="BD339" s="94">
        <v>7.9236709999999997</v>
      </c>
      <c r="BE339" s="94">
        <v>32.753509999999999</v>
      </c>
      <c r="BF339" s="95">
        <v>34.532359999999997</v>
      </c>
      <c r="BG339" s="94">
        <v>34.292960000000001</v>
      </c>
      <c r="BH339" s="94">
        <v>124.9397</v>
      </c>
      <c r="BI339" s="94">
        <v>78.719920000000002</v>
      </c>
      <c r="BJ339" s="94">
        <v>190.1087</v>
      </c>
      <c r="BK339" s="94">
        <v>774.11559999999997</v>
      </c>
      <c r="BL339" s="106">
        <v>4.7710549999999996</v>
      </c>
      <c r="BM339" s="94">
        <v>20.1419</v>
      </c>
      <c r="BN339" s="94">
        <v>58.057450000000003</v>
      </c>
      <c r="BO339" s="94">
        <v>158.92910000000001</v>
      </c>
      <c r="BP339" s="95">
        <v>280.27800000000002</v>
      </c>
      <c r="BQ339" s="2"/>
      <c r="BR339" s="2"/>
      <c r="BS339" s="2"/>
    </row>
    <row r="340" spans="1:71" x14ac:dyDescent="0.35">
      <c r="A340" s="2"/>
      <c r="B340" s="2"/>
      <c r="C340" s="42" t="s">
        <v>12</v>
      </c>
      <c r="D340" s="109">
        <f t="shared" ref="D340:D403" si="430">IF(SUM($AA340:$AT340),AA340/SUM($AA340:$AT340),0)</f>
        <v>0.17060048132170319</v>
      </c>
      <c r="E340" s="109">
        <f t="shared" si="410"/>
        <v>0.217545722798374</v>
      </c>
      <c r="F340" s="109">
        <f t="shared" si="411"/>
        <v>0.22751140128172537</v>
      </c>
      <c r="G340" s="109">
        <f t="shared" si="412"/>
        <v>0.20681814511010951</v>
      </c>
      <c r="H340" s="109">
        <f t="shared" si="413"/>
        <v>9.180382228511394E-2</v>
      </c>
      <c r="I340" s="110">
        <f t="shared" si="414"/>
        <v>4.9287001384219927E-4</v>
      </c>
      <c r="J340" s="109">
        <f t="shared" si="415"/>
        <v>1.5037411234612713E-4</v>
      </c>
      <c r="K340" s="109">
        <f t="shared" si="416"/>
        <v>1.1701525666013937E-3</v>
      </c>
      <c r="L340" s="109">
        <f t="shared" si="417"/>
        <v>3.5218527296486169E-3</v>
      </c>
      <c r="M340" s="111">
        <f t="shared" si="418"/>
        <v>7.8386018548795983E-3</v>
      </c>
      <c r="N340" s="109">
        <f t="shared" si="419"/>
        <v>4.8162146254476616E-3</v>
      </c>
      <c r="O340" s="109">
        <f t="shared" si="420"/>
        <v>6.6450124573071527E-3</v>
      </c>
      <c r="P340" s="109">
        <f t="shared" si="421"/>
        <v>6.7817248896742278E-3</v>
      </c>
      <c r="Q340" s="109">
        <f t="shared" si="422"/>
        <v>7.7968054133652582E-3</v>
      </c>
      <c r="R340" s="109">
        <f t="shared" si="423"/>
        <v>2.1889893692909199E-2</v>
      </c>
      <c r="S340" s="110">
        <f t="shared" si="424"/>
        <v>4.8734176594596922E-4</v>
      </c>
      <c r="T340" s="109">
        <f t="shared" si="425"/>
        <v>9.3625873146490094E-4</v>
      </c>
      <c r="U340" s="109">
        <f t="shared" si="426"/>
        <v>1.1699744739794983E-3</v>
      </c>
      <c r="V340" s="109">
        <f t="shared" si="427"/>
        <v>6.443720373453094E-3</v>
      </c>
      <c r="W340" s="111">
        <f t="shared" si="428"/>
        <v>1.5579629502109237E-2</v>
      </c>
      <c r="X340" s="115">
        <f t="shared" ref="X340:X403" si="431">SUM(D340:W340)</f>
        <v>1.0000000000000002</v>
      </c>
      <c r="Y340" s="38" t="s">
        <v>440</v>
      </c>
      <c r="Z340" s="42" t="s">
        <v>12</v>
      </c>
      <c r="AA340" s="67">
        <f t="shared" ref="AA340:AT340" si="432">(SUMIF($AV$339:$AV$442,$Y340,AW$339:AW$442)*AA$337+IF($J118,SUMIF($AV$229:$AV$332,$Y230,AW$229:AW$332)*AA$227*(1-$D118/$J118),0))*$AU340</f>
        <v>6475.6149999999998</v>
      </c>
      <c r="AB340" s="67">
        <f t="shared" si="432"/>
        <v>8257.5519999999997</v>
      </c>
      <c r="AC340" s="67">
        <f t="shared" si="432"/>
        <v>8635.8269999999993</v>
      </c>
      <c r="AD340" s="67">
        <f t="shared" si="432"/>
        <v>7850.357</v>
      </c>
      <c r="AE340" s="67">
        <f t="shared" si="432"/>
        <v>3484.6689999999999</v>
      </c>
      <c r="AF340" s="76">
        <f t="shared" si="432"/>
        <v>18.70825</v>
      </c>
      <c r="AG340" s="67">
        <f t="shared" si="432"/>
        <v>5.7078670000000002</v>
      </c>
      <c r="AH340" s="67">
        <f t="shared" si="432"/>
        <v>44.41639</v>
      </c>
      <c r="AI340" s="67">
        <f t="shared" si="432"/>
        <v>133.68170000000001</v>
      </c>
      <c r="AJ340" s="68">
        <f t="shared" si="432"/>
        <v>297.53590000000003</v>
      </c>
      <c r="AK340" s="67">
        <f t="shared" si="432"/>
        <v>182.81280000000001</v>
      </c>
      <c r="AL340" s="67">
        <f t="shared" si="432"/>
        <v>252.22989999999999</v>
      </c>
      <c r="AM340" s="67">
        <f t="shared" si="432"/>
        <v>257.41919999999999</v>
      </c>
      <c r="AN340" s="67">
        <f t="shared" si="432"/>
        <v>295.94940000000003</v>
      </c>
      <c r="AO340" s="67">
        <f t="shared" si="432"/>
        <v>830.89170000000001</v>
      </c>
      <c r="AP340" s="76">
        <f t="shared" si="432"/>
        <v>18.49841</v>
      </c>
      <c r="AQ340" s="67">
        <f t="shared" si="432"/>
        <v>35.5383</v>
      </c>
      <c r="AR340" s="67">
        <f t="shared" si="432"/>
        <v>44.40963</v>
      </c>
      <c r="AS340" s="67">
        <f t="shared" si="432"/>
        <v>244.58930000000001</v>
      </c>
      <c r="AT340" s="68">
        <f t="shared" si="432"/>
        <v>591.36810000000003</v>
      </c>
      <c r="AU340" s="216">
        <v>1</v>
      </c>
      <c r="AV340" s="104" t="s">
        <v>440</v>
      </c>
      <c r="AW340" s="94">
        <v>6475.6149999999998</v>
      </c>
      <c r="AX340" s="94">
        <v>8257.5519999999997</v>
      </c>
      <c r="AY340" s="94">
        <v>8635.8269999999993</v>
      </c>
      <c r="AZ340" s="94">
        <v>7850.357</v>
      </c>
      <c r="BA340" s="94">
        <v>3484.6689999999999</v>
      </c>
      <c r="BB340" s="106">
        <v>18.70825</v>
      </c>
      <c r="BC340" s="94">
        <v>5.7078670000000002</v>
      </c>
      <c r="BD340" s="94">
        <v>44.41639</v>
      </c>
      <c r="BE340" s="94">
        <v>133.68170000000001</v>
      </c>
      <c r="BF340" s="95">
        <v>297.53590000000003</v>
      </c>
      <c r="BG340" s="94">
        <v>182.81280000000001</v>
      </c>
      <c r="BH340" s="94">
        <v>252.22989999999999</v>
      </c>
      <c r="BI340" s="94">
        <v>257.41919999999999</v>
      </c>
      <c r="BJ340" s="94">
        <v>295.94940000000003</v>
      </c>
      <c r="BK340" s="94">
        <v>830.89170000000001</v>
      </c>
      <c r="BL340" s="106">
        <v>18.49841</v>
      </c>
      <c r="BM340" s="94">
        <v>35.5383</v>
      </c>
      <c r="BN340" s="94">
        <v>44.40963</v>
      </c>
      <c r="BO340" s="94">
        <v>244.58930000000001</v>
      </c>
      <c r="BP340" s="95">
        <v>591.36810000000003</v>
      </c>
      <c r="BQ340" s="2"/>
      <c r="BR340" s="2"/>
      <c r="BS340" s="2"/>
    </row>
    <row r="341" spans="1:71" x14ac:dyDescent="0.35">
      <c r="A341" s="2"/>
      <c r="B341" s="2"/>
      <c r="C341" s="42" t="s">
        <v>16</v>
      </c>
      <c r="D341" s="109">
        <f t="shared" si="430"/>
        <v>6.8464787727088625E-2</v>
      </c>
      <c r="E341" s="109">
        <f t="shared" si="410"/>
        <v>9.8109474577582012E-2</v>
      </c>
      <c r="F341" s="109">
        <f t="shared" si="411"/>
        <v>0.19578451104582908</v>
      </c>
      <c r="G341" s="109">
        <f t="shared" si="412"/>
        <v>0.19386283046498315</v>
      </c>
      <c r="H341" s="109">
        <f t="shared" si="413"/>
        <v>0.20407485887034546</v>
      </c>
      <c r="I341" s="110">
        <f t="shared" si="414"/>
        <v>0</v>
      </c>
      <c r="J341" s="109">
        <f t="shared" si="415"/>
        <v>0</v>
      </c>
      <c r="K341" s="109">
        <f t="shared" si="416"/>
        <v>0</v>
      </c>
      <c r="L341" s="109">
        <f t="shared" si="417"/>
        <v>0</v>
      </c>
      <c r="M341" s="111">
        <f t="shared" si="418"/>
        <v>1.2261307583017821E-2</v>
      </c>
      <c r="N341" s="109">
        <f t="shared" si="419"/>
        <v>1.1853676110356853E-3</v>
      </c>
      <c r="O341" s="109">
        <f t="shared" si="420"/>
        <v>7.2409926326137018E-3</v>
      </c>
      <c r="P341" s="109">
        <f t="shared" si="421"/>
        <v>1.162844073678285E-2</v>
      </c>
      <c r="Q341" s="109">
        <f t="shared" si="422"/>
        <v>3.6385433854980102E-2</v>
      </c>
      <c r="R341" s="109">
        <f t="shared" si="423"/>
        <v>0.11629210899653002</v>
      </c>
      <c r="S341" s="110">
        <f t="shared" si="424"/>
        <v>0</v>
      </c>
      <c r="T341" s="109">
        <f t="shared" si="425"/>
        <v>0</v>
      </c>
      <c r="U341" s="109">
        <f t="shared" si="426"/>
        <v>0</v>
      </c>
      <c r="V341" s="109">
        <f t="shared" si="427"/>
        <v>0</v>
      </c>
      <c r="W341" s="111">
        <f t="shared" si="428"/>
        <v>5.47098858992114E-2</v>
      </c>
      <c r="X341" s="115">
        <f t="shared" si="431"/>
        <v>0.99999999999999978</v>
      </c>
      <c r="Y341" s="38" t="s">
        <v>450</v>
      </c>
      <c r="Z341" s="42" t="s">
        <v>16</v>
      </c>
      <c r="AA341" s="67">
        <f t="shared" ref="AA341:AT341" si="433">(SUMIF($AV$339:$AV$442,$Y341,AW$339:AW$442)*AA$337+IF($J119,SUMIF($AV$229:$AV$332,$Y231,AW$229:AW$332)*AA$227*(1-$D119/$J119),0))*$AU341</f>
        <v>82.673749999999998</v>
      </c>
      <c r="AB341" s="67">
        <f t="shared" si="433"/>
        <v>118.4708</v>
      </c>
      <c r="AC341" s="67">
        <f t="shared" si="433"/>
        <v>236.417</v>
      </c>
      <c r="AD341" s="67">
        <f t="shared" si="433"/>
        <v>234.09649999999999</v>
      </c>
      <c r="AE341" s="67">
        <f t="shared" si="433"/>
        <v>246.42789999999999</v>
      </c>
      <c r="AF341" s="76">
        <f t="shared" si="433"/>
        <v>0</v>
      </c>
      <c r="AG341" s="67">
        <f t="shared" si="433"/>
        <v>0</v>
      </c>
      <c r="AH341" s="67">
        <f t="shared" si="433"/>
        <v>0</v>
      </c>
      <c r="AI341" s="67">
        <f t="shared" si="433"/>
        <v>0</v>
      </c>
      <c r="AJ341" s="68">
        <f t="shared" si="433"/>
        <v>14.80598</v>
      </c>
      <c r="AK341" s="67">
        <f t="shared" si="433"/>
        <v>1.4313750000000001</v>
      </c>
      <c r="AL341" s="67">
        <f t="shared" si="433"/>
        <v>8.7437649999999998</v>
      </c>
      <c r="AM341" s="67">
        <f t="shared" si="433"/>
        <v>14.04177</v>
      </c>
      <c r="AN341" s="67">
        <f t="shared" si="433"/>
        <v>43.936750000000004</v>
      </c>
      <c r="AO341" s="67">
        <f t="shared" si="433"/>
        <v>140.42699999999999</v>
      </c>
      <c r="AP341" s="76">
        <f t="shared" si="433"/>
        <v>0</v>
      </c>
      <c r="AQ341" s="67">
        <f t="shared" si="433"/>
        <v>0</v>
      </c>
      <c r="AR341" s="67">
        <f t="shared" si="433"/>
        <v>0</v>
      </c>
      <c r="AS341" s="67">
        <f t="shared" si="433"/>
        <v>0</v>
      </c>
      <c r="AT341" s="68">
        <f t="shared" si="433"/>
        <v>66.0642</v>
      </c>
      <c r="AU341" s="216">
        <v>1</v>
      </c>
      <c r="AV341" s="104" t="s">
        <v>450</v>
      </c>
      <c r="AW341" s="94">
        <v>82.673749999999998</v>
      </c>
      <c r="AX341" s="94">
        <v>118.4708</v>
      </c>
      <c r="AY341" s="94">
        <v>236.417</v>
      </c>
      <c r="AZ341" s="94">
        <v>234.09649999999999</v>
      </c>
      <c r="BA341" s="94">
        <v>246.42789999999999</v>
      </c>
      <c r="BB341" s="106">
        <v>0</v>
      </c>
      <c r="BC341" s="94">
        <v>0</v>
      </c>
      <c r="BD341" s="94">
        <v>0</v>
      </c>
      <c r="BE341" s="94">
        <v>0</v>
      </c>
      <c r="BF341" s="95">
        <v>14.80598</v>
      </c>
      <c r="BG341" s="94">
        <v>1.4313750000000001</v>
      </c>
      <c r="BH341" s="94">
        <v>8.7437649999999998</v>
      </c>
      <c r="BI341" s="94">
        <v>14.04177</v>
      </c>
      <c r="BJ341" s="94">
        <v>43.936750000000004</v>
      </c>
      <c r="BK341" s="94">
        <v>140.42699999999999</v>
      </c>
      <c r="BL341" s="106">
        <v>0</v>
      </c>
      <c r="BM341" s="94">
        <v>0</v>
      </c>
      <c r="BN341" s="94">
        <v>0</v>
      </c>
      <c r="BO341" s="94">
        <v>0</v>
      </c>
      <c r="BP341" s="95">
        <v>66.0642</v>
      </c>
      <c r="BQ341" s="2"/>
      <c r="BR341" s="2"/>
      <c r="BS341" s="2"/>
    </row>
    <row r="342" spans="1:71" x14ac:dyDescent="0.35">
      <c r="A342" s="2"/>
      <c r="B342" s="2"/>
      <c r="C342" s="42" t="s">
        <v>20</v>
      </c>
      <c r="D342" s="109">
        <f t="shared" si="430"/>
        <v>5.6059242317933161E-2</v>
      </c>
      <c r="E342" s="109">
        <f t="shared" si="410"/>
        <v>0.10462677849948339</v>
      </c>
      <c r="F342" s="109">
        <f t="shared" si="411"/>
        <v>0.15515737684298894</v>
      </c>
      <c r="G342" s="109">
        <f t="shared" si="412"/>
        <v>0.23357403447185787</v>
      </c>
      <c r="H342" s="109">
        <f t="shared" si="413"/>
        <v>0.18380854301286542</v>
      </c>
      <c r="I342" s="110">
        <f t="shared" si="414"/>
        <v>4.6554919240934177E-4</v>
      </c>
      <c r="J342" s="109">
        <f t="shared" si="415"/>
        <v>4.5526678581511254E-4</v>
      </c>
      <c r="K342" s="109">
        <f t="shared" si="416"/>
        <v>1.9178108798566438E-3</v>
      </c>
      <c r="L342" s="109">
        <f t="shared" si="417"/>
        <v>3.5811590211797333E-3</v>
      </c>
      <c r="M342" s="111">
        <f t="shared" si="418"/>
        <v>1.1907383378550318E-2</v>
      </c>
      <c r="N342" s="109">
        <f t="shared" si="419"/>
        <v>5.1162988711694387E-3</v>
      </c>
      <c r="O342" s="109">
        <f t="shared" si="420"/>
        <v>9.8723355513646305E-3</v>
      </c>
      <c r="P342" s="109">
        <f t="shared" si="421"/>
        <v>1.7424226596364674E-2</v>
      </c>
      <c r="Q342" s="109">
        <f t="shared" si="422"/>
        <v>2.2471149827298444E-2</v>
      </c>
      <c r="R342" s="109">
        <f t="shared" si="423"/>
        <v>7.3007333582297093E-2</v>
      </c>
      <c r="S342" s="110">
        <f t="shared" si="424"/>
        <v>2.3283407243795758E-3</v>
      </c>
      <c r="T342" s="109">
        <f t="shared" si="425"/>
        <v>8.1777364028039184E-3</v>
      </c>
      <c r="U342" s="109">
        <f t="shared" si="426"/>
        <v>1.0100343177341119E-2</v>
      </c>
      <c r="V342" s="109">
        <f t="shared" si="427"/>
        <v>2.9431233978031903E-2</v>
      </c>
      <c r="W342" s="111">
        <f t="shared" si="428"/>
        <v>7.05178568860092E-2</v>
      </c>
      <c r="X342" s="115">
        <f t="shared" si="431"/>
        <v>1</v>
      </c>
      <c r="Y342" s="38" t="s">
        <v>446</v>
      </c>
      <c r="Z342" s="42" t="s">
        <v>20</v>
      </c>
      <c r="AA342" s="67">
        <f t="shared" ref="AA342:AT342" si="434">(SUMIF($AV$339:$AV$442,$Y342,AW$339:AW$442)*AA$337+IF($J120,SUMIF($AV$229:$AV$332,$Y232,AW$229:AW$332)*AA$227*(1-$D120/$J120),0))*$AU342</f>
        <v>5339.5379999999996</v>
      </c>
      <c r="AB342" s="67">
        <f t="shared" si="434"/>
        <v>9965.5049999999992</v>
      </c>
      <c r="AC342" s="67">
        <f t="shared" si="434"/>
        <v>14778.45</v>
      </c>
      <c r="AD342" s="67">
        <f t="shared" si="434"/>
        <v>22247.49</v>
      </c>
      <c r="AE342" s="67">
        <f t="shared" si="434"/>
        <v>17507.419999999998</v>
      </c>
      <c r="AF342" s="76">
        <f t="shared" si="434"/>
        <v>44.342689999999997</v>
      </c>
      <c r="AG342" s="67">
        <f t="shared" si="434"/>
        <v>43.363309999999998</v>
      </c>
      <c r="AH342" s="67">
        <f t="shared" si="434"/>
        <v>182.6679</v>
      </c>
      <c r="AI342" s="67">
        <f t="shared" si="434"/>
        <v>341.09870000000001</v>
      </c>
      <c r="AJ342" s="68">
        <f t="shared" si="434"/>
        <v>1134.1559999999999</v>
      </c>
      <c r="AK342" s="67">
        <f t="shared" si="434"/>
        <v>487.31790000000001</v>
      </c>
      <c r="AL342" s="67">
        <f t="shared" si="434"/>
        <v>940.32150000000001</v>
      </c>
      <c r="AM342" s="67">
        <f t="shared" si="434"/>
        <v>1659.625</v>
      </c>
      <c r="AN342" s="67">
        <f t="shared" si="434"/>
        <v>2140.335</v>
      </c>
      <c r="AO342" s="67">
        <f t="shared" si="434"/>
        <v>6953.8119999999999</v>
      </c>
      <c r="AP342" s="76">
        <f t="shared" si="434"/>
        <v>221.77010000000001</v>
      </c>
      <c r="AQ342" s="67">
        <f t="shared" si="434"/>
        <v>778.91409999999996</v>
      </c>
      <c r="AR342" s="67">
        <f t="shared" si="434"/>
        <v>962.03880000000004</v>
      </c>
      <c r="AS342" s="67">
        <f t="shared" si="434"/>
        <v>2803.27</v>
      </c>
      <c r="AT342" s="68">
        <f t="shared" si="434"/>
        <v>6716.6940000000004</v>
      </c>
      <c r="AU342" s="216">
        <v>1</v>
      </c>
      <c r="AV342" s="104" t="s">
        <v>446</v>
      </c>
      <c r="AW342" s="94">
        <v>5339.5379999999996</v>
      </c>
      <c r="AX342" s="94">
        <v>9965.5049999999992</v>
      </c>
      <c r="AY342" s="94">
        <v>14778.45</v>
      </c>
      <c r="AZ342" s="94">
        <v>22247.49</v>
      </c>
      <c r="BA342" s="94">
        <v>17507.419999999998</v>
      </c>
      <c r="BB342" s="106">
        <v>44.342689999999997</v>
      </c>
      <c r="BC342" s="94">
        <v>43.363309999999998</v>
      </c>
      <c r="BD342" s="94">
        <v>182.6679</v>
      </c>
      <c r="BE342" s="94">
        <v>341.09870000000001</v>
      </c>
      <c r="BF342" s="95">
        <v>1134.1559999999999</v>
      </c>
      <c r="BG342" s="94">
        <v>487.31790000000001</v>
      </c>
      <c r="BH342" s="94">
        <v>940.32150000000001</v>
      </c>
      <c r="BI342" s="94">
        <v>1659.625</v>
      </c>
      <c r="BJ342" s="94">
        <v>2140.335</v>
      </c>
      <c r="BK342" s="94">
        <v>6953.8119999999999</v>
      </c>
      <c r="BL342" s="106">
        <v>221.77010000000001</v>
      </c>
      <c r="BM342" s="94">
        <v>778.91409999999996</v>
      </c>
      <c r="BN342" s="94">
        <v>962.03880000000004</v>
      </c>
      <c r="BO342" s="94">
        <v>2803.27</v>
      </c>
      <c r="BP342" s="95">
        <v>6716.6940000000004</v>
      </c>
      <c r="BQ342" s="2"/>
      <c r="BR342" s="2"/>
      <c r="BS342" s="2"/>
    </row>
    <row r="343" spans="1:71" x14ac:dyDescent="0.35">
      <c r="A343" s="2"/>
      <c r="B343" s="2"/>
      <c r="C343" s="42" t="s">
        <v>24</v>
      </c>
      <c r="D343" s="109">
        <f t="shared" si="430"/>
        <v>5.0302062809192737E-3</v>
      </c>
      <c r="E343" s="109">
        <f t="shared" si="410"/>
        <v>2.7685586323647721E-2</v>
      </c>
      <c r="F343" s="109">
        <f t="shared" si="411"/>
        <v>0.13193012172681157</v>
      </c>
      <c r="G343" s="109">
        <f t="shared" si="412"/>
        <v>0.23138418668031857</v>
      </c>
      <c r="H343" s="109">
        <f t="shared" si="413"/>
        <v>0.2499862481315239</v>
      </c>
      <c r="I343" s="110">
        <f t="shared" si="414"/>
        <v>0</v>
      </c>
      <c r="J343" s="109">
        <f t="shared" si="415"/>
        <v>0</v>
      </c>
      <c r="K343" s="109">
        <f t="shared" si="416"/>
        <v>0</v>
      </c>
      <c r="L343" s="109">
        <f t="shared" si="417"/>
        <v>0</v>
      </c>
      <c r="M343" s="111">
        <f t="shared" si="418"/>
        <v>1.993969002120647E-2</v>
      </c>
      <c r="N343" s="109">
        <f t="shared" si="419"/>
        <v>2.6044060412553072E-2</v>
      </c>
      <c r="O343" s="109">
        <f t="shared" si="420"/>
        <v>1.8805636868649611E-2</v>
      </c>
      <c r="P343" s="109">
        <f t="shared" si="421"/>
        <v>3.5010480231811213E-2</v>
      </c>
      <c r="Q343" s="109">
        <f t="shared" si="422"/>
        <v>4.4768406462402308E-2</v>
      </c>
      <c r="R343" s="109">
        <f t="shared" si="423"/>
        <v>7.3258360420669008E-2</v>
      </c>
      <c r="S343" s="110">
        <f t="shared" si="424"/>
        <v>0</v>
      </c>
      <c r="T343" s="109">
        <f t="shared" si="425"/>
        <v>0</v>
      </c>
      <c r="U343" s="109">
        <f t="shared" si="426"/>
        <v>0</v>
      </c>
      <c r="V343" s="109">
        <f t="shared" si="427"/>
        <v>0</v>
      </c>
      <c r="W343" s="111">
        <f t="shared" si="428"/>
        <v>0.1361570164394873</v>
      </c>
      <c r="X343" s="115">
        <f t="shared" si="431"/>
        <v>1</v>
      </c>
      <c r="Y343" s="38" t="s">
        <v>454</v>
      </c>
      <c r="Z343" s="42" t="s">
        <v>24</v>
      </c>
      <c r="AA343" s="67">
        <f t="shared" ref="AA343:AT343" si="435">(SUMIF($AV$339:$AV$442,$Y343,AW$339:AW$442)*AA$337+IF($J121,SUMIF($AV$229:$AV$332,$Y233,AW$229:AW$332)*AA$227*(1-$D121/$J121),0))*$AU343</f>
        <v>1.1479200000000001</v>
      </c>
      <c r="AB343" s="67">
        <f t="shared" si="435"/>
        <v>6.3179990000000004</v>
      </c>
      <c r="AC343" s="67">
        <f t="shared" si="435"/>
        <v>30.10716</v>
      </c>
      <c r="AD343" s="67">
        <f t="shared" si="435"/>
        <v>52.803109999999997</v>
      </c>
      <c r="AE343" s="67">
        <f t="shared" si="435"/>
        <v>57.048200000000001</v>
      </c>
      <c r="AF343" s="76">
        <f t="shared" si="435"/>
        <v>0</v>
      </c>
      <c r="AG343" s="67">
        <f t="shared" si="435"/>
        <v>0</v>
      </c>
      <c r="AH343" s="67">
        <f t="shared" si="435"/>
        <v>0</v>
      </c>
      <c r="AI343" s="67">
        <f t="shared" si="435"/>
        <v>0</v>
      </c>
      <c r="AJ343" s="68">
        <f t="shared" si="435"/>
        <v>4.5503439999999999</v>
      </c>
      <c r="AK343" s="67">
        <f t="shared" si="435"/>
        <v>5.9433939999999996</v>
      </c>
      <c r="AL343" s="67">
        <f t="shared" si="435"/>
        <v>4.2915469999999996</v>
      </c>
      <c r="AM343" s="67">
        <f t="shared" si="435"/>
        <v>7.989579</v>
      </c>
      <c r="AN343" s="67">
        <f t="shared" si="435"/>
        <v>10.216390000000001</v>
      </c>
      <c r="AO343" s="67">
        <f t="shared" si="435"/>
        <v>16.717949999999998</v>
      </c>
      <c r="AP343" s="76">
        <f t="shared" si="435"/>
        <v>0</v>
      </c>
      <c r="AQ343" s="67">
        <f t="shared" si="435"/>
        <v>0</v>
      </c>
      <c r="AR343" s="67">
        <f t="shared" si="435"/>
        <v>0</v>
      </c>
      <c r="AS343" s="67">
        <f t="shared" si="435"/>
        <v>0</v>
      </c>
      <c r="AT343" s="68">
        <f t="shared" si="435"/>
        <v>31.071760000000001</v>
      </c>
      <c r="AU343" s="216">
        <v>1</v>
      </c>
      <c r="AV343" s="104" t="s">
        <v>454</v>
      </c>
      <c r="AW343" s="94">
        <v>1.1479200000000001</v>
      </c>
      <c r="AX343" s="94">
        <v>6.3179990000000004</v>
      </c>
      <c r="AY343" s="94">
        <v>30.10716</v>
      </c>
      <c r="AZ343" s="94">
        <v>52.803109999999997</v>
      </c>
      <c r="BA343" s="94">
        <v>57.048200000000001</v>
      </c>
      <c r="BB343" s="106">
        <v>0</v>
      </c>
      <c r="BC343" s="94">
        <v>0</v>
      </c>
      <c r="BD343" s="94">
        <v>0</v>
      </c>
      <c r="BE343" s="94">
        <v>0</v>
      </c>
      <c r="BF343" s="95">
        <v>4.5503439999999999</v>
      </c>
      <c r="BG343" s="94">
        <v>5.9433939999999996</v>
      </c>
      <c r="BH343" s="94">
        <v>4.2915469999999996</v>
      </c>
      <c r="BI343" s="94">
        <v>7.989579</v>
      </c>
      <c r="BJ343" s="94">
        <v>10.216390000000001</v>
      </c>
      <c r="BK343" s="94">
        <v>16.717949999999998</v>
      </c>
      <c r="BL343" s="106">
        <v>0</v>
      </c>
      <c r="BM343" s="94">
        <v>0</v>
      </c>
      <c r="BN343" s="94">
        <v>0</v>
      </c>
      <c r="BO343" s="94">
        <v>0</v>
      </c>
      <c r="BP343" s="95">
        <v>31.071760000000001</v>
      </c>
      <c r="BQ343" s="2"/>
      <c r="BR343" s="2"/>
      <c r="BS343" s="2"/>
    </row>
    <row r="344" spans="1:71" x14ac:dyDescent="0.35">
      <c r="A344" s="2"/>
      <c r="B344" s="2"/>
      <c r="C344" s="42" t="s">
        <v>28</v>
      </c>
      <c r="D344" s="109">
        <f t="shared" si="430"/>
        <v>0.17219314686800413</v>
      </c>
      <c r="E344" s="109">
        <f t="shared" si="410"/>
        <v>0.17695376425245682</v>
      </c>
      <c r="F344" s="109">
        <f t="shared" si="411"/>
        <v>0.18602357503542463</v>
      </c>
      <c r="G344" s="109">
        <f t="shared" si="412"/>
        <v>0.18228436197751699</v>
      </c>
      <c r="H344" s="109">
        <f t="shared" si="413"/>
        <v>9.4836318221598617E-2</v>
      </c>
      <c r="I344" s="110">
        <f t="shared" si="414"/>
        <v>2.4600232777829658E-4</v>
      </c>
      <c r="J344" s="109">
        <f t="shared" si="415"/>
        <v>0</v>
      </c>
      <c r="K344" s="109">
        <f t="shared" si="416"/>
        <v>5.4400046581052491E-4</v>
      </c>
      <c r="L344" s="109">
        <f t="shared" si="417"/>
        <v>3.9106676269797967E-3</v>
      </c>
      <c r="M344" s="111">
        <f t="shared" si="418"/>
        <v>7.4471532018576701E-3</v>
      </c>
      <c r="N344" s="109">
        <f t="shared" si="419"/>
        <v>8.0840177451745321E-3</v>
      </c>
      <c r="O344" s="109">
        <f t="shared" si="420"/>
        <v>1.3044499951028098E-2</v>
      </c>
      <c r="P344" s="109">
        <f t="shared" si="421"/>
        <v>1.0576741384273855E-2</v>
      </c>
      <c r="Q344" s="109">
        <f t="shared" si="422"/>
        <v>1.3575301771435349E-2</v>
      </c>
      <c r="R344" s="109">
        <f t="shared" si="423"/>
        <v>3.7662152801560767E-2</v>
      </c>
      <c r="S344" s="110">
        <f t="shared" si="424"/>
        <v>1.4524928741091383E-3</v>
      </c>
      <c r="T344" s="109">
        <f t="shared" si="425"/>
        <v>5.987090363034118E-3</v>
      </c>
      <c r="U344" s="109">
        <f t="shared" si="426"/>
        <v>6.3381658537322062E-3</v>
      </c>
      <c r="V344" s="109">
        <f t="shared" si="427"/>
        <v>2.0081199624563371E-2</v>
      </c>
      <c r="W344" s="111">
        <f t="shared" si="428"/>
        <v>5.8759347653661094E-2</v>
      </c>
      <c r="X344" s="115">
        <f t="shared" si="431"/>
        <v>0.99999999999999989</v>
      </c>
      <c r="Y344" s="38" t="s">
        <v>465</v>
      </c>
      <c r="Z344" s="42" t="s">
        <v>28</v>
      </c>
      <c r="AA344" s="67">
        <f t="shared" ref="AA344:AT344" si="436">(SUMIF($AV$339:$AV$442,$Y344,AW$339:AW$442)*AA$337+IF($J122,SUMIF($AV$229:$AV$332,$Y234,AW$229:AW$332)*AA$227*(1-$D122/$J122),0))*$AU344</f>
        <v>3103.8130000000001</v>
      </c>
      <c r="AB344" s="67">
        <f t="shared" si="436"/>
        <v>3189.6239999999998</v>
      </c>
      <c r="AC344" s="67">
        <f t="shared" si="436"/>
        <v>3353.1089999999999</v>
      </c>
      <c r="AD344" s="67">
        <f t="shared" si="436"/>
        <v>3285.7089999999998</v>
      </c>
      <c r="AE344" s="67">
        <f t="shared" si="436"/>
        <v>1709.442</v>
      </c>
      <c r="AF344" s="76">
        <f t="shared" si="436"/>
        <v>4.4342370000000004</v>
      </c>
      <c r="AG344" s="67">
        <f t="shared" si="436"/>
        <v>0</v>
      </c>
      <c r="AH344" s="67">
        <f t="shared" si="436"/>
        <v>9.8057079999999992</v>
      </c>
      <c r="AI344" s="67">
        <f t="shared" si="436"/>
        <v>70.490499999999997</v>
      </c>
      <c r="AJ344" s="68">
        <f t="shared" si="436"/>
        <v>134.2363</v>
      </c>
      <c r="AK344" s="67">
        <f t="shared" si="436"/>
        <v>145.7159</v>
      </c>
      <c r="AL344" s="67">
        <f t="shared" si="436"/>
        <v>235.12950000000001</v>
      </c>
      <c r="AM344" s="67">
        <f t="shared" si="436"/>
        <v>190.64769999999999</v>
      </c>
      <c r="AN344" s="67">
        <f t="shared" si="436"/>
        <v>244.69730000000001</v>
      </c>
      <c r="AO344" s="67">
        <f t="shared" si="436"/>
        <v>678.86720000000003</v>
      </c>
      <c r="AP344" s="76">
        <f t="shared" si="436"/>
        <v>26.181450000000002</v>
      </c>
      <c r="AQ344" s="67">
        <f t="shared" si="436"/>
        <v>107.91840000000001</v>
      </c>
      <c r="AR344" s="67">
        <f t="shared" si="436"/>
        <v>114.2466</v>
      </c>
      <c r="AS344" s="67">
        <f t="shared" si="436"/>
        <v>361.96730000000002</v>
      </c>
      <c r="AT344" s="68">
        <f t="shared" si="436"/>
        <v>1059.1479999999999</v>
      </c>
      <c r="AU344" s="216">
        <v>1</v>
      </c>
      <c r="AV344" s="104" t="s">
        <v>465</v>
      </c>
      <c r="AW344" s="94">
        <v>3103.8130000000001</v>
      </c>
      <c r="AX344" s="94">
        <v>3189.6239999999998</v>
      </c>
      <c r="AY344" s="94">
        <v>3353.1089999999999</v>
      </c>
      <c r="AZ344" s="94">
        <v>3285.7089999999998</v>
      </c>
      <c r="BA344" s="94">
        <v>1709.442</v>
      </c>
      <c r="BB344" s="106">
        <v>4.4342370000000004</v>
      </c>
      <c r="BC344" s="94">
        <v>0</v>
      </c>
      <c r="BD344" s="94">
        <v>9.8057079999999992</v>
      </c>
      <c r="BE344" s="94">
        <v>70.490499999999997</v>
      </c>
      <c r="BF344" s="95">
        <v>134.2363</v>
      </c>
      <c r="BG344" s="94">
        <v>145.7159</v>
      </c>
      <c r="BH344" s="94">
        <v>235.12950000000001</v>
      </c>
      <c r="BI344" s="94">
        <v>190.64769999999999</v>
      </c>
      <c r="BJ344" s="94">
        <v>244.69730000000001</v>
      </c>
      <c r="BK344" s="94">
        <v>678.86720000000003</v>
      </c>
      <c r="BL344" s="106">
        <v>26.181450000000002</v>
      </c>
      <c r="BM344" s="94">
        <v>107.91840000000001</v>
      </c>
      <c r="BN344" s="94">
        <v>114.2466</v>
      </c>
      <c r="BO344" s="94">
        <v>361.96730000000002</v>
      </c>
      <c r="BP344" s="95">
        <v>1059.1479999999999</v>
      </c>
      <c r="BQ344" s="2"/>
      <c r="BR344" s="2"/>
      <c r="BS344" s="2"/>
    </row>
    <row r="345" spans="1:71" x14ac:dyDescent="0.35">
      <c r="A345" s="2"/>
      <c r="B345" s="2"/>
      <c r="C345" s="42" t="s">
        <v>32</v>
      </c>
      <c r="D345" s="109">
        <f t="shared" si="430"/>
        <v>0.14163004469424667</v>
      </c>
      <c r="E345" s="109">
        <f t="shared" si="410"/>
        <v>0.17597503372058357</v>
      </c>
      <c r="F345" s="109">
        <f t="shared" si="411"/>
        <v>0.20096087483309685</v>
      </c>
      <c r="G345" s="109">
        <f t="shared" si="412"/>
        <v>0.20865495598407366</v>
      </c>
      <c r="H345" s="109">
        <f t="shared" si="413"/>
        <v>0.10287793243652206</v>
      </c>
      <c r="I345" s="110">
        <f t="shared" si="414"/>
        <v>2.9258777198456977E-4</v>
      </c>
      <c r="J345" s="109">
        <f t="shared" si="415"/>
        <v>1.7971324322283309E-3</v>
      </c>
      <c r="K345" s="109">
        <f t="shared" si="416"/>
        <v>1.5210907678644579E-3</v>
      </c>
      <c r="L345" s="109">
        <f t="shared" si="417"/>
        <v>2.3915933806518317E-3</v>
      </c>
      <c r="M345" s="111">
        <f t="shared" si="418"/>
        <v>1.3218515108635611E-2</v>
      </c>
      <c r="N345" s="109">
        <f t="shared" si="419"/>
        <v>2.8026093640446306E-3</v>
      </c>
      <c r="O345" s="109">
        <f t="shared" si="420"/>
        <v>4.9191937050215425E-3</v>
      </c>
      <c r="P345" s="109">
        <f t="shared" si="421"/>
        <v>9.151270291754587E-3</v>
      </c>
      <c r="Q345" s="109">
        <f t="shared" si="422"/>
        <v>9.6020082652765789E-3</v>
      </c>
      <c r="R345" s="109">
        <f t="shared" si="423"/>
        <v>3.652954710390683E-2</v>
      </c>
      <c r="S345" s="110">
        <f t="shared" si="424"/>
        <v>1.805607523654523E-3</v>
      </c>
      <c r="T345" s="109">
        <f t="shared" si="425"/>
        <v>3.3976877247167097E-3</v>
      </c>
      <c r="U345" s="109">
        <f t="shared" si="426"/>
        <v>4.3729633579077257E-3</v>
      </c>
      <c r="V345" s="109">
        <f t="shared" si="427"/>
        <v>1.2943490931007134E-2</v>
      </c>
      <c r="W345" s="111">
        <f t="shared" si="428"/>
        <v>6.5155860602822052E-2</v>
      </c>
      <c r="X345" s="115">
        <f t="shared" si="431"/>
        <v>1</v>
      </c>
      <c r="Y345" s="38" t="s">
        <v>467</v>
      </c>
      <c r="Z345" s="42" t="s">
        <v>32</v>
      </c>
      <c r="AA345" s="67">
        <f t="shared" ref="AA345:AT345" si="437">(SUMIF($AV$339:$AV$442,$Y345,AW$339:AW$442)*AA$337+IF($J123,SUMIF($AV$229:$AV$332,$Y235,AW$229:AW$332)*AA$227*(1-$D123/$J123),0))*$AU345</f>
        <v>1309.8340000000001</v>
      </c>
      <c r="AB345" s="67">
        <f t="shared" si="437"/>
        <v>1627.4659999999999</v>
      </c>
      <c r="AC345" s="67">
        <f t="shared" si="437"/>
        <v>1858.5419999999999</v>
      </c>
      <c r="AD345" s="67">
        <f t="shared" si="437"/>
        <v>1929.6990000000001</v>
      </c>
      <c r="AE345" s="67">
        <f t="shared" si="437"/>
        <v>951.44370000000004</v>
      </c>
      <c r="AF345" s="76">
        <f t="shared" si="437"/>
        <v>2.7059329999999999</v>
      </c>
      <c r="AG345" s="67">
        <f t="shared" si="437"/>
        <v>16.620380000000001</v>
      </c>
      <c r="AH345" s="67">
        <f t="shared" si="437"/>
        <v>14.06747</v>
      </c>
      <c r="AI345" s="67">
        <f t="shared" si="437"/>
        <v>22.118120000000001</v>
      </c>
      <c r="AJ345" s="68">
        <f t="shared" si="437"/>
        <v>122.24850000000001</v>
      </c>
      <c r="AK345" s="67">
        <f t="shared" si="437"/>
        <v>25.919309999999999</v>
      </c>
      <c r="AL345" s="67">
        <f t="shared" si="437"/>
        <v>45.494070000000001</v>
      </c>
      <c r="AM345" s="67">
        <f t="shared" si="437"/>
        <v>84.633489999999995</v>
      </c>
      <c r="AN345" s="67">
        <f t="shared" si="437"/>
        <v>88.802040000000005</v>
      </c>
      <c r="AO345" s="67">
        <f t="shared" si="437"/>
        <v>337.83539999999999</v>
      </c>
      <c r="AP345" s="76">
        <f t="shared" si="437"/>
        <v>16.69876</v>
      </c>
      <c r="AQ345" s="67">
        <f t="shared" si="437"/>
        <v>31.42276</v>
      </c>
      <c r="AR345" s="67">
        <f t="shared" si="437"/>
        <v>40.44238</v>
      </c>
      <c r="AS345" s="67">
        <f t="shared" si="437"/>
        <v>119.705</v>
      </c>
      <c r="AT345" s="68">
        <f t="shared" si="437"/>
        <v>602.57950000000005</v>
      </c>
      <c r="AU345" s="216">
        <v>1</v>
      </c>
      <c r="AV345" s="104" t="s">
        <v>467</v>
      </c>
      <c r="AW345" s="94">
        <v>1309.8340000000001</v>
      </c>
      <c r="AX345" s="94">
        <v>1627.4659999999999</v>
      </c>
      <c r="AY345" s="94">
        <v>1858.5419999999999</v>
      </c>
      <c r="AZ345" s="94">
        <v>1929.6990000000001</v>
      </c>
      <c r="BA345" s="94">
        <v>951.44370000000004</v>
      </c>
      <c r="BB345" s="106">
        <v>2.7059329999999999</v>
      </c>
      <c r="BC345" s="94">
        <v>16.620380000000001</v>
      </c>
      <c r="BD345" s="94">
        <v>14.06747</v>
      </c>
      <c r="BE345" s="94">
        <v>22.118120000000001</v>
      </c>
      <c r="BF345" s="95">
        <v>122.24850000000001</v>
      </c>
      <c r="BG345" s="94">
        <v>25.919309999999999</v>
      </c>
      <c r="BH345" s="94">
        <v>45.494070000000001</v>
      </c>
      <c r="BI345" s="94">
        <v>84.633489999999995</v>
      </c>
      <c r="BJ345" s="94">
        <v>88.802040000000005</v>
      </c>
      <c r="BK345" s="94">
        <v>337.83539999999999</v>
      </c>
      <c r="BL345" s="106">
        <v>16.69876</v>
      </c>
      <c r="BM345" s="94">
        <v>31.42276</v>
      </c>
      <c r="BN345" s="94">
        <v>40.44238</v>
      </c>
      <c r="BO345" s="94">
        <v>119.705</v>
      </c>
      <c r="BP345" s="95">
        <v>602.57950000000005</v>
      </c>
      <c r="BQ345" s="2"/>
      <c r="BR345" s="2"/>
      <c r="BS345" s="2"/>
    </row>
    <row r="346" spans="1:71" x14ac:dyDescent="0.35">
      <c r="A346" s="2"/>
      <c r="B346" s="2"/>
      <c r="C346" s="42" t="s">
        <v>36</v>
      </c>
      <c r="D346" s="109">
        <f t="shared" si="430"/>
        <v>0.11846543325290837</v>
      </c>
      <c r="E346" s="109">
        <f t="shared" si="410"/>
        <v>0.15521951799393291</v>
      </c>
      <c r="F346" s="109">
        <f t="shared" si="411"/>
        <v>0.15617267437508495</v>
      </c>
      <c r="G346" s="109">
        <f t="shared" si="412"/>
        <v>0.17627424251211304</v>
      </c>
      <c r="H346" s="109">
        <f t="shared" si="413"/>
        <v>0.11146069779087335</v>
      </c>
      <c r="I346" s="110">
        <f t="shared" si="414"/>
        <v>3.8209720419761826E-4</v>
      </c>
      <c r="J346" s="109">
        <f t="shared" si="415"/>
        <v>1.5627298942788359E-4</v>
      </c>
      <c r="K346" s="109">
        <f t="shared" si="416"/>
        <v>1.1793542994463667E-3</v>
      </c>
      <c r="L346" s="109">
        <f t="shared" si="417"/>
        <v>1.8189646009665261E-3</v>
      </c>
      <c r="M346" s="111">
        <f t="shared" si="418"/>
        <v>7.3220686799794132E-3</v>
      </c>
      <c r="N346" s="109">
        <f t="shared" si="419"/>
        <v>1.1662000660842671E-2</v>
      </c>
      <c r="O346" s="109">
        <f t="shared" si="420"/>
        <v>1.6850848503715269E-2</v>
      </c>
      <c r="P346" s="109">
        <f t="shared" si="421"/>
        <v>2.3744638349267454E-2</v>
      </c>
      <c r="Q346" s="109">
        <f t="shared" si="422"/>
        <v>1.6974428806544102E-2</v>
      </c>
      <c r="R346" s="109">
        <f t="shared" si="423"/>
        <v>4.078566066643164E-2</v>
      </c>
      <c r="S346" s="110">
        <f t="shared" si="424"/>
        <v>7.3196985870924445E-3</v>
      </c>
      <c r="T346" s="109">
        <f t="shared" si="425"/>
        <v>1.3179415599023405E-2</v>
      </c>
      <c r="U346" s="109">
        <f t="shared" si="426"/>
        <v>1.5606266546810705E-2</v>
      </c>
      <c r="V346" s="109">
        <f t="shared" si="427"/>
        <v>3.3010786611754425E-2</v>
      </c>
      <c r="W346" s="111">
        <f t="shared" si="428"/>
        <v>9.2414931969587333E-2</v>
      </c>
      <c r="X346" s="115">
        <f t="shared" si="431"/>
        <v>0.99999999999999978</v>
      </c>
      <c r="Y346" s="38" t="s">
        <v>463</v>
      </c>
      <c r="Z346" s="42" t="s">
        <v>36</v>
      </c>
      <c r="AA346" s="67">
        <f t="shared" ref="AA346:AT346" si="438">(SUMIF($AV$339:$AV$442,$Y346,AW$339:AW$442)*AA$337+IF($J124,SUMIF($AV$229:$AV$332,$Y236,AW$229:AW$332)*AA$227*(1-$D124/$J124),0))*$AU346</f>
        <v>10876.4</v>
      </c>
      <c r="AB346" s="67">
        <f t="shared" si="438"/>
        <v>14250.82</v>
      </c>
      <c r="AC346" s="67">
        <f t="shared" si="438"/>
        <v>14338.33</v>
      </c>
      <c r="AD346" s="67">
        <f t="shared" si="438"/>
        <v>16183.87</v>
      </c>
      <c r="AE346" s="67">
        <f t="shared" si="438"/>
        <v>10233.290000000001</v>
      </c>
      <c r="AF346" s="76">
        <f t="shared" si="438"/>
        <v>35.080629999999999</v>
      </c>
      <c r="AG346" s="67">
        <f t="shared" si="438"/>
        <v>14.34754</v>
      </c>
      <c r="AH346" s="67">
        <f t="shared" si="438"/>
        <v>108.2774</v>
      </c>
      <c r="AI346" s="67">
        <f t="shared" si="438"/>
        <v>167.00049999999999</v>
      </c>
      <c r="AJ346" s="68">
        <f t="shared" si="438"/>
        <v>672.24459999999999</v>
      </c>
      <c r="AK346" s="67">
        <f t="shared" si="438"/>
        <v>1070.6969999999999</v>
      </c>
      <c r="AL346" s="67">
        <f t="shared" si="438"/>
        <v>1547.0889999999999</v>
      </c>
      <c r="AM346" s="67">
        <f t="shared" si="438"/>
        <v>2180.0129999999999</v>
      </c>
      <c r="AN346" s="67">
        <f t="shared" si="438"/>
        <v>1558.4349999999999</v>
      </c>
      <c r="AO346" s="67">
        <f t="shared" si="438"/>
        <v>3744.5619999999999</v>
      </c>
      <c r="AP346" s="76">
        <f t="shared" si="438"/>
        <v>672.02700000000004</v>
      </c>
      <c r="AQ346" s="67">
        <f t="shared" si="438"/>
        <v>1210.0119999999999</v>
      </c>
      <c r="AR346" s="67">
        <f t="shared" si="438"/>
        <v>1432.8230000000001</v>
      </c>
      <c r="AS346" s="67">
        <f t="shared" si="438"/>
        <v>3030.7449999999999</v>
      </c>
      <c r="AT346" s="68">
        <f t="shared" si="438"/>
        <v>8484.6839999999993</v>
      </c>
      <c r="AU346" s="216">
        <v>1</v>
      </c>
      <c r="AV346" s="104" t="s">
        <v>463</v>
      </c>
      <c r="AW346" s="94">
        <v>10876.4</v>
      </c>
      <c r="AX346" s="94">
        <v>14250.82</v>
      </c>
      <c r="AY346" s="94">
        <v>14338.33</v>
      </c>
      <c r="AZ346" s="94">
        <v>16183.87</v>
      </c>
      <c r="BA346" s="94">
        <v>10233.290000000001</v>
      </c>
      <c r="BB346" s="106">
        <v>35.080629999999999</v>
      </c>
      <c r="BC346" s="94">
        <v>14.34754</v>
      </c>
      <c r="BD346" s="94">
        <v>108.2774</v>
      </c>
      <c r="BE346" s="94">
        <v>167.00049999999999</v>
      </c>
      <c r="BF346" s="95">
        <v>672.24459999999999</v>
      </c>
      <c r="BG346" s="94">
        <v>1070.6969999999999</v>
      </c>
      <c r="BH346" s="94">
        <v>1547.0889999999999</v>
      </c>
      <c r="BI346" s="94">
        <v>2180.0129999999999</v>
      </c>
      <c r="BJ346" s="94">
        <v>1558.4349999999999</v>
      </c>
      <c r="BK346" s="94">
        <v>3744.5619999999999</v>
      </c>
      <c r="BL346" s="106">
        <v>672.02700000000004</v>
      </c>
      <c r="BM346" s="94">
        <v>1210.0119999999999</v>
      </c>
      <c r="BN346" s="94">
        <v>1432.8230000000001</v>
      </c>
      <c r="BO346" s="94">
        <v>3030.7449999999999</v>
      </c>
      <c r="BP346" s="95">
        <v>8484.6839999999993</v>
      </c>
      <c r="BQ346" s="2"/>
      <c r="BR346" s="2"/>
      <c r="BS346" s="2"/>
    </row>
    <row r="347" spans="1:71" x14ac:dyDescent="0.35">
      <c r="A347" s="2"/>
      <c r="B347" s="2"/>
      <c r="C347" s="42" t="s">
        <v>40</v>
      </c>
      <c r="D347" s="109">
        <f t="shared" si="430"/>
        <v>0.13982377561627379</v>
      </c>
      <c r="E347" s="109">
        <f t="shared" si="410"/>
        <v>0.1313162065477779</v>
      </c>
      <c r="F347" s="109">
        <f t="shared" si="411"/>
        <v>0.18823388494144591</v>
      </c>
      <c r="G347" s="109">
        <f t="shared" si="412"/>
        <v>0.22084367498542898</v>
      </c>
      <c r="H347" s="109">
        <f t="shared" si="413"/>
        <v>0.12941564705998834</v>
      </c>
      <c r="I347" s="110">
        <f t="shared" si="414"/>
        <v>0</v>
      </c>
      <c r="J347" s="109">
        <f t="shared" si="415"/>
        <v>0</v>
      </c>
      <c r="K347" s="109">
        <f t="shared" si="416"/>
        <v>0</v>
      </c>
      <c r="L347" s="109">
        <f t="shared" si="417"/>
        <v>1.9083969934299584E-3</v>
      </c>
      <c r="M347" s="111">
        <f t="shared" si="418"/>
        <v>2.3529367174636518E-4</v>
      </c>
      <c r="N347" s="109">
        <f t="shared" si="419"/>
        <v>1.3628905947614281E-2</v>
      </c>
      <c r="O347" s="109">
        <f t="shared" si="420"/>
        <v>2.6189492672763007E-2</v>
      </c>
      <c r="P347" s="109">
        <f t="shared" si="421"/>
        <v>1.8164222367224685E-2</v>
      </c>
      <c r="Q347" s="109">
        <f t="shared" si="422"/>
        <v>3.5611404510067307E-2</v>
      </c>
      <c r="R347" s="109">
        <f t="shared" si="423"/>
        <v>5.3299489365096625E-2</v>
      </c>
      <c r="S347" s="110">
        <f t="shared" si="424"/>
        <v>4.6230692943454244E-3</v>
      </c>
      <c r="T347" s="109">
        <f t="shared" si="425"/>
        <v>4.9222024040828597E-4</v>
      </c>
      <c r="U347" s="109">
        <f t="shared" si="426"/>
        <v>6.3187123788930625E-3</v>
      </c>
      <c r="V347" s="109">
        <f t="shared" si="427"/>
        <v>2.4733891698649705E-3</v>
      </c>
      <c r="W347" s="111">
        <f t="shared" si="428"/>
        <v>2.742221423763103E-2</v>
      </c>
      <c r="X347" s="115">
        <f t="shared" si="431"/>
        <v>0.99999999999999978</v>
      </c>
      <c r="Y347" s="38" t="s">
        <v>469</v>
      </c>
      <c r="Z347" s="42" t="s">
        <v>40</v>
      </c>
      <c r="AA347" s="67">
        <f t="shared" ref="AA347:AT347" si="439">(SUMIF($AV$339:$AV$442,$Y347,AW$339:AW$442)*AA$337+IF($J125,SUMIF($AV$229:$AV$332,$Y237,AW$229:AW$332)*AA$227*(1-$D125/$J125),0))*$AU347</f>
        <v>1275.4059999999999</v>
      </c>
      <c r="AB347" s="67">
        <f t="shared" si="439"/>
        <v>1197.8040000000001</v>
      </c>
      <c r="AC347" s="67">
        <f t="shared" si="439"/>
        <v>1716.98</v>
      </c>
      <c r="AD347" s="67">
        <f t="shared" si="439"/>
        <v>2014.431</v>
      </c>
      <c r="AE347" s="67">
        <f t="shared" si="439"/>
        <v>1180.4680000000001</v>
      </c>
      <c r="AF347" s="76">
        <f t="shared" si="439"/>
        <v>0</v>
      </c>
      <c r="AG347" s="67">
        <f t="shared" si="439"/>
        <v>0</v>
      </c>
      <c r="AH347" s="67">
        <f t="shared" si="439"/>
        <v>0</v>
      </c>
      <c r="AI347" s="67">
        <f t="shared" si="439"/>
        <v>17.407489999999999</v>
      </c>
      <c r="AJ347" s="68">
        <f t="shared" si="439"/>
        <v>2.1462370000000002</v>
      </c>
      <c r="AK347" s="67">
        <f t="shared" si="439"/>
        <v>124.3164</v>
      </c>
      <c r="AL347" s="67">
        <f t="shared" si="439"/>
        <v>238.88810000000001</v>
      </c>
      <c r="AM347" s="67">
        <f t="shared" si="439"/>
        <v>165.68539999999999</v>
      </c>
      <c r="AN347" s="67">
        <f t="shared" si="439"/>
        <v>324.83030000000002</v>
      </c>
      <c r="AO347" s="67">
        <f t="shared" si="439"/>
        <v>486.17259999999999</v>
      </c>
      <c r="AP347" s="76">
        <f t="shared" si="439"/>
        <v>42.169440000000002</v>
      </c>
      <c r="AQ347" s="67">
        <f t="shared" si="439"/>
        <v>4.4897989999999997</v>
      </c>
      <c r="AR347" s="67">
        <f t="shared" si="439"/>
        <v>57.636290000000002</v>
      </c>
      <c r="AS347" s="67">
        <f t="shared" si="439"/>
        <v>22.56108</v>
      </c>
      <c r="AT347" s="68">
        <f t="shared" si="439"/>
        <v>250.13239999999999</v>
      </c>
      <c r="AU347" s="216">
        <v>1</v>
      </c>
      <c r="AV347" s="104" t="s">
        <v>469</v>
      </c>
      <c r="AW347" s="94">
        <v>1275.4059999999999</v>
      </c>
      <c r="AX347" s="94">
        <v>1197.8040000000001</v>
      </c>
      <c r="AY347" s="94">
        <v>1716.98</v>
      </c>
      <c r="AZ347" s="94">
        <v>2014.431</v>
      </c>
      <c r="BA347" s="94">
        <v>1180.4680000000001</v>
      </c>
      <c r="BB347" s="106">
        <v>0</v>
      </c>
      <c r="BC347" s="94">
        <v>0</v>
      </c>
      <c r="BD347" s="94">
        <v>0</v>
      </c>
      <c r="BE347" s="94">
        <v>17.407489999999999</v>
      </c>
      <c r="BF347" s="95">
        <v>2.1462370000000002</v>
      </c>
      <c r="BG347" s="94">
        <v>124.3164</v>
      </c>
      <c r="BH347" s="94">
        <v>238.88810000000001</v>
      </c>
      <c r="BI347" s="94">
        <v>165.68539999999999</v>
      </c>
      <c r="BJ347" s="94">
        <v>324.83030000000002</v>
      </c>
      <c r="BK347" s="94">
        <v>486.17259999999999</v>
      </c>
      <c r="BL347" s="106">
        <v>42.169440000000002</v>
      </c>
      <c r="BM347" s="94">
        <v>4.4897989999999997</v>
      </c>
      <c r="BN347" s="94">
        <v>57.636290000000002</v>
      </c>
      <c r="BO347" s="94">
        <v>22.56108</v>
      </c>
      <c r="BP347" s="95">
        <v>250.13239999999999</v>
      </c>
      <c r="BQ347" s="2"/>
      <c r="BR347" s="2"/>
      <c r="BS347" s="2"/>
    </row>
    <row r="348" spans="1:71" x14ac:dyDescent="0.35">
      <c r="A348" s="2"/>
      <c r="B348" s="2"/>
      <c r="C348" s="42" t="s">
        <v>44</v>
      </c>
      <c r="D348" s="109">
        <f t="shared" si="430"/>
        <v>0.13270662266402741</v>
      </c>
      <c r="E348" s="109">
        <f t="shared" si="410"/>
        <v>0.16695993839534262</v>
      </c>
      <c r="F348" s="109">
        <f t="shared" si="411"/>
        <v>0.19413235659469066</v>
      </c>
      <c r="G348" s="109">
        <f t="shared" si="412"/>
        <v>0.1652846754568231</v>
      </c>
      <c r="H348" s="109">
        <f t="shared" si="413"/>
        <v>0.10126751360312082</v>
      </c>
      <c r="I348" s="110">
        <f t="shared" si="414"/>
        <v>3.4794324391993647E-4</v>
      </c>
      <c r="J348" s="109">
        <f t="shared" si="415"/>
        <v>4.5396527032596487E-4</v>
      </c>
      <c r="K348" s="109">
        <f t="shared" si="416"/>
        <v>1.6795315289067636E-3</v>
      </c>
      <c r="L348" s="109">
        <f t="shared" si="417"/>
        <v>3.3324299268297003E-3</v>
      </c>
      <c r="M348" s="111">
        <f t="shared" si="418"/>
        <v>8.0222431039191945E-3</v>
      </c>
      <c r="N348" s="109">
        <f t="shared" si="419"/>
        <v>7.2911216017271709E-3</v>
      </c>
      <c r="O348" s="109">
        <f t="shared" si="420"/>
        <v>1.3254462873874856E-2</v>
      </c>
      <c r="P348" s="109">
        <f t="shared" si="421"/>
        <v>1.6869865736395488E-2</v>
      </c>
      <c r="Q348" s="109">
        <f t="shared" si="422"/>
        <v>2.0618265077328456E-2</v>
      </c>
      <c r="R348" s="109">
        <f t="shared" si="423"/>
        <v>5.2132737819999081E-2</v>
      </c>
      <c r="S348" s="110">
        <f t="shared" si="424"/>
        <v>2.8605539100492149E-3</v>
      </c>
      <c r="T348" s="109">
        <f t="shared" si="425"/>
        <v>5.7867732360097415E-3</v>
      </c>
      <c r="U348" s="109">
        <f t="shared" si="426"/>
        <v>1.0041468592833837E-2</v>
      </c>
      <c r="V348" s="109">
        <f t="shared" si="427"/>
        <v>2.0349778993035219E-2</v>
      </c>
      <c r="W348" s="111">
        <f t="shared" si="428"/>
        <v>7.6607752370840748E-2</v>
      </c>
      <c r="X348" s="115">
        <f t="shared" si="431"/>
        <v>1</v>
      </c>
      <c r="Y348" s="38" t="s">
        <v>515</v>
      </c>
      <c r="Z348" s="42" t="s">
        <v>44</v>
      </c>
      <c r="AA348" s="67">
        <f t="shared" ref="AA348:AT348" si="440">(SUMIF($AV$339:$AV$442,$Y348,AW$339:AW$442)*AA$337+IF($J126,SUMIF($AV$229:$AV$332,$Y238,AW$229:AW$332)*AA$227*(1-$D126/$J126),0))*$AU348</f>
        <v>22356.17</v>
      </c>
      <c r="AB348" s="67">
        <f t="shared" si="440"/>
        <v>28126.59</v>
      </c>
      <c r="AC348" s="67">
        <f t="shared" si="440"/>
        <v>32704.14</v>
      </c>
      <c r="AD348" s="67">
        <f t="shared" si="440"/>
        <v>27844.37</v>
      </c>
      <c r="AE348" s="67">
        <f t="shared" si="440"/>
        <v>17059.84</v>
      </c>
      <c r="AF348" s="76">
        <f t="shared" si="440"/>
        <v>58.615600000000001</v>
      </c>
      <c r="AG348" s="67">
        <f t="shared" si="440"/>
        <v>76.476399999999998</v>
      </c>
      <c r="AH348" s="67">
        <f t="shared" si="440"/>
        <v>282.9391</v>
      </c>
      <c r="AI348" s="67">
        <f t="shared" si="440"/>
        <v>561.39149999999995</v>
      </c>
      <c r="AJ348" s="68">
        <f t="shared" si="440"/>
        <v>1351.452</v>
      </c>
      <c r="AK348" s="67">
        <f t="shared" si="440"/>
        <v>1228.2850000000001</v>
      </c>
      <c r="AL348" s="67">
        <f t="shared" si="440"/>
        <v>2232.8879999999999</v>
      </c>
      <c r="AM348" s="67">
        <f t="shared" si="440"/>
        <v>2841.95</v>
      </c>
      <c r="AN348" s="67">
        <f t="shared" si="440"/>
        <v>3473.4169999999999</v>
      </c>
      <c r="AO348" s="67">
        <f t="shared" si="440"/>
        <v>8782.4429999999993</v>
      </c>
      <c r="AP348" s="76">
        <f t="shared" si="440"/>
        <v>481.89780000000002</v>
      </c>
      <c r="AQ348" s="67">
        <f t="shared" si="440"/>
        <v>974.8578</v>
      </c>
      <c r="AR348" s="67">
        <f t="shared" si="440"/>
        <v>1691.617</v>
      </c>
      <c r="AS348" s="67">
        <f t="shared" si="440"/>
        <v>3428.1869999999999</v>
      </c>
      <c r="AT348" s="68">
        <f t="shared" si="440"/>
        <v>12905.58</v>
      </c>
      <c r="AU348" s="216">
        <v>1</v>
      </c>
      <c r="AV348" s="104" t="s">
        <v>515</v>
      </c>
      <c r="AW348" s="94">
        <v>22356.17</v>
      </c>
      <c r="AX348" s="94">
        <v>28126.59</v>
      </c>
      <c r="AY348" s="94">
        <v>32704.14</v>
      </c>
      <c r="AZ348" s="94">
        <v>27844.37</v>
      </c>
      <c r="BA348" s="94">
        <v>17059.84</v>
      </c>
      <c r="BB348" s="106">
        <v>58.615600000000001</v>
      </c>
      <c r="BC348" s="94">
        <v>76.476399999999998</v>
      </c>
      <c r="BD348" s="94">
        <v>282.9391</v>
      </c>
      <c r="BE348" s="94">
        <v>561.39149999999995</v>
      </c>
      <c r="BF348" s="95">
        <v>1351.452</v>
      </c>
      <c r="BG348" s="94">
        <v>1228.2850000000001</v>
      </c>
      <c r="BH348" s="94">
        <v>2232.8879999999999</v>
      </c>
      <c r="BI348" s="94">
        <v>2841.95</v>
      </c>
      <c r="BJ348" s="94">
        <v>3473.4169999999999</v>
      </c>
      <c r="BK348" s="94">
        <v>8782.4429999999993</v>
      </c>
      <c r="BL348" s="106">
        <v>481.89780000000002</v>
      </c>
      <c r="BM348" s="94">
        <v>974.8578</v>
      </c>
      <c r="BN348" s="94">
        <v>1691.617</v>
      </c>
      <c r="BO348" s="94">
        <v>3428.1869999999999</v>
      </c>
      <c r="BP348" s="95">
        <v>12905.58</v>
      </c>
      <c r="BQ348" s="2"/>
      <c r="BR348" s="2"/>
      <c r="BS348" s="2"/>
    </row>
    <row r="349" spans="1:71" x14ac:dyDescent="0.35">
      <c r="A349" s="2"/>
      <c r="B349" s="2"/>
      <c r="C349" s="42" t="s">
        <v>48</v>
      </c>
      <c r="D349" s="109">
        <f t="shared" si="430"/>
        <v>4.0115535002270518E-2</v>
      </c>
      <c r="E349" s="109">
        <f t="shared" si="410"/>
        <v>7.6599112248562945E-2</v>
      </c>
      <c r="F349" s="109">
        <f t="shared" si="411"/>
        <v>0.11137275836791857</v>
      </c>
      <c r="G349" s="109">
        <f t="shared" si="412"/>
        <v>0.17619194374321165</v>
      </c>
      <c r="H349" s="109">
        <f t="shared" si="413"/>
        <v>0.17325636984821058</v>
      </c>
      <c r="I349" s="110">
        <f t="shared" si="414"/>
        <v>2.0371017917659079E-4</v>
      </c>
      <c r="J349" s="109">
        <f t="shared" si="415"/>
        <v>3.0084079950776048E-4</v>
      </c>
      <c r="K349" s="109">
        <f t="shared" si="416"/>
        <v>1.4509771077178394E-3</v>
      </c>
      <c r="L349" s="109">
        <f t="shared" si="417"/>
        <v>3.2226642865537162E-3</v>
      </c>
      <c r="M349" s="111">
        <f t="shared" si="418"/>
        <v>1.7406074194387822E-2</v>
      </c>
      <c r="N349" s="109">
        <f t="shared" si="419"/>
        <v>5.6691440836648737E-3</v>
      </c>
      <c r="O349" s="109">
        <f t="shared" si="420"/>
        <v>9.112272928490402E-3</v>
      </c>
      <c r="P349" s="109">
        <f t="shared" si="421"/>
        <v>1.4383351450040816E-2</v>
      </c>
      <c r="Q349" s="109">
        <f t="shared" si="422"/>
        <v>2.22143749063884E-2</v>
      </c>
      <c r="R349" s="109">
        <f t="shared" si="423"/>
        <v>8.7246885397180604E-2</v>
      </c>
      <c r="S349" s="110">
        <f t="shared" si="424"/>
        <v>2.2256361080426595E-3</v>
      </c>
      <c r="T349" s="109">
        <f t="shared" si="425"/>
        <v>7.0298304236440191E-3</v>
      </c>
      <c r="U349" s="109">
        <f t="shared" si="426"/>
        <v>1.1601530463262561E-2</v>
      </c>
      <c r="V349" s="109">
        <f t="shared" si="427"/>
        <v>3.254583000923203E-2</v>
      </c>
      <c r="W349" s="111">
        <f t="shared" si="428"/>
        <v>0.20785115845253588</v>
      </c>
      <c r="X349" s="115">
        <f t="shared" si="431"/>
        <v>1</v>
      </c>
      <c r="Y349" s="38" t="s">
        <v>516</v>
      </c>
      <c r="Z349" s="42" t="s">
        <v>48</v>
      </c>
      <c r="AA349" s="67">
        <f t="shared" ref="AA349:AT349" si="441">(SUMIF($AV$339:$AV$442,$Y349,AW$339:AW$442)*AA$337+IF($J127,SUMIF($AV$229:$AV$332,$Y239,AW$229:AW$332)*AA$227*(1-$D127/$J127),0))*$AU349</f>
        <v>3131.953</v>
      </c>
      <c r="AB349" s="67">
        <f t="shared" si="441"/>
        <v>5980.3469999999998</v>
      </c>
      <c r="AC349" s="67">
        <f t="shared" si="441"/>
        <v>8695.241</v>
      </c>
      <c r="AD349" s="67">
        <f t="shared" si="441"/>
        <v>13755.89</v>
      </c>
      <c r="AE349" s="67">
        <f t="shared" si="441"/>
        <v>13526.7</v>
      </c>
      <c r="AF349" s="76">
        <f t="shared" si="441"/>
        <v>15.90433</v>
      </c>
      <c r="AG349" s="67">
        <f t="shared" si="441"/>
        <v>23.487639999999999</v>
      </c>
      <c r="AH349" s="67">
        <f t="shared" si="441"/>
        <v>113.2826</v>
      </c>
      <c r="AI349" s="67">
        <f t="shared" si="441"/>
        <v>251.60409999999999</v>
      </c>
      <c r="AJ349" s="68">
        <f t="shared" si="441"/>
        <v>1358.95</v>
      </c>
      <c r="AK349" s="67">
        <f t="shared" si="441"/>
        <v>442.60890000000001</v>
      </c>
      <c r="AL349" s="67">
        <f t="shared" si="441"/>
        <v>711.42539999999997</v>
      </c>
      <c r="AM349" s="67">
        <f t="shared" si="441"/>
        <v>1122.9559999999999</v>
      </c>
      <c r="AN349" s="67">
        <f t="shared" si="441"/>
        <v>1734.35</v>
      </c>
      <c r="AO349" s="67">
        <f t="shared" si="441"/>
        <v>6811.6540000000005</v>
      </c>
      <c r="AP349" s="76">
        <f t="shared" si="441"/>
        <v>173.7628</v>
      </c>
      <c r="AQ349" s="67">
        <f t="shared" si="441"/>
        <v>548.84220000000005</v>
      </c>
      <c r="AR349" s="67">
        <f t="shared" si="441"/>
        <v>905.77</v>
      </c>
      <c r="AS349" s="67">
        <f t="shared" si="441"/>
        <v>2540.9609999999998</v>
      </c>
      <c r="AT349" s="68">
        <f t="shared" si="441"/>
        <v>16227.63</v>
      </c>
      <c r="AU349" s="216">
        <v>1</v>
      </c>
      <c r="AV349" s="104" t="s">
        <v>516</v>
      </c>
      <c r="AW349" s="94">
        <v>3131.953</v>
      </c>
      <c r="AX349" s="94">
        <v>5980.3469999999998</v>
      </c>
      <c r="AY349" s="94">
        <v>8695.241</v>
      </c>
      <c r="AZ349" s="94">
        <v>13755.89</v>
      </c>
      <c r="BA349" s="94">
        <v>13526.7</v>
      </c>
      <c r="BB349" s="106">
        <v>15.90433</v>
      </c>
      <c r="BC349" s="94">
        <v>23.487639999999999</v>
      </c>
      <c r="BD349" s="94">
        <v>113.2826</v>
      </c>
      <c r="BE349" s="94">
        <v>251.60409999999999</v>
      </c>
      <c r="BF349" s="95">
        <v>1358.95</v>
      </c>
      <c r="BG349" s="94">
        <v>442.60890000000001</v>
      </c>
      <c r="BH349" s="94">
        <v>711.42539999999997</v>
      </c>
      <c r="BI349" s="94">
        <v>1122.9559999999999</v>
      </c>
      <c r="BJ349" s="94">
        <v>1734.35</v>
      </c>
      <c r="BK349" s="94">
        <v>6811.6540000000005</v>
      </c>
      <c r="BL349" s="106">
        <v>173.7628</v>
      </c>
      <c r="BM349" s="94">
        <v>548.84220000000005</v>
      </c>
      <c r="BN349" s="94">
        <v>905.77</v>
      </c>
      <c r="BO349" s="94">
        <v>2540.9609999999998</v>
      </c>
      <c r="BP349" s="95">
        <v>16227.63</v>
      </c>
      <c r="BQ349" s="2"/>
      <c r="BR349" s="2"/>
      <c r="BS349" s="2"/>
    </row>
    <row r="350" spans="1:71" x14ac:dyDescent="0.35">
      <c r="A350" s="2"/>
      <c r="B350" s="2"/>
      <c r="C350" s="42" t="s">
        <v>52</v>
      </c>
      <c r="D350" s="109">
        <f t="shared" si="430"/>
        <v>0.10924466457681802</v>
      </c>
      <c r="E350" s="109">
        <f t="shared" si="410"/>
        <v>0.13271509968834994</v>
      </c>
      <c r="F350" s="109">
        <f t="shared" si="411"/>
        <v>0.14412990617680271</v>
      </c>
      <c r="G350" s="109">
        <f t="shared" si="412"/>
        <v>0.1490008950518418</v>
      </c>
      <c r="H350" s="109">
        <f t="shared" si="413"/>
        <v>0.11880746154530379</v>
      </c>
      <c r="I350" s="110">
        <f t="shared" si="414"/>
        <v>6.3747654045310425E-4</v>
      </c>
      <c r="J350" s="109">
        <f t="shared" si="415"/>
        <v>4.9546065731155239E-4</v>
      </c>
      <c r="K350" s="109">
        <f t="shared" si="416"/>
        <v>1.5606889795477179E-3</v>
      </c>
      <c r="L350" s="109">
        <f t="shared" si="417"/>
        <v>3.5765604479195178E-3</v>
      </c>
      <c r="M350" s="111">
        <f t="shared" si="418"/>
        <v>1.1722594822026497E-2</v>
      </c>
      <c r="N350" s="109">
        <f t="shared" si="419"/>
        <v>6.0759155363736611E-3</v>
      </c>
      <c r="O350" s="109">
        <f t="shared" si="420"/>
        <v>1.1780694847232461E-2</v>
      </c>
      <c r="P350" s="109">
        <f t="shared" si="421"/>
        <v>1.4955853628308974E-2</v>
      </c>
      <c r="Q350" s="109">
        <f t="shared" si="422"/>
        <v>2.0614063660956E-2</v>
      </c>
      <c r="R350" s="109">
        <f t="shared" si="423"/>
        <v>7.2873403101373038E-2</v>
      </c>
      <c r="S350" s="110">
        <f t="shared" si="424"/>
        <v>2.1969513573472477E-3</v>
      </c>
      <c r="T350" s="109">
        <f t="shared" si="425"/>
        <v>6.9316533231836954E-3</v>
      </c>
      <c r="U350" s="109">
        <f t="shared" si="426"/>
        <v>9.401138617681163E-3</v>
      </c>
      <c r="V350" s="109">
        <f t="shared" si="427"/>
        <v>2.6016049290658583E-2</v>
      </c>
      <c r="W350" s="111">
        <f t="shared" si="428"/>
        <v>0.1572634681505107</v>
      </c>
      <c r="X350" s="115">
        <f t="shared" si="431"/>
        <v>1.0000000000000002</v>
      </c>
      <c r="Y350" s="38" t="s">
        <v>472</v>
      </c>
      <c r="Z350" s="42" t="s">
        <v>52</v>
      </c>
      <c r="AA350" s="67">
        <f t="shared" ref="AA350:AT350" si="442">(SUMIF($AV$339:$AV$442,$Y350,AW$339:AW$442)*AA$337+IF($J128,SUMIF($AV$229:$AV$332,$Y240,AW$229:AW$332)*AA$227*(1-$D128/$J128),0))*$AU350</f>
        <v>34514.53</v>
      </c>
      <c r="AB350" s="67">
        <f t="shared" si="442"/>
        <v>41929.730000000003</v>
      </c>
      <c r="AC350" s="67">
        <f t="shared" si="442"/>
        <v>45536.1</v>
      </c>
      <c r="AD350" s="67">
        <f t="shared" si="442"/>
        <v>47075.03</v>
      </c>
      <c r="AE350" s="67">
        <f t="shared" si="442"/>
        <v>37535.78</v>
      </c>
      <c r="AF350" s="76">
        <f t="shared" si="442"/>
        <v>201.40299999999999</v>
      </c>
      <c r="AG350" s="67">
        <f t="shared" si="442"/>
        <v>156.53479999999999</v>
      </c>
      <c r="AH350" s="67">
        <f t="shared" si="442"/>
        <v>493.08080000000001</v>
      </c>
      <c r="AI350" s="67">
        <f t="shared" si="442"/>
        <v>1129.971</v>
      </c>
      <c r="AJ350" s="68">
        <f t="shared" si="442"/>
        <v>3703.6120000000001</v>
      </c>
      <c r="AK350" s="67">
        <f t="shared" si="442"/>
        <v>1919.6120000000001</v>
      </c>
      <c r="AL350" s="67">
        <f t="shared" si="442"/>
        <v>3721.9679999999998</v>
      </c>
      <c r="AM350" s="67">
        <f t="shared" si="442"/>
        <v>4725.1210000000001</v>
      </c>
      <c r="AN350" s="67">
        <f t="shared" si="442"/>
        <v>6512.7640000000001</v>
      </c>
      <c r="AO350" s="67">
        <f t="shared" si="442"/>
        <v>23023.47</v>
      </c>
      <c r="AP350" s="76">
        <f t="shared" si="442"/>
        <v>694.10019999999997</v>
      </c>
      <c r="AQ350" s="67">
        <f t="shared" si="442"/>
        <v>2189.9720000000002</v>
      </c>
      <c r="AR350" s="67">
        <f t="shared" si="442"/>
        <v>2970.1759999999999</v>
      </c>
      <c r="AS350" s="67">
        <f t="shared" si="442"/>
        <v>8219.4560000000001</v>
      </c>
      <c r="AT350" s="68">
        <f t="shared" si="442"/>
        <v>49685.49</v>
      </c>
      <c r="AU350" s="216">
        <v>1</v>
      </c>
      <c r="AV350" s="104" t="s">
        <v>472</v>
      </c>
      <c r="AW350" s="94">
        <v>34514.53</v>
      </c>
      <c r="AX350" s="94">
        <v>41929.730000000003</v>
      </c>
      <c r="AY350" s="94">
        <v>45536.1</v>
      </c>
      <c r="AZ350" s="94">
        <v>47075.03</v>
      </c>
      <c r="BA350" s="94">
        <v>37535.78</v>
      </c>
      <c r="BB350" s="106">
        <v>201.40299999999999</v>
      </c>
      <c r="BC350" s="94">
        <v>156.53479999999999</v>
      </c>
      <c r="BD350" s="94">
        <v>493.08080000000001</v>
      </c>
      <c r="BE350" s="94">
        <v>1129.971</v>
      </c>
      <c r="BF350" s="95">
        <v>3703.6120000000001</v>
      </c>
      <c r="BG350" s="94">
        <v>1919.6120000000001</v>
      </c>
      <c r="BH350" s="94">
        <v>3721.9679999999998</v>
      </c>
      <c r="BI350" s="94">
        <v>4725.1210000000001</v>
      </c>
      <c r="BJ350" s="94">
        <v>6512.7640000000001</v>
      </c>
      <c r="BK350" s="94">
        <v>23023.47</v>
      </c>
      <c r="BL350" s="106">
        <v>694.10019999999997</v>
      </c>
      <c r="BM350" s="94">
        <v>2189.9720000000002</v>
      </c>
      <c r="BN350" s="94">
        <v>2970.1759999999999</v>
      </c>
      <c r="BO350" s="94">
        <v>8219.4560000000001</v>
      </c>
      <c r="BP350" s="95">
        <v>49685.49</v>
      </c>
      <c r="BQ350" s="2"/>
      <c r="BR350" s="2"/>
      <c r="BS350" s="2"/>
    </row>
    <row r="351" spans="1:71" x14ac:dyDescent="0.35">
      <c r="A351" s="2"/>
      <c r="B351" s="2"/>
      <c r="C351" s="42" t="s">
        <v>56</v>
      </c>
      <c r="D351" s="109">
        <f t="shared" si="430"/>
        <v>2.642511188853533E-2</v>
      </c>
      <c r="E351" s="109">
        <f t="shared" si="410"/>
        <v>4.0047485402416386E-2</v>
      </c>
      <c r="F351" s="109">
        <f t="shared" si="411"/>
        <v>6.3066687779334704E-2</v>
      </c>
      <c r="G351" s="109">
        <f t="shared" si="412"/>
        <v>8.7625981835772124E-2</v>
      </c>
      <c r="H351" s="109">
        <f t="shared" si="413"/>
        <v>0.10285169546080757</v>
      </c>
      <c r="I351" s="110">
        <f t="shared" si="414"/>
        <v>0</v>
      </c>
      <c r="J351" s="109">
        <f t="shared" si="415"/>
        <v>1.681682919443942E-4</v>
      </c>
      <c r="K351" s="109">
        <f t="shared" si="416"/>
        <v>6.6299770569968296E-4</v>
      </c>
      <c r="L351" s="109">
        <f t="shared" si="417"/>
        <v>4.2544719238854015E-3</v>
      </c>
      <c r="M351" s="111">
        <f t="shared" si="418"/>
        <v>1.9550297340183421E-2</v>
      </c>
      <c r="N351" s="109">
        <f t="shared" si="419"/>
        <v>2.7013468378059564E-3</v>
      </c>
      <c r="O351" s="109">
        <f t="shared" si="420"/>
        <v>3.3395389926290293E-3</v>
      </c>
      <c r="P351" s="109">
        <f t="shared" si="421"/>
        <v>9.9995661403955629E-3</v>
      </c>
      <c r="Q351" s="109">
        <f t="shared" si="422"/>
        <v>2.1013431310641425E-2</v>
      </c>
      <c r="R351" s="109">
        <f t="shared" si="423"/>
        <v>0.16715640424737357</v>
      </c>
      <c r="S351" s="110">
        <f t="shared" si="424"/>
        <v>0</v>
      </c>
      <c r="T351" s="109">
        <f t="shared" si="425"/>
        <v>1.196441649611187E-3</v>
      </c>
      <c r="U351" s="109">
        <f t="shared" si="426"/>
        <v>2.9414270703596508E-3</v>
      </c>
      <c r="V351" s="109">
        <f t="shared" si="427"/>
        <v>1.3345591313104392E-2</v>
      </c>
      <c r="W351" s="111">
        <f t="shared" si="428"/>
        <v>0.43365335480950012</v>
      </c>
      <c r="X351" s="115">
        <f t="shared" si="431"/>
        <v>0.99999999999999978</v>
      </c>
      <c r="Y351" s="38" t="s">
        <v>517</v>
      </c>
      <c r="Z351" s="42" t="s">
        <v>56</v>
      </c>
      <c r="AA351" s="67">
        <f t="shared" ref="AA351:AT351" si="443">(SUMIF($AV$339:$AV$442,$Y351,AW$339:AW$442)*AA$337+IF($J129,SUMIF($AV$229:$AV$332,$Y241,AW$229:AW$332)*AA$227*(1-$D129/$J129),0))*$AU351</f>
        <v>121.2034</v>
      </c>
      <c r="AB351" s="67">
        <f t="shared" si="443"/>
        <v>183.6848</v>
      </c>
      <c r="AC351" s="67">
        <f t="shared" si="443"/>
        <v>289.26639999999998</v>
      </c>
      <c r="AD351" s="67">
        <f t="shared" si="443"/>
        <v>401.9119</v>
      </c>
      <c r="AE351" s="67">
        <f t="shared" si="443"/>
        <v>471.7473</v>
      </c>
      <c r="AF351" s="76">
        <f t="shared" si="443"/>
        <v>0</v>
      </c>
      <c r="AG351" s="67">
        <f t="shared" si="443"/>
        <v>0.7713333</v>
      </c>
      <c r="AH351" s="67">
        <f t="shared" si="443"/>
        <v>3.0409549999999999</v>
      </c>
      <c r="AI351" s="67">
        <f t="shared" si="443"/>
        <v>19.51388</v>
      </c>
      <c r="AJ351" s="68">
        <f t="shared" si="443"/>
        <v>89.670860000000005</v>
      </c>
      <c r="AK351" s="67">
        <f t="shared" si="443"/>
        <v>12.3902</v>
      </c>
      <c r="AL351" s="67">
        <f t="shared" si="443"/>
        <v>15.31738</v>
      </c>
      <c r="AM351" s="67">
        <f t="shared" si="443"/>
        <v>45.864759999999997</v>
      </c>
      <c r="AN351" s="67">
        <f t="shared" si="443"/>
        <v>96.381780000000006</v>
      </c>
      <c r="AO351" s="67">
        <f t="shared" si="443"/>
        <v>766.69209999999998</v>
      </c>
      <c r="AP351" s="76">
        <f t="shared" si="443"/>
        <v>0</v>
      </c>
      <c r="AQ351" s="67">
        <f t="shared" si="443"/>
        <v>5.4876889999999996</v>
      </c>
      <c r="AR351" s="67">
        <f t="shared" si="443"/>
        <v>13.49137</v>
      </c>
      <c r="AS351" s="67">
        <f t="shared" si="443"/>
        <v>61.211889999999997</v>
      </c>
      <c r="AT351" s="68">
        <f t="shared" si="443"/>
        <v>1989.027</v>
      </c>
      <c r="AU351" s="216">
        <v>1</v>
      </c>
      <c r="AV351" s="104" t="s">
        <v>517</v>
      </c>
      <c r="AW351" s="94">
        <v>121.2034</v>
      </c>
      <c r="AX351" s="94">
        <v>183.6848</v>
      </c>
      <c r="AY351" s="94">
        <v>289.26639999999998</v>
      </c>
      <c r="AZ351" s="94">
        <v>401.9119</v>
      </c>
      <c r="BA351" s="94">
        <v>471.7473</v>
      </c>
      <c r="BB351" s="106">
        <v>0</v>
      </c>
      <c r="BC351" s="94">
        <v>0.7713333</v>
      </c>
      <c r="BD351" s="94">
        <v>3.0409549999999999</v>
      </c>
      <c r="BE351" s="94">
        <v>19.51388</v>
      </c>
      <c r="BF351" s="95">
        <v>89.670860000000005</v>
      </c>
      <c r="BG351" s="94">
        <v>12.3902</v>
      </c>
      <c r="BH351" s="94">
        <v>15.31738</v>
      </c>
      <c r="BI351" s="94">
        <v>45.864759999999997</v>
      </c>
      <c r="BJ351" s="94">
        <v>96.381780000000006</v>
      </c>
      <c r="BK351" s="94">
        <v>766.69209999999998</v>
      </c>
      <c r="BL351" s="106">
        <v>0</v>
      </c>
      <c r="BM351" s="94">
        <v>5.4876889999999996</v>
      </c>
      <c r="BN351" s="94">
        <v>13.49137</v>
      </c>
      <c r="BO351" s="94">
        <v>61.211889999999997</v>
      </c>
      <c r="BP351" s="95">
        <v>1989.027</v>
      </c>
      <c r="BQ351" s="2"/>
      <c r="BR351" s="2"/>
      <c r="BS351" s="2"/>
    </row>
    <row r="352" spans="1:71" x14ac:dyDescent="0.35">
      <c r="A352" s="2"/>
      <c r="B352" s="2"/>
      <c r="C352" s="42" t="s">
        <v>60</v>
      </c>
      <c r="D352" s="109">
        <f t="shared" si="430"/>
        <v>1.4288364738839543E-2</v>
      </c>
      <c r="E352" s="109">
        <f t="shared" si="410"/>
        <v>2.9853502586719628E-2</v>
      </c>
      <c r="F352" s="109">
        <f t="shared" si="411"/>
        <v>5.0491577804733179E-2</v>
      </c>
      <c r="G352" s="109">
        <f t="shared" si="412"/>
        <v>9.0010794591820584E-2</v>
      </c>
      <c r="H352" s="109">
        <f t="shared" si="413"/>
        <v>0.14994339268681403</v>
      </c>
      <c r="I352" s="110">
        <f t="shared" si="414"/>
        <v>0</v>
      </c>
      <c r="J352" s="109">
        <f t="shared" si="415"/>
        <v>0</v>
      </c>
      <c r="K352" s="109">
        <f t="shared" si="416"/>
        <v>0</v>
      </c>
      <c r="L352" s="109">
        <f t="shared" si="417"/>
        <v>5.3221706082630148E-3</v>
      </c>
      <c r="M352" s="111">
        <f t="shared" si="418"/>
        <v>2.9585759292417989E-2</v>
      </c>
      <c r="N352" s="109">
        <f t="shared" si="419"/>
        <v>1.0003042454434116E-2</v>
      </c>
      <c r="O352" s="109">
        <f t="shared" si="420"/>
        <v>4.0636010072291097E-3</v>
      </c>
      <c r="P352" s="109">
        <f t="shared" si="421"/>
        <v>5.8735881218387907E-3</v>
      </c>
      <c r="Q352" s="109">
        <f t="shared" si="422"/>
        <v>2.0084409438926358E-2</v>
      </c>
      <c r="R352" s="109">
        <f t="shared" si="423"/>
        <v>0.21195381256565277</v>
      </c>
      <c r="S352" s="110">
        <f t="shared" si="424"/>
        <v>2.5092595878057761E-3</v>
      </c>
      <c r="T352" s="109">
        <f t="shared" si="425"/>
        <v>4.3455111007627327E-4</v>
      </c>
      <c r="U352" s="109">
        <f t="shared" si="426"/>
        <v>8.2276569639980104E-4</v>
      </c>
      <c r="V352" s="109">
        <f t="shared" si="427"/>
        <v>6.9951211132926756E-3</v>
      </c>
      <c r="W352" s="111">
        <f t="shared" si="428"/>
        <v>0.36776428659473637</v>
      </c>
      <c r="X352" s="115">
        <f t="shared" si="431"/>
        <v>1</v>
      </c>
      <c r="Y352" s="38" t="s">
        <v>518</v>
      </c>
      <c r="Z352" s="42" t="s">
        <v>60</v>
      </c>
      <c r="AA352" s="67">
        <f t="shared" ref="AA352:AS352" si="444">(SUMIF($AV$339:$AV$442,$Y352,AW$339:AW$442)*AA$337+IF($J130,SUMIF($AV$229:$AV$332,$Y242,AW$229:AW$332)*AA$227*(1-$D130/$J130),0))*$AU352</f>
        <v>19.389970000000002</v>
      </c>
      <c r="AB352" s="67">
        <f t="shared" si="444"/>
        <v>40.51258</v>
      </c>
      <c r="AC352" s="67">
        <f t="shared" si="444"/>
        <v>68.519400000000005</v>
      </c>
      <c r="AD352" s="67">
        <f t="shared" si="444"/>
        <v>122.14879999999999</v>
      </c>
      <c r="AE352" s="67">
        <f t="shared" si="444"/>
        <v>203.48009999999999</v>
      </c>
      <c r="AF352" s="76">
        <f t="shared" si="444"/>
        <v>0</v>
      </c>
      <c r="AG352" s="67">
        <f t="shared" si="444"/>
        <v>0</v>
      </c>
      <c r="AH352" s="67">
        <f t="shared" si="444"/>
        <v>0</v>
      </c>
      <c r="AI352" s="67">
        <f t="shared" si="444"/>
        <v>7.2224310000000003</v>
      </c>
      <c r="AJ352" s="68">
        <f t="shared" si="444"/>
        <v>40.149239999999999</v>
      </c>
      <c r="AK352" s="67">
        <f t="shared" si="444"/>
        <v>13.574590000000001</v>
      </c>
      <c r="AL352" s="67">
        <f t="shared" si="444"/>
        <v>5.514494</v>
      </c>
      <c r="AM352" s="67">
        <f t="shared" si="444"/>
        <v>7.9707299999999996</v>
      </c>
      <c r="AN352" s="67">
        <f t="shared" si="444"/>
        <v>27.255469999999999</v>
      </c>
      <c r="AO352" s="67">
        <f t="shared" si="444"/>
        <v>287.6311</v>
      </c>
      <c r="AP352" s="76">
        <f t="shared" si="444"/>
        <v>3.4051809999999998</v>
      </c>
      <c r="AQ352" s="67">
        <f t="shared" si="444"/>
        <v>0.58970590000000001</v>
      </c>
      <c r="AR352" s="67">
        <f t="shared" si="444"/>
        <v>1.1165309999999999</v>
      </c>
      <c r="AS352" s="67">
        <f t="shared" si="444"/>
        <v>9.4927019999999995</v>
      </c>
      <c r="AT352" s="68">
        <f>(SUMIF($AV$339:$AV$442,$Y352,BP$339:BP$442)*AT$337+IF($J130,SUMIF($AV$229:$AV$332,$Y242,BP$229:BP$332)*AT$227*(1-$D130/$J130),0))*$AU352</f>
        <v>499.07310000000001</v>
      </c>
      <c r="AU352" s="216">
        <v>1</v>
      </c>
      <c r="AV352" s="104" t="s">
        <v>518</v>
      </c>
      <c r="AW352" s="94">
        <v>19.389970000000002</v>
      </c>
      <c r="AX352" s="94">
        <v>40.51258</v>
      </c>
      <c r="AY352" s="94">
        <v>68.519400000000005</v>
      </c>
      <c r="AZ352" s="94">
        <v>122.14879999999999</v>
      </c>
      <c r="BA352" s="94">
        <v>203.48009999999999</v>
      </c>
      <c r="BB352" s="106">
        <v>0</v>
      </c>
      <c r="BC352" s="94">
        <v>0</v>
      </c>
      <c r="BD352" s="94">
        <v>0</v>
      </c>
      <c r="BE352" s="94">
        <v>7.2224310000000003</v>
      </c>
      <c r="BF352" s="95">
        <v>40.149239999999999</v>
      </c>
      <c r="BG352" s="94">
        <v>13.574590000000001</v>
      </c>
      <c r="BH352" s="94">
        <v>5.514494</v>
      </c>
      <c r="BI352" s="94">
        <v>7.9707299999999996</v>
      </c>
      <c r="BJ352" s="94">
        <v>27.255469999999999</v>
      </c>
      <c r="BK352" s="94">
        <v>287.6311</v>
      </c>
      <c r="BL352" s="106">
        <v>3.4051809999999998</v>
      </c>
      <c r="BM352" s="94">
        <v>0.58970590000000001</v>
      </c>
      <c r="BN352" s="94">
        <v>1.1165309999999999</v>
      </c>
      <c r="BO352" s="94">
        <v>9.4927019999999995</v>
      </c>
      <c r="BP352" s="95">
        <v>499.07310000000001</v>
      </c>
      <c r="BQ352" s="2"/>
      <c r="BR352" s="2"/>
      <c r="BS352" s="2"/>
    </row>
    <row r="353" spans="1:71" x14ac:dyDescent="0.35">
      <c r="A353" s="2"/>
      <c r="B353" s="2"/>
      <c r="C353" s="42" t="s">
        <v>64</v>
      </c>
      <c r="D353" s="109">
        <f t="shared" si="430"/>
        <v>4.4815148722504347E-2</v>
      </c>
      <c r="E353" s="109">
        <f t="shared" si="410"/>
        <v>8.3909752744025415E-2</v>
      </c>
      <c r="F353" s="109">
        <f t="shared" si="411"/>
        <v>0.1173190910110901</v>
      </c>
      <c r="G353" s="109">
        <f t="shared" si="412"/>
        <v>0.1747541932129954</v>
      </c>
      <c r="H353" s="109">
        <f t="shared" si="413"/>
        <v>0.15288378723228152</v>
      </c>
      <c r="I353" s="110">
        <f t="shared" si="414"/>
        <v>1.3470095955695678E-4</v>
      </c>
      <c r="J353" s="109">
        <f t="shared" si="415"/>
        <v>4.4282387767141565E-4</v>
      </c>
      <c r="K353" s="109">
        <f t="shared" si="416"/>
        <v>1.689374865081826E-3</v>
      </c>
      <c r="L353" s="109">
        <f t="shared" si="417"/>
        <v>2.6011782945638308E-3</v>
      </c>
      <c r="M353" s="111">
        <f t="shared" si="418"/>
        <v>1.8993549593586182E-2</v>
      </c>
      <c r="N353" s="109">
        <f t="shared" si="419"/>
        <v>3.631937250002582E-3</v>
      </c>
      <c r="O353" s="109">
        <f t="shared" si="420"/>
        <v>5.5009396110183044E-3</v>
      </c>
      <c r="P353" s="109">
        <f t="shared" si="421"/>
        <v>1.012457488868458E-2</v>
      </c>
      <c r="Q353" s="109">
        <f t="shared" si="422"/>
        <v>2.1101344491550503E-2</v>
      </c>
      <c r="R353" s="109">
        <f t="shared" si="423"/>
        <v>9.2288121414267371E-2</v>
      </c>
      <c r="S353" s="110">
        <f t="shared" si="424"/>
        <v>1.9693313850111835E-3</v>
      </c>
      <c r="T353" s="109">
        <f t="shared" si="425"/>
        <v>4.8376680531410452E-3</v>
      </c>
      <c r="U353" s="109">
        <f t="shared" si="426"/>
        <v>7.1554186139787448E-3</v>
      </c>
      <c r="V353" s="109">
        <f t="shared" si="427"/>
        <v>2.9960757722412797E-2</v>
      </c>
      <c r="W353" s="111">
        <f t="shared" si="428"/>
        <v>0.22588630605657603</v>
      </c>
      <c r="X353" s="115">
        <f t="shared" si="431"/>
        <v>1</v>
      </c>
      <c r="Y353" s="38" t="s">
        <v>519</v>
      </c>
      <c r="Z353" s="42" t="s">
        <v>64</v>
      </c>
      <c r="AA353" s="67">
        <f t="shared" ref="AA353:AT353" si="445">(SUMIF($AV$339:$AV$442,$Y353,AW$339:AW$442)*AA$337+IF($J131,SUMIF($AV$229:$AV$332,$Y243,AW$229:AW$332)*AA$227*(1-$D131/$J131),0))*$AU353</f>
        <v>2292.9070000000002</v>
      </c>
      <c r="AB353" s="67">
        <f t="shared" si="445"/>
        <v>4293.13</v>
      </c>
      <c r="AC353" s="67">
        <f t="shared" si="445"/>
        <v>6002.4740000000002</v>
      </c>
      <c r="AD353" s="67">
        <f t="shared" si="445"/>
        <v>8941.0640000000003</v>
      </c>
      <c r="AE353" s="67">
        <f t="shared" si="445"/>
        <v>7822.0940000000001</v>
      </c>
      <c r="AF353" s="76">
        <f t="shared" si="445"/>
        <v>6.891794</v>
      </c>
      <c r="AG353" s="67">
        <f t="shared" si="445"/>
        <v>22.656490000000002</v>
      </c>
      <c r="AH353" s="67">
        <f t="shared" si="445"/>
        <v>86.434600000000003</v>
      </c>
      <c r="AI353" s="67">
        <f t="shared" si="445"/>
        <v>133.08580000000001</v>
      </c>
      <c r="AJ353" s="68">
        <f t="shared" si="445"/>
        <v>971.77949999999998</v>
      </c>
      <c r="AK353" s="67">
        <f t="shared" si="445"/>
        <v>185.82320000000001</v>
      </c>
      <c r="AL353" s="67">
        <f t="shared" si="445"/>
        <v>281.44819999999999</v>
      </c>
      <c r="AM353" s="67">
        <f t="shared" si="445"/>
        <v>518.01030000000003</v>
      </c>
      <c r="AN353" s="67">
        <f t="shared" si="445"/>
        <v>1079.6220000000001</v>
      </c>
      <c r="AO353" s="67">
        <f t="shared" si="445"/>
        <v>4721.7979999999998</v>
      </c>
      <c r="AP353" s="76">
        <f t="shared" si="445"/>
        <v>100.7582</v>
      </c>
      <c r="AQ353" s="67">
        <f t="shared" si="445"/>
        <v>247.5128</v>
      </c>
      <c r="AR353" s="67">
        <f t="shared" si="445"/>
        <v>366.09739999999999</v>
      </c>
      <c r="AS353" s="67">
        <f t="shared" si="445"/>
        <v>1532.902</v>
      </c>
      <c r="AT353" s="68">
        <f t="shared" si="445"/>
        <v>11557.17</v>
      </c>
      <c r="AU353" s="216">
        <v>1</v>
      </c>
      <c r="AV353" s="104" t="s">
        <v>519</v>
      </c>
      <c r="AW353" s="94">
        <v>2292.9070000000002</v>
      </c>
      <c r="AX353" s="94">
        <v>4293.13</v>
      </c>
      <c r="AY353" s="94">
        <v>6002.4740000000002</v>
      </c>
      <c r="AZ353" s="94">
        <v>8941.0640000000003</v>
      </c>
      <c r="BA353" s="94">
        <v>7822.0940000000001</v>
      </c>
      <c r="BB353" s="106">
        <v>6.891794</v>
      </c>
      <c r="BC353" s="94">
        <v>22.656490000000002</v>
      </c>
      <c r="BD353" s="94">
        <v>86.434600000000003</v>
      </c>
      <c r="BE353" s="94">
        <v>133.08580000000001</v>
      </c>
      <c r="BF353" s="95">
        <v>971.77949999999998</v>
      </c>
      <c r="BG353" s="94">
        <v>185.82320000000001</v>
      </c>
      <c r="BH353" s="94">
        <v>281.44819999999999</v>
      </c>
      <c r="BI353" s="94">
        <v>518.01030000000003</v>
      </c>
      <c r="BJ353" s="94">
        <v>1079.6220000000001</v>
      </c>
      <c r="BK353" s="94">
        <v>4721.7979999999998</v>
      </c>
      <c r="BL353" s="106">
        <v>100.7582</v>
      </c>
      <c r="BM353" s="94">
        <v>247.5128</v>
      </c>
      <c r="BN353" s="94">
        <v>366.09739999999999</v>
      </c>
      <c r="BO353" s="94">
        <v>1532.902</v>
      </c>
      <c r="BP353" s="95">
        <v>11557.17</v>
      </c>
      <c r="BQ353" s="2"/>
      <c r="BR353" s="2"/>
      <c r="BS353" s="2"/>
    </row>
    <row r="354" spans="1:71" x14ac:dyDescent="0.35">
      <c r="A354" s="2"/>
      <c r="B354" s="2"/>
      <c r="C354" s="42" t="s">
        <v>68</v>
      </c>
      <c r="D354" s="109">
        <f t="shared" si="430"/>
        <v>6.4075292320933563E-2</v>
      </c>
      <c r="E354" s="109">
        <f t="shared" si="410"/>
        <v>9.4867943756376361E-2</v>
      </c>
      <c r="F354" s="109">
        <f t="shared" si="411"/>
        <v>0.12391018252308246</v>
      </c>
      <c r="G354" s="109">
        <f t="shared" si="412"/>
        <v>0.15736356750148864</v>
      </c>
      <c r="H354" s="109">
        <f t="shared" si="413"/>
        <v>0.1526966765816751</v>
      </c>
      <c r="I354" s="110">
        <f t="shared" si="414"/>
        <v>1.5270496235592971E-4</v>
      </c>
      <c r="J354" s="109">
        <f t="shared" si="415"/>
        <v>2.5158324942316652E-4</v>
      </c>
      <c r="K354" s="109">
        <f t="shared" si="416"/>
        <v>1.2232059958979101E-3</v>
      </c>
      <c r="L354" s="109">
        <f t="shared" si="417"/>
        <v>3.1967317080026461E-3</v>
      </c>
      <c r="M354" s="111">
        <f t="shared" si="418"/>
        <v>2.3432083877095066E-2</v>
      </c>
      <c r="N354" s="109">
        <f t="shared" si="419"/>
        <v>5.0723967118335165E-3</v>
      </c>
      <c r="O354" s="109">
        <f t="shared" si="420"/>
        <v>8.9781749801827182E-3</v>
      </c>
      <c r="P354" s="109">
        <f t="shared" si="421"/>
        <v>1.328969904228894E-2</v>
      </c>
      <c r="Q354" s="109">
        <f t="shared" si="422"/>
        <v>1.89532086037725E-2</v>
      </c>
      <c r="R354" s="109">
        <f t="shared" si="423"/>
        <v>9.5511676986870173E-2</v>
      </c>
      <c r="S354" s="110">
        <f t="shared" si="424"/>
        <v>1.7655670641320246E-3</v>
      </c>
      <c r="T354" s="109">
        <f t="shared" si="425"/>
        <v>4.0698694559708924E-3</v>
      </c>
      <c r="U354" s="109">
        <f t="shared" si="426"/>
        <v>6.2112778117096824E-3</v>
      </c>
      <c r="V354" s="109">
        <f t="shared" si="427"/>
        <v>1.9160952964480008E-2</v>
      </c>
      <c r="W354" s="111">
        <f t="shared" si="428"/>
        <v>0.20581720390242877</v>
      </c>
      <c r="X354" s="115">
        <f t="shared" si="431"/>
        <v>1</v>
      </c>
      <c r="Y354" s="38" t="s">
        <v>480</v>
      </c>
      <c r="Z354" s="42" t="s">
        <v>68</v>
      </c>
      <c r="AA354" s="67">
        <f t="shared" ref="AA354:AT354" si="446">(SUMIF($AV$339:$AV$442,$Y354,AW$339:AW$442)*AA$337+IF($J132,SUMIF($AV$229:$AV$332,$Y244,AW$229:AW$332)*AA$227*(1-$D132/$J132),0))*$AU354</f>
        <v>4485.2380000000003</v>
      </c>
      <c r="AB354" s="67">
        <f t="shared" si="446"/>
        <v>6640.7079999999996</v>
      </c>
      <c r="AC354" s="67">
        <f t="shared" si="446"/>
        <v>8673.65</v>
      </c>
      <c r="AD354" s="67">
        <f t="shared" si="446"/>
        <v>11015.37</v>
      </c>
      <c r="AE354" s="67">
        <f t="shared" si="446"/>
        <v>10688.69</v>
      </c>
      <c r="AF354" s="76">
        <f t="shared" si="446"/>
        <v>10.68927</v>
      </c>
      <c r="AG354" s="67">
        <f t="shared" si="446"/>
        <v>17.610700000000001</v>
      </c>
      <c r="AH354" s="67">
        <f t="shared" si="446"/>
        <v>85.623800000000003</v>
      </c>
      <c r="AI354" s="67">
        <f t="shared" si="446"/>
        <v>223.7696</v>
      </c>
      <c r="AJ354" s="68">
        <f t="shared" si="446"/>
        <v>1640.2339999999999</v>
      </c>
      <c r="AK354" s="67">
        <f t="shared" si="446"/>
        <v>355.0652</v>
      </c>
      <c r="AL354" s="67">
        <f t="shared" si="446"/>
        <v>628.46770000000004</v>
      </c>
      <c r="AM354" s="67">
        <f t="shared" si="446"/>
        <v>930.2722</v>
      </c>
      <c r="AN354" s="67">
        <f t="shared" si="446"/>
        <v>1326.7149999999999</v>
      </c>
      <c r="AO354" s="67">
        <f t="shared" si="446"/>
        <v>6685.7690000000002</v>
      </c>
      <c r="AP354" s="76">
        <f t="shared" si="446"/>
        <v>123.58880000000001</v>
      </c>
      <c r="AQ354" s="67">
        <f t="shared" si="446"/>
        <v>284.8888</v>
      </c>
      <c r="AR354" s="67">
        <f t="shared" si="446"/>
        <v>434.78629999999998</v>
      </c>
      <c r="AS354" s="67">
        <f t="shared" si="446"/>
        <v>1341.2570000000001</v>
      </c>
      <c r="AT354" s="68">
        <f t="shared" si="446"/>
        <v>14407.1</v>
      </c>
      <c r="AU354" s="216">
        <v>1</v>
      </c>
      <c r="AV354" s="104" t="s">
        <v>480</v>
      </c>
      <c r="AW354" s="94">
        <v>4485.2380000000003</v>
      </c>
      <c r="AX354" s="94">
        <v>6640.7079999999996</v>
      </c>
      <c r="AY354" s="94">
        <v>8673.65</v>
      </c>
      <c r="AZ354" s="94">
        <v>11015.37</v>
      </c>
      <c r="BA354" s="94">
        <v>10688.69</v>
      </c>
      <c r="BB354" s="106">
        <v>10.68927</v>
      </c>
      <c r="BC354" s="94">
        <v>17.610700000000001</v>
      </c>
      <c r="BD354" s="94">
        <v>85.623800000000003</v>
      </c>
      <c r="BE354" s="94">
        <v>223.7696</v>
      </c>
      <c r="BF354" s="95">
        <v>1640.2339999999999</v>
      </c>
      <c r="BG354" s="94">
        <v>355.0652</v>
      </c>
      <c r="BH354" s="94">
        <v>628.46770000000004</v>
      </c>
      <c r="BI354" s="94">
        <v>930.2722</v>
      </c>
      <c r="BJ354" s="94">
        <v>1326.7149999999999</v>
      </c>
      <c r="BK354" s="94">
        <v>6685.7690000000002</v>
      </c>
      <c r="BL354" s="106">
        <v>123.58880000000001</v>
      </c>
      <c r="BM354" s="94">
        <v>284.8888</v>
      </c>
      <c r="BN354" s="94">
        <v>434.78629999999998</v>
      </c>
      <c r="BO354" s="94">
        <v>1341.2570000000001</v>
      </c>
      <c r="BP354" s="95">
        <v>14407.1</v>
      </c>
      <c r="BQ354" s="2"/>
      <c r="BR354" s="2"/>
      <c r="BS354" s="2"/>
    </row>
    <row r="355" spans="1:71" x14ac:dyDescent="0.35">
      <c r="A355" s="2"/>
      <c r="B355" s="2"/>
      <c r="C355" s="42" t="s">
        <v>72</v>
      </c>
      <c r="D355" s="109">
        <f t="shared" si="430"/>
        <v>4.3128269366517653E-3</v>
      </c>
      <c r="E355" s="109">
        <f t="shared" si="410"/>
        <v>1.2230655184965012E-2</v>
      </c>
      <c r="F355" s="109">
        <f t="shared" si="411"/>
        <v>2.2726640139056824E-2</v>
      </c>
      <c r="G355" s="109">
        <f t="shared" si="412"/>
        <v>5.3778250260059189E-2</v>
      </c>
      <c r="H355" s="109">
        <f t="shared" si="413"/>
        <v>0.11843158190119833</v>
      </c>
      <c r="I355" s="110">
        <f t="shared" si="414"/>
        <v>0</v>
      </c>
      <c r="J355" s="109">
        <f t="shared" si="415"/>
        <v>1.39527064749746E-4</v>
      </c>
      <c r="K355" s="109">
        <f t="shared" si="416"/>
        <v>0</v>
      </c>
      <c r="L355" s="109">
        <f t="shared" si="417"/>
        <v>3.6184595857476754E-4</v>
      </c>
      <c r="M355" s="111">
        <f t="shared" si="418"/>
        <v>1.5391710724747204E-2</v>
      </c>
      <c r="N355" s="109">
        <f t="shared" si="419"/>
        <v>2.8508155502598729E-3</v>
      </c>
      <c r="O355" s="109">
        <f t="shared" si="420"/>
        <v>4.7696231895940008E-3</v>
      </c>
      <c r="P355" s="109">
        <f t="shared" si="421"/>
        <v>1.0155548504760937E-2</v>
      </c>
      <c r="Q355" s="109">
        <f t="shared" si="422"/>
        <v>1.3953003135854994E-2</v>
      </c>
      <c r="R355" s="109">
        <f t="shared" si="423"/>
        <v>0.19385088160448205</v>
      </c>
      <c r="S355" s="110">
        <f t="shared" si="424"/>
        <v>3.6895026309709521E-4</v>
      </c>
      <c r="T355" s="109">
        <f t="shared" si="425"/>
        <v>4.4742140734020421E-3</v>
      </c>
      <c r="U355" s="109">
        <f t="shared" si="426"/>
        <v>1.1509642622059627E-2</v>
      </c>
      <c r="V355" s="109">
        <f t="shared" si="427"/>
        <v>3.1775079180710035E-2</v>
      </c>
      <c r="W355" s="111">
        <f t="shared" si="428"/>
        <v>0.49891920370577642</v>
      </c>
      <c r="X355" s="115">
        <f t="shared" si="431"/>
        <v>0.99999999999999978</v>
      </c>
      <c r="Y355" s="38" t="s">
        <v>459</v>
      </c>
      <c r="Z355" s="42" t="s">
        <v>72</v>
      </c>
      <c r="AA355" s="67">
        <f t="shared" ref="AA355:AT355" si="447">(SUMIF($AV$339:$AV$442,$Y355,AW$339:AW$442)*AA$337+IF($J133,SUMIF($AV$229:$AV$332,$Y245,AW$229:AW$332)*AA$227*(1-$D133/$J133),0))*$AU355</f>
        <v>11.92108</v>
      </c>
      <c r="AB355" s="67">
        <f t="shared" si="447"/>
        <v>33.806739999999998</v>
      </c>
      <c r="AC355" s="67">
        <f t="shared" si="447"/>
        <v>62.818680000000001</v>
      </c>
      <c r="AD355" s="67">
        <f t="shared" si="447"/>
        <v>148.64840000000001</v>
      </c>
      <c r="AE355" s="67">
        <f t="shared" si="447"/>
        <v>327.35660000000001</v>
      </c>
      <c r="AF355" s="76">
        <f t="shared" si="447"/>
        <v>0</v>
      </c>
      <c r="AG355" s="67">
        <f t="shared" si="447"/>
        <v>0.38566660000000003</v>
      </c>
      <c r="AH355" s="67">
        <f t="shared" si="447"/>
        <v>0</v>
      </c>
      <c r="AI355" s="67">
        <f t="shared" si="447"/>
        <v>1.000178</v>
      </c>
      <c r="AJ355" s="68">
        <f t="shared" si="447"/>
        <v>42.54421</v>
      </c>
      <c r="AK355" s="67">
        <f t="shared" si="447"/>
        <v>7.8799359999999998</v>
      </c>
      <c r="AL355" s="67">
        <f t="shared" si="447"/>
        <v>13.18371</v>
      </c>
      <c r="AM355" s="67">
        <f t="shared" si="447"/>
        <v>28.07094</v>
      </c>
      <c r="AN355" s="67">
        <f t="shared" si="447"/>
        <v>38.567480000000003</v>
      </c>
      <c r="AO355" s="67">
        <f t="shared" si="447"/>
        <v>535.82299999999998</v>
      </c>
      <c r="AP355" s="76">
        <f t="shared" si="447"/>
        <v>1.0198149999999999</v>
      </c>
      <c r="AQ355" s="67">
        <f t="shared" si="447"/>
        <v>12.36717</v>
      </c>
      <c r="AR355" s="67">
        <f t="shared" si="447"/>
        <v>31.813790000000001</v>
      </c>
      <c r="AS355" s="67">
        <f t="shared" si="447"/>
        <v>87.829459999999997</v>
      </c>
      <c r="AT355" s="68">
        <f t="shared" si="447"/>
        <v>1379.0619999999999</v>
      </c>
      <c r="AU355" s="216">
        <v>1</v>
      </c>
      <c r="AV355" s="104" t="s">
        <v>459</v>
      </c>
      <c r="AW355" s="94">
        <v>11.92108</v>
      </c>
      <c r="AX355" s="94">
        <v>33.806739999999998</v>
      </c>
      <c r="AY355" s="94">
        <v>62.818680000000001</v>
      </c>
      <c r="AZ355" s="94">
        <v>148.64840000000001</v>
      </c>
      <c r="BA355" s="94">
        <v>327.35660000000001</v>
      </c>
      <c r="BB355" s="106">
        <v>0</v>
      </c>
      <c r="BC355" s="94">
        <v>0.38566660000000003</v>
      </c>
      <c r="BD355" s="94">
        <v>0</v>
      </c>
      <c r="BE355" s="94">
        <v>1.000178</v>
      </c>
      <c r="BF355" s="95">
        <v>42.54421</v>
      </c>
      <c r="BG355" s="94">
        <v>7.8799359999999998</v>
      </c>
      <c r="BH355" s="94">
        <v>13.18371</v>
      </c>
      <c r="BI355" s="94">
        <v>28.07094</v>
      </c>
      <c r="BJ355" s="94">
        <v>38.567480000000003</v>
      </c>
      <c r="BK355" s="94">
        <v>535.82299999999998</v>
      </c>
      <c r="BL355" s="106">
        <v>1.0198149999999999</v>
      </c>
      <c r="BM355" s="94">
        <v>12.36717</v>
      </c>
      <c r="BN355" s="94">
        <v>31.813790000000001</v>
      </c>
      <c r="BO355" s="94">
        <v>87.829459999999997</v>
      </c>
      <c r="BP355" s="95">
        <v>1379.0619999999999</v>
      </c>
      <c r="BQ355" s="2"/>
      <c r="BR355" s="2"/>
      <c r="BS355" s="2"/>
    </row>
    <row r="356" spans="1:71" x14ac:dyDescent="0.35">
      <c r="A356" s="2"/>
      <c r="B356" s="2"/>
      <c r="C356" s="42" t="s">
        <v>76</v>
      </c>
      <c r="D356" s="109">
        <f t="shared" si="430"/>
        <v>3.927396316059522E-2</v>
      </c>
      <c r="E356" s="109">
        <f t="shared" si="410"/>
        <v>1.6202859752054131E-2</v>
      </c>
      <c r="F356" s="109">
        <f t="shared" si="411"/>
        <v>5.6482206401989407E-2</v>
      </c>
      <c r="G356" s="109">
        <f t="shared" si="412"/>
        <v>9.24420693704502E-2</v>
      </c>
      <c r="H356" s="109">
        <f t="shared" si="413"/>
        <v>0.13264599937926555</v>
      </c>
      <c r="I356" s="110">
        <f t="shared" si="414"/>
        <v>0</v>
      </c>
      <c r="J356" s="109">
        <f t="shared" si="415"/>
        <v>0</v>
      </c>
      <c r="K356" s="109">
        <f t="shared" si="416"/>
        <v>0</v>
      </c>
      <c r="L356" s="109">
        <f t="shared" si="417"/>
        <v>4.7350043137512482E-4</v>
      </c>
      <c r="M356" s="111">
        <f t="shared" si="418"/>
        <v>1.6336194487483267E-2</v>
      </c>
      <c r="N356" s="109">
        <f t="shared" si="419"/>
        <v>6.7720365762670345E-4</v>
      </c>
      <c r="O356" s="109">
        <f t="shared" si="420"/>
        <v>0</v>
      </c>
      <c r="P356" s="109">
        <f t="shared" si="421"/>
        <v>2.0440261510938844E-3</v>
      </c>
      <c r="Q356" s="109">
        <f t="shared" si="422"/>
        <v>1.3589673573838768E-2</v>
      </c>
      <c r="R356" s="109">
        <f t="shared" si="423"/>
        <v>0.12752278462364422</v>
      </c>
      <c r="S356" s="110">
        <f t="shared" si="424"/>
        <v>1.2379532055625012E-3</v>
      </c>
      <c r="T356" s="109">
        <f t="shared" si="425"/>
        <v>3.7975688575610141E-4</v>
      </c>
      <c r="U356" s="109">
        <f t="shared" si="426"/>
        <v>2.0383778344037775E-3</v>
      </c>
      <c r="V356" s="109">
        <f t="shared" si="427"/>
        <v>1.6702936319693312E-2</v>
      </c>
      <c r="W356" s="111">
        <f t="shared" si="428"/>
        <v>0.48195049476516788</v>
      </c>
      <c r="X356" s="115">
        <f t="shared" si="431"/>
        <v>1</v>
      </c>
      <c r="Y356" s="38" t="s">
        <v>520</v>
      </c>
      <c r="Z356" s="42" t="s">
        <v>76</v>
      </c>
      <c r="AA356" s="67">
        <f t="shared" ref="AA356:AT356" si="448">(SUMIF($AV$339:$AV$442,$Y356,AW$339:AW$442)*AA$337+IF($J134,SUMIF($AV$229:$AV$332,$Y246,AW$229:AW$332)*AA$227*(1-$D134/$J134),0))*$AU356</f>
        <v>134.9341</v>
      </c>
      <c r="AB356" s="67">
        <f t="shared" si="448"/>
        <v>55.668390000000002</v>
      </c>
      <c r="AC356" s="67">
        <f t="shared" si="448"/>
        <v>194.05670000000001</v>
      </c>
      <c r="AD356" s="67">
        <f t="shared" si="448"/>
        <v>317.60449999999997</v>
      </c>
      <c r="AE356" s="67">
        <f t="shared" si="448"/>
        <v>455.7337</v>
      </c>
      <c r="AF356" s="76">
        <f t="shared" si="448"/>
        <v>0</v>
      </c>
      <c r="AG356" s="67">
        <f t="shared" si="448"/>
        <v>0</v>
      </c>
      <c r="AH356" s="67">
        <f t="shared" si="448"/>
        <v>0</v>
      </c>
      <c r="AI356" s="67">
        <f t="shared" si="448"/>
        <v>1.6268119999999999</v>
      </c>
      <c r="AJ356" s="68">
        <f t="shared" si="448"/>
        <v>56.126489999999997</v>
      </c>
      <c r="AK356" s="67">
        <f t="shared" si="448"/>
        <v>2.3266779999999998</v>
      </c>
      <c r="AL356" s="67">
        <f t="shared" si="448"/>
        <v>0</v>
      </c>
      <c r="AM356" s="67">
        <f t="shared" si="448"/>
        <v>7.0226889999999997</v>
      </c>
      <c r="AN356" s="67">
        <f t="shared" si="448"/>
        <v>46.69023</v>
      </c>
      <c r="AO356" s="67">
        <f t="shared" si="448"/>
        <v>438.1318</v>
      </c>
      <c r="AP356" s="76">
        <f t="shared" si="448"/>
        <v>4.253253</v>
      </c>
      <c r="AQ356" s="67">
        <f t="shared" si="448"/>
        <v>1.3047359999999999</v>
      </c>
      <c r="AR356" s="67">
        <f t="shared" si="448"/>
        <v>7.0032829999999997</v>
      </c>
      <c r="AS356" s="67">
        <f t="shared" si="448"/>
        <v>57.386510000000001</v>
      </c>
      <c r="AT356" s="68">
        <f t="shared" si="448"/>
        <v>1655.8440000000001</v>
      </c>
      <c r="AU356" s="216">
        <v>1</v>
      </c>
      <c r="AV356" s="104" t="s">
        <v>520</v>
      </c>
      <c r="AW356" s="94">
        <v>134.9341</v>
      </c>
      <c r="AX356" s="94">
        <v>55.668390000000002</v>
      </c>
      <c r="AY356" s="94">
        <v>194.05670000000001</v>
      </c>
      <c r="AZ356" s="94">
        <v>317.60449999999997</v>
      </c>
      <c r="BA356" s="94">
        <v>455.7337</v>
      </c>
      <c r="BB356" s="106">
        <v>0</v>
      </c>
      <c r="BC356" s="94">
        <v>0</v>
      </c>
      <c r="BD356" s="94">
        <v>0</v>
      </c>
      <c r="BE356" s="94">
        <v>1.6268119999999999</v>
      </c>
      <c r="BF356" s="95">
        <v>56.126489999999997</v>
      </c>
      <c r="BG356" s="94">
        <v>2.3266779999999998</v>
      </c>
      <c r="BH356" s="94">
        <v>0</v>
      </c>
      <c r="BI356" s="94">
        <v>7.0226889999999997</v>
      </c>
      <c r="BJ356" s="94">
        <v>46.69023</v>
      </c>
      <c r="BK356" s="94">
        <v>438.1318</v>
      </c>
      <c r="BL356" s="106">
        <v>4.253253</v>
      </c>
      <c r="BM356" s="94">
        <v>1.3047359999999999</v>
      </c>
      <c r="BN356" s="94">
        <v>7.0032829999999997</v>
      </c>
      <c r="BO356" s="94">
        <v>57.386510000000001</v>
      </c>
      <c r="BP356" s="95">
        <v>1655.8440000000001</v>
      </c>
      <c r="BQ356" s="2"/>
      <c r="BR356" s="2"/>
      <c r="BS356" s="2"/>
    </row>
    <row r="357" spans="1:71" x14ac:dyDescent="0.35">
      <c r="A357" s="2"/>
      <c r="B357" s="2"/>
      <c r="C357" s="42" t="s">
        <v>80</v>
      </c>
      <c r="D357" s="109">
        <f t="shared" si="430"/>
        <v>0</v>
      </c>
      <c r="E357" s="109">
        <f t="shared" si="410"/>
        <v>0</v>
      </c>
      <c r="F357" s="109">
        <f t="shared" si="411"/>
        <v>0</v>
      </c>
      <c r="G357" s="109">
        <f t="shared" si="412"/>
        <v>0</v>
      </c>
      <c r="H357" s="109">
        <f t="shared" si="413"/>
        <v>0</v>
      </c>
      <c r="I357" s="110">
        <f t="shared" si="414"/>
        <v>0</v>
      </c>
      <c r="J357" s="109">
        <f t="shared" si="415"/>
        <v>0</v>
      </c>
      <c r="K357" s="109">
        <f t="shared" si="416"/>
        <v>0</v>
      </c>
      <c r="L357" s="109">
        <f t="shared" si="417"/>
        <v>0</v>
      </c>
      <c r="M357" s="111">
        <f t="shared" si="418"/>
        <v>0</v>
      </c>
      <c r="N357" s="109">
        <f t="shared" si="419"/>
        <v>0</v>
      </c>
      <c r="O357" s="109">
        <f t="shared" si="420"/>
        <v>0</v>
      </c>
      <c r="P357" s="109">
        <f t="shared" si="421"/>
        <v>0</v>
      </c>
      <c r="Q357" s="109">
        <f t="shared" si="422"/>
        <v>0</v>
      </c>
      <c r="R357" s="109">
        <f t="shared" si="423"/>
        <v>0</v>
      </c>
      <c r="S357" s="110">
        <f t="shared" si="424"/>
        <v>0</v>
      </c>
      <c r="T357" s="109">
        <f t="shared" si="425"/>
        <v>0</v>
      </c>
      <c r="U357" s="109">
        <f t="shared" si="426"/>
        <v>0</v>
      </c>
      <c r="V357" s="109">
        <f t="shared" si="427"/>
        <v>0</v>
      </c>
      <c r="W357" s="111">
        <f t="shared" si="428"/>
        <v>0</v>
      </c>
      <c r="X357" s="115">
        <f t="shared" si="431"/>
        <v>0</v>
      </c>
      <c r="Y357" s="38" t="s">
        <v>461</v>
      </c>
      <c r="Z357" s="42" t="s">
        <v>80</v>
      </c>
      <c r="AA357" s="67">
        <f t="shared" ref="AA357:AT357" si="449">(SUMIF($AV$339:$AV$442,$Y357,AW$339:AW$442)*AA$337+IF($J135,SUMIF($AV$229:$AV$332,$Y247,AW$229:AW$332)*AA$227*(1-$D135/$J135),0))*$AU357</f>
        <v>0</v>
      </c>
      <c r="AB357" s="67">
        <f t="shared" si="449"/>
        <v>0</v>
      </c>
      <c r="AC357" s="67">
        <f t="shared" si="449"/>
        <v>0</v>
      </c>
      <c r="AD357" s="67">
        <f t="shared" si="449"/>
        <v>0</v>
      </c>
      <c r="AE357" s="67">
        <f t="shared" si="449"/>
        <v>0</v>
      </c>
      <c r="AF357" s="76">
        <f t="shared" si="449"/>
        <v>0</v>
      </c>
      <c r="AG357" s="67">
        <f t="shared" si="449"/>
        <v>0</v>
      </c>
      <c r="AH357" s="67">
        <f t="shared" si="449"/>
        <v>0</v>
      </c>
      <c r="AI357" s="67">
        <f t="shared" si="449"/>
        <v>0</v>
      </c>
      <c r="AJ357" s="68">
        <f t="shared" si="449"/>
        <v>0</v>
      </c>
      <c r="AK357" s="67">
        <f t="shared" si="449"/>
        <v>0</v>
      </c>
      <c r="AL357" s="67">
        <f t="shared" si="449"/>
        <v>0</v>
      </c>
      <c r="AM357" s="67">
        <f t="shared" si="449"/>
        <v>0</v>
      </c>
      <c r="AN357" s="67">
        <f t="shared" si="449"/>
        <v>0</v>
      </c>
      <c r="AO357" s="67">
        <f t="shared" si="449"/>
        <v>0</v>
      </c>
      <c r="AP357" s="76">
        <f t="shared" si="449"/>
        <v>0</v>
      </c>
      <c r="AQ357" s="67">
        <f t="shared" si="449"/>
        <v>0</v>
      </c>
      <c r="AR357" s="67">
        <f t="shared" si="449"/>
        <v>0</v>
      </c>
      <c r="AS357" s="67">
        <f t="shared" si="449"/>
        <v>0</v>
      </c>
      <c r="AT357" s="68">
        <f t="shared" si="449"/>
        <v>0</v>
      </c>
      <c r="AU357" s="216">
        <v>1</v>
      </c>
      <c r="AV357" s="104" t="s">
        <v>461</v>
      </c>
      <c r="AW357" s="94"/>
      <c r="AX357" s="94"/>
      <c r="AY357" s="94"/>
      <c r="AZ357" s="94"/>
      <c r="BA357" s="94"/>
      <c r="BB357" s="106"/>
      <c r="BC357" s="94"/>
      <c r="BD357" s="94"/>
      <c r="BE357" s="94"/>
      <c r="BF357" s="95"/>
      <c r="BG357" s="94"/>
      <c r="BH357" s="94"/>
      <c r="BI357" s="94"/>
      <c r="BJ357" s="94"/>
      <c r="BK357" s="94"/>
      <c r="BL357" s="106"/>
      <c r="BM357" s="94"/>
      <c r="BN357" s="94"/>
      <c r="BO357" s="94"/>
      <c r="BP357" s="95"/>
      <c r="BQ357" s="2"/>
      <c r="BR357" s="2"/>
      <c r="BS357" s="2"/>
    </row>
    <row r="358" spans="1:71" x14ac:dyDescent="0.35">
      <c r="A358" s="2"/>
      <c r="B358" s="2"/>
      <c r="C358" s="42" t="s">
        <v>84</v>
      </c>
      <c r="D358" s="109">
        <f t="shared" si="430"/>
        <v>0</v>
      </c>
      <c r="E358" s="109">
        <f t="shared" si="410"/>
        <v>0</v>
      </c>
      <c r="F358" s="109">
        <f t="shared" si="411"/>
        <v>0</v>
      </c>
      <c r="G358" s="109">
        <f t="shared" si="412"/>
        <v>0</v>
      </c>
      <c r="H358" s="109">
        <f t="shared" si="413"/>
        <v>0</v>
      </c>
      <c r="I358" s="110">
        <f t="shared" si="414"/>
        <v>0</v>
      </c>
      <c r="J358" s="109">
        <f t="shared" si="415"/>
        <v>0</v>
      </c>
      <c r="K358" s="109">
        <f t="shared" si="416"/>
        <v>0</v>
      </c>
      <c r="L358" s="109">
        <f t="shared" si="417"/>
        <v>0</v>
      </c>
      <c r="M358" s="111">
        <f t="shared" si="418"/>
        <v>0</v>
      </c>
      <c r="N358" s="109">
        <f t="shared" si="419"/>
        <v>0</v>
      </c>
      <c r="O358" s="109">
        <f t="shared" si="420"/>
        <v>0</v>
      </c>
      <c r="P358" s="109">
        <f t="shared" si="421"/>
        <v>0</v>
      </c>
      <c r="Q358" s="109">
        <f t="shared" si="422"/>
        <v>0</v>
      </c>
      <c r="R358" s="109">
        <f t="shared" si="423"/>
        <v>0</v>
      </c>
      <c r="S358" s="110">
        <f t="shared" si="424"/>
        <v>0</v>
      </c>
      <c r="T358" s="109">
        <f t="shared" si="425"/>
        <v>0</v>
      </c>
      <c r="U358" s="109">
        <f t="shared" si="426"/>
        <v>0</v>
      </c>
      <c r="V358" s="109">
        <f t="shared" si="427"/>
        <v>0</v>
      </c>
      <c r="W358" s="111">
        <f t="shared" si="428"/>
        <v>0</v>
      </c>
      <c r="X358" s="115">
        <f t="shared" si="431"/>
        <v>0</v>
      </c>
      <c r="Y358" s="38" t="s">
        <v>482</v>
      </c>
      <c r="Z358" s="42" t="s">
        <v>84</v>
      </c>
      <c r="AA358" s="67">
        <f t="shared" ref="AA358:AT358" si="450">(SUMIF($AV$339:$AV$442,$Y358,AW$339:AW$442)*AA$337+IF($J136,SUMIF($AV$229:$AV$332,$Y248,AW$229:AW$332)*AA$227*(1-$D136/$J136),0))*$AU358</f>
        <v>0</v>
      </c>
      <c r="AB358" s="67">
        <f t="shared" si="450"/>
        <v>0</v>
      </c>
      <c r="AC358" s="67">
        <f t="shared" si="450"/>
        <v>0</v>
      </c>
      <c r="AD358" s="67">
        <f t="shared" si="450"/>
        <v>0</v>
      </c>
      <c r="AE358" s="67">
        <f t="shared" si="450"/>
        <v>0</v>
      </c>
      <c r="AF358" s="76">
        <f t="shared" si="450"/>
        <v>0</v>
      </c>
      <c r="AG358" s="67">
        <f t="shared" si="450"/>
        <v>0</v>
      </c>
      <c r="AH358" s="67">
        <f t="shared" si="450"/>
        <v>0</v>
      </c>
      <c r="AI358" s="67">
        <f t="shared" si="450"/>
        <v>0</v>
      </c>
      <c r="AJ358" s="68">
        <f t="shared" si="450"/>
        <v>0</v>
      </c>
      <c r="AK358" s="67">
        <f t="shared" si="450"/>
        <v>0</v>
      </c>
      <c r="AL358" s="67">
        <f t="shared" si="450"/>
        <v>0</v>
      </c>
      <c r="AM358" s="67">
        <f t="shared" si="450"/>
        <v>0</v>
      </c>
      <c r="AN358" s="67">
        <f t="shared" si="450"/>
        <v>0</v>
      </c>
      <c r="AO358" s="67">
        <f t="shared" si="450"/>
        <v>0</v>
      </c>
      <c r="AP358" s="76">
        <f t="shared" si="450"/>
        <v>0</v>
      </c>
      <c r="AQ358" s="67">
        <f t="shared" si="450"/>
        <v>0</v>
      </c>
      <c r="AR358" s="67">
        <f t="shared" si="450"/>
        <v>0</v>
      </c>
      <c r="AS358" s="67">
        <f t="shared" si="450"/>
        <v>0</v>
      </c>
      <c r="AT358" s="68">
        <f t="shared" si="450"/>
        <v>0</v>
      </c>
      <c r="AU358" s="216">
        <v>1</v>
      </c>
      <c r="AV358" s="104" t="s">
        <v>482</v>
      </c>
      <c r="AW358" s="94"/>
      <c r="AX358" s="94"/>
      <c r="AY358" s="94"/>
      <c r="AZ358" s="94"/>
      <c r="BA358" s="94"/>
      <c r="BB358" s="106"/>
      <c r="BC358" s="94"/>
      <c r="BD358" s="94"/>
      <c r="BE358" s="94"/>
      <c r="BF358" s="95"/>
      <c r="BG358" s="94"/>
      <c r="BH358" s="94"/>
      <c r="BI358" s="94"/>
      <c r="BJ358" s="94"/>
      <c r="BK358" s="94"/>
      <c r="BL358" s="106"/>
      <c r="BM358" s="94"/>
      <c r="BN358" s="94"/>
      <c r="BO358" s="94"/>
      <c r="BP358" s="95"/>
      <c r="BQ358" s="2"/>
      <c r="BR358" s="2"/>
      <c r="BS358" s="2"/>
    </row>
    <row r="359" spans="1:71" x14ac:dyDescent="0.35">
      <c r="A359" s="2"/>
      <c r="B359" s="2"/>
      <c r="C359" s="42" t="s">
        <v>88</v>
      </c>
      <c r="D359" s="109">
        <f t="shared" si="430"/>
        <v>5.5641968537033938E-2</v>
      </c>
      <c r="E359" s="109">
        <f t="shared" si="410"/>
        <v>8.4033672760090147E-2</v>
      </c>
      <c r="F359" s="109">
        <f t="shared" si="411"/>
        <v>0.10950644039771301</v>
      </c>
      <c r="G359" s="109">
        <f t="shared" si="412"/>
        <v>0.14968958151533665</v>
      </c>
      <c r="H359" s="109">
        <f t="shared" si="413"/>
        <v>0.16888673381315231</v>
      </c>
      <c r="I359" s="110">
        <f t="shared" si="414"/>
        <v>2.3185146798896229E-4</v>
      </c>
      <c r="J359" s="109">
        <f t="shared" si="415"/>
        <v>1.7929092154894908E-4</v>
      </c>
      <c r="K359" s="109">
        <f t="shared" si="416"/>
        <v>8.6187953903250989E-4</v>
      </c>
      <c r="L359" s="109">
        <f t="shared" si="417"/>
        <v>2.1573694415472459E-3</v>
      </c>
      <c r="M359" s="111">
        <f t="shared" si="418"/>
        <v>2.1915832034756038E-2</v>
      </c>
      <c r="N359" s="109">
        <f t="shared" si="419"/>
        <v>3.2290765381541037E-3</v>
      </c>
      <c r="O359" s="109">
        <f t="shared" si="420"/>
        <v>5.3405570022325424E-3</v>
      </c>
      <c r="P359" s="109">
        <f t="shared" si="421"/>
        <v>8.9378660746687218E-3</v>
      </c>
      <c r="Q359" s="109">
        <f t="shared" si="422"/>
        <v>1.4497039618027993E-2</v>
      </c>
      <c r="R359" s="109">
        <f t="shared" si="423"/>
        <v>0.1055553607132823</v>
      </c>
      <c r="S359" s="110">
        <f t="shared" si="424"/>
        <v>1.1124278791080225E-3</v>
      </c>
      <c r="T359" s="109">
        <f t="shared" si="425"/>
        <v>2.4403022093037996E-3</v>
      </c>
      <c r="U359" s="109">
        <f t="shared" si="426"/>
        <v>4.9267189866225988E-3</v>
      </c>
      <c r="V359" s="109">
        <f t="shared" si="427"/>
        <v>1.469862346973381E-2</v>
      </c>
      <c r="W359" s="111">
        <f t="shared" si="428"/>
        <v>0.24615740708066638</v>
      </c>
      <c r="X359" s="115">
        <f t="shared" si="431"/>
        <v>1</v>
      </c>
      <c r="Y359" s="38" t="s">
        <v>492</v>
      </c>
      <c r="Z359" s="42" t="s">
        <v>88</v>
      </c>
      <c r="AA359" s="67">
        <f>(SUMIF($AV$339:$AV$442,$Y359,AW$339:AW$442)*AA$337+IF($J137,SUMIF($AV$229:$AV$332,$Y249,AW$229:AW$332)*AA$227*(1-$D137/$J137),0))*$AU359</f>
        <v>0.46123599999999998</v>
      </c>
      <c r="AB359" s="67">
        <f t="shared" ref="AB359:AT359" si="451">(SUMIF($AV$339:$AV$442,$Y359,AX$339:AX$442)*AB$337+IF($J137,SUMIF($AV$229:$AV$332,$Y249,AX$229:AX$332)*AB$227*(1-$D137/$J137),0))*$AU359</f>
        <v>0.69658490000000006</v>
      </c>
      <c r="AC359" s="67">
        <f t="shared" si="451"/>
        <v>0.90773770000000009</v>
      </c>
      <c r="AD359" s="67">
        <f t="shared" si="451"/>
        <v>1.2408299999999999</v>
      </c>
      <c r="AE359" s="67">
        <f t="shared" si="451"/>
        <v>1.3999620000000002</v>
      </c>
      <c r="AF359" s="76">
        <f t="shared" si="451"/>
        <v>1.9218990000000004E-3</v>
      </c>
      <c r="AG359" s="67">
        <f t="shared" si="451"/>
        <v>1.4862060000000001E-3</v>
      </c>
      <c r="AH359" s="67">
        <f t="shared" si="451"/>
        <v>7.1444250000000003E-3</v>
      </c>
      <c r="AI359" s="67">
        <f t="shared" si="451"/>
        <v>1.7883200000000002E-2</v>
      </c>
      <c r="AJ359" s="68">
        <f t="shared" si="451"/>
        <v>0.1816681</v>
      </c>
      <c r="AK359" s="67">
        <f t="shared" si="451"/>
        <v>2.6766960000000003E-2</v>
      </c>
      <c r="AL359" s="67">
        <f t="shared" si="451"/>
        <v>4.426977E-2</v>
      </c>
      <c r="AM359" s="67">
        <f t="shared" si="451"/>
        <v>7.4089139999999998E-2</v>
      </c>
      <c r="AN359" s="67">
        <f t="shared" si="451"/>
        <v>0.1201711</v>
      </c>
      <c r="AO359" s="67">
        <f t="shared" si="451"/>
        <v>0.87498580000000004</v>
      </c>
      <c r="AP359" s="76">
        <f t="shared" si="451"/>
        <v>9.2213090000000004E-3</v>
      </c>
      <c r="AQ359" s="67">
        <f t="shared" si="451"/>
        <v>2.0228530000000002E-2</v>
      </c>
      <c r="AR359" s="67">
        <f t="shared" si="451"/>
        <v>4.0839319999999998E-2</v>
      </c>
      <c r="AS359" s="67">
        <f t="shared" si="451"/>
        <v>0.12184210000000001</v>
      </c>
      <c r="AT359" s="68">
        <f t="shared" si="451"/>
        <v>2.040486</v>
      </c>
      <c r="AU359" s="216">
        <v>1E-4</v>
      </c>
      <c r="AV359" s="104" t="s">
        <v>481</v>
      </c>
      <c r="AW359" s="94"/>
      <c r="AX359" s="94"/>
      <c r="AY359" s="94"/>
      <c r="AZ359" s="94"/>
      <c r="BA359" s="94"/>
      <c r="BB359" s="106"/>
      <c r="BC359" s="94"/>
      <c r="BD359" s="94"/>
      <c r="BE359" s="94"/>
      <c r="BF359" s="95"/>
      <c r="BG359" s="94"/>
      <c r="BH359" s="94"/>
      <c r="BI359" s="94"/>
      <c r="BJ359" s="94"/>
      <c r="BK359" s="94"/>
      <c r="BL359" s="106"/>
      <c r="BM359" s="94"/>
      <c r="BN359" s="94"/>
      <c r="BO359" s="94"/>
      <c r="BP359" s="95"/>
      <c r="BQ359" s="2"/>
      <c r="BR359" s="2"/>
      <c r="BS359" s="2"/>
    </row>
    <row r="360" spans="1:71" x14ac:dyDescent="0.35">
      <c r="A360" s="2"/>
      <c r="B360" s="2"/>
      <c r="C360" s="42" t="s">
        <v>90</v>
      </c>
      <c r="D360" s="109">
        <f t="shared" si="430"/>
        <v>0.14632934688767044</v>
      </c>
      <c r="E360" s="109">
        <f t="shared" si="410"/>
        <v>0.20130398939714619</v>
      </c>
      <c r="F360" s="109">
        <f t="shared" si="411"/>
        <v>0.22281032903580059</v>
      </c>
      <c r="G360" s="109">
        <f t="shared" si="412"/>
        <v>0.21584176611485081</v>
      </c>
      <c r="H360" s="109">
        <f t="shared" si="413"/>
        <v>0.11598107813365231</v>
      </c>
      <c r="I360" s="110">
        <f t="shared" si="414"/>
        <v>0</v>
      </c>
      <c r="J360" s="109">
        <f t="shared" si="415"/>
        <v>3.9135259020364873E-4</v>
      </c>
      <c r="K360" s="109">
        <f t="shared" si="416"/>
        <v>1.5618337862498058E-3</v>
      </c>
      <c r="L360" s="109">
        <f t="shared" si="417"/>
        <v>1.1889210877559697E-3</v>
      </c>
      <c r="M360" s="111">
        <f t="shared" si="418"/>
        <v>0</v>
      </c>
      <c r="N360" s="109">
        <f t="shared" si="419"/>
        <v>4.0748706190452486E-3</v>
      </c>
      <c r="O360" s="109">
        <f t="shared" si="420"/>
        <v>3.7497637369365141E-3</v>
      </c>
      <c r="P360" s="109">
        <f t="shared" si="421"/>
        <v>7.2096487413517317E-3</v>
      </c>
      <c r="Q360" s="109">
        <f t="shared" si="422"/>
        <v>1.1068131743520873E-2</v>
      </c>
      <c r="R360" s="109">
        <f t="shared" si="423"/>
        <v>9.2712082405421135E-3</v>
      </c>
      <c r="S360" s="110">
        <f t="shared" si="424"/>
        <v>1.9877978513341233E-3</v>
      </c>
      <c r="T360" s="109">
        <f t="shared" si="425"/>
        <v>4.2236009046225324E-3</v>
      </c>
      <c r="U360" s="109">
        <f t="shared" si="426"/>
        <v>7.3255856672411928E-3</v>
      </c>
      <c r="V360" s="109">
        <f t="shared" si="427"/>
        <v>3.7684165860535017E-2</v>
      </c>
      <c r="W360" s="111">
        <f t="shared" si="428"/>
        <v>7.9966096015408328E-3</v>
      </c>
      <c r="X360" s="115">
        <f t="shared" si="431"/>
        <v>0.99999999999999967</v>
      </c>
      <c r="Y360" s="38" t="s">
        <v>476</v>
      </c>
      <c r="Z360" s="42" t="s">
        <v>90</v>
      </c>
      <c r="AA360" s="67">
        <f t="shared" ref="AA360:AT360" si="452">(SUMIF($AV$339:$AV$442,$Y360,AW$339:AW$442)*AA$337+IF($J138,SUMIF($AV$229:$AV$332,$Y250,AW$229:AW$332)*AA$227*(1-$D138/$J138),0))*$AU360</f>
        <v>421.89760000000001</v>
      </c>
      <c r="AB360" s="67">
        <f t="shared" si="452"/>
        <v>580.4008</v>
      </c>
      <c r="AC360" s="67">
        <f t="shared" si="452"/>
        <v>642.40800000000002</v>
      </c>
      <c r="AD360" s="67">
        <f t="shared" si="452"/>
        <v>622.31619999999998</v>
      </c>
      <c r="AE360" s="67">
        <f t="shared" si="452"/>
        <v>334.39729999999997</v>
      </c>
      <c r="AF360" s="76">
        <f t="shared" si="452"/>
        <v>0</v>
      </c>
      <c r="AG360" s="67">
        <f t="shared" si="452"/>
        <v>1.12835</v>
      </c>
      <c r="AH360" s="67">
        <f t="shared" si="452"/>
        <v>4.503088</v>
      </c>
      <c r="AI360" s="67">
        <f t="shared" si="452"/>
        <v>3.4279039999999998</v>
      </c>
      <c r="AJ360" s="68">
        <f t="shared" si="452"/>
        <v>0</v>
      </c>
      <c r="AK360" s="67">
        <f t="shared" si="452"/>
        <v>11.74869</v>
      </c>
      <c r="AL360" s="67">
        <f t="shared" si="452"/>
        <v>10.81134</v>
      </c>
      <c r="AM360" s="67">
        <f t="shared" si="452"/>
        <v>20.786899999999999</v>
      </c>
      <c r="AN360" s="67">
        <f t="shared" si="452"/>
        <v>31.9117</v>
      </c>
      <c r="AO360" s="67">
        <f t="shared" si="452"/>
        <v>26.730799999999999</v>
      </c>
      <c r="AP360" s="76">
        <f t="shared" si="452"/>
        <v>5.73123</v>
      </c>
      <c r="AQ360" s="67">
        <f t="shared" si="452"/>
        <v>12.17751</v>
      </c>
      <c r="AR360" s="67">
        <f t="shared" si="452"/>
        <v>21.121169999999999</v>
      </c>
      <c r="AS360" s="67">
        <f t="shared" si="452"/>
        <v>108.6512</v>
      </c>
      <c r="AT360" s="68">
        <f t="shared" si="452"/>
        <v>23.055869999999999</v>
      </c>
      <c r="AU360" s="216">
        <v>1</v>
      </c>
      <c r="AV360" s="104" t="s">
        <v>476</v>
      </c>
      <c r="AW360" s="94">
        <v>421.89760000000001</v>
      </c>
      <c r="AX360" s="94">
        <v>580.4008</v>
      </c>
      <c r="AY360" s="94">
        <v>642.40800000000002</v>
      </c>
      <c r="AZ360" s="94">
        <v>622.31619999999998</v>
      </c>
      <c r="BA360" s="94">
        <v>334.39729999999997</v>
      </c>
      <c r="BB360" s="106">
        <v>0</v>
      </c>
      <c r="BC360" s="94">
        <v>1.12835</v>
      </c>
      <c r="BD360" s="94">
        <v>4.503088</v>
      </c>
      <c r="BE360" s="94">
        <v>3.4279039999999998</v>
      </c>
      <c r="BF360" s="95">
        <v>0</v>
      </c>
      <c r="BG360" s="94">
        <v>11.74869</v>
      </c>
      <c r="BH360" s="94">
        <v>10.81134</v>
      </c>
      <c r="BI360" s="94">
        <v>20.786899999999999</v>
      </c>
      <c r="BJ360" s="94">
        <v>31.9117</v>
      </c>
      <c r="BK360" s="94">
        <v>26.730799999999999</v>
      </c>
      <c r="BL360" s="106">
        <v>5.73123</v>
      </c>
      <c r="BM360" s="94">
        <v>12.17751</v>
      </c>
      <c r="BN360" s="94">
        <v>21.121169999999999</v>
      </c>
      <c r="BO360" s="94">
        <v>108.6512</v>
      </c>
      <c r="BP360" s="95">
        <v>23.055869999999999</v>
      </c>
      <c r="BQ360" s="2"/>
      <c r="BR360" s="2"/>
      <c r="BS360" s="2"/>
    </row>
    <row r="361" spans="1:71" x14ac:dyDescent="0.35">
      <c r="A361" s="2"/>
      <c r="B361" s="2"/>
      <c r="C361" s="42" t="s">
        <v>92</v>
      </c>
      <c r="D361" s="109">
        <f t="shared" si="430"/>
        <v>5.5660291708265778E-3</v>
      </c>
      <c r="E361" s="109">
        <f t="shared" si="410"/>
        <v>1.1208154615641931E-2</v>
      </c>
      <c r="F361" s="109">
        <f t="shared" si="411"/>
        <v>3.9352139392731723E-2</v>
      </c>
      <c r="G361" s="109">
        <f t="shared" si="412"/>
        <v>0.10542758473798984</v>
      </c>
      <c r="H361" s="109">
        <f t="shared" si="413"/>
        <v>0.19817016119200434</v>
      </c>
      <c r="I361" s="110">
        <f t="shared" si="414"/>
        <v>0</v>
      </c>
      <c r="J361" s="109">
        <f t="shared" si="415"/>
        <v>7.48286656714951E-4</v>
      </c>
      <c r="K361" s="109">
        <f t="shared" si="416"/>
        <v>0</v>
      </c>
      <c r="L361" s="109">
        <f t="shared" si="417"/>
        <v>5.2928916651975681E-3</v>
      </c>
      <c r="M361" s="111">
        <f t="shared" si="418"/>
        <v>4.7356896985332166E-2</v>
      </c>
      <c r="N361" s="109">
        <f t="shared" si="419"/>
        <v>0</v>
      </c>
      <c r="O361" s="109">
        <f t="shared" si="420"/>
        <v>5.5947689989361833E-4</v>
      </c>
      <c r="P361" s="109">
        <f t="shared" si="421"/>
        <v>7.7232042892043176E-3</v>
      </c>
      <c r="Q361" s="109">
        <f t="shared" si="422"/>
        <v>1.4064442423573988E-2</v>
      </c>
      <c r="R361" s="109">
        <f t="shared" si="423"/>
        <v>0.1764787941160442</v>
      </c>
      <c r="S361" s="110">
        <f t="shared" si="424"/>
        <v>0</v>
      </c>
      <c r="T361" s="109">
        <f t="shared" si="425"/>
        <v>6.3416019296621987E-4</v>
      </c>
      <c r="U361" s="109">
        <f t="shared" si="426"/>
        <v>0</v>
      </c>
      <c r="V361" s="109">
        <f t="shared" si="427"/>
        <v>2.7742500292257371E-3</v>
      </c>
      <c r="W361" s="111">
        <f t="shared" si="428"/>
        <v>0.38464352763265275</v>
      </c>
      <c r="X361" s="115">
        <f t="shared" si="431"/>
        <v>0.99999999999999989</v>
      </c>
      <c r="Y361" s="38" t="s">
        <v>474</v>
      </c>
      <c r="Z361" s="42" t="s">
        <v>92</v>
      </c>
      <c r="AA361" s="67">
        <f t="shared" ref="AA361:AT361" si="453">(SUMIF($AV$339:$AV$442,$Y361,AW$339:AW$442)*AA$337+IF($J139,SUMIF($AV$229:$AV$332,$Y251,AW$229:AW$332)*AA$227*(1-$D139/$J139),0))*$AU361</f>
        <v>11.474919999999999</v>
      </c>
      <c r="AB361" s="67">
        <f t="shared" si="453"/>
        <v>23.106719999999999</v>
      </c>
      <c r="AC361" s="67">
        <f t="shared" si="453"/>
        <v>81.128330000000005</v>
      </c>
      <c r="AD361" s="67">
        <f t="shared" si="453"/>
        <v>217.3494</v>
      </c>
      <c r="AE361" s="67">
        <f t="shared" si="453"/>
        <v>408.54739999999998</v>
      </c>
      <c r="AF361" s="76">
        <f t="shared" si="453"/>
        <v>0</v>
      </c>
      <c r="AG361" s="67">
        <f t="shared" si="453"/>
        <v>1.542667</v>
      </c>
      <c r="AH361" s="67">
        <f t="shared" si="453"/>
        <v>0</v>
      </c>
      <c r="AI361" s="67">
        <f t="shared" si="453"/>
        <v>10.911820000000001</v>
      </c>
      <c r="AJ361" s="68">
        <f t="shared" si="453"/>
        <v>97.630930000000006</v>
      </c>
      <c r="AK361" s="67">
        <f t="shared" si="453"/>
        <v>0</v>
      </c>
      <c r="AL361" s="67">
        <f t="shared" si="453"/>
        <v>1.1534169999999999</v>
      </c>
      <c r="AM361" s="67">
        <f t="shared" si="453"/>
        <v>15.92215</v>
      </c>
      <c r="AN361" s="67">
        <f t="shared" si="453"/>
        <v>28.995239999999999</v>
      </c>
      <c r="AO361" s="67">
        <f t="shared" si="453"/>
        <v>363.82850000000002</v>
      </c>
      <c r="AP361" s="76">
        <f t="shared" si="453"/>
        <v>0</v>
      </c>
      <c r="AQ361" s="67">
        <f t="shared" si="453"/>
        <v>1.3073840000000001</v>
      </c>
      <c r="AR361" s="67">
        <f t="shared" si="453"/>
        <v>0</v>
      </c>
      <c r="AS361" s="67">
        <f t="shared" si="453"/>
        <v>5.7193909999999999</v>
      </c>
      <c r="AT361" s="68">
        <f t="shared" si="453"/>
        <v>792.98069999999996</v>
      </c>
      <c r="AU361" s="216">
        <v>1</v>
      </c>
      <c r="AV361" s="104" t="s">
        <v>474</v>
      </c>
      <c r="AW361" s="94">
        <v>11.474919999999999</v>
      </c>
      <c r="AX361" s="94">
        <v>23.106719999999999</v>
      </c>
      <c r="AY361" s="94">
        <v>81.128330000000005</v>
      </c>
      <c r="AZ361" s="94">
        <v>217.3494</v>
      </c>
      <c r="BA361" s="94">
        <v>408.54739999999998</v>
      </c>
      <c r="BB361" s="106">
        <v>0</v>
      </c>
      <c r="BC361" s="94">
        <v>1.542667</v>
      </c>
      <c r="BD361" s="94">
        <v>0</v>
      </c>
      <c r="BE361" s="94">
        <v>10.911820000000001</v>
      </c>
      <c r="BF361" s="95">
        <v>97.630930000000006</v>
      </c>
      <c r="BG361" s="94">
        <v>0</v>
      </c>
      <c r="BH361" s="94">
        <v>1.1534169999999999</v>
      </c>
      <c r="BI361" s="94">
        <v>15.92215</v>
      </c>
      <c r="BJ361" s="94">
        <v>28.995239999999999</v>
      </c>
      <c r="BK361" s="94">
        <v>363.82850000000002</v>
      </c>
      <c r="BL361" s="106">
        <v>0</v>
      </c>
      <c r="BM361" s="94">
        <v>1.3073840000000001</v>
      </c>
      <c r="BN361" s="94">
        <v>0</v>
      </c>
      <c r="BO361" s="94">
        <v>5.7193909999999999</v>
      </c>
      <c r="BP361" s="95">
        <v>792.98069999999996</v>
      </c>
      <c r="BQ361" s="2"/>
      <c r="BR361" s="2"/>
      <c r="BS361" s="2"/>
    </row>
    <row r="362" spans="1:71" x14ac:dyDescent="0.35">
      <c r="A362" s="2"/>
      <c r="B362" s="2"/>
      <c r="C362" s="42" t="s">
        <v>121</v>
      </c>
      <c r="D362" s="109">
        <f t="shared" si="430"/>
        <v>0</v>
      </c>
      <c r="E362" s="109">
        <f t="shared" si="410"/>
        <v>0</v>
      </c>
      <c r="F362" s="109">
        <f t="shared" si="411"/>
        <v>0</v>
      </c>
      <c r="G362" s="109">
        <f t="shared" si="412"/>
        <v>0</v>
      </c>
      <c r="H362" s="109">
        <f t="shared" si="413"/>
        <v>0</v>
      </c>
      <c r="I362" s="110">
        <f t="shared" si="414"/>
        <v>0</v>
      </c>
      <c r="J362" s="109">
        <f t="shared" si="415"/>
        <v>0</v>
      </c>
      <c r="K362" s="109">
        <f t="shared" si="416"/>
        <v>0</v>
      </c>
      <c r="L362" s="109">
        <f t="shared" si="417"/>
        <v>0</v>
      </c>
      <c r="M362" s="111">
        <f t="shared" si="418"/>
        <v>0</v>
      </c>
      <c r="N362" s="109">
        <f t="shared" si="419"/>
        <v>0</v>
      </c>
      <c r="O362" s="109">
        <f t="shared" si="420"/>
        <v>0</v>
      </c>
      <c r="P362" s="109">
        <f t="shared" si="421"/>
        <v>0</v>
      </c>
      <c r="Q362" s="109">
        <f t="shared" si="422"/>
        <v>0</v>
      </c>
      <c r="R362" s="109">
        <f t="shared" si="423"/>
        <v>0</v>
      </c>
      <c r="S362" s="110">
        <f t="shared" si="424"/>
        <v>0</v>
      </c>
      <c r="T362" s="109">
        <f t="shared" si="425"/>
        <v>0</v>
      </c>
      <c r="U362" s="109">
        <f t="shared" si="426"/>
        <v>0</v>
      </c>
      <c r="V362" s="109">
        <f t="shared" si="427"/>
        <v>0</v>
      </c>
      <c r="W362" s="111">
        <f t="shared" si="428"/>
        <v>0</v>
      </c>
      <c r="X362" s="115">
        <f t="shared" si="431"/>
        <v>0</v>
      </c>
      <c r="Y362" s="38" t="s">
        <v>521</v>
      </c>
      <c r="Z362" s="42" t="s">
        <v>121</v>
      </c>
      <c r="AA362" s="67">
        <f t="shared" ref="AA362:AT362" si="454">(SUMIF($AV$339:$AV$442,$Y362,AW$339:AW$442)*AA$337+IF($J140,SUMIF($AV$229:$AV$332,$Y252,AW$229:AW$332)*AA$227*(1-$D140/$J140),0))*$AU362</f>
        <v>0</v>
      </c>
      <c r="AB362" s="67">
        <f t="shared" si="454"/>
        <v>0</v>
      </c>
      <c r="AC362" s="67">
        <f t="shared" si="454"/>
        <v>0</v>
      </c>
      <c r="AD362" s="67">
        <f t="shared" si="454"/>
        <v>0</v>
      </c>
      <c r="AE362" s="67">
        <f t="shared" si="454"/>
        <v>0</v>
      </c>
      <c r="AF362" s="76">
        <f t="shared" si="454"/>
        <v>0</v>
      </c>
      <c r="AG362" s="67">
        <f t="shared" si="454"/>
        <v>0</v>
      </c>
      <c r="AH362" s="67">
        <f t="shared" si="454"/>
        <v>0</v>
      </c>
      <c r="AI362" s="67">
        <f t="shared" si="454"/>
        <v>0</v>
      </c>
      <c r="AJ362" s="68">
        <f t="shared" si="454"/>
        <v>0</v>
      </c>
      <c r="AK362" s="67">
        <f t="shared" si="454"/>
        <v>0</v>
      </c>
      <c r="AL362" s="67">
        <f t="shared" si="454"/>
        <v>0</v>
      </c>
      <c r="AM362" s="67">
        <f t="shared" si="454"/>
        <v>0</v>
      </c>
      <c r="AN362" s="67">
        <f t="shared" si="454"/>
        <v>0</v>
      </c>
      <c r="AO362" s="67">
        <f t="shared" si="454"/>
        <v>0</v>
      </c>
      <c r="AP362" s="76">
        <f t="shared" si="454"/>
        <v>0</v>
      </c>
      <c r="AQ362" s="67">
        <f t="shared" si="454"/>
        <v>0</v>
      </c>
      <c r="AR362" s="67">
        <f t="shared" si="454"/>
        <v>0</v>
      </c>
      <c r="AS362" s="67">
        <f t="shared" si="454"/>
        <v>0</v>
      </c>
      <c r="AT362" s="68">
        <f t="shared" si="454"/>
        <v>0</v>
      </c>
      <c r="AU362" s="216">
        <v>1</v>
      </c>
      <c r="AV362" s="104" t="s">
        <v>521</v>
      </c>
      <c r="AW362" s="94"/>
      <c r="AX362" s="94"/>
      <c r="AY362" s="94"/>
      <c r="AZ362" s="94"/>
      <c r="BA362" s="94"/>
      <c r="BB362" s="106"/>
      <c r="BC362" s="94"/>
      <c r="BD362" s="94"/>
      <c r="BE362" s="94"/>
      <c r="BF362" s="95"/>
      <c r="BG362" s="94"/>
      <c r="BH362" s="94"/>
      <c r="BI362" s="94"/>
      <c r="BJ362" s="94"/>
      <c r="BK362" s="94"/>
      <c r="BL362" s="106"/>
      <c r="BM362" s="94"/>
      <c r="BN362" s="94"/>
      <c r="BO362" s="94"/>
      <c r="BP362" s="95"/>
      <c r="BQ362" s="2"/>
      <c r="BR362" s="2"/>
      <c r="BS362" s="2"/>
    </row>
    <row r="363" spans="1:71" x14ac:dyDescent="0.35">
      <c r="A363" s="2"/>
      <c r="B363" s="2"/>
      <c r="C363" s="42" t="s">
        <v>123</v>
      </c>
      <c r="D363" s="109">
        <f t="shared" si="430"/>
        <v>5.7450328390567422E-3</v>
      </c>
      <c r="E363" s="109">
        <f t="shared" si="410"/>
        <v>7.5715343782275226E-3</v>
      </c>
      <c r="F363" s="109">
        <f t="shared" si="411"/>
        <v>6.9702572583394407E-3</v>
      </c>
      <c r="G363" s="109">
        <f t="shared" si="412"/>
        <v>1.1133050438951516E-2</v>
      </c>
      <c r="H363" s="109">
        <f t="shared" si="413"/>
        <v>3.4924919748755841E-2</v>
      </c>
      <c r="I363" s="110">
        <f t="shared" si="414"/>
        <v>1.2033467732769942E-3</v>
      </c>
      <c r="J363" s="109">
        <f t="shared" si="415"/>
        <v>0</v>
      </c>
      <c r="K363" s="109">
        <f t="shared" si="416"/>
        <v>0</v>
      </c>
      <c r="L363" s="109">
        <f t="shared" si="417"/>
        <v>0</v>
      </c>
      <c r="M363" s="111">
        <f t="shared" si="418"/>
        <v>1.2463385767259487E-3</v>
      </c>
      <c r="N363" s="109">
        <f t="shared" si="419"/>
        <v>0</v>
      </c>
      <c r="O363" s="109">
        <f t="shared" si="420"/>
        <v>0</v>
      </c>
      <c r="P363" s="109">
        <f t="shared" si="421"/>
        <v>4.7356713094500943E-3</v>
      </c>
      <c r="Q363" s="109">
        <f t="shared" si="422"/>
        <v>7.8595194805122521E-3</v>
      </c>
      <c r="R363" s="109">
        <f t="shared" si="423"/>
        <v>9.4176881462765497E-2</v>
      </c>
      <c r="S363" s="110">
        <f t="shared" si="424"/>
        <v>0</v>
      </c>
      <c r="T363" s="109">
        <f t="shared" si="425"/>
        <v>0</v>
      </c>
      <c r="U363" s="109">
        <f t="shared" si="426"/>
        <v>0</v>
      </c>
      <c r="V363" s="109">
        <f t="shared" si="427"/>
        <v>5.006754375459198E-3</v>
      </c>
      <c r="W363" s="111">
        <f t="shared" si="428"/>
        <v>0.81942669335847884</v>
      </c>
      <c r="X363" s="115">
        <f t="shared" si="431"/>
        <v>0.99999999999999989</v>
      </c>
      <c r="Y363" s="38" t="s">
        <v>483</v>
      </c>
      <c r="Z363" s="42" t="s">
        <v>123</v>
      </c>
      <c r="AA363" s="67">
        <f t="shared" ref="AA363:AT363" si="455">(SUMIF($AV$339:$AV$442,$Y363,AW$339:AW$442)*AA$337+IF($J141,SUMIF($AV$229:$AV$332,$Y253,AW$229:AW$332)*AA$227*(1-$D141/$J141),0))*$AU363</f>
        <v>3.797723</v>
      </c>
      <c r="AB363" s="67">
        <f t="shared" si="455"/>
        <v>5.0051220000000001</v>
      </c>
      <c r="AC363" s="67">
        <f t="shared" si="455"/>
        <v>4.6076509999999997</v>
      </c>
      <c r="AD363" s="67">
        <f t="shared" si="455"/>
        <v>7.3594429999999997</v>
      </c>
      <c r="AE363" s="67">
        <f t="shared" si="455"/>
        <v>23.086929999999999</v>
      </c>
      <c r="AF363" s="76">
        <f t="shared" si="455"/>
        <v>0.79546589999999995</v>
      </c>
      <c r="AG363" s="67">
        <f t="shared" si="455"/>
        <v>0</v>
      </c>
      <c r="AH363" s="67">
        <f t="shared" si="455"/>
        <v>0</v>
      </c>
      <c r="AI363" s="67">
        <f t="shared" si="455"/>
        <v>0</v>
      </c>
      <c r="AJ363" s="68">
        <f t="shared" si="455"/>
        <v>0.82388539999999999</v>
      </c>
      <c r="AK363" s="67">
        <f t="shared" si="455"/>
        <v>0</v>
      </c>
      <c r="AL363" s="67">
        <f t="shared" si="455"/>
        <v>0</v>
      </c>
      <c r="AM363" s="67">
        <f t="shared" si="455"/>
        <v>3.13049</v>
      </c>
      <c r="AN363" s="67">
        <f t="shared" si="455"/>
        <v>5.1954929999999999</v>
      </c>
      <c r="AO363" s="67">
        <f t="shared" si="455"/>
        <v>62.255119999999998</v>
      </c>
      <c r="AP363" s="76">
        <f t="shared" si="455"/>
        <v>0</v>
      </c>
      <c r="AQ363" s="67">
        <f t="shared" si="455"/>
        <v>0</v>
      </c>
      <c r="AR363" s="67">
        <f t="shared" si="455"/>
        <v>0</v>
      </c>
      <c r="AS363" s="67">
        <f t="shared" si="455"/>
        <v>3.309688</v>
      </c>
      <c r="AT363" s="68">
        <f t="shared" si="455"/>
        <v>541.67759999999998</v>
      </c>
      <c r="AU363" s="216">
        <v>1</v>
      </c>
      <c r="AV363" s="104" t="s">
        <v>483</v>
      </c>
      <c r="AW363" s="94">
        <v>3.797723</v>
      </c>
      <c r="AX363" s="94">
        <v>5.0051220000000001</v>
      </c>
      <c r="AY363" s="94">
        <v>4.6076509999999997</v>
      </c>
      <c r="AZ363" s="94">
        <v>7.3594429999999997</v>
      </c>
      <c r="BA363" s="94">
        <v>23.086929999999999</v>
      </c>
      <c r="BB363" s="106">
        <v>0.79546589999999995</v>
      </c>
      <c r="BC363" s="94">
        <v>0</v>
      </c>
      <c r="BD363" s="94">
        <v>0</v>
      </c>
      <c r="BE363" s="94">
        <v>0</v>
      </c>
      <c r="BF363" s="95">
        <v>0.82388539999999999</v>
      </c>
      <c r="BG363" s="94">
        <v>0</v>
      </c>
      <c r="BH363" s="94">
        <v>0</v>
      </c>
      <c r="BI363" s="94">
        <v>3.13049</v>
      </c>
      <c r="BJ363" s="94">
        <v>5.1954929999999999</v>
      </c>
      <c r="BK363" s="94">
        <v>62.255119999999998</v>
      </c>
      <c r="BL363" s="106">
        <v>0</v>
      </c>
      <c r="BM363" s="94">
        <v>0</v>
      </c>
      <c r="BN363" s="94">
        <v>0</v>
      </c>
      <c r="BO363" s="94">
        <v>3.309688</v>
      </c>
      <c r="BP363" s="95">
        <v>541.67759999999998</v>
      </c>
      <c r="BQ363" s="2"/>
      <c r="BR363" s="2"/>
      <c r="BS363" s="2"/>
    </row>
    <row r="364" spans="1:71" x14ac:dyDescent="0.35">
      <c r="A364" s="2"/>
      <c r="B364" s="2"/>
      <c r="C364" s="42" t="s">
        <v>125</v>
      </c>
      <c r="D364" s="109">
        <f t="shared" si="430"/>
        <v>0</v>
      </c>
      <c r="E364" s="109">
        <f t="shared" si="410"/>
        <v>0</v>
      </c>
      <c r="F364" s="109">
        <f t="shared" si="411"/>
        <v>0</v>
      </c>
      <c r="G364" s="109">
        <f t="shared" si="412"/>
        <v>0</v>
      </c>
      <c r="H364" s="109">
        <f t="shared" si="413"/>
        <v>0</v>
      </c>
      <c r="I364" s="110">
        <f t="shared" si="414"/>
        <v>0</v>
      </c>
      <c r="J364" s="109">
        <f t="shared" si="415"/>
        <v>0</v>
      </c>
      <c r="K364" s="109">
        <f t="shared" si="416"/>
        <v>0</v>
      </c>
      <c r="L364" s="109">
        <f t="shared" si="417"/>
        <v>0</v>
      </c>
      <c r="M364" s="111">
        <f t="shared" si="418"/>
        <v>0</v>
      </c>
      <c r="N364" s="109">
        <f t="shared" si="419"/>
        <v>0</v>
      </c>
      <c r="O364" s="109">
        <f t="shared" si="420"/>
        <v>0</v>
      </c>
      <c r="P364" s="109">
        <f t="shared" si="421"/>
        <v>0</v>
      </c>
      <c r="Q364" s="109">
        <f t="shared" si="422"/>
        <v>0</v>
      </c>
      <c r="R364" s="109">
        <f t="shared" si="423"/>
        <v>0</v>
      </c>
      <c r="S364" s="110">
        <f t="shared" si="424"/>
        <v>0</v>
      </c>
      <c r="T364" s="109">
        <f t="shared" si="425"/>
        <v>0</v>
      </c>
      <c r="U364" s="109">
        <f t="shared" si="426"/>
        <v>0</v>
      </c>
      <c r="V364" s="109">
        <f t="shared" si="427"/>
        <v>0</v>
      </c>
      <c r="W364" s="111">
        <f t="shared" si="428"/>
        <v>0</v>
      </c>
      <c r="X364" s="115">
        <f t="shared" si="431"/>
        <v>0</v>
      </c>
      <c r="Y364" s="38" t="s">
        <v>441</v>
      </c>
      <c r="Z364" s="42" t="s">
        <v>125</v>
      </c>
      <c r="AA364" s="67">
        <f t="shared" ref="AA364:AT364" si="456">(SUMIF($AV$339:$AV$442,$Y364,AW$339:AW$442)*AA$337+IF($J142,SUMIF($AV$229:$AV$332,$Y254,AW$229:AW$332)*AA$227*(1-$D142/$J142),0))*$AU364</f>
        <v>0</v>
      </c>
      <c r="AB364" s="67">
        <f t="shared" si="456"/>
        <v>0</v>
      </c>
      <c r="AC364" s="67">
        <f t="shared" si="456"/>
        <v>0</v>
      </c>
      <c r="AD364" s="67">
        <f t="shared" si="456"/>
        <v>0</v>
      </c>
      <c r="AE364" s="67">
        <f t="shared" si="456"/>
        <v>0</v>
      </c>
      <c r="AF364" s="76">
        <f t="shared" si="456"/>
        <v>0</v>
      </c>
      <c r="AG364" s="67">
        <f t="shared" si="456"/>
        <v>0</v>
      </c>
      <c r="AH364" s="67">
        <f t="shared" si="456"/>
        <v>0</v>
      </c>
      <c r="AI364" s="67">
        <f t="shared" si="456"/>
        <v>0</v>
      </c>
      <c r="AJ364" s="68">
        <f t="shared" si="456"/>
        <v>0</v>
      </c>
      <c r="AK364" s="67">
        <f t="shared" si="456"/>
        <v>0</v>
      </c>
      <c r="AL364" s="67">
        <f t="shared" si="456"/>
        <v>0</v>
      </c>
      <c r="AM364" s="67">
        <f t="shared" si="456"/>
        <v>0</v>
      </c>
      <c r="AN364" s="67">
        <f t="shared" si="456"/>
        <v>0</v>
      </c>
      <c r="AO364" s="67">
        <f t="shared" si="456"/>
        <v>0</v>
      </c>
      <c r="AP364" s="76">
        <f t="shared" si="456"/>
        <v>0</v>
      </c>
      <c r="AQ364" s="67">
        <f t="shared" si="456"/>
        <v>0</v>
      </c>
      <c r="AR364" s="67">
        <f t="shared" si="456"/>
        <v>0</v>
      </c>
      <c r="AS364" s="67">
        <f t="shared" si="456"/>
        <v>0</v>
      </c>
      <c r="AT364" s="68">
        <f t="shared" si="456"/>
        <v>0</v>
      </c>
      <c r="AU364" s="216">
        <v>1</v>
      </c>
      <c r="AV364" s="104" t="s">
        <v>441</v>
      </c>
      <c r="AW364" s="94"/>
      <c r="AX364" s="94"/>
      <c r="AY364" s="94"/>
      <c r="AZ364" s="94"/>
      <c r="BA364" s="94"/>
      <c r="BB364" s="106"/>
      <c r="BC364" s="94"/>
      <c r="BD364" s="94"/>
      <c r="BE364" s="94"/>
      <c r="BF364" s="95"/>
      <c r="BG364" s="94"/>
      <c r="BH364" s="94"/>
      <c r="BI364" s="94"/>
      <c r="BJ364" s="94"/>
      <c r="BK364" s="94"/>
      <c r="BL364" s="106"/>
      <c r="BM364" s="94"/>
      <c r="BN364" s="94"/>
      <c r="BO364" s="94"/>
      <c r="BP364" s="95"/>
      <c r="BQ364" s="2"/>
      <c r="BR364" s="2"/>
      <c r="BS364" s="2"/>
    </row>
    <row r="365" spans="1:71" x14ac:dyDescent="0.35">
      <c r="A365" s="2"/>
      <c r="B365" s="2"/>
      <c r="C365" s="42" t="s">
        <v>127</v>
      </c>
      <c r="D365" s="109">
        <f t="shared" si="430"/>
        <v>3.2463587077369079E-2</v>
      </c>
      <c r="E365" s="109">
        <f t="shared" si="410"/>
        <v>8.9487374086742122E-2</v>
      </c>
      <c r="F365" s="109">
        <f t="shared" si="411"/>
        <v>0.12227312865328513</v>
      </c>
      <c r="G365" s="109">
        <f t="shared" si="412"/>
        <v>0.27333727441257893</v>
      </c>
      <c r="H365" s="109">
        <f t="shared" si="413"/>
        <v>0.31165441606285899</v>
      </c>
      <c r="I365" s="110">
        <f t="shared" si="414"/>
        <v>6.608924800663242E-4</v>
      </c>
      <c r="J365" s="109">
        <f t="shared" si="415"/>
        <v>0</v>
      </c>
      <c r="K365" s="109">
        <f t="shared" si="416"/>
        <v>4.0872075709821404E-4</v>
      </c>
      <c r="L365" s="109">
        <f t="shared" si="417"/>
        <v>1.5248001793045324E-3</v>
      </c>
      <c r="M365" s="111">
        <f t="shared" si="418"/>
        <v>1.7034641346468388E-2</v>
      </c>
      <c r="N365" s="109">
        <f t="shared" si="419"/>
        <v>2.2084353081566598E-3</v>
      </c>
      <c r="O365" s="109">
        <f t="shared" si="420"/>
        <v>2.4929593465699662E-3</v>
      </c>
      <c r="P365" s="109">
        <f t="shared" si="421"/>
        <v>9.2451735223174798E-3</v>
      </c>
      <c r="Q365" s="109">
        <f t="shared" si="422"/>
        <v>1.1487353985923326E-2</v>
      </c>
      <c r="R365" s="109">
        <f t="shared" si="423"/>
        <v>6.0770312461363191E-2</v>
      </c>
      <c r="S365" s="110">
        <f t="shared" si="424"/>
        <v>0</v>
      </c>
      <c r="T365" s="109">
        <f t="shared" si="425"/>
        <v>9.8551380420811951E-4</v>
      </c>
      <c r="U365" s="109">
        <f t="shared" si="426"/>
        <v>3.5076323795039483E-3</v>
      </c>
      <c r="V365" s="109">
        <f t="shared" si="427"/>
        <v>6.8654768781608779E-3</v>
      </c>
      <c r="W365" s="111">
        <f t="shared" si="428"/>
        <v>5.3592307258024677E-2</v>
      </c>
      <c r="X365" s="115">
        <f t="shared" si="431"/>
        <v>0.99999999999999978</v>
      </c>
      <c r="Y365" s="38" t="s">
        <v>455</v>
      </c>
      <c r="Z365" s="42" t="s">
        <v>127</v>
      </c>
      <c r="AA365" s="67">
        <f t="shared" ref="AA365:AT365" si="457">(SUMIF($AV$339:$AV$442,$Y365,AW$339:AW$442)*AA$337+IF($J143,SUMIF($AV$229:$AV$332,$Y255,AW$229:AW$332)*AA$227*(1-$D143/$J143),0))*$AU365</f>
        <v>321.36349999999999</v>
      </c>
      <c r="AB365" s="67">
        <f t="shared" si="457"/>
        <v>885.85329999999999</v>
      </c>
      <c r="AC365" s="67">
        <f t="shared" si="457"/>
        <v>1210.4059999999999</v>
      </c>
      <c r="AD365" s="67">
        <f t="shared" si="457"/>
        <v>2705.82</v>
      </c>
      <c r="AE365" s="67">
        <f t="shared" si="457"/>
        <v>3085.1289999999999</v>
      </c>
      <c r="AF365" s="76">
        <f t="shared" si="457"/>
        <v>6.542306</v>
      </c>
      <c r="AG365" s="67">
        <f t="shared" si="457"/>
        <v>0</v>
      </c>
      <c r="AH365" s="67">
        <f t="shared" si="457"/>
        <v>4.0460079999999996</v>
      </c>
      <c r="AI365" s="67">
        <f t="shared" si="457"/>
        <v>15.0943</v>
      </c>
      <c r="AJ365" s="68">
        <f t="shared" si="457"/>
        <v>168.6293</v>
      </c>
      <c r="AK365" s="67">
        <f t="shared" si="457"/>
        <v>21.861740000000001</v>
      </c>
      <c r="AL365" s="67">
        <f t="shared" si="457"/>
        <v>24.6783</v>
      </c>
      <c r="AM365" s="67">
        <f t="shared" si="457"/>
        <v>91.519810000000007</v>
      </c>
      <c r="AN365" s="67">
        <f t="shared" si="457"/>
        <v>113.71559999999999</v>
      </c>
      <c r="AO365" s="67">
        <f t="shared" si="457"/>
        <v>601.57740000000001</v>
      </c>
      <c r="AP365" s="76">
        <f t="shared" si="457"/>
        <v>0</v>
      </c>
      <c r="AQ365" s="67">
        <f t="shared" si="457"/>
        <v>9.7557969999999994</v>
      </c>
      <c r="AR365" s="67">
        <f t="shared" si="457"/>
        <v>34.722749999999998</v>
      </c>
      <c r="AS365" s="67">
        <f t="shared" si="457"/>
        <v>67.962720000000004</v>
      </c>
      <c r="AT365" s="68">
        <f t="shared" si="457"/>
        <v>530.52089999999998</v>
      </c>
      <c r="AU365" s="216">
        <v>1</v>
      </c>
      <c r="AV365" s="104" t="s">
        <v>455</v>
      </c>
      <c r="AW365" s="94">
        <v>321.36349999999999</v>
      </c>
      <c r="AX365" s="94">
        <v>885.85329999999999</v>
      </c>
      <c r="AY365" s="94">
        <v>1210.4059999999999</v>
      </c>
      <c r="AZ365" s="94">
        <v>2705.82</v>
      </c>
      <c r="BA365" s="94">
        <v>3085.1289999999999</v>
      </c>
      <c r="BB365" s="106">
        <v>6.542306</v>
      </c>
      <c r="BC365" s="94">
        <v>0</v>
      </c>
      <c r="BD365" s="94">
        <v>4.0460079999999996</v>
      </c>
      <c r="BE365" s="94">
        <v>15.0943</v>
      </c>
      <c r="BF365" s="95">
        <v>168.6293</v>
      </c>
      <c r="BG365" s="94">
        <v>21.861740000000001</v>
      </c>
      <c r="BH365" s="94">
        <v>24.6783</v>
      </c>
      <c r="BI365" s="94">
        <v>91.519810000000007</v>
      </c>
      <c r="BJ365" s="94">
        <v>113.71559999999999</v>
      </c>
      <c r="BK365" s="94">
        <v>601.57740000000001</v>
      </c>
      <c r="BL365" s="106">
        <v>0</v>
      </c>
      <c r="BM365" s="94">
        <v>9.7557969999999994</v>
      </c>
      <c r="BN365" s="94">
        <v>34.722749999999998</v>
      </c>
      <c r="BO365" s="94">
        <v>67.962720000000004</v>
      </c>
      <c r="BP365" s="95">
        <v>530.52089999999998</v>
      </c>
      <c r="BQ365" s="2"/>
      <c r="BR365" s="2"/>
      <c r="BS365" s="2"/>
    </row>
    <row r="366" spans="1:71" x14ac:dyDescent="0.35">
      <c r="A366" s="2"/>
      <c r="B366" s="2"/>
      <c r="C366" s="42" t="s">
        <v>129</v>
      </c>
      <c r="D366" s="109">
        <f t="shared" si="430"/>
        <v>6.6410041181257803E-2</v>
      </c>
      <c r="E366" s="109">
        <f t="shared" si="410"/>
        <v>3.3325422209265328E-2</v>
      </c>
      <c r="F366" s="109">
        <f t="shared" si="411"/>
        <v>6.4584961955774858E-2</v>
      </c>
      <c r="G366" s="109">
        <f t="shared" si="412"/>
        <v>2.9572955597501848E-2</v>
      </c>
      <c r="H366" s="109">
        <f t="shared" si="413"/>
        <v>0.19607009093461905</v>
      </c>
      <c r="I366" s="110">
        <f t="shared" si="414"/>
        <v>0</v>
      </c>
      <c r="J366" s="109">
        <f t="shared" si="415"/>
        <v>0</v>
      </c>
      <c r="K366" s="109">
        <f t="shared" si="416"/>
        <v>1.9107169308263148E-2</v>
      </c>
      <c r="L366" s="109">
        <f t="shared" si="417"/>
        <v>0</v>
      </c>
      <c r="M366" s="111">
        <f t="shared" si="418"/>
        <v>1.3276781237320342E-2</v>
      </c>
      <c r="N366" s="109">
        <f t="shared" si="419"/>
        <v>3.5643808928083158E-3</v>
      </c>
      <c r="O366" s="109">
        <f t="shared" si="420"/>
        <v>6.9134374002131965E-3</v>
      </c>
      <c r="P366" s="109">
        <f t="shared" si="421"/>
        <v>2.4052143385221263E-2</v>
      </c>
      <c r="Q366" s="109">
        <f t="shared" si="422"/>
        <v>2.7537124008200121E-2</v>
      </c>
      <c r="R366" s="109">
        <f t="shared" si="423"/>
        <v>0.14935120945057537</v>
      </c>
      <c r="S366" s="110">
        <f t="shared" si="424"/>
        <v>0</v>
      </c>
      <c r="T366" s="109">
        <f t="shared" si="425"/>
        <v>2.1956006096990658E-3</v>
      </c>
      <c r="U366" s="109">
        <f t="shared" si="426"/>
        <v>0</v>
      </c>
      <c r="V366" s="109">
        <f t="shared" si="427"/>
        <v>0</v>
      </c>
      <c r="W366" s="111">
        <f t="shared" si="428"/>
        <v>0.36403868182928045</v>
      </c>
      <c r="X366" s="115">
        <f t="shared" si="431"/>
        <v>1</v>
      </c>
      <c r="Y366" s="38" t="s">
        <v>447</v>
      </c>
      <c r="Z366" s="42" t="s">
        <v>129</v>
      </c>
      <c r="AA366" s="67">
        <f t="shared" ref="AA366:AT366" si="458">(SUMIF($AV$339:$AV$442,$Y366,AW$339:AW$442)*AA$337+IF($J144,SUMIF($AV$229:$AV$332,$Y256,AW$229:AW$332)*AA$227*(1-$D144/$J144),0))*$AU366</f>
        <v>113.96559999999999</v>
      </c>
      <c r="AB366" s="67">
        <f t="shared" si="458"/>
        <v>57.189419999999998</v>
      </c>
      <c r="AC366" s="67">
        <f t="shared" si="458"/>
        <v>110.8336</v>
      </c>
      <c r="AD366" s="67">
        <f t="shared" si="458"/>
        <v>50.749850000000002</v>
      </c>
      <c r="AE366" s="67">
        <f t="shared" si="458"/>
        <v>336.47390000000001</v>
      </c>
      <c r="AF366" s="76">
        <f t="shared" si="458"/>
        <v>0</v>
      </c>
      <c r="AG366" s="67">
        <f t="shared" si="458"/>
        <v>0</v>
      </c>
      <c r="AH366" s="67">
        <f t="shared" si="458"/>
        <v>32.789619999999999</v>
      </c>
      <c r="AI366" s="67">
        <f t="shared" si="458"/>
        <v>0</v>
      </c>
      <c r="AJ366" s="68">
        <f t="shared" si="458"/>
        <v>22.78415</v>
      </c>
      <c r="AK366" s="67">
        <f t="shared" si="458"/>
        <v>6.1167980000000002</v>
      </c>
      <c r="AL366" s="67">
        <f t="shared" si="458"/>
        <v>11.86408</v>
      </c>
      <c r="AM366" s="67">
        <f t="shared" si="458"/>
        <v>41.275640000000003</v>
      </c>
      <c r="AN366" s="67">
        <f t="shared" si="458"/>
        <v>47.256180000000001</v>
      </c>
      <c r="AO366" s="67">
        <f t="shared" si="458"/>
        <v>256.30009999999999</v>
      </c>
      <c r="AP366" s="76">
        <f t="shared" si="458"/>
        <v>0</v>
      </c>
      <c r="AQ366" s="67">
        <f t="shared" si="458"/>
        <v>3.7678479999999999</v>
      </c>
      <c r="AR366" s="67">
        <f t="shared" si="458"/>
        <v>0</v>
      </c>
      <c r="AS366" s="67">
        <f t="shared" si="458"/>
        <v>0</v>
      </c>
      <c r="AT366" s="68">
        <f t="shared" si="458"/>
        <v>624.72310000000004</v>
      </c>
      <c r="AU366" s="216">
        <v>1</v>
      </c>
      <c r="AV366" s="104" t="s">
        <v>447</v>
      </c>
      <c r="AW366" s="94">
        <v>113.96559999999999</v>
      </c>
      <c r="AX366" s="94">
        <v>57.189419999999998</v>
      </c>
      <c r="AY366" s="94">
        <v>110.8336</v>
      </c>
      <c r="AZ366" s="94">
        <v>50.749850000000002</v>
      </c>
      <c r="BA366" s="94">
        <v>336.47390000000001</v>
      </c>
      <c r="BB366" s="106">
        <v>0</v>
      </c>
      <c r="BC366" s="94">
        <v>0</v>
      </c>
      <c r="BD366" s="94">
        <v>32.789619999999999</v>
      </c>
      <c r="BE366" s="94">
        <v>0</v>
      </c>
      <c r="BF366" s="95">
        <v>22.78415</v>
      </c>
      <c r="BG366" s="94">
        <v>6.1167980000000002</v>
      </c>
      <c r="BH366" s="94">
        <v>11.86408</v>
      </c>
      <c r="BI366" s="94">
        <v>41.275640000000003</v>
      </c>
      <c r="BJ366" s="94">
        <v>47.256180000000001</v>
      </c>
      <c r="BK366" s="94">
        <v>256.30009999999999</v>
      </c>
      <c r="BL366" s="106">
        <v>0</v>
      </c>
      <c r="BM366" s="94">
        <v>3.7678479999999999</v>
      </c>
      <c r="BN366" s="94">
        <v>0</v>
      </c>
      <c r="BO366" s="94">
        <v>0</v>
      </c>
      <c r="BP366" s="95">
        <v>624.72310000000004</v>
      </c>
      <c r="BQ366" s="2"/>
      <c r="BR366" s="2"/>
      <c r="BS366" s="2"/>
    </row>
    <row r="367" spans="1:71" x14ac:dyDescent="0.35">
      <c r="A367" s="2"/>
      <c r="B367" s="2"/>
      <c r="C367" s="42" t="s">
        <v>131</v>
      </c>
      <c r="D367" s="109">
        <f t="shared" si="430"/>
        <v>4.9184867876397302E-2</v>
      </c>
      <c r="E367" s="109">
        <f t="shared" si="410"/>
        <v>0</v>
      </c>
      <c r="F367" s="109">
        <f t="shared" si="411"/>
        <v>0.13514395671380805</v>
      </c>
      <c r="G367" s="109">
        <f t="shared" si="412"/>
        <v>0.1725250533747191</v>
      </c>
      <c r="H367" s="109">
        <f t="shared" si="413"/>
        <v>0.24428971538547364</v>
      </c>
      <c r="I367" s="110">
        <f t="shared" si="414"/>
        <v>0</v>
      </c>
      <c r="J367" s="109">
        <f t="shared" si="415"/>
        <v>0</v>
      </c>
      <c r="K367" s="109">
        <f t="shared" si="416"/>
        <v>0</v>
      </c>
      <c r="L367" s="109">
        <f t="shared" si="417"/>
        <v>0</v>
      </c>
      <c r="M367" s="111">
        <f t="shared" si="418"/>
        <v>5.1549291798667865E-2</v>
      </c>
      <c r="N367" s="109">
        <f t="shared" si="419"/>
        <v>0</v>
      </c>
      <c r="O367" s="109">
        <f t="shared" si="420"/>
        <v>0</v>
      </c>
      <c r="P367" s="109">
        <f t="shared" si="421"/>
        <v>2.1806391702301933E-2</v>
      </c>
      <c r="Q367" s="109">
        <f t="shared" si="422"/>
        <v>0</v>
      </c>
      <c r="R367" s="109">
        <f t="shared" si="423"/>
        <v>0.12428540361270944</v>
      </c>
      <c r="S367" s="110">
        <f t="shared" si="424"/>
        <v>0</v>
      </c>
      <c r="T367" s="109">
        <f t="shared" si="425"/>
        <v>0</v>
      </c>
      <c r="U367" s="109">
        <f t="shared" si="426"/>
        <v>1.5736556860399167E-3</v>
      </c>
      <c r="V367" s="109">
        <f t="shared" si="427"/>
        <v>8.5485978457925479E-2</v>
      </c>
      <c r="W367" s="111">
        <f t="shared" si="428"/>
        <v>0.11415568539195749</v>
      </c>
      <c r="X367" s="115">
        <f t="shared" si="431"/>
        <v>1.0000000000000002</v>
      </c>
      <c r="Y367" s="38" t="s">
        <v>457</v>
      </c>
      <c r="Z367" s="42" t="s">
        <v>131</v>
      </c>
      <c r="AA367" s="67">
        <f t="shared" ref="AA367:AT367" si="459">(SUMIF($AV$339:$AV$442,$Y367,AW$339:AW$442)*AA$337+IF($J145,SUMIF($AV$229:$AV$332,$Y257,AW$229:AW$332)*AA$227*(1-$D145/$J145),0))*$AU367</f>
        <v>39.244109999999999</v>
      </c>
      <c r="AB367" s="67">
        <f t="shared" si="459"/>
        <v>0</v>
      </c>
      <c r="AC367" s="67">
        <f t="shared" si="459"/>
        <v>107.83</v>
      </c>
      <c r="AD367" s="67">
        <f t="shared" si="459"/>
        <v>137.65600000000001</v>
      </c>
      <c r="AE367" s="67">
        <f t="shared" si="459"/>
        <v>194.91630000000001</v>
      </c>
      <c r="AF367" s="76">
        <f t="shared" si="459"/>
        <v>0</v>
      </c>
      <c r="AG367" s="67">
        <f t="shared" si="459"/>
        <v>0</v>
      </c>
      <c r="AH367" s="67">
        <f t="shared" si="459"/>
        <v>0</v>
      </c>
      <c r="AI367" s="67">
        <f t="shared" si="459"/>
        <v>0</v>
      </c>
      <c r="AJ367" s="68">
        <f t="shared" si="459"/>
        <v>41.130659999999999</v>
      </c>
      <c r="AK367" s="67">
        <f t="shared" si="459"/>
        <v>0</v>
      </c>
      <c r="AL367" s="67">
        <f t="shared" si="459"/>
        <v>0</v>
      </c>
      <c r="AM367" s="67">
        <f t="shared" si="459"/>
        <v>17.399100000000001</v>
      </c>
      <c r="AN367" s="67">
        <f t="shared" si="459"/>
        <v>0</v>
      </c>
      <c r="AO367" s="67">
        <f t="shared" si="459"/>
        <v>99.166070000000005</v>
      </c>
      <c r="AP367" s="76">
        <f t="shared" si="459"/>
        <v>0</v>
      </c>
      <c r="AQ367" s="67">
        <f t="shared" si="459"/>
        <v>0</v>
      </c>
      <c r="AR367" s="67">
        <f t="shared" si="459"/>
        <v>1.2556039999999999</v>
      </c>
      <c r="AS367" s="67">
        <f t="shared" si="459"/>
        <v>68.208399999999997</v>
      </c>
      <c r="AT367" s="68">
        <f t="shared" si="459"/>
        <v>91.083669999999998</v>
      </c>
      <c r="AU367" s="216">
        <v>1</v>
      </c>
      <c r="AV367" s="104" t="s">
        <v>457</v>
      </c>
      <c r="AW367" s="94">
        <v>39.244109999999999</v>
      </c>
      <c r="AX367" s="94">
        <v>0</v>
      </c>
      <c r="AY367" s="94">
        <v>107.83</v>
      </c>
      <c r="AZ367" s="94">
        <v>137.65600000000001</v>
      </c>
      <c r="BA367" s="94">
        <v>194.91630000000001</v>
      </c>
      <c r="BB367" s="106">
        <v>0</v>
      </c>
      <c r="BC367" s="94">
        <v>0</v>
      </c>
      <c r="BD367" s="94">
        <v>0</v>
      </c>
      <c r="BE367" s="94">
        <v>0</v>
      </c>
      <c r="BF367" s="95">
        <v>41.130659999999999</v>
      </c>
      <c r="BG367" s="94">
        <v>0</v>
      </c>
      <c r="BH367" s="94">
        <v>0</v>
      </c>
      <c r="BI367" s="94">
        <v>17.399100000000001</v>
      </c>
      <c r="BJ367" s="94">
        <v>0</v>
      </c>
      <c r="BK367" s="94">
        <v>99.166070000000005</v>
      </c>
      <c r="BL367" s="106">
        <v>0</v>
      </c>
      <c r="BM367" s="94">
        <v>0</v>
      </c>
      <c r="BN367" s="94">
        <v>1.2556039999999999</v>
      </c>
      <c r="BO367" s="94">
        <v>68.208399999999997</v>
      </c>
      <c r="BP367" s="95">
        <v>91.083669999999998</v>
      </c>
      <c r="BQ367" s="2"/>
      <c r="BR367" s="2"/>
      <c r="BS367" s="2"/>
    </row>
    <row r="368" spans="1:71" x14ac:dyDescent="0.35">
      <c r="A368" s="2"/>
      <c r="B368" s="2"/>
      <c r="C368" s="42" t="s">
        <v>133</v>
      </c>
      <c r="D368" s="109">
        <f t="shared" si="430"/>
        <v>9.1716062566795566E-3</v>
      </c>
      <c r="E368" s="109">
        <f t="shared" si="410"/>
        <v>2.4022598812742834E-2</v>
      </c>
      <c r="F368" s="109">
        <f t="shared" si="411"/>
        <v>3.6852015441316541E-2</v>
      </c>
      <c r="G368" s="109">
        <f t="shared" si="412"/>
        <v>9.511023566488562E-2</v>
      </c>
      <c r="H368" s="109">
        <f t="shared" si="413"/>
        <v>0.16057940453785055</v>
      </c>
      <c r="I368" s="110">
        <f t="shared" si="414"/>
        <v>0</v>
      </c>
      <c r="J368" s="109">
        <f t="shared" si="415"/>
        <v>1.4187299229076149E-4</v>
      </c>
      <c r="K368" s="109">
        <f t="shared" si="416"/>
        <v>4.50132678140692E-3</v>
      </c>
      <c r="L368" s="109">
        <f t="shared" si="417"/>
        <v>4.0021754558986211E-3</v>
      </c>
      <c r="M368" s="111">
        <f t="shared" si="418"/>
        <v>2.8162053850371134E-2</v>
      </c>
      <c r="N368" s="109">
        <f t="shared" si="419"/>
        <v>9.7473837059734063E-4</v>
      </c>
      <c r="O368" s="109">
        <f t="shared" si="420"/>
        <v>2.6742289125321374E-3</v>
      </c>
      <c r="P368" s="109">
        <f t="shared" si="421"/>
        <v>8.0130067576574156E-3</v>
      </c>
      <c r="Q368" s="109">
        <f t="shared" si="422"/>
        <v>2.254257424449907E-2</v>
      </c>
      <c r="R368" s="109">
        <f t="shared" si="423"/>
        <v>0.14194270256660096</v>
      </c>
      <c r="S368" s="110">
        <f t="shared" si="424"/>
        <v>2.6304931636939803E-4</v>
      </c>
      <c r="T368" s="109">
        <f t="shared" si="425"/>
        <v>2.1265327488133893E-3</v>
      </c>
      <c r="U368" s="109">
        <f t="shared" si="426"/>
        <v>4.0583188981077002E-3</v>
      </c>
      <c r="V368" s="109">
        <f t="shared" si="427"/>
        <v>1.2787682429133133E-2</v>
      </c>
      <c r="W368" s="111">
        <f t="shared" si="428"/>
        <v>0.44207387596224695</v>
      </c>
      <c r="X368" s="115">
        <f t="shared" si="431"/>
        <v>1</v>
      </c>
      <c r="Y368" s="38" t="s">
        <v>444</v>
      </c>
      <c r="Z368" s="42" t="s">
        <v>133</v>
      </c>
      <c r="AA368" s="67">
        <f t="shared" ref="AA368:AT368" si="460">(SUMIF($AV$339:$AV$442,$Y368,AW$339:AW$442)*AA$337+IF($J146,SUMIF($AV$229:$AV$332,$Y258,AW$229:AW$332)*AA$227*(1-$D146/$J146),0))*$AU368</f>
        <v>249.32040000000001</v>
      </c>
      <c r="AB368" s="67">
        <f t="shared" si="460"/>
        <v>653.02890000000002</v>
      </c>
      <c r="AC368" s="67">
        <f t="shared" si="460"/>
        <v>1001.783</v>
      </c>
      <c r="AD368" s="67">
        <f t="shared" si="460"/>
        <v>2585.471</v>
      </c>
      <c r="AE368" s="67">
        <f t="shared" si="460"/>
        <v>4365.1809999999996</v>
      </c>
      <c r="AF368" s="76">
        <f t="shared" si="460"/>
        <v>0</v>
      </c>
      <c r="AG368" s="67">
        <f t="shared" si="460"/>
        <v>3.8566669999999998</v>
      </c>
      <c r="AH368" s="67">
        <f t="shared" si="460"/>
        <v>122.3638</v>
      </c>
      <c r="AI368" s="67">
        <f t="shared" si="460"/>
        <v>108.7949</v>
      </c>
      <c r="AJ368" s="68">
        <f t="shared" si="460"/>
        <v>765.55560000000003</v>
      </c>
      <c r="AK368" s="67">
        <f t="shared" si="460"/>
        <v>26.497229999999998</v>
      </c>
      <c r="AL368" s="67">
        <f t="shared" si="460"/>
        <v>72.696079999999995</v>
      </c>
      <c r="AM368" s="67">
        <f t="shared" si="460"/>
        <v>217.82509999999999</v>
      </c>
      <c r="AN368" s="67">
        <f t="shared" si="460"/>
        <v>612.79600000000005</v>
      </c>
      <c r="AO368" s="67">
        <f t="shared" si="460"/>
        <v>3858.5619999999999</v>
      </c>
      <c r="AP368" s="76">
        <f t="shared" si="460"/>
        <v>7.1507170000000002</v>
      </c>
      <c r="AQ368" s="67">
        <f t="shared" si="460"/>
        <v>57.807540000000003</v>
      </c>
      <c r="AR368" s="67">
        <f t="shared" si="460"/>
        <v>110.3211</v>
      </c>
      <c r="AS368" s="67">
        <f t="shared" si="460"/>
        <v>347.61959999999999</v>
      </c>
      <c r="AT368" s="68">
        <f t="shared" si="460"/>
        <v>12017.31</v>
      </c>
      <c r="AU368" s="216">
        <v>1</v>
      </c>
      <c r="AV368" s="104" t="s">
        <v>444</v>
      </c>
      <c r="AW368" s="94">
        <v>249.32040000000001</v>
      </c>
      <c r="AX368" s="94">
        <v>653.02890000000002</v>
      </c>
      <c r="AY368" s="94">
        <v>1001.783</v>
      </c>
      <c r="AZ368" s="94">
        <v>2585.471</v>
      </c>
      <c r="BA368" s="94">
        <v>4365.1809999999996</v>
      </c>
      <c r="BB368" s="106">
        <v>0</v>
      </c>
      <c r="BC368" s="94">
        <v>3.8566669999999998</v>
      </c>
      <c r="BD368" s="94">
        <v>122.3638</v>
      </c>
      <c r="BE368" s="94">
        <v>108.7949</v>
      </c>
      <c r="BF368" s="95">
        <v>765.55560000000003</v>
      </c>
      <c r="BG368" s="94">
        <v>26.497229999999998</v>
      </c>
      <c r="BH368" s="94">
        <v>72.696079999999995</v>
      </c>
      <c r="BI368" s="94">
        <v>217.82509999999999</v>
      </c>
      <c r="BJ368" s="94">
        <v>612.79600000000005</v>
      </c>
      <c r="BK368" s="94">
        <v>3858.5619999999999</v>
      </c>
      <c r="BL368" s="106">
        <v>7.1507170000000002</v>
      </c>
      <c r="BM368" s="94">
        <v>57.807540000000003</v>
      </c>
      <c r="BN368" s="94">
        <v>110.3211</v>
      </c>
      <c r="BO368" s="94">
        <v>347.61959999999999</v>
      </c>
      <c r="BP368" s="95">
        <v>12017.31</v>
      </c>
      <c r="BQ368" s="2"/>
      <c r="BR368" s="2"/>
      <c r="BS368" s="2"/>
    </row>
    <row r="369" spans="1:71" x14ac:dyDescent="0.35">
      <c r="A369" s="2"/>
      <c r="B369" s="2"/>
      <c r="C369" s="42" t="s">
        <v>135</v>
      </c>
      <c r="D369" s="109">
        <f t="shared" si="430"/>
        <v>5.7749528890858213E-3</v>
      </c>
      <c r="E369" s="109">
        <f t="shared" si="410"/>
        <v>1.262289496999279E-2</v>
      </c>
      <c r="F369" s="109">
        <f t="shared" si="411"/>
        <v>3.0866956505680568E-2</v>
      </c>
      <c r="G369" s="109">
        <f t="shared" si="412"/>
        <v>5.8620704005857539E-2</v>
      </c>
      <c r="H369" s="109">
        <f t="shared" si="413"/>
        <v>0.14670011956034182</v>
      </c>
      <c r="I369" s="110">
        <f t="shared" si="414"/>
        <v>0</v>
      </c>
      <c r="J369" s="109">
        <f t="shared" si="415"/>
        <v>8.4457600310095085E-5</v>
      </c>
      <c r="K369" s="109">
        <f t="shared" si="416"/>
        <v>1.3437462781032484E-3</v>
      </c>
      <c r="L369" s="109">
        <f t="shared" si="417"/>
        <v>3.1262074485214945E-3</v>
      </c>
      <c r="M369" s="111">
        <f t="shared" si="418"/>
        <v>4.6025299442039737E-2</v>
      </c>
      <c r="N369" s="109">
        <f t="shared" si="419"/>
        <v>5.2835173139940701E-4</v>
      </c>
      <c r="O369" s="109">
        <f t="shared" si="420"/>
        <v>4.7882641087142594E-3</v>
      </c>
      <c r="P369" s="109">
        <f t="shared" si="421"/>
        <v>6.360617058662834E-3</v>
      </c>
      <c r="Q369" s="109">
        <f t="shared" si="422"/>
        <v>1.1736961948895461E-2</v>
      </c>
      <c r="R369" s="109">
        <f t="shared" si="423"/>
        <v>0.1816778987108254</v>
      </c>
      <c r="S369" s="110">
        <f t="shared" si="424"/>
        <v>1.6530267410750537E-4</v>
      </c>
      <c r="T369" s="109">
        <f t="shared" si="425"/>
        <v>6.8466663256396834E-4</v>
      </c>
      <c r="U369" s="109">
        <f t="shared" si="426"/>
        <v>1.5836946455294835E-3</v>
      </c>
      <c r="V369" s="109">
        <f t="shared" si="427"/>
        <v>1.4046867175893036E-2</v>
      </c>
      <c r="W369" s="111">
        <f t="shared" si="428"/>
        <v>0.47326203661347555</v>
      </c>
      <c r="X369" s="115">
        <f t="shared" si="431"/>
        <v>0.99999999999999989</v>
      </c>
      <c r="Y369" s="38" t="s">
        <v>451</v>
      </c>
      <c r="Z369" s="42" t="s">
        <v>135</v>
      </c>
      <c r="AA369" s="67">
        <f t="shared" ref="AA369:AT369" si="461">(SUMIF($AV$339:$AV$442,$Y369,AW$339:AW$442)*AA$337+IF($J147,SUMIF($AV$229:$AV$332,$Y259,AW$229:AW$332)*AA$227*(1-$D147/$J147),0))*$AU369</f>
        <v>29.966709999999999</v>
      </c>
      <c r="AB369" s="67">
        <f t="shared" si="461"/>
        <v>65.501249999999999</v>
      </c>
      <c r="AC369" s="67">
        <f t="shared" si="461"/>
        <v>160.1712</v>
      </c>
      <c r="AD369" s="67">
        <f t="shared" si="461"/>
        <v>304.18770000000001</v>
      </c>
      <c r="AE369" s="67">
        <f t="shared" si="461"/>
        <v>761.23910000000001</v>
      </c>
      <c r="AF369" s="76">
        <f t="shared" si="461"/>
        <v>0</v>
      </c>
      <c r="AG369" s="67">
        <f t="shared" si="461"/>
        <v>0.43825750000000002</v>
      </c>
      <c r="AH369" s="67">
        <f t="shared" si="461"/>
        <v>6.9728110000000001</v>
      </c>
      <c r="AI369" s="67">
        <f t="shared" si="461"/>
        <v>16.222149999999999</v>
      </c>
      <c r="AJ369" s="68">
        <f t="shared" si="461"/>
        <v>238.82910000000001</v>
      </c>
      <c r="AK369" s="67">
        <f t="shared" si="461"/>
        <v>2.7416610000000001</v>
      </c>
      <c r="AL369" s="67">
        <f t="shared" si="461"/>
        <v>24.846699999999998</v>
      </c>
      <c r="AM369" s="67">
        <f t="shared" si="461"/>
        <v>33.005769999999998</v>
      </c>
      <c r="AN369" s="67">
        <f t="shared" si="461"/>
        <v>60.904069999999997</v>
      </c>
      <c r="AO369" s="67">
        <f t="shared" si="461"/>
        <v>942.74170000000004</v>
      </c>
      <c r="AP369" s="76">
        <f t="shared" si="461"/>
        <v>0.85776929999999996</v>
      </c>
      <c r="AQ369" s="67">
        <f t="shared" si="461"/>
        <v>3.5527920000000002</v>
      </c>
      <c r="AR369" s="67">
        <f t="shared" si="461"/>
        <v>8.2179230000000008</v>
      </c>
      <c r="AS369" s="67">
        <f t="shared" si="461"/>
        <v>72.890360000000001</v>
      </c>
      <c r="AT369" s="68">
        <f t="shared" si="461"/>
        <v>2455.7959999999998</v>
      </c>
      <c r="AU369" s="216">
        <v>1</v>
      </c>
      <c r="AV369" s="104" t="s">
        <v>451</v>
      </c>
      <c r="AW369" s="94">
        <v>29.966709999999999</v>
      </c>
      <c r="AX369" s="94">
        <v>65.501249999999999</v>
      </c>
      <c r="AY369" s="94">
        <v>160.1712</v>
      </c>
      <c r="AZ369" s="94">
        <v>304.18770000000001</v>
      </c>
      <c r="BA369" s="94">
        <v>761.23910000000001</v>
      </c>
      <c r="BB369" s="106">
        <v>0</v>
      </c>
      <c r="BC369" s="94">
        <v>0.43825750000000002</v>
      </c>
      <c r="BD369" s="94">
        <v>6.9728110000000001</v>
      </c>
      <c r="BE369" s="94">
        <v>16.222149999999999</v>
      </c>
      <c r="BF369" s="95">
        <v>238.82910000000001</v>
      </c>
      <c r="BG369" s="94">
        <v>2.7416610000000001</v>
      </c>
      <c r="BH369" s="94">
        <v>24.846699999999998</v>
      </c>
      <c r="BI369" s="94">
        <v>33.005769999999998</v>
      </c>
      <c r="BJ369" s="94">
        <v>60.904069999999997</v>
      </c>
      <c r="BK369" s="94">
        <v>942.74170000000004</v>
      </c>
      <c r="BL369" s="106">
        <v>0.85776929999999996</v>
      </c>
      <c r="BM369" s="94">
        <v>3.5527920000000002</v>
      </c>
      <c r="BN369" s="94">
        <v>8.2179230000000008</v>
      </c>
      <c r="BO369" s="94">
        <v>72.890360000000001</v>
      </c>
      <c r="BP369" s="95">
        <v>2455.7959999999998</v>
      </c>
      <c r="BQ369" s="2"/>
      <c r="BR369" s="2"/>
      <c r="BS369" s="2"/>
    </row>
    <row r="370" spans="1:71" x14ac:dyDescent="0.35">
      <c r="A370" s="2"/>
      <c r="B370" s="2"/>
      <c r="C370" s="42" t="s">
        <v>137</v>
      </c>
      <c r="D370" s="109">
        <f t="shared" si="430"/>
        <v>5.9024234626647396E-2</v>
      </c>
      <c r="E370" s="109">
        <f t="shared" si="410"/>
        <v>9.8019489716612992E-2</v>
      </c>
      <c r="F370" s="109">
        <f t="shared" si="411"/>
        <v>0.16851989522710525</v>
      </c>
      <c r="G370" s="109">
        <f t="shared" si="412"/>
        <v>0.23329829281204698</v>
      </c>
      <c r="H370" s="109">
        <f t="shared" si="413"/>
        <v>0.18533955769426302</v>
      </c>
      <c r="I370" s="110">
        <f t="shared" si="414"/>
        <v>0</v>
      </c>
      <c r="J370" s="109">
        <f t="shared" si="415"/>
        <v>2.9647740757500539E-4</v>
      </c>
      <c r="K370" s="109">
        <f t="shared" si="416"/>
        <v>1.165691723405315E-3</v>
      </c>
      <c r="L370" s="109">
        <f t="shared" si="417"/>
        <v>2.7314744266043211E-3</v>
      </c>
      <c r="M370" s="111">
        <f t="shared" si="418"/>
        <v>1.3798035514686635E-2</v>
      </c>
      <c r="N370" s="109">
        <f t="shared" si="419"/>
        <v>3.7924909324094534E-3</v>
      </c>
      <c r="O370" s="109">
        <f t="shared" si="420"/>
        <v>5.7702206258806099E-3</v>
      </c>
      <c r="P370" s="109">
        <f t="shared" si="421"/>
        <v>1.0633980292693589E-2</v>
      </c>
      <c r="Q370" s="109">
        <f t="shared" si="422"/>
        <v>1.2991526423862027E-2</v>
      </c>
      <c r="R370" s="109">
        <f t="shared" si="423"/>
        <v>6.6459986704730273E-2</v>
      </c>
      <c r="S370" s="110">
        <f t="shared" si="424"/>
        <v>1.5668389894083791E-3</v>
      </c>
      <c r="T370" s="109">
        <f t="shared" si="425"/>
        <v>3.769909630608075E-3</v>
      </c>
      <c r="U370" s="109">
        <f t="shared" si="426"/>
        <v>6.2186873968597817E-3</v>
      </c>
      <c r="V370" s="109">
        <f t="shared" si="427"/>
        <v>1.8366259995779149E-2</v>
      </c>
      <c r="W370" s="111">
        <f t="shared" si="428"/>
        <v>0.10823694985882198</v>
      </c>
      <c r="X370" s="115">
        <f t="shared" si="431"/>
        <v>1.0000000000000002</v>
      </c>
      <c r="Y370" s="38" t="s">
        <v>522</v>
      </c>
      <c r="Z370" s="42" t="s">
        <v>137</v>
      </c>
      <c r="AA370" s="67">
        <f t="shared" ref="AA370:AT370" si="462">(SUMIF($AV$339:$AV$442,$Y370,AW$339:AW$442)*AA$337+IF($J148,SUMIF($AV$229:$AV$332,$Y260,AW$229:AW$332)*AA$227*(1-$D148/$J148),0))*$AU370</f>
        <v>178.42169999999999</v>
      </c>
      <c r="AB370" s="67">
        <f t="shared" si="462"/>
        <v>296.2987</v>
      </c>
      <c r="AC370" s="67">
        <f t="shared" si="462"/>
        <v>509.41120000000001</v>
      </c>
      <c r="AD370" s="67">
        <f t="shared" si="462"/>
        <v>705.2269</v>
      </c>
      <c r="AE370" s="67">
        <f t="shared" si="462"/>
        <v>560.25459999999998</v>
      </c>
      <c r="AF370" s="76">
        <f t="shared" si="462"/>
        <v>0</v>
      </c>
      <c r="AG370" s="67">
        <f t="shared" si="462"/>
        <v>0.89620820000000001</v>
      </c>
      <c r="AH370" s="67">
        <f t="shared" si="462"/>
        <v>3.523717</v>
      </c>
      <c r="AI370" s="67">
        <f t="shared" si="462"/>
        <v>8.2568509999999993</v>
      </c>
      <c r="AJ370" s="68">
        <f t="shared" si="462"/>
        <v>41.70946</v>
      </c>
      <c r="AK370" s="67">
        <f t="shared" si="462"/>
        <v>11.46415</v>
      </c>
      <c r="AL370" s="67">
        <f t="shared" si="462"/>
        <v>17.442540000000001</v>
      </c>
      <c r="AM370" s="67">
        <f t="shared" si="462"/>
        <v>32.144979999999997</v>
      </c>
      <c r="AN370" s="67">
        <f t="shared" si="462"/>
        <v>39.271500000000003</v>
      </c>
      <c r="AO370" s="67">
        <f t="shared" si="462"/>
        <v>200.8989</v>
      </c>
      <c r="AP370" s="76">
        <f t="shared" si="462"/>
        <v>4.7363270000000002</v>
      </c>
      <c r="AQ370" s="67">
        <f t="shared" si="462"/>
        <v>11.39589</v>
      </c>
      <c r="AR370" s="67">
        <f t="shared" si="462"/>
        <v>18.798190000000002</v>
      </c>
      <c r="AS370" s="67">
        <f t="shared" si="462"/>
        <v>55.518540000000002</v>
      </c>
      <c r="AT370" s="68">
        <f t="shared" si="462"/>
        <v>327.18459999999999</v>
      </c>
      <c r="AU370" s="216">
        <v>1</v>
      </c>
      <c r="AV370" s="104" t="s">
        <v>522</v>
      </c>
      <c r="AW370" s="94">
        <v>178.42169999999999</v>
      </c>
      <c r="AX370" s="94">
        <v>296.2987</v>
      </c>
      <c r="AY370" s="94">
        <v>509.41120000000001</v>
      </c>
      <c r="AZ370" s="94">
        <v>705.2269</v>
      </c>
      <c r="BA370" s="94">
        <v>560.25459999999998</v>
      </c>
      <c r="BB370" s="106">
        <v>0</v>
      </c>
      <c r="BC370" s="94">
        <v>0.89620820000000001</v>
      </c>
      <c r="BD370" s="94">
        <v>3.523717</v>
      </c>
      <c r="BE370" s="94">
        <v>8.2568509999999993</v>
      </c>
      <c r="BF370" s="95">
        <v>41.70946</v>
      </c>
      <c r="BG370" s="94">
        <v>11.46415</v>
      </c>
      <c r="BH370" s="94">
        <v>17.442540000000001</v>
      </c>
      <c r="BI370" s="94">
        <v>32.144979999999997</v>
      </c>
      <c r="BJ370" s="94">
        <v>39.271500000000003</v>
      </c>
      <c r="BK370" s="94">
        <v>200.8989</v>
      </c>
      <c r="BL370" s="106">
        <v>4.7363270000000002</v>
      </c>
      <c r="BM370" s="94">
        <v>11.39589</v>
      </c>
      <c r="BN370" s="94">
        <v>18.798190000000002</v>
      </c>
      <c r="BO370" s="94">
        <v>55.518540000000002</v>
      </c>
      <c r="BP370" s="95">
        <v>327.18459999999999</v>
      </c>
      <c r="BQ370" s="2"/>
      <c r="BR370" s="2"/>
      <c r="BS370" s="2"/>
    </row>
    <row r="371" spans="1:71" x14ac:dyDescent="0.35">
      <c r="A371" s="2"/>
      <c r="B371" s="2"/>
      <c r="C371" s="42" t="s">
        <v>139</v>
      </c>
      <c r="D371" s="109">
        <f t="shared" si="430"/>
        <v>0</v>
      </c>
      <c r="E371" s="109">
        <f t="shared" si="410"/>
        <v>0</v>
      </c>
      <c r="F371" s="109">
        <f t="shared" si="411"/>
        <v>0</v>
      </c>
      <c r="G371" s="109">
        <f t="shared" si="412"/>
        <v>0</v>
      </c>
      <c r="H371" s="109">
        <f t="shared" si="413"/>
        <v>0</v>
      </c>
      <c r="I371" s="110">
        <f t="shared" si="414"/>
        <v>0</v>
      </c>
      <c r="J371" s="109">
        <f t="shared" si="415"/>
        <v>0</v>
      </c>
      <c r="K371" s="109">
        <f t="shared" si="416"/>
        <v>0</v>
      </c>
      <c r="L371" s="109">
        <f t="shared" si="417"/>
        <v>0</v>
      </c>
      <c r="M371" s="111">
        <f t="shared" si="418"/>
        <v>0</v>
      </c>
      <c r="N371" s="109">
        <f t="shared" si="419"/>
        <v>0</v>
      </c>
      <c r="O371" s="109">
        <f t="shared" si="420"/>
        <v>0</v>
      </c>
      <c r="P371" s="109">
        <f t="shared" si="421"/>
        <v>0</v>
      </c>
      <c r="Q371" s="109">
        <f t="shared" si="422"/>
        <v>0</v>
      </c>
      <c r="R371" s="109">
        <f t="shared" si="423"/>
        <v>0</v>
      </c>
      <c r="S371" s="110">
        <f t="shared" si="424"/>
        <v>0</v>
      </c>
      <c r="T371" s="109">
        <f t="shared" si="425"/>
        <v>0</v>
      </c>
      <c r="U371" s="109">
        <f t="shared" si="426"/>
        <v>0</v>
      </c>
      <c r="V371" s="109">
        <f t="shared" si="427"/>
        <v>0</v>
      </c>
      <c r="W371" s="111">
        <f t="shared" si="428"/>
        <v>0</v>
      </c>
      <c r="X371" s="115">
        <f t="shared" si="431"/>
        <v>0</v>
      </c>
      <c r="Y371" s="38" t="s">
        <v>523</v>
      </c>
      <c r="Z371" s="42" t="s">
        <v>139</v>
      </c>
      <c r="AA371" s="67">
        <f t="shared" ref="AA371:AT371" si="463">(SUMIF($AV$339:$AV$442,$Y371,AW$339:AW$442)*AA$337+IF($J149,SUMIF($AV$229:$AV$332,$Y261,AW$229:AW$332)*AA$227*(1-$D149/$J149),0))*$AU371</f>
        <v>0</v>
      </c>
      <c r="AB371" s="67">
        <f t="shared" si="463"/>
        <v>0</v>
      </c>
      <c r="AC371" s="67">
        <f t="shared" si="463"/>
        <v>0</v>
      </c>
      <c r="AD371" s="67">
        <f t="shared" si="463"/>
        <v>0</v>
      </c>
      <c r="AE371" s="67">
        <f t="shared" si="463"/>
        <v>0</v>
      </c>
      <c r="AF371" s="76">
        <f t="shared" si="463"/>
        <v>0</v>
      </c>
      <c r="AG371" s="67">
        <f t="shared" si="463"/>
        <v>0</v>
      </c>
      <c r="AH371" s="67">
        <f t="shared" si="463"/>
        <v>0</v>
      </c>
      <c r="AI371" s="67">
        <f t="shared" si="463"/>
        <v>0</v>
      </c>
      <c r="AJ371" s="68">
        <f t="shared" si="463"/>
        <v>0</v>
      </c>
      <c r="AK371" s="67">
        <f t="shared" si="463"/>
        <v>0</v>
      </c>
      <c r="AL371" s="67">
        <f t="shared" si="463"/>
        <v>0</v>
      </c>
      <c r="AM371" s="67">
        <f t="shared" si="463"/>
        <v>0</v>
      </c>
      <c r="AN371" s="67">
        <f t="shared" si="463"/>
        <v>0</v>
      </c>
      <c r="AO371" s="67">
        <f t="shared" si="463"/>
        <v>0</v>
      </c>
      <c r="AP371" s="76">
        <f t="shared" si="463"/>
        <v>0</v>
      </c>
      <c r="AQ371" s="67">
        <f t="shared" si="463"/>
        <v>0</v>
      </c>
      <c r="AR371" s="67">
        <f t="shared" si="463"/>
        <v>0</v>
      </c>
      <c r="AS371" s="67">
        <f t="shared" si="463"/>
        <v>0</v>
      </c>
      <c r="AT371" s="68">
        <f t="shared" si="463"/>
        <v>0</v>
      </c>
      <c r="AU371" s="216">
        <v>1</v>
      </c>
      <c r="AV371" s="104" t="s">
        <v>523</v>
      </c>
      <c r="AW371" s="94"/>
      <c r="AX371" s="94"/>
      <c r="AY371" s="94"/>
      <c r="AZ371" s="94"/>
      <c r="BA371" s="94"/>
      <c r="BB371" s="106"/>
      <c r="BC371" s="94"/>
      <c r="BD371" s="94"/>
      <c r="BE371" s="94"/>
      <c r="BF371" s="95"/>
      <c r="BG371" s="94"/>
      <c r="BH371" s="94"/>
      <c r="BI371" s="94"/>
      <c r="BJ371" s="94"/>
      <c r="BK371" s="94"/>
      <c r="BL371" s="106"/>
      <c r="BM371" s="94"/>
      <c r="BN371" s="94"/>
      <c r="BO371" s="94"/>
      <c r="BP371" s="95"/>
      <c r="BQ371" s="2"/>
      <c r="BR371" s="2"/>
      <c r="BS371" s="2"/>
    </row>
    <row r="372" spans="1:71" x14ac:dyDescent="0.35">
      <c r="A372" s="2"/>
      <c r="B372" s="2"/>
      <c r="C372" s="42" t="s">
        <v>141</v>
      </c>
      <c r="D372" s="109">
        <f t="shared" si="430"/>
        <v>5.0403216339452456E-3</v>
      </c>
      <c r="E372" s="109">
        <f t="shared" si="410"/>
        <v>1.399656267082598E-2</v>
      </c>
      <c r="F372" s="109">
        <f t="shared" si="411"/>
        <v>2.9960114159540377E-2</v>
      </c>
      <c r="G372" s="109">
        <f t="shared" si="412"/>
        <v>6.1543443708235578E-2</v>
      </c>
      <c r="H372" s="109">
        <f t="shared" si="413"/>
        <v>9.2651419842470148E-2</v>
      </c>
      <c r="I372" s="110">
        <f t="shared" si="414"/>
        <v>3.01362361494546E-4</v>
      </c>
      <c r="J372" s="109">
        <f t="shared" si="415"/>
        <v>2.1847863283946771E-4</v>
      </c>
      <c r="K372" s="109">
        <f t="shared" si="416"/>
        <v>1.4645822228139063E-3</v>
      </c>
      <c r="L372" s="109">
        <f t="shared" si="417"/>
        <v>3.6214368066719667E-3</v>
      </c>
      <c r="M372" s="111">
        <f t="shared" si="418"/>
        <v>2.022767601450701E-2</v>
      </c>
      <c r="N372" s="109">
        <f t="shared" si="419"/>
        <v>2.8974481652554113E-3</v>
      </c>
      <c r="O372" s="109">
        <f t="shared" si="420"/>
        <v>8.0240036921945534E-3</v>
      </c>
      <c r="P372" s="109">
        <f t="shared" si="421"/>
        <v>1.1628137249927109E-2</v>
      </c>
      <c r="Q372" s="109">
        <f t="shared" si="422"/>
        <v>3.0042630421775976E-2</v>
      </c>
      <c r="R372" s="109">
        <f t="shared" si="423"/>
        <v>0.11010462208858285</v>
      </c>
      <c r="S372" s="110">
        <f t="shared" si="424"/>
        <v>1.0006971979660457E-3</v>
      </c>
      <c r="T372" s="109">
        <f t="shared" si="425"/>
        <v>1.1398904495442798E-2</v>
      </c>
      <c r="U372" s="109">
        <f t="shared" si="426"/>
        <v>1.9321239068203946E-2</v>
      </c>
      <c r="V372" s="109">
        <f t="shared" si="427"/>
        <v>7.402592606125924E-2</v>
      </c>
      <c r="W372" s="111">
        <f t="shared" si="428"/>
        <v>0.50253099350604802</v>
      </c>
      <c r="X372" s="115">
        <f t="shared" si="431"/>
        <v>1</v>
      </c>
      <c r="Y372" s="38" t="s">
        <v>524</v>
      </c>
      <c r="Z372" s="42" t="s">
        <v>141</v>
      </c>
      <c r="AA372" s="67">
        <f t="shared" ref="AA372:AT372" si="464">(SUMIF($AV$339:$AV$442,$Y372,AW$339:AW$442)*AA$337+IF($J150,SUMIF($AV$229:$AV$332,$Y262,AW$229:AW$332)*AA$227*(1-$D150/$J150),0))*$AU372</f>
        <v>246.3468</v>
      </c>
      <c r="AB372" s="67">
        <f t="shared" si="464"/>
        <v>684.08500000000004</v>
      </c>
      <c r="AC372" s="67">
        <f t="shared" si="464"/>
        <v>1464.307</v>
      </c>
      <c r="AD372" s="67">
        <f t="shared" si="464"/>
        <v>3007.9490000000001</v>
      </c>
      <c r="AE372" s="67">
        <f t="shared" si="464"/>
        <v>4528.3580000000002</v>
      </c>
      <c r="AF372" s="76">
        <f t="shared" si="464"/>
        <v>14.729150000000001</v>
      </c>
      <c r="AG372" s="67">
        <f t="shared" si="464"/>
        <v>10.678190000000001</v>
      </c>
      <c r="AH372" s="67">
        <f t="shared" si="464"/>
        <v>71.581770000000006</v>
      </c>
      <c r="AI372" s="67">
        <f t="shared" si="464"/>
        <v>176.99850000000001</v>
      </c>
      <c r="AJ372" s="68">
        <f t="shared" si="464"/>
        <v>988.63199999999995</v>
      </c>
      <c r="AK372" s="67">
        <f t="shared" si="464"/>
        <v>141.61340000000001</v>
      </c>
      <c r="AL372" s="67">
        <f t="shared" si="464"/>
        <v>392.17489999999998</v>
      </c>
      <c r="AM372" s="67">
        <f t="shared" si="464"/>
        <v>568.32770000000005</v>
      </c>
      <c r="AN372" s="67">
        <f t="shared" si="464"/>
        <v>1468.34</v>
      </c>
      <c r="AO372" s="67">
        <f t="shared" si="464"/>
        <v>5381.3869999999997</v>
      </c>
      <c r="AP372" s="76">
        <f t="shared" si="464"/>
        <v>48.909289999999999</v>
      </c>
      <c r="AQ372" s="67">
        <f t="shared" si="464"/>
        <v>557.12390000000005</v>
      </c>
      <c r="AR372" s="67">
        <f t="shared" si="464"/>
        <v>944.3297</v>
      </c>
      <c r="AS372" s="67">
        <f t="shared" si="464"/>
        <v>3618.0329999999999</v>
      </c>
      <c r="AT372" s="68">
        <f t="shared" si="464"/>
        <v>24561.31</v>
      </c>
      <c r="AU372" s="216">
        <v>1</v>
      </c>
      <c r="AV372" s="104" t="s">
        <v>524</v>
      </c>
      <c r="AW372" s="94">
        <v>246.3468</v>
      </c>
      <c r="AX372" s="94">
        <v>684.08500000000004</v>
      </c>
      <c r="AY372" s="94">
        <v>1464.307</v>
      </c>
      <c r="AZ372" s="94">
        <v>3007.9490000000001</v>
      </c>
      <c r="BA372" s="94">
        <v>4528.3580000000002</v>
      </c>
      <c r="BB372" s="106">
        <v>14.729150000000001</v>
      </c>
      <c r="BC372" s="94">
        <v>10.678190000000001</v>
      </c>
      <c r="BD372" s="94">
        <v>71.581770000000006</v>
      </c>
      <c r="BE372" s="94">
        <v>176.99850000000001</v>
      </c>
      <c r="BF372" s="95">
        <v>988.63199999999995</v>
      </c>
      <c r="BG372" s="94">
        <v>141.61340000000001</v>
      </c>
      <c r="BH372" s="94">
        <v>392.17489999999998</v>
      </c>
      <c r="BI372" s="94">
        <v>568.32770000000005</v>
      </c>
      <c r="BJ372" s="94">
        <v>1468.34</v>
      </c>
      <c r="BK372" s="94">
        <v>5381.3869999999997</v>
      </c>
      <c r="BL372" s="106">
        <v>48.909289999999999</v>
      </c>
      <c r="BM372" s="94">
        <v>557.12390000000005</v>
      </c>
      <c r="BN372" s="94">
        <v>944.3297</v>
      </c>
      <c r="BO372" s="94">
        <v>3618.0329999999999</v>
      </c>
      <c r="BP372" s="95">
        <v>24561.31</v>
      </c>
      <c r="BQ372" s="2"/>
      <c r="BR372" s="2"/>
      <c r="BS372" s="2"/>
    </row>
    <row r="373" spans="1:71" x14ac:dyDescent="0.35">
      <c r="A373" s="2"/>
      <c r="B373" s="2"/>
      <c r="C373" s="42" t="s">
        <v>143</v>
      </c>
      <c r="D373" s="109">
        <f t="shared" si="430"/>
        <v>0</v>
      </c>
      <c r="E373" s="109">
        <f t="shared" si="410"/>
        <v>0</v>
      </c>
      <c r="F373" s="109">
        <f t="shared" si="411"/>
        <v>0</v>
      </c>
      <c r="G373" s="109">
        <f t="shared" si="412"/>
        <v>0</v>
      </c>
      <c r="H373" s="109">
        <f t="shared" si="413"/>
        <v>0</v>
      </c>
      <c r="I373" s="110">
        <f t="shared" si="414"/>
        <v>0</v>
      </c>
      <c r="J373" s="109">
        <f t="shared" si="415"/>
        <v>0</v>
      </c>
      <c r="K373" s="109">
        <f t="shared" si="416"/>
        <v>0</v>
      </c>
      <c r="L373" s="109">
        <f t="shared" si="417"/>
        <v>0</v>
      </c>
      <c r="M373" s="111">
        <f t="shared" si="418"/>
        <v>0</v>
      </c>
      <c r="N373" s="109">
        <f t="shared" si="419"/>
        <v>0</v>
      </c>
      <c r="O373" s="109">
        <f t="shared" si="420"/>
        <v>0</v>
      </c>
      <c r="P373" s="109">
        <f t="shared" si="421"/>
        <v>0</v>
      </c>
      <c r="Q373" s="109">
        <f t="shared" si="422"/>
        <v>0</v>
      </c>
      <c r="R373" s="109">
        <f t="shared" si="423"/>
        <v>0</v>
      </c>
      <c r="S373" s="110">
        <f t="shared" si="424"/>
        <v>0</v>
      </c>
      <c r="T373" s="109">
        <f t="shared" si="425"/>
        <v>0</v>
      </c>
      <c r="U373" s="109">
        <f t="shared" si="426"/>
        <v>0</v>
      </c>
      <c r="V373" s="109">
        <f t="shared" si="427"/>
        <v>0</v>
      </c>
      <c r="W373" s="111">
        <f t="shared" si="428"/>
        <v>0</v>
      </c>
      <c r="X373" s="115">
        <f t="shared" si="431"/>
        <v>0</v>
      </c>
      <c r="Y373" s="38" t="s">
        <v>525</v>
      </c>
      <c r="Z373" s="42" t="s">
        <v>143</v>
      </c>
      <c r="AA373" s="67">
        <f t="shared" ref="AA373:AT373" si="465">(SUMIF($AV$339:$AV$442,$Y373,AW$339:AW$442)*AA$337+IF($J151,SUMIF($AV$229:$AV$332,$Y263,AW$229:AW$332)*AA$227*(1-$D151/$J151),0))*$AU373</f>
        <v>0</v>
      </c>
      <c r="AB373" s="67">
        <f t="shared" si="465"/>
        <v>0</v>
      </c>
      <c r="AC373" s="67">
        <f t="shared" si="465"/>
        <v>0</v>
      </c>
      <c r="AD373" s="67">
        <f t="shared" si="465"/>
        <v>0</v>
      </c>
      <c r="AE373" s="67">
        <f t="shared" si="465"/>
        <v>0</v>
      </c>
      <c r="AF373" s="76">
        <f t="shared" si="465"/>
        <v>0</v>
      </c>
      <c r="AG373" s="67">
        <f t="shared" si="465"/>
        <v>0</v>
      </c>
      <c r="AH373" s="67">
        <f t="shared" si="465"/>
        <v>0</v>
      </c>
      <c r="AI373" s="67">
        <f t="shared" si="465"/>
        <v>0</v>
      </c>
      <c r="AJ373" s="68">
        <f t="shared" si="465"/>
        <v>0</v>
      </c>
      <c r="AK373" s="67">
        <f t="shared" si="465"/>
        <v>0</v>
      </c>
      <c r="AL373" s="67">
        <f t="shared" si="465"/>
        <v>0</v>
      </c>
      <c r="AM373" s="67">
        <f t="shared" si="465"/>
        <v>0</v>
      </c>
      <c r="AN373" s="67">
        <f t="shared" si="465"/>
        <v>0</v>
      </c>
      <c r="AO373" s="67">
        <f t="shared" si="465"/>
        <v>0</v>
      </c>
      <c r="AP373" s="76">
        <f t="shared" si="465"/>
        <v>0</v>
      </c>
      <c r="AQ373" s="67">
        <f t="shared" si="465"/>
        <v>0</v>
      </c>
      <c r="AR373" s="67">
        <f t="shared" si="465"/>
        <v>0</v>
      </c>
      <c r="AS373" s="67">
        <f t="shared" si="465"/>
        <v>0</v>
      </c>
      <c r="AT373" s="68">
        <f t="shared" si="465"/>
        <v>0</v>
      </c>
      <c r="AU373" s="216">
        <v>1</v>
      </c>
      <c r="AV373" s="104" t="s">
        <v>525</v>
      </c>
      <c r="AW373" s="94">
        <v>0</v>
      </c>
      <c r="AX373" s="94">
        <v>0</v>
      </c>
      <c r="AY373" s="94">
        <v>0</v>
      </c>
      <c r="AZ373" s="94">
        <v>0</v>
      </c>
      <c r="BA373" s="94">
        <v>0</v>
      </c>
      <c r="BB373" s="106">
        <v>0</v>
      </c>
      <c r="BC373" s="94">
        <v>0</v>
      </c>
      <c r="BD373" s="94">
        <v>0</v>
      </c>
      <c r="BE373" s="94">
        <v>0</v>
      </c>
      <c r="BF373" s="95">
        <v>0</v>
      </c>
      <c r="BG373" s="94">
        <v>0</v>
      </c>
      <c r="BH373" s="94">
        <v>0</v>
      </c>
      <c r="BI373" s="94">
        <v>0</v>
      </c>
      <c r="BJ373" s="94">
        <v>0</v>
      </c>
      <c r="BK373" s="94">
        <v>0</v>
      </c>
      <c r="BL373" s="106">
        <v>0</v>
      </c>
      <c r="BM373" s="94">
        <v>0</v>
      </c>
      <c r="BN373" s="94">
        <v>0</v>
      </c>
      <c r="BO373" s="94">
        <v>0</v>
      </c>
      <c r="BP373" s="95">
        <v>0</v>
      </c>
      <c r="BQ373" s="2"/>
      <c r="BR373" s="2"/>
      <c r="BS373" s="2"/>
    </row>
    <row r="374" spans="1:71" x14ac:dyDescent="0.35">
      <c r="A374" s="2"/>
      <c r="B374" s="2"/>
      <c r="C374" s="42" t="s">
        <v>145</v>
      </c>
      <c r="D374" s="109">
        <f t="shared" si="430"/>
        <v>0</v>
      </c>
      <c r="E374" s="109">
        <f t="shared" si="410"/>
        <v>0</v>
      </c>
      <c r="F374" s="109">
        <f t="shared" si="411"/>
        <v>0</v>
      </c>
      <c r="G374" s="109">
        <f t="shared" si="412"/>
        <v>0</v>
      </c>
      <c r="H374" s="109">
        <f t="shared" si="413"/>
        <v>0</v>
      </c>
      <c r="I374" s="110">
        <f t="shared" si="414"/>
        <v>0</v>
      </c>
      <c r="J374" s="109">
        <f t="shared" si="415"/>
        <v>0</v>
      </c>
      <c r="K374" s="109">
        <f t="shared" si="416"/>
        <v>0</v>
      </c>
      <c r="L374" s="109">
        <f t="shared" si="417"/>
        <v>0</v>
      </c>
      <c r="M374" s="111">
        <f t="shared" si="418"/>
        <v>0</v>
      </c>
      <c r="N374" s="109">
        <f t="shared" si="419"/>
        <v>0</v>
      </c>
      <c r="O374" s="109">
        <f t="shared" si="420"/>
        <v>0</v>
      </c>
      <c r="P374" s="109">
        <f t="shared" si="421"/>
        <v>0</v>
      </c>
      <c r="Q374" s="109">
        <f t="shared" si="422"/>
        <v>0</v>
      </c>
      <c r="R374" s="109">
        <f t="shared" si="423"/>
        <v>0</v>
      </c>
      <c r="S374" s="110">
        <f t="shared" si="424"/>
        <v>0</v>
      </c>
      <c r="T374" s="109">
        <f t="shared" si="425"/>
        <v>0</v>
      </c>
      <c r="U374" s="109">
        <f t="shared" si="426"/>
        <v>0</v>
      </c>
      <c r="V374" s="109">
        <f t="shared" si="427"/>
        <v>0</v>
      </c>
      <c r="W374" s="111">
        <f t="shared" si="428"/>
        <v>0</v>
      </c>
      <c r="X374" s="115">
        <f t="shared" si="431"/>
        <v>0</v>
      </c>
      <c r="Y374" s="38" t="s">
        <v>485</v>
      </c>
      <c r="Z374" s="42" t="s">
        <v>145</v>
      </c>
      <c r="AA374" s="67">
        <f t="shared" ref="AA374:AT374" si="466">(SUMIF($AV$339:$AV$442,$Y374,AW$339:AW$442)*AA$337+IF($J152,SUMIF($AV$229:$AV$332,$Y264,AW$229:AW$332)*AA$227*(1-$D152/$J152),0))*$AU374</f>
        <v>0</v>
      </c>
      <c r="AB374" s="67">
        <f t="shared" si="466"/>
        <v>0</v>
      </c>
      <c r="AC374" s="67">
        <f t="shared" si="466"/>
        <v>0</v>
      </c>
      <c r="AD374" s="67">
        <f t="shared" si="466"/>
        <v>0</v>
      </c>
      <c r="AE374" s="67">
        <f t="shared" si="466"/>
        <v>0</v>
      </c>
      <c r="AF374" s="76">
        <f t="shared" si="466"/>
        <v>0</v>
      </c>
      <c r="AG374" s="67">
        <f t="shared" si="466"/>
        <v>0</v>
      </c>
      <c r="AH374" s="67">
        <f t="shared" si="466"/>
        <v>0</v>
      </c>
      <c r="AI374" s="67">
        <f t="shared" si="466"/>
        <v>0</v>
      </c>
      <c r="AJ374" s="68">
        <f t="shared" si="466"/>
        <v>0</v>
      </c>
      <c r="AK374" s="67">
        <f t="shared" si="466"/>
        <v>0</v>
      </c>
      <c r="AL374" s="67">
        <f t="shared" si="466"/>
        <v>0</v>
      </c>
      <c r="AM374" s="67">
        <f t="shared" si="466"/>
        <v>0</v>
      </c>
      <c r="AN374" s="67">
        <f t="shared" si="466"/>
        <v>0</v>
      </c>
      <c r="AO374" s="67">
        <f t="shared" si="466"/>
        <v>0</v>
      </c>
      <c r="AP374" s="76">
        <f t="shared" si="466"/>
        <v>0</v>
      </c>
      <c r="AQ374" s="67">
        <f t="shared" si="466"/>
        <v>0</v>
      </c>
      <c r="AR374" s="67">
        <f t="shared" si="466"/>
        <v>0</v>
      </c>
      <c r="AS374" s="67">
        <f t="shared" si="466"/>
        <v>0</v>
      </c>
      <c r="AT374" s="68">
        <f t="shared" si="466"/>
        <v>0</v>
      </c>
      <c r="AU374" s="216">
        <v>1</v>
      </c>
      <c r="AV374" s="104" t="s">
        <v>485</v>
      </c>
      <c r="AW374" s="94"/>
      <c r="AX374" s="94"/>
      <c r="AY374" s="94"/>
      <c r="AZ374" s="94"/>
      <c r="BA374" s="94"/>
      <c r="BB374" s="106"/>
      <c r="BC374" s="94"/>
      <c r="BD374" s="94"/>
      <c r="BE374" s="94"/>
      <c r="BF374" s="95"/>
      <c r="BG374" s="94"/>
      <c r="BH374" s="94"/>
      <c r="BI374" s="94"/>
      <c r="BJ374" s="94"/>
      <c r="BK374" s="94"/>
      <c r="BL374" s="106"/>
      <c r="BM374" s="94"/>
      <c r="BN374" s="94"/>
      <c r="BO374" s="94"/>
      <c r="BP374" s="95"/>
      <c r="BQ374" s="2"/>
      <c r="BR374" s="2"/>
      <c r="BS374" s="2"/>
    </row>
    <row r="375" spans="1:71" x14ac:dyDescent="0.35">
      <c r="A375" s="2"/>
      <c r="B375" s="2"/>
      <c r="C375" s="42" t="s">
        <v>147</v>
      </c>
      <c r="D375" s="109">
        <f t="shared" si="430"/>
        <v>4.1130767269357875E-2</v>
      </c>
      <c r="E375" s="109">
        <f t="shared" si="410"/>
        <v>5.1212729131032274E-2</v>
      </c>
      <c r="F375" s="109">
        <f t="shared" si="411"/>
        <v>8.142897548367839E-2</v>
      </c>
      <c r="G375" s="109">
        <f t="shared" si="412"/>
        <v>0.14903772587377154</v>
      </c>
      <c r="H375" s="109">
        <f t="shared" si="413"/>
        <v>0.1676409790825385</v>
      </c>
      <c r="I375" s="110">
        <f t="shared" si="414"/>
        <v>9.0531060952135731E-4</v>
      </c>
      <c r="J375" s="109">
        <f t="shared" si="415"/>
        <v>0</v>
      </c>
      <c r="K375" s="109">
        <f t="shared" si="416"/>
        <v>3.653361036793976E-4</v>
      </c>
      <c r="L375" s="109">
        <f t="shared" si="417"/>
        <v>2.7570607779926139E-3</v>
      </c>
      <c r="M375" s="111">
        <f t="shared" si="418"/>
        <v>1.5323441003569332E-2</v>
      </c>
      <c r="N375" s="109">
        <f t="shared" si="419"/>
        <v>1.292731613119357E-3</v>
      </c>
      <c r="O375" s="109">
        <f t="shared" si="420"/>
        <v>4.6573996645124204E-3</v>
      </c>
      <c r="P375" s="109">
        <f t="shared" si="421"/>
        <v>1.0730624046615851E-2</v>
      </c>
      <c r="Q375" s="109">
        <f t="shared" si="422"/>
        <v>3.293391837253435E-2</v>
      </c>
      <c r="R375" s="109">
        <f t="shared" si="423"/>
        <v>0.15891799167563858</v>
      </c>
      <c r="S375" s="110">
        <f t="shared" si="424"/>
        <v>7.8484073361792799E-5</v>
      </c>
      <c r="T375" s="109">
        <f t="shared" si="425"/>
        <v>1.7902228781248707E-3</v>
      </c>
      <c r="U375" s="109">
        <f t="shared" si="426"/>
        <v>4.4332285913318984E-4</v>
      </c>
      <c r="V375" s="109">
        <f t="shared" si="427"/>
        <v>1.1917234687597112E-2</v>
      </c>
      <c r="W375" s="111">
        <f t="shared" si="428"/>
        <v>0.26743574479422105</v>
      </c>
      <c r="X375" s="115">
        <f t="shared" si="431"/>
        <v>0.99999999999999978</v>
      </c>
      <c r="Y375" s="38" t="s">
        <v>484</v>
      </c>
      <c r="Z375" s="42" t="s">
        <v>147</v>
      </c>
      <c r="AA375" s="67">
        <f t="shared" ref="AA375:AT375" si="467">(SUMIF($AV$339:$AV$442,$Y375,AW$339:AW$442)*AA$337+IF($J153,SUMIF($AV$229:$AV$332,$Y265,AW$229:AW$332)*AA$227*(1-$D153/$J153),0))*$AU375</f>
        <v>683.31020000000001</v>
      </c>
      <c r="AB375" s="67">
        <f t="shared" si="467"/>
        <v>850.803</v>
      </c>
      <c r="AC375" s="67">
        <f t="shared" si="467"/>
        <v>1352.789</v>
      </c>
      <c r="AD375" s="67">
        <f t="shared" si="467"/>
        <v>2475.9810000000002</v>
      </c>
      <c r="AE375" s="67">
        <f t="shared" si="467"/>
        <v>2785.0390000000002</v>
      </c>
      <c r="AF375" s="76">
        <f t="shared" si="467"/>
        <v>15.04003</v>
      </c>
      <c r="AG375" s="67">
        <f t="shared" si="467"/>
        <v>0</v>
      </c>
      <c r="AH375" s="67">
        <f t="shared" si="467"/>
        <v>6.0693710000000003</v>
      </c>
      <c r="AI375" s="67">
        <f t="shared" si="467"/>
        <v>45.803370000000001</v>
      </c>
      <c r="AJ375" s="68">
        <f t="shared" si="467"/>
        <v>254.5701</v>
      </c>
      <c r="AK375" s="67">
        <f t="shared" si="467"/>
        <v>21.476299999999998</v>
      </c>
      <c r="AL375" s="67">
        <f t="shared" si="467"/>
        <v>77.373919999999998</v>
      </c>
      <c r="AM375" s="67">
        <f t="shared" si="467"/>
        <v>178.26910000000001</v>
      </c>
      <c r="AN375" s="67">
        <f t="shared" si="467"/>
        <v>547.13499999999999</v>
      </c>
      <c r="AO375" s="67">
        <f t="shared" si="467"/>
        <v>2640.123</v>
      </c>
      <c r="AP375" s="76">
        <f t="shared" si="467"/>
        <v>1.3038650000000001</v>
      </c>
      <c r="AQ375" s="67">
        <f t="shared" si="467"/>
        <v>29.74118</v>
      </c>
      <c r="AR375" s="67">
        <f t="shared" si="467"/>
        <v>7.3649740000000001</v>
      </c>
      <c r="AS375" s="67">
        <f t="shared" si="467"/>
        <v>197.98240000000001</v>
      </c>
      <c r="AT375" s="68">
        <f t="shared" si="467"/>
        <v>4442.9409999999998</v>
      </c>
      <c r="AU375" s="216">
        <v>1</v>
      </c>
      <c r="AV375" s="104" t="s">
        <v>484</v>
      </c>
      <c r="AW375" s="94">
        <v>683.31020000000001</v>
      </c>
      <c r="AX375" s="94">
        <v>850.803</v>
      </c>
      <c r="AY375" s="94">
        <v>1352.789</v>
      </c>
      <c r="AZ375" s="94">
        <v>2475.9810000000002</v>
      </c>
      <c r="BA375" s="94">
        <v>2785.0390000000002</v>
      </c>
      <c r="BB375" s="106">
        <v>15.04003</v>
      </c>
      <c r="BC375" s="94">
        <v>0</v>
      </c>
      <c r="BD375" s="94">
        <v>6.0693710000000003</v>
      </c>
      <c r="BE375" s="94">
        <v>45.803370000000001</v>
      </c>
      <c r="BF375" s="95">
        <v>254.5701</v>
      </c>
      <c r="BG375" s="94">
        <v>21.476299999999998</v>
      </c>
      <c r="BH375" s="94">
        <v>77.373919999999998</v>
      </c>
      <c r="BI375" s="94">
        <v>178.26910000000001</v>
      </c>
      <c r="BJ375" s="94">
        <v>547.13499999999999</v>
      </c>
      <c r="BK375" s="94">
        <v>2640.123</v>
      </c>
      <c r="BL375" s="106">
        <v>1.3038650000000001</v>
      </c>
      <c r="BM375" s="94">
        <v>29.74118</v>
      </c>
      <c r="BN375" s="94">
        <v>7.3649740000000001</v>
      </c>
      <c r="BO375" s="94">
        <v>197.98240000000001</v>
      </c>
      <c r="BP375" s="95">
        <v>4442.9409999999998</v>
      </c>
      <c r="BQ375" s="2"/>
      <c r="BR375" s="2"/>
      <c r="BS375" s="2"/>
    </row>
    <row r="376" spans="1:71" x14ac:dyDescent="0.35">
      <c r="A376" s="2"/>
      <c r="B376" s="2"/>
      <c r="C376" s="42" t="s">
        <v>149</v>
      </c>
      <c r="D376" s="109">
        <f t="shared" si="430"/>
        <v>0</v>
      </c>
      <c r="E376" s="109">
        <f t="shared" si="410"/>
        <v>0</v>
      </c>
      <c r="F376" s="109">
        <f t="shared" si="411"/>
        <v>0</v>
      </c>
      <c r="G376" s="109">
        <f t="shared" si="412"/>
        <v>0</v>
      </c>
      <c r="H376" s="109">
        <f t="shared" si="413"/>
        <v>0</v>
      </c>
      <c r="I376" s="110">
        <f t="shared" si="414"/>
        <v>0</v>
      </c>
      <c r="J376" s="109">
        <f t="shared" si="415"/>
        <v>0</v>
      </c>
      <c r="K376" s="109">
        <f t="shared" si="416"/>
        <v>0</v>
      </c>
      <c r="L376" s="109">
        <f t="shared" si="417"/>
        <v>0</v>
      </c>
      <c r="M376" s="111">
        <f t="shared" si="418"/>
        <v>0</v>
      </c>
      <c r="N376" s="109">
        <f t="shared" si="419"/>
        <v>0</v>
      </c>
      <c r="O376" s="109">
        <f t="shared" si="420"/>
        <v>0</v>
      </c>
      <c r="P376" s="109">
        <f t="shared" si="421"/>
        <v>0</v>
      </c>
      <c r="Q376" s="109">
        <f t="shared" si="422"/>
        <v>0</v>
      </c>
      <c r="R376" s="109">
        <f t="shared" si="423"/>
        <v>0</v>
      </c>
      <c r="S376" s="110">
        <f t="shared" si="424"/>
        <v>0</v>
      </c>
      <c r="T376" s="109">
        <f t="shared" si="425"/>
        <v>0</v>
      </c>
      <c r="U376" s="109">
        <f t="shared" si="426"/>
        <v>0</v>
      </c>
      <c r="V376" s="109">
        <f t="shared" si="427"/>
        <v>0</v>
      </c>
      <c r="W376" s="111">
        <f t="shared" si="428"/>
        <v>0</v>
      </c>
      <c r="X376" s="115">
        <f t="shared" si="431"/>
        <v>0</v>
      </c>
      <c r="Y376" s="38" t="s">
        <v>448</v>
      </c>
      <c r="Z376" s="42" t="s">
        <v>149</v>
      </c>
      <c r="AA376" s="67">
        <f t="shared" ref="AA376:AT376" si="468">(SUMIF($AV$339:$AV$442,$Y376,AW$339:AW$442)*AA$337+IF($J154,SUMIF($AV$229:$AV$332,$Y266,AW$229:AW$332)*AA$227*(1-$D154/$J154),0))*$AU376</f>
        <v>0</v>
      </c>
      <c r="AB376" s="67">
        <f t="shared" si="468"/>
        <v>0</v>
      </c>
      <c r="AC376" s="67">
        <f t="shared" si="468"/>
        <v>0</v>
      </c>
      <c r="AD376" s="67">
        <f t="shared" si="468"/>
        <v>0</v>
      </c>
      <c r="AE376" s="67">
        <f t="shared" si="468"/>
        <v>0</v>
      </c>
      <c r="AF376" s="76">
        <f t="shared" si="468"/>
        <v>0</v>
      </c>
      <c r="AG376" s="67">
        <f t="shared" si="468"/>
        <v>0</v>
      </c>
      <c r="AH376" s="67">
        <f t="shared" si="468"/>
        <v>0</v>
      </c>
      <c r="AI376" s="67">
        <f t="shared" si="468"/>
        <v>0</v>
      </c>
      <c r="AJ376" s="68">
        <f t="shared" si="468"/>
        <v>0</v>
      </c>
      <c r="AK376" s="67">
        <f t="shared" si="468"/>
        <v>0</v>
      </c>
      <c r="AL376" s="67">
        <f t="shared" si="468"/>
        <v>0</v>
      </c>
      <c r="AM376" s="67">
        <f t="shared" si="468"/>
        <v>0</v>
      </c>
      <c r="AN376" s="67">
        <f t="shared" si="468"/>
        <v>0</v>
      </c>
      <c r="AO376" s="67">
        <f t="shared" si="468"/>
        <v>0</v>
      </c>
      <c r="AP376" s="76">
        <f t="shared" si="468"/>
        <v>0</v>
      </c>
      <c r="AQ376" s="67">
        <f t="shared" si="468"/>
        <v>0</v>
      </c>
      <c r="AR376" s="67">
        <f t="shared" si="468"/>
        <v>0</v>
      </c>
      <c r="AS376" s="67">
        <f t="shared" si="468"/>
        <v>0</v>
      </c>
      <c r="AT376" s="68">
        <f t="shared" si="468"/>
        <v>0</v>
      </c>
      <c r="AU376" s="216">
        <v>1</v>
      </c>
      <c r="AV376" s="104" t="s">
        <v>448</v>
      </c>
      <c r="AW376" s="94"/>
      <c r="AX376" s="94"/>
      <c r="AY376" s="94"/>
      <c r="AZ376" s="94"/>
      <c r="BA376" s="94"/>
      <c r="BB376" s="106"/>
      <c r="BC376" s="94"/>
      <c r="BD376" s="94"/>
      <c r="BE376" s="94"/>
      <c r="BF376" s="95"/>
      <c r="BG376" s="94"/>
      <c r="BH376" s="94"/>
      <c r="BI376" s="94"/>
      <c r="BJ376" s="94"/>
      <c r="BK376" s="94"/>
      <c r="BL376" s="106"/>
      <c r="BM376" s="94"/>
      <c r="BN376" s="94"/>
      <c r="BO376" s="94"/>
      <c r="BP376" s="95"/>
      <c r="BQ376" s="2"/>
      <c r="BR376" s="2"/>
      <c r="BS376" s="2"/>
    </row>
    <row r="377" spans="1:71" x14ac:dyDescent="0.35">
      <c r="A377" s="2"/>
      <c r="B377" s="2"/>
      <c r="C377" s="42" t="s">
        <v>151</v>
      </c>
      <c r="D377" s="109">
        <f t="shared" si="430"/>
        <v>3.8540769425612964E-2</v>
      </c>
      <c r="E377" s="109">
        <f t="shared" si="410"/>
        <v>5.9524164639458865E-2</v>
      </c>
      <c r="F377" s="109">
        <f t="shared" si="411"/>
        <v>9.2392696965032037E-2</v>
      </c>
      <c r="G377" s="109">
        <f t="shared" si="412"/>
        <v>0.14358912181333655</v>
      </c>
      <c r="H377" s="109">
        <f t="shared" si="413"/>
        <v>0.18332913680060178</v>
      </c>
      <c r="I377" s="110">
        <f t="shared" si="414"/>
        <v>0</v>
      </c>
      <c r="J377" s="109">
        <f t="shared" si="415"/>
        <v>7.063207033816697E-5</v>
      </c>
      <c r="K377" s="109">
        <f t="shared" si="416"/>
        <v>1.9955169724044167E-3</v>
      </c>
      <c r="L377" s="109">
        <f t="shared" si="417"/>
        <v>2.554271542209708E-3</v>
      </c>
      <c r="M377" s="111">
        <f t="shared" si="418"/>
        <v>1.9631719709110391E-2</v>
      </c>
      <c r="N377" s="109">
        <f t="shared" si="419"/>
        <v>2.3727993830919961E-3</v>
      </c>
      <c r="O377" s="109">
        <f t="shared" si="420"/>
        <v>2.9491428878015208E-3</v>
      </c>
      <c r="P377" s="109">
        <f t="shared" si="421"/>
        <v>8.3244925938255505E-3</v>
      </c>
      <c r="Q377" s="109">
        <f t="shared" si="422"/>
        <v>1.4250287507360291E-2</v>
      </c>
      <c r="R377" s="109">
        <f t="shared" si="423"/>
        <v>0.10452980322402132</v>
      </c>
      <c r="S377" s="110">
        <f t="shared" si="424"/>
        <v>5.169052130995184E-4</v>
      </c>
      <c r="T377" s="109">
        <f t="shared" si="425"/>
        <v>3.1129413628985607E-3</v>
      </c>
      <c r="U377" s="109">
        <f t="shared" si="426"/>
        <v>4.6997789589370955E-3</v>
      </c>
      <c r="V377" s="109">
        <f t="shared" si="427"/>
        <v>1.6056136260934609E-2</v>
      </c>
      <c r="W377" s="111">
        <f t="shared" si="428"/>
        <v>0.30155968266992472</v>
      </c>
      <c r="X377" s="115">
        <f t="shared" si="431"/>
        <v>1</v>
      </c>
      <c r="Y377" s="38" t="s">
        <v>500</v>
      </c>
      <c r="Z377" s="42" t="s">
        <v>151</v>
      </c>
      <c r="AA377" s="67">
        <f t="shared" ref="AA377:AT377" si="469">(SUMIF($AV$339:$AV$442,$Y377,AW$339:AW$442)*AA$337+IF($J155,SUMIF($AV$229:$AV$332,$Y267,AW$229:AW$332)*AA$227*(1-$D155/$J155),0))*$AU377</f>
        <v>1.268789E-2</v>
      </c>
      <c r="AB377" s="67">
        <f t="shared" si="469"/>
        <v>1.9595769999999998E-2</v>
      </c>
      <c r="AC377" s="67">
        <f t="shared" si="469"/>
        <v>3.0416320000000004E-2</v>
      </c>
      <c r="AD377" s="67">
        <f t="shared" si="469"/>
        <v>4.727054E-2</v>
      </c>
      <c r="AE377" s="67">
        <f t="shared" si="469"/>
        <v>6.0353230000000001E-2</v>
      </c>
      <c r="AF377" s="76">
        <f t="shared" si="469"/>
        <v>0</v>
      </c>
      <c r="AG377" s="67">
        <f t="shared" si="469"/>
        <v>2.3252570000000003E-5</v>
      </c>
      <c r="AH377" s="67">
        <f t="shared" si="469"/>
        <v>6.5693810000000007E-4</v>
      </c>
      <c r="AI377" s="67">
        <f t="shared" si="469"/>
        <v>8.4088399999999997E-4</v>
      </c>
      <c r="AJ377" s="68">
        <f t="shared" si="469"/>
        <v>6.4628990000000002E-3</v>
      </c>
      <c r="AK377" s="67">
        <f t="shared" si="469"/>
        <v>7.811421E-4</v>
      </c>
      <c r="AL377" s="67">
        <f t="shared" si="469"/>
        <v>9.7087840000000003E-4</v>
      </c>
      <c r="AM377" s="67">
        <f t="shared" si="469"/>
        <v>2.7404810000000003E-3</v>
      </c>
      <c r="AN377" s="67">
        <f t="shared" si="469"/>
        <v>4.6912940000000004E-3</v>
      </c>
      <c r="AO377" s="67">
        <f t="shared" si="469"/>
        <v>3.4411940000000002E-2</v>
      </c>
      <c r="AP377" s="76">
        <f t="shared" si="469"/>
        <v>1.7016880000000003E-4</v>
      </c>
      <c r="AQ377" s="67">
        <f t="shared" si="469"/>
        <v>1.024802E-3</v>
      </c>
      <c r="AR377" s="67">
        <f t="shared" si="469"/>
        <v>1.5472000000000001E-3</v>
      </c>
      <c r="AS377" s="67">
        <f t="shared" si="469"/>
        <v>5.2857920000000001E-3</v>
      </c>
      <c r="AT377" s="68">
        <f t="shared" si="469"/>
        <v>9.9275550000000004E-2</v>
      </c>
      <c r="AU377" s="216">
        <v>1E-4</v>
      </c>
      <c r="AV377" s="104" t="s">
        <v>526</v>
      </c>
      <c r="AW377" s="94"/>
      <c r="AX377" s="94"/>
      <c r="AY377" s="94"/>
      <c r="AZ377" s="94"/>
      <c r="BA377" s="94"/>
      <c r="BB377" s="106"/>
      <c r="BC377" s="94"/>
      <c r="BD377" s="94"/>
      <c r="BE377" s="94"/>
      <c r="BF377" s="95"/>
      <c r="BG377" s="94"/>
      <c r="BH377" s="94"/>
      <c r="BI377" s="94"/>
      <c r="BJ377" s="94"/>
      <c r="BK377" s="94"/>
      <c r="BL377" s="106"/>
      <c r="BM377" s="94"/>
      <c r="BN377" s="94"/>
      <c r="BO377" s="94"/>
      <c r="BP377" s="95"/>
      <c r="BQ377" s="2"/>
      <c r="BR377" s="2"/>
      <c r="BS377" s="2"/>
    </row>
    <row r="378" spans="1:71" x14ac:dyDescent="0.35">
      <c r="A378" s="2"/>
      <c r="B378" s="2"/>
      <c r="C378" s="42" t="s">
        <v>153</v>
      </c>
      <c r="D378" s="109">
        <f t="shared" si="430"/>
        <v>3.8540769425612964E-2</v>
      </c>
      <c r="E378" s="109">
        <f t="shared" si="410"/>
        <v>5.9524164639458865E-2</v>
      </c>
      <c r="F378" s="109">
        <f t="shared" si="411"/>
        <v>9.2392696965032037E-2</v>
      </c>
      <c r="G378" s="109">
        <f t="shared" si="412"/>
        <v>0.14358912181333655</v>
      </c>
      <c r="H378" s="109">
        <f t="shared" si="413"/>
        <v>0.18332913680060178</v>
      </c>
      <c r="I378" s="110">
        <f t="shared" si="414"/>
        <v>0</v>
      </c>
      <c r="J378" s="109">
        <f t="shared" si="415"/>
        <v>7.063207033816697E-5</v>
      </c>
      <c r="K378" s="109">
        <f t="shared" si="416"/>
        <v>1.9955169724044167E-3</v>
      </c>
      <c r="L378" s="109">
        <f t="shared" si="417"/>
        <v>2.554271542209708E-3</v>
      </c>
      <c r="M378" s="111">
        <f t="shared" si="418"/>
        <v>1.9631719709110391E-2</v>
      </c>
      <c r="N378" s="109">
        <f t="shared" si="419"/>
        <v>2.3727993830919961E-3</v>
      </c>
      <c r="O378" s="109">
        <f t="shared" si="420"/>
        <v>2.9491428878015208E-3</v>
      </c>
      <c r="P378" s="109">
        <f t="shared" si="421"/>
        <v>8.3244925938255505E-3</v>
      </c>
      <c r="Q378" s="109">
        <f t="shared" si="422"/>
        <v>1.4250287507360291E-2</v>
      </c>
      <c r="R378" s="109">
        <f t="shared" si="423"/>
        <v>0.10452980322402132</v>
      </c>
      <c r="S378" s="110">
        <f t="shared" si="424"/>
        <v>5.169052130995184E-4</v>
      </c>
      <c r="T378" s="109">
        <f t="shared" si="425"/>
        <v>3.1129413628985607E-3</v>
      </c>
      <c r="U378" s="109">
        <f t="shared" si="426"/>
        <v>4.6997789589370955E-3</v>
      </c>
      <c r="V378" s="109">
        <f t="shared" si="427"/>
        <v>1.6056136260934609E-2</v>
      </c>
      <c r="W378" s="111">
        <f t="shared" si="428"/>
        <v>0.30155968266992472</v>
      </c>
      <c r="X378" s="115">
        <f t="shared" si="431"/>
        <v>1</v>
      </c>
      <c r="Y378" s="38" t="s">
        <v>500</v>
      </c>
      <c r="Z378" s="42" t="s">
        <v>153</v>
      </c>
      <c r="AA378" s="67">
        <f t="shared" ref="AA378:AT378" si="470">(SUMIF($AV$339:$AV$442,$Y378,AW$339:AW$442)*AA$337+IF($J156,SUMIF($AV$229:$AV$332,$Y268,AW$229:AW$332)*AA$227*(1-$D156/$J156),0))*$AU378</f>
        <v>1.268789E-2</v>
      </c>
      <c r="AB378" s="67">
        <f t="shared" si="470"/>
        <v>1.9595769999999998E-2</v>
      </c>
      <c r="AC378" s="67">
        <f t="shared" si="470"/>
        <v>3.0416320000000004E-2</v>
      </c>
      <c r="AD378" s="67">
        <f t="shared" si="470"/>
        <v>4.727054E-2</v>
      </c>
      <c r="AE378" s="67">
        <f t="shared" si="470"/>
        <v>6.0353230000000001E-2</v>
      </c>
      <c r="AF378" s="76">
        <f t="shared" si="470"/>
        <v>0</v>
      </c>
      <c r="AG378" s="67">
        <f t="shared" si="470"/>
        <v>2.3252570000000003E-5</v>
      </c>
      <c r="AH378" s="67">
        <f t="shared" si="470"/>
        <v>6.5693810000000007E-4</v>
      </c>
      <c r="AI378" s="67">
        <f t="shared" si="470"/>
        <v>8.4088399999999997E-4</v>
      </c>
      <c r="AJ378" s="68">
        <f t="shared" si="470"/>
        <v>6.4628990000000002E-3</v>
      </c>
      <c r="AK378" s="67">
        <f t="shared" si="470"/>
        <v>7.811421E-4</v>
      </c>
      <c r="AL378" s="67">
        <f t="shared" si="470"/>
        <v>9.7087840000000003E-4</v>
      </c>
      <c r="AM378" s="67">
        <f t="shared" si="470"/>
        <v>2.7404810000000003E-3</v>
      </c>
      <c r="AN378" s="67">
        <f t="shared" si="470"/>
        <v>4.6912940000000004E-3</v>
      </c>
      <c r="AO378" s="67">
        <f t="shared" si="470"/>
        <v>3.4411940000000002E-2</v>
      </c>
      <c r="AP378" s="76">
        <f t="shared" si="470"/>
        <v>1.7016880000000003E-4</v>
      </c>
      <c r="AQ378" s="67">
        <f t="shared" si="470"/>
        <v>1.024802E-3</v>
      </c>
      <c r="AR378" s="67">
        <f t="shared" si="470"/>
        <v>1.5472000000000001E-3</v>
      </c>
      <c r="AS378" s="67">
        <f t="shared" si="470"/>
        <v>5.2857920000000001E-3</v>
      </c>
      <c r="AT378" s="68">
        <f t="shared" si="470"/>
        <v>9.9275550000000004E-2</v>
      </c>
      <c r="AU378" s="216">
        <v>1E-4</v>
      </c>
      <c r="AV378" s="104" t="s">
        <v>452</v>
      </c>
      <c r="AW378" s="94"/>
      <c r="AX378" s="94"/>
      <c r="AY378" s="94"/>
      <c r="AZ378" s="94"/>
      <c r="BA378" s="94"/>
      <c r="BB378" s="106"/>
      <c r="BC378" s="94"/>
      <c r="BD378" s="94"/>
      <c r="BE378" s="94"/>
      <c r="BF378" s="95"/>
      <c r="BG378" s="94"/>
      <c r="BH378" s="94"/>
      <c r="BI378" s="94"/>
      <c r="BJ378" s="94"/>
      <c r="BK378" s="94"/>
      <c r="BL378" s="106"/>
      <c r="BM378" s="94"/>
      <c r="BN378" s="94"/>
      <c r="BO378" s="94"/>
      <c r="BP378" s="95"/>
      <c r="BQ378" s="2"/>
      <c r="BR378" s="2"/>
      <c r="BS378" s="2"/>
    </row>
    <row r="379" spans="1:71" x14ac:dyDescent="0.35">
      <c r="A379" s="2"/>
      <c r="B379" s="2"/>
      <c r="C379" s="42" t="s">
        <v>155</v>
      </c>
      <c r="D379" s="109">
        <f t="shared" si="430"/>
        <v>8.7923503401402692E-3</v>
      </c>
      <c r="E379" s="109">
        <f t="shared" si="410"/>
        <v>3.1597771307426033E-2</v>
      </c>
      <c r="F379" s="109">
        <f t="shared" si="411"/>
        <v>5.4286843433863238E-2</v>
      </c>
      <c r="G379" s="109">
        <f t="shared" si="412"/>
        <v>0.12904080641933741</v>
      </c>
      <c r="H379" s="109">
        <f t="shared" si="413"/>
        <v>0.22263057880341033</v>
      </c>
      <c r="I379" s="110">
        <f t="shared" si="414"/>
        <v>6.475712404537551E-5</v>
      </c>
      <c r="J379" s="109">
        <f t="shared" si="415"/>
        <v>1.3031615813443388E-4</v>
      </c>
      <c r="K379" s="109">
        <f t="shared" si="416"/>
        <v>2.4089846336824674E-4</v>
      </c>
      <c r="L379" s="109">
        <f t="shared" si="417"/>
        <v>2.6237253108973278E-3</v>
      </c>
      <c r="M379" s="111">
        <f t="shared" si="418"/>
        <v>1.8198200444942043E-2</v>
      </c>
      <c r="N379" s="109">
        <f t="shared" si="419"/>
        <v>1.0320494692438325E-3</v>
      </c>
      <c r="O379" s="109">
        <f t="shared" si="420"/>
        <v>3.1953030971363637E-3</v>
      </c>
      <c r="P379" s="109">
        <f t="shared" si="421"/>
        <v>7.2977724135911961E-3</v>
      </c>
      <c r="Q379" s="109">
        <f t="shared" si="422"/>
        <v>1.861070010495245E-2</v>
      </c>
      <c r="R379" s="109">
        <f t="shared" si="423"/>
        <v>0.15021811821313166</v>
      </c>
      <c r="S379" s="110">
        <f t="shared" si="424"/>
        <v>5.9471790953452672E-4</v>
      </c>
      <c r="T379" s="109">
        <f t="shared" si="425"/>
        <v>3.0431071512147731E-3</v>
      </c>
      <c r="U379" s="109">
        <f t="shared" si="426"/>
        <v>7.0885698918405227E-3</v>
      </c>
      <c r="V379" s="109">
        <f t="shared" si="427"/>
        <v>1.774062242958287E-2</v>
      </c>
      <c r="W379" s="111">
        <f t="shared" si="428"/>
        <v>0.32357279151420687</v>
      </c>
      <c r="X379" s="115">
        <f t="shared" si="431"/>
        <v>0.99999999999999978</v>
      </c>
      <c r="Y379" s="38" t="s">
        <v>486</v>
      </c>
      <c r="Z379" s="42" t="s">
        <v>155</v>
      </c>
      <c r="AA379" s="67">
        <f t="shared" ref="AA379:AT379" si="471">(SUMIF($AV$339:$AV$442,$Y379,AW$339:AW$442)*AA$337+IF($J157,SUMIF($AV$229:$AV$332,$Y269,AW$229:AW$332)*AA$227*(1-$D157/$J157),0))*$AU379</f>
        <v>591.37929999999994</v>
      </c>
      <c r="AB379" s="67">
        <f t="shared" si="471"/>
        <v>2125.2869999999998</v>
      </c>
      <c r="AC379" s="67">
        <f t="shared" si="471"/>
        <v>3651.3690000000001</v>
      </c>
      <c r="AD379" s="67">
        <f t="shared" si="471"/>
        <v>8679.3700000000008</v>
      </c>
      <c r="AE379" s="67">
        <f t="shared" si="471"/>
        <v>14974.28</v>
      </c>
      <c r="AF379" s="76">
        <f t="shared" si="471"/>
        <v>4.355607</v>
      </c>
      <c r="AG379" s="67">
        <f t="shared" si="471"/>
        <v>8.7651509999999995</v>
      </c>
      <c r="AH379" s="67">
        <f t="shared" si="471"/>
        <v>16.20299</v>
      </c>
      <c r="AI379" s="67">
        <f t="shared" si="471"/>
        <v>176.4735</v>
      </c>
      <c r="AJ379" s="68">
        <f t="shared" si="471"/>
        <v>1224.0229999999999</v>
      </c>
      <c r="AK379" s="67">
        <f t="shared" si="471"/>
        <v>69.416330000000002</v>
      </c>
      <c r="AL379" s="67">
        <f t="shared" si="471"/>
        <v>214.91820000000001</v>
      </c>
      <c r="AM379" s="67">
        <f t="shared" si="471"/>
        <v>490.85300000000001</v>
      </c>
      <c r="AN379" s="67">
        <f t="shared" si="471"/>
        <v>1251.768</v>
      </c>
      <c r="AO379" s="67">
        <f t="shared" si="471"/>
        <v>10103.77</v>
      </c>
      <c r="AP379" s="76">
        <f t="shared" si="471"/>
        <v>40.00112</v>
      </c>
      <c r="AQ379" s="67">
        <f t="shared" si="471"/>
        <v>204.6814</v>
      </c>
      <c r="AR379" s="67">
        <f t="shared" si="471"/>
        <v>476.78190000000001</v>
      </c>
      <c r="AS379" s="67">
        <f t="shared" si="471"/>
        <v>1193.2460000000001</v>
      </c>
      <c r="AT379" s="68">
        <f t="shared" si="471"/>
        <v>21763.72</v>
      </c>
      <c r="AU379" s="216">
        <v>1</v>
      </c>
      <c r="AV379" s="104" t="s">
        <v>486</v>
      </c>
      <c r="AW379" s="94">
        <v>591.37929999999994</v>
      </c>
      <c r="AX379" s="94">
        <v>2125.2869999999998</v>
      </c>
      <c r="AY379" s="94">
        <v>3651.3690000000001</v>
      </c>
      <c r="AZ379" s="94">
        <v>8679.3700000000008</v>
      </c>
      <c r="BA379" s="94">
        <v>14974.28</v>
      </c>
      <c r="BB379" s="106">
        <v>4.355607</v>
      </c>
      <c r="BC379" s="94">
        <v>8.7651509999999995</v>
      </c>
      <c r="BD379" s="94">
        <v>16.20299</v>
      </c>
      <c r="BE379" s="94">
        <v>176.4735</v>
      </c>
      <c r="BF379" s="95">
        <v>1224.0229999999999</v>
      </c>
      <c r="BG379" s="94">
        <v>69.416330000000002</v>
      </c>
      <c r="BH379" s="94">
        <v>214.91820000000001</v>
      </c>
      <c r="BI379" s="94">
        <v>490.85300000000001</v>
      </c>
      <c r="BJ379" s="94">
        <v>1251.768</v>
      </c>
      <c r="BK379" s="94">
        <v>10103.77</v>
      </c>
      <c r="BL379" s="106">
        <v>40.00112</v>
      </c>
      <c r="BM379" s="94">
        <v>204.6814</v>
      </c>
      <c r="BN379" s="94">
        <v>476.78190000000001</v>
      </c>
      <c r="BO379" s="94">
        <v>1193.2460000000001</v>
      </c>
      <c r="BP379" s="95">
        <v>21763.72</v>
      </c>
      <c r="BQ379" s="2"/>
      <c r="BR379" s="2"/>
      <c r="BS379" s="2"/>
    </row>
    <row r="380" spans="1:71" x14ac:dyDescent="0.35">
      <c r="A380" s="2"/>
      <c r="B380" s="2"/>
      <c r="C380" s="42" t="s">
        <v>157</v>
      </c>
      <c r="D380" s="109">
        <f t="shared" si="430"/>
        <v>6.8655655879948235E-2</v>
      </c>
      <c r="E380" s="109">
        <f t="shared" si="410"/>
        <v>0.10283003829956312</v>
      </c>
      <c r="F380" s="109">
        <f t="shared" si="411"/>
        <v>0.13887593655044075</v>
      </c>
      <c r="G380" s="109">
        <f t="shared" si="412"/>
        <v>0.18855509586487026</v>
      </c>
      <c r="H380" s="109">
        <f t="shared" si="413"/>
        <v>0.17115180911969072</v>
      </c>
      <c r="I380" s="110">
        <f t="shared" si="414"/>
        <v>5.4345037469400198E-5</v>
      </c>
      <c r="J380" s="109">
        <f t="shared" si="415"/>
        <v>4.2466545139212839E-4</v>
      </c>
      <c r="K380" s="109">
        <f t="shared" si="416"/>
        <v>1.34560601581783E-3</v>
      </c>
      <c r="L380" s="109">
        <f t="shared" si="417"/>
        <v>1.4924454076263236E-3</v>
      </c>
      <c r="M380" s="111">
        <f t="shared" si="418"/>
        <v>1.0089149141090829E-2</v>
      </c>
      <c r="N380" s="109">
        <f t="shared" si="419"/>
        <v>6.9548166113143559E-3</v>
      </c>
      <c r="O380" s="109">
        <f t="shared" si="420"/>
        <v>1.0861519295777123E-2</v>
      </c>
      <c r="P380" s="109">
        <f t="shared" si="421"/>
        <v>1.7602010385641246E-2</v>
      </c>
      <c r="Q380" s="109">
        <f t="shared" si="422"/>
        <v>2.7828547483360208E-2</v>
      </c>
      <c r="R380" s="109">
        <f t="shared" si="423"/>
        <v>7.1270992619917248E-2</v>
      </c>
      <c r="S380" s="110">
        <f t="shared" si="424"/>
        <v>2.1212198971849302E-3</v>
      </c>
      <c r="T380" s="109">
        <f t="shared" si="425"/>
        <v>5.5304245508124893E-3</v>
      </c>
      <c r="U380" s="109">
        <f t="shared" si="426"/>
        <v>8.1175390371797107E-3</v>
      </c>
      <c r="V380" s="109">
        <f t="shared" si="427"/>
        <v>2.8673879271058546E-2</v>
      </c>
      <c r="W380" s="111">
        <f t="shared" si="428"/>
        <v>0.13756430407984466</v>
      </c>
      <c r="X380" s="115">
        <f t="shared" si="431"/>
        <v>1</v>
      </c>
      <c r="Y380" s="38" t="s">
        <v>487</v>
      </c>
      <c r="Z380" s="42" t="s">
        <v>157</v>
      </c>
      <c r="AA380" s="67">
        <f t="shared" ref="AA380:AT380" si="472">(SUMIF($AV$339:$AV$442,$Y380,AW$339:AW$442)*AA$337+IF($J158,SUMIF($AV$229:$AV$332,$Y270,AW$229:AW$332)*AA$227*(1-$D158/$J158),0))*$AU380</f>
        <v>1776.8581876000001</v>
      </c>
      <c r="AB380" s="67">
        <f t="shared" si="472"/>
        <v>2661.3159999999998</v>
      </c>
      <c r="AC380" s="67">
        <f t="shared" si="472"/>
        <v>3594.21</v>
      </c>
      <c r="AD380" s="67">
        <f t="shared" si="472"/>
        <v>4879.9426880000001</v>
      </c>
      <c r="AE380" s="67">
        <f t="shared" si="472"/>
        <v>4429.5330000000004</v>
      </c>
      <c r="AF380" s="76">
        <f t="shared" si="472"/>
        <v>1.4064890000000001</v>
      </c>
      <c r="AG380" s="67">
        <f t="shared" si="472"/>
        <v>10.99065</v>
      </c>
      <c r="AH380" s="67">
        <f t="shared" si="472"/>
        <v>34.82526</v>
      </c>
      <c r="AI380" s="67">
        <f t="shared" si="472"/>
        <v>38.625570000000003</v>
      </c>
      <c r="AJ380" s="68">
        <f t="shared" si="472"/>
        <v>261.11450000000002</v>
      </c>
      <c r="AK380" s="67">
        <f t="shared" si="472"/>
        <v>179.9957</v>
      </c>
      <c r="AL380" s="67">
        <f t="shared" si="472"/>
        <v>281.10399999999998</v>
      </c>
      <c r="AM380" s="67">
        <f t="shared" si="472"/>
        <v>455.55279999999999</v>
      </c>
      <c r="AN380" s="67">
        <f t="shared" si="472"/>
        <v>720.22299999999996</v>
      </c>
      <c r="AO380" s="67">
        <f t="shared" si="472"/>
        <v>1844.5450000000001</v>
      </c>
      <c r="AP380" s="76">
        <f t="shared" si="472"/>
        <v>54.898710000000001</v>
      </c>
      <c r="AQ380" s="67">
        <f t="shared" si="472"/>
        <v>143.13140000000001</v>
      </c>
      <c r="AR380" s="67">
        <f t="shared" si="472"/>
        <v>210.08779999999999</v>
      </c>
      <c r="AS380" s="67">
        <f t="shared" si="472"/>
        <v>742.10080000000005</v>
      </c>
      <c r="AT380" s="68">
        <f t="shared" si="472"/>
        <v>3560.2640000000001</v>
      </c>
      <c r="AU380" s="216">
        <v>1</v>
      </c>
      <c r="AV380" s="104" t="s">
        <v>487</v>
      </c>
      <c r="AW380" s="94">
        <v>1776.3440000000001</v>
      </c>
      <c r="AX380" s="94">
        <v>2661.3159999999998</v>
      </c>
      <c r="AY380" s="94">
        <v>3594.21</v>
      </c>
      <c r="AZ380" s="94">
        <v>4871.2539999999999</v>
      </c>
      <c r="BA380" s="94">
        <v>4429.5330000000004</v>
      </c>
      <c r="BB380" s="106">
        <v>1.4064890000000001</v>
      </c>
      <c r="BC380" s="94">
        <v>10.99065</v>
      </c>
      <c r="BD380" s="94">
        <v>34.82526</v>
      </c>
      <c r="BE380" s="94">
        <v>38.625570000000003</v>
      </c>
      <c r="BF380" s="95">
        <v>261.11450000000002</v>
      </c>
      <c r="BG380" s="94">
        <v>179.9957</v>
      </c>
      <c r="BH380" s="94">
        <v>281.10399999999998</v>
      </c>
      <c r="BI380" s="94">
        <v>455.55279999999999</v>
      </c>
      <c r="BJ380" s="94">
        <v>720.22299999999996</v>
      </c>
      <c r="BK380" s="94">
        <v>1844.5450000000001</v>
      </c>
      <c r="BL380" s="106">
        <v>54.898710000000001</v>
      </c>
      <c r="BM380" s="94">
        <v>143.13140000000001</v>
      </c>
      <c r="BN380" s="94">
        <v>210.08779999999999</v>
      </c>
      <c r="BO380" s="94">
        <v>742.10080000000005</v>
      </c>
      <c r="BP380" s="95">
        <v>3560.2640000000001</v>
      </c>
      <c r="BQ380" s="2"/>
      <c r="BR380" s="2"/>
      <c r="BS380" s="2"/>
    </row>
    <row r="381" spans="1:71" x14ac:dyDescent="0.35">
      <c r="A381" s="2"/>
      <c r="B381" s="2"/>
      <c r="C381" s="42" t="s">
        <v>159</v>
      </c>
      <c r="D381" s="109">
        <f t="shared" si="430"/>
        <v>5.6928343670334272E-4</v>
      </c>
      <c r="E381" s="109">
        <f t="shared" si="410"/>
        <v>3.9714816090794932E-3</v>
      </c>
      <c r="F381" s="109">
        <f t="shared" si="411"/>
        <v>9.33585983833299E-3</v>
      </c>
      <c r="G381" s="109">
        <f t="shared" si="412"/>
        <v>3.1087923126405622E-2</v>
      </c>
      <c r="H381" s="109">
        <f t="shared" si="413"/>
        <v>7.1378203233785659E-2</v>
      </c>
      <c r="I381" s="110">
        <f t="shared" si="414"/>
        <v>0</v>
      </c>
      <c r="J381" s="109">
        <f t="shared" si="415"/>
        <v>0</v>
      </c>
      <c r="K381" s="109">
        <f t="shared" si="416"/>
        <v>1.6778635535941719E-4</v>
      </c>
      <c r="L381" s="109">
        <f t="shared" si="417"/>
        <v>6.1648683804539487E-4</v>
      </c>
      <c r="M381" s="111">
        <f t="shared" si="418"/>
        <v>2.2089874586602963E-2</v>
      </c>
      <c r="N381" s="109">
        <f t="shared" si="419"/>
        <v>0</v>
      </c>
      <c r="O381" s="109">
        <f t="shared" si="420"/>
        <v>3.8802132522564129E-4</v>
      </c>
      <c r="P381" s="109">
        <f t="shared" si="421"/>
        <v>2.2373491034338691E-3</v>
      </c>
      <c r="Q381" s="109">
        <f t="shared" si="422"/>
        <v>6.8774989105492741E-3</v>
      </c>
      <c r="R381" s="109">
        <f t="shared" si="423"/>
        <v>0.25216689793177532</v>
      </c>
      <c r="S381" s="110">
        <f t="shared" si="424"/>
        <v>3.7564045983796464E-4</v>
      </c>
      <c r="T381" s="109">
        <f t="shared" si="425"/>
        <v>2.9758378449754898E-4</v>
      </c>
      <c r="U381" s="109">
        <f t="shared" si="426"/>
        <v>2.3841926201622734E-3</v>
      </c>
      <c r="V381" s="109">
        <f t="shared" si="427"/>
        <v>1.0080997421275001E-2</v>
      </c>
      <c r="W381" s="111">
        <f t="shared" si="428"/>
        <v>0.58597491941892821</v>
      </c>
      <c r="X381" s="115">
        <f t="shared" si="431"/>
        <v>1</v>
      </c>
      <c r="Y381" s="38" t="s">
        <v>489</v>
      </c>
      <c r="Z381" s="42" t="s">
        <v>159</v>
      </c>
      <c r="AA381" s="67">
        <f t="shared" ref="AA381:AT381" si="473">(SUMIF($AV$339:$AV$442,$Y381,AW$339:AW$442)*AA$337+IF($J159,SUMIF($AV$229:$AV$332,$Y271,AW$229:AW$332)*AA$227*(1-$D159/$J159),0))*$AU381</f>
        <v>1.181576</v>
      </c>
      <c r="AB381" s="67">
        <f t="shared" si="473"/>
        <v>8.2430070000000004</v>
      </c>
      <c r="AC381" s="67">
        <f t="shared" si="473"/>
        <v>19.377040000000001</v>
      </c>
      <c r="AD381" s="67">
        <f t="shared" si="473"/>
        <v>64.5245259</v>
      </c>
      <c r="AE381" s="67">
        <f t="shared" si="473"/>
        <v>148.149</v>
      </c>
      <c r="AF381" s="76">
        <f t="shared" si="473"/>
        <v>0</v>
      </c>
      <c r="AG381" s="67">
        <f t="shared" si="473"/>
        <v>0</v>
      </c>
      <c r="AH381" s="67">
        <f t="shared" si="473"/>
        <v>0.34824889999999997</v>
      </c>
      <c r="AI381" s="67">
        <f t="shared" si="473"/>
        <v>1.279549</v>
      </c>
      <c r="AJ381" s="68">
        <f t="shared" si="473"/>
        <v>45.84863</v>
      </c>
      <c r="AK381" s="67">
        <f t="shared" si="473"/>
        <v>0</v>
      </c>
      <c r="AL381" s="67">
        <f t="shared" si="473"/>
        <v>0.80535749999999995</v>
      </c>
      <c r="AM381" s="67">
        <f t="shared" si="473"/>
        <v>4.6437290000000004</v>
      </c>
      <c r="AN381" s="67">
        <f t="shared" si="473"/>
        <v>14.27459</v>
      </c>
      <c r="AO381" s="67">
        <f t="shared" si="473"/>
        <v>523.38490000000002</v>
      </c>
      <c r="AP381" s="76">
        <f t="shared" si="473"/>
        <v>0.77966040000000003</v>
      </c>
      <c r="AQ381" s="67">
        <f t="shared" si="473"/>
        <v>0.61764989999999997</v>
      </c>
      <c r="AR381" s="67">
        <f t="shared" si="473"/>
        <v>4.9485099999999997</v>
      </c>
      <c r="AS381" s="67">
        <f t="shared" si="473"/>
        <v>20.92361</v>
      </c>
      <c r="AT381" s="68">
        <f t="shared" si="473"/>
        <v>1216.22</v>
      </c>
      <c r="AU381" s="216">
        <v>1</v>
      </c>
      <c r="AV381" s="104" t="s">
        <v>489</v>
      </c>
      <c r="AW381" s="94">
        <v>1.181576</v>
      </c>
      <c r="AX381" s="94">
        <v>8.2430070000000004</v>
      </c>
      <c r="AY381" s="94">
        <v>19.377040000000001</v>
      </c>
      <c r="AZ381" s="94">
        <v>63.817309999999999</v>
      </c>
      <c r="BA381" s="94">
        <v>148.149</v>
      </c>
      <c r="BB381" s="106">
        <v>0</v>
      </c>
      <c r="BC381" s="94">
        <v>0</v>
      </c>
      <c r="BD381" s="94">
        <v>0.34824889999999997</v>
      </c>
      <c r="BE381" s="94">
        <v>1.279549</v>
      </c>
      <c r="BF381" s="95">
        <v>45.84863</v>
      </c>
      <c r="BG381" s="94">
        <v>0</v>
      </c>
      <c r="BH381" s="94">
        <v>0.80535749999999995</v>
      </c>
      <c r="BI381" s="94">
        <v>4.6437290000000004</v>
      </c>
      <c r="BJ381" s="94">
        <v>14.27459</v>
      </c>
      <c r="BK381" s="94">
        <v>523.38490000000002</v>
      </c>
      <c r="BL381" s="106">
        <v>0.77966040000000003</v>
      </c>
      <c r="BM381" s="94">
        <v>0.61764989999999997</v>
      </c>
      <c r="BN381" s="94">
        <v>4.9485099999999997</v>
      </c>
      <c r="BO381" s="94">
        <v>20.92361</v>
      </c>
      <c r="BP381" s="95">
        <v>1216.22</v>
      </c>
      <c r="BQ381" s="2"/>
      <c r="BR381" s="2"/>
      <c r="BS381" s="2"/>
    </row>
    <row r="382" spans="1:71" x14ac:dyDescent="0.35">
      <c r="A382" s="2"/>
      <c r="B382" s="2"/>
      <c r="C382" s="42" t="s">
        <v>161</v>
      </c>
      <c r="D382" s="109">
        <f t="shared" si="430"/>
        <v>4.920501101795087E-2</v>
      </c>
      <c r="E382" s="109">
        <f t="shared" si="410"/>
        <v>8.6647021545176853E-2</v>
      </c>
      <c r="F382" s="109">
        <f t="shared" si="411"/>
        <v>0.12415891390480271</v>
      </c>
      <c r="G382" s="109">
        <f t="shared" si="412"/>
        <v>0.18378202222705647</v>
      </c>
      <c r="H382" s="109">
        <f t="shared" si="413"/>
        <v>0.17975846355140934</v>
      </c>
      <c r="I382" s="110">
        <f t="shared" si="414"/>
        <v>1.8661710106776289E-4</v>
      </c>
      <c r="J382" s="109">
        <f t="shared" si="415"/>
        <v>1.7788564821342483E-4</v>
      </c>
      <c r="K382" s="109">
        <f t="shared" si="416"/>
        <v>1.1850403870930569E-3</v>
      </c>
      <c r="L382" s="109">
        <f t="shared" si="417"/>
        <v>2.8192712414664102E-3</v>
      </c>
      <c r="M382" s="111">
        <f t="shared" si="418"/>
        <v>1.6143147542685411E-2</v>
      </c>
      <c r="N382" s="109">
        <f t="shared" si="419"/>
        <v>4.2705041006808522E-3</v>
      </c>
      <c r="O382" s="109">
        <f t="shared" si="420"/>
        <v>7.9349856649535751E-3</v>
      </c>
      <c r="P382" s="109">
        <f t="shared" si="421"/>
        <v>1.3770754848246218E-2</v>
      </c>
      <c r="Q382" s="109">
        <f t="shared" si="422"/>
        <v>2.0576161333715141E-2</v>
      </c>
      <c r="R382" s="109">
        <f t="shared" si="423"/>
        <v>9.2090394243732124E-2</v>
      </c>
      <c r="S382" s="110">
        <f t="shared" si="424"/>
        <v>1.5147840106753694E-3</v>
      </c>
      <c r="T382" s="109">
        <f t="shared" si="425"/>
        <v>5.1565293230818408E-3</v>
      </c>
      <c r="U382" s="109">
        <f t="shared" si="426"/>
        <v>9.1197879295916648E-3</v>
      </c>
      <c r="V382" s="109">
        <f t="shared" si="427"/>
        <v>2.2807350966425277E-2</v>
      </c>
      <c r="W382" s="111">
        <f t="shared" si="428"/>
        <v>0.17869535341197559</v>
      </c>
      <c r="X382" s="115">
        <f t="shared" si="431"/>
        <v>0.99999999999999989</v>
      </c>
      <c r="Y382" s="38" t="s">
        <v>490</v>
      </c>
      <c r="Z382" s="42" t="s">
        <v>161</v>
      </c>
      <c r="AA382" s="67">
        <f t="shared" ref="AA382:AT382" si="474">(SUMIF($AV$339:$AV$442,$Y382,AW$339:AW$442)*AA$337+IF($J160,SUMIF($AV$229:$AV$332,$Y272,AW$229:AW$332)*AA$227*(1-$D160/$J160),0))*$AU382</f>
        <v>5537.8829999999998</v>
      </c>
      <c r="AB382" s="67">
        <f t="shared" si="474"/>
        <v>9751.8739999999998</v>
      </c>
      <c r="AC382" s="67">
        <f t="shared" si="474"/>
        <v>13973.73</v>
      </c>
      <c r="AD382" s="67">
        <f t="shared" si="474"/>
        <v>20684.14</v>
      </c>
      <c r="AE382" s="67">
        <f t="shared" si="474"/>
        <v>20231.3</v>
      </c>
      <c r="AF382" s="76">
        <f t="shared" si="474"/>
        <v>21.003219999999999</v>
      </c>
      <c r="AG382" s="67">
        <f t="shared" si="474"/>
        <v>20.020520000000001</v>
      </c>
      <c r="AH382" s="67">
        <f t="shared" si="474"/>
        <v>133.37289999999999</v>
      </c>
      <c r="AI382" s="67">
        <f t="shared" si="474"/>
        <v>317.30090000000001</v>
      </c>
      <c r="AJ382" s="68">
        <f t="shared" si="474"/>
        <v>1816.865</v>
      </c>
      <c r="AK382" s="67">
        <f t="shared" si="474"/>
        <v>480.63299999999998</v>
      </c>
      <c r="AL382" s="67">
        <f t="shared" si="474"/>
        <v>893.05989999999997</v>
      </c>
      <c r="AM382" s="67">
        <f t="shared" si="474"/>
        <v>1549.8589999999999</v>
      </c>
      <c r="AN382" s="67">
        <f t="shared" si="474"/>
        <v>2315.788</v>
      </c>
      <c r="AO382" s="67">
        <f t="shared" si="474"/>
        <v>10364.51</v>
      </c>
      <c r="AP382" s="76">
        <f t="shared" si="474"/>
        <v>170.4846</v>
      </c>
      <c r="AQ382" s="67">
        <f t="shared" si="474"/>
        <v>580.35260000000005</v>
      </c>
      <c r="AR382" s="67">
        <f t="shared" si="474"/>
        <v>1026.4059999999999</v>
      </c>
      <c r="AS382" s="67">
        <f t="shared" si="474"/>
        <v>2566.902</v>
      </c>
      <c r="AT382" s="68">
        <f t="shared" si="474"/>
        <v>20111.650000000001</v>
      </c>
      <c r="AU382" s="216">
        <v>1</v>
      </c>
      <c r="AV382" s="104" t="s">
        <v>490</v>
      </c>
      <c r="AW382" s="94">
        <v>5537.8829999999998</v>
      </c>
      <c r="AX382" s="94">
        <v>9751.8739999999998</v>
      </c>
      <c r="AY382" s="94">
        <v>13973.73</v>
      </c>
      <c r="AZ382" s="94">
        <v>20684.14</v>
      </c>
      <c r="BA382" s="94">
        <v>20231.3</v>
      </c>
      <c r="BB382" s="106">
        <v>21.003219999999999</v>
      </c>
      <c r="BC382" s="94">
        <v>20.020520000000001</v>
      </c>
      <c r="BD382" s="94">
        <v>133.37289999999999</v>
      </c>
      <c r="BE382" s="94">
        <v>317.30090000000001</v>
      </c>
      <c r="BF382" s="95">
        <v>1816.865</v>
      </c>
      <c r="BG382" s="94">
        <v>480.63299999999998</v>
      </c>
      <c r="BH382" s="94">
        <v>893.05989999999997</v>
      </c>
      <c r="BI382" s="94">
        <v>1549.8589999999999</v>
      </c>
      <c r="BJ382" s="94">
        <v>2315.788</v>
      </c>
      <c r="BK382" s="94">
        <v>10364.51</v>
      </c>
      <c r="BL382" s="106">
        <v>170.4846</v>
      </c>
      <c r="BM382" s="94">
        <v>580.35260000000005</v>
      </c>
      <c r="BN382" s="94">
        <v>1026.4059999999999</v>
      </c>
      <c r="BO382" s="94">
        <v>2566.902</v>
      </c>
      <c r="BP382" s="95">
        <v>20111.650000000001</v>
      </c>
      <c r="BQ382" s="2"/>
      <c r="BR382" s="2"/>
      <c r="BS382" s="2"/>
    </row>
    <row r="383" spans="1:71" x14ac:dyDescent="0.35">
      <c r="A383" s="2"/>
      <c r="B383" s="2"/>
      <c r="C383" s="42" t="s">
        <v>163</v>
      </c>
      <c r="D383" s="109">
        <f t="shared" si="430"/>
        <v>1.6449911829513063E-2</v>
      </c>
      <c r="E383" s="109">
        <f t="shared" si="410"/>
        <v>4.8786685385358776E-2</v>
      </c>
      <c r="F383" s="109">
        <f t="shared" si="411"/>
        <v>8.3255932965686882E-2</v>
      </c>
      <c r="G383" s="109">
        <f t="shared" si="412"/>
        <v>0.17179714317523809</v>
      </c>
      <c r="H383" s="109">
        <f t="shared" si="413"/>
        <v>0.19800805604496502</v>
      </c>
      <c r="I383" s="110">
        <f t="shared" si="414"/>
        <v>0</v>
      </c>
      <c r="J383" s="109">
        <f t="shared" si="415"/>
        <v>2.7619077435733091E-4</v>
      </c>
      <c r="K383" s="109">
        <f t="shared" si="416"/>
        <v>9.0986724449386045E-4</v>
      </c>
      <c r="L383" s="109">
        <f t="shared" si="417"/>
        <v>2.7522901526658098E-3</v>
      </c>
      <c r="M383" s="111">
        <f t="shared" si="418"/>
        <v>3.4953666985524406E-2</v>
      </c>
      <c r="N383" s="109">
        <f t="shared" si="419"/>
        <v>1.0700271609745979E-3</v>
      </c>
      <c r="O383" s="109">
        <f t="shared" si="420"/>
        <v>2.3024047869781897E-3</v>
      </c>
      <c r="P383" s="109">
        <f t="shared" si="421"/>
        <v>6.908964301048595E-3</v>
      </c>
      <c r="Q383" s="109">
        <f t="shared" si="422"/>
        <v>8.0352452484873486E-3</v>
      </c>
      <c r="R383" s="109">
        <f t="shared" si="423"/>
        <v>0.12902144586025505</v>
      </c>
      <c r="S383" s="110">
        <f t="shared" si="424"/>
        <v>0</v>
      </c>
      <c r="T383" s="109">
        <f t="shared" si="425"/>
        <v>6.7916591769271437E-4</v>
      </c>
      <c r="U383" s="109">
        <f t="shared" si="426"/>
        <v>1.9668269088245023E-3</v>
      </c>
      <c r="V383" s="109">
        <f t="shared" si="427"/>
        <v>9.4085030485683407E-3</v>
      </c>
      <c r="W383" s="111">
        <f t="shared" si="428"/>
        <v>0.28341767220936731</v>
      </c>
      <c r="X383" s="115">
        <f t="shared" si="431"/>
        <v>0.99999999999999967</v>
      </c>
      <c r="Y383" s="38" t="s">
        <v>488</v>
      </c>
      <c r="Z383" s="42" t="s">
        <v>163</v>
      </c>
      <c r="AA383" s="67">
        <f t="shared" ref="AA383:AT383" si="475">(SUMIF($AV$339:$AV$442,$Y383,AW$339:AW$442)*AA$337+IF($J161,SUMIF($AV$229:$AV$332,$Y273,AW$229:AW$332)*AA$227*(1-$D161/$J161),0))*$AU383</f>
        <v>197.49970000000002</v>
      </c>
      <c r="AB383" s="67">
        <f t="shared" si="475"/>
        <v>585.73905000000002</v>
      </c>
      <c r="AC383" s="67">
        <f t="shared" si="475"/>
        <v>999.58114999999998</v>
      </c>
      <c r="AD383" s="67">
        <f t="shared" si="475"/>
        <v>2062.6179999999999</v>
      </c>
      <c r="AE383" s="67">
        <f t="shared" si="475"/>
        <v>2377.3094999999998</v>
      </c>
      <c r="AF383" s="76">
        <f t="shared" si="475"/>
        <v>0</v>
      </c>
      <c r="AG383" s="67">
        <f t="shared" si="475"/>
        <v>3.3159809999999998</v>
      </c>
      <c r="AH383" s="67">
        <f t="shared" si="475"/>
        <v>10.92398</v>
      </c>
      <c r="AI383" s="67">
        <f t="shared" si="475"/>
        <v>33.044339999999998</v>
      </c>
      <c r="AJ383" s="68">
        <f t="shared" si="475"/>
        <v>419.65809999999999</v>
      </c>
      <c r="AK383" s="67">
        <f t="shared" si="475"/>
        <v>12.846880000000001</v>
      </c>
      <c r="AL383" s="67">
        <f t="shared" si="475"/>
        <v>27.642959999999999</v>
      </c>
      <c r="AM383" s="67">
        <f t="shared" si="475"/>
        <v>82.949889999999996</v>
      </c>
      <c r="AN383" s="67">
        <f t="shared" si="475"/>
        <v>96.472160000000002</v>
      </c>
      <c r="AO383" s="67">
        <f t="shared" si="475"/>
        <v>1549.0476250000002</v>
      </c>
      <c r="AP383" s="76">
        <f t="shared" si="475"/>
        <v>0</v>
      </c>
      <c r="AQ383" s="67">
        <f t="shared" si="475"/>
        <v>8.1541510000000006</v>
      </c>
      <c r="AR383" s="67">
        <f t="shared" si="475"/>
        <v>23.613969999999998</v>
      </c>
      <c r="AS383" s="67">
        <f t="shared" si="475"/>
        <v>112.959665</v>
      </c>
      <c r="AT383" s="68">
        <f t="shared" si="475"/>
        <v>3402.7480399999999</v>
      </c>
      <c r="AU383" s="216">
        <v>1</v>
      </c>
      <c r="AV383" s="104" t="s">
        <v>488</v>
      </c>
      <c r="AW383" s="94">
        <v>126.4122</v>
      </c>
      <c r="AX383" s="94">
        <v>293.17250000000001</v>
      </c>
      <c r="AY383" s="94">
        <v>538.40340000000003</v>
      </c>
      <c r="AZ383" s="94">
        <v>1082.7529999999999</v>
      </c>
      <c r="BA383" s="94">
        <v>1562.039</v>
      </c>
      <c r="BB383" s="106">
        <v>0</v>
      </c>
      <c r="BC383" s="94">
        <v>3.3159809999999998</v>
      </c>
      <c r="BD383" s="94">
        <v>10.92398</v>
      </c>
      <c r="BE383" s="94">
        <v>33.044339999999998</v>
      </c>
      <c r="BF383" s="95">
        <v>419.65809999999999</v>
      </c>
      <c r="BG383" s="94">
        <v>3.4649450000000002</v>
      </c>
      <c r="BH383" s="94">
        <v>27.642959999999999</v>
      </c>
      <c r="BI383" s="94">
        <v>38.275039999999997</v>
      </c>
      <c r="BJ383" s="94">
        <v>70.073260000000005</v>
      </c>
      <c r="BK383" s="94">
        <v>1532.7090000000001</v>
      </c>
      <c r="BL383" s="106">
        <v>0</v>
      </c>
      <c r="BM383" s="94">
        <v>8.1541510000000006</v>
      </c>
      <c r="BN383" s="94">
        <v>23.613969999999998</v>
      </c>
      <c r="BO383" s="94">
        <v>71.210099999999997</v>
      </c>
      <c r="BP383" s="95">
        <v>3366.8209999999999</v>
      </c>
      <c r="BQ383" s="2"/>
      <c r="BR383" s="2"/>
      <c r="BS383" s="2"/>
    </row>
    <row r="384" spans="1:71" x14ac:dyDescent="0.35">
      <c r="A384" s="2"/>
      <c r="B384" s="2"/>
      <c r="C384" s="42" t="s">
        <v>165</v>
      </c>
      <c r="D384" s="109">
        <f t="shared" si="430"/>
        <v>6.6341837844441948E-2</v>
      </c>
      <c r="E384" s="109">
        <f t="shared" si="410"/>
        <v>9.0471073921465889E-2</v>
      </c>
      <c r="F384" s="109">
        <f t="shared" si="411"/>
        <v>0.11551571300820838</v>
      </c>
      <c r="G384" s="109">
        <f t="shared" si="412"/>
        <v>0.1724616013867665</v>
      </c>
      <c r="H384" s="109">
        <f t="shared" si="413"/>
        <v>0.17133730047371923</v>
      </c>
      <c r="I384" s="110">
        <f t="shared" si="414"/>
        <v>3.2886351588300476E-4</v>
      </c>
      <c r="J384" s="109">
        <f t="shared" si="415"/>
        <v>4.1572967984929772E-4</v>
      </c>
      <c r="K384" s="109">
        <f t="shared" si="416"/>
        <v>1.8738153354697672E-3</v>
      </c>
      <c r="L384" s="109">
        <f t="shared" si="417"/>
        <v>2.5158114667348714E-3</v>
      </c>
      <c r="M384" s="111">
        <f t="shared" si="418"/>
        <v>1.3185354004432824E-2</v>
      </c>
      <c r="N384" s="109">
        <f t="shared" si="419"/>
        <v>5.6301826977443329E-3</v>
      </c>
      <c r="O384" s="109">
        <f t="shared" si="420"/>
        <v>8.4229017181757723E-3</v>
      </c>
      <c r="P384" s="109">
        <f t="shared" si="421"/>
        <v>1.2871921453595376E-2</v>
      </c>
      <c r="Q384" s="109">
        <f t="shared" si="422"/>
        <v>2.1278298156445611E-2</v>
      </c>
      <c r="R384" s="109">
        <f t="shared" si="423"/>
        <v>8.4415691296109291E-2</v>
      </c>
      <c r="S384" s="110">
        <f t="shared" si="424"/>
        <v>1.8847132760001837E-3</v>
      </c>
      <c r="T384" s="109">
        <f t="shared" si="425"/>
        <v>6.9193252805220687E-3</v>
      </c>
      <c r="U384" s="109">
        <f t="shared" si="426"/>
        <v>1.1062973587532691E-2</v>
      </c>
      <c r="V384" s="109">
        <f t="shared" si="427"/>
        <v>2.861655614182727E-2</v>
      </c>
      <c r="W384" s="111">
        <f t="shared" si="428"/>
        <v>0.18445033575507572</v>
      </c>
      <c r="X384" s="115">
        <f t="shared" si="431"/>
        <v>0.99999999999999989</v>
      </c>
      <c r="Y384" s="38" t="s">
        <v>491</v>
      </c>
      <c r="Z384" s="42" t="s">
        <v>165</v>
      </c>
      <c r="AA384" s="67">
        <f t="shared" ref="AA384:AT384" si="476">(SUMIF($AV$339:$AV$442,$Y384,AW$339:AW$442)*AA$337+IF($J162,SUMIF($AV$229:$AV$332,$Y274,AW$229:AW$332)*AA$227*(1-$D162/$J162),0))*$AU384</f>
        <v>23224.639999999999</v>
      </c>
      <c r="AB384" s="67">
        <f t="shared" si="476"/>
        <v>31671.69</v>
      </c>
      <c r="AC384" s="67">
        <f t="shared" si="476"/>
        <v>40439.199999999997</v>
      </c>
      <c r="AD384" s="67">
        <f t="shared" si="476"/>
        <v>60374.55</v>
      </c>
      <c r="AE384" s="67">
        <f t="shared" si="476"/>
        <v>59980.959999999999</v>
      </c>
      <c r="AF384" s="76">
        <f t="shared" si="476"/>
        <v>115.127</v>
      </c>
      <c r="AG384" s="67">
        <f t="shared" si="476"/>
        <v>145.5367</v>
      </c>
      <c r="AH384" s="67">
        <f t="shared" si="476"/>
        <v>655.97649999999999</v>
      </c>
      <c r="AI384" s="67">
        <f t="shared" si="476"/>
        <v>880.72349999999994</v>
      </c>
      <c r="AJ384" s="68">
        <f t="shared" si="476"/>
        <v>4615.8670000000002</v>
      </c>
      <c r="AK384" s="67">
        <f t="shared" si="476"/>
        <v>1970.9880000000001</v>
      </c>
      <c r="AL384" s="67">
        <f t="shared" si="476"/>
        <v>2948.65</v>
      </c>
      <c r="AM384" s="67">
        <f t="shared" si="476"/>
        <v>4506.1419999999998</v>
      </c>
      <c r="AN384" s="67">
        <f t="shared" si="476"/>
        <v>7449.0069999999996</v>
      </c>
      <c r="AO384" s="67">
        <f t="shared" si="476"/>
        <v>29551.85</v>
      </c>
      <c r="AP384" s="76">
        <f t="shared" si="476"/>
        <v>659.79160000000002</v>
      </c>
      <c r="AQ384" s="67">
        <f t="shared" si="476"/>
        <v>2422.2849999999999</v>
      </c>
      <c r="AR384" s="67">
        <f t="shared" si="476"/>
        <v>3872.8739999999998</v>
      </c>
      <c r="AS384" s="67">
        <f t="shared" si="476"/>
        <v>10017.950000000001</v>
      </c>
      <c r="AT384" s="68">
        <f t="shared" si="476"/>
        <v>64571.51</v>
      </c>
      <c r="AU384" s="216">
        <v>1</v>
      </c>
      <c r="AV384" s="104" t="s">
        <v>491</v>
      </c>
      <c r="AW384" s="94">
        <v>23224.639999999999</v>
      </c>
      <c r="AX384" s="94">
        <v>31671.69</v>
      </c>
      <c r="AY384" s="94">
        <v>40439.199999999997</v>
      </c>
      <c r="AZ384" s="94">
        <v>60374.55</v>
      </c>
      <c r="BA384" s="94">
        <v>59980.959999999999</v>
      </c>
      <c r="BB384" s="106">
        <v>115.127</v>
      </c>
      <c r="BC384" s="94">
        <v>145.5367</v>
      </c>
      <c r="BD384" s="94">
        <v>655.97649999999999</v>
      </c>
      <c r="BE384" s="94">
        <v>880.72349999999994</v>
      </c>
      <c r="BF384" s="95">
        <v>4615.8670000000002</v>
      </c>
      <c r="BG384" s="94">
        <v>1970.9880000000001</v>
      </c>
      <c r="BH384" s="94">
        <v>2948.65</v>
      </c>
      <c r="BI384" s="94">
        <v>4506.1419999999998</v>
      </c>
      <c r="BJ384" s="94">
        <v>7449.0069999999996</v>
      </c>
      <c r="BK384" s="94">
        <v>29551.85</v>
      </c>
      <c r="BL384" s="106">
        <v>659.79160000000002</v>
      </c>
      <c r="BM384" s="94">
        <v>2422.2849999999999</v>
      </c>
      <c r="BN384" s="94">
        <v>3872.8739999999998</v>
      </c>
      <c r="BO384" s="94">
        <v>10017.950000000001</v>
      </c>
      <c r="BP384" s="95">
        <v>64571.51</v>
      </c>
      <c r="BQ384" s="2"/>
      <c r="BR384" s="2"/>
      <c r="BS384" s="2"/>
    </row>
    <row r="385" spans="1:71" x14ac:dyDescent="0.35">
      <c r="A385" s="2"/>
      <c r="B385" s="2"/>
      <c r="C385" s="42" t="s">
        <v>167</v>
      </c>
      <c r="D385" s="109">
        <f t="shared" si="430"/>
        <v>3.2235757187212534E-2</v>
      </c>
      <c r="E385" s="109">
        <f t="shared" si="410"/>
        <v>5.9751148754358469E-2</v>
      </c>
      <c r="F385" s="109">
        <f t="shared" si="411"/>
        <v>9.8461277869450081E-2</v>
      </c>
      <c r="G385" s="109">
        <f t="shared" si="412"/>
        <v>0.14593688429735607</v>
      </c>
      <c r="H385" s="109">
        <f t="shared" si="413"/>
        <v>0.16913812025994879</v>
      </c>
      <c r="I385" s="110">
        <f t="shared" si="414"/>
        <v>2.1653862689778402E-4</v>
      </c>
      <c r="J385" s="109">
        <f t="shared" si="415"/>
        <v>4.0248813403616856E-4</v>
      </c>
      <c r="K385" s="109">
        <f t="shared" si="416"/>
        <v>1.1265398465525314E-3</v>
      </c>
      <c r="L385" s="109">
        <f t="shared" si="417"/>
        <v>3.6021472736917212E-3</v>
      </c>
      <c r="M385" s="111">
        <f t="shared" si="418"/>
        <v>2.256364428786474E-2</v>
      </c>
      <c r="N385" s="109">
        <f t="shared" si="419"/>
        <v>2.0204405281297323E-3</v>
      </c>
      <c r="O385" s="109">
        <f t="shared" si="420"/>
        <v>3.9684538779079653E-3</v>
      </c>
      <c r="P385" s="109">
        <f t="shared" si="421"/>
        <v>8.6661352565771642E-3</v>
      </c>
      <c r="Q385" s="109">
        <f t="shared" si="422"/>
        <v>1.4392595371272065E-2</v>
      </c>
      <c r="R385" s="109">
        <f t="shared" si="423"/>
        <v>0.11534234141327966</v>
      </c>
      <c r="S385" s="110">
        <f t="shared" si="424"/>
        <v>5.3979895427552749E-4</v>
      </c>
      <c r="T385" s="109">
        <f t="shared" si="425"/>
        <v>2.4927152881539707E-3</v>
      </c>
      <c r="U385" s="109">
        <f t="shared" si="426"/>
        <v>5.0245055378961229E-3</v>
      </c>
      <c r="V385" s="109">
        <f t="shared" si="427"/>
        <v>1.6793709289709774E-2</v>
      </c>
      <c r="W385" s="111">
        <f t="shared" si="428"/>
        <v>0.29732475794542917</v>
      </c>
      <c r="X385" s="115">
        <f t="shared" si="431"/>
        <v>1</v>
      </c>
      <c r="Y385" s="38" t="s">
        <v>527</v>
      </c>
      <c r="Z385" s="42" t="s">
        <v>167</v>
      </c>
      <c r="AA385" s="67">
        <f t="shared" ref="AA385:AT385" si="477">(SUMIF($AV$339:$AV$442,$Y385,AW$339:AW$442)*AA$337+IF($J163,SUMIF($AV$229:$AV$332,$Y275,AW$229:AW$332)*AA$227*(1-$D163/$J163),0))*$AU385</f>
        <v>2151.7750000000001</v>
      </c>
      <c r="AB385" s="67">
        <f t="shared" si="477"/>
        <v>3988.46</v>
      </c>
      <c r="AC385" s="67">
        <f t="shared" si="477"/>
        <v>6572.4070000000002</v>
      </c>
      <c r="AD385" s="67">
        <f t="shared" si="477"/>
        <v>9741.4599999999991</v>
      </c>
      <c r="AE385" s="67">
        <f t="shared" si="477"/>
        <v>11290.17</v>
      </c>
      <c r="AF385" s="76">
        <f t="shared" si="477"/>
        <v>14.45421</v>
      </c>
      <c r="AG385" s="67">
        <f t="shared" si="477"/>
        <v>26.86656</v>
      </c>
      <c r="AH385" s="67">
        <f t="shared" si="477"/>
        <v>75.197869999999995</v>
      </c>
      <c r="AI385" s="67">
        <f t="shared" si="477"/>
        <v>240.44759999999999</v>
      </c>
      <c r="AJ385" s="68">
        <f t="shared" si="477"/>
        <v>1506.15</v>
      </c>
      <c r="AK385" s="67">
        <f t="shared" si="477"/>
        <v>134.86680000000001</v>
      </c>
      <c r="AL385" s="67">
        <f t="shared" si="477"/>
        <v>264.899</v>
      </c>
      <c r="AM385" s="67">
        <f t="shared" si="477"/>
        <v>578.47479999999996</v>
      </c>
      <c r="AN385" s="67">
        <f t="shared" si="477"/>
        <v>960.72280000000001</v>
      </c>
      <c r="AO385" s="67">
        <f t="shared" si="477"/>
        <v>7699.2380000000003</v>
      </c>
      <c r="AP385" s="76">
        <f t="shared" si="477"/>
        <v>36.032220000000002</v>
      </c>
      <c r="AQ385" s="67">
        <f t="shared" si="477"/>
        <v>166.39169999999999</v>
      </c>
      <c r="AR385" s="67">
        <f t="shared" si="477"/>
        <v>335.39170000000001</v>
      </c>
      <c r="AS385" s="67">
        <f t="shared" si="477"/>
        <v>1121</v>
      </c>
      <c r="AT385" s="68">
        <f t="shared" si="477"/>
        <v>19846.78</v>
      </c>
      <c r="AU385" s="216">
        <v>1</v>
      </c>
      <c r="AV385" s="104" t="s">
        <v>527</v>
      </c>
      <c r="AW385" s="94">
        <v>2151.7750000000001</v>
      </c>
      <c r="AX385" s="94">
        <v>3988.46</v>
      </c>
      <c r="AY385" s="94">
        <v>6572.4070000000002</v>
      </c>
      <c r="AZ385" s="94">
        <v>9741.4599999999991</v>
      </c>
      <c r="BA385" s="94">
        <v>11290.17</v>
      </c>
      <c r="BB385" s="106">
        <v>14.45421</v>
      </c>
      <c r="BC385" s="94">
        <v>26.86656</v>
      </c>
      <c r="BD385" s="94">
        <v>75.197869999999995</v>
      </c>
      <c r="BE385" s="94">
        <v>240.44759999999999</v>
      </c>
      <c r="BF385" s="95">
        <v>1506.15</v>
      </c>
      <c r="BG385" s="94">
        <v>134.86680000000001</v>
      </c>
      <c r="BH385" s="94">
        <v>264.899</v>
      </c>
      <c r="BI385" s="94">
        <v>578.47479999999996</v>
      </c>
      <c r="BJ385" s="94">
        <v>960.72280000000001</v>
      </c>
      <c r="BK385" s="94">
        <v>7699.2380000000003</v>
      </c>
      <c r="BL385" s="106">
        <v>36.032220000000002</v>
      </c>
      <c r="BM385" s="94">
        <v>166.39169999999999</v>
      </c>
      <c r="BN385" s="94">
        <v>335.39170000000001</v>
      </c>
      <c r="BO385" s="94">
        <v>1121</v>
      </c>
      <c r="BP385" s="95">
        <v>19846.78</v>
      </c>
      <c r="BQ385" s="2"/>
      <c r="BR385" s="2"/>
      <c r="BS385" s="2"/>
    </row>
    <row r="386" spans="1:71" x14ac:dyDescent="0.35">
      <c r="A386" s="2"/>
      <c r="B386" s="2"/>
      <c r="C386" s="42" t="s">
        <v>169</v>
      </c>
      <c r="D386" s="109">
        <f t="shared" si="430"/>
        <v>0</v>
      </c>
      <c r="E386" s="109">
        <f t="shared" si="410"/>
        <v>0</v>
      </c>
      <c r="F386" s="109">
        <f t="shared" si="411"/>
        <v>0</v>
      </c>
      <c r="G386" s="109">
        <f t="shared" si="412"/>
        <v>0</v>
      </c>
      <c r="H386" s="109">
        <f t="shared" si="413"/>
        <v>0</v>
      </c>
      <c r="I386" s="110">
        <f t="shared" si="414"/>
        <v>0</v>
      </c>
      <c r="J386" s="109">
        <f t="shared" si="415"/>
        <v>0</v>
      </c>
      <c r="K386" s="109">
        <f t="shared" si="416"/>
        <v>0</v>
      </c>
      <c r="L386" s="109">
        <f t="shared" si="417"/>
        <v>0</v>
      </c>
      <c r="M386" s="111">
        <f t="shared" si="418"/>
        <v>0</v>
      </c>
      <c r="N386" s="109">
        <f t="shared" si="419"/>
        <v>0</v>
      </c>
      <c r="O386" s="109">
        <f t="shared" si="420"/>
        <v>0</v>
      </c>
      <c r="P386" s="109">
        <f t="shared" si="421"/>
        <v>0</v>
      </c>
      <c r="Q386" s="109">
        <f t="shared" si="422"/>
        <v>0</v>
      </c>
      <c r="R386" s="109">
        <f t="shared" si="423"/>
        <v>0</v>
      </c>
      <c r="S386" s="110">
        <f t="shared" si="424"/>
        <v>0</v>
      </c>
      <c r="T386" s="109">
        <f t="shared" si="425"/>
        <v>0</v>
      </c>
      <c r="U386" s="109">
        <f t="shared" si="426"/>
        <v>0</v>
      </c>
      <c r="V386" s="109">
        <f t="shared" si="427"/>
        <v>0</v>
      </c>
      <c r="W386" s="111">
        <f t="shared" si="428"/>
        <v>0</v>
      </c>
      <c r="X386" s="115">
        <f t="shared" si="431"/>
        <v>0</v>
      </c>
      <c r="Y386" s="38" t="s">
        <v>493</v>
      </c>
      <c r="Z386" s="42" t="s">
        <v>169</v>
      </c>
      <c r="AA386" s="67">
        <f t="shared" ref="AA386:AT386" si="478">(SUMIF($AV$339:$AV$442,$Y386,AW$339:AW$442)*AA$337+IF($J164,SUMIF($AV$229:$AV$332,$Y276,AW$229:AW$332)*AA$227*(1-$D164/$J164),0))*$AU386</f>
        <v>0</v>
      </c>
      <c r="AB386" s="67">
        <f t="shared" si="478"/>
        <v>0</v>
      </c>
      <c r="AC386" s="67">
        <f t="shared" si="478"/>
        <v>0</v>
      </c>
      <c r="AD386" s="67">
        <f t="shared" si="478"/>
        <v>0</v>
      </c>
      <c r="AE386" s="67">
        <f t="shared" si="478"/>
        <v>0</v>
      </c>
      <c r="AF386" s="76">
        <f t="shared" si="478"/>
        <v>0</v>
      </c>
      <c r="AG386" s="67">
        <f t="shared" si="478"/>
        <v>0</v>
      </c>
      <c r="AH386" s="67">
        <f t="shared" si="478"/>
        <v>0</v>
      </c>
      <c r="AI386" s="67">
        <f t="shared" si="478"/>
        <v>0</v>
      </c>
      <c r="AJ386" s="68">
        <f t="shared" si="478"/>
        <v>0</v>
      </c>
      <c r="AK386" s="67">
        <f t="shared" si="478"/>
        <v>0</v>
      </c>
      <c r="AL386" s="67">
        <f t="shared" si="478"/>
        <v>0</v>
      </c>
      <c r="AM386" s="67">
        <f t="shared" si="478"/>
        <v>0</v>
      </c>
      <c r="AN386" s="67">
        <f t="shared" si="478"/>
        <v>0</v>
      </c>
      <c r="AO386" s="67">
        <f t="shared" si="478"/>
        <v>0</v>
      </c>
      <c r="AP386" s="76">
        <f t="shared" si="478"/>
        <v>0</v>
      </c>
      <c r="AQ386" s="67">
        <f t="shared" si="478"/>
        <v>0</v>
      </c>
      <c r="AR386" s="67">
        <f t="shared" si="478"/>
        <v>0</v>
      </c>
      <c r="AS386" s="67">
        <f t="shared" si="478"/>
        <v>0</v>
      </c>
      <c r="AT386" s="68">
        <f t="shared" si="478"/>
        <v>0</v>
      </c>
      <c r="AU386" s="216">
        <v>1</v>
      </c>
      <c r="AV386" s="104" t="s">
        <v>493</v>
      </c>
      <c r="AW386" s="94"/>
      <c r="AX386" s="94"/>
      <c r="AY386" s="94"/>
      <c r="AZ386" s="94"/>
      <c r="BA386" s="94"/>
      <c r="BB386" s="106"/>
      <c r="BC386" s="94"/>
      <c r="BD386" s="94"/>
      <c r="BE386" s="94"/>
      <c r="BF386" s="95"/>
      <c r="BG386" s="94"/>
      <c r="BH386" s="94"/>
      <c r="BI386" s="94"/>
      <c r="BJ386" s="94"/>
      <c r="BK386" s="94"/>
      <c r="BL386" s="106"/>
      <c r="BM386" s="94"/>
      <c r="BN386" s="94"/>
      <c r="BO386" s="94"/>
      <c r="BP386" s="95"/>
      <c r="BQ386" s="2"/>
      <c r="BR386" s="2"/>
      <c r="BS386" s="2"/>
    </row>
    <row r="387" spans="1:71" x14ac:dyDescent="0.35">
      <c r="A387" s="2"/>
      <c r="B387" s="2"/>
      <c r="C387" s="42" t="s">
        <v>171</v>
      </c>
      <c r="D387" s="109">
        <f t="shared" si="430"/>
        <v>5.5641968537033931E-2</v>
      </c>
      <c r="E387" s="109">
        <f t="shared" si="410"/>
        <v>8.4033672760090133E-2</v>
      </c>
      <c r="F387" s="109">
        <f t="shared" si="411"/>
        <v>0.109506440397713</v>
      </c>
      <c r="G387" s="109">
        <f t="shared" si="412"/>
        <v>0.14968958151533665</v>
      </c>
      <c r="H387" s="109">
        <f t="shared" si="413"/>
        <v>0.16888673381315228</v>
      </c>
      <c r="I387" s="110">
        <f t="shared" si="414"/>
        <v>2.3185146798896227E-4</v>
      </c>
      <c r="J387" s="109">
        <f t="shared" si="415"/>
        <v>1.7929092154894905E-4</v>
      </c>
      <c r="K387" s="109">
        <f t="shared" si="416"/>
        <v>8.6187953903250978E-4</v>
      </c>
      <c r="L387" s="109">
        <f t="shared" si="417"/>
        <v>2.1573694415472455E-3</v>
      </c>
      <c r="M387" s="111">
        <f t="shared" si="418"/>
        <v>2.1915832034756038E-2</v>
      </c>
      <c r="N387" s="109">
        <f t="shared" si="419"/>
        <v>3.2290765381541033E-3</v>
      </c>
      <c r="O387" s="109">
        <f t="shared" si="420"/>
        <v>5.3405570022325424E-3</v>
      </c>
      <c r="P387" s="109">
        <f t="shared" si="421"/>
        <v>8.9378660746687218E-3</v>
      </c>
      <c r="Q387" s="109">
        <f t="shared" si="422"/>
        <v>1.4497039618027991E-2</v>
      </c>
      <c r="R387" s="109">
        <f t="shared" si="423"/>
        <v>0.1055553607132823</v>
      </c>
      <c r="S387" s="110">
        <f t="shared" si="424"/>
        <v>1.1124278791080225E-3</v>
      </c>
      <c r="T387" s="109">
        <f t="shared" si="425"/>
        <v>2.4403022093037992E-3</v>
      </c>
      <c r="U387" s="109">
        <f t="shared" si="426"/>
        <v>4.9267189866225979E-3</v>
      </c>
      <c r="V387" s="109">
        <f t="shared" si="427"/>
        <v>1.4698623469733808E-2</v>
      </c>
      <c r="W387" s="111">
        <f t="shared" si="428"/>
        <v>0.24615740708066636</v>
      </c>
      <c r="X387" s="115">
        <f t="shared" si="431"/>
        <v>0.99999999999999989</v>
      </c>
      <c r="Y387" s="38" t="s">
        <v>492</v>
      </c>
      <c r="Z387" s="42" t="s">
        <v>171</v>
      </c>
      <c r="AA387" s="67">
        <f t="shared" ref="AA387:AT387" si="479">(SUMIF($AV$339:$AV$442,$Y387,AW$339:AW$442)*AA$337+IF($J165,SUMIF($AV$229:$AV$332,$Y277,AW$229:AW$332)*AA$227*(1-$D165/$J165),0))*$AU387</f>
        <v>4612.3599999999997</v>
      </c>
      <c r="AB387" s="67">
        <f t="shared" si="479"/>
        <v>6965.8490000000002</v>
      </c>
      <c r="AC387" s="67">
        <f t="shared" si="479"/>
        <v>9077.3770000000004</v>
      </c>
      <c r="AD387" s="67">
        <f t="shared" si="479"/>
        <v>12408.3</v>
      </c>
      <c r="AE387" s="67">
        <f t="shared" si="479"/>
        <v>13999.62</v>
      </c>
      <c r="AF387" s="76">
        <f t="shared" si="479"/>
        <v>19.218990000000002</v>
      </c>
      <c r="AG387" s="67">
        <f t="shared" si="479"/>
        <v>14.86206</v>
      </c>
      <c r="AH387" s="67">
        <f t="shared" si="479"/>
        <v>71.444249999999997</v>
      </c>
      <c r="AI387" s="67">
        <f t="shared" si="479"/>
        <v>178.83199999999999</v>
      </c>
      <c r="AJ387" s="68">
        <f t="shared" si="479"/>
        <v>1816.681</v>
      </c>
      <c r="AK387" s="67">
        <f t="shared" si="479"/>
        <v>267.6696</v>
      </c>
      <c r="AL387" s="67">
        <f t="shared" si="479"/>
        <v>442.6977</v>
      </c>
      <c r="AM387" s="67">
        <f t="shared" si="479"/>
        <v>740.89139999999998</v>
      </c>
      <c r="AN387" s="67">
        <f t="shared" si="479"/>
        <v>1201.711</v>
      </c>
      <c r="AO387" s="67">
        <f t="shared" si="479"/>
        <v>8749.8580000000002</v>
      </c>
      <c r="AP387" s="76">
        <f t="shared" si="479"/>
        <v>92.213089999999994</v>
      </c>
      <c r="AQ387" s="67">
        <f t="shared" si="479"/>
        <v>202.28530000000001</v>
      </c>
      <c r="AR387" s="67">
        <f t="shared" si="479"/>
        <v>408.39319999999998</v>
      </c>
      <c r="AS387" s="67">
        <f t="shared" si="479"/>
        <v>1218.421</v>
      </c>
      <c r="AT387" s="68">
        <f t="shared" si="479"/>
        <v>20404.86</v>
      </c>
      <c r="AU387" s="216">
        <v>1</v>
      </c>
      <c r="AV387" s="104" t="s">
        <v>492</v>
      </c>
      <c r="AW387" s="94">
        <v>4612.3599999999997</v>
      </c>
      <c r="AX387" s="94">
        <v>6965.8490000000002</v>
      </c>
      <c r="AY387" s="94">
        <v>9077.3770000000004</v>
      </c>
      <c r="AZ387" s="94">
        <v>12408.3</v>
      </c>
      <c r="BA387" s="94">
        <v>13999.62</v>
      </c>
      <c r="BB387" s="106">
        <v>19.218990000000002</v>
      </c>
      <c r="BC387" s="94">
        <v>14.86206</v>
      </c>
      <c r="BD387" s="94">
        <v>71.444249999999997</v>
      </c>
      <c r="BE387" s="94">
        <v>178.83199999999999</v>
      </c>
      <c r="BF387" s="95">
        <v>1816.681</v>
      </c>
      <c r="BG387" s="94">
        <v>267.6696</v>
      </c>
      <c r="BH387" s="94">
        <v>442.6977</v>
      </c>
      <c r="BI387" s="94">
        <v>740.89139999999998</v>
      </c>
      <c r="BJ387" s="94">
        <v>1201.711</v>
      </c>
      <c r="BK387" s="94">
        <v>8749.8580000000002</v>
      </c>
      <c r="BL387" s="106">
        <v>92.213089999999994</v>
      </c>
      <c r="BM387" s="94">
        <v>202.28530000000001</v>
      </c>
      <c r="BN387" s="94">
        <v>408.39319999999998</v>
      </c>
      <c r="BO387" s="94">
        <v>1218.421</v>
      </c>
      <c r="BP387" s="95">
        <v>20404.86</v>
      </c>
      <c r="BQ387" s="2"/>
      <c r="BR387" s="2"/>
      <c r="BS387" s="2"/>
    </row>
    <row r="388" spans="1:71" x14ac:dyDescent="0.35">
      <c r="A388" s="2"/>
      <c r="B388" s="2"/>
      <c r="C388" s="42" t="s">
        <v>173</v>
      </c>
      <c r="D388" s="109">
        <f t="shared" si="430"/>
        <v>1.8064648069269589E-2</v>
      </c>
      <c r="E388" s="109">
        <f t="shared" si="410"/>
        <v>3.7547108706740717E-2</v>
      </c>
      <c r="F388" s="109">
        <f t="shared" si="411"/>
        <v>6.0290866170857452E-2</v>
      </c>
      <c r="G388" s="109">
        <f t="shared" si="412"/>
        <v>0.11435336104214389</v>
      </c>
      <c r="H388" s="109">
        <f t="shared" si="413"/>
        <v>0.17907173158998488</v>
      </c>
      <c r="I388" s="110">
        <f t="shared" si="414"/>
        <v>0</v>
      </c>
      <c r="J388" s="109">
        <f t="shared" si="415"/>
        <v>1.0616590152513568E-4</v>
      </c>
      <c r="K388" s="109">
        <f t="shared" si="416"/>
        <v>2.1305547796037814E-4</v>
      </c>
      <c r="L388" s="109">
        <f t="shared" si="417"/>
        <v>0</v>
      </c>
      <c r="M388" s="111">
        <f t="shared" si="418"/>
        <v>2.3957684684233784E-2</v>
      </c>
      <c r="N388" s="109">
        <f t="shared" si="419"/>
        <v>1.6476500751582115E-3</v>
      </c>
      <c r="O388" s="109">
        <f t="shared" si="420"/>
        <v>2.8040175848714263E-3</v>
      </c>
      <c r="P388" s="109">
        <f t="shared" si="421"/>
        <v>1.2346938415398998E-2</v>
      </c>
      <c r="Q388" s="109">
        <f t="shared" si="422"/>
        <v>3.2304075173231986E-2</v>
      </c>
      <c r="R388" s="109">
        <f t="shared" si="423"/>
        <v>0.21914010293159913</v>
      </c>
      <c r="S388" s="110">
        <f t="shared" si="424"/>
        <v>5.6672320318944909E-4</v>
      </c>
      <c r="T388" s="109">
        <f t="shared" si="425"/>
        <v>0</v>
      </c>
      <c r="U388" s="109">
        <f t="shared" si="426"/>
        <v>4.9468008357514276E-3</v>
      </c>
      <c r="V388" s="109">
        <f t="shared" si="427"/>
        <v>3.8923649878489699E-3</v>
      </c>
      <c r="W388" s="111">
        <f t="shared" si="428"/>
        <v>0.28874670515023471</v>
      </c>
      <c r="X388" s="115">
        <f t="shared" si="431"/>
        <v>1</v>
      </c>
      <c r="Y388" s="38" t="s">
        <v>528</v>
      </c>
      <c r="Z388" s="42" t="s">
        <v>173</v>
      </c>
      <c r="AA388" s="67">
        <f t="shared" ref="AA388:AT388" si="480">(SUMIF($AV$339:$AV$442,$Y388,AW$339:AW$442)*AA$337+IF($J166,SUMIF($AV$229:$AV$332,$Y278,AW$229:AW$332)*AA$227*(1-$D166/$J166),0))*$AU388</f>
        <v>147.63749999999999</v>
      </c>
      <c r="AB388" s="67">
        <f t="shared" si="480"/>
        <v>306.86239999999998</v>
      </c>
      <c r="AC388" s="67">
        <f t="shared" si="480"/>
        <v>492.74099999999999</v>
      </c>
      <c r="AD388" s="67">
        <f t="shared" si="480"/>
        <v>934.57920000000001</v>
      </c>
      <c r="AE388" s="67">
        <f t="shared" si="480"/>
        <v>1463.5050000000001</v>
      </c>
      <c r="AF388" s="76">
        <f t="shared" si="480"/>
        <v>0</v>
      </c>
      <c r="AG388" s="67">
        <f t="shared" si="480"/>
        <v>0.86766529999999997</v>
      </c>
      <c r="AH388" s="67">
        <f t="shared" si="480"/>
        <v>1.7412449999999999</v>
      </c>
      <c r="AI388" s="67">
        <f t="shared" si="480"/>
        <v>0</v>
      </c>
      <c r="AJ388" s="68">
        <f t="shared" si="480"/>
        <v>195.7997</v>
      </c>
      <c r="AK388" s="67">
        <f t="shared" si="480"/>
        <v>13.4658</v>
      </c>
      <c r="AL388" s="67">
        <f t="shared" si="480"/>
        <v>22.91648</v>
      </c>
      <c r="AM388" s="67">
        <f t="shared" si="480"/>
        <v>100.90819999999999</v>
      </c>
      <c r="AN388" s="67">
        <f t="shared" si="480"/>
        <v>264.01249999999999</v>
      </c>
      <c r="AO388" s="67">
        <f t="shared" si="480"/>
        <v>1790.973</v>
      </c>
      <c r="AP388" s="76">
        <f t="shared" si="480"/>
        <v>4.6316759999999997</v>
      </c>
      <c r="AQ388" s="67">
        <f t="shared" si="480"/>
        <v>0</v>
      </c>
      <c r="AR388" s="67">
        <f t="shared" si="480"/>
        <v>40.428870000000003</v>
      </c>
      <c r="AS388" s="67">
        <f t="shared" si="480"/>
        <v>31.811250000000001</v>
      </c>
      <c r="AT388" s="68">
        <f t="shared" si="480"/>
        <v>2359.8490000000002</v>
      </c>
      <c r="AU388" s="216">
        <v>1</v>
      </c>
      <c r="AV388" s="104" t="s">
        <v>528</v>
      </c>
      <c r="AW388" s="94">
        <v>147.63749999999999</v>
      </c>
      <c r="AX388" s="94">
        <v>306.86239999999998</v>
      </c>
      <c r="AY388" s="94">
        <v>492.74099999999999</v>
      </c>
      <c r="AZ388" s="94">
        <v>934.57920000000001</v>
      </c>
      <c r="BA388" s="94">
        <v>1463.5050000000001</v>
      </c>
      <c r="BB388" s="106">
        <v>0</v>
      </c>
      <c r="BC388" s="94">
        <v>0.86766529999999997</v>
      </c>
      <c r="BD388" s="94">
        <v>1.7412449999999999</v>
      </c>
      <c r="BE388" s="94">
        <v>0</v>
      </c>
      <c r="BF388" s="95">
        <v>195.7997</v>
      </c>
      <c r="BG388" s="94">
        <v>13.4658</v>
      </c>
      <c r="BH388" s="94">
        <v>22.91648</v>
      </c>
      <c r="BI388" s="94">
        <v>100.90819999999999</v>
      </c>
      <c r="BJ388" s="94">
        <v>264.01249999999999</v>
      </c>
      <c r="BK388" s="94">
        <v>1790.973</v>
      </c>
      <c r="BL388" s="106">
        <v>4.6316759999999997</v>
      </c>
      <c r="BM388" s="94">
        <v>0</v>
      </c>
      <c r="BN388" s="94">
        <v>40.428870000000003</v>
      </c>
      <c r="BO388" s="94">
        <v>31.811250000000001</v>
      </c>
      <c r="BP388" s="95">
        <v>2359.8490000000002</v>
      </c>
      <c r="BQ388" s="2"/>
      <c r="BR388" s="2"/>
      <c r="BS388" s="2"/>
    </row>
    <row r="389" spans="1:71" x14ac:dyDescent="0.35">
      <c r="A389" s="2"/>
      <c r="B389" s="2"/>
      <c r="C389" s="42" t="s">
        <v>175</v>
      </c>
      <c r="D389" s="109">
        <f t="shared" si="430"/>
        <v>1.9678451326735649E-2</v>
      </c>
      <c r="E389" s="109">
        <f t="shared" si="410"/>
        <v>3.9750191314119658E-2</v>
      </c>
      <c r="F389" s="109">
        <f t="shared" si="411"/>
        <v>7.4527179025570531E-2</v>
      </c>
      <c r="G389" s="109">
        <f t="shared" si="412"/>
        <v>0.14087160613028163</v>
      </c>
      <c r="H389" s="109">
        <f t="shared" si="413"/>
        <v>0.1927593110641474</v>
      </c>
      <c r="I389" s="110">
        <f t="shared" si="414"/>
        <v>7.3224360920548428E-5</v>
      </c>
      <c r="J389" s="109">
        <f t="shared" si="415"/>
        <v>0</v>
      </c>
      <c r="K389" s="109">
        <f t="shared" si="416"/>
        <v>1.577901487783095E-3</v>
      </c>
      <c r="L389" s="109">
        <f t="shared" si="417"/>
        <v>1.2768579050015827E-3</v>
      </c>
      <c r="M389" s="111">
        <f t="shared" si="418"/>
        <v>2.5223163978175558E-2</v>
      </c>
      <c r="N389" s="109">
        <f t="shared" si="419"/>
        <v>1.6964159089496215E-3</v>
      </c>
      <c r="O389" s="109">
        <f t="shared" si="420"/>
        <v>7.5903792623036748E-3</v>
      </c>
      <c r="P389" s="109">
        <f t="shared" si="421"/>
        <v>9.9692795341250334E-3</v>
      </c>
      <c r="Q389" s="109">
        <f t="shared" si="422"/>
        <v>1.933266673356893E-2</v>
      </c>
      <c r="R389" s="109">
        <f t="shared" si="423"/>
        <v>0.14610246712220606</v>
      </c>
      <c r="S389" s="110">
        <f t="shared" si="424"/>
        <v>1.2892905934679881E-4</v>
      </c>
      <c r="T389" s="109">
        <f t="shared" si="425"/>
        <v>7.4334783634555509E-4</v>
      </c>
      <c r="U389" s="109">
        <f t="shared" si="426"/>
        <v>3.2919563714372889E-3</v>
      </c>
      <c r="V389" s="109">
        <f t="shared" si="427"/>
        <v>9.465803376119717E-3</v>
      </c>
      <c r="W389" s="111">
        <f t="shared" si="428"/>
        <v>0.3059408682028617</v>
      </c>
      <c r="X389" s="115">
        <f t="shared" si="431"/>
        <v>1</v>
      </c>
      <c r="Y389" s="38" t="s">
        <v>494</v>
      </c>
      <c r="Z389" s="42" t="s">
        <v>175</v>
      </c>
      <c r="AA389" s="67">
        <f t="shared" ref="AA389:AT389" si="481">(SUMIF($AV$339:$AV$442,$Y389,AW$339:AW$442)*AA$337+IF($J167,SUMIF($AV$229:$AV$332,$Y279,AW$229:AW$332)*AA$227*(1-$D167/$J167),0))*$AU389</f>
        <v>276.26179999999999</v>
      </c>
      <c r="AB389" s="67">
        <f t="shared" si="481"/>
        <v>558.04489999999998</v>
      </c>
      <c r="AC389" s="67">
        <f t="shared" si="481"/>
        <v>1046.2719999999999</v>
      </c>
      <c r="AD389" s="67">
        <f t="shared" si="481"/>
        <v>1977.6679999999999</v>
      </c>
      <c r="AE389" s="67">
        <f t="shared" si="481"/>
        <v>2706.1089999999999</v>
      </c>
      <c r="AF389" s="76">
        <f t="shared" si="481"/>
        <v>1.027982</v>
      </c>
      <c r="AG389" s="67">
        <f t="shared" si="481"/>
        <v>0</v>
      </c>
      <c r="AH389" s="67">
        <f t="shared" si="481"/>
        <v>22.15184</v>
      </c>
      <c r="AI389" s="67">
        <f t="shared" si="481"/>
        <v>17.925550000000001</v>
      </c>
      <c r="AJ389" s="68">
        <f t="shared" si="481"/>
        <v>354.10289999999998</v>
      </c>
      <c r="AK389" s="67">
        <f t="shared" si="481"/>
        <v>23.815639999999998</v>
      </c>
      <c r="AL389" s="67">
        <f t="shared" si="481"/>
        <v>106.5598</v>
      </c>
      <c r="AM389" s="67">
        <f t="shared" si="481"/>
        <v>139.95670000000001</v>
      </c>
      <c r="AN389" s="67">
        <f t="shared" si="481"/>
        <v>271.4074</v>
      </c>
      <c r="AO389" s="67">
        <f t="shared" si="481"/>
        <v>2051.1030000000001</v>
      </c>
      <c r="AP389" s="76">
        <f t="shared" si="481"/>
        <v>1.810009</v>
      </c>
      <c r="AQ389" s="67">
        <f t="shared" si="481"/>
        <v>10.43571</v>
      </c>
      <c r="AR389" s="67">
        <f t="shared" si="481"/>
        <v>46.215110000000003</v>
      </c>
      <c r="AS389" s="67">
        <f t="shared" si="481"/>
        <v>132.88849999999999</v>
      </c>
      <c r="AT389" s="68">
        <f t="shared" si="481"/>
        <v>4295.0420000000004</v>
      </c>
      <c r="AU389" s="216">
        <v>1</v>
      </c>
      <c r="AV389" s="104" t="s">
        <v>494</v>
      </c>
      <c r="AW389" s="94">
        <v>276.26179999999999</v>
      </c>
      <c r="AX389" s="94">
        <v>558.04489999999998</v>
      </c>
      <c r="AY389" s="94">
        <v>1046.2719999999999</v>
      </c>
      <c r="AZ389" s="94">
        <v>1977.6679999999999</v>
      </c>
      <c r="BA389" s="94">
        <v>2706.1089999999999</v>
      </c>
      <c r="BB389" s="106">
        <v>1.027982</v>
      </c>
      <c r="BC389" s="94">
        <v>0</v>
      </c>
      <c r="BD389" s="94">
        <v>22.15184</v>
      </c>
      <c r="BE389" s="94">
        <v>17.925550000000001</v>
      </c>
      <c r="BF389" s="95">
        <v>354.10289999999998</v>
      </c>
      <c r="BG389" s="94">
        <v>23.815639999999998</v>
      </c>
      <c r="BH389" s="94">
        <v>106.5598</v>
      </c>
      <c r="BI389" s="94">
        <v>139.95670000000001</v>
      </c>
      <c r="BJ389" s="94">
        <v>271.4074</v>
      </c>
      <c r="BK389" s="94">
        <v>2051.1030000000001</v>
      </c>
      <c r="BL389" s="106">
        <v>1.810009</v>
      </c>
      <c r="BM389" s="94">
        <v>10.43571</v>
      </c>
      <c r="BN389" s="94">
        <v>46.215110000000003</v>
      </c>
      <c r="BO389" s="94">
        <v>132.88849999999999</v>
      </c>
      <c r="BP389" s="95">
        <v>4295.0420000000004</v>
      </c>
      <c r="BQ389" s="2"/>
      <c r="BR389" s="2"/>
      <c r="BS389" s="2"/>
    </row>
    <row r="390" spans="1:71" x14ac:dyDescent="0.35">
      <c r="A390" s="2"/>
      <c r="B390" s="2"/>
      <c r="C390" s="42" t="s">
        <v>177</v>
      </c>
      <c r="D390" s="109">
        <f t="shared" si="430"/>
        <v>4.9061838981178295E-2</v>
      </c>
      <c r="E390" s="109">
        <f t="shared" si="410"/>
        <v>8.7382633431332124E-2</v>
      </c>
      <c r="F390" s="109">
        <f t="shared" si="411"/>
        <v>0.12336002114444246</v>
      </c>
      <c r="G390" s="109">
        <f t="shared" si="412"/>
        <v>0.16365486198987475</v>
      </c>
      <c r="H390" s="109">
        <f t="shared" si="413"/>
        <v>0.10534060003444912</v>
      </c>
      <c r="I390" s="110">
        <f t="shared" si="414"/>
        <v>0</v>
      </c>
      <c r="J390" s="109">
        <f t="shared" si="415"/>
        <v>0</v>
      </c>
      <c r="K390" s="109">
        <f t="shared" si="416"/>
        <v>0</v>
      </c>
      <c r="L390" s="109">
        <f t="shared" si="417"/>
        <v>8.4450573873170543E-4</v>
      </c>
      <c r="M390" s="111">
        <f t="shared" si="418"/>
        <v>5.2967208345234612E-3</v>
      </c>
      <c r="N390" s="109">
        <f t="shared" si="419"/>
        <v>1.9097717525296916E-3</v>
      </c>
      <c r="O390" s="109">
        <f t="shared" si="420"/>
        <v>1.1427583688561128E-2</v>
      </c>
      <c r="P390" s="109">
        <f t="shared" si="421"/>
        <v>9.2342764789548944E-3</v>
      </c>
      <c r="Q390" s="109">
        <f t="shared" si="422"/>
        <v>7.1852253817246206E-3</v>
      </c>
      <c r="R390" s="109">
        <f t="shared" si="423"/>
        <v>4.352657333189347E-2</v>
      </c>
      <c r="S390" s="110">
        <f t="shared" si="424"/>
        <v>1.285570068922216E-2</v>
      </c>
      <c r="T390" s="109">
        <f t="shared" si="425"/>
        <v>6.110682489809738E-3</v>
      </c>
      <c r="U390" s="109">
        <f t="shared" si="426"/>
        <v>3.7530508490739058E-2</v>
      </c>
      <c r="V390" s="109">
        <f t="shared" si="427"/>
        <v>5.0561202288860074E-2</v>
      </c>
      <c r="W390" s="111">
        <f t="shared" si="428"/>
        <v>0.28471729325317324</v>
      </c>
      <c r="X390" s="115">
        <f t="shared" si="431"/>
        <v>1</v>
      </c>
      <c r="Y390" s="38" t="s">
        <v>495</v>
      </c>
      <c r="Z390" s="42" t="s">
        <v>177</v>
      </c>
      <c r="AA390" s="67">
        <f t="shared" ref="AA390:AT390" si="482">(SUMIF($AV$339:$AV$442,$Y390,AW$339:AW$442)*AA$337+IF($J168,SUMIF($AV$229:$AV$332,$Y280,AW$229:AW$332)*AA$227*(1-$D168/$J168),0))*$AU390</f>
        <v>201.4222</v>
      </c>
      <c r="AB390" s="67">
        <f t="shared" si="482"/>
        <v>358.7473</v>
      </c>
      <c r="AC390" s="67">
        <f t="shared" si="482"/>
        <v>506.45159999999998</v>
      </c>
      <c r="AD390" s="67">
        <f t="shared" si="482"/>
        <v>671.88109999999995</v>
      </c>
      <c r="AE390" s="67">
        <f t="shared" si="482"/>
        <v>432.47329999999999</v>
      </c>
      <c r="AF390" s="76">
        <f t="shared" si="482"/>
        <v>0</v>
      </c>
      <c r="AG390" s="67">
        <f t="shared" si="482"/>
        <v>0</v>
      </c>
      <c r="AH390" s="67">
        <f t="shared" si="482"/>
        <v>0</v>
      </c>
      <c r="AI390" s="67">
        <f t="shared" si="482"/>
        <v>3.467098</v>
      </c>
      <c r="AJ390" s="68">
        <f t="shared" si="482"/>
        <v>21.745560000000001</v>
      </c>
      <c r="AK390" s="67">
        <f t="shared" si="482"/>
        <v>7.840522</v>
      </c>
      <c r="AL390" s="67">
        <f t="shared" si="482"/>
        <v>46.915669999999999</v>
      </c>
      <c r="AM390" s="67">
        <f t="shared" si="482"/>
        <v>37.911099999999998</v>
      </c>
      <c r="AN390" s="67">
        <f t="shared" si="482"/>
        <v>29.49877</v>
      </c>
      <c r="AO390" s="67">
        <f t="shared" si="482"/>
        <v>178.69730000000001</v>
      </c>
      <c r="AP390" s="76">
        <f t="shared" si="482"/>
        <v>52.778770000000002</v>
      </c>
      <c r="AQ390" s="67">
        <f t="shared" si="482"/>
        <v>25.087260000000001</v>
      </c>
      <c r="AR390" s="67">
        <f t="shared" si="482"/>
        <v>154.0806</v>
      </c>
      <c r="AS390" s="67">
        <f t="shared" si="482"/>
        <v>207.5778</v>
      </c>
      <c r="AT390" s="68">
        <f t="shared" si="482"/>
        <v>1168.9000000000001</v>
      </c>
      <c r="AU390" s="216">
        <v>1</v>
      </c>
      <c r="AV390" s="104" t="s">
        <v>495</v>
      </c>
      <c r="AW390" s="94">
        <v>201.4222</v>
      </c>
      <c r="AX390" s="94">
        <v>358.7473</v>
      </c>
      <c r="AY390" s="94">
        <v>506.45159999999998</v>
      </c>
      <c r="AZ390" s="94">
        <v>671.88109999999995</v>
      </c>
      <c r="BA390" s="94">
        <v>432.47329999999999</v>
      </c>
      <c r="BB390" s="106">
        <v>0</v>
      </c>
      <c r="BC390" s="94">
        <v>0</v>
      </c>
      <c r="BD390" s="94">
        <v>0</v>
      </c>
      <c r="BE390" s="94">
        <v>3.467098</v>
      </c>
      <c r="BF390" s="95">
        <v>21.745560000000001</v>
      </c>
      <c r="BG390" s="94">
        <v>7.840522</v>
      </c>
      <c r="BH390" s="94">
        <v>46.915669999999999</v>
      </c>
      <c r="BI390" s="94">
        <v>37.911099999999998</v>
      </c>
      <c r="BJ390" s="94">
        <v>29.49877</v>
      </c>
      <c r="BK390" s="94">
        <v>178.69730000000001</v>
      </c>
      <c r="BL390" s="106">
        <v>52.778770000000002</v>
      </c>
      <c r="BM390" s="94">
        <v>25.087260000000001</v>
      </c>
      <c r="BN390" s="94">
        <v>154.0806</v>
      </c>
      <c r="BO390" s="94">
        <v>207.5778</v>
      </c>
      <c r="BP390" s="95">
        <v>1168.9000000000001</v>
      </c>
      <c r="BQ390" s="2"/>
      <c r="BR390" s="2"/>
      <c r="BS390" s="2"/>
    </row>
    <row r="391" spans="1:71" x14ac:dyDescent="0.35">
      <c r="A391" s="2"/>
      <c r="B391" s="2"/>
      <c r="C391" s="42" t="s">
        <v>179</v>
      </c>
      <c r="D391" s="109">
        <f t="shared" si="430"/>
        <v>4.3889061854906181E-2</v>
      </c>
      <c r="E391" s="109">
        <f t="shared" si="410"/>
        <v>7.3212717723651718E-2</v>
      </c>
      <c r="F391" s="109">
        <f t="shared" si="411"/>
        <v>0.10490333922423788</v>
      </c>
      <c r="G391" s="109">
        <f t="shared" si="412"/>
        <v>0.14971087438975131</v>
      </c>
      <c r="H391" s="109">
        <f t="shared" si="413"/>
        <v>0.1606983538783531</v>
      </c>
      <c r="I391" s="110">
        <f t="shared" si="414"/>
        <v>1.417877955696355E-4</v>
      </c>
      <c r="J391" s="109">
        <f t="shared" si="415"/>
        <v>1.666263717257269E-4</v>
      </c>
      <c r="K391" s="109">
        <f t="shared" si="416"/>
        <v>5.4403722690814845E-4</v>
      </c>
      <c r="L391" s="109">
        <f t="shared" si="417"/>
        <v>2.4126426406763722E-3</v>
      </c>
      <c r="M391" s="111">
        <f t="shared" si="418"/>
        <v>1.8094191695035032E-2</v>
      </c>
      <c r="N391" s="109">
        <f t="shared" si="419"/>
        <v>2.5357409162112521E-3</v>
      </c>
      <c r="O391" s="109">
        <f t="shared" si="420"/>
        <v>4.1435233545034835E-3</v>
      </c>
      <c r="P391" s="109">
        <f t="shared" si="421"/>
        <v>7.7737721239492354E-3</v>
      </c>
      <c r="Q391" s="109">
        <f t="shared" si="422"/>
        <v>1.4393939003268637E-2</v>
      </c>
      <c r="R391" s="109">
        <f t="shared" si="423"/>
        <v>9.1132414804264428E-2</v>
      </c>
      <c r="S391" s="110">
        <f t="shared" si="424"/>
        <v>7.6085227246894315E-4</v>
      </c>
      <c r="T391" s="109">
        <f t="shared" si="425"/>
        <v>3.0936148426579345E-3</v>
      </c>
      <c r="U391" s="109">
        <f t="shared" si="426"/>
        <v>6.5664324184599426E-3</v>
      </c>
      <c r="V391" s="109">
        <f t="shared" si="427"/>
        <v>1.7793651628091673E-2</v>
      </c>
      <c r="W391" s="111">
        <f t="shared" si="428"/>
        <v>0.29803242583530937</v>
      </c>
      <c r="X391" s="115">
        <f t="shared" si="431"/>
        <v>1</v>
      </c>
      <c r="Y391" s="38" t="s">
        <v>496</v>
      </c>
      <c r="Z391" s="42" t="s">
        <v>179</v>
      </c>
      <c r="AA391" s="67">
        <f t="shared" ref="AA391:AT391" si="483">(SUMIF($AV$339:$AV$442,$Y391,AW$339:AW$442)*AA$337+IF($J169,SUMIF($AV$229:$AV$332,$Y281,AW$229:AW$332)*AA$227*(1-$D169/$J169),0))*$AU391</f>
        <v>6218.857</v>
      </c>
      <c r="AB391" s="67">
        <f t="shared" si="483"/>
        <v>10373.870000000001</v>
      </c>
      <c r="AC391" s="67">
        <f t="shared" si="483"/>
        <v>14864.27</v>
      </c>
      <c r="AD391" s="67">
        <f t="shared" si="483"/>
        <v>21213.27</v>
      </c>
      <c r="AE391" s="67">
        <f t="shared" si="483"/>
        <v>22770.14</v>
      </c>
      <c r="AF391" s="76">
        <f t="shared" si="483"/>
        <v>20.090610000000002</v>
      </c>
      <c r="AG391" s="67">
        <f t="shared" si="483"/>
        <v>23.610109999999999</v>
      </c>
      <c r="AH391" s="67">
        <f t="shared" si="483"/>
        <v>77.087310000000002</v>
      </c>
      <c r="AI391" s="67">
        <f t="shared" si="483"/>
        <v>341.85919999999999</v>
      </c>
      <c r="AJ391" s="68">
        <f t="shared" si="483"/>
        <v>2563.855</v>
      </c>
      <c r="AK391" s="67">
        <f t="shared" si="483"/>
        <v>359.30160000000001</v>
      </c>
      <c r="AL391" s="67">
        <f t="shared" si="483"/>
        <v>587.11620000000005</v>
      </c>
      <c r="AM391" s="67">
        <f t="shared" si="483"/>
        <v>1101.5039999999999</v>
      </c>
      <c r="AN391" s="67">
        <f t="shared" si="483"/>
        <v>2039.548</v>
      </c>
      <c r="AO391" s="67">
        <f t="shared" si="483"/>
        <v>12913</v>
      </c>
      <c r="AP391" s="76">
        <f t="shared" si="483"/>
        <v>107.80889999999999</v>
      </c>
      <c r="AQ391" s="67">
        <f t="shared" si="483"/>
        <v>438.34949999999998</v>
      </c>
      <c r="AR391" s="67">
        <f t="shared" si="483"/>
        <v>930.43010000000004</v>
      </c>
      <c r="AS391" s="67">
        <f t="shared" si="483"/>
        <v>2521.27</v>
      </c>
      <c r="AT391" s="68">
        <f t="shared" si="483"/>
        <v>42229.68</v>
      </c>
      <c r="AU391" s="216">
        <v>1</v>
      </c>
      <c r="AV391" s="104" t="s">
        <v>496</v>
      </c>
      <c r="AW391" s="94">
        <v>6218.857</v>
      </c>
      <c r="AX391" s="94">
        <v>10373.870000000001</v>
      </c>
      <c r="AY391" s="94">
        <v>14864.27</v>
      </c>
      <c r="AZ391" s="94">
        <v>21213.27</v>
      </c>
      <c r="BA391" s="94">
        <v>22770.14</v>
      </c>
      <c r="BB391" s="106">
        <v>20.090610000000002</v>
      </c>
      <c r="BC391" s="94">
        <v>23.610109999999999</v>
      </c>
      <c r="BD391" s="94">
        <v>77.087310000000002</v>
      </c>
      <c r="BE391" s="94">
        <v>341.85919999999999</v>
      </c>
      <c r="BF391" s="95">
        <v>2563.855</v>
      </c>
      <c r="BG391" s="94">
        <v>359.30160000000001</v>
      </c>
      <c r="BH391" s="94">
        <v>587.11620000000005</v>
      </c>
      <c r="BI391" s="94">
        <v>1101.5039999999999</v>
      </c>
      <c r="BJ391" s="94">
        <v>2039.548</v>
      </c>
      <c r="BK391" s="94">
        <v>12913</v>
      </c>
      <c r="BL391" s="106">
        <v>107.80889999999999</v>
      </c>
      <c r="BM391" s="94">
        <v>438.34949999999998</v>
      </c>
      <c r="BN391" s="94">
        <v>930.43010000000004</v>
      </c>
      <c r="BO391" s="94">
        <v>2521.27</v>
      </c>
      <c r="BP391" s="95">
        <v>42229.68</v>
      </c>
      <c r="BQ391" s="2"/>
      <c r="BR391" s="2"/>
      <c r="BS391" s="2"/>
    </row>
    <row r="392" spans="1:71" x14ac:dyDescent="0.35">
      <c r="A392" s="2"/>
      <c r="B392" s="2"/>
      <c r="C392" s="42" t="s">
        <v>181</v>
      </c>
      <c r="D392" s="109">
        <f t="shared" si="430"/>
        <v>1.5225015635915957E-2</v>
      </c>
      <c r="E392" s="109">
        <f t="shared" si="410"/>
        <v>3.396985724684435E-2</v>
      </c>
      <c r="F392" s="109">
        <f t="shared" si="411"/>
        <v>6.0917177056113742E-2</v>
      </c>
      <c r="G392" s="109">
        <f t="shared" si="412"/>
        <v>0.10307378160288348</v>
      </c>
      <c r="H392" s="109">
        <f t="shared" si="413"/>
        <v>0.13501103051786634</v>
      </c>
      <c r="I392" s="110">
        <f t="shared" si="414"/>
        <v>0</v>
      </c>
      <c r="J392" s="109">
        <f t="shared" si="415"/>
        <v>2.5511798216597986E-4</v>
      </c>
      <c r="K392" s="109">
        <f t="shared" si="416"/>
        <v>5.4147876238131235E-4</v>
      </c>
      <c r="L392" s="109">
        <f t="shared" si="417"/>
        <v>1.7455859726298853E-3</v>
      </c>
      <c r="M392" s="111">
        <f t="shared" si="418"/>
        <v>2.575975595207225E-2</v>
      </c>
      <c r="N392" s="109">
        <f t="shared" si="419"/>
        <v>2.270032093735662E-3</v>
      </c>
      <c r="O392" s="109">
        <f t="shared" si="420"/>
        <v>2.9863176226233149E-3</v>
      </c>
      <c r="P392" s="109">
        <f t="shared" si="421"/>
        <v>6.6507621091204221E-3</v>
      </c>
      <c r="Q392" s="109">
        <f t="shared" si="422"/>
        <v>1.6064005697576652E-2</v>
      </c>
      <c r="R392" s="109">
        <f t="shared" si="423"/>
        <v>0.14607024868131008</v>
      </c>
      <c r="S392" s="110">
        <f t="shared" si="424"/>
        <v>1.5383479100572011E-3</v>
      </c>
      <c r="T392" s="109">
        <f t="shared" si="425"/>
        <v>3.6167820675048735E-3</v>
      </c>
      <c r="U392" s="109">
        <f t="shared" si="426"/>
        <v>5.0837161051693336E-3</v>
      </c>
      <c r="V392" s="109">
        <f t="shared" si="427"/>
        <v>2.6679101381662088E-2</v>
      </c>
      <c r="W392" s="111">
        <f t="shared" si="428"/>
        <v>0.41254188560236704</v>
      </c>
      <c r="X392" s="115">
        <f t="shared" si="431"/>
        <v>0.99999999999999989</v>
      </c>
      <c r="Y392" s="38" t="s">
        <v>497</v>
      </c>
      <c r="Z392" s="42" t="s">
        <v>181</v>
      </c>
      <c r="AA392" s="67">
        <f t="shared" ref="AA392:AT392" si="484">(SUMIF($AV$339:$AV$442,$Y392,AW$339:AW$442)*AA$337+IF($J170,SUMIF($AV$229:$AV$332,$Y282,AW$229:AW$332)*AA$227*(1-$D170/$J170),0))*$AU392</f>
        <v>172.75970000000001</v>
      </c>
      <c r="AB392" s="67">
        <f t="shared" si="484"/>
        <v>385.45920000000001</v>
      </c>
      <c r="AC392" s="67">
        <f t="shared" si="484"/>
        <v>691.23299999999995</v>
      </c>
      <c r="AD392" s="67">
        <f t="shared" si="484"/>
        <v>1169.588</v>
      </c>
      <c r="AE392" s="67">
        <f t="shared" si="484"/>
        <v>1531.9829999999999</v>
      </c>
      <c r="AF392" s="76">
        <f t="shared" si="484"/>
        <v>0</v>
      </c>
      <c r="AG392" s="67">
        <f t="shared" si="484"/>
        <v>2.8948480000000001</v>
      </c>
      <c r="AH392" s="67">
        <f t="shared" si="484"/>
        <v>6.1442110000000003</v>
      </c>
      <c r="AI392" s="67">
        <f t="shared" si="484"/>
        <v>19.80733</v>
      </c>
      <c r="AJ392" s="68">
        <f t="shared" si="484"/>
        <v>292.29840000000002</v>
      </c>
      <c r="AK392" s="67">
        <f t="shared" si="484"/>
        <v>25.75827</v>
      </c>
      <c r="AL392" s="67">
        <f t="shared" si="484"/>
        <v>33.886029999999998</v>
      </c>
      <c r="AM392" s="67">
        <f t="shared" si="484"/>
        <v>75.466830000000002</v>
      </c>
      <c r="AN392" s="67">
        <f t="shared" si="484"/>
        <v>182.27979999999999</v>
      </c>
      <c r="AO392" s="67">
        <f t="shared" si="484"/>
        <v>1657.473</v>
      </c>
      <c r="AP392" s="76">
        <f t="shared" si="484"/>
        <v>17.455780000000001</v>
      </c>
      <c r="AQ392" s="67">
        <f t="shared" si="484"/>
        <v>41.039969999999997</v>
      </c>
      <c r="AR392" s="67">
        <f t="shared" si="484"/>
        <v>57.685409999999997</v>
      </c>
      <c r="AS392" s="67">
        <f t="shared" si="484"/>
        <v>302.7303</v>
      </c>
      <c r="AT392" s="68">
        <f t="shared" si="484"/>
        <v>4681.152</v>
      </c>
      <c r="AU392" s="216">
        <v>1</v>
      </c>
      <c r="AV392" s="104" t="s">
        <v>497</v>
      </c>
      <c r="AW392" s="94">
        <v>172.75970000000001</v>
      </c>
      <c r="AX392" s="94">
        <v>385.45920000000001</v>
      </c>
      <c r="AY392" s="94">
        <v>691.23299999999995</v>
      </c>
      <c r="AZ392" s="94">
        <v>1169.588</v>
      </c>
      <c r="BA392" s="94">
        <v>1531.9829999999999</v>
      </c>
      <c r="BB392" s="106">
        <v>0</v>
      </c>
      <c r="BC392" s="94">
        <v>2.8948480000000001</v>
      </c>
      <c r="BD392" s="94">
        <v>6.1442110000000003</v>
      </c>
      <c r="BE392" s="94">
        <v>19.80733</v>
      </c>
      <c r="BF392" s="95">
        <v>292.29840000000002</v>
      </c>
      <c r="BG392" s="94">
        <v>25.75827</v>
      </c>
      <c r="BH392" s="94">
        <v>33.886029999999998</v>
      </c>
      <c r="BI392" s="94">
        <v>75.466830000000002</v>
      </c>
      <c r="BJ392" s="94">
        <v>182.27979999999999</v>
      </c>
      <c r="BK392" s="94">
        <v>1657.473</v>
      </c>
      <c r="BL392" s="106">
        <v>17.455780000000001</v>
      </c>
      <c r="BM392" s="94">
        <v>41.039969999999997</v>
      </c>
      <c r="BN392" s="94">
        <v>57.685409999999997</v>
      </c>
      <c r="BO392" s="94">
        <v>302.7303</v>
      </c>
      <c r="BP392" s="95">
        <v>4681.152</v>
      </c>
      <c r="BQ392" s="2"/>
      <c r="BR392" s="2"/>
      <c r="BS392" s="2"/>
    </row>
    <row r="393" spans="1:71" x14ac:dyDescent="0.35">
      <c r="A393" s="2"/>
      <c r="B393" s="2"/>
      <c r="C393" s="42" t="s">
        <v>183</v>
      </c>
      <c r="D393" s="109">
        <f t="shared" si="430"/>
        <v>9.6869203683312803E-3</v>
      </c>
      <c r="E393" s="109">
        <f t="shared" si="410"/>
        <v>1.4597290182815329E-2</v>
      </c>
      <c r="F393" s="109">
        <f t="shared" si="411"/>
        <v>9.652400547229395E-2</v>
      </c>
      <c r="G393" s="109">
        <f t="shared" si="412"/>
        <v>9.3620111250130381E-2</v>
      </c>
      <c r="H393" s="109">
        <f t="shared" si="413"/>
        <v>0.16179302106339707</v>
      </c>
      <c r="I393" s="110">
        <f t="shared" si="414"/>
        <v>0</v>
      </c>
      <c r="J393" s="109">
        <f t="shared" si="415"/>
        <v>0</v>
      </c>
      <c r="K393" s="109">
        <f t="shared" si="416"/>
        <v>0</v>
      </c>
      <c r="L393" s="109">
        <f t="shared" si="417"/>
        <v>9.3585951926396086E-5</v>
      </c>
      <c r="M393" s="111">
        <f t="shared" si="418"/>
        <v>1.2640620379244622E-2</v>
      </c>
      <c r="N393" s="109">
        <f t="shared" si="419"/>
        <v>0</v>
      </c>
      <c r="O393" s="109">
        <f t="shared" si="420"/>
        <v>4.9018981263455701E-4</v>
      </c>
      <c r="P393" s="109">
        <f t="shared" si="421"/>
        <v>9.9472302419002724E-4</v>
      </c>
      <c r="Q393" s="109">
        <f t="shared" si="422"/>
        <v>2.4301593558359656E-3</v>
      </c>
      <c r="R393" s="109">
        <f t="shared" si="423"/>
        <v>6.2283657756481849E-2</v>
      </c>
      <c r="S393" s="110">
        <f t="shared" si="424"/>
        <v>0</v>
      </c>
      <c r="T393" s="109">
        <f t="shared" si="425"/>
        <v>0</v>
      </c>
      <c r="U393" s="109">
        <f t="shared" si="426"/>
        <v>5.3122320568557025E-3</v>
      </c>
      <c r="V393" s="109">
        <f t="shared" si="427"/>
        <v>2.0788762130306736E-2</v>
      </c>
      <c r="W393" s="111">
        <f t="shared" si="428"/>
        <v>0.51874472119555615</v>
      </c>
      <c r="X393" s="115">
        <f t="shared" si="431"/>
        <v>1</v>
      </c>
      <c r="Y393" s="38" t="s">
        <v>529</v>
      </c>
      <c r="Z393" s="42" t="s">
        <v>183</v>
      </c>
      <c r="AA393" s="67">
        <f t="shared" ref="AA393:AT393" si="485">(SUMIF($AV$339:$AV$442,$Y393,AW$339:AW$442)*AA$337+IF($J171,SUMIF($AV$229:$AV$332,$Y283,AW$229:AW$332)*AA$227*(1-$D171/$J171),0))*$AU393</f>
        <v>22.034210000000002</v>
      </c>
      <c r="AB393" s="67">
        <f t="shared" si="485"/>
        <v>33.203510000000001</v>
      </c>
      <c r="AC393" s="67">
        <f t="shared" si="485"/>
        <v>219.55690000000001</v>
      </c>
      <c r="AD393" s="67">
        <f t="shared" si="485"/>
        <v>212.95160000000001</v>
      </c>
      <c r="AE393" s="67">
        <f t="shared" si="485"/>
        <v>368.02010000000001</v>
      </c>
      <c r="AF393" s="76">
        <f t="shared" si="485"/>
        <v>0</v>
      </c>
      <c r="AG393" s="67">
        <f t="shared" si="485"/>
        <v>0</v>
      </c>
      <c r="AH393" s="67">
        <f t="shared" si="485"/>
        <v>0</v>
      </c>
      <c r="AI393" s="67">
        <f t="shared" si="485"/>
        <v>0.2128739</v>
      </c>
      <c r="AJ393" s="68">
        <f t="shared" si="485"/>
        <v>28.752800000000001</v>
      </c>
      <c r="AK393" s="67">
        <f t="shared" si="485"/>
        <v>0</v>
      </c>
      <c r="AL393" s="67">
        <f t="shared" si="485"/>
        <v>1.115003</v>
      </c>
      <c r="AM393" s="67">
        <f t="shared" si="485"/>
        <v>2.262632</v>
      </c>
      <c r="AN393" s="67">
        <f t="shared" si="485"/>
        <v>5.5277260000000004</v>
      </c>
      <c r="AO393" s="67">
        <f t="shared" si="485"/>
        <v>141.67259999999999</v>
      </c>
      <c r="AP393" s="76">
        <f t="shared" si="485"/>
        <v>0</v>
      </c>
      <c r="AQ393" s="67">
        <f t="shared" si="485"/>
        <v>0</v>
      </c>
      <c r="AR393" s="67">
        <f t="shared" si="485"/>
        <v>12.08339</v>
      </c>
      <c r="AS393" s="67">
        <f t="shared" si="485"/>
        <v>47.286850000000001</v>
      </c>
      <c r="AT393" s="68">
        <f t="shared" si="485"/>
        <v>1179.9549999999999</v>
      </c>
      <c r="AU393" s="216">
        <v>1</v>
      </c>
      <c r="AV393" s="104" t="s">
        <v>529</v>
      </c>
      <c r="AW393" s="94">
        <v>22.034210000000002</v>
      </c>
      <c r="AX393" s="94">
        <v>33.203510000000001</v>
      </c>
      <c r="AY393" s="94">
        <v>219.55690000000001</v>
      </c>
      <c r="AZ393" s="94">
        <v>212.95160000000001</v>
      </c>
      <c r="BA393" s="94">
        <v>368.02010000000001</v>
      </c>
      <c r="BB393" s="106">
        <v>0</v>
      </c>
      <c r="BC393" s="94">
        <v>0</v>
      </c>
      <c r="BD393" s="94">
        <v>0</v>
      </c>
      <c r="BE393" s="94">
        <v>0.2128739</v>
      </c>
      <c r="BF393" s="95">
        <v>28.752800000000001</v>
      </c>
      <c r="BG393" s="94">
        <v>0</v>
      </c>
      <c r="BH393" s="94">
        <v>1.115003</v>
      </c>
      <c r="BI393" s="94">
        <v>2.262632</v>
      </c>
      <c r="BJ393" s="94">
        <v>5.5277260000000004</v>
      </c>
      <c r="BK393" s="94">
        <v>141.67259999999999</v>
      </c>
      <c r="BL393" s="106">
        <v>0</v>
      </c>
      <c r="BM393" s="94">
        <v>0</v>
      </c>
      <c r="BN393" s="94">
        <v>12.08339</v>
      </c>
      <c r="BO393" s="94">
        <v>47.286850000000001</v>
      </c>
      <c r="BP393" s="95">
        <v>1179.9549999999999</v>
      </c>
      <c r="BQ393" s="2"/>
      <c r="BR393" s="2"/>
      <c r="BS393" s="2"/>
    </row>
    <row r="394" spans="1:71" x14ac:dyDescent="0.35">
      <c r="A394" s="2"/>
      <c r="B394" s="2"/>
      <c r="C394" s="42" t="s">
        <v>185</v>
      </c>
      <c r="D394" s="109">
        <f t="shared" si="430"/>
        <v>4.5304707593793077E-3</v>
      </c>
      <c r="E394" s="109">
        <f t="shared" si="410"/>
        <v>5.8937036463258784E-3</v>
      </c>
      <c r="F394" s="109">
        <f t="shared" si="411"/>
        <v>9.6773080225577048E-3</v>
      </c>
      <c r="G394" s="109">
        <f t="shared" si="412"/>
        <v>2.6382111278107748E-2</v>
      </c>
      <c r="H394" s="109">
        <f t="shared" si="413"/>
        <v>8.4468291905607132E-2</v>
      </c>
      <c r="I394" s="110">
        <f t="shared" si="414"/>
        <v>1.6234176179829864E-5</v>
      </c>
      <c r="J394" s="109">
        <f t="shared" si="415"/>
        <v>1.2726590833279296E-4</v>
      </c>
      <c r="K394" s="109">
        <f t="shared" si="416"/>
        <v>1.1477230527150509E-4</v>
      </c>
      <c r="L394" s="109">
        <f t="shared" si="417"/>
        <v>1.2329485126597289E-4</v>
      </c>
      <c r="M394" s="111">
        <f t="shared" si="418"/>
        <v>3.2286101895173912E-2</v>
      </c>
      <c r="N394" s="109">
        <f t="shared" si="419"/>
        <v>6.8291938634114011E-4</v>
      </c>
      <c r="O394" s="109">
        <f t="shared" si="420"/>
        <v>7.8937741822706253E-4</v>
      </c>
      <c r="P394" s="109">
        <f t="shared" si="421"/>
        <v>1.0331624710704524E-3</v>
      </c>
      <c r="Q394" s="109">
        <f t="shared" si="422"/>
        <v>1.0114570362343652E-3</v>
      </c>
      <c r="R394" s="109">
        <f t="shared" si="423"/>
        <v>6.1418171568790467E-2</v>
      </c>
      <c r="S394" s="110">
        <f t="shared" si="424"/>
        <v>2.7559859288997415E-4</v>
      </c>
      <c r="T394" s="109">
        <f t="shared" si="425"/>
        <v>2.3245297433699546E-4</v>
      </c>
      <c r="U394" s="109">
        <f t="shared" si="426"/>
        <v>8.0417347442888218E-4</v>
      </c>
      <c r="V394" s="109">
        <f t="shared" si="427"/>
        <v>6.7212651104410536E-4</v>
      </c>
      <c r="W394" s="111">
        <f t="shared" si="428"/>
        <v>0.7694610058184348</v>
      </c>
      <c r="X394" s="115">
        <f t="shared" si="431"/>
        <v>1</v>
      </c>
      <c r="Y394" s="38" t="s">
        <v>498</v>
      </c>
      <c r="Z394" s="42" t="s">
        <v>185</v>
      </c>
      <c r="AA394" s="67">
        <f t="shared" ref="AA394:AT394" si="486">(SUMIF($AV$339:$AV$442,$Y394,AW$339:AW$442)*AA$337+IF($J172,SUMIF($AV$229:$AV$332,$Y284,AW$229:AW$332)*AA$227*(1-$D172/$J172),0))*$AU394</f>
        <v>123.4025</v>
      </c>
      <c r="AB394" s="67">
        <f t="shared" si="486"/>
        <v>160.53469999999999</v>
      </c>
      <c r="AC394" s="67">
        <f t="shared" si="486"/>
        <v>263.59379999999999</v>
      </c>
      <c r="AD394" s="67">
        <f t="shared" si="486"/>
        <v>718.60490000000004</v>
      </c>
      <c r="AE394" s="67">
        <f t="shared" si="486"/>
        <v>2300.7759999999998</v>
      </c>
      <c r="AF394" s="76">
        <f t="shared" si="486"/>
        <v>0.44219199999999997</v>
      </c>
      <c r="AG394" s="67">
        <f t="shared" si="486"/>
        <v>3.4665119999999998</v>
      </c>
      <c r="AH394" s="67">
        <f t="shared" si="486"/>
        <v>3.126207</v>
      </c>
      <c r="AI394" s="67">
        <f t="shared" si="486"/>
        <v>3.3583470000000002</v>
      </c>
      <c r="AJ394" s="68">
        <f t="shared" si="486"/>
        <v>879.41980000000001</v>
      </c>
      <c r="AK394" s="67">
        <f t="shared" si="486"/>
        <v>18.601590000000002</v>
      </c>
      <c r="AL394" s="67">
        <f t="shared" si="486"/>
        <v>21.501329999999999</v>
      </c>
      <c r="AM394" s="67">
        <f t="shared" si="486"/>
        <v>28.141629999999999</v>
      </c>
      <c r="AN394" s="67">
        <f t="shared" si="486"/>
        <v>27.550409999999999</v>
      </c>
      <c r="AO394" s="67">
        <f t="shared" si="486"/>
        <v>1672.9290000000001</v>
      </c>
      <c r="AP394" s="76">
        <f t="shared" si="486"/>
        <v>7.5068479999999997</v>
      </c>
      <c r="AQ394" s="67">
        <f t="shared" si="486"/>
        <v>6.3316330000000001</v>
      </c>
      <c r="AR394" s="67">
        <f t="shared" si="486"/>
        <v>21.904350000000001</v>
      </c>
      <c r="AS394" s="67">
        <f t="shared" si="486"/>
        <v>18.30761</v>
      </c>
      <c r="AT394" s="68">
        <f t="shared" si="486"/>
        <v>20958.84</v>
      </c>
      <c r="AU394" s="216">
        <v>1</v>
      </c>
      <c r="AV394" s="104" t="s">
        <v>498</v>
      </c>
      <c r="AW394" s="94">
        <v>123.4025</v>
      </c>
      <c r="AX394" s="94">
        <v>160.53469999999999</v>
      </c>
      <c r="AY394" s="94">
        <v>263.59379999999999</v>
      </c>
      <c r="AZ394" s="94">
        <v>718.60490000000004</v>
      </c>
      <c r="BA394" s="94">
        <v>2300.7759999999998</v>
      </c>
      <c r="BB394" s="106">
        <v>0.44219199999999997</v>
      </c>
      <c r="BC394" s="94">
        <v>3.4665119999999998</v>
      </c>
      <c r="BD394" s="94">
        <v>3.126207</v>
      </c>
      <c r="BE394" s="94">
        <v>3.3583470000000002</v>
      </c>
      <c r="BF394" s="95">
        <v>879.41980000000001</v>
      </c>
      <c r="BG394" s="94">
        <v>18.601590000000002</v>
      </c>
      <c r="BH394" s="94">
        <v>21.501329999999999</v>
      </c>
      <c r="BI394" s="94">
        <v>28.141629999999999</v>
      </c>
      <c r="BJ394" s="94">
        <v>27.550409999999999</v>
      </c>
      <c r="BK394" s="94">
        <v>1672.9290000000001</v>
      </c>
      <c r="BL394" s="106">
        <v>7.5068479999999997</v>
      </c>
      <c r="BM394" s="94">
        <v>6.3316330000000001</v>
      </c>
      <c r="BN394" s="94">
        <v>21.904350000000001</v>
      </c>
      <c r="BO394" s="94">
        <v>18.30761</v>
      </c>
      <c r="BP394" s="95">
        <v>20958.84</v>
      </c>
      <c r="BQ394" s="2"/>
      <c r="BR394" s="2"/>
      <c r="BS394" s="2"/>
    </row>
    <row r="395" spans="1:71" x14ac:dyDescent="0.35">
      <c r="A395" s="2"/>
      <c r="B395" s="2"/>
      <c r="C395" s="42" t="s">
        <v>187</v>
      </c>
      <c r="D395" s="109">
        <f t="shared" si="430"/>
        <v>7.141235039409656E-2</v>
      </c>
      <c r="E395" s="109">
        <f t="shared" si="410"/>
        <v>0.11406252747252613</v>
      </c>
      <c r="F395" s="109">
        <f t="shared" si="411"/>
        <v>0.14229823916617523</v>
      </c>
      <c r="G395" s="109">
        <f t="shared" si="412"/>
        <v>0.17883588353869143</v>
      </c>
      <c r="H395" s="109">
        <f t="shared" si="413"/>
        <v>0.13719165497180716</v>
      </c>
      <c r="I395" s="110">
        <f t="shared" si="414"/>
        <v>1.9238544768729961E-4</v>
      </c>
      <c r="J395" s="109">
        <f t="shared" si="415"/>
        <v>2.7466335319599846E-4</v>
      </c>
      <c r="K395" s="109">
        <f t="shared" si="416"/>
        <v>1.3333636277827641E-3</v>
      </c>
      <c r="L395" s="109">
        <f t="shared" si="417"/>
        <v>2.3081824559052664E-3</v>
      </c>
      <c r="M395" s="111">
        <f t="shared" si="418"/>
        <v>1.184039773778576E-2</v>
      </c>
      <c r="N395" s="109">
        <f t="shared" si="419"/>
        <v>4.4371454354781414E-3</v>
      </c>
      <c r="O395" s="109">
        <f t="shared" si="420"/>
        <v>7.3516276866901209E-3</v>
      </c>
      <c r="P395" s="109">
        <f t="shared" si="421"/>
        <v>1.0911668301780657E-2</v>
      </c>
      <c r="Q395" s="109">
        <f t="shared" si="422"/>
        <v>1.3267970114662388E-2</v>
      </c>
      <c r="R395" s="109">
        <f t="shared" si="423"/>
        <v>5.601468949920245E-2</v>
      </c>
      <c r="S395" s="110">
        <f t="shared" si="424"/>
        <v>2.7799597456688433E-3</v>
      </c>
      <c r="T395" s="109">
        <f t="shared" si="425"/>
        <v>7.2817128743574329E-3</v>
      </c>
      <c r="U395" s="109">
        <f t="shared" si="426"/>
        <v>1.1169311376051431E-2</v>
      </c>
      <c r="V395" s="109">
        <f t="shared" si="427"/>
        <v>2.5854113269366867E-2</v>
      </c>
      <c r="W395" s="111">
        <f t="shared" si="428"/>
        <v>0.20118215353108793</v>
      </c>
      <c r="X395" s="115">
        <f t="shared" si="431"/>
        <v>0.99999999999999989</v>
      </c>
      <c r="Y395" s="38" t="s">
        <v>499</v>
      </c>
      <c r="Z395" s="42" t="s">
        <v>187</v>
      </c>
      <c r="AA395" s="67">
        <f t="shared" ref="AA395:AT395" si="487">(SUMIF($AV$339:$AV$442,$Y395,AW$339:AW$442)*AA$337+IF($J173,SUMIF($AV$229:$AV$332,$Y285,AW$229:AW$332)*AA$227*(1-$D173/$J173),0))*$AU395</f>
        <v>8703.3109999999997</v>
      </c>
      <c r="AB395" s="67">
        <f t="shared" si="487"/>
        <v>13901.26</v>
      </c>
      <c r="AC395" s="67">
        <f t="shared" si="487"/>
        <v>17342.46</v>
      </c>
      <c r="AD395" s="67">
        <f t="shared" si="487"/>
        <v>21795.45</v>
      </c>
      <c r="AE395" s="67">
        <f t="shared" si="487"/>
        <v>16720.099999999999</v>
      </c>
      <c r="AF395" s="76">
        <f t="shared" si="487"/>
        <v>23.44679</v>
      </c>
      <c r="AG395" s="67">
        <f t="shared" si="487"/>
        <v>33.474330000000002</v>
      </c>
      <c r="AH395" s="67">
        <f t="shared" si="487"/>
        <v>162.50239999999999</v>
      </c>
      <c r="AI395" s="67">
        <f t="shared" si="487"/>
        <v>281.3075</v>
      </c>
      <c r="AJ395" s="68">
        <f t="shared" si="487"/>
        <v>1443.037</v>
      </c>
      <c r="AK395" s="67">
        <f t="shared" si="487"/>
        <v>540.77279999999996</v>
      </c>
      <c r="AL395" s="67">
        <f t="shared" si="487"/>
        <v>895.97249999999997</v>
      </c>
      <c r="AM395" s="67">
        <f t="shared" si="487"/>
        <v>1329.8489999999999</v>
      </c>
      <c r="AN395" s="67">
        <f t="shared" si="487"/>
        <v>1617.021</v>
      </c>
      <c r="AO395" s="67">
        <f t="shared" si="487"/>
        <v>6826.7359999999999</v>
      </c>
      <c r="AP395" s="76">
        <f t="shared" si="487"/>
        <v>338.80489999999998</v>
      </c>
      <c r="AQ395" s="67">
        <f t="shared" si="487"/>
        <v>887.45169999999996</v>
      </c>
      <c r="AR395" s="67">
        <f t="shared" si="487"/>
        <v>1361.249</v>
      </c>
      <c r="AS395" s="67">
        <f t="shared" si="487"/>
        <v>3150.9450000000002</v>
      </c>
      <c r="AT395" s="68">
        <f t="shared" si="487"/>
        <v>24518.880000000001</v>
      </c>
      <c r="AU395" s="216">
        <v>1</v>
      </c>
      <c r="AV395" s="104" t="s">
        <v>499</v>
      </c>
      <c r="AW395" s="94">
        <v>8703.3109999999997</v>
      </c>
      <c r="AX395" s="94">
        <v>13901.26</v>
      </c>
      <c r="AY395" s="94">
        <v>17342.46</v>
      </c>
      <c r="AZ395" s="94">
        <v>21795.45</v>
      </c>
      <c r="BA395" s="94">
        <v>16720.099999999999</v>
      </c>
      <c r="BB395" s="106">
        <v>23.44679</v>
      </c>
      <c r="BC395" s="94">
        <v>33.474330000000002</v>
      </c>
      <c r="BD395" s="94">
        <v>162.50239999999999</v>
      </c>
      <c r="BE395" s="94">
        <v>281.3075</v>
      </c>
      <c r="BF395" s="95">
        <v>1443.037</v>
      </c>
      <c r="BG395" s="94">
        <v>540.77279999999996</v>
      </c>
      <c r="BH395" s="94">
        <v>895.97249999999997</v>
      </c>
      <c r="BI395" s="94">
        <v>1329.8489999999999</v>
      </c>
      <c r="BJ395" s="94">
        <v>1617.021</v>
      </c>
      <c r="BK395" s="94">
        <v>6826.7359999999999</v>
      </c>
      <c r="BL395" s="106">
        <v>338.80489999999998</v>
      </c>
      <c r="BM395" s="94">
        <v>887.45169999999996</v>
      </c>
      <c r="BN395" s="94">
        <v>1361.249</v>
      </c>
      <c r="BO395" s="94">
        <v>3150.9450000000002</v>
      </c>
      <c r="BP395" s="95">
        <v>24518.880000000001</v>
      </c>
      <c r="BQ395" s="2"/>
      <c r="BR395" s="2"/>
      <c r="BS395" s="2"/>
    </row>
    <row r="396" spans="1:71" x14ac:dyDescent="0.35">
      <c r="A396" s="2"/>
      <c r="B396" s="2"/>
      <c r="C396" s="42" t="s">
        <v>189</v>
      </c>
      <c r="D396" s="109">
        <f t="shared" si="430"/>
        <v>6.0255865219834503E-2</v>
      </c>
      <c r="E396" s="109">
        <f t="shared" si="410"/>
        <v>8.8517702453714042E-2</v>
      </c>
      <c r="F396" s="109">
        <f t="shared" si="411"/>
        <v>0.10224313079225898</v>
      </c>
      <c r="G396" s="109">
        <f t="shared" si="412"/>
        <v>0.11231892851002392</v>
      </c>
      <c r="H396" s="109">
        <f t="shared" si="413"/>
        <v>0.137844320253562</v>
      </c>
      <c r="I396" s="110">
        <f t="shared" si="414"/>
        <v>0</v>
      </c>
      <c r="J396" s="109">
        <f t="shared" si="415"/>
        <v>3.6912807787156242E-4</v>
      </c>
      <c r="K396" s="109">
        <f t="shared" si="416"/>
        <v>1.4178706959513342E-3</v>
      </c>
      <c r="L396" s="109">
        <f t="shared" si="417"/>
        <v>2.3987207984938739E-3</v>
      </c>
      <c r="M396" s="111">
        <f t="shared" si="418"/>
        <v>1.3473786690702812E-2</v>
      </c>
      <c r="N396" s="109">
        <f t="shared" si="419"/>
        <v>7.4091068841187603E-3</v>
      </c>
      <c r="O396" s="109">
        <f t="shared" si="420"/>
        <v>1.0793256094123464E-2</v>
      </c>
      <c r="P396" s="109">
        <f t="shared" si="421"/>
        <v>1.6990986188997602E-2</v>
      </c>
      <c r="Q396" s="109">
        <f t="shared" si="422"/>
        <v>2.08346197499692E-2</v>
      </c>
      <c r="R396" s="109">
        <f t="shared" si="423"/>
        <v>5.674271140719634E-2</v>
      </c>
      <c r="S396" s="110">
        <f t="shared" si="424"/>
        <v>2.7031822146714219E-3</v>
      </c>
      <c r="T396" s="109">
        <f t="shared" si="425"/>
        <v>7.3928256378414849E-3</v>
      </c>
      <c r="U396" s="109">
        <f t="shared" si="426"/>
        <v>1.9016573047582096E-2</v>
      </c>
      <c r="V396" s="109">
        <f t="shared" si="427"/>
        <v>3.6768844701555843E-2</v>
      </c>
      <c r="W396" s="111">
        <f t="shared" si="428"/>
        <v>0.30250844058153081</v>
      </c>
      <c r="X396" s="115">
        <f t="shared" si="431"/>
        <v>1.0000000000000002</v>
      </c>
      <c r="Y396" s="38" t="s">
        <v>530</v>
      </c>
      <c r="Z396" s="42" t="s">
        <v>189</v>
      </c>
      <c r="AA396" s="67">
        <f t="shared" ref="AA396:AT396" si="488">(SUMIF($AV$339:$AV$442,$Y396,AW$339:AW$442)*AA$337+IF($J174,SUMIF($AV$229:$AV$332,$Y286,AW$229:AW$332)*AA$227*(1-$D174/$J174),0))*$AU396</f>
        <v>856.39679999999998</v>
      </c>
      <c r="AB396" s="67">
        <f t="shared" si="488"/>
        <v>1258.0730000000001</v>
      </c>
      <c r="AC396" s="67">
        <f t="shared" si="488"/>
        <v>1453.1479999999999</v>
      </c>
      <c r="AD396" s="67">
        <f t="shared" si="488"/>
        <v>1596.3520000000001</v>
      </c>
      <c r="AE396" s="67">
        <f t="shared" si="488"/>
        <v>1959.136</v>
      </c>
      <c r="AF396" s="76">
        <f t="shared" si="488"/>
        <v>0</v>
      </c>
      <c r="AG396" s="67">
        <f t="shared" si="488"/>
        <v>5.2462960000000001</v>
      </c>
      <c r="AH396" s="67">
        <f t="shared" si="488"/>
        <v>20.151730000000001</v>
      </c>
      <c r="AI396" s="67">
        <f t="shared" si="488"/>
        <v>34.092230000000001</v>
      </c>
      <c r="AJ396" s="68">
        <f t="shared" si="488"/>
        <v>191.49850000000001</v>
      </c>
      <c r="AK396" s="67">
        <f t="shared" si="488"/>
        <v>105.3032</v>
      </c>
      <c r="AL396" s="67">
        <f t="shared" si="488"/>
        <v>153.40100000000001</v>
      </c>
      <c r="AM396" s="67">
        <f t="shared" si="488"/>
        <v>241.4873</v>
      </c>
      <c r="AN396" s="67">
        <f t="shared" si="488"/>
        <v>296.11559999999997</v>
      </c>
      <c r="AO396" s="67">
        <f t="shared" si="488"/>
        <v>806.46550000000002</v>
      </c>
      <c r="AP396" s="76">
        <f t="shared" si="488"/>
        <v>38.419440000000002</v>
      </c>
      <c r="AQ396" s="67">
        <f t="shared" si="488"/>
        <v>105.0718</v>
      </c>
      <c r="AR396" s="67">
        <f t="shared" si="488"/>
        <v>270.27629999999999</v>
      </c>
      <c r="AS396" s="67">
        <f t="shared" si="488"/>
        <v>522.58349999999996</v>
      </c>
      <c r="AT396" s="68">
        <f t="shared" si="488"/>
        <v>4299.4530000000004</v>
      </c>
      <c r="AU396" s="216">
        <v>1</v>
      </c>
      <c r="AV396" s="104" t="s">
        <v>530</v>
      </c>
      <c r="AW396" s="94">
        <v>856.39679999999998</v>
      </c>
      <c r="AX396" s="94">
        <v>1258.0730000000001</v>
      </c>
      <c r="AY396" s="94">
        <v>1453.1479999999999</v>
      </c>
      <c r="AZ396" s="94">
        <v>1596.3520000000001</v>
      </c>
      <c r="BA396" s="94">
        <v>1959.136</v>
      </c>
      <c r="BB396" s="106">
        <v>0</v>
      </c>
      <c r="BC396" s="94">
        <v>5.2462960000000001</v>
      </c>
      <c r="BD396" s="94">
        <v>20.151730000000001</v>
      </c>
      <c r="BE396" s="94">
        <v>34.092230000000001</v>
      </c>
      <c r="BF396" s="95">
        <v>191.49850000000001</v>
      </c>
      <c r="BG396" s="94">
        <v>105.3032</v>
      </c>
      <c r="BH396" s="94">
        <v>153.40100000000001</v>
      </c>
      <c r="BI396" s="94">
        <v>241.4873</v>
      </c>
      <c r="BJ396" s="94">
        <v>296.11559999999997</v>
      </c>
      <c r="BK396" s="94">
        <v>806.46550000000002</v>
      </c>
      <c r="BL396" s="106">
        <v>38.419440000000002</v>
      </c>
      <c r="BM396" s="94">
        <v>105.0718</v>
      </c>
      <c r="BN396" s="94">
        <v>270.27629999999999</v>
      </c>
      <c r="BO396" s="94">
        <v>522.58349999999996</v>
      </c>
      <c r="BP396" s="95">
        <v>4299.4530000000004</v>
      </c>
      <c r="BQ396" s="2"/>
      <c r="BR396" s="2"/>
      <c r="BS396" s="2"/>
    </row>
    <row r="397" spans="1:71" x14ac:dyDescent="0.35">
      <c r="A397" s="2"/>
      <c r="B397" s="2"/>
      <c r="C397" s="42" t="s">
        <v>191</v>
      </c>
      <c r="D397" s="109">
        <f t="shared" si="430"/>
        <v>0</v>
      </c>
      <c r="E397" s="109">
        <f t="shared" si="410"/>
        <v>0</v>
      </c>
      <c r="F397" s="109">
        <f t="shared" si="411"/>
        <v>0</v>
      </c>
      <c r="G397" s="109">
        <f t="shared" si="412"/>
        <v>0</v>
      </c>
      <c r="H397" s="109">
        <f t="shared" si="413"/>
        <v>0</v>
      </c>
      <c r="I397" s="110">
        <f t="shared" si="414"/>
        <v>0</v>
      </c>
      <c r="J397" s="109">
        <f t="shared" si="415"/>
        <v>0</v>
      </c>
      <c r="K397" s="109">
        <f t="shared" si="416"/>
        <v>0</v>
      </c>
      <c r="L397" s="109">
        <f t="shared" si="417"/>
        <v>0</v>
      </c>
      <c r="M397" s="111">
        <f t="shared" si="418"/>
        <v>0</v>
      </c>
      <c r="N397" s="109">
        <f t="shared" si="419"/>
        <v>0</v>
      </c>
      <c r="O397" s="109">
        <f t="shared" si="420"/>
        <v>0</v>
      </c>
      <c r="P397" s="109">
        <f t="shared" si="421"/>
        <v>0</v>
      </c>
      <c r="Q397" s="109">
        <f t="shared" si="422"/>
        <v>0</v>
      </c>
      <c r="R397" s="109">
        <f t="shared" si="423"/>
        <v>0</v>
      </c>
      <c r="S397" s="110">
        <f t="shared" si="424"/>
        <v>0</v>
      </c>
      <c r="T397" s="109">
        <f t="shared" si="425"/>
        <v>0</v>
      </c>
      <c r="U397" s="109">
        <f t="shared" si="426"/>
        <v>0</v>
      </c>
      <c r="V397" s="109">
        <f t="shared" si="427"/>
        <v>0</v>
      </c>
      <c r="W397" s="111">
        <f t="shared" si="428"/>
        <v>0</v>
      </c>
      <c r="X397" s="115">
        <f t="shared" si="431"/>
        <v>0</v>
      </c>
      <c r="Y397" s="38" t="s">
        <v>531</v>
      </c>
      <c r="Z397" s="42" t="s">
        <v>191</v>
      </c>
      <c r="AA397" s="67">
        <f t="shared" ref="AA397:AT397" si="489">(SUMIF($AV$339:$AV$442,$Y397,AW$339:AW$442)*AA$337+IF($J175,SUMIF($AV$229:$AV$332,$Y287,AW$229:AW$332)*AA$227*(1-$D175/$J175),0))*$AU397</f>
        <v>0</v>
      </c>
      <c r="AB397" s="67">
        <f t="shared" si="489"/>
        <v>0</v>
      </c>
      <c r="AC397" s="67">
        <f t="shared" si="489"/>
        <v>0</v>
      </c>
      <c r="AD397" s="67">
        <f t="shared" si="489"/>
        <v>0</v>
      </c>
      <c r="AE397" s="67">
        <f t="shared" si="489"/>
        <v>0</v>
      </c>
      <c r="AF397" s="76">
        <f t="shared" si="489"/>
        <v>0</v>
      </c>
      <c r="AG397" s="67">
        <f t="shared" si="489"/>
        <v>0</v>
      </c>
      <c r="AH397" s="67">
        <f t="shared" si="489"/>
        <v>0</v>
      </c>
      <c r="AI397" s="67">
        <f t="shared" si="489"/>
        <v>0</v>
      </c>
      <c r="AJ397" s="68">
        <f t="shared" si="489"/>
        <v>0</v>
      </c>
      <c r="AK397" s="67">
        <f t="shared" si="489"/>
        <v>0</v>
      </c>
      <c r="AL397" s="67">
        <f t="shared" si="489"/>
        <v>0</v>
      </c>
      <c r="AM397" s="67">
        <f t="shared" si="489"/>
        <v>0</v>
      </c>
      <c r="AN397" s="67">
        <f t="shared" si="489"/>
        <v>0</v>
      </c>
      <c r="AO397" s="67">
        <f t="shared" si="489"/>
        <v>0</v>
      </c>
      <c r="AP397" s="76">
        <f t="shared" si="489"/>
        <v>0</v>
      </c>
      <c r="AQ397" s="67">
        <f t="shared" si="489"/>
        <v>0</v>
      </c>
      <c r="AR397" s="67">
        <f t="shared" si="489"/>
        <v>0</v>
      </c>
      <c r="AS397" s="67">
        <f t="shared" si="489"/>
        <v>0</v>
      </c>
      <c r="AT397" s="68">
        <f t="shared" si="489"/>
        <v>0</v>
      </c>
      <c r="AU397" s="216">
        <v>1</v>
      </c>
      <c r="AV397" s="104" t="s">
        <v>531</v>
      </c>
      <c r="AW397" s="94"/>
      <c r="AX397" s="94"/>
      <c r="AY397" s="94"/>
      <c r="AZ397" s="94"/>
      <c r="BA397" s="94"/>
      <c r="BB397" s="106"/>
      <c r="BC397" s="94"/>
      <c r="BD397" s="94"/>
      <c r="BE397" s="94"/>
      <c r="BF397" s="95"/>
      <c r="BG397" s="94"/>
      <c r="BH397" s="94"/>
      <c r="BI397" s="94"/>
      <c r="BJ397" s="94"/>
      <c r="BK397" s="94"/>
      <c r="BL397" s="106"/>
      <c r="BM397" s="94"/>
      <c r="BN397" s="94"/>
      <c r="BO397" s="94"/>
      <c r="BP397" s="95"/>
      <c r="BQ397" s="2"/>
      <c r="BR397" s="2"/>
      <c r="BS397" s="2"/>
    </row>
    <row r="398" spans="1:71" x14ac:dyDescent="0.35">
      <c r="A398" s="2"/>
      <c r="B398" s="2"/>
      <c r="C398" s="42" t="s">
        <v>193</v>
      </c>
      <c r="D398" s="109">
        <f t="shared" si="430"/>
        <v>3.8540769425612964E-2</v>
      </c>
      <c r="E398" s="109">
        <f t="shared" si="410"/>
        <v>5.9524164639458865E-2</v>
      </c>
      <c r="F398" s="109">
        <f t="shared" si="411"/>
        <v>9.2392696965032023E-2</v>
      </c>
      <c r="G398" s="109">
        <f t="shared" si="412"/>
        <v>0.14358912181333655</v>
      </c>
      <c r="H398" s="109">
        <f t="shared" si="413"/>
        <v>0.18332913680060176</v>
      </c>
      <c r="I398" s="110">
        <f t="shared" si="414"/>
        <v>0</v>
      </c>
      <c r="J398" s="109">
        <f t="shared" si="415"/>
        <v>7.063207033816697E-5</v>
      </c>
      <c r="K398" s="109">
        <f t="shared" si="416"/>
        <v>1.9955169724044167E-3</v>
      </c>
      <c r="L398" s="109">
        <f t="shared" si="417"/>
        <v>2.554271542209708E-3</v>
      </c>
      <c r="M398" s="111">
        <f t="shared" si="418"/>
        <v>1.9631719709110387E-2</v>
      </c>
      <c r="N398" s="109">
        <f t="shared" si="419"/>
        <v>2.3727993830919961E-3</v>
      </c>
      <c r="O398" s="109">
        <f t="shared" si="420"/>
        <v>2.9491428878015203E-3</v>
      </c>
      <c r="P398" s="109">
        <f t="shared" si="421"/>
        <v>8.3244925938255488E-3</v>
      </c>
      <c r="Q398" s="109">
        <f t="shared" si="422"/>
        <v>1.425028750736029E-2</v>
      </c>
      <c r="R398" s="109">
        <f t="shared" si="423"/>
        <v>0.10452980322402131</v>
      </c>
      <c r="S398" s="110">
        <f t="shared" si="424"/>
        <v>5.169052130995183E-4</v>
      </c>
      <c r="T398" s="109">
        <f t="shared" si="425"/>
        <v>3.1129413628985607E-3</v>
      </c>
      <c r="U398" s="109">
        <f t="shared" si="426"/>
        <v>4.6997789589370946E-3</v>
      </c>
      <c r="V398" s="109">
        <f t="shared" si="427"/>
        <v>1.6056136260934609E-2</v>
      </c>
      <c r="W398" s="111">
        <f t="shared" si="428"/>
        <v>0.30155968266992472</v>
      </c>
      <c r="X398" s="115">
        <f t="shared" si="431"/>
        <v>0.99999999999999989</v>
      </c>
      <c r="Y398" s="38" t="s">
        <v>500</v>
      </c>
      <c r="Z398" s="42" t="s">
        <v>193</v>
      </c>
      <c r="AA398" s="67">
        <f t="shared" ref="AA398:AT398" si="490">(SUMIF($AV$339:$AV$442,$Y398,AW$339:AW$442)*AA$337+IF($J176,SUMIF($AV$229:$AV$332,$Y288,AW$229:AW$332)*AA$227*(1-$D176/$J176),0))*$AU398</f>
        <v>126.8789</v>
      </c>
      <c r="AB398" s="67">
        <f t="shared" si="490"/>
        <v>195.95769999999999</v>
      </c>
      <c r="AC398" s="67">
        <f t="shared" si="490"/>
        <v>304.16320000000002</v>
      </c>
      <c r="AD398" s="67">
        <f t="shared" si="490"/>
        <v>472.7054</v>
      </c>
      <c r="AE398" s="67">
        <f t="shared" si="490"/>
        <v>603.53229999999996</v>
      </c>
      <c r="AF398" s="76">
        <f t="shared" si="490"/>
        <v>0</v>
      </c>
      <c r="AG398" s="67">
        <f t="shared" si="490"/>
        <v>0.2325257</v>
      </c>
      <c r="AH398" s="67">
        <f t="shared" si="490"/>
        <v>6.5693809999999999</v>
      </c>
      <c r="AI398" s="67">
        <f t="shared" si="490"/>
        <v>8.4088399999999996</v>
      </c>
      <c r="AJ398" s="68">
        <f t="shared" si="490"/>
        <v>64.628990000000002</v>
      </c>
      <c r="AK398" s="67">
        <f t="shared" si="490"/>
        <v>7.8114210000000002</v>
      </c>
      <c r="AL398" s="67">
        <f t="shared" si="490"/>
        <v>9.7087839999999996</v>
      </c>
      <c r="AM398" s="67">
        <f t="shared" si="490"/>
        <v>27.404810000000001</v>
      </c>
      <c r="AN398" s="67">
        <f t="shared" si="490"/>
        <v>46.912939999999999</v>
      </c>
      <c r="AO398" s="67">
        <f t="shared" si="490"/>
        <v>344.11939999999998</v>
      </c>
      <c r="AP398" s="76">
        <f t="shared" si="490"/>
        <v>1.7016880000000001</v>
      </c>
      <c r="AQ398" s="67">
        <f t="shared" si="490"/>
        <v>10.24802</v>
      </c>
      <c r="AR398" s="67">
        <f t="shared" si="490"/>
        <v>15.472</v>
      </c>
      <c r="AS398" s="67">
        <f t="shared" si="490"/>
        <v>52.85792</v>
      </c>
      <c r="AT398" s="68">
        <f t="shared" si="490"/>
        <v>992.75549999999998</v>
      </c>
      <c r="AU398" s="216">
        <v>1</v>
      </c>
      <c r="AV398" s="104" t="s">
        <v>500</v>
      </c>
      <c r="AW398" s="94">
        <v>126.8789</v>
      </c>
      <c r="AX398" s="94">
        <v>195.95769999999999</v>
      </c>
      <c r="AY398" s="94">
        <v>304.16320000000002</v>
      </c>
      <c r="AZ398" s="94">
        <v>472.7054</v>
      </c>
      <c r="BA398" s="94">
        <v>603.53229999999996</v>
      </c>
      <c r="BB398" s="106">
        <v>0</v>
      </c>
      <c r="BC398" s="94">
        <v>0.2325257</v>
      </c>
      <c r="BD398" s="94">
        <v>6.5693809999999999</v>
      </c>
      <c r="BE398" s="94">
        <v>8.4088399999999996</v>
      </c>
      <c r="BF398" s="95">
        <v>64.628990000000002</v>
      </c>
      <c r="BG398" s="94">
        <v>7.8114210000000002</v>
      </c>
      <c r="BH398" s="94">
        <v>9.7087839999999996</v>
      </c>
      <c r="BI398" s="94">
        <v>27.404810000000001</v>
      </c>
      <c r="BJ398" s="94">
        <v>46.912939999999999</v>
      </c>
      <c r="BK398" s="94">
        <v>344.11939999999998</v>
      </c>
      <c r="BL398" s="106">
        <v>1.7016880000000001</v>
      </c>
      <c r="BM398" s="94">
        <v>10.24802</v>
      </c>
      <c r="BN398" s="94">
        <v>15.472</v>
      </c>
      <c r="BO398" s="94">
        <v>52.85792</v>
      </c>
      <c r="BP398" s="95">
        <v>992.75549999999998</v>
      </c>
      <c r="BQ398" s="2"/>
      <c r="BR398" s="2"/>
      <c r="BS398" s="2"/>
    </row>
    <row r="399" spans="1:71" x14ac:dyDescent="0.35">
      <c r="A399" s="2"/>
      <c r="B399" s="2"/>
      <c r="C399" s="42" t="s">
        <v>195</v>
      </c>
      <c r="D399" s="109">
        <f t="shared" si="430"/>
        <v>0</v>
      </c>
      <c r="E399" s="109">
        <f t="shared" si="410"/>
        <v>0</v>
      </c>
      <c r="F399" s="109">
        <f t="shared" si="411"/>
        <v>0</v>
      </c>
      <c r="G399" s="109">
        <f t="shared" si="412"/>
        <v>0</v>
      </c>
      <c r="H399" s="109">
        <f t="shared" si="413"/>
        <v>0</v>
      </c>
      <c r="I399" s="110">
        <f t="shared" si="414"/>
        <v>0</v>
      </c>
      <c r="J399" s="109">
        <f t="shared" si="415"/>
        <v>0</v>
      </c>
      <c r="K399" s="109">
        <f t="shared" si="416"/>
        <v>0</v>
      </c>
      <c r="L399" s="109">
        <f t="shared" si="417"/>
        <v>0</v>
      </c>
      <c r="M399" s="111">
        <f t="shared" si="418"/>
        <v>0</v>
      </c>
      <c r="N399" s="109">
        <f t="shared" si="419"/>
        <v>0</v>
      </c>
      <c r="O399" s="109">
        <f t="shared" si="420"/>
        <v>0</v>
      </c>
      <c r="P399" s="109">
        <f t="shared" si="421"/>
        <v>0</v>
      </c>
      <c r="Q399" s="109">
        <f t="shared" si="422"/>
        <v>0</v>
      </c>
      <c r="R399" s="109">
        <f t="shared" si="423"/>
        <v>0</v>
      </c>
      <c r="S399" s="110">
        <f t="shared" si="424"/>
        <v>0</v>
      </c>
      <c r="T399" s="109">
        <f t="shared" si="425"/>
        <v>0</v>
      </c>
      <c r="U399" s="109">
        <f t="shared" si="426"/>
        <v>0</v>
      </c>
      <c r="V399" s="109">
        <f t="shared" si="427"/>
        <v>0</v>
      </c>
      <c r="W399" s="111">
        <f t="shared" si="428"/>
        <v>0</v>
      </c>
      <c r="X399" s="115">
        <f t="shared" si="431"/>
        <v>0</v>
      </c>
      <c r="Y399" s="38" t="s">
        <v>532</v>
      </c>
      <c r="Z399" s="42" t="s">
        <v>195</v>
      </c>
      <c r="AA399" s="67">
        <f t="shared" ref="AA399:AT399" si="491">(SUMIF($AV$339:$AV$442,$Y399,AW$339:AW$442)*AA$337+IF($J177,SUMIF($AV$229:$AV$332,$Y289,AW$229:AW$332)*AA$227*(1-$D177/$J177),0))*$AU399</f>
        <v>0</v>
      </c>
      <c r="AB399" s="67">
        <f t="shared" si="491"/>
        <v>0</v>
      </c>
      <c r="AC399" s="67">
        <f t="shared" si="491"/>
        <v>0</v>
      </c>
      <c r="AD399" s="67">
        <f t="shared" si="491"/>
        <v>0</v>
      </c>
      <c r="AE399" s="67">
        <f t="shared" si="491"/>
        <v>0</v>
      </c>
      <c r="AF399" s="76">
        <f t="shared" si="491"/>
        <v>0</v>
      </c>
      <c r="AG399" s="67">
        <f t="shared" si="491"/>
        <v>0</v>
      </c>
      <c r="AH399" s="67">
        <f t="shared" si="491"/>
        <v>0</v>
      </c>
      <c r="AI399" s="67">
        <f t="shared" si="491"/>
        <v>0</v>
      </c>
      <c r="AJ399" s="68">
        <f t="shared" si="491"/>
        <v>0</v>
      </c>
      <c r="AK399" s="67">
        <f t="shared" si="491"/>
        <v>0</v>
      </c>
      <c r="AL399" s="67">
        <f t="shared" si="491"/>
        <v>0</v>
      </c>
      <c r="AM399" s="67">
        <f t="shared" si="491"/>
        <v>0</v>
      </c>
      <c r="AN399" s="67">
        <f t="shared" si="491"/>
        <v>0</v>
      </c>
      <c r="AO399" s="67">
        <f t="shared" si="491"/>
        <v>0</v>
      </c>
      <c r="AP399" s="76">
        <f t="shared" si="491"/>
        <v>0</v>
      </c>
      <c r="AQ399" s="67">
        <f t="shared" si="491"/>
        <v>0</v>
      </c>
      <c r="AR399" s="67">
        <f t="shared" si="491"/>
        <v>0</v>
      </c>
      <c r="AS399" s="67">
        <f t="shared" si="491"/>
        <v>0</v>
      </c>
      <c r="AT399" s="68">
        <f t="shared" si="491"/>
        <v>0</v>
      </c>
      <c r="AU399" s="216">
        <v>1</v>
      </c>
      <c r="AV399" s="104" t="s">
        <v>532</v>
      </c>
      <c r="AW399" s="94"/>
      <c r="AX399" s="94"/>
      <c r="AY399" s="94"/>
      <c r="AZ399" s="94"/>
      <c r="BA399" s="94"/>
      <c r="BB399" s="106"/>
      <c r="BC399" s="94"/>
      <c r="BD399" s="94"/>
      <c r="BE399" s="94"/>
      <c r="BF399" s="95"/>
      <c r="BG399" s="94"/>
      <c r="BH399" s="94"/>
      <c r="BI399" s="94"/>
      <c r="BJ399" s="94"/>
      <c r="BK399" s="94"/>
      <c r="BL399" s="106"/>
      <c r="BM399" s="94"/>
      <c r="BN399" s="94"/>
      <c r="BO399" s="94"/>
      <c r="BP399" s="95"/>
      <c r="BQ399" s="2"/>
      <c r="BR399" s="2"/>
      <c r="BS399" s="2"/>
    </row>
    <row r="400" spans="1:71" x14ac:dyDescent="0.35">
      <c r="A400" s="2"/>
      <c r="B400" s="2"/>
      <c r="C400" s="42" t="s">
        <v>197</v>
      </c>
      <c r="D400" s="109">
        <f t="shared" si="430"/>
        <v>0</v>
      </c>
      <c r="E400" s="109">
        <f t="shared" si="410"/>
        <v>0</v>
      </c>
      <c r="F400" s="109">
        <f t="shared" si="411"/>
        <v>0</v>
      </c>
      <c r="G400" s="109">
        <f t="shared" si="412"/>
        <v>0</v>
      </c>
      <c r="H400" s="109">
        <f t="shared" si="413"/>
        <v>0</v>
      </c>
      <c r="I400" s="110">
        <f t="shared" si="414"/>
        <v>0</v>
      </c>
      <c r="J400" s="109">
        <f t="shared" si="415"/>
        <v>0</v>
      </c>
      <c r="K400" s="109">
        <f t="shared" si="416"/>
        <v>0</v>
      </c>
      <c r="L400" s="109">
        <f t="shared" si="417"/>
        <v>0</v>
      </c>
      <c r="M400" s="111">
        <f t="shared" si="418"/>
        <v>0</v>
      </c>
      <c r="N400" s="109">
        <f t="shared" si="419"/>
        <v>0</v>
      </c>
      <c r="O400" s="109">
        <f t="shared" si="420"/>
        <v>0</v>
      </c>
      <c r="P400" s="109">
        <f t="shared" si="421"/>
        <v>0</v>
      </c>
      <c r="Q400" s="109">
        <f t="shared" si="422"/>
        <v>0</v>
      </c>
      <c r="R400" s="109">
        <f t="shared" si="423"/>
        <v>0</v>
      </c>
      <c r="S400" s="110">
        <f t="shared" si="424"/>
        <v>0</v>
      </c>
      <c r="T400" s="109">
        <f t="shared" si="425"/>
        <v>0</v>
      </c>
      <c r="U400" s="109">
        <f t="shared" si="426"/>
        <v>0</v>
      </c>
      <c r="V400" s="109">
        <f t="shared" si="427"/>
        <v>0</v>
      </c>
      <c r="W400" s="111">
        <f t="shared" si="428"/>
        <v>0</v>
      </c>
      <c r="X400" s="115">
        <f t="shared" si="431"/>
        <v>0</v>
      </c>
      <c r="Y400" s="38" t="s">
        <v>533</v>
      </c>
      <c r="Z400" s="42" t="s">
        <v>197</v>
      </c>
      <c r="AA400" s="67">
        <f t="shared" ref="AA400:AT400" si="492">(SUMIF($AV$339:$AV$442,$Y400,AW$339:AW$442)*AA$337+IF($J178,SUMIF($AV$229:$AV$332,$Y290,AW$229:AW$332)*AA$227*(1-$D178/$J178),0))*$AU400</f>
        <v>0</v>
      </c>
      <c r="AB400" s="67">
        <f t="shared" si="492"/>
        <v>0</v>
      </c>
      <c r="AC400" s="67">
        <f t="shared" si="492"/>
        <v>0</v>
      </c>
      <c r="AD400" s="67">
        <f t="shared" si="492"/>
        <v>0</v>
      </c>
      <c r="AE400" s="67">
        <f t="shared" si="492"/>
        <v>0</v>
      </c>
      <c r="AF400" s="76">
        <f t="shared" si="492"/>
        <v>0</v>
      </c>
      <c r="AG400" s="67">
        <f t="shared" si="492"/>
        <v>0</v>
      </c>
      <c r="AH400" s="67">
        <f t="shared" si="492"/>
        <v>0</v>
      </c>
      <c r="AI400" s="67">
        <f t="shared" si="492"/>
        <v>0</v>
      </c>
      <c r="AJ400" s="68">
        <f t="shared" si="492"/>
        <v>0</v>
      </c>
      <c r="AK400" s="67">
        <f t="shared" si="492"/>
        <v>0</v>
      </c>
      <c r="AL400" s="67">
        <f t="shared" si="492"/>
        <v>0</v>
      </c>
      <c r="AM400" s="67">
        <f t="shared" si="492"/>
        <v>0</v>
      </c>
      <c r="AN400" s="67">
        <f t="shared" si="492"/>
        <v>0</v>
      </c>
      <c r="AO400" s="67">
        <f t="shared" si="492"/>
        <v>0</v>
      </c>
      <c r="AP400" s="76">
        <f t="shared" si="492"/>
        <v>0</v>
      </c>
      <c r="AQ400" s="67">
        <f t="shared" si="492"/>
        <v>0</v>
      </c>
      <c r="AR400" s="67">
        <f t="shared" si="492"/>
        <v>0</v>
      </c>
      <c r="AS400" s="67">
        <f t="shared" si="492"/>
        <v>0</v>
      </c>
      <c r="AT400" s="68">
        <f t="shared" si="492"/>
        <v>0</v>
      </c>
      <c r="AU400" s="216">
        <v>1</v>
      </c>
      <c r="AV400" s="104" t="s">
        <v>533</v>
      </c>
      <c r="AW400" s="94"/>
      <c r="AX400" s="94"/>
      <c r="AY400" s="94"/>
      <c r="AZ400" s="94"/>
      <c r="BA400" s="94"/>
      <c r="BB400" s="106"/>
      <c r="BC400" s="94"/>
      <c r="BD400" s="94"/>
      <c r="BE400" s="94"/>
      <c r="BF400" s="95"/>
      <c r="BG400" s="94"/>
      <c r="BH400" s="94"/>
      <c r="BI400" s="94"/>
      <c r="BJ400" s="94"/>
      <c r="BK400" s="94"/>
      <c r="BL400" s="106"/>
      <c r="BM400" s="94"/>
      <c r="BN400" s="94"/>
      <c r="BO400" s="94"/>
      <c r="BP400" s="95"/>
      <c r="BQ400" s="2"/>
      <c r="BR400" s="2"/>
      <c r="BS400" s="2"/>
    </row>
    <row r="401" spans="1:71" x14ac:dyDescent="0.35">
      <c r="A401" s="2"/>
      <c r="B401" s="2"/>
      <c r="C401" s="42" t="s">
        <v>199</v>
      </c>
      <c r="D401" s="109">
        <f t="shared" si="430"/>
        <v>4.6698666552927481E-2</v>
      </c>
      <c r="E401" s="109">
        <f t="shared" si="410"/>
        <v>7.919816403875965E-2</v>
      </c>
      <c r="F401" s="109">
        <f t="shared" si="411"/>
        <v>0.11053539754393284</v>
      </c>
      <c r="G401" s="109">
        <f t="shared" si="412"/>
        <v>0.15771423006970009</v>
      </c>
      <c r="H401" s="109">
        <f t="shared" si="413"/>
        <v>0.16753919309222884</v>
      </c>
      <c r="I401" s="110">
        <f t="shared" si="414"/>
        <v>0</v>
      </c>
      <c r="J401" s="109">
        <f t="shared" si="415"/>
        <v>1.6467993428158557E-4</v>
      </c>
      <c r="K401" s="109">
        <f t="shared" si="416"/>
        <v>9.0317221166801779E-4</v>
      </c>
      <c r="L401" s="109">
        <f t="shared" si="417"/>
        <v>2.4221716719324406E-3</v>
      </c>
      <c r="M401" s="111">
        <f t="shared" si="418"/>
        <v>1.9161107253642354E-2</v>
      </c>
      <c r="N401" s="109">
        <f t="shared" si="419"/>
        <v>2.3693632953866095E-3</v>
      </c>
      <c r="O401" s="109">
        <f t="shared" si="420"/>
        <v>2.9990180098987494E-3</v>
      </c>
      <c r="P401" s="109">
        <f t="shared" si="421"/>
        <v>6.8804456660830141E-3</v>
      </c>
      <c r="Q401" s="109">
        <f t="shared" si="422"/>
        <v>1.297929208602217E-2</v>
      </c>
      <c r="R401" s="109">
        <f t="shared" si="423"/>
        <v>9.199855545731489E-2</v>
      </c>
      <c r="S401" s="110">
        <f t="shared" si="424"/>
        <v>5.9401661272531813E-4</v>
      </c>
      <c r="T401" s="109">
        <f t="shared" si="425"/>
        <v>2.5571092035147794E-3</v>
      </c>
      <c r="U401" s="109">
        <f t="shared" si="426"/>
        <v>4.2894489324412288E-3</v>
      </c>
      <c r="V401" s="109">
        <f t="shared" si="427"/>
        <v>2.6787599777129668E-2</v>
      </c>
      <c r="W401" s="111">
        <f t="shared" si="428"/>
        <v>0.26420836859041036</v>
      </c>
      <c r="X401" s="115">
        <f t="shared" si="431"/>
        <v>1.0000000000000002</v>
      </c>
      <c r="Y401" s="38" t="s">
        <v>501</v>
      </c>
      <c r="Z401" s="42" t="s">
        <v>199</v>
      </c>
      <c r="AA401" s="67">
        <f t="shared" ref="AA401:AT401" si="493">(SUMIF($AV$339:$AV$442,$Y401,AW$339:AW$442)*AA$337+IF($J179,SUMIF($AV$229:$AV$332,$Y291,AW$229:AW$332)*AA$227*(1-$D179/$J179),0))*$AU401</f>
        <v>189.05449999999999</v>
      </c>
      <c r="AB401" s="67">
        <f t="shared" si="493"/>
        <v>320.62520000000001</v>
      </c>
      <c r="AC401" s="67">
        <f t="shared" si="493"/>
        <v>447.49059999999997</v>
      </c>
      <c r="AD401" s="67">
        <f t="shared" si="493"/>
        <v>638.48900000000003</v>
      </c>
      <c r="AE401" s="67">
        <f t="shared" si="493"/>
        <v>678.26430000000005</v>
      </c>
      <c r="AF401" s="76">
        <f t="shared" si="493"/>
        <v>0</v>
      </c>
      <c r="AG401" s="67">
        <f t="shared" si="493"/>
        <v>0.66668890000000003</v>
      </c>
      <c r="AH401" s="67">
        <f t="shared" si="493"/>
        <v>3.6563949999999998</v>
      </c>
      <c r="AI401" s="67">
        <f t="shared" si="493"/>
        <v>9.8058999999999994</v>
      </c>
      <c r="AJ401" s="68">
        <f t="shared" si="493"/>
        <v>77.571669999999997</v>
      </c>
      <c r="AK401" s="67">
        <f t="shared" si="493"/>
        <v>9.5921109999999992</v>
      </c>
      <c r="AL401" s="67">
        <f t="shared" si="493"/>
        <v>12.1412</v>
      </c>
      <c r="AM401" s="67">
        <f t="shared" si="493"/>
        <v>27.85474</v>
      </c>
      <c r="AN401" s="67">
        <f t="shared" si="493"/>
        <v>52.545259999999999</v>
      </c>
      <c r="AO401" s="67">
        <f t="shared" si="493"/>
        <v>372.44619999999998</v>
      </c>
      <c r="AP401" s="76">
        <f t="shared" si="493"/>
        <v>2.4048120000000002</v>
      </c>
      <c r="AQ401" s="67">
        <f t="shared" si="493"/>
        <v>10.352180000000001</v>
      </c>
      <c r="AR401" s="67">
        <f t="shared" si="493"/>
        <v>17.365369999999999</v>
      </c>
      <c r="AS401" s="67">
        <f t="shared" si="493"/>
        <v>108.44670000000001</v>
      </c>
      <c r="AT401" s="68">
        <f t="shared" si="493"/>
        <v>1069.6189999999999</v>
      </c>
      <c r="AU401" s="216">
        <v>1</v>
      </c>
      <c r="AV401" s="104" t="s">
        <v>501</v>
      </c>
      <c r="AW401" s="94">
        <v>189.05449999999999</v>
      </c>
      <c r="AX401" s="94">
        <v>320.62520000000001</v>
      </c>
      <c r="AY401" s="94">
        <v>447.49059999999997</v>
      </c>
      <c r="AZ401" s="94">
        <v>638.48900000000003</v>
      </c>
      <c r="BA401" s="94">
        <v>678.26430000000005</v>
      </c>
      <c r="BB401" s="106">
        <v>0</v>
      </c>
      <c r="BC401" s="94">
        <v>0.66668890000000003</v>
      </c>
      <c r="BD401" s="94">
        <v>3.6563949999999998</v>
      </c>
      <c r="BE401" s="94">
        <v>9.8058999999999994</v>
      </c>
      <c r="BF401" s="95">
        <v>77.571669999999997</v>
      </c>
      <c r="BG401" s="94">
        <v>9.5921109999999992</v>
      </c>
      <c r="BH401" s="94">
        <v>12.1412</v>
      </c>
      <c r="BI401" s="94">
        <v>27.85474</v>
      </c>
      <c r="BJ401" s="94">
        <v>52.545259999999999</v>
      </c>
      <c r="BK401" s="94">
        <v>372.44619999999998</v>
      </c>
      <c r="BL401" s="106">
        <v>2.4048120000000002</v>
      </c>
      <c r="BM401" s="94">
        <v>10.352180000000001</v>
      </c>
      <c r="BN401" s="94">
        <v>17.365369999999999</v>
      </c>
      <c r="BO401" s="94">
        <v>108.44670000000001</v>
      </c>
      <c r="BP401" s="95">
        <v>1069.6189999999999</v>
      </c>
      <c r="BQ401" s="2"/>
      <c r="BR401" s="2"/>
      <c r="BS401" s="2"/>
    </row>
    <row r="402" spans="1:71" x14ac:dyDescent="0.35">
      <c r="A402" s="2"/>
      <c r="B402" s="2"/>
      <c r="C402" s="42" t="s">
        <v>201</v>
      </c>
      <c r="D402" s="109">
        <f t="shared" si="430"/>
        <v>2.8620619452210942E-2</v>
      </c>
      <c r="E402" s="109">
        <f t="shared" si="410"/>
        <v>5.0413996424791295E-2</v>
      </c>
      <c r="F402" s="109">
        <f t="shared" si="411"/>
        <v>8.1425741899259454E-2</v>
      </c>
      <c r="G402" s="109">
        <f t="shared" si="412"/>
        <v>0.12552214131270648</v>
      </c>
      <c r="H402" s="109">
        <f t="shared" si="413"/>
        <v>0.18175868249167254</v>
      </c>
      <c r="I402" s="110">
        <f t="shared" si="414"/>
        <v>4.777132519008467E-4</v>
      </c>
      <c r="J402" s="109">
        <f t="shared" si="415"/>
        <v>1.3052761272575858E-4</v>
      </c>
      <c r="K402" s="109">
        <f t="shared" si="416"/>
        <v>3.2451456386513967E-4</v>
      </c>
      <c r="L402" s="109">
        <f t="shared" si="417"/>
        <v>1.4550160228466709E-3</v>
      </c>
      <c r="M402" s="111">
        <f t="shared" si="418"/>
        <v>2.389188805524271E-2</v>
      </c>
      <c r="N402" s="109">
        <f t="shared" si="419"/>
        <v>1.9578284992577384E-3</v>
      </c>
      <c r="O402" s="109">
        <f t="shared" si="420"/>
        <v>1.7867797689116102E-3</v>
      </c>
      <c r="P402" s="109">
        <f t="shared" si="421"/>
        <v>5.0269346026017795E-3</v>
      </c>
      <c r="Q402" s="109">
        <f t="shared" si="422"/>
        <v>1.1631964773432965E-2</v>
      </c>
      <c r="R402" s="109">
        <f t="shared" si="423"/>
        <v>0.14165890035562922</v>
      </c>
      <c r="S402" s="110">
        <f t="shared" si="424"/>
        <v>4.3818029791604788E-4</v>
      </c>
      <c r="T402" s="109">
        <f t="shared" si="425"/>
        <v>7.1652007416966705E-4</v>
      </c>
      <c r="U402" s="109">
        <f t="shared" si="426"/>
        <v>2.7457190801822525E-3</v>
      </c>
      <c r="V402" s="109">
        <f t="shared" si="427"/>
        <v>6.5634715619582442E-3</v>
      </c>
      <c r="W402" s="111">
        <f t="shared" si="428"/>
        <v>0.33345285989871865</v>
      </c>
      <c r="X402" s="115">
        <f t="shared" si="431"/>
        <v>1</v>
      </c>
      <c r="Y402" s="38" t="s">
        <v>502</v>
      </c>
      <c r="Z402" s="42" t="s">
        <v>201</v>
      </c>
      <c r="AA402" s="67">
        <f t="shared" ref="AA402:AT402" si="494">(SUMIF($AV$339:$AV$442,$Y402,AW$339:AW$442)*AA$337+IF($J180,SUMIF($AV$229:$AV$332,$Y292,AW$229:AW$332)*AA$227*(1-$D180/$J180),0))*$AU402</f>
        <v>156.3099</v>
      </c>
      <c r="AB402" s="67">
        <f t="shared" si="494"/>
        <v>275.33319999999998</v>
      </c>
      <c r="AC402" s="67">
        <f t="shared" si="494"/>
        <v>444.70209999999997</v>
      </c>
      <c r="AD402" s="67">
        <f t="shared" si="494"/>
        <v>685.53210000000001</v>
      </c>
      <c r="AE402" s="67">
        <f t="shared" si="494"/>
        <v>992.66480000000001</v>
      </c>
      <c r="AF402" s="76">
        <f t="shared" si="494"/>
        <v>2.6090040000000001</v>
      </c>
      <c r="AG402" s="67">
        <f t="shared" si="494"/>
        <v>0.71286919999999998</v>
      </c>
      <c r="AH402" s="67">
        <f t="shared" si="494"/>
        <v>1.7723180000000001</v>
      </c>
      <c r="AI402" s="67">
        <f t="shared" si="494"/>
        <v>7.9464880000000004</v>
      </c>
      <c r="AJ402" s="68">
        <f t="shared" si="494"/>
        <v>130.48419999999999</v>
      </c>
      <c r="AK402" s="67">
        <f t="shared" si="494"/>
        <v>10.69257</v>
      </c>
      <c r="AL402" s="67">
        <f t="shared" si="494"/>
        <v>9.7583970000000004</v>
      </c>
      <c r="AM402" s="67">
        <f t="shared" si="494"/>
        <v>27.454319999999999</v>
      </c>
      <c r="AN402" s="67">
        <f t="shared" si="494"/>
        <v>63.527320000000003</v>
      </c>
      <c r="AO402" s="67">
        <f t="shared" si="494"/>
        <v>773.66210000000001</v>
      </c>
      <c r="AP402" s="76">
        <f t="shared" si="494"/>
        <v>2.393097</v>
      </c>
      <c r="AQ402" s="67">
        <f t="shared" si="494"/>
        <v>3.9132340000000001</v>
      </c>
      <c r="AR402" s="67">
        <f t="shared" si="494"/>
        <v>14.99559</v>
      </c>
      <c r="AS402" s="67">
        <f t="shared" si="494"/>
        <v>35.846029999999999</v>
      </c>
      <c r="AT402" s="68">
        <f t="shared" si="494"/>
        <v>1821.134</v>
      </c>
      <c r="AU402" s="216">
        <v>1</v>
      </c>
      <c r="AV402" s="104" t="s">
        <v>502</v>
      </c>
      <c r="AW402" s="94">
        <v>156.3099</v>
      </c>
      <c r="AX402" s="94">
        <v>275.33319999999998</v>
      </c>
      <c r="AY402" s="94">
        <v>444.70209999999997</v>
      </c>
      <c r="AZ402" s="94">
        <v>685.53210000000001</v>
      </c>
      <c r="BA402" s="94">
        <v>992.66480000000001</v>
      </c>
      <c r="BB402" s="106">
        <v>2.6090040000000001</v>
      </c>
      <c r="BC402" s="94">
        <v>0.71286919999999998</v>
      </c>
      <c r="BD402" s="94">
        <v>1.7723180000000001</v>
      </c>
      <c r="BE402" s="94">
        <v>7.9464880000000004</v>
      </c>
      <c r="BF402" s="95">
        <v>130.48419999999999</v>
      </c>
      <c r="BG402" s="94">
        <v>10.69257</v>
      </c>
      <c r="BH402" s="94">
        <v>9.7583970000000004</v>
      </c>
      <c r="BI402" s="94">
        <v>27.454319999999999</v>
      </c>
      <c r="BJ402" s="94">
        <v>63.527320000000003</v>
      </c>
      <c r="BK402" s="94">
        <v>773.66210000000001</v>
      </c>
      <c r="BL402" s="106">
        <v>2.393097</v>
      </c>
      <c r="BM402" s="94">
        <v>3.9132340000000001</v>
      </c>
      <c r="BN402" s="94">
        <v>14.99559</v>
      </c>
      <c r="BO402" s="94">
        <v>35.846029999999999</v>
      </c>
      <c r="BP402" s="95">
        <v>1821.134</v>
      </c>
      <c r="BQ402" s="2"/>
      <c r="BR402" s="2"/>
      <c r="BS402" s="2"/>
    </row>
    <row r="403" spans="1:71" x14ac:dyDescent="0.35">
      <c r="A403" s="2"/>
      <c r="B403" s="2"/>
      <c r="C403" s="42" t="s">
        <v>203</v>
      </c>
      <c r="D403" s="109">
        <f t="shared" si="430"/>
        <v>4.386003536640439E-3</v>
      </c>
      <c r="E403" s="109">
        <f t="shared" ref="E403:E442" si="495">IF(SUM($AA403:$AT403),AB403/SUM($AA403:$AT403),0)</f>
        <v>1.1099488854227547E-2</v>
      </c>
      <c r="F403" s="109">
        <f t="shared" ref="F403:F442" si="496">IF(SUM($AA403:$AT403),AC403/SUM($AA403:$AT403),0)</f>
        <v>2.9021804205474854E-2</v>
      </c>
      <c r="G403" s="109">
        <f t="shared" ref="G403:G442" si="497">IF(SUM($AA403:$AT403),AD403/SUM($AA403:$AT403),0)</f>
        <v>8.8148647680114323E-2</v>
      </c>
      <c r="H403" s="109">
        <f t="shared" ref="H403:H442" si="498">IF(SUM($AA403:$AT403),AE403/SUM($AA403:$AT403),0)</f>
        <v>0.18180371461708358</v>
      </c>
      <c r="I403" s="110">
        <f t="shared" ref="I403:I442" si="499">IF(SUM($AA403:$AT403),AF403/SUM($AA403:$AT403),0)</f>
        <v>0</v>
      </c>
      <c r="J403" s="109">
        <f t="shared" ref="J403:J442" si="500">IF(SUM($AA403:$AT403),AG403/SUM($AA403:$AT403),0)</f>
        <v>3.1794203415773992E-5</v>
      </c>
      <c r="K403" s="109">
        <f t="shared" ref="K403:K442" si="501">IF(SUM($AA403:$AT403),AH403/SUM($AA403:$AT403),0)</f>
        <v>1.4143922270414268E-4</v>
      </c>
      <c r="L403" s="109">
        <f t="shared" ref="L403:L442" si="502">IF(SUM($AA403:$AT403),AI403/SUM($AA403:$AT403),0)</f>
        <v>1.2668404059077208E-3</v>
      </c>
      <c r="M403" s="111">
        <f t="shared" ref="M403:M442" si="503">IF(SUM($AA403:$AT403),AJ403/SUM($AA403:$AT403),0)</f>
        <v>4.2828895929490067E-2</v>
      </c>
      <c r="N403" s="109">
        <f t="shared" ref="N403:N442" si="504">IF(SUM($AA403:$AT403),AK403/SUM($AA403:$AT403),0)</f>
        <v>3.2840559854453223E-4</v>
      </c>
      <c r="O403" s="109">
        <f t="shared" ref="O403:O442" si="505">IF(SUM($AA403:$AT403),AL403/SUM($AA403:$AT403),0)</f>
        <v>1.1851974400921411E-3</v>
      </c>
      <c r="P403" s="109">
        <f t="shared" ref="P403:P442" si="506">IF(SUM($AA403:$AT403),AM403/SUM($AA403:$AT403),0)</f>
        <v>1.6224763577874978E-3</v>
      </c>
      <c r="Q403" s="109">
        <f t="shared" ref="Q403:Q442" si="507">IF(SUM($AA403:$AT403),AN403/SUM($AA403:$AT403),0)</f>
        <v>4.9756113751891762E-3</v>
      </c>
      <c r="R403" s="109">
        <f t="shared" ref="R403:R442" si="508">IF(SUM($AA403:$AT403),AO403/SUM($AA403:$AT403),0)</f>
        <v>0.1248943788244157</v>
      </c>
      <c r="S403" s="110">
        <f t="shared" ref="S403:S442" si="509">IF(SUM($AA403:$AT403),AP403/SUM($AA403:$AT403),0)</f>
        <v>2.8574893752882378E-4</v>
      </c>
      <c r="T403" s="109">
        <f t="shared" ref="T403:T442" si="510">IF(SUM($AA403:$AT403),AQ403/SUM($AA403:$AT403),0)</f>
        <v>1.1715146429931616E-3</v>
      </c>
      <c r="U403" s="109">
        <f t="shared" ref="U403:U442" si="511">IF(SUM($AA403:$AT403),AR403/SUM($AA403:$AT403),0)</f>
        <v>3.2075458239798006E-3</v>
      </c>
      <c r="V403" s="109">
        <f t="shared" ref="V403:V442" si="512">IF(SUM($AA403:$AT403),AS403/SUM($AA403:$AT403),0)</f>
        <v>6.6870873784950604E-3</v>
      </c>
      <c r="W403" s="111">
        <f t="shared" ref="W403:W442" si="513">IF(SUM($AA403:$AT403),AT403/SUM($AA403:$AT403),0)</f>
        <v>0.49691340496591574</v>
      </c>
      <c r="X403" s="115">
        <f t="shared" si="431"/>
        <v>1</v>
      </c>
      <c r="Y403" s="38" t="s">
        <v>503</v>
      </c>
      <c r="Z403" s="42" t="s">
        <v>203</v>
      </c>
      <c r="AA403" s="67">
        <f t="shared" ref="AA403:AT403" si="514">(SUMIF($AV$339:$AV$442,$Y403,AW$339:AW$442)*AA$337+IF($J181,SUMIF($AV$229:$AV$332,$Y293,AW$229:AW$332)*AA$227*(1-$D181/$J181),0))*$AU403</f>
        <v>227.99029999999999</v>
      </c>
      <c r="AB403" s="67">
        <f t="shared" si="514"/>
        <v>576.96619999999996</v>
      </c>
      <c r="AC403" s="67">
        <f t="shared" si="514"/>
        <v>1508.5920000000001</v>
      </c>
      <c r="AD403" s="67">
        <f t="shared" si="514"/>
        <v>4582.0839999999998</v>
      </c>
      <c r="AE403" s="67">
        <f t="shared" si="514"/>
        <v>9450.3989999999994</v>
      </c>
      <c r="AF403" s="76">
        <f t="shared" si="514"/>
        <v>0</v>
      </c>
      <c r="AG403" s="67">
        <f t="shared" si="514"/>
        <v>1.6527050000000001</v>
      </c>
      <c r="AH403" s="67">
        <f t="shared" si="514"/>
        <v>7.3521989999999997</v>
      </c>
      <c r="AI403" s="67">
        <f t="shared" si="514"/>
        <v>65.852050000000006</v>
      </c>
      <c r="AJ403" s="68">
        <f t="shared" si="514"/>
        <v>2226.3029999999999</v>
      </c>
      <c r="AK403" s="67">
        <f t="shared" si="514"/>
        <v>17.070959999999999</v>
      </c>
      <c r="AL403" s="67">
        <f t="shared" si="514"/>
        <v>61.608139999999999</v>
      </c>
      <c r="AM403" s="67">
        <f t="shared" si="514"/>
        <v>84.338480000000004</v>
      </c>
      <c r="AN403" s="67">
        <f t="shared" si="514"/>
        <v>258.63889999999998</v>
      </c>
      <c r="AO403" s="67">
        <f t="shared" si="514"/>
        <v>6492.1760000000004</v>
      </c>
      <c r="AP403" s="76">
        <f t="shared" si="514"/>
        <v>14.85361</v>
      </c>
      <c r="AQ403" s="67">
        <f t="shared" si="514"/>
        <v>60.896889999999999</v>
      </c>
      <c r="AR403" s="67">
        <f t="shared" si="514"/>
        <v>166.73249999999999</v>
      </c>
      <c r="AS403" s="67">
        <f t="shared" si="514"/>
        <v>347.6037</v>
      </c>
      <c r="AT403" s="68">
        <f t="shared" si="514"/>
        <v>25830.22</v>
      </c>
      <c r="AU403" s="216">
        <v>1</v>
      </c>
      <c r="AV403" s="104" t="s">
        <v>503</v>
      </c>
      <c r="AW403" s="94">
        <v>227.99029999999999</v>
      </c>
      <c r="AX403" s="94">
        <v>576.96619999999996</v>
      </c>
      <c r="AY403" s="94">
        <v>1508.5920000000001</v>
      </c>
      <c r="AZ403" s="94">
        <v>4582.0839999999998</v>
      </c>
      <c r="BA403" s="94">
        <v>9450.3989999999994</v>
      </c>
      <c r="BB403" s="106">
        <v>0</v>
      </c>
      <c r="BC403" s="94">
        <v>1.6527050000000001</v>
      </c>
      <c r="BD403" s="94">
        <v>7.3521989999999997</v>
      </c>
      <c r="BE403" s="94">
        <v>65.852050000000006</v>
      </c>
      <c r="BF403" s="95">
        <v>2226.3029999999999</v>
      </c>
      <c r="BG403" s="94">
        <v>17.070959999999999</v>
      </c>
      <c r="BH403" s="94">
        <v>61.608139999999999</v>
      </c>
      <c r="BI403" s="94">
        <v>84.338480000000004</v>
      </c>
      <c r="BJ403" s="94">
        <v>258.63889999999998</v>
      </c>
      <c r="BK403" s="94">
        <v>6492.1760000000004</v>
      </c>
      <c r="BL403" s="106">
        <v>14.85361</v>
      </c>
      <c r="BM403" s="94">
        <v>60.896889999999999</v>
      </c>
      <c r="BN403" s="94">
        <v>166.73249999999999</v>
      </c>
      <c r="BO403" s="94">
        <v>347.6037</v>
      </c>
      <c r="BP403" s="95">
        <v>25830.22</v>
      </c>
      <c r="BQ403" s="2"/>
      <c r="BR403" s="2"/>
      <c r="BS403" s="2"/>
    </row>
    <row r="404" spans="1:71" x14ac:dyDescent="0.35">
      <c r="A404" s="2"/>
      <c r="B404" s="2"/>
      <c r="C404" s="42" t="s">
        <v>205</v>
      </c>
      <c r="D404" s="109">
        <f t="shared" ref="D404:D442" si="515">IF(SUM($AA404:$AT404),AA404/SUM($AA404:$AT404),0)</f>
        <v>3.3864811462847318E-2</v>
      </c>
      <c r="E404" s="109">
        <f t="shared" si="495"/>
        <v>6.0742307876448867E-2</v>
      </c>
      <c r="F404" s="109">
        <f t="shared" si="496"/>
        <v>8.6238402574411455E-2</v>
      </c>
      <c r="G404" s="109">
        <f t="shared" si="497"/>
        <v>0.15024608532213105</v>
      </c>
      <c r="H404" s="109">
        <f t="shared" si="498"/>
        <v>0.16489946301139999</v>
      </c>
      <c r="I404" s="110">
        <f t="shared" si="499"/>
        <v>1.0736657787485562E-3</v>
      </c>
      <c r="J404" s="109">
        <f t="shared" si="500"/>
        <v>3.7329404832739881E-4</v>
      </c>
      <c r="K404" s="109">
        <f t="shared" si="501"/>
        <v>8.3801868732524105E-4</v>
      </c>
      <c r="L404" s="109">
        <f t="shared" si="502"/>
        <v>1.7842727739529973E-3</v>
      </c>
      <c r="M404" s="111">
        <f t="shared" si="503"/>
        <v>2.8816698926647608E-2</v>
      </c>
      <c r="N404" s="109">
        <f t="shared" si="504"/>
        <v>2.2561773865394695E-3</v>
      </c>
      <c r="O404" s="109">
        <f t="shared" si="505"/>
        <v>3.4666312781874817E-3</v>
      </c>
      <c r="P404" s="109">
        <f t="shared" si="506"/>
        <v>9.3379566344317846E-3</v>
      </c>
      <c r="Q404" s="109">
        <f t="shared" si="507"/>
        <v>1.5121177417182729E-2</v>
      </c>
      <c r="R404" s="109">
        <f t="shared" si="508"/>
        <v>9.6874806901020252E-2</v>
      </c>
      <c r="S404" s="110">
        <f t="shared" si="509"/>
        <v>4.7311596601744082E-4</v>
      </c>
      <c r="T404" s="109">
        <f t="shared" si="510"/>
        <v>7.7649090485652501E-4</v>
      </c>
      <c r="U404" s="109">
        <f t="shared" si="511"/>
        <v>7.2875058545770347E-3</v>
      </c>
      <c r="V404" s="109">
        <f t="shared" si="512"/>
        <v>1.6144735320465554E-2</v>
      </c>
      <c r="W404" s="111">
        <f t="shared" si="513"/>
        <v>0.31938438187448132</v>
      </c>
      <c r="X404" s="115">
        <f t="shared" ref="X404:X442" si="516">SUM(D404:W404)</f>
        <v>1.0000000000000002</v>
      </c>
      <c r="Y404" s="38" t="s">
        <v>534</v>
      </c>
      <c r="Z404" s="42" t="s">
        <v>205</v>
      </c>
      <c r="AA404" s="67">
        <f t="shared" ref="AA404:AT404" si="517">(SUMIF($AV$339:$AV$442,$Y404,AW$339:AW$442)*AA$337+IF($J182,SUMIF($AV$229:$AV$332,$Y294,AW$229:AW$332)*AA$227*(1-$D182/$J182),0))*$AU404</f>
        <v>431.05630000000002</v>
      </c>
      <c r="AB404" s="67">
        <f t="shared" si="517"/>
        <v>773.17290000000003</v>
      </c>
      <c r="AC404" s="67">
        <f t="shared" si="517"/>
        <v>1097.7059999999999</v>
      </c>
      <c r="AD404" s="67">
        <f t="shared" si="517"/>
        <v>1912.443</v>
      </c>
      <c r="AE404" s="67">
        <f t="shared" si="517"/>
        <v>2098.962</v>
      </c>
      <c r="AF404" s="76">
        <f t="shared" si="517"/>
        <v>13.666410000000001</v>
      </c>
      <c r="AG404" s="67">
        <f t="shared" si="517"/>
        <v>4.7515619999999998</v>
      </c>
      <c r="AH404" s="67">
        <f t="shared" si="517"/>
        <v>10.666919999999999</v>
      </c>
      <c r="AI404" s="67">
        <f t="shared" si="517"/>
        <v>22.711539999999999</v>
      </c>
      <c r="AJ404" s="68">
        <f t="shared" si="517"/>
        <v>366.80020000000002</v>
      </c>
      <c r="AK404" s="67">
        <f t="shared" si="517"/>
        <v>28.71829</v>
      </c>
      <c r="AL404" s="67">
        <f t="shared" si="517"/>
        <v>44.125839999999997</v>
      </c>
      <c r="AM404" s="67">
        <f t="shared" si="517"/>
        <v>118.8604</v>
      </c>
      <c r="AN404" s="67">
        <f t="shared" si="517"/>
        <v>192.4735</v>
      </c>
      <c r="AO404" s="67">
        <f t="shared" si="517"/>
        <v>1233.0940000000001</v>
      </c>
      <c r="AP404" s="76">
        <f t="shared" si="517"/>
        <v>6.0221689999999999</v>
      </c>
      <c r="AQ404" s="67">
        <f t="shared" si="517"/>
        <v>9.8837489999999999</v>
      </c>
      <c r="AR404" s="67">
        <f t="shared" si="517"/>
        <v>92.760750000000002</v>
      </c>
      <c r="AS404" s="67">
        <f t="shared" si="517"/>
        <v>205.50210000000001</v>
      </c>
      <c r="AT404" s="68">
        <f t="shared" si="517"/>
        <v>4065.36</v>
      </c>
      <c r="AU404" s="216">
        <v>1</v>
      </c>
      <c r="AV404" s="104" t="s">
        <v>534</v>
      </c>
      <c r="AW404" s="94">
        <v>431.05630000000002</v>
      </c>
      <c r="AX404" s="94">
        <v>773.17290000000003</v>
      </c>
      <c r="AY404" s="94">
        <v>1097.7059999999999</v>
      </c>
      <c r="AZ404" s="94">
        <v>1912.443</v>
      </c>
      <c r="BA404" s="94">
        <v>2098.962</v>
      </c>
      <c r="BB404" s="106">
        <v>13.666410000000001</v>
      </c>
      <c r="BC404" s="94">
        <v>4.7515619999999998</v>
      </c>
      <c r="BD404" s="94">
        <v>10.666919999999999</v>
      </c>
      <c r="BE404" s="94">
        <v>22.711539999999999</v>
      </c>
      <c r="BF404" s="95">
        <v>366.80020000000002</v>
      </c>
      <c r="BG404" s="94">
        <v>28.71829</v>
      </c>
      <c r="BH404" s="94">
        <v>44.125839999999997</v>
      </c>
      <c r="BI404" s="94">
        <v>118.8604</v>
      </c>
      <c r="BJ404" s="94">
        <v>192.4735</v>
      </c>
      <c r="BK404" s="94">
        <v>1233.0940000000001</v>
      </c>
      <c r="BL404" s="106">
        <v>6.0221689999999999</v>
      </c>
      <c r="BM404" s="94">
        <v>9.8837489999999999</v>
      </c>
      <c r="BN404" s="94">
        <v>92.760750000000002</v>
      </c>
      <c r="BO404" s="94">
        <v>205.50210000000001</v>
      </c>
      <c r="BP404" s="95">
        <v>4065.36</v>
      </c>
      <c r="BQ404" s="2"/>
      <c r="BR404" s="2"/>
      <c r="BS404" s="2"/>
    </row>
    <row r="405" spans="1:71" x14ac:dyDescent="0.35">
      <c r="A405" s="2"/>
      <c r="B405" s="2"/>
      <c r="C405" s="42" t="s">
        <v>207</v>
      </c>
      <c r="D405" s="109">
        <f t="shared" si="515"/>
        <v>3.0498076361788747E-2</v>
      </c>
      <c r="E405" s="109">
        <f t="shared" si="495"/>
        <v>4.8907939482870533E-2</v>
      </c>
      <c r="F405" s="109">
        <f t="shared" si="496"/>
        <v>7.0527868075225125E-2</v>
      </c>
      <c r="G405" s="109">
        <f t="shared" si="497"/>
        <v>0.11143595790621018</v>
      </c>
      <c r="H405" s="109">
        <f t="shared" si="498"/>
        <v>0.15075891679493345</v>
      </c>
      <c r="I405" s="110">
        <f t="shared" si="499"/>
        <v>8.434482522944785E-5</v>
      </c>
      <c r="J405" s="109">
        <f t="shared" si="500"/>
        <v>2.0392148869662237E-4</v>
      </c>
      <c r="K405" s="109">
        <f t="shared" si="501"/>
        <v>7.7374132944994713E-4</v>
      </c>
      <c r="L405" s="109">
        <f t="shared" si="502"/>
        <v>2.2414184262471073E-3</v>
      </c>
      <c r="M405" s="111">
        <f t="shared" si="503"/>
        <v>2.3434566979850587E-2</v>
      </c>
      <c r="N405" s="109">
        <f t="shared" si="504"/>
        <v>1.9876050804943069E-3</v>
      </c>
      <c r="O405" s="109">
        <f t="shared" si="505"/>
        <v>3.4125315308216565E-3</v>
      </c>
      <c r="P405" s="109">
        <f t="shared" si="506"/>
        <v>6.509657546260819E-3</v>
      </c>
      <c r="Q405" s="109">
        <f t="shared" si="507"/>
        <v>1.4355045786594776E-2</v>
      </c>
      <c r="R405" s="109">
        <f t="shared" si="508"/>
        <v>0.13202378027332778</v>
      </c>
      <c r="S405" s="110">
        <f t="shared" si="509"/>
        <v>5.1793516716978016E-4</v>
      </c>
      <c r="T405" s="109">
        <f t="shared" si="510"/>
        <v>2.1243110116383776E-3</v>
      </c>
      <c r="U405" s="109">
        <f t="shared" si="511"/>
        <v>4.2099829956158529E-3</v>
      </c>
      <c r="V405" s="109">
        <f t="shared" si="512"/>
        <v>1.2074128249160413E-2</v>
      </c>
      <c r="W405" s="111">
        <f t="shared" si="513"/>
        <v>0.38391827068841466</v>
      </c>
      <c r="X405" s="115">
        <f t="shared" si="516"/>
        <v>1.0000000000000002</v>
      </c>
      <c r="Y405" s="38" t="s">
        <v>504</v>
      </c>
      <c r="Z405" s="42" t="s">
        <v>207</v>
      </c>
      <c r="AA405" s="67">
        <f t="shared" ref="AA405:AT405" si="518">(SUMIF($AV$339:$AV$442,$Y405,AW$339:AW$442)*AA$337+IF($J183,SUMIF($AV$229:$AV$332,$Y295,AW$229:AW$332)*AA$227*(1-$D183/$J183),0))*$AU405</f>
        <v>508.84289999999999</v>
      </c>
      <c r="AB405" s="67">
        <f t="shared" si="518"/>
        <v>816.0009</v>
      </c>
      <c r="AC405" s="67">
        <f t="shared" si="518"/>
        <v>1176.7170000000001</v>
      </c>
      <c r="AD405" s="67">
        <f t="shared" si="518"/>
        <v>1859.2449999999999</v>
      </c>
      <c r="AE405" s="67">
        <f t="shared" si="518"/>
        <v>2515.326</v>
      </c>
      <c r="AF405" s="76">
        <f t="shared" si="518"/>
        <v>1.4072450000000001</v>
      </c>
      <c r="AG405" s="67">
        <f t="shared" si="518"/>
        <v>3.4023129999999999</v>
      </c>
      <c r="AH405" s="67">
        <f t="shared" si="518"/>
        <v>12.90943</v>
      </c>
      <c r="AI405" s="67">
        <f t="shared" si="518"/>
        <v>37.39678</v>
      </c>
      <c r="AJ405" s="68">
        <f t="shared" si="518"/>
        <v>390.9923</v>
      </c>
      <c r="AK405" s="67">
        <f t="shared" si="518"/>
        <v>33.162050000000001</v>
      </c>
      <c r="AL405" s="67">
        <f t="shared" si="518"/>
        <v>56.936129999999999</v>
      </c>
      <c r="AM405" s="67">
        <f t="shared" si="518"/>
        <v>108.6099</v>
      </c>
      <c r="AN405" s="67">
        <f t="shared" si="518"/>
        <v>239.50569999999999</v>
      </c>
      <c r="AO405" s="67">
        <f t="shared" si="518"/>
        <v>2202.741</v>
      </c>
      <c r="AP405" s="76">
        <f t="shared" si="518"/>
        <v>8.641451</v>
      </c>
      <c r="AQ405" s="67">
        <f t="shared" si="518"/>
        <v>35.442909999999998</v>
      </c>
      <c r="AR405" s="67">
        <f t="shared" si="518"/>
        <v>70.241150000000005</v>
      </c>
      <c r="AS405" s="67">
        <f t="shared" si="518"/>
        <v>201.44990000000001</v>
      </c>
      <c r="AT405" s="68">
        <f t="shared" si="518"/>
        <v>6405.4560000000001</v>
      </c>
      <c r="AU405" s="216">
        <v>1</v>
      </c>
      <c r="AV405" s="104" t="s">
        <v>504</v>
      </c>
      <c r="AW405" s="94">
        <v>508.84289999999999</v>
      </c>
      <c r="AX405" s="94">
        <v>816.0009</v>
      </c>
      <c r="AY405" s="94">
        <v>1176.7170000000001</v>
      </c>
      <c r="AZ405" s="94">
        <v>1859.2449999999999</v>
      </c>
      <c r="BA405" s="94">
        <v>2515.326</v>
      </c>
      <c r="BB405" s="106">
        <v>1.4072450000000001</v>
      </c>
      <c r="BC405" s="94">
        <v>3.4023129999999999</v>
      </c>
      <c r="BD405" s="94">
        <v>12.90943</v>
      </c>
      <c r="BE405" s="94">
        <v>37.39678</v>
      </c>
      <c r="BF405" s="95">
        <v>390.9923</v>
      </c>
      <c r="BG405" s="94">
        <v>33.162050000000001</v>
      </c>
      <c r="BH405" s="94">
        <v>56.936129999999999</v>
      </c>
      <c r="BI405" s="94">
        <v>108.6099</v>
      </c>
      <c r="BJ405" s="94">
        <v>239.50569999999999</v>
      </c>
      <c r="BK405" s="94">
        <v>2202.741</v>
      </c>
      <c r="BL405" s="106">
        <v>8.641451</v>
      </c>
      <c r="BM405" s="94">
        <v>35.442909999999998</v>
      </c>
      <c r="BN405" s="94">
        <v>70.241150000000005</v>
      </c>
      <c r="BO405" s="94">
        <v>201.44990000000001</v>
      </c>
      <c r="BP405" s="95">
        <v>6405.4560000000001</v>
      </c>
      <c r="BQ405" s="2"/>
      <c r="BR405" s="2"/>
      <c r="BS405" s="2"/>
    </row>
    <row r="406" spans="1:71" x14ac:dyDescent="0.35">
      <c r="A406" s="2"/>
      <c r="B406" s="2"/>
      <c r="C406" s="42" t="s">
        <v>209</v>
      </c>
      <c r="D406" s="109">
        <f t="shared" si="515"/>
        <v>0</v>
      </c>
      <c r="E406" s="109">
        <f t="shared" si="495"/>
        <v>0</v>
      </c>
      <c r="F406" s="109">
        <f t="shared" si="496"/>
        <v>0</v>
      </c>
      <c r="G406" s="109">
        <f t="shared" si="497"/>
        <v>0</v>
      </c>
      <c r="H406" s="109">
        <f t="shared" si="498"/>
        <v>0</v>
      </c>
      <c r="I406" s="110">
        <f t="shared" si="499"/>
        <v>0</v>
      </c>
      <c r="J406" s="109">
        <f t="shared" si="500"/>
        <v>0</v>
      </c>
      <c r="K406" s="109">
        <f t="shared" si="501"/>
        <v>0</v>
      </c>
      <c r="L406" s="109">
        <f t="shared" si="502"/>
        <v>0</v>
      </c>
      <c r="M406" s="111">
        <f t="shared" si="503"/>
        <v>0</v>
      </c>
      <c r="N406" s="109">
        <f t="shared" si="504"/>
        <v>0</v>
      </c>
      <c r="O406" s="109">
        <f t="shared" si="505"/>
        <v>0</v>
      </c>
      <c r="P406" s="109">
        <f t="shared" si="506"/>
        <v>0</v>
      </c>
      <c r="Q406" s="109">
        <f t="shared" si="507"/>
        <v>0</v>
      </c>
      <c r="R406" s="109">
        <f t="shared" si="508"/>
        <v>0</v>
      </c>
      <c r="S406" s="110">
        <f t="shared" si="509"/>
        <v>0</v>
      </c>
      <c r="T406" s="109">
        <f t="shared" si="510"/>
        <v>0</v>
      </c>
      <c r="U406" s="109">
        <f t="shared" si="511"/>
        <v>0</v>
      </c>
      <c r="V406" s="109">
        <f t="shared" si="512"/>
        <v>0</v>
      </c>
      <c r="W406" s="111">
        <f t="shared" si="513"/>
        <v>0</v>
      </c>
      <c r="X406" s="115">
        <f t="shared" si="516"/>
        <v>0</v>
      </c>
      <c r="Y406" s="38" t="s">
        <v>535</v>
      </c>
      <c r="Z406" s="42" t="s">
        <v>209</v>
      </c>
      <c r="AA406" s="67">
        <f t="shared" ref="AA406:AT406" si="519">(SUMIF($AV$339:$AV$442,$Y406,AW$339:AW$442)*AA$337+IF($J184,SUMIF($AV$229:$AV$332,$Y296,AW$229:AW$332)*AA$227*(1-$D184/$J184),0))*$AU406</f>
        <v>0</v>
      </c>
      <c r="AB406" s="67">
        <f t="shared" si="519"/>
        <v>0</v>
      </c>
      <c r="AC406" s="67">
        <f t="shared" si="519"/>
        <v>0</v>
      </c>
      <c r="AD406" s="67">
        <f t="shared" si="519"/>
        <v>0</v>
      </c>
      <c r="AE406" s="67">
        <f t="shared" si="519"/>
        <v>0</v>
      </c>
      <c r="AF406" s="76">
        <f t="shared" si="519"/>
        <v>0</v>
      </c>
      <c r="AG406" s="67">
        <f t="shared" si="519"/>
        <v>0</v>
      </c>
      <c r="AH406" s="67">
        <f t="shared" si="519"/>
        <v>0</v>
      </c>
      <c r="AI406" s="67">
        <f t="shared" si="519"/>
        <v>0</v>
      </c>
      <c r="AJ406" s="68">
        <f t="shared" si="519"/>
        <v>0</v>
      </c>
      <c r="AK406" s="67">
        <f t="shared" si="519"/>
        <v>0</v>
      </c>
      <c r="AL406" s="67">
        <f t="shared" si="519"/>
        <v>0</v>
      </c>
      <c r="AM406" s="67">
        <f t="shared" si="519"/>
        <v>0</v>
      </c>
      <c r="AN406" s="67">
        <f t="shared" si="519"/>
        <v>0</v>
      </c>
      <c r="AO406" s="67">
        <f t="shared" si="519"/>
        <v>0</v>
      </c>
      <c r="AP406" s="76">
        <f t="shared" si="519"/>
        <v>0</v>
      </c>
      <c r="AQ406" s="67">
        <f t="shared" si="519"/>
        <v>0</v>
      </c>
      <c r="AR406" s="67">
        <f t="shared" si="519"/>
        <v>0</v>
      </c>
      <c r="AS406" s="67">
        <f t="shared" si="519"/>
        <v>0</v>
      </c>
      <c r="AT406" s="68">
        <f t="shared" si="519"/>
        <v>0</v>
      </c>
      <c r="AU406" s="216">
        <v>1</v>
      </c>
      <c r="AV406" s="104" t="s">
        <v>535</v>
      </c>
      <c r="AW406" s="94"/>
      <c r="AX406" s="94"/>
      <c r="AY406" s="94"/>
      <c r="AZ406" s="94"/>
      <c r="BA406" s="94"/>
      <c r="BB406" s="106"/>
      <c r="BC406" s="94"/>
      <c r="BD406" s="94"/>
      <c r="BE406" s="94"/>
      <c r="BF406" s="95"/>
      <c r="BG406" s="94"/>
      <c r="BH406" s="94"/>
      <c r="BI406" s="94"/>
      <c r="BJ406" s="94"/>
      <c r="BK406" s="94"/>
      <c r="BL406" s="106"/>
      <c r="BM406" s="94"/>
      <c r="BN406" s="94"/>
      <c r="BO406" s="94"/>
      <c r="BP406" s="95"/>
      <c r="BQ406" s="2"/>
      <c r="BR406" s="2"/>
      <c r="BS406" s="2"/>
    </row>
    <row r="407" spans="1:71" x14ac:dyDescent="0.35">
      <c r="A407" s="2"/>
      <c r="B407" s="2"/>
      <c r="C407" s="42" t="s">
        <v>211</v>
      </c>
      <c r="D407" s="109">
        <f t="shared" si="515"/>
        <v>7.5593857884604194E-3</v>
      </c>
      <c r="E407" s="109">
        <f t="shared" si="495"/>
        <v>1.7889722800794008E-2</v>
      </c>
      <c r="F407" s="109">
        <f t="shared" si="496"/>
        <v>4.1433721421183574E-2</v>
      </c>
      <c r="G407" s="109">
        <f t="shared" si="497"/>
        <v>6.7398634281274933E-2</v>
      </c>
      <c r="H407" s="109">
        <f t="shared" si="498"/>
        <v>0.10594917618575474</v>
      </c>
      <c r="I407" s="110">
        <f t="shared" si="499"/>
        <v>0</v>
      </c>
      <c r="J407" s="109">
        <f t="shared" si="500"/>
        <v>4.3518332823809215E-5</v>
      </c>
      <c r="K407" s="109">
        <f t="shared" si="501"/>
        <v>3.6738427586544936E-4</v>
      </c>
      <c r="L407" s="109">
        <f t="shared" si="502"/>
        <v>2.0696223220194295E-3</v>
      </c>
      <c r="M407" s="111">
        <f t="shared" si="503"/>
        <v>1.9133915628439378E-2</v>
      </c>
      <c r="N407" s="109">
        <f t="shared" si="504"/>
        <v>9.6591337686945371E-4</v>
      </c>
      <c r="O407" s="109">
        <f t="shared" si="505"/>
        <v>3.6490743850004009E-3</v>
      </c>
      <c r="P407" s="109">
        <f t="shared" si="506"/>
        <v>1.0660304732263698E-2</v>
      </c>
      <c r="Q407" s="109">
        <f t="shared" si="507"/>
        <v>2.1305535754493655E-2</v>
      </c>
      <c r="R407" s="109">
        <f t="shared" si="508"/>
        <v>0.12939573490127748</v>
      </c>
      <c r="S407" s="110">
        <f t="shared" si="509"/>
        <v>1.4481473299931308E-3</v>
      </c>
      <c r="T407" s="109">
        <f t="shared" si="510"/>
        <v>3.5061952479077305E-3</v>
      </c>
      <c r="U407" s="109">
        <f t="shared" si="511"/>
        <v>9.4792212777143527E-3</v>
      </c>
      <c r="V407" s="109">
        <f t="shared" si="512"/>
        <v>3.7839137264783482E-2</v>
      </c>
      <c r="W407" s="111">
        <f t="shared" si="513"/>
        <v>0.51990565469308081</v>
      </c>
      <c r="X407" s="115">
        <f t="shared" si="516"/>
        <v>1</v>
      </c>
      <c r="Y407" s="38" t="s">
        <v>505</v>
      </c>
      <c r="Z407" s="42" t="s">
        <v>211</v>
      </c>
      <c r="AA407" s="67">
        <f t="shared" ref="AA407:AT407" si="520">(SUMIF($AV$339:$AV$442,$Y407,AW$339:AW$442)*AA$337+IF($J185,SUMIF($AV$229:$AV$332,$Y297,AW$229:AW$332)*AA$227*(1-$D185/$J185),0))*$AU407</f>
        <v>156.3159</v>
      </c>
      <c r="AB407" s="67">
        <f t="shared" si="520"/>
        <v>369.93060000000003</v>
      </c>
      <c r="AC407" s="67">
        <f t="shared" si="520"/>
        <v>856.78250000000003</v>
      </c>
      <c r="AD407" s="67">
        <f t="shared" si="520"/>
        <v>1393.6949999999999</v>
      </c>
      <c r="AE407" s="67">
        <f t="shared" si="520"/>
        <v>2190.8580000000002</v>
      </c>
      <c r="AF407" s="76">
        <f t="shared" si="520"/>
        <v>0</v>
      </c>
      <c r="AG407" s="67">
        <f t="shared" si="520"/>
        <v>0.89988889999999999</v>
      </c>
      <c r="AH407" s="67">
        <f t="shared" si="520"/>
        <v>7.5969139999999999</v>
      </c>
      <c r="AI407" s="67">
        <f t="shared" si="520"/>
        <v>42.79645</v>
      </c>
      <c r="AJ407" s="68">
        <f t="shared" si="520"/>
        <v>395.6585</v>
      </c>
      <c r="AK407" s="67">
        <f t="shared" si="520"/>
        <v>19.97353</v>
      </c>
      <c r="AL407" s="67">
        <f t="shared" si="520"/>
        <v>75.456969999999998</v>
      </c>
      <c r="AM407" s="67">
        <f t="shared" si="520"/>
        <v>220.43790000000001</v>
      </c>
      <c r="AN407" s="67">
        <f t="shared" si="520"/>
        <v>440.5641</v>
      </c>
      <c r="AO407" s="67">
        <f t="shared" si="520"/>
        <v>2675.6950000000002</v>
      </c>
      <c r="AP407" s="76">
        <f t="shared" si="520"/>
        <v>29.945350000000001</v>
      </c>
      <c r="AQ407" s="67">
        <f t="shared" si="520"/>
        <v>72.502459999999999</v>
      </c>
      <c r="AR407" s="67">
        <f t="shared" si="520"/>
        <v>196.01499999999999</v>
      </c>
      <c r="AS407" s="67">
        <f t="shared" si="520"/>
        <v>782.45230000000004</v>
      </c>
      <c r="AT407" s="68">
        <f t="shared" si="520"/>
        <v>10750.81</v>
      </c>
      <c r="AU407" s="216">
        <v>1</v>
      </c>
      <c r="AV407" s="104" t="s">
        <v>505</v>
      </c>
      <c r="AW407" s="94">
        <v>156.3159</v>
      </c>
      <c r="AX407" s="94">
        <v>369.93060000000003</v>
      </c>
      <c r="AY407" s="94">
        <v>856.78250000000003</v>
      </c>
      <c r="AZ407" s="94">
        <v>1393.6949999999999</v>
      </c>
      <c r="BA407" s="94">
        <v>2190.8580000000002</v>
      </c>
      <c r="BB407" s="106">
        <v>0</v>
      </c>
      <c r="BC407" s="94">
        <v>0.89988889999999999</v>
      </c>
      <c r="BD407" s="94">
        <v>7.5969139999999999</v>
      </c>
      <c r="BE407" s="94">
        <v>42.79645</v>
      </c>
      <c r="BF407" s="95">
        <v>395.6585</v>
      </c>
      <c r="BG407" s="94">
        <v>19.97353</v>
      </c>
      <c r="BH407" s="94">
        <v>75.456969999999998</v>
      </c>
      <c r="BI407" s="94">
        <v>220.43790000000001</v>
      </c>
      <c r="BJ407" s="94">
        <v>440.5641</v>
      </c>
      <c r="BK407" s="94">
        <v>2675.6950000000002</v>
      </c>
      <c r="BL407" s="106">
        <v>29.945350000000001</v>
      </c>
      <c r="BM407" s="94">
        <v>72.502459999999999</v>
      </c>
      <c r="BN407" s="94">
        <v>196.01499999999999</v>
      </c>
      <c r="BO407" s="94">
        <v>782.45230000000004</v>
      </c>
      <c r="BP407" s="95">
        <v>10750.81</v>
      </c>
      <c r="BQ407" s="2"/>
      <c r="BR407" s="2"/>
      <c r="BS407" s="2"/>
    </row>
    <row r="408" spans="1:71" x14ac:dyDescent="0.35">
      <c r="A408" s="2"/>
      <c r="B408" s="2"/>
      <c r="C408" s="42" t="s">
        <v>213</v>
      </c>
      <c r="D408" s="109">
        <f t="shared" si="515"/>
        <v>1.5078709626016552E-2</v>
      </c>
      <c r="E408" s="109">
        <f t="shared" si="495"/>
        <v>3.0057223354720577E-2</v>
      </c>
      <c r="F408" s="109">
        <f t="shared" si="496"/>
        <v>4.4022385229312122E-2</v>
      </c>
      <c r="G408" s="109">
        <f t="shared" si="497"/>
        <v>7.7118411402195192E-2</v>
      </c>
      <c r="H408" s="109">
        <f t="shared" si="498"/>
        <v>0.13226487181009722</v>
      </c>
      <c r="I408" s="110">
        <f t="shared" si="499"/>
        <v>9.1233103657909295E-5</v>
      </c>
      <c r="J408" s="109">
        <f t="shared" si="500"/>
        <v>2.7893214157585853E-4</v>
      </c>
      <c r="K408" s="109">
        <f t="shared" si="501"/>
        <v>6.01073273406583E-4</v>
      </c>
      <c r="L408" s="109">
        <f t="shared" si="502"/>
        <v>2.8453332623878621E-3</v>
      </c>
      <c r="M408" s="111">
        <f t="shared" si="503"/>
        <v>1.8682211699549232E-2</v>
      </c>
      <c r="N408" s="109">
        <f t="shared" si="504"/>
        <v>2.357739701884666E-3</v>
      </c>
      <c r="O408" s="109">
        <f t="shared" si="505"/>
        <v>8.5587671125255515E-3</v>
      </c>
      <c r="P408" s="109">
        <f t="shared" si="506"/>
        <v>1.474178289833273E-2</v>
      </c>
      <c r="Q408" s="109">
        <f t="shared" si="507"/>
        <v>2.0766607822532486E-2</v>
      </c>
      <c r="R408" s="109">
        <f t="shared" si="508"/>
        <v>0.11022219986162639</v>
      </c>
      <c r="S408" s="110">
        <f t="shared" si="509"/>
        <v>1.043978849154644E-3</v>
      </c>
      <c r="T408" s="109">
        <f t="shared" si="510"/>
        <v>8.5482062427639956E-3</v>
      </c>
      <c r="U408" s="109">
        <f t="shared" si="511"/>
        <v>1.1597881934897658E-2</v>
      </c>
      <c r="V408" s="109">
        <f t="shared" si="512"/>
        <v>3.6448530314459694E-2</v>
      </c>
      <c r="W408" s="111">
        <f t="shared" si="513"/>
        <v>0.46467392035890298</v>
      </c>
      <c r="X408" s="115">
        <f t="shared" si="516"/>
        <v>0.99999999999999989</v>
      </c>
      <c r="Y408" s="38" t="s">
        <v>506</v>
      </c>
      <c r="Z408" s="42" t="s">
        <v>213</v>
      </c>
      <c r="AA408" s="67">
        <f t="shared" ref="AA408:AT408" si="521">(SUMIF($AV$339:$AV$442,$Y408,AW$339:AW$442)*AA$337+IF($J186,SUMIF($AV$229:$AV$332,$Y298,AW$229:AW$332)*AA$227*(1-$D186/$J186),0))*$AU408</f>
        <v>318.96839999999997</v>
      </c>
      <c r="AB408" s="67">
        <f t="shared" si="521"/>
        <v>635.81730000000005</v>
      </c>
      <c r="AC408" s="67">
        <f t="shared" si="521"/>
        <v>931.23019999999997</v>
      </c>
      <c r="AD408" s="67">
        <f t="shared" si="521"/>
        <v>1631.329</v>
      </c>
      <c r="AE408" s="67">
        <f t="shared" si="521"/>
        <v>2797.873</v>
      </c>
      <c r="AF408" s="76">
        <f t="shared" si="521"/>
        <v>1.929905</v>
      </c>
      <c r="AG408" s="67">
        <f t="shared" si="521"/>
        <v>5.9004079999999997</v>
      </c>
      <c r="AH408" s="67">
        <f t="shared" si="521"/>
        <v>12.714840000000001</v>
      </c>
      <c r="AI408" s="67">
        <f t="shared" si="521"/>
        <v>60.188929999999999</v>
      </c>
      <c r="AJ408" s="68">
        <f t="shared" si="521"/>
        <v>395.19529999999997</v>
      </c>
      <c r="AK408" s="67">
        <f t="shared" si="521"/>
        <v>49.874589999999998</v>
      </c>
      <c r="AL408" s="67">
        <f t="shared" si="521"/>
        <v>181.04839999999999</v>
      </c>
      <c r="AM408" s="67">
        <f t="shared" si="521"/>
        <v>311.84120000000001</v>
      </c>
      <c r="AN408" s="67">
        <f t="shared" si="521"/>
        <v>439.28769999999997</v>
      </c>
      <c r="AO408" s="67">
        <f t="shared" si="521"/>
        <v>2331.5920000000001</v>
      </c>
      <c r="AP408" s="76">
        <f t="shared" si="521"/>
        <v>22.083870000000001</v>
      </c>
      <c r="AQ408" s="67">
        <f t="shared" si="521"/>
        <v>180.82499999999999</v>
      </c>
      <c r="AR408" s="67">
        <f t="shared" si="521"/>
        <v>245.3365</v>
      </c>
      <c r="AS408" s="67">
        <f t="shared" si="521"/>
        <v>771.01620000000003</v>
      </c>
      <c r="AT408" s="68">
        <f t="shared" si="521"/>
        <v>9829.5079999999998</v>
      </c>
      <c r="AU408" s="216">
        <v>1</v>
      </c>
      <c r="AV408" s="104" t="s">
        <v>506</v>
      </c>
      <c r="AW408" s="94">
        <v>318.96839999999997</v>
      </c>
      <c r="AX408" s="94">
        <v>635.81730000000005</v>
      </c>
      <c r="AY408" s="94">
        <v>931.23019999999997</v>
      </c>
      <c r="AZ408" s="94">
        <v>1631.329</v>
      </c>
      <c r="BA408" s="94">
        <v>2797.873</v>
      </c>
      <c r="BB408" s="106">
        <v>1.929905</v>
      </c>
      <c r="BC408" s="94">
        <v>5.9004079999999997</v>
      </c>
      <c r="BD408" s="94">
        <v>12.714840000000001</v>
      </c>
      <c r="BE408" s="94">
        <v>60.188929999999999</v>
      </c>
      <c r="BF408" s="95">
        <v>395.19529999999997</v>
      </c>
      <c r="BG408" s="94">
        <v>49.874589999999998</v>
      </c>
      <c r="BH408" s="94">
        <v>181.04839999999999</v>
      </c>
      <c r="BI408" s="94">
        <v>311.84120000000001</v>
      </c>
      <c r="BJ408" s="94">
        <v>439.28769999999997</v>
      </c>
      <c r="BK408" s="94">
        <v>2331.5920000000001</v>
      </c>
      <c r="BL408" s="106">
        <v>22.083870000000001</v>
      </c>
      <c r="BM408" s="94">
        <v>180.82499999999999</v>
      </c>
      <c r="BN408" s="94">
        <v>245.3365</v>
      </c>
      <c r="BO408" s="94">
        <v>771.01620000000003</v>
      </c>
      <c r="BP408" s="95">
        <v>9829.5079999999998</v>
      </c>
      <c r="BQ408" s="2"/>
      <c r="BR408" s="2"/>
      <c r="BS408" s="2"/>
    </row>
    <row r="409" spans="1:71" x14ac:dyDescent="0.35">
      <c r="A409" s="2"/>
      <c r="B409" s="2"/>
      <c r="C409" s="42" t="s">
        <v>215</v>
      </c>
      <c r="D409" s="109">
        <f t="shared" si="515"/>
        <v>1.5078709626016552E-2</v>
      </c>
      <c r="E409" s="109">
        <f t="shared" si="495"/>
        <v>3.0057223354720577E-2</v>
      </c>
      <c r="F409" s="109">
        <f t="shared" si="496"/>
        <v>4.4022385229312122E-2</v>
      </c>
      <c r="G409" s="109">
        <f t="shared" si="497"/>
        <v>7.7118411402195192E-2</v>
      </c>
      <c r="H409" s="109">
        <f t="shared" si="498"/>
        <v>0.13226487181009722</v>
      </c>
      <c r="I409" s="110">
        <f t="shared" si="499"/>
        <v>9.1233103657909308E-5</v>
      </c>
      <c r="J409" s="109">
        <f t="shared" si="500"/>
        <v>2.7893214157585853E-4</v>
      </c>
      <c r="K409" s="109">
        <f t="shared" si="501"/>
        <v>6.01073273406583E-4</v>
      </c>
      <c r="L409" s="109">
        <f t="shared" si="502"/>
        <v>2.8453332623878621E-3</v>
      </c>
      <c r="M409" s="111">
        <f t="shared" si="503"/>
        <v>1.8682211699549232E-2</v>
      </c>
      <c r="N409" s="109">
        <f t="shared" si="504"/>
        <v>2.357739701884666E-3</v>
      </c>
      <c r="O409" s="109">
        <f t="shared" si="505"/>
        <v>8.5587671125255532E-3</v>
      </c>
      <c r="P409" s="109">
        <f t="shared" si="506"/>
        <v>1.474178289833273E-2</v>
      </c>
      <c r="Q409" s="109">
        <f t="shared" si="507"/>
        <v>2.0766607822532489E-2</v>
      </c>
      <c r="R409" s="109">
        <f t="shared" si="508"/>
        <v>0.11022219986162639</v>
      </c>
      <c r="S409" s="110">
        <f t="shared" si="509"/>
        <v>1.043978849154644E-3</v>
      </c>
      <c r="T409" s="109">
        <f t="shared" si="510"/>
        <v>8.5482062427639956E-3</v>
      </c>
      <c r="U409" s="109">
        <f t="shared" si="511"/>
        <v>1.1597881934897658E-2</v>
      </c>
      <c r="V409" s="109">
        <f t="shared" si="512"/>
        <v>3.6448530314459694E-2</v>
      </c>
      <c r="W409" s="111">
        <f t="shared" si="513"/>
        <v>0.46467392035890304</v>
      </c>
      <c r="X409" s="115">
        <f t="shared" si="516"/>
        <v>1</v>
      </c>
      <c r="Y409" s="38" t="s">
        <v>506</v>
      </c>
      <c r="Z409" s="42" t="s">
        <v>215</v>
      </c>
      <c r="AA409" s="67">
        <f t="shared" ref="AA409:AT409" si="522">(SUMIF($AV$339:$AV$442,$Y409,AW$339:AW$442)*AA$337+IF($J187,SUMIF($AV$229:$AV$332,$Y299,AW$229:AW$332)*AA$227*(1-$D187/$J187),0))*$AU409</f>
        <v>3.1896839999999996E-2</v>
      </c>
      <c r="AB409" s="67">
        <f t="shared" si="522"/>
        <v>6.3581730000000003E-2</v>
      </c>
      <c r="AC409" s="67">
        <f t="shared" si="522"/>
        <v>9.3123020000000001E-2</v>
      </c>
      <c r="AD409" s="67">
        <f t="shared" si="522"/>
        <v>0.1631329</v>
      </c>
      <c r="AE409" s="67">
        <f t="shared" si="522"/>
        <v>0.27978730000000002</v>
      </c>
      <c r="AF409" s="76">
        <f t="shared" si="522"/>
        <v>1.9299050000000002E-4</v>
      </c>
      <c r="AG409" s="67">
        <f t="shared" si="522"/>
        <v>5.9004079999999996E-4</v>
      </c>
      <c r="AH409" s="67">
        <f t="shared" si="522"/>
        <v>1.271484E-3</v>
      </c>
      <c r="AI409" s="67">
        <f t="shared" si="522"/>
        <v>6.018893E-3</v>
      </c>
      <c r="AJ409" s="68">
        <f t="shared" si="522"/>
        <v>3.9519529999999997E-2</v>
      </c>
      <c r="AK409" s="67">
        <f t="shared" si="522"/>
        <v>4.9874589999999996E-3</v>
      </c>
      <c r="AL409" s="67">
        <f t="shared" si="522"/>
        <v>1.8104840000000001E-2</v>
      </c>
      <c r="AM409" s="67">
        <f t="shared" si="522"/>
        <v>3.1184120000000003E-2</v>
      </c>
      <c r="AN409" s="67">
        <f t="shared" si="522"/>
        <v>4.3928769999999999E-2</v>
      </c>
      <c r="AO409" s="67">
        <f t="shared" si="522"/>
        <v>0.23315920000000001</v>
      </c>
      <c r="AP409" s="76">
        <f t="shared" si="522"/>
        <v>2.208387E-3</v>
      </c>
      <c r="AQ409" s="67">
        <f t="shared" si="522"/>
        <v>1.8082500000000001E-2</v>
      </c>
      <c r="AR409" s="67">
        <f t="shared" si="522"/>
        <v>2.4533650000000001E-2</v>
      </c>
      <c r="AS409" s="67">
        <f t="shared" si="522"/>
        <v>7.710162000000001E-2</v>
      </c>
      <c r="AT409" s="68">
        <f t="shared" si="522"/>
        <v>0.98295080000000001</v>
      </c>
      <c r="AU409" s="216">
        <v>1E-4</v>
      </c>
      <c r="AV409" s="104" t="s">
        <v>536</v>
      </c>
      <c r="AW409" s="94"/>
      <c r="AX409" s="94"/>
      <c r="AY409" s="94"/>
      <c r="AZ409" s="94"/>
      <c r="BA409" s="94"/>
      <c r="BB409" s="106"/>
      <c r="BC409" s="94"/>
      <c r="BD409" s="94"/>
      <c r="BE409" s="94"/>
      <c r="BF409" s="95"/>
      <c r="BG409" s="94"/>
      <c r="BH409" s="94"/>
      <c r="BI409" s="94"/>
      <c r="BJ409" s="94"/>
      <c r="BK409" s="94"/>
      <c r="BL409" s="106"/>
      <c r="BM409" s="94"/>
      <c r="BN409" s="94"/>
      <c r="BO409" s="94"/>
      <c r="BP409" s="95"/>
      <c r="BQ409" s="2"/>
      <c r="BR409" s="2"/>
      <c r="BS409" s="2"/>
    </row>
    <row r="410" spans="1:71" x14ac:dyDescent="0.35">
      <c r="A410" s="2"/>
      <c r="B410" s="2"/>
      <c r="C410" s="42" t="s">
        <v>217</v>
      </c>
      <c r="D410" s="109">
        <f t="shared" si="515"/>
        <v>2.3035471467793573E-2</v>
      </c>
      <c r="E410" s="109">
        <f t="shared" si="495"/>
        <v>4.7816853154448752E-2</v>
      </c>
      <c r="F410" s="109">
        <f t="shared" si="496"/>
        <v>8.336316121361749E-2</v>
      </c>
      <c r="G410" s="109">
        <f t="shared" si="497"/>
        <v>0.16939113405419678</v>
      </c>
      <c r="H410" s="109">
        <f t="shared" si="498"/>
        <v>0.28484058265327905</v>
      </c>
      <c r="I410" s="110">
        <f t="shared" si="499"/>
        <v>0</v>
      </c>
      <c r="J410" s="109">
        <f t="shared" si="500"/>
        <v>0</v>
      </c>
      <c r="K410" s="109">
        <f t="shared" si="501"/>
        <v>0</v>
      </c>
      <c r="L410" s="109">
        <f t="shared" si="502"/>
        <v>3.9242431847534684E-4</v>
      </c>
      <c r="M410" s="111">
        <f t="shared" si="503"/>
        <v>2.3370308612223264E-3</v>
      </c>
      <c r="N410" s="109">
        <f t="shared" si="504"/>
        <v>1.1059461092961748E-3</v>
      </c>
      <c r="O410" s="109">
        <f t="shared" si="505"/>
        <v>1.6938327316235732E-4</v>
      </c>
      <c r="P410" s="109">
        <f t="shared" si="506"/>
        <v>6.1899978657503621E-3</v>
      </c>
      <c r="Q410" s="109">
        <f t="shared" si="507"/>
        <v>8.6037829661987312E-3</v>
      </c>
      <c r="R410" s="109">
        <f t="shared" si="508"/>
        <v>9.0926444601074713E-2</v>
      </c>
      <c r="S410" s="110">
        <f t="shared" si="509"/>
        <v>4.985168799634031E-4</v>
      </c>
      <c r="T410" s="109">
        <f t="shared" si="510"/>
        <v>2.8494298919345303E-3</v>
      </c>
      <c r="U410" s="109">
        <f t="shared" si="511"/>
        <v>4.5312422144976831E-3</v>
      </c>
      <c r="V410" s="109">
        <f t="shared" si="512"/>
        <v>7.5307220995410309E-3</v>
      </c>
      <c r="W410" s="111">
        <f t="shared" si="513"/>
        <v>0.2664178763755477</v>
      </c>
      <c r="X410" s="115">
        <f t="shared" si="516"/>
        <v>0.99999999999999967</v>
      </c>
      <c r="Y410" s="38" t="s">
        <v>507</v>
      </c>
      <c r="Z410" s="42" t="s">
        <v>217</v>
      </c>
      <c r="AA410" s="67">
        <f t="shared" ref="AA410:AT410" si="523">(SUMIF($AV$339:$AV$442,$Y410,AW$339:AW$442)*AA$337+IF($J188,SUMIF($AV$229:$AV$332,$Y300,AW$229:AW$332)*AA$227*(1-$D188/$J188),0))*$AU410</f>
        <v>750.17960000000005</v>
      </c>
      <c r="AB410" s="67">
        <f t="shared" si="523"/>
        <v>1557.2170000000001</v>
      </c>
      <c r="AC410" s="67">
        <f t="shared" si="523"/>
        <v>2714.828</v>
      </c>
      <c r="AD410" s="67">
        <f t="shared" si="523"/>
        <v>5516.4390000000003</v>
      </c>
      <c r="AE410" s="67">
        <f t="shared" si="523"/>
        <v>9276.1980000000003</v>
      </c>
      <c r="AF410" s="76">
        <f t="shared" si="523"/>
        <v>0</v>
      </c>
      <c r="AG410" s="67">
        <f t="shared" si="523"/>
        <v>0</v>
      </c>
      <c r="AH410" s="67">
        <f t="shared" si="523"/>
        <v>0</v>
      </c>
      <c r="AI410" s="67">
        <f t="shared" si="523"/>
        <v>12.7798</v>
      </c>
      <c r="AJ410" s="68">
        <f t="shared" si="523"/>
        <v>76.108400000000003</v>
      </c>
      <c r="AK410" s="67">
        <f t="shared" si="523"/>
        <v>36.016550000000002</v>
      </c>
      <c r="AL410" s="67">
        <f t="shared" si="523"/>
        <v>5.5161829999999998</v>
      </c>
      <c r="AM410" s="67">
        <f t="shared" si="523"/>
        <v>201.58519999999999</v>
      </c>
      <c r="AN410" s="67">
        <f t="shared" si="523"/>
        <v>280.19319999999999</v>
      </c>
      <c r="AO410" s="67">
        <f t="shared" si="523"/>
        <v>2961.136</v>
      </c>
      <c r="AP410" s="76">
        <f t="shared" si="523"/>
        <v>16.234839999999998</v>
      </c>
      <c r="AQ410" s="67">
        <f t="shared" si="523"/>
        <v>92.795330000000007</v>
      </c>
      <c r="AR410" s="67">
        <f t="shared" si="523"/>
        <v>147.56569999999999</v>
      </c>
      <c r="AS410" s="67">
        <f t="shared" si="523"/>
        <v>245.24760000000001</v>
      </c>
      <c r="AT410" s="68">
        <f t="shared" si="523"/>
        <v>8676.2389999999996</v>
      </c>
      <c r="AU410" s="216">
        <v>1</v>
      </c>
      <c r="AV410" s="104" t="s">
        <v>507</v>
      </c>
      <c r="AW410" s="94">
        <v>750.17960000000005</v>
      </c>
      <c r="AX410" s="94">
        <v>1557.2170000000001</v>
      </c>
      <c r="AY410" s="94">
        <v>2714.828</v>
      </c>
      <c r="AZ410" s="94">
        <v>5516.4390000000003</v>
      </c>
      <c r="BA410" s="94">
        <v>9276.1980000000003</v>
      </c>
      <c r="BB410" s="106">
        <v>0</v>
      </c>
      <c r="BC410" s="94">
        <v>0</v>
      </c>
      <c r="BD410" s="94">
        <v>0</v>
      </c>
      <c r="BE410" s="94">
        <v>12.7798</v>
      </c>
      <c r="BF410" s="95">
        <v>76.108400000000003</v>
      </c>
      <c r="BG410" s="94">
        <v>36.016550000000002</v>
      </c>
      <c r="BH410" s="94">
        <v>5.5161829999999998</v>
      </c>
      <c r="BI410" s="94">
        <v>201.58519999999999</v>
      </c>
      <c r="BJ410" s="94">
        <v>280.19319999999999</v>
      </c>
      <c r="BK410" s="94">
        <v>2961.136</v>
      </c>
      <c r="BL410" s="106">
        <v>16.234839999999998</v>
      </c>
      <c r="BM410" s="94">
        <v>92.795330000000007</v>
      </c>
      <c r="BN410" s="94">
        <v>147.56569999999999</v>
      </c>
      <c r="BO410" s="94">
        <v>245.24760000000001</v>
      </c>
      <c r="BP410" s="95">
        <v>8676.2389999999996</v>
      </c>
      <c r="BQ410" s="2"/>
      <c r="BR410" s="2"/>
      <c r="BS410" s="2"/>
    </row>
    <row r="411" spans="1:71" x14ac:dyDescent="0.35">
      <c r="A411" s="2"/>
      <c r="B411" s="2"/>
      <c r="C411" s="42" t="s">
        <v>219</v>
      </c>
      <c r="D411" s="109">
        <f t="shared" si="515"/>
        <v>0</v>
      </c>
      <c r="E411" s="109">
        <f t="shared" si="495"/>
        <v>0</v>
      </c>
      <c r="F411" s="109">
        <f t="shared" si="496"/>
        <v>0</v>
      </c>
      <c r="G411" s="109">
        <f t="shared" si="497"/>
        <v>0</v>
      </c>
      <c r="H411" s="109">
        <f t="shared" si="498"/>
        <v>0</v>
      </c>
      <c r="I411" s="110">
        <f t="shared" si="499"/>
        <v>0</v>
      </c>
      <c r="J411" s="109">
        <f t="shared" si="500"/>
        <v>0</v>
      </c>
      <c r="K411" s="109">
        <f t="shared" si="501"/>
        <v>0</v>
      </c>
      <c r="L411" s="109">
        <f t="shared" si="502"/>
        <v>0</v>
      </c>
      <c r="M411" s="111">
        <f t="shared" si="503"/>
        <v>0</v>
      </c>
      <c r="N411" s="109">
        <f t="shared" si="504"/>
        <v>0</v>
      </c>
      <c r="O411" s="109">
        <f t="shared" si="505"/>
        <v>0</v>
      </c>
      <c r="P411" s="109">
        <f t="shared" si="506"/>
        <v>0</v>
      </c>
      <c r="Q411" s="109">
        <f t="shared" si="507"/>
        <v>0</v>
      </c>
      <c r="R411" s="109">
        <f t="shared" si="508"/>
        <v>0</v>
      </c>
      <c r="S411" s="110">
        <f t="shared" si="509"/>
        <v>0</v>
      </c>
      <c r="T411" s="109">
        <f t="shared" si="510"/>
        <v>0</v>
      </c>
      <c r="U411" s="109">
        <f t="shared" si="511"/>
        <v>0</v>
      </c>
      <c r="V411" s="109">
        <f t="shared" si="512"/>
        <v>0</v>
      </c>
      <c r="W411" s="111">
        <f t="shared" si="513"/>
        <v>0</v>
      </c>
      <c r="X411" s="115">
        <f t="shared" si="516"/>
        <v>0</v>
      </c>
      <c r="Y411" s="38" t="s">
        <v>537</v>
      </c>
      <c r="Z411" s="42" t="s">
        <v>219</v>
      </c>
      <c r="AA411" s="67">
        <f t="shared" ref="AA411:AT411" si="524">(SUMIF($AV$339:$AV$442,$Y411,AW$339:AW$442)*AA$337+IF($J189,SUMIF($AV$229:$AV$332,$Y301,AW$229:AW$332)*AA$227*(1-$D189/$J189),0))*$AU411</f>
        <v>0</v>
      </c>
      <c r="AB411" s="67">
        <f t="shared" si="524"/>
        <v>0</v>
      </c>
      <c r="AC411" s="67">
        <f t="shared" si="524"/>
        <v>0</v>
      </c>
      <c r="AD411" s="67">
        <f t="shared" si="524"/>
        <v>0</v>
      </c>
      <c r="AE411" s="67">
        <f t="shared" si="524"/>
        <v>0</v>
      </c>
      <c r="AF411" s="76">
        <f t="shared" si="524"/>
        <v>0</v>
      </c>
      <c r="AG411" s="67">
        <f t="shared" si="524"/>
        <v>0</v>
      </c>
      <c r="AH411" s="67">
        <f t="shared" si="524"/>
        <v>0</v>
      </c>
      <c r="AI411" s="67">
        <f t="shared" si="524"/>
        <v>0</v>
      </c>
      <c r="AJ411" s="68">
        <f t="shared" si="524"/>
        <v>0</v>
      </c>
      <c r="AK411" s="67">
        <f t="shared" si="524"/>
        <v>0</v>
      </c>
      <c r="AL411" s="67">
        <f t="shared" si="524"/>
        <v>0</v>
      </c>
      <c r="AM411" s="67">
        <f t="shared" si="524"/>
        <v>0</v>
      </c>
      <c r="AN411" s="67">
        <f t="shared" si="524"/>
        <v>0</v>
      </c>
      <c r="AO411" s="67">
        <f t="shared" si="524"/>
        <v>0</v>
      </c>
      <c r="AP411" s="76">
        <f t="shared" si="524"/>
        <v>0</v>
      </c>
      <c r="AQ411" s="67">
        <f t="shared" si="524"/>
        <v>0</v>
      </c>
      <c r="AR411" s="67">
        <f t="shared" si="524"/>
        <v>0</v>
      </c>
      <c r="AS411" s="67">
        <f t="shared" si="524"/>
        <v>0</v>
      </c>
      <c r="AT411" s="68">
        <f t="shared" si="524"/>
        <v>0</v>
      </c>
      <c r="AU411" s="216">
        <v>1</v>
      </c>
      <c r="AV411" s="104" t="s">
        <v>537</v>
      </c>
      <c r="AW411" s="94"/>
      <c r="AX411" s="94"/>
      <c r="AY411" s="94"/>
      <c r="AZ411" s="94"/>
      <c r="BA411" s="94"/>
      <c r="BB411" s="106"/>
      <c r="BC411" s="94"/>
      <c r="BD411" s="94"/>
      <c r="BE411" s="94"/>
      <c r="BF411" s="95"/>
      <c r="BG411" s="94"/>
      <c r="BH411" s="94"/>
      <c r="BI411" s="94"/>
      <c r="BJ411" s="94"/>
      <c r="BK411" s="94"/>
      <c r="BL411" s="106"/>
      <c r="BM411" s="94"/>
      <c r="BN411" s="94"/>
      <c r="BO411" s="94"/>
      <c r="BP411" s="95"/>
      <c r="BQ411" s="2"/>
      <c r="BR411" s="2"/>
      <c r="BS411" s="2"/>
    </row>
    <row r="412" spans="1:71" x14ac:dyDescent="0.35">
      <c r="A412" s="2"/>
      <c r="B412" s="2"/>
      <c r="C412" s="42" t="s">
        <v>221</v>
      </c>
      <c r="D412" s="109">
        <f t="shared" si="515"/>
        <v>7.4411888197710016E-3</v>
      </c>
      <c r="E412" s="109">
        <f t="shared" si="495"/>
        <v>1.8775408473042467E-2</v>
      </c>
      <c r="F412" s="109">
        <f t="shared" si="496"/>
        <v>4.3433325162481058E-2</v>
      </c>
      <c r="G412" s="109">
        <f t="shared" si="497"/>
        <v>9.1085657564461367E-2</v>
      </c>
      <c r="H412" s="109">
        <f t="shared" si="498"/>
        <v>0.17951744273920139</v>
      </c>
      <c r="I412" s="110">
        <f t="shared" si="499"/>
        <v>0</v>
      </c>
      <c r="J412" s="109">
        <f t="shared" si="500"/>
        <v>0</v>
      </c>
      <c r="K412" s="109">
        <f t="shared" si="501"/>
        <v>1.2939677905026526E-4</v>
      </c>
      <c r="L412" s="109">
        <f t="shared" si="502"/>
        <v>1.6445180999429836E-3</v>
      </c>
      <c r="M412" s="111">
        <f t="shared" si="503"/>
        <v>3.5885507642883056E-2</v>
      </c>
      <c r="N412" s="109">
        <f t="shared" si="504"/>
        <v>6.4980204100676688E-4</v>
      </c>
      <c r="O412" s="109">
        <f t="shared" si="505"/>
        <v>1.9611389762657313E-3</v>
      </c>
      <c r="P412" s="109">
        <f t="shared" si="506"/>
        <v>3.8929375739048607E-3</v>
      </c>
      <c r="Q412" s="109">
        <f t="shared" si="507"/>
        <v>3.1110445751158121E-3</v>
      </c>
      <c r="R412" s="109">
        <f t="shared" si="508"/>
        <v>0.15698103399916605</v>
      </c>
      <c r="S412" s="110">
        <f t="shared" si="509"/>
        <v>0</v>
      </c>
      <c r="T412" s="109">
        <f t="shared" si="510"/>
        <v>1.6639570390656241E-4</v>
      </c>
      <c r="U412" s="109">
        <f t="shared" si="511"/>
        <v>3.8233841125788477E-3</v>
      </c>
      <c r="V412" s="109">
        <f t="shared" si="512"/>
        <v>3.2172718037568647E-3</v>
      </c>
      <c r="W412" s="111">
        <f t="shared" si="513"/>
        <v>0.44828454593346495</v>
      </c>
      <c r="X412" s="115">
        <f t="shared" si="516"/>
        <v>1</v>
      </c>
      <c r="Y412" s="38" t="s">
        <v>538</v>
      </c>
      <c r="Z412" s="42" t="s">
        <v>221</v>
      </c>
      <c r="AA412" s="67">
        <f t="shared" ref="AA412:AT412" si="525">(SUMIF($AV$339:$AV$442,$Y412,AW$339:AW$442)*AA$337+IF($J190,SUMIF($AV$229:$AV$332,$Y302,AW$229:AW$332)*AA$227*(1-$D190/$J190),0))*$AU412</f>
        <v>65.427850000000007</v>
      </c>
      <c r="AB412" s="67">
        <f t="shared" si="525"/>
        <v>165.08580000000001</v>
      </c>
      <c r="AC412" s="67">
        <f t="shared" si="525"/>
        <v>381.89449999999999</v>
      </c>
      <c r="AD412" s="67">
        <f t="shared" si="525"/>
        <v>800.88530000000003</v>
      </c>
      <c r="AE412" s="67">
        <f t="shared" si="525"/>
        <v>1578.4359999999999</v>
      </c>
      <c r="AF412" s="76">
        <f t="shared" si="525"/>
        <v>0</v>
      </c>
      <c r="AG412" s="67">
        <f t="shared" si="525"/>
        <v>0</v>
      </c>
      <c r="AH412" s="67">
        <f t="shared" si="525"/>
        <v>1.137742</v>
      </c>
      <c r="AI412" s="67">
        <f t="shared" si="525"/>
        <v>14.45969</v>
      </c>
      <c r="AJ412" s="68">
        <f t="shared" si="525"/>
        <v>315.52910000000003</v>
      </c>
      <c r="AK412" s="67">
        <f t="shared" si="525"/>
        <v>5.713489</v>
      </c>
      <c r="AL412" s="67">
        <f t="shared" si="525"/>
        <v>17.24363</v>
      </c>
      <c r="AM412" s="67">
        <f t="shared" si="525"/>
        <v>34.229280000000003</v>
      </c>
      <c r="AN412" s="67">
        <f t="shared" si="525"/>
        <v>27.35436</v>
      </c>
      <c r="AO412" s="67">
        <f t="shared" si="525"/>
        <v>1380.2809999999999</v>
      </c>
      <c r="AP412" s="76">
        <f t="shared" si="525"/>
        <v>0</v>
      </c>
      <c r="AQ412" s="67">
        <f t="shared" si="525"/>
        <v>1.4630609999999999</v>
      </c>
      <c r="AR412" s="67">
        <f t="shared" si="525"/>
        <v>33.617719999999998</v>
      </c>
      <c r="AS412" s="67">
        <f t="shared" si="525"/>
        <v>28.28838</v>
      </c>
      <c r="AT412" s="68">
        <f t="shared" si="525"/>
        <v>3941.614</v>
      </c>
      <c r="AU412" s="216">
        <v>1</v>
      </c>
      <c r="AV412" s="104" t="s">
        <v>538</v>
      </c>
      <c r="AW412" s="94">
        <v>65.427850000000007</v>
      </c>
      <c r="AX412" s="94">
        <v>165.08580000000001</v>
      </c>
      <c r="AY412" s="94">
        <v>381.89449999999999</v>
      </c>
      <c r="AZ412" s="94">
        <v>800.88530000000003</v>
      </c>
      <c r="BA412" s="94">
        <v>1578.4359999999999</v>
      </c>
      <c r="BB412" s="106">
        <v>0</v>
      </c>
      <c r="BC412" s="94">
        <v>0</v>
      </c>
      <c r="BD412" s="94">
        <v>1.137742</v>
      </c>
      <c r="BE412" s="94">
        <v>14.45969</v>
      </c>
      <c r="BF412" s="95">
        <v>315.52910000000003</v>
      </c>
      <c r="BG412" s="94">
        <v>5.713489</v>
      </c>
      <c r="BH412" s="94">
        <v>17.24363</v>
      </c>
      <c r="BI412" s="94">
        <v>34.229280000000003</v>
      </c>
      <c r="BJ412" s="94">
        <v>27.35436</v>
      </c>
      <c r="BK412" s="94">
        <v>1380.2809999999999</v>
      </c>
      <c r="BL412" s="106">
        <v>0</v>
      </c>
      <c r="BM412" s="94">
        <v>1.4630609999999999</v>
      </c>
      <c r="BN412" s="94">
        <v>33.617719999999998</v>
      </c>
      <c r="BO412" s="94">
        <v>28.28838</v>
      </c>
      <c r="BP412" s="95">
        <v>3941.614</v>
      </c>
      <c r="BQ412" s="2"/>
      <c r="BR412" s="2"/>
      <c r="BS412" s="2"/>
    </row>
    <row r="413" spans="1:71" x14ac:dyDescent="0.35">
      <c r="A413" s="2"/>
      <c r="B413" s="2"/>
      <c r="C413" s="42" t="s">
        <v>223</v>
      </c>
      <c r="D413" s="109">
        <f t="shared" si="515"/>
        <v>7.4411888197710007E-3</v>
      </c>
      <c r="E413" s="109">
        <f t="shared" si="495"/>
        <v>1.8775408473042467E-2</v>
      </c>
      <c r="F413" s="109">
        <f t="shared" si="496"/>
        <v>4.3433325162481058E-2</v>
      </c>
      <c r="G413" s="109">
        <f t="shared" si="497"/>
        <v>9.1085657564461367E-2</v>
      </c>
      <c r="H413" s="109">
        <f t="shared" si="498"/>
        <v>0.17951744273920139</v>
      </c>
      <c r="I413" s="110">
        <f t="shared" si="499"/>
        <v>0</v>
      </c>
      <c r="J413" s="109">
        <f t="shared" si="500"/>
        <v>0</v>
      </c>
      <c r="K413" s="109">
        <f t="shared" si="501"/>
        <v>1.2939677905026526E-4</v>
      </c>
      <c r="L413" s="109">
        <f t="shared" si="502"/>
        <v>1.6445180999429836E-3</v>
      </c>
      <c r="M413" s="111">
        <f t="shared" si="503"/>
        <v>3.5885507642883056E-2</v>
      </c>
      <c r="N413" s="109">
        <f t="shared" si="504"/>
        <v>6.4980204100676688E-4</v>
      </c>
      <c r="O413" s="109">
        <f t="shared" si="505"/>
        <v>1.9611389762657313E-3</v>
      </c>
      <c r="P413" s="109">
        <f t="shared" si="506"/>
        <v>3.8929375739048607E-3</v>
      </c>
      <c r="Q413" s="109">
        <f t="shared" si="507"/>
        <v>3.1110445751158116E-3</v>
      </c>
      <c r="R413" s="109">
        <f t="shared" si="508"/>
        <v>0.15698103399916605</v>
      </c>
      <c r="S413" s="110">
        <f t="shared" si="509"/>
        <v>0</v>
      </c>
      <c r="T413" s="109">
        <f t="shared" si="510"/>
        <v>1.6639570390656241E-4</v>
      </c>
      <c r="U413" s="109">
        <f t="shared" si="511"/>
        <v>3.8233841125788473E-3</v>
      </c>
      <c r="V413" s="109">
        <f t="shared" si="512"/>
        <v>3.2172718037568647E-3</v>
      </c>
      <c r="W413" s="111">
        <f t="shared" si="513"/>
        <v>0.4482845459334649</v>
      </c>
      <c r="X413" s="115">
        <f t="shared" si="516"/>
        <v>1</v>
      </c>
      <c r="Y413" s="38" t="s">
        <v>538</v>
      </c>
      <c r="Z413" s="42" t="s">
        <v>223</v>
      </c>
      <c r="AA413" s="67">
        <f t="shared" ref="AA413:AT413" si="526">(SUMIF($AV$339:$AV$442,$Y413,AW$339:AW$442)*AA$337+IF($J191,SUMIF($AV$229:$AV$332,$Y303,AW$229:AW$332)*AA$227*(1-$D191/$J191),0))*$AU413</f>
        <v>6.5427850000000006E-3</v>
      </c>
      <c r="AB413" s="67">
        <f t="shared" si="526"/>
        <v>1.6508580000000002E-2</v>
      </c>
      <c r="AC413" s="67">
        <f t="shared" si="526"/>
        <v>3.818945E-2</v>
      </c>
      <c r="AD413" s="67">
        <f t="shared" si="526"/>
        <v>8.0088530000000005E-2</v>
      </c>
      <c r="AE413" s="67">
        <f t="shared" si="526"/>
        <v>0.1578436</v>
      </c>
      <c r="AF413" s="76">
        <f t="shared" si="526"/>
        <v>0</v>
      </c>
      <c r="AG413" s="67">
        <f t="shared" si="526"/>
        <v>0</v>
      </c>
      <c r="AH413" s="67">
        <f t="shared" si="526"/>
        <v>1.1377420000000001E-4</v>
      </c>
      <c r="AI413" s="67">
        <f t="shared" si="526"/>
        <v>1.4459690000000001E-3</v>
      </c>
      <c r="AJ413" s="68">
        <f t="shared" si="526"/>
        <v>3.1552910000000003E-2</v>
      </c>
      <c r="AK413" s="67">
        <f t="shared" si="526"/>
        <v>5.7134890000000004E-4</v>
      </c>
      <c r="AL413" s="67">
        <f t="shared" si="526"/>
        <v>1.724363E-3</v>
      </c>
      <c r="AM413" s="67">
        <f t="shared" si="526"/>
        <v>3.4229280000000004E-3</v>
      </c>
      <c r="AN413" s="67">
        <f t="shared" si="526"/>
        <v>2.7354359999999999E-3</v>
      </c>
      <c r="AO413" s="67">
        <f t="shared" si="526"/>
        <v>0.13802810000000001</v>
      </c>
      <c r="AP413" s="76">
        <f t="shared" si="526"/>
        <v>0</v>
      </c>
      <c r="AQ413" s="67">
        <f t="shared" si="526"/>
        <v>1.463061E-4</v>
      </c>
      <c r="AR413" s="67">
        <f t="shared" si="526"/>
        <v>3.3617719999999999E-3</v>
      </c>
      <c r="AS413" s="67">
        <f t="shared" si="526"/>
        <v>2.8288380000000002E-3</v>
      </c>
      <c r="AT413" s="68">
        <f t="shared" si="526"/>
        <v>0.3941614</v>
      </c>
      <c r="AU413" s="216">
        <v>1E-4</v>
      </c>
      <c r="AV413" s="104" t="s">
        <v>539</v>
      </c>
      <c r="AW413" s="94"/>
      <c r="AX413" s="94"/>
      <c r="AY413" s="94"/>
      <c r="AZ413" s="94"/>
      <c r="BA413" s="94"/>
      <c r="BB413" s="106"/>
      <c r="BC413" s="94"/>
      <c r="BD413" s="94"/>
      <c r="BE413" s="94"/>
      <c r="BF413" s="95"/>
      <c r="BG413" s="94"/>
      <c r="BH413" s="94"/>
      <c r="BI413" s="94"/>
      <c r="BJ413" s="94"/>
      <c r="BK413" s="94"/>
      <c r="BL413" s="106"/>
      <c r="BM413" s="94"/>
      <c r="BN413" s="94"/>
      <c r="BO413" s="94"/>
      <c r="BP413" s="95"/>
      <c r="BQ413" s="2"/>
      <c r="BR413" s="2"/>
      <c r="BS413" s="2"/>
    </row>
    <row r="414" spans="1:71" x14ac:dyDescent="0.35">
      <c r="A414" s="2"/>
      <c r="B414" s="2"/>
      <c r="C414" s="42" t="s">
        <v>225</v>
      </c>
      <c r="D414" s="109">
        <f t="shared" si="515"/>
        <v>0</v>
      </c>
      <c r="E414" s="109">
        <f t="shared" si="495"/>
        <v>0</v>
      </c>
      <c r="F414" s="109">
        <f t="shared" si="496"/>
        <v>0</v>
      </c>
      <c r="G414" s="109">
        <f t="shared" si="497"/>
        <v>0</v>
      </c>
      <c r="H414" s="109">
        <f t="shared" si="498"/>
        <v>0</v>
      </c>
      <c r="I414" s="110">
        <f t="shared" si="499"/>
        <v>0</v>
      </c>
      <c r="J414" s="109">
        <f t="shared" si="500"/>
        <v>0</v>
      </c>
      <c r="K414" s="109">
        <f t="shared" si="501"/>
        <v>0</v>
      </c>
      <c r="L414" s="109">
        <f t="shared" si="502"/>
        <v>0</v>
      </c>
      <c r="M414" s="111">
        <f t="shared" si="503"/>
        <v>0</v>
      </c>
      <c r="N414" s="109">
        <f t="shared" si="504"/>
        <v>0</v>
      </c>
      <c r="O414" s="109">
        <f t="shared" si="505"/>
        <v>0</v>
      </c>
      <c r="P414" s="109">
        <f t="shared" si="506"/>
        <v>0</v>
      </c>
      <c r="Q414" s="109">
        <f t="shared" si="507"/>
        <v>0</v>
      </c>
      <c r="R414" s="109">
        <f t="shared" si="508"/>
        <v>0</v>
      </c>
      <c r="S414" s="110">
        <f t="shared" si="509"/>
        <v>0</v>
      </c>
      <c r="T414" s="109">
        <f t="shared" si="510"/>
        <v>0</v>
      </c>
      <c r="U414" s="109">
        <f t="shared" si="511"/>
        <v>0</v>
      </c>
      <c r="V414" s="109">
        <f t="shared" si="512"/>
        <v>0</v>
      </c>
      <c r="W414" s="111">
        <f t="shared" si="513"/>
        <v>0</v>
      </c>
      <c r="X414" s="115">
        <f t="shared" si="516"/>
        <v>0</v>
      </c>
      <c r="Y414" s="38" t="s">
        <v>540</v>
      </c>
      <c r="Z414" s="42" t="s">
        <v>225</v>
      </c>
      <c r="AA414" s="67">
        <f t="shared" ref="AA414:AT414" si="527">(SUMIF($AV$339:$AV$442,$Y414,AW$339:AW$442)*AA$337+IF($J192,SUMIF($AV$229:$AV$332,$Y304,AW$229:AW$332)*AA$227*(1-$D192/$J192),0))*$AU414</f>
        <v>0</v>
      </c>
      <c r="AB414" s="67">
        <f t="shared" si="527"/>
        <v>0</v>
      </c>
      <c r="AC414" s="67">
        <f t="shared" si="527"/>
        <v>0</v>
      </c>
      <c r="AD414" s="67">
        <f t="shared" si="527"/>
        <v>0</v>
      </c>
      <c r="AE414" s="67">
        <f t="shared" si="527"/>
        <v>0</v>
      </c>
      <c r="AF414" s="76">
        <f t="shared" si="527"/>
        <v>0</v>
      </c>
      <c r="AG414" s="67">
        <f t="shared" si="527"/>
        <v>0</v>
      </c>
      <c r="AH414" s="67">
        <f t="shared" si="527"/>
        <v>0</v>
      </c>
      <c r="AI414" s="67">
        <f t="shared" si="527"/>
        <v>0</v>
      </c>
      <c r="AJ414" s="68">
        <f t="shared" si="527"/>
        <v>0</v>
      </c>
      <c r="AK414" s="67">
        <f t="shared" si="527"/>
        <v>0</v>
      </c>
      <c r="AL414" s="67">
        <f t="shared" si="527"/>
        <v>0</v>
      </c>
      <c r="AM414" s="67">
        <f t="shared" si="527"/>
        <v>0</v>
      </c>
      <c r="AN414" s="67">
        <f t="shared" si="527"/>
        <v>0</v>
      </c>
      <c r="AO414" s="67">
        <f t="shared" si="527"/>
        <v>0</v>
      </c>
      <c r="AP414" s="76">
        <f t="shared" si="527"/>
        <v>0</v>
      </c>
      <c r="AQ414" s="67">
        <f t="shared" si="527"/>
        <v>0</v>
      </c>
      <c r="AR414" s="67">
        <f t="shared" si="527"/>
        <v>0</v>
      </c>
      <c r="AS414" s="67">
        <f t="shared" si="527"/>
        <v>0</v>
      </c>
      <c r="AT414" s="68">
        <f t="shared" si="527"/>
        <v>0</v>
      </c>
      <c r="AU414" s="216">
        <v>1</v>
      </c>
      <c r="AV414" s="104" t="s">
        <v>540</v>
      </c>
      <c r="AW414" s="94"/>
      <c r="AX414" s="94"/>
      <c r="AY414" s="94"/>
      <c r="AZ414" s="94"/>
      <c r="BA414" s="94"/>
      <c r="BB414" s="106"/>
      <c r="BC414" s="94"/>
      <c r="BD414" s="94"/>
      <c r="BE414" s="94"/>
      <c r="BF414" s="95"/>
      <c r="BG414" s="94"/>
      <c r="BH414" s="94"/>
      <c r="BI414" s="94"/>
      <c r="BJ414" s="94"/>
      <c r="BK414" s="94"/>
      <c r="BL414" s="106"/>
      <c r="BM414" s="94"/>
      <c r="BN414" s="94"/>
      <c r="BO414" s="94"/>
      <c r="BP414" s="95"/>
      <c r="BQ414" s="2"/>
      <c r="BR414" s="2"/>
      <c r="BS414" s="2"/>
    </row>
    <row r="415" spans="1:71" x14ac:dyDescent="0.35">
      <c r="A415" s="2"/>
      <c r="B415" s="2"/>
      <c r="C415" s="42" t="s">
        <v>227</v>
      </c>
      <c r="D415" s="109">
        <f t="shared" si="515"/>
        <v>0</v>
      </c>
      <c r="E415" s="109">
        <f t="shared" si="495"/>
        <v>0</v>
      </c>
      <c r="F415" s="109">
        <f t="shared" si="496"/>
        <v>0</v>
      </c>
      <c r="G415" s="109">
        <f t="shared" si="497"/>
        <v>0</v>
      </c>
      <c r="H415" s="109">
        <f t="shared" si="498"/>
        <v>0</v>
      </c>
      <c r="I415" s="110">
        <f t="shared" si="499"/>
        <v>0</v>
      </c>
      <c r="J415" s="109">
        <f t="shared" si="500"/>
        <v>0</v>
      </c>
      <c r="K415" s="109">
        <f t="shared" si="501"/>
        <v>0</v>
      </c>
      <c r="L415" s="109">
        <f t="shared" si="502"/>
        <v>0</v>
      </c>
      <c r="M415" s="111">
        <f t="shared" si="503"/>
        <v>0</v>
      </c>
      <c r="N415" s="109">
        <f t="shared" si="504"/>
        <v>0</v>
      </c>
      <c r="O415" s="109">
        <f t="shared" si="505"/>
        <v>0</v>
      </c>
      <c r="P415" s="109">
        <f t="shared" si="506"/>
        <v>0</v>
      </c>
      <c r="Q415" s="109">
        <f t="shared" si="507"/>
        <v>0</v>
      </c>
      <c r="R415" s="109">
        <f t="shared" si="508"/>
        <v>0</v>
      </c>
      <c r="S415" s="110">
        <f t="shared" si="509"/>
        <v>0</v>
      </c>
      <c r="T415" s="109">
        <f t="shared" si="510"/>
        <v>0</v>
      </c>
      <c r="U415" s="109">
        <f t="shared" si="511"/>
        <v>0</v>
      </c>
      <c r="V415" s="109">
        <f t="shared" si="512"/>
        <v>0</v>
      </c>
      <c r="W415" s="111">
        <f t="shared" si="513"/>
        <v>0</v>
      </c>
      <c r="X415" s="115">
        <f t="shared" si="516"/>
        <v>0</v>
      </c>
      <c r="Y415" s="38" t="s">
        <v>541</v>
      </c>
      <c r="Z415" s="42" t="s">
        <v>227</v>
      </c>
      <c r="AA415" s="67">
        <f t="shared" ref="AA415:AT415" si="528">(SUMIF($AV$339:$AV$442,$Y415,AW$339:AW$442)*AA$337+IF($J193,SUMIF($AV$229:$AV$332,$Y305,AW$229:AW$332)*AA$227*(1-$D193/$J193),0))*$AU415</f>
        <v>0</v>
      </c>
      <c r="AB415" s="67">
        <f t="shared" si="528"/>
        <v>0</v>
      </c>
      <c r="AC415" s="67">
        <f t="shared" si="528"/>
        <v>0</v>
      </c>
      <c r="AD415" s="67">
        <f t="shared" si="528"/>
        <v>0</v>
      </c>
      <c r="AE415" s="67">
        <f t="shared" si="528"/>
        <v>0</v>
      </c>
      <c r="AF415" s="76">
        <f t="shared" si="528"/>
        <v>0</v>
      </c>
      <c r="AG415" s="67">
        <f t="shared" si="528"/>
        <v>0</v>
      </c>
      <c r="AH415" s="67">
        <f t="shared" si="528"/>
        <v>0</v>
      </c>
      <c r="AI415" s="67">
        <f t="shared" si="528"/>
        <v>0</v>
      </c>
      <c r="AJ415" s="68">
        <f t="shared" si="528"/>
        <v>0</v>
      </c>
      <c r="AK415" s="67">
        <f t="shared" si="528"/>
        <v>0</v>
      </c>
      <c r="AL415" s="67">
        <f t="shared" si="528"/>
        <v>0</v>
      </c>
      <c r="AM415" s="67">
        <f t="shared" si="528"/>
        <v>0</v>
      </c>
      <c r="AN415" s="67">
        <f t="shared" si="528"/>
        <v>0</v>
      </c>
      <c r="AO415" s="67">
        <f t="shared" si="528"/>
        <v>0</v>
      </c>
      <c r="AP415" s="76">
        <f t="shared" si="528"/>
        <v>0</v>
      </c>
      <c r="AQ415" s="67">
        <f t="shared" si="528"/>
        <v>0</v>
      </c>
      <c r="AR415" s="67">
        <f t="shared" si="528"/>
        <v>0</v>
      </c>
      <c r="AS415" s="67">
        <f t="shared" si="528"/>
        <v>0</v>
      </c>
      <c r="AT415" s="68">
        <f t="shared" si="528"/>
        <v>0</v>
      </c>
      <c r="AU415" s="216">
        <v>1</v>
      </c>
      <c r="AV415" s="104" t="s">
        <v>541</v>
      </c>
      <c r="AW415" s="94"/>
      <c r="AX415" s="94"/>
      <c r="AY415" s="94"/>
      <c r="AZ415" s="94"/>
      <c r="BA415" s="94"/>
      <c r="BB415" s="106"/>
      <c r="BC415" s="94"/>
      <c r="BD415" s="94"/>
      <c r="BE415" s="94"/>
      <c r="BF415" s="95"/>
      <c r="BG415" s="94"/>
      <c r="BH415" s="94"/>
      <c r="BI415" s="94"/>
      <c r="BJ415" s="94"/>
      <c r="BK415" s="94"/>
      <c r="BL415" s="106"/>
      <c r="BM415" s="94"/>
      <c r="BN415" s="94"/>
      <c r="BO415" s="94"/>
      <c r="BP415" s="95"/>
      <c r="BQ415" s="2"/>
      <c r="BR415" s="2"/>
      <c r="BS415" s="2"/>
    </row>
    <row r="416" spans="1:71" x14ac:dyDescent="0.35">
      <c r="A416" s="2"/>
      <c r="B416" s="2"/>
      <c r="C416" s="42" t="s">
        <v>229</v>
      </c>
      <c r="D416" s="109">
        <f t="shared" si="515"/>
        <v>5.8123112405320783E-3</v>
      </c>
      <c r="E416" s="109">
        <f t="shared" si="495"/>
        <v>1.296148727161987E-2</v>
      </c>
      <c r="F416" s="109">
        <f t="shared" si="496"/>
        <v>2.7351471551311658E-2</v>
      </c>
      <c r="G416" s="109">
        <f t="shared" si="497"/>
        <v>6.5975408495562271E-2</v>
      </c>
      <c r="H416" s="109">
        <f t="shared" si="498"/>
        <v>0.14304384699371384</v>
      </c>
      <c r="I416" s="110">
        <f t="shared" si="499"/>
        <v>0</v>
      </c>
      <c r="J416" s="109">
        <f t="shared" si="500"/>
        <v>2.2642942222104671E-5</v>
      </c>
      <c r="K416" s="109">
        <f t="shared" si="501"/>
        <v>3.4403164342455009E-4</v>
      </c>
      <c r="L416" s="109">
        <f t="shared" si="502"/>
        <v>1.0371418533185143E-3</v>
      </c>
      <c r="M416" s="111">
        <f t="shared" si="503"/>
        <v>2.5933256965996451E-2</v>
      </c>
      <c r="N416" s="109">
        <f t="shared" si="504"/>
        <v>8.0569441506977361E-4</v>
      </c>
      <c r="O416" s="109">
        <f t="shared" si="505"/>
        <v>1.2691183959234141E-3</v>
      </c>
      <c r="P416" s="109">
        <f t="shared" si="506"/>
        <v>3.2987643709525283E-3</v>
      </c>
      <c r="Q416" s="109">
        <f t="shared" si="507"/>
        <v>1.0740904697048399E-2</v>
      </c>
      <c r="R416" s="109">
        <f t="shared" si="508"/>
        <v>0.10611725139795478</v>
      </c>
      <c r="S416" s="110">
        <f t="shared" si="509"/>
        <v>9.1338909666593819E-4</v>
      </c>
      <c r="T416" s="109">
        <f t="shared" si="510"/>
        <v>4.2157025228678757E-3</v>
      </c>
      <c r="U416" s="109">
        <f t="shared" si="511"/>
        <v>7.6098509697431265E-3</v>
      </c>
      <c r="V416" s="109">
        <f t="shared" si="512"/>
        <v>3.5903166111428249E-2</v>
      </c>
      <c r="W416" s="111">
        <f t="shared" si="513"/>
        <v>0.54664455906464471</v>
      </c>
      <c r="X416" s="115">
        <f t="shared" si="516"/>
        <v>1</v>
      </c>
      <c r="Y416" s="38" t="s">
        <v>542</v>
      </c>
      <c r="Z416" s="42" t="s">
        <v>229</v>
      </c>
      <c r="AA416" s="67">
        <f t="shared" ref="AA416:AT416" si="529">(SUMIF($AV$339:$AV$442,$Y416,AW$339:AW$442)*AA$337+IF($J194,SUMIF($AV$229:$AV$332,$Y306,AW$229:AW$332)*AA$227*(1-$D194/$J194),0))*$AU416</f>
        <v>384.04219999999998</v>
      </c>
      <c r="AB416" s="67">
        <f t="shared" si="529"/>
        <v>856.41629999999998</v>
      </c>
      <c r="AC416" s="67">
        <f t="shared" si="529"/>
        <v>1807.2190000000001</v>
      </c>
      <c r="AD416" s="67">
        <f t="shared" si="529"/>
        <v>4359.2539999999999</v>
      </c>
      <c r="AE416" s="67">
        <f t="shared" si="529"/>
        <v>9451.4680000000008</v>
      </c>
      <c r="AF416" s="76">
        <f t="shared" si="529"/>
        <v>0</v>
      </c>
      <c r="AG416" s="67">
        <f t="shared" si="529"/>
        <v>1.496108</v>
      </c>
      <c r="AH416" s="67">
        <f t="shared" si="529"/>
        <v>22.73152</v>
      </c>
      <c r="AI416" s="67">
        <f t="shared" si="529"/>
        <v>68.528030000000001</v>
      </c>
      <c r="AJ416" s="68">
        <f t="shared" si="529"/>
        <v>1713.5119999999999</v>
      </c>
      <c r="AK416" s="67">
        <f t="shared" si="529"/>
        <v>53.235390000000002</v>
      </c>
      <c r="AL416" s="67">
        <f t="shared" si="529"/>
        <v>83.855630000000005</v>
      </c>
      <c r="AM416" s="67">
        <f t="shared" si="529"/>
        <v>217.9623</v>
      </c>
      <c r="AN416" s="67">
        <f t="shared" si="529"/>
        <v>709.69370000000004</v>
      </c>
      <c r="AO416" s="67">
        <f t="shared" si="529"/>
        <v>7011.5829999999996</v>
      </c>
      <c r="AP416" s="76">
        <f t="shared" si="529"/>
        <v>60.351199999999999</v>
      </c>
      <c r="AQ416" s="67">
        <f t="shared" si="529"/>
        <v>278.548</v>
      </c>
      <c r="AR416" s="67">
        <f t="shared" si="529"/>
        <v>502.81270000000001</v>
      </c>
      <c r="AS416" s="67">
        <f t="shared" si="529"/>
        <v>2372.2629999999999</v>
      </c>
      <c r="AT416" s="68">
        <f t="shared" si="529"/>
        <v>36118.949999999997</v>
      </c>
      <c r="AU416" s="216">
        <v>1</v>
      </c>
      <c r="AV416" s="104" t="s">
        <v>542</v>
      </c>
      <c r="AW416" s="94">
        <v>384.04219999999998</v>
      </c>
      <c r="AX416" s="94">
        <v>856.41629999999998</v>
      </c>
      <c r="AY416" s="94">
        <v>1807.2190000000001</v>
      </c>
      <c r="AZ416" s="94">
        <v>4359.2539999999999</v>
      </c>
      <c r="BA416" s="94">
        <v>9451.4680000000008</v>
      </c>
      <c r="BB416" s="106">
        <v>0</v>
      </c>
      <c r="BC416" s="94">
        <v>1.496108</v>
      </c>
      <c r="BD416" s="94">
        <v>22.73152</v>
      </c>
      <c r="BE416" s="94">
        <v>68.528030000000001</v>
      </c>
      <c r="BF416" s="95">
        <v>1713.5119999999999</v>
      </c>
      <c r="BG416" s="94">
        <v>53.235390000000002</v>
      </c>
      <c r="BH416" s="94">
        <v>83.855630000000005</v>
      </c>
      <c r="BI416" s="94">
        <v>217.9623</v>
      </c>
      <c r="BJ416" s="94">
        <v>709.69370000000004</v>
      </c>
      <c r="BK416" s="94">
        <v>7011.5829999999996</v>
      </c>
      <c r="BL416" s="106">
        <v>60.351199999999999</v>
      </c>
      <c r="BM416" s="94">
        <v>278.548</v>
      </c>
      <c r="BN416" s="94">
        <v>502.81270000000001</v>
      </c>
      <c r="BO416" s="94">
        <v>2372.2629999999999</v>
      </c>
      <c r="BP416" s="95">
        <v>36118.949999999997</v>
      </c>
      <c r="BQ416" s="2"/>
      <c r="BR416" s="2"/>
      <c r="BS416" s="2"/>
    </row>
    <row r="417" spans="1:71" x14ac:dyDescent="0.35">
      <c r="A417" s="2"/>
      <c r="B417" s="2"/>
      <c r="C417" s="42" t="s">
        <v>231</v>
      </c>
      <c r="D417" s="109">
        <f t="shared" si="515"/>
        <v>0</v>
      </c>
      <c r="E417" s="109">
        <f t="shared" si="495"/>
        <v>0</v>
      </c>
      <c r="F417" s="109">
        <f t="shared" si="496"/>
        <v>0</v>
      </c>
      <c r="G417" s="109">
        <f t="shared" si="497"/>
        <v>0</v>
      </c>
      <c r="H417" s="109">
        <f t="shared" si="498"/>
        <v>0</v>
      </c>
      <c r="I417" s="110">
        <f t="shared" si="499"/>
        <v>0</v>
      </c>
      <c r="J417" s="109">
        <f t="shared" si="500"/>
        <v>0</v>
      </c>
      <c r="K417" s="109">
        <f t="shared" si="501"/>
        <v>0</v>
      </c>
      <c r="L417" s="109">
        <f t="shared" si="502"/>
        <v>0</v>
      </c>
      <c r="M417" s="111">
        <f t="shared" si="503"/>
        <v>0</v>
      </c>
      <c r="N417" s="109">
        <f t="shared" si="504"/>
        <v>0</v>
      </c>
      <c r="O417" s="109">
        <f t="shared" si="505"/>
        <v>0</v>
      </c>
      <c r="P417" s="109">
        <f t="shared" si="506"/>
        <v>0</v>
      </c>
      <c r="Q417" s="109">
        <f t="shared" si="507"/>
        <v>2.8436181746428247E-5</v>
      </c>
      <c r="R417" s="109">
        <f t="shared" si="508"/>
        <v>2.5535001831562119E-2</v>
      </c>
      <c r="S417" s="110">
        <f t="shared" si="509"/>
        <v>0</v>
      </c>
      <c r="T417" s="109">
        <f t="shared" si="510"/>
        <v>0</v>
      </c>
      <c r="U417" s="109">
        <f t="shared" si="511"/>
        <v>0</v>
      </c>
      <c r="V417" s="109">
        <f t="shared" si="512"/>
        <v>0</v>
      </c>
      <c r="W417" s="111">
        <f t="shared" si="513"/>
        <v>0.97443656198669149</v>
      </c>
      <c r="X417" s="115">
        <f t="shared" si="516"/>
        <v>1</v>
      </c>
      <c r="Y417" s="38" t="s">
        <v>543</v>
      </c>
      <c r="Z417" s="42" t="s">
        <v>231</v>
      </c>
      <c r="AA417" s="67">
        <f t="shared" ref="AA417:AT417" si="530">(SUMIF($AV$339:$AV$442,$Y417,AW$339:AW$442)*AA$337+IF($J195,SUMIF($AV$229:$AV$332,$Y307,AW$229:AW$332)*AA$227*(1-$D195/$J195),0))*$AU417</f>
        <v>0</v>
      </c>
      <c r="AB417" s="67">
        <f t="shared" si="530"/>
        <v>0</v>
      </c>
      <c r="AC417" s="67">
        <f t="shared" si="530"/>
        <v>0</v>
      </c>
      <c r="AD417" s="67">
        <f t="shared" si="530"/>
        <v>0</v>
      </c>
      <c r="AE417" s="67">
        <f t="shared" si="530"/>
        <v>0</v>
      </c>
      <c r="AF417" s="76">
        <f t="shared" si="530"/>
        <v>0</v>
      </c>
      <c r="AG417" s="67">
        <f t="shared" si="530"/>
        <v>0</v>
      </c>
      <c r="AH417" s="67">
        <f t="shared" si="530"/>
        <v>0</v>
      </c>
      <c r="AI417" s="67">
        <f t="shared" si="530"/>
        <v>0</v>
      </c>
      <c r="AJ417" s="68">
        <f t="shared" si="530"/>
        <v>0</v>
      </c>
      <c r="AK417" s="67">
        <f t="shared" si="530"/>
        <v>0</v>
      </c>
      <c r="AL417" s="67">
        <f t="shared" si="530"/>
        <v>0</v>
      </c>
      <c r="AM417" s="67">
        <f t="shared" si="530"/>
        <v>0</v>
      </c>
      <c r="AN417" s="67">
        <f t="shared" si="530"/>
        <v>0.33185740000000002</v>
      </c>
      <c r="AO417" s="67">
        <f t="shared" si="530"/>
        <v>297.99990000000003</v>
      </c>
      <c r="AP417" s="76">
        <f t="shared" si="530"/>
        <v>0</v>
      </c>
      <c r="AQ417" s="67">
        <f t="shared" si="530"/>
        <v>0</v>
      </c>
      <c r="AR417" s="67">
        <f t="shared" si="530"/>
        <v>0</v>
      </c>
      <c r="AS417" s="67">
        <f t="shared" si="530"/>
        <v>0</v>
      </c>
      <c r="AT417" s="68">
        <f t="shared" si="530"/>
        <v>11371.92</v>
      </c>
      <c r="AU417" s="216">
        <v>1</v>
      </c>
      <c r="AV417" s="104" t="s">
        <v>543</v>
      </c>
      <c r="AW417" s="94">
        <v>0</v>
      </c>
      <c r="AX417" s="94">
        <v>0</v>
      </c>
      <c r="AY417" s="94">
        <v>0</v>
      </c>
      <c r="AZ417" s="94">
        <v>0</v>
      </c>
      <c r="BA417" s="94">
        <v>0</v>
      </c>
      <c r="BB417" s="106">
        <v>0</v>
      </c>
      <c r="BC417" s="94">
        <v>0</v>
      </c>
      <c r="BD417" s="94">
        <v>0</v>
      </c>
      <c r="BE417" s="94">
        <v>0</v>
      </c>
      <c r="BF417" s="95">
        <v>0</v>
      </c>
      <c r="BG417" s="94">
        <v>0</v>
      </c>
      <c r="BH417" s="94">
        <v>0</v>
      </c>
      <c r="BI417" s="94">
        <v>0</v>
      </c>
      <c r="BJ417" s="94">
        <v>0.33185740000000002</v>
      </c>
      <c r="BK417" s="94">
        <v>297.99990000000003</v>
      </c>
      <c r="BL417" s="106">
        <v>0</v>
      </c>
      <c r="BM417" s="94">
        <v>0</v>
      </c>
      <c r="BN417" s="94">
        <v>0</v>
      </c>
      <c r="BO417" s="94">
        <v>0</v>
      </c>
      <c r="BP417" s="95">
        <v>11371.92</v>
      </c>
      <c r="BQ417" s="2"/>
      <c r="BR417" s="2"/>
      <c r="BS417" s="2"/>
    </row>
    <row r="418" spans="1:71" x14ac:dyDescent="0.35">
      <c r="A418" s="2"/>
      <c r="B418" s="2"/>
      <c r="C418" s="42" t="s">
        <v>233</v>
      </c>
      <c r="D418" s="109">
        <f t="shared" si="515"/>
        <v>0</v>
      </c>
      <c r="E418" s="109">
        <f t="shared" si="495"/>
        <v>0</v>
      </c>
      <c r="F418" s="109">
        <f t="shared" si="496"/>
        <v>0</v>
      </c>
      <c r="G418" s="109">
        <f t="shared" si="497"/>
        <v>3.489994787461348E-3</v>
      </c>
      <c r="H418" s="109">
        <f t="shared" si="498"/>
        <v>1.246764156071822E-2</v>
      </c>
      <c r="I418" s="110">
        <f t="shared" si="499"/>
        <v>0</v>
      </c>
      <c r="J418" s="109">
        <f t="shared" si="500"/>
        <v>0</v>
      </c>
      <c r="K418" s="109">
        <f t="shared" si="501"/>
        <v>0</v>
      </c>
      <c r="L418" s="109">
        <f t="shared" si="502"/>
        <v>0</v>
      </c>
      <c r="M418" s="111">
        <f t="shared" si="503"/>
        <v>0</v>
      </c>
      <c r="N418" s="109">
        <f t="shared" si="504"/>
        <v>0</v>
      </c>
      <c r="O418" s="109">
        <f t="shared" si="505"/>
        <v>0</v>
      </c>
      <c r="P418" s="109">
        <f t="shared" si="506"/>
        <v>0</v>
      </c>
      <c r="Q418" s="109">
        <f t="shared" si="507"/>
        <v>0</v>
      </c>
      <c r="R418" s="109">
        <f t="shared" si="508"/>
        <v>2.2510553302769899E-2</v>
      </c>
      <c r="S418" s="110">
        <f t="shared" si="509"/>
        <v>0</v>
      </c>
      <c r="T418" s="109">
        <f t="shared" si="510"/>
        <v>0</v>
      </c>
      <c r="U418" s="109">
        <f t="shared" si="511"/>
        <v>0</v>
      </c>
      <c r="V418" s="109">
        <f t="shared" si="512"/>
        <v>0</v>
      </c>
      <c r="W418" s="111">
        <f t="shared" si="513"/>
        <v>0.96153181034905055</v>
      </c>
      <c r="X418" s="115">
        <f t="shared" si="516"/>
        <v>1</v>
      </c>
      <c r="Y418" s="38" t="s">
        <v>544</v>
      </c>
      <c r="Z418" s="42" t="s">
        <v>233</v>
      </c>
      <c r="AA418" s="67">
        <f t="shared" ref="AA418:AT418" si="531">(SUMIF($AV$339:$AV$442,$Y418,AW$339:AW$442)*AA$337+IF($J196,SUMIF($AV$229:$AV$332,$Y308,AW$229:AW$332)*AA$227*(1-$D196/$J196),0))*$AU418</f>
        <v>0</v>
      </c>
      <c r="AB418" s="67">
        <f t="shared" si="531"/>
        <v>0</v>
      </c>
      <c r="AC418" s="67">
        <f t="shared" si="531"/>
        <v>0</v>
      </c>
      <c r="AD418" s="67">
        <f t="shared" si="531"/>
        <v>1.3329839999999999</v>
      </c>
      <c r="AE418" s="67">
        <f t="shared" si="531"/>
        <v>4.761946</v>
      </c>
      <c r="AF418" s="76">
        <f t="shared" si="531"/>
        <v>0</v>
      </c>
      <c r="AG418" s="67">
        <f t="shared" si="531"/>
        <v>0</v>
      </c>
      <c r="AH418" s="67">
        <f t="shared" si="531"/>
        <v>0</v>
      </c>
      <c r="AI418" s="67">
        <f t="shared" si="531"/>
        <v>0</v>
      </c>
      <c r="AJ418" s="68">
        <f t="shared" si="531"/>
        <v>0</v>
      </c>
      <c r="AK418" s="67">
        <f t="shared" si="531"/>
        <v>0</v>
      </c>
      <c r="AL418" s="67">
        <f t="shared" si="531"/>
        <v>0</v>
      </c>
      <c r="AM418" s="67">
        <f t="shared" si="531"/>
        <v>0</v>
      </c>
      <c r="AN418" s="67">
        <f t="shared" si="531"/>
        <v>0</v>
      </c>
      <c r="AO418" s="67">
        <f t="shared" si="531"/>
        <v>8.5977800000000002</v>
      </c>
      <c r="AP418" s="76">
        <f t="shared" si="531"/>
        <v>0</v>
      </c>
      <c r="AQ418" s="67">
        <f t="shared" si="531"/>
        <v>0</v>
      </c>
      <c r="AR418" s="67">
        <f t="shared" si="531"/>
        <v>0</v>
      </c>
      <c r="AS418" s="67">
        <f t="shared" si="531"/>
        <v>0</v>
      </c>
      <c r="AT418" s="68">
        <f t="shared" si="531"/>
        <v>367.25170000000003</v>
      </c>
      <c r="AU418" s="216">
        <v>1</v>
      </c>
      <c r="AV418" s="104" t="s">
        <v>544</v>
      </c>
      <c r="AW418" s="94">
        <v>0</v>
      </c>
      <c r="AX418" s="94">
        <v>0</v>
      </c>
      <c r="AY418" s="94">
        <v>0</v>
      </c>
      <c r="AZ418" s="94">
        <v>1.3329839999999999</v>
      </c>
      <c r="BA418" s="94">
        <v>4.761946</v>
      </c>
      <c r="BB418" s="106">
        <v>0</v>
      </c>
      <c r="BC418" s="94">
        <v>0</v>
      </c>
      <c r="BD418" s="94">
        <v>0</v>
      </c>
      <c r="BE418" s="94">
        <v>0</v>
      </c>
      <c r="BF418" s="95">
        <v>0</v>
      </c>
      <c r="BG418" s="94">
        <v>0</v>
      </c>
      <c r="BH418" s="94">
        <v>0</v>
      </c>
      <c r="BI418" s="94">
        <v>0</v>
      </c>
      <c r="BJ418" s="94">
        <v>0</v>
      </c>
      <c r="BK418" s="94">
        <v>8.5977800000000002</v>
      </c>
      <c r="BL418" s="106">
        <v>0</v>
      </c>
      <c r="BM418" s="94">
        <v>0</v>
      </c>
      <c r="BN418" s="94">
        <v>0</v>
      </c>
      <c r="BO418" s="94">
        <v>0</v>
      </c>
      <c r="BP418" s="95">
        <v>367.25170000000003</v>
      </c>
      <c r="BQ418" s="2"/>
      <c r="BR418" s="2"/>
      <c r="BS418" s="2"/>
    </row>
    <row r="419" spans="1:71" x14ac:dyDescent="0.35">
      <c r="A419" s="2"/>
      <c r="B419" s="2"/>
      <c r="C419" s="42" t="s">
        <v>235</v>
      </c>
      <c r="D419" s="109">
        <f t="shared" si="515"/>
        <v>1.8027121384435386E-2</v>
      </c>
      <c r="E419" s="109">
        <f t="shared" si="495"/>
        <v>4.5614444110480136E-2</v>
      </c>
      <c r="F419" s="109">
        <f t="shared" si="496"/>
        <v>8.2726928105079395E-2</v>
      </c>
      <c r="G419" s="109">
        <f t="shared" si="497"/>
        <v>0.13477185197585095</v>
      </c>
      <c r="H419" s="109">
        <f t="shared" si="498"/>
        <v>0.15587129698741062</v>
      </c>
      <c r="I419" s="110">
        <f t="shared" si="499"/>
        <v>1.1717445765691177E-4</v>
      </c>
      <c r="J419" s="109">
        <f t="shared" si="500"/>
        <v>8.2019803443873906E-5</v>
      </c>
      <c r="K419" s="109">
        <f t="shared" si="501"/>
        <v>2.6558120498551021E-4</v>
      </c>
      <c r="L419" s="109">
        <f t="shared" si="502"/>
        <v>3.2544138944036465E-3</v>
      </c>
      <c r="M419" s="111">
        <f t="shared" si="503"/>
        <v>1.5489072374792219E-2</v>
      </c>
      <c r="N419" s="109">
        <f t="shared" si="504"/>
        <v>1.456578971440128E-3</v>
      </c>
      <c r="O419" s="109">
        <f t="shared" si="505"/>
        <v>3.5534165525218514E-3</v>
      </c>
      <c r="P419" s="109">
        <f t="shared" si="506"/>
        <v>7.5400773014682679E-3</v>
      </c>
      <c r="Q419" s="109">
        <f t="shared" si="507"/>
        <v>1.5396419597351321E-2</v>
      </c>
      <c r="R419" s="109">
        <f t="shared" si="508"/>
        <v>8.2396928642806011E-2</v>
      </c>
      <c r="S419" s="110">
        <f t="shared" si="509"/>
        <v>1.2280275000417578E-3</v>
      </c>
      <c r="T419" s="109">
        <f t="shared" si="510"/>
        <v>3.7517395482310639E-3</v>
      </c>
      <c r="U419" s="109">
        <f t="shared" si="511"/>
        <v>7.9796220299256111E-3</v>
      </c>
      <c r="V419" s="109">
        <f t="shared" si="512"/>
        <v>2.9389744951728587E-2</v>
      </c>
      <c r="W419" s="111">
        <f t="shared" si="513"/>
        <v>0.39108754060594686</v>
      </c>
      <c r="X419" s="115">
        <f t="shared" si="516"/>
        <v>1.0000000000000002</v>
      </c>
      <c r="Y419" s="38" t="s">
        <v>509</v>
      </c>
      <c r="Z419" s="42" t="s">
        <v>235</v>
      </c>
      <c r="AA419" s="67">
        <f t="shared" ref="AA419:AT419" si="532">(SUMIF($AV$339:$AV$442,$Y419,AW$339:AW$442)*AA$337+IF($J197,SUMIF($AV$229:$AV$332,$Y309,AW$229:AW$332)*AA$227*(1-$D197/$J197),0))*$AU419</f>
        <v>0.15110029999999999</v>
      </c>
      <c r="AB419" s="67">
        <f t="shared" si="532"/>
        <v>0.38233260000000002</v>
      </c>
      <c r="AC419" s="67">
        <f t="shared" si="532"/>
        <v>0.6934032</v>
      </c>
      <c r="AD419" s="67">
        <f t="shared" si="532"/>
        <v>1.1296350000000002</v>
      </c>
      <c r="AE419" s="67">
        <f t="shared" si="532"/>
        <v>1.3064870000000002</v>
      </c>
      <c r="AF419" s="76">
        <f t="shared" si="532"/>
        <v>9.8213659999999998E-4</v>
      </c>
      <c r="AG419" s="67">
        <f t="shared" si="532"/>
        <v>6.8747619999999998E-4</v>
      </c>
      <c r="AH419" s="67">
        <f t="shared" si="532"/>
        <v>2.226057E-3</v>
      </c>
      <c r="AI419" s="67">
        <f t="shared" si="532"/>
        <v>2.7277949999999999E-2</v>
      </c>
      <c r="AJ419" s="68">
        <f t="shared" si="532"/>
        <v>0.12982680000000002</v>
      </c>
      <c r="AK419" s="67">
        <f t="shared" si="532"/>
        <v>1.2208800000000001E-2</v>
      </c>
      <c r="AL419" s="67">
        <f t="shared" si="532"/>
        <v>2.9784140000000004E-2</v>
      </c>
      <c r="AM419" s="67">
        <f t="shared" si="532"/>
        <v>6.3199659999999991E-2</v>
      </c>
      <c r="AN419" s="67">
        <f t="shared" si="532"/>
        <v>0.1290502</v>
      </c>
      <c r="AO419" s="67">
        <f t="shared" si="532"/>
        <v>0.69063720000000006</v>
      </c>
      <c r="AP419" s="76">
        <f t="shared" si="532"/>
        <v>1.0293120000000001E-2</v>
      </c>
      <c r="AQ419" s="67">
        <f t="shared" si="532"/>
        <v>3.1446450000000001E-2</v>
      </c>
      <c r="AR419" s="67">
        <f t="shared" si="532"/>
        <v>6.6883849999999995E-2</v>
      </c>
      <c r="AS419" s="67">
        <f t="shared" si="532"/>
        <v>0.2463399</v>
      </c>
      <c r="AT419" s="68">
        <f t="shared" si="532"/>
        <v>3.2780300000000007</v>
      </c>
      <c r="AU419" s="216">
        <v>1E-4</v>
      </c>
      <c r="AV419" s="104" t="s">
        <v>545</v>
      </c>
      <c r="AW419" s="94"/>
      <c r="AX419" s="94"/>
      <c r="AY419" s="94"/>
      <c r="AZ419" s="94"/>
      <c r="BA419" s="94"/>
      <c r="BB419" s="106"/>
      <c r="BC419" s="94"/>
      <c r="BD419" s="94"/>
      <c r="BE419" s="94"/>
      <c r="BF419" s="95"/>
      <c r="BG419" s="94"/>
      <c r="BH419" s="94"/>
      <c r="BI419" s="94"/>
      <c r="BJ419" s="94"/>
      <c r="BK419" s="94"/>
      <c r="BL419" s="106"/>
      <c r="BM419" s="94"/>
      <c r="BN419" s="94"/>
      <c r="BO419" s="94"/>
      <c r="BP419" s="95"/>
      <c r="BQ419" s="2"/>
      <c r="BR419" s="2"/>
      <c r="BS419" s="2"/>
    </row>
    <row r="420" spans="1:71" x14ac:dyDescent="0.35">
      <c r="A420" s="2"/>
      <c r="B420" s="2"/>
      <c r="C420" s="42" t="s">
        <v>237</v>
      </c>
      <c r="D420" s="109">
        <f t="shared" si="515"/>
        <v>2.4573696839107755E-2</v>
      </c>
      <c r="E420" s="109">
        <f t="shared" si="495"/>
        <v>5.3181208853365587E-2</v>
      </c>
      <c r="F420" s="109">
        <f t="shared" si="496"/>
        <v>9.4952982057003837E-2</v>
      </c>
      <c r="G420" s="109">
        <f t="shared" si="497"/>
        <v>0.14795020581561874</v>
      </c>
      <c r="H420" s="109">
        <f t="shared" si="498"/>
        <v>0.19314829521817792</v>
      </c>
      <c r="I420" s="110">
        <f t="shared" si="499"/>
        <v>6.1154270246006472E-5</v>
      </c>
      <c r="J420" s="109">
        <f t="shared" si="500"/>
        <v>1.8277708328016606E-4</v>
      </c>
      <c r="K420" s="109">
        <f t="shared" si="501"/>
        <v>8.2225592624042467E-4</v>
      </c>
      <c r="L420" s="109">
        <f t="shared" si="502"/>
        <v>4.5623235784247587E-3</v>
      </c>
      <c r="M420" s="111">
        <f t="shared" si="503"/>
        <v>2.4633101278026832E-2</v>
      </c>
      <c r="N420" s="109">
        <f t="shared" si="504"/>
        <v>9.8895856912402055E-4</v>
      </c>
      <c r="O420" s="109">
        <f t="shared" si="505"/>
        <v>3.003716440190379E-3</v>
      </c>
      <c r="P420" s="109">
        <f t="shared" si="506"/>
        <v>3.6268711708025282E-3</v>
      </c>
      <c r="Q420" s="109">
        <f t="shared" si="507"/>
        <v>7.1076505941445496E-3</v>
      </c>
      <c r="R420" s="109">
        <f t="shared" si="508"/>
        <v>7.8903880230042855E-2</v>
      </c>
      <c r="S420" s="110">
        <f t="shared" si="509"/>
        <v>4.2842724289230739E-4</v>
      </c>
      <c r="T420" s="109">
        <f t="shared" si="510"/>
        <v>2.8075785032370196E-3</v>
      </c>
      <c r="U420" s="109">
        <f t="shared" si="511"/>
        <v>4.2342684059048378E-3</v>
      </c>
      <c r="V420" s="109">
        <f t="shared" si="512"/>
        <v>2.0668067746793219E-2</v>
      </c>
      <c r="W420" s="111">
        <f t="shared" si="513"/>
        <v>0.33416258017737649</v>
      </c>
      <c r="X420" s="115">
        <f t="shared" si="516"/>
        <v>1</v>
      </c>
      <c r="Y420" s="38" t="s">
        <v>508</v>
      </c>
      <c r="Z420" s="42" t="s">
        <v>237</v>
      </c>
      <c r="AA420" s="67">
        <f t="shared" ref="AA420:AT420" si="533">(SUMIF($AV$339:$AV$442,$Y420,AW$339:AW$442)*AA$337+IF($J198,SUMIF($AV$229:$AV$332,$Y310,AW$229:AW$332)*AA$227*(1-$D198/$J198),0))*$AU420</f>
        <v>6352.2809999999999</v>
      </c>
      <c r="AB420" s="67">
        <f t="shared" si="533"/>
        <v>13747.3</v>
      </c>
      <c r="AC420" s="67">
        <f t="shared" si="533"/>
        <v>24545.27</v>
      </c>
      <c r="AD420" s="67">
        <f t="shared" si="533"/>
        <v>38245.01</v>
      </c>
      <c r="AE420" s="67">
        <f t="shared" si="533"/>
        <v>49928.68</v>
      </c>
      <c r="AF420" s="76">
        <f t="shared" si="533"/>
        <v>15.80833</v>
      </c>
      <c r="AG420" s="67">
        <f t="shared" si="533"/>
        <v>47.247729999999997</v>
      </c>
      <c r="AH420" s="67">
        <f t="shared" si="533"/>
        <v>212.55250000000001</v>
      </c>
      <c r="AI420" s="67">
        <f t="shared" si="533"/>
        <v>1179.357</v>
      </c>
      <c r="AJ420" s="68">
        <f t="shared" si="533"/>
        <v>6367.6369999999997</v>
      </c>
      <c r="AK420" s="67">
        <f t="shared" si="533"/>
        <v>255.64500000000001</v>
      </c>
      <c r="AL420" s="67">
        <f t="shared" si="533"/>
        <v>776.45830000000001</v>
      </c>
      <c r="AM420" s="67">
        <f t="shared" si="533"/>
        <v>937.54330000000004</v>
      </c>
      <c r="AN420" s="67">
        <f t="shared" si="533"/>
        <v>1837.3219999999999</v>
      </c>
      <c r="AO420" s="67">
        <f t="shared" si="533"/>
        <v>20396.59</v>
      </c>
      <c r="AP420" s="76">
        <f t="shared" si="533"/>
        <v>110.74809999999999</v>
      </c>
      <c r="AQ420" s="67">
        <f t="shared" si="533"/>
        <v>725.7568</v>
      </c>
      <c r="AR420" s="67">
        <f t="shared" si="533"/>
        <v>1094.5550000000001</v>
      </c>
      <c r="AS420" s="67">
        <f t="shared" si="533"/>
        <v>5342.6790000000001</v>
      </c>
      <c r="AT420" s="68">
        <f t="shared" si="533"/>
        <v>86380.76</v>
      </c>
      <c r="AU420" s="216">
        <v>1</v>
      </c>
      <c r="AV420" s="104" t="s">
        <v>508</v>
      </c>
      <c r="AW420" s="94">
        <v>6352.2809999999999</v>
      </c>
      <c r="AX420" s="94">
        <v>13747.3</v>
      </c>
      <c r="AY420" s="94">
        <v>24545.27</v>
      </c>
      <c r="AZ420" s="94">
        <v>38245.01</v>
      </c>
      <c r="BA420" s="94">
        <v>49928.68</v>
      </c>
      <c r="BB420" s="106">
        <v>15.80833</v>
      </c>
      <c r="BC420" s="94">
        <v>47.247729999999997</v>
      </c>
      <c r="BD420" s="94">
        <v>212.55250000000001</v>
      </c>
      <c r="BE420" s="94">
        <v>1179.357</v>
      </c>
      <c r="BF420" s="95">
        <v>6367.6369999999997</v>
      </c>
      <c r="BG420" s="94">
        <v>255.64500000000001</v>
      </c>
      <c r="BH420" s="94">
        <v>776.45830000000001</v>
      </c>
      <c r="BI420" s="94">
        <v>937.54330000000004</v>
      </c>
      <c r="BJ420" s="94">
        <v>1837.3219999999999</v>
      </c>
      <c r="BK420" s="94">
        <v>20396.59</v>
      </c>
      <c r="BL420" s="106">
        <v>110.74809999999999</v>
      </c>
      <c r="BM420" s="94">
        <v>725.7568</v>
      </c>
      <c r="BN420" s="94">
        <v>1094.5550000000001</v>
      </c>
      <c r="BO420" s="94">
        <v>5342.6790000000001</v>
      </c>
      <c r="BP420" s="95">
        <v>86380.76</v>
      </c>
      <c r="BQ420" s="2"/>
      <c r="BR420" s="2"/>
      <c r="BS420" s="2"/>
    </row>
    <row r="421" spans="1:71" x14ac:dyDescent="0.35">
      <c r="A421" s="2"/>
      <c r="B421" s="2"/>
      <c r="C421" s="42" t="s">
        <v>239</v>
      </c>
      <c r="D421" s="109">
        <f t="shared" si="515"/>
        <v>0</v>
      </c>
      <c r="E421" s="109">
        <f t="shared" si="495"/>
        <v>3.6773296752312743E-4</v>
      </c>
      <c r="F421" s="109">
        <f t="shared" si="496"/>
        <v>2.0039716036908766E-4</v>
      </c>
      <c r="G421" s="109">
        <f t="shared" si="497"/>
        <v>7.1446502651676081E-3</v>
      </c>
      <c r="H421" s="109">
        <f t="shared" si="498"/>
        <v>5.1050026154986897E-2</v>
      </c>
      <c r="I421" s="110">
        <f t="shared" si="499"/>
        <v>0</v>
      </c>
      <c r="J421" s="109">
        <f t="shared" si="500"/>
        <v>0</v>
      </c>
      <c r="K421" s="109">
        <f t="shared" si="501"/>
        <v>0</v>
      </c>
      <c r="L421" s="109">
        <f t="shared" si="502"/>
        <v>5.9040962698487219E-4</v>
      </c>
      <c r="M421" s="111">
        <f t="shared" si="503"/>
        <v>2.7038841503204788E-2</v>
      </c>
      <c r="N421" s="109">
        <f t="shared" si="504"/>
        <v>0</v>
      </c>
      <c r="O421" s="109">
        <f t="shared" si="505"/>
        <v>5.0572450542000667E-4</v>
      </c>
      <c r="P421" s="109">
        <f t="shared" si="506"/>
        <v>3.7040878548580137E-4</v>
      </c>
      <c r="Q421" s="109">
        <f t="shared" si="507"/>
        <v>1.2906305988518267E-3</v>
      </c>
      <c r="R421" s="109">
        <f t="shared" si="508"/>
        <v>0.11562490612990743</v>
      </c>
      <c r="S421" s="110">
        <f t="shared" si="509"/>
        <v>0</v>
      </c>
      <c r="T421" s="109">
        <f t="shared" si="510"/>
        <v>0</v>
      </c>
      <c r="U421" s="109">
        <f t="shared" si="511"/>
        <v>0</v>
      </c>
      <c r="V421" s="109">
        <f t="shared" si="512"/>
        <v>2.7231683619430591E-3</v>
      </c>
      <c r="W421" s="111">
        <f t="shared" si="513"/>
        <v>0.79309310394015553</v>
      </c>
      <c r="X421" s="115">
        <f t="shared" si="516"/>
        <v>1</v>
      </c>
      <c r="Y421" s="38" t="s">
        <v>546</v>
      </c>
      <c r="Z421" s="42" t="s">
        <v>239</v>
      </c>
      <c r="AA421" s="67">
        <f t="shared" ref="AA421:AT421" si="534">(SUMIF($AV$339:$AV$442,$Y421,AW$339:AW$442)*AA$337+IF($J199,SUMIF($AV$229:$AV$332,$Y311,AW$229:AW$332)*AA$227*(1-$D199/$J199),0))*$AU421</f>
        <v>0</v>
      </c>
      <c r="AB421" s="67">
        <f t="shared" si="534"/>
        <v>1.445058</v>
      </c>
      <c r="AC421" s="67">
        <f t="shared" si="534"/>
        <v>0.78748859999999998</v>
      </c>
      <c r="AD421" s="67">
        <f t="shared" si="534"/>
        <v>28.075900000000001</v>
      </c>
      <c r="AE421" s="67">
        <f t="shared" si="534"/>
        <v>200.60820000000001</v>
      </c>
      <c r="AF421" s="76">
        <f t="shared" si="534"/>
        <v>0</v>
      </c>
      <c r="AG421" s="67">
        <f t="shared" si="534"/>
        <v>0</v>
      </c>
      <c r="AH421" s="67">
        <f t="shared" si="534"/>
        <v>0</v>
      </c>
      <c r="AI421" s="67">
        <f t="shared" si="534"/>
        <v>2.3200970000000001</v>
      </c>
      <c r="AJ421" s="68">
        <f t="shared" si="534"/>
        <v>106.2529</v>
      </c>
      <c r="AK421" s="67">
        <f t="shared" si="534"/>
        <v>0</v>
      </c>
      <c r="AL421" s="67">
        <f t="shared" si="534"/>
        <v>1.9873149999999999</v>
      </c>
      <c r="AM421" s="67">
        <f t="shared" si="534"/>
        <v>1.455573</v>
      </c>
      <c r="AN421" s="67">
        <f t="shared" si="534"/>
        <v>5.0717129999999999</v>
      </c>
      <c r="AO421" s="67">
        <f t="shared" si="534"/>
        <v>454.36419999999998</v>
      </c>
      <c r="AP421" s="76">
        <f t="shared" si="534"/>
        <v>0</v>
      </c>
      <c r="AQ421" s="67">
        <f t="shared" si="534"/>
        <v>0</v>
      </c>
      <c r="AR421" s="67">
        <f t="shared" si="534"/>
        <v>0</v>
      </c>
      <c r="AS421" s="67">
        <f t="shared" si="534"/>
        <v>10.70107</v>
      </c>
      <c r="AT421" s="68">
        <f t="shared" si="534"/>
        <v>3116.57</v>
      </c>
      <c r="AU421" s="216">
        <v>1</v>
      </c>
      <c r="AV421" s="104" t="s">
        <v>546</v>
      </c>
      <c r="AW421" s="94">
        <v>0</v>
      </c>
      <c r="AX421" s="94">
        <v>1.445058</v>
      </c>
      <c r="AY421" s="94">
        <v>0.78748859999999998</v>
      </c>
      <c r="AZ421" s="94">
        <v>28.075900000000001</v>
      </c>
      <c r="BA421" s="94">
        <v>200.60820000000001</v>
      </c>
      <c r="BB421" s="106">
        <v>0</v>
      </c>
      <c r="BC421" s="94">
        <v>0</v>
      </c>
      <c r="BD421" s="94">
        <v>0</v>
      </c>
      <c r="BE421" s="94">
        <v>2.3200970000000001</v>
      </c>
      <c r="BF421" s="95">
        <v>106.2529</v>
      </c>
      <c r="BG421" s="94">
        <v>0</v>
      </c>
      <c r="BH421" s="94">
        <v>1.9873149999999999</v>
      </c>
      <c r="BI421" s="94">
        <v>1.455573</v>
      </c>
      <c r="BJ421" s="94">
        <v>5.0717129999999999</v>
      </c>
      <c r="BK421" s="94">
        <v>454.36419999999998</v>
      </c>
      <c r="BL421" s="106">
        <v>0</v>
      </c>
      <c r="BM421" s="94">
        <v>0</v>
      </c>
      <c r="BN421" s="94">
        <v>0</v>
      </c>
      <c r="BO421" s="94">
        <v>10.70107</v>
      </c>
      <c r="BP421" s="95">
        <v>3116.57</v>
      </c>
      <c r="BQ421" s="2"/>
      <c r="BR421" s="2"/>
      <c r="BS421" s="2"/>
    </row>
    <row r="422" spans="1:71" x14ac:dyDescent="0.35">
      <c r="A422" s="2"/>
      <c r="B422" s="2"/>
      <c r="C422" s="42" t="s">
        <v>241</v>
      </c>
      <c r="D422" s="109">
        <f t="shared" si="515"/>
        <v>1.8027121384435386E-2</v>
      </c>
      <c r="E422" s="109">
        <f t="shared" si="495"/>
        <v>4.5614444110480136E-2</v>
      </c>
      <c r="F422" s="109">
        <f t="shared" si="496"/>
        <v>8.2726928105079395E-2</v>
      </c>
      <c r="G422" s="109">
        <f t="shared" si="497"/>
        <v>0.13477185197585095</v>
      </c>
      <c r="H422" s="109">
        <f t="shared" si="498"/>
        <v>0.15587129698741062</v>
      </c>
      <c r="I422" s="110">
        <f t="shared" si="499"/>
        <v>1.1717445765691176E-4</v>
      </c>
      <c r="J422" s="109">
        <f t="shared" si="500"/>
        <v>8.2019803443873893E-5</v>
      </c>
      <c r="K422" s="109">
        <f t="shared" si="501"/>
        <v>2.6558120498551021E-4</v>
      </c>
      <c r="L422" s="109">
        <f t="shared" si="502"/>
        <v>3.2544138944036465E-3</v>
      </c>
      <c r="M422" s="111">
        <f t="shared" si="503"/>
        <v>1.5489072374792216E-2</v>
      </c>
      <c r="N422" s="109">
        <f t="shared" si="504"/>
        <v>1.4565789714401278E-3</v>
      </c>
      <c r="O422" s="109">
        <f t="shared" si="505"/>
        <v>3.553416552521851E-3</v>
      </c>
      <c r="P422" s="109">
        <f t="shared" si="506"/>
        <v>7.5400773014682679E-3</v>
      </c>
      <c r="Q422" s="109">
        <f t="shared" si="507"/>
        <v>1.5396419597351321E-2</v>
      </c>
      <c r="R422" s="109">
        <f t="shared" si="508"/>
        <v>8.2396928642806011E-2</v>
      </c>
      <c r="S422" s="110">
        <f t="shared" si="509"/>
        <v>1.2280275000417576E-3</v>
      </c>
      <c r="T422" s="109">
        <f t="shared" si="510"/>
        <v>3.7517395482310639E-3</v>
      </c>
      <c r="U422" s="109">
        <f t="shared" si="511"/>
        <v>7.9796220299256111E-3</v>
      </c>
      <c r="V422" s="109">
        <f t="shared" si="512"/>
        <v>2.9389744951728587E-2</v>
      </c>
      <c r="W422" s="111">
        <f t="shared" si="513"/>
        <v>0.3910875406059468</v>
      </c>
      <c r="X422" s="115">
        <f t="shared" si="516"/>
        <v>1.0000000000000002</v>
      </c>
      <c r="Y422" s="38" t="s">
        <v>509</v>
      </c>
      <c r="Z422" s="42" t="s">
        <v>241</v>
      </c>
      <c r="AA422" s="67">
        <f t="shared" ref="AA422:AT422" si="535">(SUMIF($AV$339:$AV$442,$Y422,AW$339:AW$442)*AA$337+IF($J200,SUMIF($AV$229:$AV$332,$Y312,AW$229:AW$332)*AA$227*(1-$D200/$J200),0))*$AU422</f>
        <v>1511.0029999999999</v>
      </c>
      <c r="AB422" s="67">
        <f t="shared" si="535"/>
        <v>3823.326</v>
      </c>
      <c r="AC422" s="67">
        <f t="shared" si="535"/>
        <v>6934.0320000000002</v>
      </c>
      <c r="AD422" s="67">
        <f t="shared" si="535"/>
        <v>11296.35</v>
      </c>
      <c r="AE422" s="67">
        <f t="shared" si="535"/>
        <v>13064.87</v>
      </c>
      <c r="AF422" s="76">
        <f t="shared" si="535"/>
        <v>9.8213659999999994</v>
      </c>
      <c r="AG422" s="67">
        <f t="shared" si="535"/>
        <v>6.8747619999999996</v>
      </c>
      <c r="AH422" s="67">
        <f t="shared" si="535"/>
        <v>22.260570000000001</v>
      </c>
      <c r="AI422" s="67">
        <f t="shared" si="535"/>
        <v>272.77949999999998</v>
      </c>
      <c r="AJ422" s="68">
        <f t="shared" si="535"/>
        <v>1298.268</v>
      </c>
      <c r="AK422" s="67">
        <f t="shared" si="535"/>
        <v>122.08799999999999</v>
      </c>
      <c r="AL422" s="67">
        <f t="shared" si="535"/>
        <v>297.84140000000002</v>
      </c>
      <c r="AM422" s="67">
        <f t="shared" si="535"/>
        <v>631.99659999999994</v>
      </c>
      <c r="AN422" s="67">
        <f t="shared" si="535"/>
        <v>1290.502</v>
      </c>
      <c r="AO422" s="67">
        <f t="shared" si="535"/>
        <v>6906.3720000000003</v>
      </c>
      <c r="AP422" s="76">
        <f t="shared" si="535"/>
        <v>102.9312</v>
      </c>
      <c r="AQ422" s="67">
        <f t="shared" si="535"/>
        <v>314.46449999999999</v>
      </c>
      <c r="AR422" s="67">
        <f t="shared" si="535"/>
        <v>668.83849999999995</v>
      </c>
      <c r="AS422" s="67">
        <f t="shared" si="535"/>
        <v>2463.3989999999999</v>
      </c>
      <c r="AT422" s="68">
        <f t="shared" si="535"/>
        <v>32780.300000000003</v>
      </c>
      <c r="AU422" s="216">
        <v>1</v>
      </c>
      <c r="AV422" s="104" t="s">
        <v>509</v>
      </c>
      <c r="AW422" s="94">
        <v>1511.0029999999999</v>
      </c>
      <c r="AX422" s="94">
        <v>3823.326</v>
      </c>
      <c r="AY422" s="94">
        <v>6934.0320000000002</v>
      </c>
      <c r="AZ422" s="94">
        <v>11296.35</v>
      </c>
      <c r="BA422" s="94">
        <v>13064.87</v>
      </c>
      <c r="BB422" s="106">
        <v>9.8213659999999994</v>
      </c>
      <c r="BC422" s="94">
        <v>6.8747619999999996</v>
      </c>
      <c r="BD422" s="94">
        <v>22.260570000000001</v>
      </c>
      <c r="BE422" s="94">
        <v>272.77949999999998</v>
      </c>
      <c r="BF422" s="95">
        <v>1298.268</v>
      </c>
      <c r="BG422" s="94">
        <v>122.08799999999999</v>
      </c>
      <c r="BH422" s="94">
        <v>297.84140000000002</v>
      </c>
      <c r="BI422" s="94">
        <v>631.99659999999994</v>
      </c>
      <c r="BJ422" s="94">
        <v>1290.502</v>
      </c>
      <c r="BK422" s="94">
        <v>6906.3720000000003</v>
      </c>
      <c r="BL422" s="106">
        <v>102.9312</v>
      </c>
      <c r="BM422" s="94">
        <v>314.46449999999999</v>
      </c>
      <c r="BN422" s="94">
        <v>668.83849999999995</v>
      </c>
      <c r="BO422" s="94">
        <v>2463.3989999999999</v>
      </c>
      <c r="BP422" s="95">
        <v>32780.300000000003</v>
      </c>
      <c r="BQ422" s="2"/>
      <c r="BR422" s="2"/>
      <c r="BS422" s="2"/>
    </row>
    <row r="423" spans="1:71" x14ac:dyDescent="0.35">
      <c r="A423" s="2"/>
      <c r="B423" s="2"/>
      <c r="C423" s="42" t="s">
        <v>243</v>
      </c>
      <c r="D423" s="109">
        <f t="shared" si="515"/>
        <v>0</v>
      </c>
      <c r="E423" s="109">
        <f t="shared" si="495"/>
        <v>0</v>
      </c>
      <c r="F423" s="109">
        <f t="shared" si="496"/>
        <v>0</v>
      </c>
      <c r="G423" s="109">
        <f t="shared" si="497"/>
        <v>0</v>
      </c>
      <c r="H423" s="109">
        <f t="shared" si="498"/>
        <v>0</v>
      </c>
      <c r="I423" s="110">
        <f t="shared" si="499"/>
        <v>0</v>
      </c>
      <c r="J423" s="109">
        <f t="shared" si="500"/>
        <v>0</v>
      </c>
      <c r="K423" s="109">
        <f t="shared" si="501"/>
        <v>0</v>
      </c>
      <c r="L423" s="109">
        <f t="shared" si="502"/>
        <v>0</v>
      </c>
      <c r="M423" s="111">
        <f t="shared" si="503"/>
        <v>0</v>
      </c>
      <c r="N423" s="109">
        <f t="shared" si="504"/>
        <v>0</v>
      </c>
      <c r="O423" s="109">
        <f t="shared" si="505"/>
        <v>0</v>
      </c>
      <c r="P423" s="109">
        <f t="shared" si="506"/>
        <v>0</v>
      </c>
      <c r="Q423" s="109">
        <f t="shared" si="507"/>
        <v>0</v>
      </c>
      <c r="R423" s="109">
        <f t="shared" si="508"/>
        <v>0</v>
      </c>
      <c r="S423" s="110">
        <f t="shared" si="509"/>
        <v>0</v>
      </c>
      <c r="T423" s="109">
        <f t="shared" si="510"/>
        <v>0</v>
      </c>
      <c r="U423" s="109">
        <f t="shared" si="511"/>
        <v>0</v>
      </c>
      <c r="V423" s="109">
        <f t="shared" si="512"/>
        <v>0</v>
      </c>
      <c r="W423" s="111">
        <f t="shared" si="513"/>
        <v>0</v>
      </c>
      <c r="X423" s="115">
        <f t="shared" si="516"/>
        <v>0</v>
      </c>
      <c r="Y423" s="38" t="s">
        <v>547</v>
      </c>
      <c r="Z423" s="42" t="s">
        <v>243</v>
      </c>
      <c r="AA423" s="67">
        <f t="shared" ref="AA423:AT423" si="536">(SUMIF($AV$339:$AV$442,$Y423,AW$339:AW$442)*AA$337+IF($J201,SUMIF($AV$229:$AV$332,$Y313,AW$229:AW$332)*AA$227*(1-$D201/$J201),0))*$AU423</f>
        <v>0</v>
      </c>
      <c r="AB423" s="67">
        <f t="shared" si="536"/>
        <v>0</v>
      </c>
      <c r="AC423" s="67">
        <f t="shared" si="536"/>
        <v>0</v>
      </c>
      <c r="AD423" s="67">
        <f t="shared" si="536"/>
        <v>0</v>
      </c>
      <c r="AE423" s="67">
        <f t="shared" si="536"/>
        <v>0</v>
      </c>
      <c r="AF423" s="76">
        <f t="shared" si="536"/>
        <v>0</v>
      </c>
      <c r="AG423" s="67">
        <f t="shared" si="536"/>
        <v>0</v>
      </c>
      <c r="AH423" s="67">
        <f t="shared" si="536"/>
        <v>0</v>
      </c>
      <c r="AI423" s="67">
        <f t="shared" si="536"/>
        <v>0</v>
      </c>
      <c r="AJ423" s="68">
        <f t="shared" si="536"/>
        <v>0</v>
      </c>
      <c r="AK423" s="67">
        <f t="shared" si="536"/>
        <v>0</v>
      </c>
      <c r="AL423" s="67">
        <f t="shared" si="536"/>
        <v>0</v>
      </c>
      <c r="AM423" s="67">
        <f t="shared" si="536"/>
        <v>0</v>
      </c>
      <c r="AN423" s="67">
        <f t="shared" si="536"/>
        <v>0</v>
      </c>
      <c r="AO423" s="67">
        <f t="shared" si="536"/>
        <v>0</v>
      </c>
      <c r="AP423" s="76">
        <f t="shared" si="536"/>
        <v>0</v>
      </c>
      <c r="AQ423" s="67">
        <f t="shared" si="536"/>
        <v>0</v>
      </c>
      <c r="AR423" s="67">
        <f t="shared" si="536"/>
        <v>0</v>
      </c>
      <c r="AS423" s="67">
        <f t="shared" si="536"/>
        <v>0</v>
      </c>
      <c r="AT423" s="68">
        <f t="shared" si="536"/>
        <v>0</v>
      </c>
      <c r="AU423" s="216">
        <v>1</v>
      </c>
      <c r="AV423" s="104" t="s">
        <v>547</v>
      </c>
      <c r="AW423" s="94"/>
      <c r="AX423" s="94"/>
      <c r="AY423" s="94"/>
      <c r="AZ423" s="94"/>
      <c r="BA423" s="94"/>
      <c r="BB423" s="106"/>
      <c r="BC423" s="94"/>
      <c r="BD423" s="94"/>
      <c r="BE423" s="94"/>
      <c r="BF423" s="95"/>
      <c r="BG423" s="94"/>
      <c r="BH423" s="94"/>
      <c r="BI423" s="94"/>
      <c r="BJ423" s="94"/>
      <c r="BK423" s="94"/>
      <c r="BL423" s="106"/>
      <c r="BM423" s="94"/>
      <c r="BN423" s="94"/>
      <c r="BO423" s="94"/>
      <c r="BP423" s="95"/>
      <c r="BQ423" s="2"/>
      <c r="BR423" s="2"/>
      <c r="BS423" s="2"/>
    </row>
    <row r="424" spans="1:71" x14ac:dyDescent="0.35">
      <c r="A424" s="2"/>
      <c r="B424" s="2"/>
      <c r="C424" s="42" t="s">
        <v>245</v>
      </c>
      <c r="D424" s="109">
        <f t="shared" si="515"/>
        <v>9.5460467789343334E-2</v>
      </c>
      <c r="E424" s="109">
        <f t="shared" si="495"/>
        <v>0.12392467443059532</v>
      </c>
      <c r="F424" s="109">
        <f t="shared" si="496"/>
        <v>0.14642908890150033</v>
      </c>
      <c r="G424" s="109">
        <f t="shared" si="497"/>
        <v>0.15789173786277511</v>
      </c>
      <c r="H424" s="109">
        <f t="shared" si="498"/>
        <v>0.11064602363329527</v>
      </c>
      <c r="I424" s="110">
        <f t="shared" si="499"/>
        <v>2.1337704284603881E-4</v>
      </c>
      <c r="J424" s="109">
        <f t="shared" si="500"/>
        <v>3.6017843036802416E-4</v>
      </c>
      <c r="K424" s="109">
        <f t="shared" si="501"/>
        <v>9.3020319432536829E-4</v>
      </c>
      <c r="L424" s="109">
        <f t="shared" si="502"/>
        <v>2.2787257510426592E-3</v>
      </c>
      <c r="M424" s="111">
        <f t="shared" si="503"/>
        <v>1.4197062750561174E-2</v>
      </c>
      <c r="N424" s="109">
        <f t="shared" si="504"/>
        <v>5.1777707280037588E-3</v>
      </c>
      <c r="O424" s="109">
        <f t="shared" si="505"/>
        <v>7.6595592596954464E-3</v>
      </c>
      <c r="P424" s="109">
        <f t="shared" si="506"/>
        <v>1.1507723786264789E-2</v>
      </c>
      <c r="Q424" s="109">
        <f t="shared" si="507"/>
        <v>1.3754920956466434E-2</v>
      </c>
      <c r="R424" s="109">
        <f t="shared" si="508"/>
        <v>6.6275222592597743E-2</v>
      </c>
      <c r="S424" s="110">
        <f t="shared" si="509"/>
        <v>6.7642895505009226E-4</v>
      </c>
      <c r="T424" s="109">
        <f t="shared" si="510"/>
        <v>3.390122602832283E-3</v>
      </c>
      <c r="U424" s="109">
        <f t="shared" si="511"/>
        <v>6.4777381993765494E-3</v>
      </c>
      <c r="V424" s="109">
        <f t="shared" si="512"/>
        <v>1.4119810885963244E-2</v>
      </c>
      <c r="W424" s="111">
        <f t="shared" si="513"/>
        <v>0.21862916224709694</v>
      </c>
      <c r="X424" s="115">
        <f t="shared" si="516"/>
        <v>1</v>
      </c>
      <c r="Y424" s="38" t="s">
        <v>549</v>
      </c>
      <c r="Z424" s="42" t="s">
        <v>245</v>
      </c>
      <c r="AA424" s="67">
        <f t="shared" ref="AA424:AT424" si="537">(SUMIF($AV$339:$AV$442,$Y424,AW$339:AW$442)*AA$337+IF($J202,SUMIF($AV$229:$AV$332,$Y314,AW$229:AW$332)*AA$227*(1-$D202/$J202),0))*$AU424</f>
        <v>0.24069050000000003</v>
      </c>
      <c r="AB424" s="67">
        <f t="shared" si="537"/>
        <v>0.31245909999999999</v>
      </c>
      <c r="AC424" s="67">
        <f t="shared" si="537"/>
        <v>0.3692009</v>
      </c>
      <c r="AD424" s="67">
        <f t="shared" si="537"/>
        <v>0.39810240000000002</v>
      </c>
      <c r="AE424" s="67">
        <f t="shared" si="537"/>
        <v>0.27897880000000003</v>
      </c>
      <c r="AF424" s="76">
        <f t="shared" si="537"/>
        <v>5.3800100000000008E-4</v>
      </c>
      <c r="AG424" s="67">
        <f t="shared" si="537"/>
        <v>9.0814059999999998E-4</v>
      </c>
      <c r="AH424" s="67">
        <f t="shared" si="537"/>
        <v>2.3453800000000002E-3</v>
      </c>
      <c r="AI424" s="67">
        <f t="shared" si="537"/>
        <v>5.7454949999999998E-3</v>
      </c>
      <c r="AJ424" s="68">
        <f t="shared" si="537"/>
        <v>3.579595E-2</v>
      </c>
      <c r="AK424" s="67">
        <f t="shared" si="537"/>
        <v>1.305504E-2</v>
      </c>
      <c r="AL424" s="67">
        <f t="shared" si="537"/>
        <v>1.9312530000000001E-2</v>
      </c>
      <c r="AM424" s="67">
        <f t="shared" si="537"/>
        <v>2.901515E-2</v>
      </c>
      <c r="AN424" s="67">
        <f t="shared" si="537"/>
        <v>3.4681150000000001E-2</v>
      </c>
      <c r="AO424" s="67">
        <f t="shared" si="537"/>
        <v>0.1671039</v>
      </c>
      <c r="AP424" s="76">
        <f t="shared" si="537"/>
        <v>1.7055230000000002E-3</v>
      </c>
      <c r="AQ424" s="67">
        <f t="shared" si="537"/>
        <v>8.5477299999999999E-3</v>
      </c>
      <c r="AR424" s="67">
        <f t="shared" si="537"/>
        <v>1.633273E-2</v>
      </c>
      <c r="AS424" s="67">
        <f t="shared" si="537"/>
        <v>3.5601170000000001E-2</v>
      </c>
      <c r="AT424" s="68">
        <f t="shared" si="537"/>
        <v>0.55124350000000011</v>
      </c>
      <c r="AU424" s="216">
        <v>1E-4</v>
      </c>
      <c r="AV424" s="104" t="s">
        <v>548</v>
      </c>
      <c r="AW424" s="94"/>
      <c r="AX424" s="94"/>
      <c r="AY424" s="94"/>
      <c r="AZ424" s="94"/>
      <c r="BA424" s="94"/>
      <c r="BB424" s="106"/>
      <c r="BC424" s="94"/>
      <c r="BD424" s="94"/>
      <c r="BE424" s="94"/>
      <c r="BF424" s="95"/>
      <c r="BG424" s="94"/>
      <c r="BH424" s="94"/>
      <c r="BI424" s="94"/>
      <c r="BJ424" s="94"/>
      <c r="BK424" s="94"/>
      <c r="BL424" s="106"/>
      <c r="BM424" s="94"/>
      <c r="BN424" s="94"/>
      <c r="BO424" s="94"/>
      <c r="BP424" s="95"/>
      <c r="BQ424" s="2"/>
      <c r="BR424" s="2"/>
      <c r="BS424" s="2"/>
    </row>
    <row r="425" spans="1:71" x14ac:dyDescent="0.35">
      <c r="A425" s="2"/>
      <c r="B425" s="2"/>
      <c r="C425" s="42" t="s">
        <v>247</v>
      </c>
      <c r="D425" s="109">
        <f t="shared" si="515"/>
        <v>9.5460467789343334E-2</v>
      </c>
      <c r="E425" s="109">
        <f t="shared" si="495"/>
        <v>0.12392467443059534</v>
      </c>
      <c r="F425" s="109">
        <f t="shared" si="496"/>
        <v>0.14642908890150033</v>
      </c>
      <c r="G425" s="109">
        <f t="shared" si="497"/>
        <v>0.15789173786277511</v>
      </c>
      <c r="H425" s="109">
        <f t="shared" si="498"/>
        <v>0.11064602363329527</v>
      </c>
      <c r="I425" s="110">
        <f t="shared" si="499"/>
        <v>2.1337704284603881E-4</v>
      </c>
      <c r="J425" s="109">
        <f t="shared" si="500"/>
        <v>3.6017843036802416E-4</v>
      </c>
      <c r="K425" s="109">
        <f t="shared" si="501"/>
        <v>9.3020319432536829E-4</v>
      </c>
      <c r="L425" s="109">
        <f t="shared" si="502"/>
        <v>2.2787257510426592E-3</v>
      </c>
      <c r="M425" s="111">
        <f t="shared" si="503"/>
        <v>1.4197062750561174E-2</v>
      </c>
      <c r="N425" s="109">
        <f t="shared" si="504"/>
        <v>5.1777707280037588E-3</v>
      </c>
      <c r="O425" s="109">
        <f t="shared" si="505"/>
        <v>7.6595592596954464E-3</v>
      </c>
      <c r="P425" s="109">
        <f t="shared" si="506"/>
        <v>1.1507723786264789E-2</v>
      </c>
      <c r="Q425" s="109">
        <f t="shared" si="507"/>
        <v>1.3754920956466436E-2</v>
      </c>
      <c r="R425" s="109">
        <f t="shared" si="508"/>
        <v>6.6275222592597743E-2</v>
      </c>
      <c r="S425" s="110">
        <f t="shared" si="509"/>
        <v>6.7642895505009226E-4</v>
      </c>
      <c r="T425" s="109">
        <f t="shared" si="510"/>
        <v>3.390122602832283E-3</v>
      </c>
      <c r="U425" s="109">
        <f t="shared" si="511"/>
        <v>6.4777381993765502E-3</v>
      </c>
      <c r="V425" s="109">
        <f t="shared" si="512"/>
        <v>1.4119810885963244E-2</v>
      </c>
      <c r="W425" s="111">
        <f t="shared" si="513"/>
        <v>0.21862916224709691</v>
      </c>
      <c r="X425" s="115">
        <f t="shared" si="516"/>
        <v>1</v>
      </c>
      <c r="Y425" s="38" t="s">
        <v>549</v>
      </c>
      <c r="Z425" s="42" t="s">
        <v>247</v>
      </c>
      <c r="AA425" s="67">
        <f t="shared" ref="AA425:AT425" si="538">(SUMIF($AV$339:$AV$442,$Y425,AW$339:AW$442)*AA$337+IF($J203,SUMIF($AV$229:$AV$332,$Y315,AW$229:AW$332)*AA$227*(1-$D203/$J203),0))*$AU425</f>
        <v>2406.9050000000002</v>
      </c>
      <c r="AB425" s="67">
        <f t="shared" si="538"/>
        <v>3124.5909999999999</v>
      </c>
      <c r="AC425" s="67">
        <f t="shared" si="538"/>
        <v>3692.009</v>
      </c>
      <c r="AD425" s="67">
        <f t="shared" si="538"/>
        <v>3981.0239999999999</v>
      </c>
      <c r="AE425" s="67">
        <f t="shared" si="538"/>
        <v>2789.788</v>
      </c>
      <c r="AF425" s="76">
        <f t="shared" si="538"/>
        <v>5.3800100000000004</v>
      </c>
      <c r="AG425" s="67">
        <f t="shared" si="538"/>
        <v>9.0814059999999994</v>
      </c>
      <c r="AH425" s="67">
        <f t="shared" si="538"/>
        <v>23.453800000000001</v>
      </c>
      <c r="AI425" s="67">
        <f t="shared" si="538"/>
        <v>57.454949999999997</v>
      </c>
      <c r="AJ425" s="68">
        <f t="shared" si="538"/>
        <v>357.95949999999999</v>
      </c>
      <c r="AK425" s="67">
        <f t="shared" si="538"/>
        <v>130.5504</v>
      </c>
      <c r="AL425" s="67">
        <f t="shared" si="538"/>
        <v>193.12530000000001</v>
      </c>
      <c r="AM425" s="67">
        <f t="shared" si="538"/>
        <v>290.1515</v>
      </c>
      <c r="AN425" s="67">
        <f t="shared" si="538"/>
        <v>346.81150000000002</v>
      </c>
      <c r="AO425" s="67">
        <f t="shared" si="538"/>
        <v>1671.039</v>
      </c>
      <c r="AP425" s="76">
        <f t="shared" si="538"/>
        <v>17.055230000000002</v>
      </c>
      <c r="AQ425" s="67">
        <f t="shared" si="538"/>
        <v>85.4773</v>
      </c>
      <c r="AR425" s="67">
        <f t="shared" si="538"/>
        <v>163.32730000000001</v>
      </c>
      <c r="AS425" s="67">
        <f t="shared" si="538"/>
        <v>356.01170000000002</v>
      </c>
      <c r="AT425" s="68">
        <f t="shared" si="538"/>
        <v>5512.4350000000004</v>
      </c>
      <c r="AU425" s="216">
        <v>1</v>
      </c>
      <c r="AV425" s="104" t="s">
        <v>549</v>
      </c>
      <c r="AW425" s="94">
        <v>2406.9050000000002</v>
      </c>
      <c r="AX425" s="94">
        <v>3124.5909999999999</v>
      </c>
      <c r="AY425" s="94">
        <v>3692.009</v>
      </c>
      <c r="AZ425" s="94">
        <v>3981.0239999999999</v>
      </c>
      <c r="BA425" s="94">
        <v>2789.788</v>
      </c>
      <c r="BB425" s="106">
        <v>5.3800100000000004</v>
      </c>
      <c r="BC425" s="94">
        <v>9.0814059999999994</v>
      </c>
      <c r="BD425" s="94">
        <v>23.453800000000001</v>
      </c>
      <c r="BE425" s="94">
        <v>57.454949999999997</v>
      </c>
      <c r="BF425" s="95">
        <v>357.95949999999999</v>
      </c>
      <c r="BG425" s="94">
        <v>130.5504</v>
      </c>
      <c r="BH425" s="94">
        <v>193.12530000000001</v>
      </c>
      <c r="BI425" s="94">
        <v>290.1515</v>
      </c>
      <c r="BJ425" s="94">
        <v>346.81150000000002</v>
      </c>
      <c r="BK425" s="94">
        <v>1671.039</v>
      </c>
      <c r="BL425" s="106">
        <v>17.055230000000002</v>
      </c>
      <c r="BM425" s="94">
        <v>85.4773</v>
      </c>
      <c r="BN425" s="94">
        <v>163.32730000000001</v>
      </c>
      <c r="BO425" s="94">
        <v>356.01170000000002</v>
      </c>
      <c r="BP425" s="95">
        <v>5512.4350000000004</v>
      </c>
      <c r="BQ425" s="2"/>
      <c r="BR425" s="2"/>
      <c r="BS425" s="2"/>
    </row>
    <row r="426" spans="1:71" x14ac:dyDescent="0.35">
      <c r="A426" s="2"/>
      <c r="B426" s="2"/>
      <c r="C426" s="42" t="s">
        <v>249</v>
      </c>
      <c r="D426" s="109">
        <f t="shared" si="515"/>
        <v>9.5460467789343334E-2</v>
      </c>
      <c r="E426" s="109">
        <f t="shared" si="495"/>
        <v>0.12392467443059532</v>
      </c>
      <c r="F426" s="109">
        <f t="shared" si="496"/>
        <v>0.14642908890150033</v>
      </c>
      <c r="G426" s="109">
        <f t="shared" si="497"/>
        <v>0.15789173786277511</v>
      </c>
      <c r="H426" s="109">
        <f t="shared" si="498"/>
        <v>0.11064602363329527</v>
      </c>
      <c r="I426" s="110">
        <f t="shared" si="499"/>
        <v>2.1337704284603881E-4</v>
      </c>
      <c r="J426" s="109">
        <f t="shared" si="500"/>
        <v>3.6017843036802416E-4</v>
      </c>
      <c r="K426" s="109">
        <f t="shared" si="501"/>
        <v>9.3020319432536829E-4</v>
      </c>
      <c r="L426" s="109">
        <f t="shared" si="502"/>
        <v>2.2787257510426592E-3</v>
      </c>
      <c r="M426" s="111">
        <f t="shared" si="503"/>
        <v>1.4197062750561174E-2</v>
      </c>
      <c r="N426" s="109">
        <f t="shared" si="504"/>
        <v>5.1777707280037588E-3</v>
      </c>
      <c r="O426" s="109">
        <f t="shared" si="505"/>
        <v>7.6595592596954464E-3</v>
      </c>
      <c r="P426" s="109">
        <f t="shared" si="506"/>
        <v>1.1507723786264789E-2</v>
      </c>
      <c r="Q426" s="109">
        <f t="shared" si="507"/>
        <v>1.3754920956466434E-2</v>
      </c>
      <c r="R426" s="109">
        <f t="shared" si="508"/>
        <v>6.6275222592597743E-2</v>
      </c>
      <c r="S426" s="110">
        <f t="shared" si="509"/>
        <v>6.7642895505009226E-4</v>
      </c>
      <c r="T426" s="109">
        <f t="shared" si="510"/>
        <v>3.390122602832283E-3</v>
      </c>
      <c r="U426" s="109">
        <f t="shared" si="511"/>
        <v>6.4777381993765494E-3</v>
      </c>
      <c r="V426" s="109">
        <f t="shared" si="512"/>
        <v>1.4119810885963244E-2</v>
      </c>
      <c r="W426" s="111">
        <f t="shared" si="513"/>
        <v>0.21862916224709694</v>
      </c>
      <c r="X426" s="115">
        <f t="shared" si="516"/>
        <v>1</v>
      </c>
      <c r="Y426" s="38" t="s">
        <v>549</v>
      </c>
      <c r="Z426" s="42" t="s">
        <v>249</v>
      </c>
      <c r="AA426" s="67">
        <f t="shared" ref="AA426:AT426" si="539">(SUMIF($AV$339:$AV$442,$Y426,AW$339:AW$442)*AA$337+IF($J204,SUMIF($AV$229:$AV$332,$Y316,AW$229:AW$332)*AA$227*(1-$D204/$J204),0))*$AU426</f>
        <v>0.24069050000000003</v>
      </c>
      <c r="AB426" s="67">
        <f t="shared" si="539"/>
        <v>0.31245909999999999</v>
      </c>
      <c r="AC426" s="67">
        <f t="shared" si="539"/>
        <v>0.3692009</v>
      </c>
      <c r="AD426" s="67">
        <f t="shared" si="539"/>
        <v>0.39810240000000002</v>
      </c>
      <c r="AE426" s="67">
        <f t="shared" si="539"/>
        <v>0.27897880000000003</v>
      </c>
      <c r="AF426" s="76">
        <f t="shared" si="539"/>
        <v>5.3800100000000008E-4</v>
      </c>
      <c r="AG426" s="67">
        <f t="shared" si="539"/>
        <v>9.0814059999999998E-4</v>
      </c>
      <c r="AH426" s="67">
        <f t="shared" si="539"/>
        <v>2.3453800000000002E-3</v>
      </c>
      <c r="AI426" s="67">
        <f t="shared" si="539"/>
        <v>5.7454949999999998E-3</v>
      </c>
      <c r="AJ426" s="68">
        <f t="shared" si="539"/>
        <v>3.579595E-2</v>
      </c>
      <c r="AK426" s="67">
        <f t="shared" si="539"/>
        <v>1.305504E-2</v>
      </c>
      <c r="AL426" s="67">
        <f t="shared" si="539"/>
        <v>1.9312530000000001E-2</v>
      </c>
      <c r="AM426" s="67">
        <f t="shared" si="539"/>
        <v>2.901515E-2</v>
      </c>
      <c r="AN426" s="67">
        <f t="shared" si="539"/>
        <v>3.4681150000000001E-2</v>
      </c>
      <c r="AO426" s="67">
        <f t="shared" si="539"/>
        <v>0.1671039</v>
      </c>
      <c r="AP426" s="76">
        <f t="shared" si="539"/>
        <v>1.7055230000000002E-3</v>
      </c>
      <c r="AQ426" s="67">
        <f t="shared" si="539"/>
        <v>8.5477299999999999E-3</v>
      </c>
      <c r="AR426" s="67">
        <f t="shared" si="539"/>
        <v>1.633273E-2</v>
      </c>
      <c r="AS426" s="67">
        <f t="shared" si="539"/>
        <v>3.5601170000000001E-2</v>
      </c>
      <c r="AT426" s="68">
        <f t="shared" si="539"/>
        <v>0.55124350000000011</v>
      </c>
      <c r="AU426" s="216">
        <v>1E-4</v>
      </c>
      <c r="AV426" s="104" t="s">
        <v>550</v>
      </c>
      <c r="AW426" s="94"/>
      <c r="AX426" s="94"/>
      <c r="AY426" s="94"/>
      <c r="AZ426" s="94"/>
      <c r="BA426" s="94"/>
      <c r="BB426" s="106"/>
      <c r="BC426" s="94"/>
      <c r="BD426" s="94"/>
      <c r="BE426" s="94"/>
      <c r="BF426" s="95"/>
      <c r="BG426" s="94"/>
      <c r="BH426" s="94"/>
      <c r="BI426" s="94"/>
      <c r="BJ426" s="94"/>
      <c r="BK426" s="94"/>
      <c r="BL426" s="106"/>
      <c r="BM426" s="94"/>
      <c r="BN426" s="94"/>
      <c r="BO426" s="94"/>
      <c r="BP426" s="95"/>
      <c r="BQ426" s="2"/>
      <c r="BR426" s="2"/>
      <c r="BS426" s="2"/>
    </row>
    <row r="427" spans="1:71" x14ac:dyDescent="0.35">
      <c r="A427" s="2"/>
      <c r="B427" s="2"/>
      <c r="C427" s="42" t="s">
        <v>251</v>
      </c>
      <c r="D427" s="109">
        <f t="shared" si="515"/>
        <v>2.9725423867051431E-2</v>
      </c>
      <c r="E427" s="109">
        <f t="shared" si="495"/>
        <v>3.9260196015702249E-2</v>
      </c>
      <c r="F427" s="109">
        <f t="shared" si="496"/>
        <v>5.0870187491935816E-2</v>
      </c>
      <c r="G427" s="109">
        <f t="shared" si="497"/>
        <v>7.4266846858416113E-2</v>
      </c>
      <c r="H427" s="109">
        <f t="shared" si="498"/>
        <v>8.5905609374952355E-2</v>
      </c>
      <c r="I427" s="110">
        <f t="shared" si="499"/>
        <v>1.5566258949188097E-4</v>
      </c>
      <c r="J427" s="109">
        <f t="shared" si="500"/>
        <v>2.3759789408975171E-4</v>
      </c>
      <c r="K427" s="109">
        <f t="shared" si="501"/>
        <v>5.6602094909215033E-4</v>
      </c>
      <c r="L427" s="109">
        <f t="shared" si="502"/>
        <v>1.603408594297839E-3</v>
      </c>
      <c r="M427" s="111">
        <f t="shared" si="503"/>
        <v>1.2169083173404578E-2</v>
      </c>
      <c r="N427" s="109">
        <f t="shared" si="504"/>
        <v>2.5203554786004181E-3</v>
      </c>
      <c r="O427" s="109">
        <f t="shared" si="505"/>
        <v>4.9796718986496813E-3</v>
      </c>
      <c r="P427" s="109">
        <f t="shared" si="506"/>
        <v>8.3017490852002312E-3</v>
      </c>
      <c r="Q427" s="109">
        <f t="shared" si="507"/>
        <v>1.5766021344724823E-2</v>
      </c>
      <c r="R427" s="109">
        <f t="shared" si="508"/>
        <v>0.10352385843240243</v>
      </c>
      <c r="S427" s="110">
        <f t="shared" si="509"/>
        <v>1.6901889667788523E-3</v>
      </c>
      <c r="T427" s="109">
        <f t="shared" si="510"/>
        <v>5.3766678017171353E-3</v>
      </c>
      <c r="U427" s="109">
        <f t="shared" si="511"/>
        <v>1.0633097351141015E-2</v>
      </c>
      <c r="V427" s="109">
        <f t="shared" si="512"/>
        <v>2.7570979219905607E-2</v>
      </c>
      <c r="W427" s="111">
        <f t="shared" si="513"/>
        <v>0.52487737361244569</v>
      </c>
      <c r="X427" s="115">
        <f t="shared" si="516"/>
        <v>1</v>
      </c>
      <c r="Y427" s="38" t="s">
        <v>551</v>
      </c>
      <c r="Z427" s="42" t="s">
        <v>251</v>
      </c>
      <c r="AA427" s="67">
        <f t="shared" ref="AA427:AT427" si="540">(SUMIF($AV$339:$AV$442,$Y427,AW$339:AW$442)*AA$337+IF($J205,SUMIF($AV$229:$AV$332,$Y317,AW$229:AW$332)*AA$227*(1-$D205/$J205),0))*$AU427</f>
        <v>12036.45</v>
      </c>
      <c r="AB427" s="67">
        <f t="shared" si="540"/>
        <v>15897.28</v>
      </c>
      <c r="AC427" s="67">
        <f t="shared" si="540"/>
        <v>20598.41</v>
      </c>
      <c r="AD427" s="67">
        <f t="shared" si="540"/>
        <v>30072.21</v>
      </c>
      <c r="AE427" s="67">
        <f t="shared" si="540"/>
        <v>34784.99</v>
      </c>
      <c r="AF427" s="76">
        <f t="shared" si="540"/>
        <v>63.031059999999997</v>
      </c>
      <c r="AG427" s="67">
        <f t="shared" si="540"/>
        <v>96.208389999999994</v>
      </c>
      <c r="AH427" s="67">
        <f t="shared" si="540"/>
        <v>229.19380000000001</v>
      </c>
      <c r="AI427" s="67">
        <f t="shared" si="540"/>
        <v>649.25390000000004</v>
      </c>
      <c r="AJ427" s="68">
        <f t="shared" si="540"/>
        <v>4927.518</v>
      </c>
      <c r="AK427" s="67">
        <f t="shared" si="540"/>
        <v>1020.545</v>
      </c>
      <c r="AL427" s="67">
        <f t="shared" si="540"/>
        <v>2016.374</v>
      </c>
      <c r="AM427" s="67">
        <f t="shared" si="540"/>
        <v>3361.5529999999999</v>
      </c>
      <c r="AN427" s="67">
        <f t="shared" si="540"/>
        <v>6383.9939999999997</v>
      </c>
      <c r="AO427" s="67">
        <f t="shared" si="540"/>
        <v>41918.99</v>
      </c>
      <c r="AP427" s="76">
        <f t="shared" si="540"/>
        <v>684.3931</v>
      </c>
      <c r="AQ427" s="67">
        <f t="shared" si="540"/>
        <v>2177.1260000000002</v>
      </c>
      <c r="AR427" s="67">
        <f t="shared" si="540"/>
        <v>4305.5649999999996</v>
      </c>
      <c r="AS427" s="67">
        <f t="shared" si="540"/>
        <v>11164.07</v>
      </c>
      <c r="AT427" s="68">
        <f t="shared" si="540"/>
        <v>212533.9</v>
      </c>
      <c r="AU427" s="216">
        <v>1</v>
      </c>
      <c r="AV427" s="104" t="s">
        <v>551</v>
      </c>
      <c r="AW427" s="94">
        <v>12036.45</v>
      </c>
      <c r="AX427" s="94">
        <v>15897.28</v>
      </c>
      <c r="AY427" s="94">
        <v>20598.41</v>
      </c>
      <c r="AZ427" s="94">
        <v>30072.21</v>
      </c>
      <c r="BA427" s="94">
        <v>34784.99</v>
      </c>
      <c r="BB427" s="106">
        <v>63.031059999999997</v>
      </c>
      <c r="BC427" s="94">
        <v>96.208389999999994</v>
      </c>
      <c r="BD427" s="94">
        <v>229.19380000000001</v>
      </c>
      <c r="BE427" s="94">
        <v>649.25390000000004</v>
      </c>
      <c r="BF427" s="95">
        <v>4927.518</v>
      </c>
      <c r="BG427" s="94">
        <v>1020.545</v>
      </c>
      <c r="BH427" s="94">
        <v>2016.374</v>
      </c>
      <c r="BI427" s="94">
        <v>3361.5529999999999</v>
      </c>
      <c r="BJ427" s="94">
        <v>6383.9939999999997</v>
      </c>
      <c r="BK427" s="94">
        <v>41918.99</v>
      </c>
      <c r="BL427" s="106">
        <v>684.3931</v>
      </c>
      <c r="BM427" s="94">
        <v>2177.1260000000002</v>
      </c>
      <c r="BN427" s="94">
        <v>4305.5649999999996</v>
      </c>
      <c r="BO427" s="94">
        <v>11164.07</v>
      </c>
      <c r="BP427" s="95">
        <v>212533.9</v>
      </c>
      <c r="BQ427" s="2"/>
      <c r="BR427" s="2"/>
      <c r="BS427" s="2"/>
    </row>
    <row r="428" spans="1:71" x14ac:dyDescent="0.35">
      <c r="A428" s="2"/>
      <c r="B428" s="2"/>
      <c r="C428" s="42" t="s">
        <v>253</v>
      </c>
      <c r="D428" s="109">
        <f t="shared" si="515"/>
        <v>2.9725423867051431E-2</v>
      </c>
      <c r="E428" s="109">
        <f t="shared" si="495"/>
        <v>3.9260196015702256E-2</v>
      </c>
      <c r="F428" s="109">
        <f t="shared" si="496"/>
        <v>5.0870187491935816E-2</v>
      </c>
      <c r="G428" s="109">
        <f t="shared" si="497"/>
        <v>7.4266846858416113E-2</v>
      </c>
      <c r="H428" s="109">
        <f t="shared" si="498"/>
        <v>8.5905609374952355E-2</v>
      </c>
      <c r="I428" s="110">
        <f t="shared" si="499"/>
        <v>1.5566258949188097E-4</v>
      </c>
      <c r="J428" s="109">
        <f t="shared" si="500"/>
        <v>2.3759789408975168E-4</v>
      </c>
      <c r="K428" s="109">
        <f t="shared" si="501"/>
        <v>5.6602094909215033E-4</v>
      </c>
      <c r="L428" s="109">
        <f t="shared" si="502"/>
        <v>1.6034085942978392E-3</v>
      </c>
      <c r="M428" s="111">
        <f t="shared" si="503"/>
        <v>1.2169083173404578E-2</v>
      </c>
      <c r="N428" s="109">
        <f t="shared" si="504"/>
        <v>2.5203554786004181E-3</v>
      </c>
      <c r="O428" s="109">
        <f t="shared" si="505"/>
        <v>4.9796718986496822E-3</v>
      </c>
      <c r="P428" s="109">
        <f t="shared" si="506"/>
        <v>8.3017490852002312E-3</v>
      </c>
      <c r="Q428" s="109">
        <f t="shared" si="507"/>
        <v>1.5766021344724823E-2</v>
      </c>
      <c r="R428" s="109">
        <f t="shared" si="508"/>
        <v>0.10352385843240243</v>
      </c>
      <c r="S428" s="110">
        <f t="shared" si="509"/>
        <v>1.6901889667788523E-3</v>
      </c>
      <c r="T428" s="109">
        <f t="shared" si="510"/>
        <v>5.3766678017171362E-3</v>
      </c>
      <c r="U428" s="109">
        <f t="shared" si="511"/>
        <v>1.0633097351141015E-2</v>
      </c>
      <c r="V428" s="109">
        <f t="shared" si="512"/>
        <v>2.7570979219905607E-2</v>
      </c>
      <c r="W428" s="111">
        <f t="shared" si="513"/>
        <v>0.52487737361244569</v>
      </c>
      <c r="X428" s="115">
        <f t="shared" si="516"/>
        <v>1</v>
      </c>
      <c r="Y428" s="38" t="s">
        <v>551</v>
      </c>
      <c r="Z428" s="42" t="s">
        <v>253</v>
      </c>
      <c r="AA428" s="67">
        <f t="shared" ref="AA428:AT428" si="541">(SUMIF($AV$339:$AV$442,$Y428,AW$339:AW$442)*AA$337+IF($J206,SUMIF($AV$229:$AV$332,$Y318,AW$229:AW$332)*AA$227*(1-$D206/$J206),0))*$AU428</f>
        <v>1.2036450000000001</v>
      </c>
      <c r="AB428" s="67">
        <f t="shared" si="541"/>
        <v>1.5897280000000003</v>
      </c>
      <c r="AC428" s="67">
        <f t="shared" si="541"/>
        <v>2.059841</v>
      </c>
      <c r="AD428" s="67">
        <f t="shared" si="541"/>
        <v>3.0072209999999999</v>
      </c>
      <c r="AE428" s="67">
        <f t="shared" si="541"/>
        <v>3.4784989999999998</v>
      </c>
      <c r="AF428" s="76">
        <f t="shared" si="541"/>
        <v>6.3031060000000002E-3</v>
      </c>
      <c r="AG428" s="67">
        <f t="shared" si="541"/>
        <v>9.6208389999999991E-3</v>
      </c>
      <c r="AH428" s="67">
        <f t="shared" si="541"/>
        <v>2.2919380000000003E-2</v>
      </c>
      <c r="AI428" s="67">
        <f t="shared" si="541"/>
        <v>6.4925390000000013E-2</v>
      </c>
      <c r="AJ428" s="68">
        <f t="shared" si="541"/>
        <v>0.49275180000000002</v>
      </c>
      <c r="AK428" s="67">
        <f t="shared" si="541"/>
        <v>0.10205450000000001</v>
      </c>
      <c r="AL428" s="67">
        <f t="shared" si="541"/>
        <v>0.20163740000000002</v>
      </c>
      <c r="AM428" s="67">
        <f t="shared" si="541"/>
        <v>0.33615529999999999</v>
      </c>
      <c r="AN428" s="67">
        <f t="shared" si="541"/>
        <v>0.63839939999999995</v>
      </c>
      <c r="AO428" s="67">
        <f t="shared" si="541"/>
        <v>4.1918990000000003</v>
      </c>
      <c r="AP428" s="76">
        <f t="shared" si="541"/>
        <v>6.8439310000000003E-2</v>
      </c>
      <c r="AQ428" s="67">
        <f t="shared" si="541"/>
        <v>0.21771260000000003</v>
      </c>
      <c r="AR428" s="67">
        <f t="shared" si="541"/>
        <v>0.43055649999999995</v>
      </c>
      <c r="AS428" s="67">
        <f t="shared" si="541"/>
        <v>1.1164069999999999</v>
      </c>
      <c r="AT428" s="68">
        <f t="shared" si="541"/>
        <v>21.25339</v>
      </c>
      <c r="AU428" s="216">
        <v>1E-4</v>
      </c>
      <c r="AV428" s="104" t="s">
        <v>510</v>
      </c>
      <c r="AW428" s="94"/>
      <c r="AX428" s="94"/>
      <c r="AY428" s="94"/>
      <c r="AZ428" s="94"/>
      <c r="BA428" s="94"/>
      <c r="BB428" s="106"/>
      <c r="BC428" s="94"/>
      <c r="BD428" s="94"/>
      <c r="BE428" s="94"/>
      <c r="BF428" s="95"/>
      <c r="BG428" s="94"/>
      <c r="BH428" s="94"/>
      <c r="BI428" s="94"/>
      <c r="BJ428" s="94"/>
      <c r="BK428" s="94"/>
      <c r="BL428" s="106"/>
      <c r="BM428" s="94"/>
      <c r="BN428" s="94"/>
      <c r="BO428" s="94"/>
      <c r="BP428" s="95"/>
      <c r="BQ428" s="2"/>
      <c r="BR428" s="2"/>
      <c r="BS428" s="2"/>
    </row>
    <row r="429" spans="1:71" x14ac:dyDescent="0.35">
      <c r="A429" s="2"/>
      <c r="B429" s="2"/>
      <c r="C429" s="42" t="s">
        <v>255</v>
      </c>
      <c r="D429" s="109">
        <f t="shared" si="515"/>
        <v>0</v>
      </c>
      <c r="E429" s="109">
        <f t="shared" si="495"/>
        <v>0</v>
      </c>
      <c r="F429" s="109">
        <f t="shared" si="496"/>
        <v>0</v>
      </c>
      <c r="G429" s="109">
        <f t="shared" si="497"/>
        <v>0</v>
      </c>
      <c r="H429" s="109">
        <f t="shared" si="498"/>
        <v>0</v>
      </c>
      <c r="I429" s="110">
        <f t="shared" si="499"/>
        <v>0</v>
      </c>
      <c r="J429" s="109">
        <f t="shared" si="500"/>
        <v>0</v>
      </c>
      <c r="K429" s="109">
        <f t="shared" si="501"/>
        <v>0</v>
      </c>
      <c r="L429" s="109">
        <f t="shared" si="502"/>
        <v>0</v>
      </c>
      <c r="M429" s="111">
        <f t="shared" si="503"/>
        <v>0</v>
      </c>
      <c r="N429" s="109">
        <f t="shared" si="504"/>
        <v>0</v>
      </c>
      <c r="O429" s="109">
        <f t="shared" si="505"/>
        <v>0</v>
      </c>
      <c r="P429" s="109">
        <f t="shared" si="506"/>
        <v>0</v>
      </c>
      <c r="Q429" s="109">
        <f t="shared" si="507"/>
        <v>0</v>
      </c>
      <c r="R429" s="109">
        <f t="shared" si="508"/>
        <v>0</v>
      </c>
      <c r="S429" s="110">
        <f t="shared" si="509"/>
        <v>0</v>
      </c>
      <c r="T429" s="109">
        <f t="shared" si="510"/>
        <v>0</v>
      </c>
      <c r="U429" s="109">
        <f t="shared" si="511"/>
        <v>0</v>
      </c>
      <c r="V429" s="109">
        <f t="shared" si="512"/>
        <v>0</v>
      </c>
      <c r="W429" s="111">
        <f t="shared" si="513"/>
        <v>0</v>
      </c>
      <c r="X429" s="115">
        <f t="shared" si="516"/>
        <v>0</v>
      </c>
      <c r="Y429" s="38" t="s">
        <v>552</v>
      </c>
      <c r="Z429" s="42" t="s">
        <v>255</v>
      </c>
      <c r="AA429" s="67">
        <f t="shared" ref="AA429:AT429" si="542">(SUMIF($AV$339:$AV$442,$Y429,AW$339:AW$442)*AA$337+IF($J207,SUMIF($AV$229:$AV$332,$Y319,AW$229:AW$332)*AA$227*(1-$D207/$J207),0))*$AU429</f>
        <v>0</v>
      </c>
      <c r="AB429" s="67">
        <f t="shared" si="542"/>
        <v>0</v>
      </c>
      <c r="AC429" s="67">
        <f t="shared" si="542"/>
        <v>0</v>
      </c>
      <c r="AD429" s="67">
        <f t="shared" si="542"/>
        <v>0</v>
      </c>
      <c r="AE429" s="67">
        <f t="shared" si="542"/>
        <v>0</v>
      </c>
      <c r="AF429" s="76">
        <f t="shared" si="542"/>
        <v>0</v>
      </c>
      <c r="AG429" s="67">
        <f t="shared" si="542"/>
        <v>0</v>
      </c>
      <c r="AH429" s="67">
        <f t="shared" si="542"/>
        <v>0</v>
      </c>
      <c r="AI429" s="67">
        <f t="shared" si="542"/>
        <v>0</v>
      </c>
      <c r="AJ429" s="68">
        <f t="shared" si="542"/>
        <v>0</v>
      </c>
      <c r="AK429" s="67">
        <f t="shared" si="542"/>
        <v>0</v>
      </c>
      <c r="AL429" s="67">
        <f t="shared" si="542"/>
        <v>0</v>
      </c>
      <c r="AM429" s="67">
        <f t="shared" si="542"/>
        <v>0</v>
      </c>
      <c r="AN429" s="67">
        <f t="shared" si="542"/>
        <v>0</v>
      </c>
      <c r="AO429" s="67">
        <f t="shared" si="542"/>
        <v>0</v>
      </c>
      <c r="AP429" s="76">
        <f t="shared" si="542"/>
        <v>0</v>
      </c>
      <c r="AQ429" s="67">
        <f t="shared" si="542"/>
        <v>0</v>
      </c>
      <c r="AR429" s="67">
        <f t="shared" si="542"/>
        <v>0</v>
      </c>
      <c r="AS429" s="67">
        <f t="shared" si="542"/>
        <v>0</v>
      </c>
      <c r="AT429" s="68">
        <f t="shared" si="542"/>
        <v>0</v>
      </c>
      <c r="AU429" s="216">
        <v>1</v>
      </c>
      <c r="AV429" s="104" t="s">
        <v>552</v>
      </c>
      <c r="AW429" s="94"/>
      <c r="AX429" s="94"/>
      <c r="AY429" s="94"/>
      <c r="AZ429" s="94"/>
      <c r="BA429" s="94"/>
      <c r="BB429" s="106"/>
      <c r="BC429" s="94"/>
      <c r="BD429" s="94"/>
      <c r="BE429" s="94"/>
      <c r="BF429" s="95"/>
      <c r="BG429" s="94"/>
      <c r="BH429" s="94"/>
      <c r="BI429" s="94"/>
      <c r="BJ429" s="94"/>
      <c r="BK429" s="94"/>
      <c r="BL429" s="106"/>
      <c r="BM429" s="94"/>
      <c r="BN429" s="94"/>
      <c r="BO429" s="94"/>
      <c r="BP429" s="95"/>
      <c r="BQ429" s="2"/>
      <c r="BR429" s="2"/>
      <c r="BS429" s="2"/>
    </row>
    <row r="430" spans="1:71" x14ac:dyDescent="0.35">
      <c r="A430" s="2"/>
      <c r="B430" s="2"/>
      <c r="C430" s="42" t="s">
        <v>257</v>
      </c>
      <c r="D430" s="109">
        <f t="shared" si="515"/>
        <v>3.7933185546471328E-2</v>
      </c>
      <c r="E430" s="109">
        <f t="shared" si="495"/>
        <v>6.4549469771126439E-2</v>
      </c>
      <c r="F430" s="109">
        <f t="shared" si="496"/>
        <v>7.5231985115605887E-2</v>
      </c>
      <c r="G430" s="109">
        <f t="shared" si="497"/>
        <v>0.11571365948235808</v>
      </c>
      <c r="H430" s="109">
        <f t="shared" si="498"/>
        <v>0.11290431391629359</v>
      </c>
      <c r="I430" s="110">
        <f t="shared" si="499"/>
        <v>0</v>
      </c>
      <c r="J430" s="109">
        <f t="shared" si="500"/>
        <v>2.7389002221048865E-4</v>
      </c>
      <c r="K430" s="109">
        <f t="shared" si="501"/>
        <v>1.1298253087546285E-3</v>
      </c>
      <c r="L430" s="109">
        <f t="shared" si="502"/>
        <v>2.1223466187887336E-3</v>
      </c>
      <c r="M430" s="111">
        <f t="shared" si="503"/>
        <v>1.8033288712591713E-2</v>
      </c>
      <c r="N430" s="109">
        <f t="shared" si="504"/>
        <v>3.9414645712119922E-3</v>
      </c>
      <c r="O430" s="109">
        <f t="shared" si="505"/>
        <v>8.5194194200243177E-3</v>
      </c>
      <c r="P430" s="109">
        <f t="shared" si="506"/>
        <v>1.4463035091465536E-2</v>
      </c>
      <c r="Q430" s="109">
        <f t="shared" si="507"/>
        <v>2.2804386638169916E-2</v>
      </c>
      <c r="R430" s="109">
        <f t="shared" si="508"/>
        <v>8.4825354344006912E-2</v>
      </c>
      <c r="S430" s="110">
        <f t="shared" si="509"/>
        <v>2.6444088541901912E-3</v>
      </c>
      <c r="T430" s="109">
        <f t="shared" si="510"/>
        <v>7.0132467017348142E-3</v>
      </c>
      <c r="U430" s="109">
        <f t="shared" si="511"/>
        <v>2.3752651171912248E-2</v>
      </c>
      <c r="V430" s="109">
        <f t="shared" si="512"/>
        <v>3.8266167616303796E-2</v>
      </c>
      <c r="W430" s="111">
        <f t="shared" si="513"/>
        <v>0.36587790109677948</v>
      </c>
      <c r="X430" s="115">
        <f t="shared" si="516"/>
        <v>1</v>
      </c>
      <c r="Y430" s="38" t="s">
        <v>554</v>
      </c>
      <c r="Z430" s="42" t="s">
        <v>257</v>
      </c>
      <c r="AA430" s="67">
        <f t="shared" ref="AA430:AT430" si="543">(SUMIF($AV$339:$AV$442,$Y430,AW$339:AW$442)*AA$337+IF($J208,SUMIF($AV$229:$AV$332,$Y320,AW$229:AW$332)*AA$227*(1-$D208/$J208),0))*$AU430</f>
        <v>4.1659260000000004E-2</v>
      </c>
      <c r="AB430" s="67">
        <f t="shared" si="543"/>
        <v>7.088999E-2</v>
      </c>
      <c r="AC430" s="67">
        <f t="shared" si="543"/>
        <v>8.2621820000000012E-2</v>
      </c>
      <c r="AD430" s="67">
        <f t="shared" si="543"/>
        <v>0.1270799</v>
      </c>
      <c r="AE430" s="67">
        <f t="shared" si="543"/>
        <v>0.1239946</v>
      </c>
      <c r="AF430" s="76">
        <f t="shared" si="543"/>
        <v>0</v>
      </c>
      <c r="AG430" s="67">
        <f t="shared" si="543"/>
        <v>3.007935E-4</v>
      </c>
      <c r="AH430" s="67">
        <f t="shared" si="543"/>
        <v>1.240805E-3</v>
      </c>
      <c r="AI430" s="67">
        <f t="shared" si="543"/>
        <v>2.330819E-3</v>
      </c>
      <c r="AJ430" s="68">
        <f t="shared" si="543"/>
        <v>1.9804650000000004E-2</v>
      </c>
      <c r="AK430" s="67">
        <f t="shared" si="543"/>
        <v>4.3286240000000005E-3</v>
      </c>
      <c r="AL430" s="67">
        <f t="shared" si="543"/>
        <v>9.3562590000000005E-3</v>
      </c>
      <c r="AM430" s="67">
        <f t="shared" si="543"/>
        <v>1.5883700000000001E-2</v>
      </c>
      <c r="AN430" s="67">
        <f t="shared" si="543"/>
        <v>2.5044400000000001E-2</v>
      </c>
      <c r="AO430" s="67">
        <f t="shared" si="543"/>
        <v>9.3157520000000008E-2</v>
      </c>
      <c r="AP430" s="76">
        <f t="shared" si="543"/>
        <v>2.9041620000000005E-3</v>
      </c>
      <c r="AQ430" s="67">
        <f t="shared" si="543"/>
        <v>7.7021390000000002E-3</v>
      </c>
      <c r="AR430" s="67">
        <f t="shared" si="543"/>
        <v>2.6085809999999997E-2</v>
      </c>
      <c r="AS430" s="67">
        <f t="shared" si="543"/>
        <v>4.2024950000000005E-2</v>
      </c>
      <c r="AT430" s="68">
        <f t="shared" si="543"/>
        <v>0.40181709999999998</v>
      </c>
      <c r="AU430" s="216">
        <v>1E-4</v>
      </c>
      <c r="AV430" s="104" t="s">
        <v>553</v>
      </c>
      <c r="AW430" s="94"/>
      <c r="AX430" s="94"/>
      <c r="AY430" s="94"/>
      <c r="AZ430" s="94"/>
      <c r="BA430" s="94"/>
      <c r="BB430" s="106"/>
      <c r="BC430" s="94"/>
      <c r="BD430" s="94"/>
      <c r="BE430" s="94"/>
      <c r="BF430" s="95"/>
      <c r="BG430" s="94"/>
      <c r="BH430" s="94"/>
      <c r="BI430" s="94"/>
      <c r="BJ430" s="94"/>
      <c r="BK430" s="94"/>
      <c r="BL430" s="106"/>
      <c r="BM430" s="94"/>
      <c r="BN430" s="94"/>
      <c r="BO430" s="94"/>
      <c r="BP430" s="95"/>
      <c r="BQ430" s="2"/>
      <c r="BR430" s="2"/>
      <c r="BS430" s="2"/>
    </row>
    <row r="431" spans="1:71" x14ac:dyDescent="0.35">
      <c r="A431" s="2"/>
      <c r="B431" s="2"/>
      <c r="C431" s="42" t="s">
        <v>259</v>
      </c>
      <c r="D431" s="109">
        <f t="shared" si="515"/>
        <v>3.7933185546471321E-2</v>
      </c>
      <c r="E431" s="109">
        <f t="shared" si="495"/>
        <v>6.4549469771126425E-2</v>
      </c>
      <c r="F431" s="109">
        <f t="shared" si="496"/>
        <v>7.5231985115605873E-2</v>
      </c>
      <c r="G431" s="109">
        <f t="shared" si="497"/>
        <v>0.11571365948235807</v>
      </c>
      <c r="H431" s="109">
        <f t="shared" si="498"/>
        <v>0.11290431391629357</v>
      </c>
      <c r="I431" s="110">
        <f t="shared" si="499"/>
        <v>0</v>
      </c>
      <c r="J431" s="109">
        <f t="shared" si="500"/>
        <v>2.738900222104886E-4</v>
      </c>
      <c r="K431" s="109">
        <f t="shared" si="501"/>
        <v>1.1298253087546283E-3</v>
      </c>
      <c r="L431" s="109">
        <f t="shared" si="502"/>
        <v>2.1223466187887331E-3</v>
      </c>
      <c r="M431" s="111">
        <f t="shared" si="503"/>
        <v>1.8033288712591706E-2</v>
      </c>
      <c r="N431" s="109">
        <f t="shared" si="504"/>
        <v>3.9414645712119913E-3</v>
      </c>
      <c r="O431" s="109">
        <f t="shared" si="505"/>
        <v>8.519419420024316E-3</v>
      </c>
      <c r="P431" s="109">
        <f t="shared" si="506"/>
        <v>1.4463035091465532E-2</v>
      </c>
      <c r="Q431" s="109">
        <f t="shared" si="507"/>
        <v>2.2804386638169909E-2</v>
      </c>
      <c r="R431" s="109">
        <f t="shared" si="508"/>
        <v>8.4825354344006898E-2</v>
      </c>
      <c r="S431" s="110">
        <f t="shared" si="509"/>
        <v>2.6444088541901908E-3</v>
      </c>
      <c r="T431" s="109">
        <f t="shared" si="510"/>
        <v>7.0132467017348134E-3</v>
      </c>
      <c r="U431" s="109">
        <f t="shared" si="511"/>
        <v>2.3752651171912244E-2</v>
      </c>
      <c r="V431" s="109">
        <f t="shared" si="512"/>
        <v>3.8266167616303789E-2</v>
      </c>
      <c r="W431" s="111">
        <f t="shared" si="513"/>
        <v>0.36587790109677942</v>
      </c>
      <c r="X431" s="115">
        <f t="shared" si="516"/>
        <v>0.99999999999999989</v>
      </c>
      <c r="Y431" s="38" t="s">
        <v>554</v>
      </c>
      <c r="Z431" s="42" t="s">
        <v>259</v>
      </c>
      <c r="AA431" s="67">
        <f t="shared" ref="AA431:AT431" si="544">(SUMIF($AV$339:$AV$442,$Y431,AW$339:AW$442)*AA$337+IF($J209,SUMIF($AV$229:$AV$332,$Y321,AW$229:AW$332)*AA$227*(1-$D209/$J209),0))*$AU431</f>
        <v>416.5926</v>
      </c>
      <c r="AB431" s="67">
        <f t="shared" si="544"/>
        <v>708.8999</v>
      </c>
      <c r="AC431" s="67">
        <f t="shared" si="544"/>
        <v>826.21820000000002</v>
      </c>
      <c r="AD431" s="67">
        <f t="shared" si="544"/>
        <v>1270.799</v>
      </c>
      <c r="AE431" s="67">
        <f t="shared" si="544"/>
        <v>1239.9459999999999</v>
      </c>
      <c r="AF431" s="76">
        <f t="shared" si="544"/>
        <v>0</v>
      </c>
      <c r="AG431" s="67">
        <f t="shared" si="544"/>
        <v>3.0079349999999998</v>
      </c>
      <c r="AH431" s="67">
        <f t="shared" si="544"/>
        <v>12.408049999999999</v>
      </c>
      <c r="AI431" s="67">
        <f t="shared" si="544"/>
        <v>23.30819</v>
      </c>
      <c r="AJ431" s="68">
        <f t="shared" si="544"/>
        <v>198.04650000000001</v>
      </c>
      <c r="AK431" s="67">
        <f t="shared" si="544"/>
        <v>43.286239999999999</v>
      </c>
      <c r="AL431" s="67">
        <f t="shared" si="544"/>
        <v>93.56259</v>
      </c>
      <c r="AM431" s="67">
        <f t="shared" si="544"/>
        <v>158.83699999999999</v>
      </c>
      <c r="AN431" s="67">
        <f t="shared" si="544"/>
        <v>250.44399999999999</v>
      </c>
      <c r="AO431" s="67">
        <f t="shared" si="544"/>
        <v>931.5752</v>
      </c>
      <c r="AP431" s="76">
        <f t="shared" si="544"/>
        <v>29.041620000000002</v>
      </c>
      <c r="AQ431" s="67">
        <f t="shared" si="544"/>
        <v>77.021389999999997</v>
      </c>
      <c r="AR431" s="67">
        <f t="shared" si="544"/>
        <v>260.85809999999998</v>
      </c>
      <c r="AS431" s="67">
        <f t="shared" si="544"/>
        <v>420.24950000000001</v>
      </c>
      <c r="AT431" s="68">
        <f t="shared" si="544"/>
        <v>4018.1709999999998</v>
      </c>
      <c r="AU431" s="216">
        <v>1</v>
      </c>
      <c r="AV431" s="104" t="s">
        <v>554</v>
      </c>
      <c r="AW431" s="94">
        <v>416.5926</v>
      </c>
      <c r="AX431" s="94">
        <v>708.8999</v>
      </c>
      <c r="AY431" s="94">
        <v>826.21820000000002</v>
      </c>
      <c r="AZ431" s="94">
        <v>1270.799</v>
      </c>
      <c r="BA431" s="94">
        <v>1239.9459999999999</v>
      </c>
      <c r="BB431" s="106">
        <v>0</v>
      </c>
      <c r="BC431" s="94">
        <v>3.0079349999999998</v>
      </c>
      <c r="BD431" s="94">
        <v>12.408049999999999</v>
      </c>
      <c r="BE431" s="94">
        <v>23.30819</v>
      </c>
      <c r="BF431" s="95">
        <v>198.04650000000001</v>
      </c>
      <c r="BG431" s="94">
        <v>43.286239999999999</v>
      </c>
      <c r="BH431" s="94">
        <v>93.56259</v>
      </c>
      <c r="BI431" s="94">
        <v>158.83699999999999</v>
      </c>
      <c r="BJ431" s="94">
        <v>250.44399999999999</v>
      </c>
      <c r="BK431" s="94">
        <v>931.5752</v>
      </c>
      <c r="BL431" s="106">
        <v>29.041620000000002</v>
      </c>
      <c r="BM431" s="94">
        <v>77.021389999999997</v>
      </c>
      <c r="BN431" s="94">
        <v>260.85809999999998</v>
      </c>
      <c r="BO431" s="94">
        <v>420.24950000000001</v>
      </c>
      <c r="BP431" s="95">
        <v>4018.1709999999998</v>
      </c>
      <c r="BQ431" s="2"/>
      <c r="BR431" s="2"/>
      <c r="BS431" s="2"/>
    </row>
    <row r="432" spans="1:71" x14ac:dyDescent="0.35">
      <c r="A432" s="2"/>
      <c r="B432" s="2"/>
      <c r="C432" s="42" t="s">
        <v>261</v>
      </c>
      <c r="D432" s="109">
        <f t="shared" si="515"/>
        <v>1.98855192340982E-2</v>
      </c>
      <c r="E432" s="109">
        <f t="shared" si="495"/>
        <v>4.1560678068116537E-2</v>
      </c>
      <c r="F432" s="109">
        <f t="shared" si="496"/>
        <v>7.0862624539417496E-2</v>
      </c>
      <c r="G432" s="109">
        <f t="shared" si="497"/>
        <v>0.12754932176910891</v>
      </c>
      <c r="H432" s="109">
        <f t="shared" si="498"/>
        <v>0.16247300722898153</v>
      </c>
      <c r="I432" s="110">
        <f t="shared" si="499"/>
        <v>0</v>
      </c>
      <c r="J432" s="109">
        <f t="shared" si="500"/>
        <v>3.4723548169851326E-4</v>
      </c>
      <c r="K432" s="109">
        <f t="shared" si="501"/>
        <v>1.5478551456281608E-4</v>
      </c>
      <c r="L432" s="109">
        <f t="shared" si="502"/>
        <v>3.3126864143488404E-3</v>
      </c>
      <c r="M432" s="111">
        <f t="shared" si="503"/>
        <v>2.5381705519946143E-2</v>
      </c>
      <c r="N432" s="109">
        <f t="shared" si="504"/>
        <v>1.7725783543532496E-3</v>
      </c>
      <c r="O432" s="109">
        <f t="shared" si="505"/>
        <v>4.5279941315821233E-3</v>
      </c>
      <c r="P432" s="109">
        <f t="shared" si="506"/>
        <v>4.3081376817800596E-3</v>
      </c>
      <c r="Q432" s="109">
        <f t="shared" si="507"/>
        <v>1.2024884382350977E-2</v>
      </c>
      <c r="R432" s="109">
        <f t="shared" si="508"/>
        <v>0.15832399550104104</v>
      </c>
      <c r="S432" s="110">
        <f t="shared" si="509"/>
        <v>0</v>
      </c>
      <c r="T432" s="109">
        <f t="shared" si="510"/>
        <v>1.7721717299813453E-4</v>
      </c>
      <c r="U432" s="109">
        <f t="shared" si="511"/>
        <v>2.7094222313629266E-3</v>
      </c>
      <c r="V432" s="109">
        <f t="shared" si="512"/>
        <v>1.6875913139172315E-2</v>
      </c>
      <c r="W432" s="111">
        <f t="shared" si="513"/>
        <v>0.34775229363508003</v>
      </c>
      <c r="X432" s="115">
        <f t="shared" si="516"/>
        <v>0.99999999999999978</v>
      </c>
      <c r="Y432" s="38" t="s">
        <v>556</v>
      </c>
      <c r="Z432" s="42" t="s">
        <v>261</v>
      </c>
      <c r="AA432" s="67">
        <f t="shared" ref="AA432:AT432" si="545">(SUMIF($AV$339:$AV$442,$Y432,AW$339:AW$442)*AA$337+IF($J210,SUMIF($AV$229:$AV$332,$Y322,AW$229:AW$332)*AA$227*(1-$D210/$J210),0))*$AU432</f>
        <v>2.3424969999999998E-3</v>
      </c>
      <c r="AB432" s="67">
        <f t="shared" si="545"/>
        <v>4.8958120000000003E-3</v>
      </c>
      <c r="AC432" s="67">
        <f t="shared" si="545"/>
        <v>8.3475560000000008E-3</v>
      </c>
      <c r="AD432" s="67">
        <f t="shared" si="545"/>
        <v>1.5025200000000002E-2</v>
      </c>
      <c r="AE432" s="67">
        <f t="shared" si="545"/>
        <v>1.9139179999999999E-2</v>
      </c>
      <c r="AF432" s="76">
        <f t="shared" si="545"/>
        <v>0</v>
      </c>
      <c r="AG432" s="67">
        <f t="shared" si="545"/>
        <v>4.0904040000000003E-5</v>
      </c>
      <c r="AH432" s="67">
        <f t="shared" si="545"/>
        <v>1.8233600000000001E-5</v>
      </c>
      <c r="AI432" s="67">
        <f t="shared" si="545"/>
        <v>3.9023159999999999E-4</v>
      </c>
      <c r="AJ432" s="68">
        <f t="shared" si="545"/>
        <v>2.9899430000000001E-3</v>
      </c>
      <c r="AK432" s="67">
        <f t="shared" si="545"/>
        <v>2.0880820000000001E-4</v>
      </c>
      <c r="AL432" s="67">
        <f t="shared" si="545"/>
        <v>5.3339380000000001E-4</v>
      </c>
      <c r="AM432" s="67">
        <f t="shared" si="545"/>
        <v>5.0749490000000003E-4</v>
      </c>
      <c r="AN432" s="67">
        <f t="shared" si="545"/>
        <v>1.416521E-3</v>
      </c>
      <c r="AO432" s="67">
        <f t="shared" si="545"/>
        <v>1.8650430000000003E-2</v>
      </c>
      <c r="AP432" s="76">
        <f t="shared" si="545"/>
        <v>0</v>
      </c>
      <c r="AQ432" s="67">
        <f t="shared" si="545"/>
        <v>2.0876030000000003E-5</v>
      </c>
      <c r="AR432" s="67">
        <f t="shared" si="545"/>
        <v>3.1916760000000002E-4</v>
      </c>
      <c r="AS432" s="67">
        <f t="shared" si="545"/>
        <v>1.9879680000000001E-3</v>
      </c>
      <c r="AT432" s="68">
        <f t="shared" si="545"/>
        <v>4.0964920000000002E-2</v>
      </c>
      <c r="AU432" s="216">
        <v>1E-4</v>
      </c>
      <c r="AV432" s="104" t="s">
        <v>555</v>
      </c>
      <c r="AW432" s="94"/>
      <c r="AX432" s="94"/>
      <c r="AY432" s="94"/>
      <c r="AZ432" s="94"/>
      <c r="BA432" s="94"/>
      <c r="BB432" s="106"/>
      <c r="BC432" s="94"/>
      <c r="BD432" s="94"/>
      <c r="BE432" s="94"/>
      <c r="BF432" s="95"/>
      <c r="BG432" s="94"/>
      <c r="BH432" s="94"/>
      <c r="BI432" s="94"/>
      <c r="BJ432" s="94"/>
      <c r="BK432" s="94"/>
      <c r="BL432" s="106"/>
      <c r="BM432" s="94"/>
      <c r="BN432" s="94"/>
      <c r="BO432" s="94"/>
      <c r="BP432" s="95"/>
      <c r="BQ432" s="2"/>
      <c r="BR432" s="2"/>
      <c r="BS432" s="2"/>
    </row>
    <row r="433" spans="1:71" x14ac:dyDescent="0.35">
      <c r="A433" s="2"/>
      <c r="B433" s="2"/>
      <c r="C433" s="42" t="s">
        <v>263</v>
      </c>
      <c r="D433" s="109">
        <f t="shared" si="515"/>
        <v>1.9885519234098203E-2</v>
      </c>
      <c r="E433" s="109">
        <f t="shared" si="495"/>
        <v>4.1560678068116544E-2</v>
      </c>
      <c r="F433" s="109">
        <f t="shared" si="496"/>
        <v>7.0862624539417496E-2</v>
      </c>
      <c r="G433" s="109">
        <f t="shared" si="497"/>
        <v>0.12754932176910894</v>
      </c>
      <c r="H433" s="109">
        <f t="shared" si="498"/>
        <v>0.16247300722898159</v>
      </c>
      <c r="I433" s="110">
        <f t="shared" si="499"/>
        <v>0</v>
      </c>
      <c r="J433" s="109">
        <f t="shared" si="500"/>
        <v>3.4723548169851332E-4</v>
      </c>
      <c r="K433" s="109">
        <f t="shared" si="501"/>
        <v>1.5478551456281611E-4</v>
      </c>
      <c r="L433" s="109">
        <f t="shared" si="502"/>
        <v>3.3126864143488408E-3</v>
      </c>
      <c r="M433" s="111">
        <f t="shared" si="503"/>
        <v>2.5381705519946146E-2</v>
      </c>
      <c r="N433" s="109">
        <f t="shared" si="504"/>
        <v>1.7725783543532498E-3</v>
      </c>
      <c r="O433" s="109">
        <f t="shared" si="505"/>
        <v>4.5279941315821241E-3</v>
      </c>
      <c r="P433" s="109">
        <f t="shared" si="506"/>
        <v>4.3081376817800604E-3</v>
      </c>
      <c r="Q433" s="109">
        <f t="shared" si="507"/>
        <v>1.202488438235098E-2</v>
      </c>
      <c r="R433" s="109">
        <f t="shared" si="508"/>
        <v>0.15832399550104106</v>
      </c>
      <c r="S433" s="110">
        <f t="shared" si="509"/>
        <v>0</v>
      </c>
      <c r="T433" s="109">
        <f t="shared" si="510"/>
        <v>1.7721717299813453E-4</v>
      </c>
      <c r="U433" s="109">
        <f t="shared" si="511"/>
        <v>2.709422231362927E-3</v>
      </c>
      <c r="V433" s="109">
        <f t="shared" si="512"/>
        <v>1.6875913139172319E-2</v>
      </c>
      <c r="W433" s="111">
        <f t="shared" si="513"/>
        <v>0.34775229363508009</v>
      </c>
      <c r="X433" s="115">
        <f t="shared" si="516"/>
        <v>1</v>
      </c>
      <c r="Y433" s="38" t="s">
        <v>556</v>
      </c>
      <c r="Z433" s="42" t="s">
        <v>263</v>
      </c>
      <c r="AA433" s="67">
        <f t="shared" ref="AA433:AT433" si="546">(SUMIF($AV$339:$AV$442,$Y433,AW$339:AW$442)*AA$337+IF($J211,SUMIF($AV$229:$AV$332,$Y323,AW$229:AW$332)*AA$227*(1-$D211/$J211),0))*$AU433</f>
        <v>23.424969999999998</v>
      </c>
      <c r="AB433" s="67">
        <f t="shared" si="546"/>
        <v>48.958120000000001</v>
      </c>
      <c r="AC433" s="67">
        <f t="shared" si="546"/>
        <v>83.475560000000002</v>
      </c>
      <c r="AD433" s="67">
        <f t="shared" si="546"/>
        <v>150.25200000000001</v>
      </c>
      <c r="AE433" s="67">
        <f t="shared" si="546"/>
        <v>191.39179999999999</v>
      </c>
      <c r="AF433" s="76">
        <f t="shared" si="546"/>
        <v>0</v>
      </c>
      <c r="AG433" s="67">
        <f t="shared" si="546"/>
        <v>0.40904040000000003</v>
      </c>
      <c r="AH433" s="67">
        <f t="shared" si="546"/>
        <v>0.182336</v>
      </c>
      <c r="AI433" s="67">
        <f t="shared" si="546"/>
        <v>3.9023159999999999</v>
      </c>
      <c r="AJ433" s="68">
        <f t="shared" si="546"/>
        <v>29.899429999999999</v>
      </c>
      <c r="AK433" s="67">
        <f t="shared" si="546"/>
        <v>2.088082</v>
      </c>
      <c r="AL433" s="67">
        <f t="shared" si="546"/>
        <v>5.3339379999999998</v>
      </c>
      <c r="AM433" s="67">
        <f t="shared" si="546"/>
        <v>5.0749490000000002</v>
      </c>
      <c r="AN433" s="67">
        <f t="shared" si="546"/>
        <v>14.16521</v>
      </c>
      <c r="AO433" s="67">
        <f t="shared" si="546"/>
        <v>186.5043</v>
      </c>
      <c r="AP433" s="76">
        <f t="shared" si="546"/>
        <v>0</v>
      </c>
      <c r="AQ433" s="67">
        <f t="shared" si="546"/>
        <v>0.20876030000000001</v>
      </c>
      <c r="AR433" s="67">
        <f t="shared" si="546"/>
        <v>3.1916760000000002</v>
      </c>
      <c r="AS433" s="67">
        <f t="shared" si="546"/>
        <v>19.87968</v>
      </c>
      <c r="AT433" s="68">
        <f t="shared" si="546"/>
        <v>409.64920000000001</v>
      </c>
      <c r="AU433" s="216">
        <v>1</v>
      </c>
      <c r="AV433" s="104" t="s">
        <v>556</v>
      </c>
      <c r="AW433" s="94">
        <v>23.424969999999998</v>
      </c>
      <c r="AX433" s="94">
        <v>48.958120000000001</v>
      </c>
      <c r="AY433" s="94">
        <v>83.475560000000002</v>
      </c>
      <c r="AZ433" s="94">
        <v>150.25200000000001</v>
      </c>
      <c r="BA433" s="94">
        <v>191.39179999999999</v>
      </c>
      <c r="BB433" s="106">
        <v>0</v>
      </c>
      <c r="BC433" s="94">
        <v>0.40904040000000003</v>
      </c>
      <c r="BD433" s="94">
        <v>0.182336</v>
      </c>
      <c r="BE433" s="94">
        <v>3.9023159999999999</v>
      </c>
      <c r="BF433" s="95">
        <v>29.899429999999999</v>
      </c>
      <c r="BG433" s="94">
        <v>2.088082</v>
      </c>
      <c r="BH433" s="94">
        <v>5.3339379999999998</v>
      </c>
      <c r="BI433" s="94">
        <v>5.0749490000000002</v>
      </c>
      <c r="BJ433" s="94">
        <v>14.16521</v>
      </c>
      <c r="BK433" s="94">
        <v>186.5043</v>
      </c>
      <c r="BL433" s="106">
        <v>0</v>
      </c>
      <c r="BM433" s="94">
        <v>0.20876030000000001</v>
      </c>
      <c r="BN433" s="94">
        <v>3.1916760000000002</v>
      </c>
      <c r="BO433" s="94">
        <v>19.87968</v>
      </c>
      <c r="BP433" s="95">
        <v>409.64920000000001</v>
      </c>
      <c r="BQ433" s="2"/>
      <c r="BR433" s="2"/>
      <c r="BS433" s="2"/>
    </row>
    <row r="434" spans="1:71" x14ac:dyDescent="0.35">
      <c r="A434" s="2"/>
      <c r="B434" s="2"/>
      <c r="C434" s="42" t="s">
        <v>265</v>
      </c>
      <c r="D434" s="109">
        <f t="shared" si="515"/>
        <v>2.8210390037112891E-2</v>
      </c>
      <c r="E434" s="109">
        <f t="shared" si="495"/>
        <v>3.6865330485485619E-2</v>
      </c>
      <c r="F434" s="109">
        <f t="shared" si="496"/>
        <v>6.8916464058617524E-2</v>
      </c>
      <c r="G434" s="109">
        <f t="shared" si="497"/>
        <v>9.8268275488910317E-2</v>
      </c>
      <c r="H434" s="109">
        <f t="shared" si="498"/>
        <v>0.12767941268058419</v>
      </c>
      <c r="I434" s="110">
        <f t="shared" si="499"/>
        <v>7.1285767104424178E-5</v>
      </c>
      <c r="J434" s="109">
        <f t="shared" si="500"/>
        <v>2.1679330092242983E-4</v>
      </c>
      <c r="K434" s="109">
        <f t="shared" si="501"/>
        <v>6.1362047762824126E-4</v>
      </c>
      <c r="L434" s="109">
        <f t="shared" si="502"/>
        <v>8.4544423128089016E-4</v>
      </c>
      <c r="M434" s="111">
        <f t="shared" si="503"/>
        <v>3.3150980014904588E-2</v>
      </c>
      <c r="N434" s="109">
        <f t="shared" si="504"/>
        <v>1.8653260110303473E-3</v>
      </c>
      <c r="O434" s="109">
        <f t="shared" si="505"/>
        <v>3.7013775217939588E-3</v>
      </c>
      <c r="P434" s="109">
        <f t="shared" si="506"/>
        <v>6.0632492079478332E-3</v>
      </c>
      <c r="Q434" s="109">
        <f t="shared" si="507"/>
        <v>1.1206751014406996E-2</v>
      </c>
      <c r="R434" s="109">
        <f t="shared" si="508"/>
        <v>9.3043385827733985E-2</v>
      </c>
      <c r="S434" s="110">
        <f t="shared" si="509"/>
        <v>2.8476209068116514E-4</v>
      </c>
      <c r="T434" s="109">
        <f t="shared" si="510"/>
        <v>3.7246360353617694E-4</v>
      </c>
      <c r="U434" s="109">
        <f t="shared" si="511"/>
        <v>1.720734325170112E-3</v>
      </c>
      <c r="V434" s="109">
        <f t="shared" si="512"/>
        <v>7.8176730586319229E-3</v>
      </c>
      <c r="W434" s="111">
        <f t="shared" si="513"/>
        <v>0.47908628079651633</v>
      </c>
      <c r="X434" s="115">
        <f t="shared" si="516"/>
        <v>0.99999999999999978</v>
      </c>
      <c r="Y434" s="38" t="s">
        <v>511</v>
      </c>
      <c r="Z434" s="42" t="s">
        <v>265</v>
      </c>
      <c r="AA434" s="67">
        <f t="shared" ref="AA434:AT434" si="547">(SUMIF($AV$339:$AV$442,$Y434,AW$339:AW$442)*AA$337+IF($J212,SUMIF($AV$229:$AV$332,$Y324,AW$229:AW$332)*AA$227*(1-$D212/$J212),0))*$AU434</f>
        <v>108.2276</v>
      </c>
      <c r="AB434" s="67">
        <f t="shared" si="547"/>
        <v>141.43180000000001</v>
      </c>
      <c r="AC434" s="67">
        <f t="shared" si="547"/>
        <v>264.39420000000001</v>
      </c>
      <c r="AD434" s="67">
        <f t="shared" si="547"/>
        <v>377.00080000000003</v>
      </c>
      <c r="AE434" s="67">
        <f t="shared" si="547"/>
        <v>489.83499999999998</v>
      </c>
      <c r="AF434" s="76">
        <f t="shared" si="547"/>
        <v>0.2734839</v>
      </c>
      <c r="AG434" s="67">
        <f t="shared" si="547"/>
        <v>0.83171550000000005</v>
      </c>
      <c r="AH434" s="67">
        <f t="shared" si="547"/>
        <v>2.3541210000000001</v>
      </c>
      <c r="AI434" s="67">
        <f t="shared" si="547"/>
        <v>3.2435</v>
      </c>
      <c r="AJ434" s="68">
        <f t="shared" si="547"/>
        <v>127.1819</v>
      </c>
      <c r="AK434" s="67">
        <f t="shared" si="547"/>
        <v>7.1562200000000002</v>
      </c>
      <c r="AL434" s="67">
        <f t="shared" si="547"/>
        <v>14.20013</v>
      </c>
      <c r="AM434" s="67">
        <f t="shared" si="547"/>
        <v>23.261320000000001</v>
      </c>
      <c r="AN434" s="67">
        <f t="shared" si="547"/>
        <v>42.994079999999997</v>
      </c>
      <c r="AO434" s="67">
        <f t="shared" si="547"/>
        <v>356.95580000000001</v>
      </c>
      <c r="AP434" s="76">
        <f t="shared" si="547"/>
        <v>1.0924739999999999</v>
      </c>
      <c r="AQ434" s="67">
        <f t="shared" si="547"/>
        <v>1.428936</v>
      </c>
      <c r="AR434" s="67">
        <f t="shared" si="547"/>
        <v>6.601502</v>
      </c>
      <c r="AS434" s="67">
        <f t="shared" si="547"/>
        <v>29.992069999999998</v>
      </c>
      <c r="AT434" s="68">
        <f t="shared" si="547"/>
        <v>1837.9880000000001</v>
      </c>
      <c r="AU434" s="216">
        <v>1</v>
      </c>
      <c r="AV434" s="104" t="s">
        <v>511</v>
      </c>
      <c r="AW434" s="94">
        <v>108.2276</v>
      </c>
      <c r="AX434" s="94">
        <v>141.43180000000001</v>
      </c>
      <c r="AY434" s="94">
        <v>264.39420000000001</v>
      </c>
      <c r="AZ434" s="94">
        <v>377.00080000000003</v>
      </c>
      <c r="BA434" s="94">
        <v>489.83499999999998</v>
      </c>
      <c r="BB434" s="106">
        <v>0.2734839</v>
      </c>
      <c r="BC434" s="94">
        <v>0.83171550000000005</v>
      </c>
      <c r="BD434" s="94">
        <v>2.3541210000000001</v>
      </c>
      <c r="BE434" s="94">
        <v>3.2435</v>
      </c>
      <c r="BF434" s="95">
        <v>127.1819</v>
      </c>
      <c r="BG434" s="94">
        <v>7.1562200000000002</v>
      </c>
      <c r="BH434" s="94">
        <v>14.20013</v>
      </c>
      <c r="BI434" s="94">
        <v>23.261320000000001</v>
      </c>
      <c r="BJ434" s="94">
        <v>42.994079999999997</v>
      </c>
      <c r="BK434" s="94">
        <v>356.95580000000001</v>
      </c>
      <c r="BL434" s="106">
        <v>1.0924739999999999</v>
      </c>
      <c r="BM434" s="94">
        <v>1.428936</v>
      </c>
      <c r="BN434" s="94">
        <v>6.601502</v>
      </c>
      <c r="BO434" s="94">
        <v>29.992069999999998</v>
      </c>
      <c r="BP434" s="95">
        <v>1837.9880000000001</v>
      </c>
      <c r="BQ434" s="2"/>
      <c r="BR434" s="2"/>
      <c r="BS434" s="2"/>
    </row>
    <row r="435" spans="1:71" x14ac:dyDescent="0.35">
      <c r="A435" s="2"/>
      <c r="B435" s="2"/>
      <c r="C435" s="42" t="s">
        <v>267</v>
      </c>
      <c r="D435" s="109">
        <f t="shared" si="515"/>
        <v>1.6624028321727012E-2</v>
      </c>
      <c r="E435" s="109">
        <f t="shared" si="495"/>
        <v>2.959347772285871E-2</v>
      </c>
      <c r="F435" s="109">
        <f t="shared" si="496"/>
        <v>5.0752832848912237E-2</v>
      </c>
      <c r="G435" s="109">
        <f t="shared" si="497"/>
        <v>0.10173079010694526</v>
      </c>
      <c r="H435" s="109">
        <f t="shared" si="498"/>
        <v>0.15171262179830694</v>
      </c>
      <c r="I435" s="110">
        <f t="shared" si="499"/>
        <v>3.9434206072463058E-5</v>
      </c>
      <c r="J435" s="109">
        <f t="shared" si="500"/>
        <v>2.2142215856167386E-4</v>
      </c>
      <c r="K435" s="109">
        <f t="shared" si="501"/>
        <v>6.8552861647398235E-4</v>
      </c>
      <c r="L435" s="109">
        <f t="shared" si="502"/>
        <v>8.0405404564675017E-4</v>
      </c>
      <c r="M435" s="111">
        <f t="shared" si="503"/>
        <v>1.66024412623118E-2</v>
      </c>
      <c r="N435" s="109">
        <f t="shared" si="504"/>
        <v>1.3816339087141896E-3</v>
      </c>
      <c r="O435" s="109">
        <f t="shared" si="505"/>
        <v>3.8012601686677741E-3</v>
      </c>
      <c r="P435" s="109">
        <f t="shared" si="506"/>
        <v>5.742675355618689E-3</v>
      </c>
      <c r="Q435" s="109">
        <f t="shared" si="507"/>
        <v>1.3521976682131226E-2</v>
      </c>
      <c r="R435" s="109">
        <f t="shared" si="508"/>
        <v>0.12737586475741763</v>
      </c>
      <c r="S435" s="110">
        <f t="shared" si="509"/>
        <v>5.8559000256801978E-4</v>
      </c>
      <c r="T435" s="109">
        <f t="shared" si="510"/>
        <v>1.7116576597317073E-3</v>
      </c>
      <c r="U435" s="109">
        <f t="shared" si="511"/>
        <v>4.8595312099576791E-3</v>
      </c>
      <c r="V435" s="109">
        <f t="shared" si="512"/>
        <v>1.6462940519210007E-2</v>
      </c>
      <c r="W435" s="111">
        <f t="shared" si="513"/>
        <v>0.45579023864816642</v>
      </c>
      <c r="X435" s="115">
        <f t="shared" si="516"/>
        <v>1.0000000000000002</v>
      </c>
      <c r="Y435" s="38" t="s">
        <v>512</v>
      </c>
      <c r="Z435" s="42" t="s">
        <v>267</v>
      </c>
      <c r="AA435" s="67">
        <f t="shared" ref="AA435:AT435" si="548">(SUMIF($AV$339:$AV$442,$Y435,AW$339:AW$442)*AA$337+IF($J213,SUMIF($AV$229:$AV$332,$Y325,AW$229:AW$332)*AA$227*(1-$D213/$J213),0))*$AU435</f>
        <v>3212.0549999999998</v>
      </c>
      <c r="AB435" s="67">
        <f t="shared" si="548"/>
        <v>5717.9809999999998</v>
      </c>
      <c r="AC435" s="67">
        <f t="shared" si="548"/>
        <v>9806.3410000000003</v>
      </c>
      <c r="AD435" s="67">
        <f t="shared" si="548"/>
        <v>19656.18</v>
      </c>
      <c r="AE435" s="67">
        <f t="shared" si="548"/>
        <v>29313.55</v>
      </c>
      <c r="AF435" s="76">
        <f t="shared" si="548"/>
        <v>7.619383</v>
      </c>
      <c r="AG435" s="67">
        <f t="shared" si="548"/>
        <v>42.78266</v>
      </c>
      <c r="AH435" s="67">
        <f t="shared" si="548"/>
        <v>132.4562</v>
      </c>
      <c r="AI435" s="67">
        <f t="shared" si="548"/>
        <v>155.35740000000001</v>
      </c>
      <c r="AJ435" s="68">
        <f t="shared" si="548"/>
        <v>3207.884</v>
      </c>
      <c r="AK435" s="67">
        <f t="shared" si="548"/>
        <v>266.95600000000002</v>
      </c>
      <c r="AL435" s="67">
        <f t="shared" si="548"/>
        <v>734.47040000000004</v>
      </c>
      <c r="AM435" s="67">
        <f t="shared" si="548"/>
        <v>1109.586</v>
      </c>
      <c r="AN435" s="67">
        <f t="shared" si="548"/>
        <v>2612.6840000000002</v>
      </c>
      <c r="AO435" s="67">
        <f t="shared" si="548"/>
        <v>24611.26</v>
      </c>
      <c r="AP435" s="76">
        <f t="shared" si="548"/>
        <v>113.1463</v>
      </c>
      <c r="AQ435" s="67">
        <f t="shared" si="548"/>
        <v>330.72239999999999</v>
      </c>
      <c r="AR435" s="67">
        <f t="shared" si="548"/>
        <v>938.947</v>
      </c>
      <c r="AS435" s="67">
        <f t="shared" si="548"/>
        <v>3180.93</v>
      </c>
      <c r="AT435" s="68">
        <f t="shared" si="548"/>
        <v>88066.7</v>
      </c>
      <c r="AU435" s="216">
        <v>1</v>
      </c>
      <c r="AV435" s="104" t="s">
        <v>512</v>
      </c>
      <c r="AW435" s="94">
        <v>3212.0549999999998</v>
      </c>
      <c r="AX435" s="94">
        <v>5717.9809999999998</v>
      </c>
      <c r="AY435" s="94">
        <v>9806.3410000000003</v>
      </c>
      <c r="AZ435" s="94">
        <v>19656.18</v>
      </c>
      <c r="BA435" s="94">
        <v>29313.55</v>
      </c>
      <c r="BB435" s="106">
        <v>7.619383</v>
      </c>
      <c r="BC435" s="94">
        <v>42.78266</v>
      </c>
      <c r="BD435" s="94">
        <v>132.4562</v>
      </c>
      <c r="BE435" s="94">
        <v>155.35740000000001</v>
      </c>
      <c r="BF435" s="95">
        <v>3207.884</v>
      </c>
      <c r="BG435" s="94">
        <v>266.95600000000002</v>
      </c>
      <c r="BH435" s="94">
        <v>734.47040000000004</v>
      </c>
      <c r="BI435" s="94">
        <v>1109.586</v>
      </c>
      <c r="BJ435" s="94">
        <v>2612.6840000000002</v>
      </c>
      <c r="BK435" s="94">
        <v>24611.26</v>
      </c>
      <c r="BL435" s="106">
        <v>113.1463</v>
      </c>
      <c r="BM435" s="94">
        <v>330.72239999999999</v>
      </c>
      <c r="BN435" s="94">
        <v>938.947</v>
      </c>
      <c r="BO435" s="94">
        <v>3180.93</v>
      </c>
      <c r="BP435" s="95">
        <v>88066.7</v>
      </c>
      <c r="BQ435" s="2"/>
      <c r="BR435" s="2"/>
      <c r="BS435" s="2"/>
    </row>
    <row r="436" spans="1:71" x14ac:dyDescent="0.35">
      <c r="A436" s="2"/>
      <c r="B436" s="2"/>
      <c r="C436" s="42" t="s">
        <v>269</v>
      </c>
      <c r="D436" s="109">
        <f t="shared" si="515"/>
        <v>7.4998430419827011E-2</v>
      </c>
      <c r="E436" s="109">
        <f t="shared" si="495"/>
        <v>9.0406918056657376E-2</v>
      </c>
      <c r="F436" s="109">
        <f t="shared" si="496"/>
        <v>0.10176504252830236</v>
      </c>
      <c r="G436" s="109">
        <f t="shared" si="497"/>
        <v>0.13126859868763627</v>
      </c>
      <c r="H436" s="109">
        <f t="shared" si="498"/>
        <v>0.15360824587934746</v>
      </c>
      <c r="I436" s="110">
        <f t="shared" si="499"/>
        <v>2.9367515514161888E-5</v>
      </c>
      <c r="J436" s="109">
        <f t="shared" si="500"/>
        <v>3.768234474449681E-4</v>
      </c>
      <c r="K436" s="109">
        <f t="shared" si="501"/>
        <v>1.0287192046213253E-3</v>
      </c>
      <c r="L436" s="109">
        <f t="shared" si="502"/>
        <v>4.0298926219368564E-3</v>
      </c>
      <c r="M436" s="111">
        <f t="shared" si="503"/>
        <v>1.4978996813294249E-2</v>
      </c>
      <c r="N436" s="109">
        <f t="shared" si="504"/>
        <v>3.8806384969308494E-3</v>
      </c>
      <c r="O436" s="109">
        <f t="shared" si="505"/>
        <v>5.0789054349452151E-3</v>
      </c>
      <c r="P436" s="109">
        <f t="shared" si="506"/>
        <v>8.9014757070189649E-3</v>
      </c>
      <c r="Q436" s="109">
        <f t="shared" si="507"/>
        <v>1.8830860936610905E-2</v>
      </c>
      <c r="R436" s="109">
        <f t="shared" si="508"/>
        <v>7.0630131322485315E-2</v>
      </c>
      <c r="S436" s="110">
        <f t="shared" si="509"/>
        <v>2.145027805628297E-3</v>
      </c>
      <c r="T436" s="109">
        <f t="shared" si="510"/>
        <v>8.9248873529322939E-3</v>
      </c>
      <c r="U436" s="109">
        <f t="shared" si="511"/>
        <v>5.7654673794485505E-3</v>
      </c>
      <c r="V436" s="109">
        <f t="shared" si="512"/>
        <v>1.2321532839627898E-2</v>
      </c>
      <c r="W436" s="111">
        <f t="shared" si="513"/>
        <v>0.29103003754978968</v>
      </c>
      <c r="X436" s="115">
        <f t="shared" si="516"/>
        <v>1</v>
      </c>
      <c r="Y436" s="38" t="s">
        <v>513</v>
      </c>
      <c r="Z436" s="42" t="s">
        <v>269</v>
      </c>
      <c r="AA436" s="67">
        <f t="shared" ref="AA436:AT436" si="549">(SUMIF($AV$339:$AV$442,$Y436,AW$339:AW$442)*AA$337+IF($J214,SUMIF($AV$229:$AV$332,$Y326,AW$229:AW$332)*AA$227*(1-$D214/$J214),0))*$AU436</f>
        <v>1920.1579999999999</v>
      </c>
      <c r="AB436" s="67">
        <f t="shared" si="549"/>
        <v>2314.6559999999999</v>
      </c>
      <c r="AC436" s="67">
        <f t="shared" si="549"/>
        <v>2605.4540000000002</v>
      </c>
      <c r="AD436" s="67">
        <f t="shared" si="549"/>
        <v>3360.8229999999999</v>
      </c>
      <c r="AE436" s="67">
        <f t="shared" si="549"/>
        <v>3932.777</v>
      </c>
      <c r="AF436" s="76">
        <f t="shared" si="549"/>
        <v>0.75188600000000005</v>
      </c>
      <c r="AG436" s="67">
        <f t="shared" si="549"/>
        <v>9.6476760000000006</v>
      </c>
      <c r="AH436" s="67">
        <f t="shared" si="549"/>
        <v>26.33793</v>
      </c>
      <c r="AI436" s="67">
        <f t="shared" si="549"/>
        <v>103.1759</v>
      </c>
      <c r="AJ436" s="68">
        <f t="shared" si="549"/>
        <v>383.50189999999998</v>
      </c>
      <c r="AK436" s="67">
        <f t="shared" si="549"/>
        <v>99.354600000000005</v>
      </c>
      <c r="AL436" s="67">
        <f t="shared" si="549"/>
        <v>130.0334</v>
      </c>
      <c r="AM436" s="67">
        <f t="shared" si="549"/>
        <v>227.90129999999999</v>
      </c>
      <c r="AN436" s="67">
        <f t="shared" si="549"/>
        <v>482.1198</v>
      </c>
      <c r="AO436" s="67">
        <f t="shared" si="549"/>
        <v>1808.318</v>
      </c>
      <c r="AP436" s="76">
        <f t="shared" si="549"/>
        <v>54.918379999999999</v>
      </c>
      <c r="AQ436" s="67">
        <f t="shared" si="549"/>
        <v>228.50069999999999</v>
      </c>
      <c r="AR436" s="67">
        <f t="shared" si="549"/>
        <v>147.6112</v>
      </c>
      <c r="AS436" s="67">
        <f t="shared" si="549"/>
        <v>315.46379999999999</v>
      </c>
      <c r="AT436" s="68">
        <f t="shared" si="549"/>
        <v>7451.1379999999999</v>
      </c>
      <c r="AU436" s="216">
        <v>1</v>
      </c>
      <c r="AV436" s="104" t="s">
        <v>513</v>
      </c>
      <c r="AW436" s="94">
        <v>1920.1579999999999</v>
      </c>
      <c r="AX436" s="94">
        <v>2314.6559999999999</v>
      </c>
      <c r="AY436" s="94">
        <v>2605.4540000000002</v>
      </c>
      <c r="AZ436" s="94">
        <v>3360.8229999999999</v>
      </c>
      <c r="BA436" s="94">
        <v>3932.777</v>
      </c>
      <c r="BB436" s="106">
        <v>0.75188600000000005</v>
      </c>
      <c r="BC436" s="94">
        <v>9.6476760000000006</v>
      </c>
      <c r="BD436" s="94">
        <v>26.33793</v>
      </c>
      <c r="BE436" s="94">
        <v>103.1759</v>
      </c>
      <c r="BF436" s="95">
        <v>383.50189999999998</v>
      </c>
      <c r="BG436" s="94">
        <v>99.354600000000005</v>
      </c>
      <c r="BH436" s="94">
        <v>130.0334</v>
      </c>
      <c r="BI436" s="94">
        <v>227.90129999999999</v>
      </c>
      <c r="BJ436" s="94">
        <v>482.1198</v>
      </c>
      <c r="BK436" s="94">
        <v>1808.318</v>
      </c>
      <c r="BL436" s="106">
        <v>54.918379999999999</v>
      </c>
      <c r="BM436" s="94">
        <v>228.50069999999999</v>
      </c>
      <c r="BN436" s="94">
        <v>147.6112</v>
      </c>
      <c r="BO436" s="94">
        <v>315.46379999999999</v>
      </c>
      <c r="BP436" s="95">
        <v>7451.1379999999999</v>
      </c>
      <c r="BQ436" s="2"/>
      <c r="BR436" s="2"/>
      <c r="BS436" s="2"/>
    </row>
    <row r="437" spans="1:71" x14ac:dyDescent="0.35">
      <c r="A437" s="2"/>
      <c r="B437" s="2"/>
      <c r="C437" s="42" t="s">
        <v>271</v>
      </c>
      <c r="D437" s="109">
        <f t="shared" si="515"/>
        <v>5.298415239511539E-3</v>
      </c>
      <c r="E437" s="109">
        <f t="shared" si="495"/>
        <v>2.1491134320987836E-3</v>
      </c>
      <c r="F437" s="109">
        <f t="shared" si="496"/>
        <v>1.0775585688209662E-3</v>
      </c>
      <c r="G437" s="109">
        <f t="shared" si="497"/>
        <v>3.4477520758162466E-3</v>
      </c>
      <c r="H437" s="109">
        <f t="shared" si="498"/>
        <v>3.3297401497214972E-3</v>
      </c>
      <c r="I437" s="110">
        <f t="shared" si="499"/>
        <v>0</v>
      </c>
      <c r="J437" s="109">
        <f t="shared" si="500"/>
        <v>0</v>
      </c>
      <c r="K437" s="109">
        <f t="shared" si="501"/>
        <v>0</v>
      </c>
      <c r="L437" s="109">
        <f t="shared" si="502"/>
        <v>0</v>
      </c>
      <c r="M437" s="111">
        <f t="shared" si="503"/>
        <v>0</v>
      </c>
      <c r="N437" s="109">
        <f t="shared" si="504"/>
        <v>4.3666903712622891E-2</v>
      </c>
      <c r="O437" s="109">
        <f t="shared" si="505"/>
        <v>0</v>
      </c>
      <c r="P437" s="109">
        <f t="shared" si="506"/>
        <v>8.9575348338190343E-3</v>
      </c>
      <c r="Q437" s="109">
        <f t="shared" si="507"/>
        <v>0</v>
      </c>
      <c r="R437" s="109">
        <f t="shared" si="508"/>
        <v>1.3042979669724187E-2</v>
      </c>
      <c r="S437" s="110">
        <f t="shared" si="509"/>
        <v>0</v>
      </c>
      <c r="T437" s="109">
        <f t="shared" si="510"/>
        <v>0</v>
      </c>
      <c r="U437" s="109">
        <f t="shared" si="511"/>
        <v>3.2598467242521106E-2</v>
      </c>
      <c r="V437" s="109">
        <f t="shared" si="512"/>
        <v>0</v>
      </c>
      <c r="W437" s="111">
        <f t="shared" si="513"/>
        <v>0.88643153507534378</v>
      </c>
      <c r="X437" s="115">
        <f t="shared" si="516"/>
        <v>1</v>
      </c>
      <c r="Y437" s="38" t="s">
        <v>557</v>
      </c>
      <c r="Z437" s="42" t="s">
        <v>271</v>
      </c>
      <c r="AA437" s="67">
        <f t="shared" ref="AA437:AT437" si="550">(SUMIF($AV$339:$AV$442,$Y437,AW$339:AW$442)*AA$337+IF($J215,SUMIF($AV$229:$AV$332,$Y327,AW$229:AW$332)*AA$227*(1-$D215/$J215),0))*$AU437</f>
        <v>2.0631650000000001</v>
      </c>
      <c r="AB437" s="67">
        <f t="shared" si="550"/>
        <v>0.83684939999999997</v>
      </c>
      <c r="AC437" s="67">
        <f t="shared" si="550"/>
        <v>0.41959360000000001</v>
      </c>
      <c r="AD437" s="67">
        <f t="shared" si="550"/>
        <v>1.34253</v>
      </c>
      <c r="AE437" s="67">
        <f t="shared" si="550"/>
        <v>1.2965770000000001</v>
      </c>
      <c r="AF437" s="76">
        <f t="shared" si="550"/>
        <v>0</v>
      </c>
      <c r="AG437" s="67">
        <f t="shared" si="550"/>
        <v>0</v>
      </c>
      <c r="AH437" s="67">
        <f t="shared" si="550"/>
        <v>0</v>
      </c>
      <c r="AI437" s="67">
        <f t="shared" si="550"/>
        <v>0</v>
      </c>
      <c r="AJ437" s="68">
        <f t="shared" si="550"/>
        <v>0</v>
      </c>
      <c r="AK437" s="67">
        <f t="shared" si="550"/>
        <v>17.003579999999999</v>
      </c>
      <c r="AL437" s="67">
        <f t="shared" si="550"/>
        <v>0</v>
      </c>
      <c r="AM437" s="67">
        <f t="shared" si="550"/>
        <v>3.488</v>
      </c>
      <c r="AN437" s="67">
        <f t="shared" si="550"/>
        <v>0</v>
      </c>
      <c r="AO437" s="67">
        <f t="shared" si="550"/>
        <v>5.078843</v>
      </c>
      <c r="AP437" s="76">
        <f t="shared" si="550"/>
        <v>0</v>
      </c>
      <c r="AQ437" s="67">
        <f t="shared" si="550"/>
        <v>0</v>
      </c>
      <c r="AR437" s="67">
        <f t="shared" si="550"/>
        <v>12.69361</v>
      </c>
      <c r="AS437" s="67">
        <f t="shared" si="550"/>
        <v>0</v>
      </c>
      <c r="AT437" s="68">
        <f t="shared" si="550"/>
        <v>345.17009999999999</v>
      </c>
      <c r="AU437" s="216">
        <v>1</v>
      </c>
      <c r="AV437" s="104" t="s">
        <v>557</v>
      </c>
      <c r="AW437" s="94">
        <v>2.0631650000000001</v>
      </c>
      <c r="AX437" s="94">
        <v>0.83684939999999997</v>
      </c>
      <c r="AY437" s="94">
        <v>0.41959360000000001</v>
      </c>
      <c r="AZ437" s="94">
        <v>1.34253</v>
      </c>
      <c r="BA437" s="94">
        <v>1.2965770000000001</v>
      </c>
      <c r="BB437" s="106">
        <v>0</v>
      </c>
      <c r="BC437" s="94">
        <v>0</v>
      </c>
      <c r="BD437" s="94">
        <v>0</v>
      </c>
      <c r="BE437" s="94">
        <v>0</v>
      </c>
      <c r="BF437" s="95">
        <v>0</v>
      </c>
      <c r="BG437" s="94">
        <v>17.003579999999999</v>
      </c>
      <c r="BH437" s="94">
        <v>0</v>
      </c>
      <c r="BI437" s="94">
        <v>3.488</v>
      </c>
      <c r="BJ437" s="94">
        <v>0</v>
      </c>
      <c r="BK437" s="94">
        <v>5.078843</v>
      </c>
      <c r="BL437" s="106">
        <v>0</v>
      </c>
      <c r="BM437" s="94">
        <v>0</v>
      </c>
      <c r="BN437" s="94">
        <v>12.69361</v>
      </c>
      <c r="BO437" s="94">
        <v>0</v>
      </c>
      <c r="BP437" s="95">
        <v>345.17009999999999</v>
      </c>
      <c r="BQ437" s="2"/>
      <c r="BR437" s="2"/>
      <c r="BS437" s="2"/>
    </row>
    <row r="438" spans="1:71" x14ac:dyDescent="0.35">
      <c r="A438" s="2"/>
      <c r="B438" s="2"/>
      <c r="C438" s="42" t="s">
        <v>273</v>
      </c>
      <c r="D438" s="109">
        <f t="shared" si="515"/>
        <v>3.5100722337472724E-2</v>
      </c>
      <c r="E438" s="109">
        <f t="shared" si="495"/>
        <v>1.7859102296623467E-2</v>
      </c>
      <c r="F438" s="109">
        <f t="shared" si="496"/>
        <v>3.9059879050788421E-2</v>
      </c>
      <c r="G438" s="109">
        <f t="shared" si="497"/>
        <v>7.9845171526542094E-2</v>
      </c>
      <c r="H438" s="109">
        <f t="shared" si="498"/>
        <v>6.0076798866783208E-2</v>
      </c>
      <c r="I438" s="110">
        <f t="shared" si="499"/>
        <v>0</v>
      </c>
      <c r="J438" s="109">
        <f t="shared" si="500"/>
        <v>0</v>
      </c>
      <c r="K438" s="109">
        <f t="shared" si="501"/>
        <v>0</v>
      </c>
      <c r="L438" s="109">
        <f t="shared" si="502"/>
        <v>0</v>
      </c>
      <c r="M438" s="111">
        <f t="shared" si="503"/>
        <v>9.9445050619291816E-3</v>
      </c>
      <c r="N438" s="109">
        <f t="shared" si="504"/>
        <v>2.1728132144810367E-3</v>
      </c>
      <c r="O438" s="109">
        <f t="shared" si="505"/>
        <v>8.0465748562118524E-5</v>
      </c>
      <c r="P438" s="109">
        <f t="shared" si="506"/>
        <v>1.5209609728288418E-3</v>
      </c>
      <c r="Q438" s="109">
        <f t="shared" si="507"/>
        <v>1.4859430481319507E-2</v>
      </c>
      <c r="R438" s="109">
        <f t="shared" si="508"/>
        <v>0.1793588967833496</v>
      </c>
      <c r="S438" s="110">
        <f t="shared" si="509"/>
        <v>8.9517463686948032E-4</v>
      </c>
      <c r="T438" s="109">
        <f t="shared" si="510"/>
        <v>0</v>
      </c>
      <c r="U438" s="109">
        <f t="shared" si="511"/>
        <v>0</v>
      </c>
      <c r="V438" s="109">
        <f t="shared" si="512"/>
        <v>4.8552256433010334E-3</v>
      </c>
      <c r="W438" s="111">
        <f t="shared" si="513"/>
        <v>0.55437085337914949</v>
      </c>
      <c r="X438" s="115">
        <f t="shared" si="516"/>
        <v>1.0000000000000002</v>
      </c>
      <c r="Y438" s="38" t="s">
        <v>559</v>
      </c>
      <c r="Z438" s="42" t="s">
        <v>273</v>
      </c>
      <c r="AA438" s="67">
        <f t="shared" ref="AA438:AT438" si="551">(SUMIF($AV$339:$AV$442,$Y438,AW$339:AW$442)*AA$337+IF($J216,SUMIF($AV$229:$AV$332,$Y328,AW$229:AW$332)*AA$227*(1-$D216/$J216),0))*$AU438</f>
        <v>1.429081E-3</v>
      </c>
      <c r="AB438" s="67">
        <f t="shared" si="551"/>
        <v>7.2711050000000006E-4</v>
      </c>
      <c r="AC438" s="67">
        <f t="shared" si="551"/>
        <v>1.5902730000000001E-3</v>
      </c>
      <c r="AD438" s="67">
        <f t="shared" si="551"/>
        <v>3.250794E-3</v>
      </c>
      <c r="AE438" s="67">
        <f t="shared" si="551"/>
        <v>2.4459500000000001E-3</v>
      </c>
      <c r="AF438" s="76">
        <f t="shared" si="551"/>
        <v>0</v>
      </c>
      <c r="AG438" s="67">
        <f t="shared" si="551"/>
        <v>0</v>
      </c>
      <c r="AH438" s="67">
        <f t="shared" si="551"/>
        <v>0</v>
      </c>
      <c r="AI438" s="67">
        <f t="shared" si="551"/>
        <v>0</v>
      </c>
      <c r="AJ438" s="68">
        <f t="shared" si="551"/>
        <v>4.0487780000000005E-4</v>
      </c>
      <c r="AK438" s="67">
        <f t="shared" si="551"/>
        <v>8.8463310000000005E-5</v>
      </c>
      <c r="AL438" s="67">
        <f t="shared" si="551"/>
        <v>3.2760600000000004E-6</v>
      </c>
      <c r="AM438" s="67">
        <f t="shared" si="551"/>
        <v>6.1923979999999997E-5</v>
      </c>
      <c r="AN438" s="67">
        <f t="shared" si="551"/>
        <v>6.0498270000000002E-4</v>
      </c>
      <c r="AO438" s="67">
        <f t="shared" si="551"/>
        <v>7.3023680000000001E-3</v>
      </c>
      <c r="AP438" s="76">
        <f t="shared" si="551"/>
        <v>3.6445890000000002E-5</v>
      </c>
      <c r="AQ438" s="67">
        <f t="shared" si="551"/>
        <v>0</v>
      </c>
      <c r="AR438" s="67">
        <f t="shared" si="551"/>
        <v>0</v>
      </c>
      <c r="AS438" s="67">
        <f t="shared" si="551"/>
        <v>1.976743E-4</v>
      </c>
      <c r="AT438" s="68">
        <f t="shared" si="551"/>
        <v>2.2570500000000004E-2</v>
      </c>
      <c r="AU438" s="216">
        <v>1E-4</v>
      </c>
      <c r="AV438" s="104" t="s">
        <v>558</v>
      </c>
      <c r="AW438" s="94"/>
      <c r="AX438" s="94"/>
      <c r="AY438" s="94"/>
      <c r="AZ438" s="94"/>
      <c r="BA438" s="94"/>
      <c r="BB438" s="106"/>
      <c r="BC438" s="94"/>
      <c r="BD438" s="94"/>
      <c r="BE438" s="94"/>
      <c r="BF438" s="95"/>
      <c r="BG438" s="94"/>
      <c r="BH438" s="94"/>
      <c r="BI438" s="94"/>
      <c r="BJ438" s="94"/>
      <c r="BK438" s="94"/>
      <c r="BL438" s="106"/>
      <c r="BM438" s="94"/>
      <c r="BN438" s="94"/>
      <c r="BO438" s="94"/>
      <c r="BP438" s="95"/>
      <c r="BQ438" s="2"/>
      <c r="BR438" s="2"/>
      <c r="BS438" s="2"/>
    </row>
    <row r="439" spans="1:71" x14ac:dyDescent="0.35">
      <c r="A439" s="2"/>
      <c r="B439" s="2"/>
      <c r="C439" s="42" t="s">
        <v>275</v>
      </c>
      <c r="D439" s="109">
        <f t="shared" si="515"/>
        <v>3.5100722337472724E-2</v>
      </c>
      <c r="E439" s="109">
        <f t="shared" si="495"/>
        <v>1.7859102296623467E-2</v>
      </c>
      <c r="F439" s="109">
        <f t="shared" si="496"/>
        <v>3.9059879050788421E-2</v>
      </c>
      <c r="G439" s="109">
        <f t="shared" si="497"/>
        <v>7.9845171526542094E-2</v>
      </c>
      <c r="H439" s="109">
        <f t="shared" si="498"/>
        <v>6.0076798866783201E-2</v>
      </c>
      <c r="I439" s="110">
        <f t="shared" si="499"/>
        <v>0</v>
      </c>
      <c r="J439" s="109">
        <f t="shared" si="500"/>
        <v>0</v>
      </c>
      <c r="K439" s="109">
        <f t="shared" si="501"/>
        <v>0</v>
      </c>
      <c r="L439" s="109">
        <f t="shared" si="502"/>
        <v>0</v>
      </c>
      <c r="M439" s="111">
        <f t="shared" si="503"/>
        <v>9.9445050619291816E-3</v>
      </c>
      <c r="N439" s="109">
        <f t="shared" si="504"/>
        <v>2.1728132144810367E-3</v>
      </c>
      <c r="O439" s="109">
        <f t="shared" si="505"/>
        <v>8.0465748562118524E-5</v>
      </c>
      <c r="P439" s="109">
        <f t="shared" si="506"/>
        <v>1.520960972828842E-3</v>
      </c>
      <c r="Q439" s="109">
        <f t="shared" si="507"/>
        <v>1.4859430481319505E-2</v>
      </c>
      <c r="R439" s="109">
        <f t="shared" si="508"/>
        <v>0.1793588967833496</v>
      </c>
      <c r="S439" s="110">
        <f t="shared" si="509"/>
        <v>8.9517463686948032E-4</v>
      </c>
      <c r="T439" s="109">
        <f t="shared" si="510"/>
        <v>0</v>
      </c>
      <c r="U439" s="109">
        <f t="shared" si="511"/>
        <v>0</v>
      </c>
      <c r="V439" s="109">
        <f t="shared" si="512"/>
        <v>4.8552256433010334E-3</v>
      </c>
      <c r="W439" s="111">
        <f t="shared" si="513"/>
        <v>0.55437085337914938</v>
      </c>
      <c r="X439" s="115">
        <f t="shared" si="516"/>
        <v>1</v>
      </c>
      <c r="Y439" s="38" t="s">
        <v>559</v>
      </c>
      <c r="Z439" s="42" t="s">
        <v>275</v>
      </c>
      <c r="AA439" s="67">
        <f t="shared" ref="AA439:AT439" si="552">(SUMIF($AV$339:$AV$442,$Y439,AW$339:AW$442)*AA$337+IF($J217,SUMIF($AV$229:$AV$332,$Y329,AW$229:AW$332)*AA$227*(1-$D217/$J217),0))*$AU439</f>
        <v>14.29081</v>
      </c>
      <c r="AB439" s="67">
        <f t="shared" si="552"/>
        <v>7.2711050000000004</v>
      </c>
      <c r="AC439" s="67">
        <f t="shared" si="552"/>
        <v>15.90273</v>
      </c>
      <c r="AD439" s="67">
        <f t="shared" si="552"/>
        <v>32.507939999999998</v>
      </c>
      <c r="AE439" s="67">
        <f t="shared" si="552"/>
        <v>24.459499999999998</v>
      </c>
      <c r="AF439" s="76">
        <f t="shared" si="552"/>
        <v>0</v>
      </c>
      <c r="AG439" s="67">
        <f t="shared" si="552"/>
        <v>0</v>
      </c>
      <c r="AH439" s="67">
        <f t="shared" si="552"/>
        <v>0</v>
      </c>
      <c r="AI439" s="67">
        <f t="shared" si="552"/>
        <v>0</v>
      </c>
      <c r="AJ439" s="68">
        <f t="shared" si="552"/>
        <v>4.0487780000000004</v>
      </c>
      <c r="AK439" s="67">
        <f t="shared" si="552"/>
        <v>0.88463309999999995</v>
      </c>
      <c r="AL439" s="67">
        <f t="shared" si="552"/>
        <v>3.2760600000000001E-2</v>
      </c>
      <c r="AM439" s="67">
        <f t="shared" si="552"/>
        <v>0.61923980000000001</v>
      </c>
      <c r="AN439" s="67">
        <f t="shared" si="552"/>
        <v>6.0498269999999996</v>
      </c>
      <c r="AO439" s="67">
        <f t="shared" si="552"/>
        <v>73.023679999999999</v>
      </c>
      <c r="AP439" s="76">
        <f t="shared" si="552"/>
        <v>0.36445889999999997</v>
      </c>
      <c r="AQ439" s="67">
        <f t="shared" si="552"/>
        <v>0</v>
      </c>
      <c r="AR439" s="67">
        <f t="shared" si="552"/>
        <v>0</v>
      </c>
      <c r="AS439" s="67">
        <f t="shared" si="552"/>
        <v>1.9767429999999999</v>
      </c>
      <c r="AT439" s="68">
        <f t="shared" si="552"/>
        <v>225.70500000000001</v>
      </c>
      <c r="AU439" s="216">
        <v>1</v>
      </c>
      <c r="AV439" s="104" t="s">
        <v>559</v>
      </c>
      <c r="AW439" s="94">
        <v>14.29081</v>
      </c>
      <c r="AX439" s="94">
        <v>7.2711050000000004</v>
      </c>
      <c r="AY439" s="94">
        <v>15.90273</v>
      </c>
      <c r="AZ439" s="94">
        <v>32.507939999999998</v>
      </c>
      <c r="BA439" s="94">
        <v>24.459499999999998</v>
      </c>
      <c r="BB439" s="106">
        <v>0</v>
      </c>
      <c r="BC439" s="94">
        <v>0</v>
      </c>
      <c r="BD439" s="94">
        <v>0</v>
      </c>
      <c r="BE439" s="94">
        <v>0</v>
      </c>
      <c r="BF439" s="95">
        <v>4.0487780000000004</v>
      </c>
      <c r="BG439" s="94">
        <v>0.88463309999999995</v>
      </c>
      <c r="BH439" s="94">
        <v>3.2760600000000001E-2</v>
      </c>
      <c r="BI439" s="94">
        <v>0.61923980000000001</v>
      </c>
      <c r="BJ439" s="94">
        <v>6.0498269999999996</v>
      </c>
      <c r="BK439" s="94">
        <v>73.023679999999999</v>
      </c>
      <c r="BL439" s="106">
        <v>0.36445889999999997</v>
      </c>
      <c r="BM439" s="94">
        <v>0</v>
      </c>
      <c r="BN439" s="94">
        <v>0</v>
      </c>
      <c r="BO439" s="94">
        <v>1.9767429999999999</v>
      </c>
      <c r="BP439" s="95">
        <v>225.70500000000001</v>
      </c>
      <c r="BQ439" s="2"/>
      <c r="BR439" s="2"/>
      <c r="BS439" s="2"/>
    </row>
    <row r="440" spans="1:71" x14ac:dyDescent="0.35">
      <c r="A440" s="2"/>
      <c r="B440" s="2"/>
      <c r="C440" s="42" t="s">
        <v>277</v>
      </c>
      <c r="D440" s="109">
        <f t="shared" si="515"/>
        <v>2.9744987918413006E-2</v>
      </c>
      <c r="E440" s="109">
        <f t="shared" si="495"/>
        <v>4.9637631787433405E-2</v>
      </c>
      <c r="F440" s="109">
        <f t="shared" si="496"/>
        <v>6.574326790265532E-2</v>
      </c>
      <c r="G440" s="109">
        <f t="shared" si="497"/>
        <v>0.11621112512655371</v>
      </c>
      <c r="H440" s="109">
        <f t="shared" si="498"/>
        <v>0.12885885559110569</v>
      </c>
      <c r="I440" s="110">
        <f t="shared" si="499"/>
        <v>6.1007174642586939E-5</v>
      </c>
      <c r="J440" s="109">
        <f t="shared" si="500"/>
        <v>1.7199271649460322E-4</v>
      </c>
      <c r="K440" s="109">
        <f t="shared" si="501"/>
        <v>1.3207082528646715E-4</v>
      </c>
      <c r="L440" s="109">
        <f t="shared" si="502"/>
        <v>2.7441528646245036E-3</v>
      </c>
      <c r="M440" s="111">
        <f t="shared" si="503"/>
        <v>1.6219256013501403E-2</v>
      </c>
      <c r="N440" s="109">
        <f t="shared" si="504"/>
        <v>1.6515156555541892E-3</v>
      </c>
      <c r="O440" s="109">
        <f t="shared" si="505"/>
        <v>2.8588801720116019E-3</v>
      </c>
      <c r="P440" s="109">
        <f t="shared" si="506"/>
        <v>5.8280959872372704E-3</v>
      </c>
      <c r="Q440" s="109">
        <f t="shared" si="507"/>
        <v>7.8772274352045639E-3</v>
      </c>
      <c r="R440" s="109">
        <f t="shared" si="508"/>
        <v>9.9364560516250214E-2</v>
      </c>
      <c r="S440" s="110">
        <f t="shared" si="509"/>
        <v>6.9576498249817177E-4</v>
      </c>
      <c r="T440" s="109">
        <f t="shared" si="510"/>
        <v>2.1409511280534666E-3</v>
      </c>
      <c r="U440" s="109">
        <f t="shared" si="511"/>
        <v>4.8645554781705132E-3</v>
      </c>
      <c r="V440" s="109">
        <f t="shared" si="512"/>
        <v>1.2579359689036288E-2</v>
      </c>
      <c r="W440" s="111">
        <f t="shared" si="513"/>
        <v>0.45261474103527288</v>
      </c>
      <c r="X440" s="115">
        <f t="shared" si="516"/>
        <v>0.99999999999999989</v>
      </c>
      <c r="Y440" s="38" t="s">
        <v>514</v>
      </c>
      <c r="Z440" s="42" t="s">
        <v>277</v>
      </c>
      <c r="AA440" s="67">
        <f t="shared" ref="AA440:AT440" si="553">(SUMIF($AV$339:$AV$442,$Y440,AW$339:AW$442)*AA$337+IF($J218,SUMIF($AV$229:$AV$332,$Y330,AW$229:AW$332)*AA$227*(1-$D218/$J218),0))*$AU440</f>
        <v>4308.3410000000003</v>
      </c>
      <c r="AB440" s="67">
        <f t="shared" si="553"/>
        <v>7189.643</v>
      </c>
      <c r="AC440" s="67">
        <f t="shared" si="553"/>
        <v>9522.4249999999993</v>
      </c>
      <c r="AD440" s="67">
        <f t="shared" si="553"/>
        <v>16832.32</v>
      </c>
      <c r="AE440" s="67">
        <f t="shared" si="553"/>
        <v>18664.25</v>
      </c>
      <c r="AF440" s="76">
        <f t="shared" si="553"/>
        <v>8.8364370000000001</v>
      </c>
      <c r="AG440" s="67">
        <f t="shared" si="553"/>
        <v>24.91187</v>
      </c>
      <c r="AH440" s="67">
        <f t="shared" si="553"/>
        <v>19.129480000000001</v>
      </c>
      <c r="AI440" s="67">
        <f t="shared" si="553"/>
        <v>397.47019999999998</v>
      </c>
      <c r="AJ440" s="68">
        <f t="shared" si="553"/>
        <v>2349.239</v>
      </c>
      <c r="AK440" s="67">
        <f t="shared" si="553"/>
        <v>239.2098</v>
      </c>
      <c r="AL440" s="67">
        <f t="shared" si="553"/>
        <v>414.08760000000001</v>
      </c>
      <c r="AM440" s="67">
        <f t="shared" si="553"/>
        <v>844.15650000000005</v>
      </c>
      <c r="AN440" s="67">
        <f t="shared" si="553"/>
        <v>1140.9580000000001</v>
      </c>
      <c r="AO440" s="67">
        <f t="shared" si="553"/>
        <v>14392.22</v>
      </c>
      <c r="AP440" s="76">
        <f t="shared" si="553"/>
        <v>100.7764</v>
      </c>
      <c r="AQ440" s="67">
        <f t="shared" si="553"/>
        <v>310.10090000000002</v>
      </c>
      <c r="AR440" s="67">
        <f t="shared" si="553"/>
        <v>704.59479999999996</v>
      </c>
      <c r="AS440" s="67">
        <f t="shared" si="553"/>
        <v>1822.027</v>
      </c>
      <c r="AT440" s="68">
        <f t="shared" si="553"/>
        <v>65557.89</v>
      </c>
      <c r="AU440" s="216">
        <v>1</v>
      </c>
      <c r="AV440" s="104" t="s">
        <v>514</v>
      </c>
      <c r="AW440" s="94">
        <v>4308.3410000000003</v>
      </c>
      <c r="AX440" s="94">
        <v>7189.643</v>
      </c>
      <c r="AY440" s="94">
        <v>9522.4249999999993</v>
      </c>
      <c r="AZ440" s="94">
        <v>16832.32</v>
      </c>
      <c r="BA440" s="94">
        <v>18664.25</v>
      </c>
      <c r="BB440" s="106">
        <v>8.8364370000000001</v>
      </c>
      <c r="BC440" s="94">
        <v>24.91187</v>
      </c>
      <c r="BD440" s="94">
        <v>19.129480000000001</v>
      </c>
      <c r="BE440" s="94">
        <v>397.47019999999998</v>
      </c>
      <c r="BF440" s="95">
        <v>2349.239</v>
      </c>
      <c r="BG440" s="94">
        <v>239.2098</v>
      </c>
      <c r="BH440" s="94">
        <v>414.08760000000001</v>
      </c>
      <c r="BI440" s="94">
        <v>844.15650000000005</v>
      </c>
      <c r="BJ440" s="94">
        <v>1140.9580000000001</v>
      </c>
      <c r="BK440" s="94">
        <v>14392.22</v>
      </c>
      <c r="BL440" s="106">
        <v>100.7764</v>
      </c>
      <c r="BM440" s="94">
        <v>310.10090000000002</v>
      </c>
      <c r="BN440" s="94">
        <v>704.59479999999996</v>
      </c>
      <c r="BO440" s="94">
        <v>1822.027</v>
      </c>
      <c r="BP440" s="95">
        <v>65557.89</v>
      </c>
      <c r="BQ440" s="2"/>
      <c r="BR440" s="2"/>
      <c r="BS440" s="2"/>
    </row>
    <row r="441" spans="1:71" x14ac:dyDescent="0.35">
      <c r="A441" s="2"/>
      <c r="B441" s="2"/>
      <c r="C441" s="42" t="s">
        <v>279</v>
      </c>
      <c r="D441" s="109">
        <f t="shared" si="515"/>
        <v>1.7919012049240268E-3</v>
      </c>
      <c r="E441" s="109">
        <f t="shared" si="495"/>
        <v>1.5110559753909146E-3</v>
      </c>
      <c r="F441" s="109">
        <f t="shared" si="496"/>
        <v>6.5793158568412755E-3</v>
      </c>
      <c r="G441" s="109">
        <f t="shared" si="497"/>
        <v>4.6894261315944805E-2</v>
      </c>
      <c r="H441" s="109">
        <f t="shared" si="498"/>
        <v>0.12782235802166375</v>
      </c>
      <c r="I441" s="110">
        <f t="shared" si="499"/>
        <v>0</v>
      </c>
      <c r="J441" s="109">
        <f t="shared" si="500"/>
        <v>0</v>
      </c>
      <c r="K441" s="109">
        <f t="shared" si="501"/>
        <v>3.5491430685332309E-4</v>
      </c>
      <c r="L441" s="109">
        <f t="shared" si="502"/>
        <v>5.2000274544291311E-4</v>
      </c>
      <c r="M441" s="111">
        <f t="shared" si="503"/>
        <v>1.8475236205774695E-2</v>
      </c>
      <c r="N441" s="109">
        <f t="shared" si="504"/>
        <v>0</v>
      </c>
      <c r="O441" s="109">
        <f t="shared" si="505"/>
        <v>6.9379703923067634E-4</v>
      </c>
      <c r="P441" s="109">
        <f t="shared" si="506"/>
        <v>2.5219173951983131E-3</v>
      </c>
      <c r="Q441" s="109">
        <f t="shared" si="507"/>
        <v>6.7357865067660394E-3</v>
      </c>
      <c r="R441" s="109">
        <f t="shared" si="508"/>
        <v>0.12737098878766073</v>
      </c>
      <c r="S441" s="110">
        <f t="shared" si="509"/>
        <v>0</v>
      </c>
      <c r="T441" s="109">
        <f t="shared" si="510"/>
        <v>0</v>
      </c>
      <c r="U441" s="109">
        <f t="shared" si="511"/>
        <v>1.4154615991483622E-3</v>
      </c>
      <c r="V441" s="109">
        <f t="shared" si="512"/>
        <v>2.7010510521605674E-3</v>
      </c>
      <c r="W441" s="111">
        <f t="shared" si="513"/>
        <v>0.65461195198699962</v>
      </c>
      <c r="X441" s="115">
        <f t="shared" si="516"/>
        <v>1</v>
      </c>
      <c r="Y441" s="38" t="s">
        <v>560</v>
      </c>
      <c r="Z441" s="42" t="s">
        <v>279</v>
      </c>
      <c r="AA441" s="67">
        <f t="shared" ref="AA441:AT441" si="554">(SUMIF($AV$339:$AV$442,$Y441,AW$339:AW$442)*AA$337+IF($J219,SUMIF($AV$229:$AV$332,$Y331,AW$229:AW$332)*AA$227*(1-$D219/$J219),0))*$AU441</f>
        <v>47.57159</v>
      </c>
      <c r="AB441" s="67">
        <f t="shared" si="554"/>
        <v>40.115679999999998</v>
      </c>
      <c r="AC441" s="67">
        <f t="shared" si="554"/>
        <v>174.66839999999999</v>
      </c>
      <c r="AD441" s="67">
        <f t="shared" si="554"/>
        <v>1244.954</v>
      </c>
      <c r="AE441" s="67">
        <f t="shared" si="554"/>
        <v>3393.442</v>
      </c>
      <c r="AF441" s="76">
        <f t="shared" si="554"/>
        <v>0</v>
      </c>
      <c r="AG441" s="67">
        <f t="shared" si="554"/>
        <v>0</v>
      </c>
      <c r="AH441" s="67">
        <f t="shared" si="554"/>
        <v>9.4223040000000005</v>
      </c>
      <c r="AI441" s="67">
        <f t="shared" si="554"/>
        <v>13.80509</v>
      </c>
      <c r="AJ441" s="68">
        <f t="shared" si="554"/>
        <v>490.48259999999999</v>
      </c>
      <c r="AK441" s="67">
        <f t="shared" si="554"/>
        <v>0</v>
      </c>
      <c r="AL441" s="67">
        <f t="shared" si="554"/>
        <v>18.419</v>
      </c>
      <c r="AM441" s="67">
        <f t="shared" si="554"/>
        <v>66.95214</v>
      </c>
      <c r="AN441" s="67">
        <f t="shared" si="554"/>
        <v>178.82239999999999</v>
      </c>
      <c r="AO441" s="67">
        <f t="shared" si="554"/>
        <v>3381.4589999999998</v>
      </c>
      <c r="AP441" s="76">
        <f t="shared" si="554"/>
        <v>0</v>
      </c>
      <c r="AQ441" s="67">
        <f t="shared" si="554"/>
        <v>0</v>
      </c>
      <c r="AR441" s="67">
        <f t="shared" si="554"/>
        <v>37.577829999999999</v>
      </c>
      <c r="AS441" s="67">
        <f t="shared" si="554"/>
        <v>71.707800000000006</v>
      </c>
      <c r="AT441" s="68">
        <f t="shared" si="554"/>
        <v>17378.71</v>
      </c>
      <c r="AU441" s="216">
        <v>1</v>
      </c>
      <c r="AV441" s="104" t="s">
        <v>560</v>
      </c>
      <c r="AW441" s="94">
        <v>47.57159</v>
      </c>
      <c r="AX441" s="94">
        <v>40.115679999999998</v>
      </c>
      <c r="AY441" s="94">
        <v>174.66839999999999</v>
      </c>
      <c r="AZ441" s="94">
        <v>1244.954</v>
      </c>
      <c r="BA441" s="94">
        <v>3393.442</v>
      </c>
      <c r="BB441" s="106">
        <v>0</v>
      </c>
      <c r="BC441" s="94">
        <v>0</v>
      </c>
      <c r="BD441" s="94">
        <v>9.4223040000000005</v>
      </c>
      <c r="BE441" s="94">
        <v>13.80509</v>
      </c>
      <c r="BF441" s="95">
        <v>490.48259999999999</v>
      </c>
      <c r="BG441" s="94">
        <v>0</v>
      </c>
      <c r="BH441" s="94">
        <v>18.419</v>
      </c>
      <c r="BI441" s="94">
        <v>66.95214</v>
      </c>
      <c r="BJ441" s="94">
        <v>178.82239999999999</v>
      </c>
      <c r="BK441" s="94">
        <v>3381.4589999999998</v>
      </c>
      <c r="BL441" s="106">
        <v>0</v>
      </c>
      <c r="BM441" s="94">
        <v>0</v>
      </c>
      <c r="BN441" s="94">
        <v>37.577829999999999</v>
      </c>
      <c r="BO441" s="94">
        <v>71.707800000000006</v>
      </c>
      <c r="BP441" s="95">
        <v>17378.71</v>
      </c>
      <c r="BQ441" s="2"/>
      <c r="BR441" s="2"/>
      <c r="BS441" s="2"/>
    </row>
    <row r="442" spans="1:71" x14ac:dyDescent="0.35">
      <c r="A442" s="2"/>
      <c r="B442" s="2"/>
      <c r="C442" s="45" t="s">
        <v>281</v>
      </c>
      <c r="D442" s="112">
        <f t="shared" si="515"/>
        <v>5.2673168820140316E-2</v>
      </c>
      <c r="E442" s="112">
        <f t="shared" si="495"/>
        <v>7.6797627848928948E-2</v>
      </c>
      <c r="F442" s="112">
        <f t="shared" si="496"/>
        <v>0.10082863425026874</v>
      </c>
      <c r="G442" s="112">
        <f t="shared" si="497"/>
        <v>0.13875894231040101</v>
      </c>
      <c r="H442" s="112">
        <f t="shared" si="498"/>
        <v>0.1448932835037629</v>
      </c>
      <c r="I442" s="113">
        <f t="shared" si="499"/>
        <v>2.2639624659662668E-4</v>
      </c>
      <c r="J442" s="112">
        <f t="shared" si="500"/>
        <v>2.664132496947929E-4</v>
      </c>
      <c r="K442" s="112">
        <f t="shared" si="501"/>
        <v>1.0441920445628187E-3</v>
      </c>
      <c r="L442" s="112">
        <f t="shared" si="502"/>
        <v>2.5831111893436362E-3</v>
      </c>
      <c r="M442" s="114">
        <f t="shared" si="503"/>
        <v>1.6135240526255309E-2</v>
      </c>
      <c r="N442" s="112">
        <f t="shared" si="504"/>
        <v>3.6678489083499912E-3</v>
      </c>
      <c r="O442" s="112">
        <f t="shared" si="505"/>
        <v>6.634834378341347E-3</v>
      </c>
      <c r="P442" s="112">
        <f t="shared" si="506"/>
        <v>1.0186167033767962E-2</v>
      </c>
      <c r="Q442" s="112">
        <f t="shared" si="507"/>
        <v>1.6220372490098764E-2</v>
      </c>
      <c r="R442" s="112">
        <f t="shared" si="508"/>
        <v>9.0198970062619371E-2</v>
      </c>
      <c r="S442" s="113">
        <f t="shared" si="509"/>
        <v>1.5743443694886832E-3</v>
      </c>
      <c r="T442" s="112">
        <f t="shared" si="510"/>
        <v>4.8404741655479703E-3</v>
      </c>
      <c r="U442" s="112">
        <f t="shared" si="511"/>
        <v>8.1771679149233775E-3</v>
      </c>
      <c r="V442" s="112">
        <f t="shared" si="512"/>
        <v>2.3059579725544243E-2</v>
      </c>
      <c r="W442" s="114">
        <f t="shared" si="513"/>
        <v>0.30123323096136329</v>
      </c>
      <c r="X442" s="115">
        <f t="shared" si="516"/>
        <v>1</v>
      </c>
      <c r="Y442" s="38" t="s">
        <v>561</v>
      </c>
      <c r="Z442" s="45" t="s">
        <v>281</v>
      </c>
      <c r="AA442" s="69">
        <f>AVERAGE(AA339:AA441)*$AU$442</f>
        <v>0.18372896432052718</v>
      </c>
      <c r="AB442" s="69">
        <f t="shared" ref="AB442:AT442" si="555">AVERAGE(AB339:AB441)*$AU$442</f>
        <v>0.26787734520277917</v>
      </c>
      <c r="AC442" s="69">
        <f t="shared" si="555"/>
        <v>0.35169975453559127</v>
      </c>
      <c r="AD442" s="69">
        <f t="shared" si="555"/>
        <v>0.48400423464087772</v>
      </c>
      <c r="AE442" s="69">
        <f t="shared" si="555"/>
        <v>0.50540139337445633</v>
      </c>
      <c r="AF442" s="77">
        <f t="shared" si="555"/>
        <v>7.896913902272814E-4</v>
      </c>
      <c r="AG442" s="69">
        <f t="shared" si="555"/>
        <v>9.2927445878240801E-4</v>
      </c>
      <c r="AH442" s="69">
        <f t="shared" si="555"/>
        <v>3.6422400094126214E-3</v>
      </c>
      <c r="AI442" s="69">
        <f t="shared" si="555"/>
        <v>9.010134650592817E-3</v>
      </c>
      <c r="AJ442" s="71">
        <f t="shared" si="555"/>
        <v>5.6281235728843491E-2</v>
      </c>
      <c r="AK442" s="69">
        <f t="shared" si="555"/>
        <v>1.279380178391031E-2</v>
      </c>
      <c r="AL442" s="69">
        <f t="shared" si="555"/>
        <v>2.3142926011027812E-2</v>
      </c>
      <c r="AM442" s="69">
        <f t="shared" si="555"/>
        <v>3.5530308151775603E-2</v>
      </c>
      <c r="AN442" s="69">
        <f t="shared" si="555"/>
        <v>5.6578184021454085E-2</v>
      </c>
      <c r="AO442" s="69">
        <f t="shared" si="555"/>
        <v>0.31462248662067771</v>
      </c>
      <c r="AP442" s="77">
        <f t="shared" si="555"/>
        <v>5.4914611550655251E-3</v>
      </c>
      <c r="AQ442" s="69">
        <f t="shared" si="555"/>
        <v>1.6884028912199162E-2</v>
      </c>
      <c r="AR442" s="69">
        <f t="shared" si="555"/>
        <v>2.8522730371776307E-2</v>
      </c>
      <c r="AS442" s="69">
        <f t="shared" si="555"/>
        <v>8.0433981769877955E-2</v>
      </c>
      <c r="AT442" s="71">
        <f t="shared" si="555"/>
        <v>1.0507298266493397</v>
      </c>
      <c r="AU442" s="216">
        <v>1E-4</v>
      </c>
      <c r="AV442" s="105" t="s">
        <v>561</v>
      </c>
      <c r="AW442" s="97"/>
      <c r="AX442" s="97"/>
      <c r="AY442" s="97"/>
      <c r="AZ442" s="97"/>
      <c r="BA442" s="97"/>
      <c r="BB442" s="107"/>
      <c r="BC442" s="97"/>
      <c r="BD442" s="97"/>
      <c r="BE442" s="97"/>
      <c r="BF442" s="98"/>
      <c r="BG442" s="97"/>
      <c r="BH442" s="97"/>
      <c r="BI442" s="97"/>
      <c r="BJ442" s="97"/>
      <c r="BK442" s="97"/>
      <c r="BL442" s="107"/>
      <c r="BM442" s="97"/>
      <c r="BN442" s="97"/>
      <c r="BO442" s="97"/>
      <c r="BP442" s="98"/>
      <c r="BQ442" s="2"/>
      <c r="BR442" s="2"/>
      <c r="BS442" s="2"/>
    </row>
    <row r="443" spans="1:7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</row>
    <row r="444" spans="1:7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</row>
    <row r="445" spans="1:7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</row>
    <row r="446" spans="1:71" x14ac:dyDescent="0.35">
      <c r="A446" s="4" t="s">
        <v>718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</row>
    <row r="447" spans="1:71" x14ac:dyDescent="0.35">
      <c r="A447" s="24" t="s">
        <v>594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</row>
    <row r="448" spans="1:7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</row>
    <row r="449" spans="1:7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</row>
    <row r="450" spans="1:71" x14ac:dyDescent="0.35">
      <c r="A450" s="2"/>
      <c r="B450" s="2"/>
      <c r="C450" s="4" t="s">
        <v>626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4" t="s">
        <v>637</v>
      </c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4" t="s">
        <v>635</v>
      </c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4" t="s">
        <v>719</v>
      </c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</row>
    <row r="451" spans="1:71" x14ac:dyDescent="0.35">
      <c r="A451" s="2"/>
      <c r="B451" s="2"/>
      <c r="C451" s="39"/>
      <c r="D451" s="39" t="s">
        <v>95</v>
      </c>
      <c r="E451" s="39" t="s">
        <v>97</v>
      </c>
      <c r="F451" s="39" t="s">
        <v>99</v>
      </c>
      <c r="G451" s="39" t="s">
        <v>101</v>
      </c>
      <c r="H451" s="39" t="s">
        <v>103</v>
      </c>
      <c r="I451" s="39" t="s">
        <v>105</v>
      </c>
      <c r="J451" s="39" t="s">
        <v>107</v>
      </c>
      <c r="K451" s="121" t="s">
        <v>109</v>
      </c>
      <c r="L451" s="40" t="s">
        <v>327</v>
      </c>
      <c r="M451" s="39" t="s">
        <v>328</v>
      </c>
      <c r="N451" s="39" t="s">
        <v>329</v>
      </c>
      <c r="O451" s="39" t="s">
        <v>330</v>
      </c>
      <c r="P451" s="121" t="s">
        <v>18</v>
      </c>
      <c r="Q451" s="40" t="s">
        <v>112</v>
      </c>
      <c r="R451" s="121" t="s">
        <v>114</v>
      </c>
      <c r="S451" s="2"/>
      <c r="T451" s="39"/>
      <c r="U451" s="39" t="s">
        <v>95</v>
      </c>
      <c r="V451" s="39" t="s">
        <v>97</v>
      </c>
      <c r="W451" s="39" t="s">
        <v>99</v>
      </c>
      <c r="X451" s="39" t="s">
        <v>101</v>
      </c>
      <c r="Y451" s="39" t="s">
        <v>103</v>
      </c>
      <c r="Z451" s="39" t="s">
        <v>105</v>
      </c>
      <c r="AA451" s="39" t="s">
        <v>107</v>
      </c>
      <c r="AB451" s="121" t="s">
        <v>109</v>
      </c>
      <c r="AC451" s="40" t="s">
        <v>327</v>
      </c>
      <c r="AD451" s="39" t="s">
        <v>328</v>
      </c>
      <c r="AE451" s="39" t="s">
        <v>329</v>
      </c>
      <c r="AF451" s="39" t="s">
        <v>330</v>
      </c>
      <c r="AG451" s="121" t="s">
        <v>18</v>
      </c>
      <c r="AH451" s="40" t="s">
        <v>112</v>
      </c>
      <c r="AI451" s="121" t="s">
        <v>114</v>
      </c>
      <c r="AJ451" s="2"/>
      <c r="AK451" s="2"/>
      <c r="AL451" s="39"/>
      <c r="AM451" s="39" t="s">
        <v>95</v>
      </c>
      <c r="AN451" s="39" t="s">
        <v>97</v>
      </c>
      <c r="AO451" s="39" t="s">
        <v>99</v>
      </c>
      <c r="AP451" s="39" t="s">
        <v>101</v>
      </c>
      <c r="AQ451" s="39" t="s">
        <v>103</v>
      </c>
      <c r="AR451" s="39" t="s">
        <v>105</v>
      </c>
      <c r="AS451" s="39" t="s">
        <v>107</v>
      </c>
      <c r="AT451" s="121" t="s">
        <v>109</v>
      </c>
      <c r="AU451" s="40" t="s">
        <v>327</v>
      </c>
      <c r="AV451" s="39" t="s">
        <v>328</v>
      </c>
      <c r="AW451" s="39" t="s">
        <v>329</v>
      </c>
      <c r="AX451" s="39" t="s">
        <v>330</v>
      </c>
      <c r="AY451" s="121" t="s">
        <v>18</v>
      </c>
      <c r="AZ451" s="40" t="s">
        <v>112</v>
      </c>
      <c r="BA451" s="121" t="s">
        <v>114</v>
      </c>
      <c r="BB451" s="2"/>
      <c r="BC451" s="39"/>
      <c r="BD451" s="39" t="s">
        <v>95</v>
      </c>
      <c r="BE451" s="39" t="s">
        <v>97</v>
      </c>
      <c r="BF451" s="39" t="s">
        <v>99</v>
      </c>
      <c r="BG451" s="39" t="s">
        <v>101</v>
      </c>
      <c r="BH451" s="39" t="s">
        <v>103</v>
      </c>
      <c r="BI451" s="39" t="s">
        <v>105</v>
      </c>
      <c r="BJ451" s="39" t="s">
        <v>107</v>
      </c>
      <c r="BK451" s="121" t="s">
        <v>109</v>
      </c>
      <c r="BL451" s="40" t="s">
        <v>327</v>
      </c>
      <c r="BM451" s="39" t="s">
        <v>328</v>
      </c>
      <c r="BN451" s="39" t="s">
        <v>329</v>
      </c>
      <c r="BO451" s="39" t="s">
        <v>330</v>
      </c>
      <c r="BP451" s="121" t="s">
        <v>18</v>
      </c>
      <c r="BQ451" s="40" t="s">
        <v>112</v>
      </c>
      <c r="BR451" s="121" t="s">
        <v>114</v>
      </c>
      <c r="BS451" s="2"/>
    </row>
    <row r="452" spans="1:71" x14ac:dyDescent="0.35">
      <c r="A452" s="2"/>
      <c r="B452" s="2"/>
      <c r="C452" s="42" t="s">
        <v>283</v>
      </c>
      <c r="D452" s="109">
        <f>IF(SUM(U$452:U$471),U452/SUM(U$452:U$471),0)</f>
        <v>0.19998698121319894</v>
      </c>
      <c r="E452" s="109">
        <f t="shared" ref="E452:E471" si="556">IF(SUM(V$452:V$471),V452/SUM(V$452:V$471),0)</f>
        <v>0.1232734719196683</v>
      </c>
      <c r="F452" s="109">
        <f t="shared" ref="F452:F471" si="557">IF(SUM(W$452:W$471),W452/SUM(W$452:W$471),0)</f>
        <v>2.2663474333032049E-2</v>
      </c>
      <c r="G452" s="109">
        <f t="shared" ref="G452:G471" si="558">IF(SUM(X$452:X$471),X452/SUM(X$452:X$471),0)</f>
        <v>9.0909863287358568E-4</v>
      </c>
      <c r="H452" s="110">
        <f t="shared" ref="H452:H471" si="559">IF(SUM(Y$452:Y$471),Y452/SUM(Y$452:Y$471),0)</f>
        <v>0</v>
      </c>
      <c r="I452" s="109">
        <f t="shared" ref="I452:I471" si="560">IF(SUM(Z$452:Z$471),Z452/SUM(Z$452:Z$471),0)</f>
        <v>0</v>
      </c>
      <c r="J452" s="109">
        <f t="shared" ref="J452:J471" si="561">IF(SUM(AA$452:AA$471),AA452/SUM(AA$452:AA$471),0)</f>
        <v>0</v>
      </c>
      <c r="K452" s="111">
        <f t="shared" ref="K452:K471" si="562">IF(SUM(AB$452:AB$471),AB452/SUM(AB$452:AB$471),0)</f>
        <v>0</v>
      </c>
      <c r="L452" s="109">
        <f t="shared" ref="L452:L471" si="563">IF(SUM(AC$452:AC$471),AC452/SUM(AC$452:AC$471),0)</f>
        <v>0</v>
      </c>
      <c r="M452" s="109">
        <f t="shared" ref="M452:M471" si="564">IF(SUM(AD$452:AD$471),AD452/SUM(AD$452:AD$471),0)</f>
        <v>0</v>
      </c>
      <c r="N452" s="109">
        <f t="shared" ref="N452:N471" si="565">IF(SUM(AE$452:AE$471),AE452/SUM(AE$452:AE$471),0)</f>
        <v>0</v>
      </c>
      <c r="O452" s="109">
        <f t="shared" ref="O452:O471" si="566">IF(SUM(AF$452:AF$471),AF452/SUM(AF$452:AF$471),0)</f>
        <v>0</v>
      </c>
      <c r="P452" s="147">
        <f t="shared" ref="P452:P471" si="567">IF(SUM(AG$452:AG$471),AG452/SUM(AG$452:AG$471),0)</f>
        <v>0.14850162122644553</v>
      </c>
      <c r="Q452" s="109">
        <f t="shared" ref="Q452:Q471" si="568">IF(SUM(AH$452:AH$471),AH452/SUM(AH$452:AH$471),0)</f>
        <v>0.14850162122644553</v>
      </c>
      <c r="R452" s="111">
        <f t="shared" ref="R452:R471" si="569">IF(SUM(AI$452:AI$471),AI452/SUM(AI$452:AI$471),0)</f>
        <v>0.10079254292980076</v>
      </c>
      <c r="S452" s="2"/>
      <c r="T452" s="42" t="s">
        <v>283</v>
      </c>
      <c r="U452" s="67">
        <f>$AK452*BD452*AM452</f>
        <v>305340.65000000002</v>
      </c>
      <c r="V452" s="67">
        <f t="shared" ref="V452:V471" si="570">$AK452*BE452*AN452</f>
        <v>107170.06200000001</v>
      </c>
      <c r="W452" s="67">
        <f t="shared" ref="W452:W471" si="571">$AK452*BF452*AO452</f>
        <v>3558.7329399999999</v>
      </c>
      <c r="X452" s="67">
        <f t="shared" ref="X452:X471" si="572">$AK452*BG452*AP452</f>
        <v>134.45481000000001</v>
      </c>
      <c r="Y452" s="76">
        <f t="shared" ref="Y452:Y471" si="573">$AK452*BH452*AQ452</f>
        <v>0</v>
      </c>
      <c r="Z452" s="67">
        <f t="shared" ref="Z452:Z471" si="574">$AK452*BI452*AR452</f>
        <v>0</v>
      </c>
      <c r="AA452" s="67">
        <f t="shared" ref="AA452:AA471" si="575">$AK452*BJ452*AS452</f>
        <v>0</v>
      </c>
      <c r="AB452" s="68">
        <f t="shared" ref="AB452:AB471" si="576">$AK452*BK452*AT452</f>
        <v>0</v>
      </c>
      <c r="AC452" s="67">
        <f t="shared" ref="AC452:AC471" si="577">$AK452*BL452*AU452</f>
        <v>0</v>
      </c>
      <c r="AD452" s="67">
        <f t="shared" ref="AD452:AD471" si="578">$AK452*BM452*AV452</f>
        <v>0</v>
      </c>
      <c r="AE452" s="67">
        <f t="shared" ref="AE452:AE471" si="579">$AK452*BN452*AW452</f>
        <v>0</v>
      </c>
      <c r="AF452" s="67">
        <f t="shared" ref="AF452:AF471" si="580">$AK452*BO452*AX452</f>
        <v>0</v>
      </c>
      <c r="AG452" s="144">
        <f t="shared" ref="AG452:AG471" si="581">$AK452*BP452*AY452</f>
        <v>40452.440399999999</v>
      </c>
      <c r="AH452" s="67">
        <f t="shared" ref="AH452:AH471" si="582">$AK452*BQ452*AZ452</f>
        <v>40452.440399999999</v>
      </c>
      <c r="AI452" s="68">
        <f t="shared" ref="AI452:AI471" si="583">$AK452*BR452*BA452</f>
        <v>17943.849539999999</v>
      </c>
      <c r="AJ452" s="2"/>
      <c r="AK452" s="219">
        <v>1</v>
      </c>
      <c r="AL452" s="42" t="s">
        <v>283</v>
      </c>
      <c r="AM452" s="62">
        <v>1</v>
      </c>
      <c r="AN452" s="62">
        <v>1</v>
      </c>
      <c r="AO452" s="62">
        <v>1</v>
      </c>
      <c r="AP452" s="62">
        <v>1</v>
      </c>
      <c r="AQ452" s="122"/>
      <c r="AR452" s="62"/>
      <c r="AS452" s="62"/>
      <c r="AT452" s="54"/>
      <c r="AU452" s="62"/>
      <c r="AV452" s="62"/>
      <c r="AW452" s="62"/>
      <c r="AX452" s="62"/>
      <c r="AY452" s="123">
        <v>1</v>
      </c>
      <c r="AZ452" s="62">
        <v>1</v>
      </c>
      <c r="BA452" s="54">
        <v>1</v>
      </c>
      <c r="BB452" s="2"/>
      <c r="BC452" s="42" t="s">
        <v>283</v>
      </c>
      <c r="BD452" s="67">
        <f>$BC$475*AT477+$AO$475*AF477+$AA$475*R477+$M$475*D477</f>
        <v>305340.65000000002</v>
      </c>
      <c r="BE452" s="67">
        <f t="shared" ref="BE452:BO452" si="584">$BC$475*AU477+$AO$475*AG477+$AA$475*S477+$M$475*E477</f>
        <v>107170.06200000001</v>
      </c>
      <c r="BF452" s="67">
        <f t="shared" si="584"/>
        <v>3558.7329399999999</v>
      </c>
      <c r="BG452" s="67">
        <f t="shared" si="584"/>
        <v>134.45481000000001</v>
      </c>
      <c r="BH452" s="76">
        <f t="shared" si="584"/>
        <v>0</v>
      </c>
      <c r="BI452" s="67">
        <f t="shared" si="584"/>
        <v>0</v>
      </c>
      <c r="BJ452" s="67">
        <f t="shared" si="584"/>
        <v>0</v>
      </c>
      <c r="BK452" s="68">
        <f t="shared" si="584"/>
        <v>0</v>
      </c>
      <c r="BL452" s="67">
        <f t="shared" si="584"/>
        <v>0</v>
      </c>
      <c r="BM452" s="67">
        <f t="shared" si="584"/>
        <v>0</v>
      </c>
      <c r="BN452" s="67">
        <f t="shared" si="584"/>
        <v>0</v>
      </c>
      <c r="BO452" s="67">
        <f t="shared" si="584"/>
        <v>0</v>
      </c>
      <c r="BP452" s="144">
        <f>SUM(AF477:AQ477)*$AO$475</f>
        <v>40452.440399999999</v>
      </c>
      <c r="BQ452" s="67">
        <f>SUM(AF477:AQ477)*$AO$475</f>
        <v>40452.440399999999</v>
      </c>
      <c r="BR452" s="68">
        <f>SUM(AT477:BE477)*$BC$475</f>
        <v>17943.849539999999</v>
      </c>
      <c r="BS452" s="2"/>
    </row>
    <row r="453" spans="1:71" x14ac:dyDescent="0.35">
      <c r="A453" s="2"/>
      <c r="B453" s="2"/>
      <c r="C453" s="42" t="s">
        <v>285</v>
      </c>
      <c r="D453" s="109">
        <f t="shared" ref="D453:D471" si="585">IF(SUM(U$452:U$471),U453/SUM(U$452:U$471),0)</f>
        <v>0.16962728774693253</v>
      </c>
      <c r="E453" s="109">
        <f t="shared" si="556"/>
        <v>0.14654409668561216</v>
      </c>
      <c r="F453" s="109">
        <f t="shared" si="557"/>
        <v>6.2567708598471022E-2</v>
      </c>
      <c r="G453" s="109">
        <f t="shared" si="558"/>
        <v>6.394534647710599E-3</v>
      </c>
      <c r="H453" s="110">
        <f t="shared" si="559"/>
        <v>0</v>
      </c>
      <c r="I453" s="109">
        <f t="shared" si="560"/>
        <v>0</v>
      </c>
      <c r="J453" s="109">
        <f t="shared" si="561"/>
        <v>0</v>
      </c>
      <c r="K453" s="111">
        <f t="shared" si="562"/>
        <v>0</v>
      </c>
      <c r="L453" s="109">
        <f t="shared" si="563"/>
        <v>0</v>
      </c>
      <c r="M453" s="109">
        <f t="shared" si="564"/>
        <v>0</v>
      </c>
      <c r="N453" s="109">
        <f t="shared" si="565"/>
        <v>0</v>
      </c>
      <c r="O453" s="109">
        <f t="shared" si="566"/>
        <v>0</v>
      </c>
      <c r="P453" s="147">
        <f t="shared" si="567"/>
        <v>0.15142837620787714</v>
      </c>
      <c r="Q453" s="109">
        <f t="shared" si="568"/>
        <v>0.15142837620787714</v>
      </c>
      <c r="R453" s="111">
        <f t="shared" si="569"/>
        <v>0.1138312344903424</v>
      </c>
      <c r="S453" s="2"/>
      <c r="T453" s="42" t="s">
        <v>285</v>
      </c>
      <c r="U453" s="67">
        <f t="shared" ref="U453:U471" si="586">$AK453*BD453*AM453</f>
        <v>258987.38999999996</v>
      </c>
      <c r="V453" s="67">
        <f t="shared" si="570"/>
        <v>127400.80799999999</v>
      </c>
      <c r="W453" s="67">
        <f t="shared" si="571"/>
        <v>9824.6968799999995</v>
      </c>
      <c r="X453" s="67">
        <f t="shared" si="572"/>
        <v>945.74549999999988</v>
      </c>
      <c r="Y453" s="76">
        <f t="shared" si="573"/>
        <v>0</v>
      </c>
      <c r="Z453" s="67">
        <f t="shared" si="574"/>
        <v>0</v>
      </c>
      <c r="AA453" s="67">
        <f t="shared" si="575"/>
        <v>0</v>
      </c>
      <c r="AB453" s="68">
        <f t="shared" si="576"/>
        <v>0</v>
      </c>
      <c r="AC453" s="67">
        <f t="shared" si="577"/>
        <v>0</v>
      </c>
      <c r="AD453" s="67">
        <f t="shared" si="578"/>
        <v>0</v>
      </c>
      <c r="AE453" s="67">
        <f t="shared" si="579"/>
        <v>0</v>
      </c>
      <c r="AF453" s="67">
        <f t="shared" si="580"/>
        <v>0</v>
      </c>
      <c r="AG453" s="144">
        <f t="shared" si="581"/>
        <v>41249.700257999997</v>
      </c>
      <c r="AH453" s="67">
        <f t="shared" si="582"/>
        <v>41249.700257999997</v>
      </c>
      <c r="AI453" s="68">
        <f t="shared" si="583"/>
        <v>20265.095861999998</v>
      </c>
      <c r="AJ453" s="2"/>
      <c r="AK453" s="219">
        <v>0.6</v>
      </c>
      <c r="AL453" s="42" t="s">
        <v>285</v>
      </c>
      <c r="AM453" s="62">
        <v>1</v>
      </c>
      <c r="AN453" s="62">
        <v>1</v>
      </c>
      <c r="AO453" s="62">
        <v>1</v>
      </c>
      <c r="AP453" s="62">
        <v>1</v>
      </c>
      <c r="AQ453" s="122"/>
      <c r="AR453" s="62"/>
      <c r="AS453" s="62"/>
      <c r="AT453" s="54"/>
      <c r="AU453" s="62"/>
      <c r="AV453" s="62"/>
      <c r="AW453" s="62"/>
      <c r="AX453" s="62"/>
      <c r="AY453" s="123">
        <v>1</v>
      </c>
      <c r="AZ453" s="62">
        <v>1</v>
      </c>
      <c r="BA453" s="54">
        <v>1</v>
      </c>
      <c r="BB453" s="2"/>
      <c r="BC453" s="42" t="s">
        <v>285</v>
      </c>
      <c r="BD453" s="67">
        <f t="shared" ref="BD453:BO453" si="587">$BC$475*AT478+$AO$475*AF478+$AA$475*R478+$M$475*D478</f>
        <v>431645.64999999997</v>
      </c>
      <c r="BE453" s="67">
        <f t="shared" si="587"/>
        <v>212334.68</v>
      </c>
      <c r="BF453" s="67">
        <f t="shared" si="587"/>
        <v>16374.4948</v>
      </c>
      <c r="BG453" s="67">
        <f t="shared" si="587"/>
        <v>1576.2424999999998</v>
      </c>
      <c r="BH453" s="76">
        <f t="shared" si="587"/>
        <v>0</v>
      </c>
      <c r="BI453" s="67">
        <f t="shared" si="587"/>
        <v>0</v>
      </c>
      <c r="BJ453" s="67">
        <f t="shared" si="587"/>
        <v>0</v>
      </c>
      <c r="BK453" s="68">
        <f t="shared" si="587"/>
        <v>0</v>
      </c>
      <c r="BL453" s="67">
        <f t="shared" si="587"/>
        <v>0</v>
      </c>
      <c r="BM453" s="67">
        <f t="shared" si="587"/>
        <v>0</v>
      </c>
      <c r="BN453" s="67">
        <f t="shared" si="587"/>
        <v>0</v>
      </c>
      <c r="BO453" s="67">
        <f t="shared" si="587"/>
        <v>0</v>
      </c>
      <c r="BP453" s="144">
        <f t="shared" ref="BP453:BP471" si="588">SUM(AF478:AQ478)*$AO$475</f>
        <v>68749.50043</v>
      </c>
      <c r="BQ453" s="67">
        <f t="shared" ref="BQ453:BQ471" si="589">SUM(AF478:AQ478)*$AO$475</f>
        <v>68749.50043</v>
      </c>
      <c r="BR453" s="68">
        <f t="shared" ref="BR453:BR471" si="590">SUM(AT478:BE478)*$BC$475</f>
        <v>33775.159769999998</v>
      </c>
      <c r="BS453" s="2"/>
    </row>
    <row r="454" spans="1:71" x14ac:dyDescent="0.35">
      <c r="A454" s="2"/>
      <c r="B454" s="2"/>
      <c r="C454" s="42" t="s">
        <v>287</v>
      </c>
      <c r="D454" s="109">
        <f t="shared" si="585"/>
        <v>0.22046458930163282</v>
      </c>
      <c r="E454" s="109">
        <f t="shared" si="556"/>
        <v>0.20923346923983749</v>
      </c>
      <c r="F454" s="109">
        <f t="shared" si="557"/>
        <v>9.9784581518176263E-2</v>
      </c>
      <c r="G454" s="109">
        <f t="shared" si="558"/>
        <v>5.4874271028866614E-3</v>
      </c>
      <c r="H454" s="110">
        <f t="shared" si="559"/>
        <v>0</v>
      </c>
      <c r="I454" s="109">
        <f t="shared" si="560"/>
        <v>0</v>
      </c>
      <c r="J454" s="109">
        <f t="shared" si="561"/>
        <v>0</v>
      </c>
      <c r="K454" s="111">
        <f t="shared" si="562"/>
        <v>0</v>
      </c>
      <c r="L454" s="109">
        <f t="shared" si="563"/>
        <v>0</v>
      </c>
      <c r="M454" s="109">
        <f t="shared" si="564"/>
        <v>0</v>
      </c>
      <c r="N454" s="109">
        <f t="shared" si="565"/>
        <v>0</v>
      </c>
      <c r="O454" s="109">
        <f t="shared" si="566"/>
        <v>0</v>
      </c>
      <c r="P454" s="147">
        <f t="shared" si="567"/>
        <v>0.22351755432471337</v>
      </c>
      <c r="Q454" s="109">
        <f t="shared" si="568"/>
        <v>0.22351755432471337</v>
      </c>
      <c r="R454" s="111">
        <f t="shared" si="569"/>
        <v>0.15986296670706826</v>
      </c>
      <c r="S454" s="2"/>
      <c r="T454" s="42" t="s">
        <v>287</v>
      </c>
      <c r="U454" s="67">
        <f t="shared" si="586"/>
        <v>336605.91599999997</v>
      </c>
      <c r="V454" s="67">
        <f t="shared" si="570"/>
        <v>181900.96799999996</v>
      </c>
      <c r="W454" s="67">
        <f t="shared" si="571"/>
        <v>15668.677800000001</v>
      </c>
      <c r="X454" s="67">
        <f t="shared" si="572"/>
        <v>811.58516999999995</v>
      </c>
      <c r="Y454" s="76">
        <f t="shared" si="573"/>
        <v>0</v>
      </c>
      <c r="Z454" s="67">
        <f t="shared" si="574"/>
        <v>0</v>
      </c>
      <c r="AA454" s="67">
        <f t="shared" si="575"/>
        <v>0</v>
      </c>
      <c r="AB454" s="68">
        <f t="shared" si="576"/>
        <v>0</v>
      </c>
      <c r="AC454" s="67">
        <f t="shared" si="577"/>
        <v>0</v>
      </c>
      <c r="AD454" s="67">
        <f t="shared" si="578"/>
        <v>0</v>
      </c>
      <c r="AE454" s="67">
        <f t="shared" si="579"/>
        <v>0</v>
      </c>
      <c r="AF454" s="67">
        <f t="shared" si="580"/>
        <v>0</v>
      </c>
      <c r="AG454" s="144">
        <f t="shared" si="581"/>
        <v>60887.083049999994</v>
      </c>
      <c r="AH454" s="67">
        <f t="shared" si="582"/>
        <v>60887.083049999994</v>
      </c>
      <c r="AI454" s="68">
        <f t="shared" si="583"/>
        <v>28460.012400000003</v>
      </c>
      <c r="AJ454" s="2"/>
      <c r="AK454" s="219">
        <v>0.6</v>
      </c>
      <c r="AL454" s="42" t="s">
        <v>287</v>
      </c>
      <c r="AM454" s="62">
        <v>1</v>
      </c>
      <c r="AN454" s="62">
        <v>1</v>
      </c>
      <c r="AO454" s="62">
        <v>1</v>
      </c>
      <c r="AP454" s="62">
        <v>1</v>
      </c>
      <c r="AQ454" s="122"/>
      <c r="AR454" s="62"/>
      <c r="AS454" s="62"/>
      <c r="AT454" s="54"/>
      <c r="AU454" s="62"/>
      <c r="AV454" s="62"/>
      <c r="AW454" s="62"/>
      <c r="AX454" s="62"/>
      <c r="AY454" s="123">
        <v>1</v>
      </c>
      <c r="AZ454" s="62">
        <v>1</v>
      </c>
      <c r="BA454" s="54">
        <v>1</v>
      </c>
      <c r="BB454" s="2"/>
      <c r="BC454" s="42" t="s">
        <v>287</v>
      </c>
      <c r="BD454" s="67">
        <f t="shared" ref="BD454:BO454" si="591">$BC$475*AT479+$AO$475*AF479+$AA$475*R479+$M$475*D479</f>
        <v>561009.86</v>
      </c>
      <c r="BE454" s="67">
        <f t="shared" si="591"/>
        <v>303168.27999999997</v>
      </c>
      <c r="BF454" s="67">
        <f t="shared" si="591"/>
        <v>26114.463000000003</v>
      </c>
      <c r="BG454" s="67">
        <f t="shared" si="591"/>
        <v>1352.64195</v>
      </c>
      <c r="BH454" s="76">
        <f t="shared" si="591"/>
        <v>0</v>
      </c>
      <c r="BI454" s="67">
        <f t="shared" si="591"/>
        <v>0</v>
      </c>
      <c r="BJ454" s="67">
        <f t="shared" si="591"/>
        <v>0</v>
      </c>
      <c r="BK454" s="68">
        <f t="shared" si="591"/>
        <v>0</v>
      </c>
      <c r="BL454" s="67">
        <f t="shared" si="591"/>
        <v>0</v>
      </c>
      <c r="BM454" s="67">
        <f t="shared" si="591"/>
        <v>0</v>
      </c>
      <c r="BN454" s="67">
        <f t="shared" si="591"/>
        <v>0</v>
      </c>
      <c r="BO454" s="67">
        <f t="shared" si="591"/>
        <v>0</v>
      </c>
      <c r="BP454" s="144">
        <f t="shared" si="588"/>
        <v>101478.47175</v>
      </c>
      <c r="BQ454" s="67">
        <f t="shared" si="589"/>
        <v>101478.47175</v>
      </c>
      <c r="BR454" s="68">
        <f t="shared" si="590"/>
        <v>47433.354000000007</v>
      </c>
      <c r="BS454" s="2"/>
    </row>
    <row r="455" spans="1:71" x14ac:dyDescent="0.35">
      <c r="A455" s="2"/>
      <c r="B455" s="2"/>
      <c r="C455" s="42" t="s">
        <v>289</v>
      </c>
      <c r="D455" s="109">
        <f t="shared" si="585"/>
        <v>0.20649287121394647</v>
      </c>
      <c r="E455" s="109">
        <f t="shared" si="556"/>
        <v>0.22545432092293244</v>
      </c>
      <c r="F455" s="109">
        <f t="shared" si="557"/>
        <v>0.18535615334788125</v>
      </c>
      <c r="G455" s="109">
        <f t="shared" si="558"/>
        <v>0.12605772223163683</v>
      </c>
      <c r="H455" s="110">
        <f t="shared" si="559"/>
        <v>0</v>
      </c>
      <c r="I455" s="109">
        <f t="shared" si="560"/>
        <v>0</v>
      </c>
      <c r="J455" s="109">
        <f t="shared" si="561"/>
        <v>0</v>
      </c>
      <c r="K455" s="111">
        <f t="shared" si="562"/>
        <v>0</v>
      </c>
      <c r="L455" s="109">
        <f t="shared" si="563"/>
        <v>0</v>
      </c>
      <c r="M455" s="109">
        <f t="shared" si="564"/>
        <v>0</v>
      </c>
      <c r="N455" s="109">
        <f t="shared" si="565"/>
        <v>0</v>
      </c>
      <c r="O455" s="109">
        <f t="shared" si="566"/>
        <v>0</v>
      </c>
      <c r="P455" s="147">
        <f t="shared" si="567"/>
        <v>0.21904331567094742</v>
      </c>
      <c r="Q455" s="109">
        <f t="shared" si="568"/>
        <v>0.21904331567094742</v>
      </c>
      <c r="R455" s="111">
        <f t="shared" si="569"/>
        <v>0.19494254274879474</v>
      </c>
      <c r="S455" s="2"/>
      <c r="T455" s="42" t="s">
        <v>289</v>
      </c>
      <c r="U455" s="67">
        <f t="shared" si="586"/>
        <v>315273.86</v>
      </c>
      <c r="V455" s="67">
        <f t="shared" si="570"/>
        <v>196002.86400000003</v>
      </c>
      <c r="W455" s="67">
        <f t="shared" si="571"/>
        <v>29105.557200000007</v>
      </c>
      <c r="X455" s="67">
        <f t="shared" si="572"/>
        <v>18643.815400000003</v>
      </c>
      <c r="Y455" s="76">
        <f t="shared" si="573"/>
        <v>0</v>
      </c>
      <c r="Z455" s="67">
        <f t="shared" si="574"/>
        <v>0</v>
      </c>
      <c r="AA455" s="67">
        <f t="shared" si="575"/>
        <v>0</v>
      </c>
      <c r="AB455" s="68">
        <f t="shared" si="576"/>
        <v>0</v>
      </c>
      <c r="AC455" s="67">
        <f t="shared" si="577"/>
        <v>0</v>
      </c>
      <c r="AD455" s="67">
        <f t="shared" si="578"/>
        <v>0</v>
      </c>
      <c r="AE455" s="67">
        <f t="shared" si="579"/>
        <v>0</v>
      </c>
      <c r="AF455" s="67">
        <f t="shared" si="580"/>
        <v>0</v>
      </c>
      <c r="AG455" s="144">
        <f t="shared" si="581"/>
        <v>59668.282400000004</v>
      </c>
      <c r="AH455" s="67">
        <f t="shared" si="582"/>
        <v>59668.282400000004</v>
      </c>
      <c r="AI455" s="68">
        <f t="shared" si="583"/>
        <v>34705.143399999994</v>
      </c>
      <c r="AJ455" s="2"/>
      <c r="AK455" s="219">
        <v>0.4</v>
      </c>
      <c r="AL455" s="42" t="s">
        <v>289</v>
      </c>
      <c r="AM455" s="62">
        <v>1</v>
      </c>
      <c r="AN455" s="62">
        <v>1</v>
      </c>
      <c r="AO455" s="62">
        <v>1</v>
      </c>
      <c r="AP455" s="62">
        <v>1</v>
      </c>
      <c r="AQ455" s="122"/>
      <c r="AR455" s="62"/>
      <c r="AS455" s="62"/>
      <c r="AT455" s="54"/>
      <c r="AU455" s="62"/>
      <c r="AV455" s="62"/>
      <c r="AW455" s="62"/>
      <c r="AX455" s="62"/>
      <c r="AY455" s="123">
        <v>1</v>
      </c>
      <c r="AZ455" s="62">
        <v>1</v>
      </c>
      <c r="BA455" s="54">
        <v>1</v>
      </c>
      <c r="BB455" s="2"/>
      <c r="BC455" s="42" t="s">
        <v>289</v>
      </c>
      <c r="BD455" s="67">
        <f t="shared" ref="BD455:BO455" si="592">$BC$475*AT480+$AO$475*AF480+$AA$475*R480+$M$475*D480</f>
        <v>788184.64999999991</v>
      </c>
      <c r="BE455" s="67">
        <f t="shared" si="592"/>
        <v>490007.16000000003</v>
      </c>
      <c r="BF455" s="67">
        <f t="shared" si="592"/>
        <v>72763.893000000011</v>
      </c>
      <c r="BG455" s="67">
        <f t="shared" si="592"/>
        <v>46609.538500000002</v>
      </c>
      <c r="BH455" s="76">
        <f t="shared" si="592"/>
        <v>0</v>
      </c>
      <c r="BI455" s="67">
        <f t="shared" si="592"/>
        <v>0</v>
      </c>
      <c r="BJ455" s="67">
        <f t="shared" si="592"/>
        <v>0</v>
      </c>
      <c r="BK455" s="68">
        <f t="shared" si="592"/>
        <v>0</v>
      </c>
      <c r="BL455" s="67">
        <f t="shared" si="592"/>
        <v>0</v>
      </c>
      <c r="BM455" s="67">
        <f t="shared" si="592"/>
        <v>0</v>
      </c>
      <c r="BN455" s="67">
        <f t="shared" si="592"/>
        <v>0</v>
      </c>
      <c r="BO455" s="67">
        <f t="shared" si="592"/>
        <v>0</v>
      </c>
      <c r="BP455" s="144">
        <f t="shared" si="588"/>
        <v>149170.70600000001</v>
      </c>
      <c r="BQ455" s="67">
        <f t="shared" si="589"/>
        <v>149170.70600000001</v>
      </c>
      <c r="BR455" s="68">
        <f t="shared" si="590"/>
        <v>86762.858499999988</v>
      </c>
      <c r="BS455" s="2"/>
    </row>
    <row r="456" spans="1:71" x14ac:dyDescent="0.35">
      <c r="A456" s="2"/>
      <c r="B456" s="2"/>
      <c r="C456" s="42" t="s">
        <v>291</v>
      </c>
      <c r="D456" s="109">
        <f t="shared" si="585"/>
        <v>0.10377800129927792</v>
      </c>
      <c r="E456" s="109">
        <f t="shared" si="556"/>
        <v>0.17284773884269805</v>
      </c>
      <c r="F456" s="109">
        <f t="shared" si="557"/>
        <v>0.32959945104571492</v>
      </c>
      <c r="G456" s="109">
        <f t="shared" si="558"/>
        <v>0.38031866548894594</v>
      </c>
      <c r="H456" s="110">
        <f t="shared" si="559"/>
        <v>0</v>
      </c>
      <c r="I456" s="109">
        <f t="shared" si="560"/>
        <v>0</v>
      </c>
      <c r="J456" s="109">
        <f t="shared" si="561"/>
        <v>0</v>
      </c>
      <c r="K456" s="111">
        <f t="shared" si="562"/>
        <v>0</v>
      </c>
      <c r="L456" s="109">
        <f t="shared" si="563"/>
        <v>0</v>
      </c>
      <c r="M456" s="109">
        <f t="shared" si="564"/>
        <v>0</v>
      </c>
      <c r="N456" s="109">
        <f t="shared" si="565"/>
        <v>0</v>
      </c>
      <c r="O456" s="109">
        <f t="shared" si="566"/>
        <v>0</v>
      </c>
      <c r="P456" s="147">
        <f t="shared" si="567"/>
        <v>0.12660097514077387</v>
      </c>
      <c r="Q456" s="109">
        <f t="shared" si="568"/>
        <v>0.12660097514077387</v>
      </c>
      <c r="R456" s="111">
        <f t="shared" si="569"/>
        <v>0.12893034711881973</v>
      </c>
      <c r="S456" s="2"/>
      <c r="T456" s="42" t="s">
        <v>291</v>
      </c>
      <c r="U456" s="67">
        <f t="shared" si="586"/>
        <v>158448.52590000001</v>
      </c>
      <c r="V456" s="67">
        <f t="shared" si="570"/>
        <v>150268.36350000001</v>
      </c>
      <c r="W456" s="67">
        <f t="shared" si="571"/>
        <v>51755.36664</v>
      </c>
      <c r="X456" s="67">
        <f t="shared" si="572"/>
        <v>56248.763400000003</v>
      </c>
      <c r="Y456" s="76">
        <f t="shared" si="573"/>
        <v>0</v>
      </c>
      <c r="Z456" s="67">
        <f t="shared" si="574"/>
        <v>0</v>
      </c>
      <c r="AA456" s="67">
        <f t="shared" si="575"/>
        <v>0</v>
      </c>
      <c r="AB456" s="68">
        <f t="shared" si="576"/>
        <v>0</v>
      </c>
      <c r="AC456" s="67">
        <f t="shared" si="577"/>
        <v>0</v>
      </c>
      <c r="AD456" s="67">
        <f t="shared" si="578"/>
        <v>0</v>
      </c>
      <c r="AE456" s="67">
        <f t="shared" si="579"/>
        <v>0</v>
      </c>
      <c r="AF456" s="67">
        <f t="shared" si="580"/>
        <v>0</v>
      </c>
      <c r="AG456" s="144">
        <f t="shared" si="581"/>
        <v>34486.616099999992</v>
      </c>
      <c r="AH456" s="67">
        <f t="shared" si="582"/>
        <v>34486.616099999992</v>
      </c>
      <c r="AI456" s="68">
        <f t="shared" si="583"/>
        <v>22953.153899999998</v>
      </c>
      <c r="AJ456" s="2"/>
      <c r="AK456" s="219">
        <v>0.3</v>
      </c>
      <c r="AL456" s="42" t="s">
        <v>291</v>
      </c>
      <c r="AM456" s="62">
        <v>0.7</v>
      </c>
      <c r="AN456" s="62">
        <v>0.5</v>
      </c>
      <c r="AO456" s="62">
        <v>0.8</v>
      </c>
      <c r="AP456" s="62">
        <v>2</v>
      </c>
      <c r="AQ456" s="122"/>
      <c r="AR456" s="62"/>
      <c r="AS456" s="62"/>
      <c r="AT456" s="54"/>
      <c r="AU456" s="62"/>
      <c r="AV456" s="62"/>
      <c r="AW456" s="62"/>
      <c r="AX456" s="62"/>
      <c r="AY456" s="123">
        <v>1</v>
      </c>
      <c r="AZ456" s="62">
        <v>1</v>
      </c>
      <c r="BA456" s="54">
        <v>1</v>
      </c>
      <c r="BB456" s="2"/>
      <c r="BC456" s="42" t="s">
        <v>291</v>
      </c>
      <c r="BD456" s="67">
        <f t="shared" ref="BD456:BO456" si="593">$BC$475*AT481+$AO$475*AF481+$AA$475*R481+$M$475*D481</f>
        <v>754516.79</v>
      </c>
      <c r="BE456" s="67">
        <f t="shared" si="593"/>
        <v>1001789.0900000001</v>
      </c>
      <c r="BF456" s="67">
        <f t="shared" si="593"/>
        <v>215647.361</v>
      </c>
      <c r="BG456" s="67">
        <f t="shared" si="593"/>
        <v>93747.939000000013</v>
      </c>
      <c r="BH456" s="76">
        <f t="shared" si="593"/>
        <v>0</v>
      </c>
      <c r="BI456" s="67">
        <f t="shared" si="593"/>
        <v>0</v>
      </c>
      <c r="BJ456" s="67">
        <f t="shared" si="593"/>
        <v>0</v>
      </c>
      <c r="BK456" s="68">
        <f t="shared" si="593"/>
        <v>0</v>
      </c>
      <c r="BL456" s="67">
        <f t="shared" si="593"/>
        <v>0</v>
      </c>
      <c r="BM456" s="67">
        <f t="shared" si="593"/>
        <v>0</v>
      </c>
      <c r="BN456" s="67">
        <f t="shared" si="593"/>
        <v>0</v>
      </c>
      <c r="BO456" s="67">
        <f t="shared" si="593"/>
        <v>0</v>
      </c>
      <c r="BP456" s="144">
        <f t="shared" si="588"/>
        <v>114955.38699999999</v>
      </c>
      <c r="BQ456" s="67">
        <f t="shared" si="589"/>
        <v>114955.38699999999</v>
      </c>
      <c r="BR456" s="68">
        <f t="shared" si="590"/>
        <v>76510.512999999992</v>
      </c>
      <c r="BS456" s="2"/>
    </row>
    <row r="457" spans="1:71" x14ac:dyDescent="0.35">
      <c r="A457" s="2"/>
      <c r="B457" s="2"/>
      <c r="C457" s="39" t="s">
        <v>293</v>
      </c>
      <c r="D457" s="148">
        <f t="shared" si="585"/>
        <v>9.2585833496006738E-3</v>
      </c>
      <c r="E457" s="148">
        <f t="shared" si="556"/>
        <v>3.3831981836435852E-3</v>
      </c>
      <c r="F457" s="148">
        <f t="shared" si="557"/>
        <v>0</v>
      </c>
      <c r="G457" s="148">
        <f t="shared" si="558"/>
        <v>0</v>
      </c>
      <c r="H457" s="149">
        <f t="shared" si="559"/>
        <v>0</v>
      </c>
      <c r="I457" s="148">
        <f t="shared" si="560"/>
        <v>0</v>
      </c>
      <c r="J457" s="148">
        <f t="shared" si="561"/>
        <v>0</v>
      </c>
      <c r="K457" s="150">
        <f t="shared" si="562"/>
        <v>0</v>
      </c>
      <c r="L457" s="148">
        <f t="shared" si="563"/>
        <v>0</v>
      </c>
      <c r="M457" s="148">
        <f t="shared" si="564"/>
        <v>0</v>
      </c>
      <c r="N457" s="148">
        <f t="shared" si="565"/>
        <v>0</v>
      </c>
      <c r="O457" s="148">
        <f t="shared" si="566"/>
        <v>0</v>
      </c>
      <c r="P457" s="151">
        <f t="shared" si="567"/>
        <v>0</v>
      </c>
      <c r="Q457" s="148">
        <f t="shared" si="568"/>
        <v>0</v>
      </c>
      <c r="R457" s="150">
        <f t="shared" si="569"/>
        <v>0</v>
      </c>
      <c r="S457" s="2"/>
      <c r="T457" s="39" t="s">
        <v>293</v>
      </c>
      <c r="U457" s="73">
        <f t="shared" si="586"/>
        <v>14136.029460000002</v>
      </c>
      <c r="V457" s="73">
        <f t="shared" si="570"/>
        <v>2941.2456179999999</v>
      </c>
      <c r="W457" s="73">
        <f t="shared" si="571"/>
        <v>0</v>
      </c>
      <c r="X457" s="73">
        <f t="shared" si="572"/>
        <v>0</v>
      </c>
      <c r="Y457" s="72">
        <f t="shared" si="573"/>
        <v>0</v>
      </c>
      <c r="Z457" s="73">
        <f t="shared" si="574"/>
        <v>0</v>
      </c>
      <c r="AA457" s="73">
        <f t="shared" si="575"/>
        <v>0</v>
      </c>
      <c r="AB457" s="75">
        <f t="shared" si="576"/>
        <v>0</v>
      </c>
      <c r="AC457" s="73">
        <f t="shared" si="577"/>
        <v>0</v>
      </c>
      <c r="AD457" s="73">
        <f t="shared" si="578"/>
        <v>0</v>
      </c>
      <c r="AE457" s="73">
        <f t="shared" si="579"/>
        <v>0</v>
      </c>
      <c r="AF457" s="73">
        <f t="shared" si="580"/>
        <v>0</v>
      </c>
      <c r="AG457" s="145">
        <f t="shared" si="581"/>
        <v>0</v>
      </c>
      <c r="AH457" s="73">
        <f t="shared" si="582"/>
        <v>0</v>
      </c>
      <c r="AI457" s="75">
        <f t="shared" si="583"/>
        <v>0</v>
      </c>
      <c r="AJ457" s="2"/>
      <c r="AK457" s="219">
        <v>6</v>
      </c>
      <c r="AL457" s="39" t="s">
        <v>293</v>
      </c>
      <c r="AM457" s="124">
        <v>1</v>
      </c>
      <c r="AN457" s="124">
        <v>1</v>
      </c>
      <c r="AO457" s="124">
        <v>1</v>
      </c>
      <c r="AP457" s="124">
        <v>1</v>
      </c>
      <c r="AQ457" s="125"/>
      <c r="AR457" s="124"/>
      <c r="AS457" s="124"/>
      <c r="AT457" s="126"/>
      <c r="AU457" s="124"/>
      <c r="AV457" s="124"/>
      <c r="AW457" s="124"/>
      <c r="AX457" s="124"/>
      <c r="AY457" s="130"/>
      <c r="AZ457" s="131"/>
      <c r="BA457" s="132"/>
      <c r="BB457" s="2"/>
      <c r="BC457" s="39" t="s">
        <v>293</v>
      </c>
      <c r="BD457" s="73">
        <f t="shared" ref="BD457:BO457" si="594">$BC$475*AT482+$AO$475*AF482+$AA$475*R482+$M$475*D482</f>
        <v>2356.0049100000001</v>
      </c>
      <c r="BE457" s="73">
        <f t="shared" si="594"/>
        <v>490.20760299999995</v>
      </c>
      <c r="BF457" s="73">
        <f t="shared" si="594"/>
        <v>0</v>
      </c>
      <c r="BG457" s="73">
        <f>BF457/BF458*BG458</f>
        <v>0</v>
      </c>
      <c r="BH457" s="72">
        <f t="shared" si="594"/>
        <v>0</v>
      </c>
      <c r="BI457" s="73">
        <f t="shared" si="594"/>
        <v>0</v>
      </c>
      <c r="BJ457" s="73">
        <f t="shared" si="594"/>
        <v>0</v>
      </c>
      <c r="BK457" s="75">
        <f t="shared" si="594"/>
        <v>0</v>
      </c>
      <c r="BL457" s="73">
        <f t="shared" si="594"/>
        <v>0</v>
      </c>
      <c r="BM457" s="73">
        <f t="shared" si="594"/>
        <v>0</v>
      </c>
      <c r="BN457" s="73">
        <f t="shared" si="594"/>
        <v>0</v>
      </c>
      <c r="BO457" s="73">
        <f t="shared" si="594"/>
        <v>0</v>
      </c>
      <c r="BP457" s="145">
        <f t="shared" si="588"/>
        <v>53.074213</v>
      </c>
      <c r="BQ457" s="73">
        <f t="shared" si="589"/>
        <v>53.074213</v>
      </c>
      <c r="BR457" s="75">
        <f t="shared" si="590"/>
        <v>18.675799999999999</v>
      </c>
      <c r="BS457" s="2"/>
    </row>
    <row r="458" spans="1:71" x14ac:dyDescent="0.35">
      <c r="A458" s="2"/>
      <c r="B458" s="2"/>
      <c r="C458" s="42" t="s">
        <v>295</v>
      </c>
      <c r="D458" s="109">
        <f t="shared" si="585"/>
        <v>3.1128254557691616E-3</v>
      </c>
      <c r="E458" s="109">
        <f t="shared" si="556"/>
        <v>3.7687681710203524E-3</v>
      </c>
      <c r="F458" s="109">
        <f t="shared" si="557"/>
        <v>1.9443243066954092E-3</v>
      </c>
      <c r="G458" s="109">
        <f t="shared" si="558"/>
        <v>0</v>
      </c>
      <c r="H458" s="110">
        <f t="shared" si="559"/>
        <v>0</v>
      </c>
      <c r="I458" s="109">
        <f t="shared" si="560"/>
        <v>0</v>
      </c>
      <c r="J458" s="109">
        <f t="shared" si="561"/>
        <v>0</v>
      </c>
      <c r="K458" s="111">
        <f t="shared" si="562"/>
        <v>0</v>
      </c>
      <c r="L458" s="109">
        <f t="shared" si="563"/>
        <v>0</v>
      </c>
      <c r="M458" s="109">
        <f t="shared" si="564"/>
        <v>0</v>
      </c>
      <c r="N458" s="109">
        <f t="shared" si="565"/>
        <v>0</v>
      </c>
      <c r="O458" s="109">
        <f t="shared" si="566"/>
        <v>0</v>
      </c>
      <c r="P458" s="147">
        <f t="shared" si="567"/>
        <v>0</v>
      </c>
      <c r="Q458" s="109">
        <f t="shared" si="568"/>
        <v>0</v>
      </c>
      <c r="R458" s="111">
        <f t="shared" si="569"/>
        <v>0</v>
      </c>
      <c r="S458" s="2"/>
      <c r="T458" s="42" t="s">
        <v>295</v>
      </c>
      <c r="U458" s="67">
        <f t="shared" si="586"/>
        <v>4752.67011</v>
      </c>
      <c r="V458" s="67">
        <f t="shared" si="570"/>
        <v>3276.4479839999999</v>
      </c>
      <c r="W458" s="67">
        <f t="shared" si="571"/>
        <v>305.30759999999998</v>
      </c>
      <c r="X458" s="67">
        <f t="shared" si="572"/>
        <v>0</v>
      </c>
      <c r="Y458" s="76">
        <f t="shared" si="573"/>
        <v>0</v>
      </c>
      <c r="Z458" s="67">
        <f t="shared" si="574"/>
        <v>0</v>
      </c>
      <c r="AA458" s="67">
        <f t="shared" si="575"/>
        <v>0</v>
      </c>
      <c r="AB458" s="68">
        <f t="shared" si="576"/>
        <v>0</v>
      </c>
      <c r="AC458" s="67">
        <f t="shared" si="577"/>
        <v>0</v>
      </c>
      <c r="AD458" s="67">
        <f t="shared" si="578"/>
        <v>0</v>
      </c>
      <c r="AE458" s="67">
        <f t="shared" si="579"/>
        <v>0</v>
      </c>
      <c r="AF458" s="67">
        <f t="shared" si="580"/>
        <v>0</v>
      </c>
      <c r="AG458" s="144">
        <f t="shared" si="581"/>
        <v>0</v>
      </c>
      <c r="AH458" s="67">
        <f t="shared" si="582"/>
        <v>0</v>
      </c>
      <c r="AI458" s="68">
        <f t="shared" si="583"/>
        <v>0</v>
      </c>
      <c r="AJ458" s="2"/>
      <c r="AK458" s="219">
        <v>6</v>
      </c>
      <c r="AL458" s="42" t="s">
        <v>295</v>
      </c>
      <c r="AM458" s="62">
        <v>1</v>
      </c>
      <c r="AN458" s="62">
        <v>1</v>
      </c>
      <c r="AO458" s="62">
        <v>1</v>
      </c>
      <c r="AP458" s="62">
        <v>1</v>
      </c>
      <c r="AQ458" s="122"/>
      <c r="AR458" s="62"/>
      <c r="AS458" s="62"/>
      <c r="AT458" s="54"/>
      <c r="AU458" s="62"/>
      <c r="AV458" s="62"/>
      <c r="AW458" s="62"/>
      <c r="AX458" s="62"/>
      <c r="AY458" s="133"/>
      <c r="AZ458" s="134"/>
      <c r="BA458" s="135"/>
      <c r="BB458" s="2"/>
      <c r="BC458" s="42" t="s">
        <v>295</v>
      </c>
      <c r="BD458" s="67">
        <f t="shared" ref="BD458:BO458" si="595">$BC$475*AT483+$AO$475*AF483+$AA$475*R483+$M$475*D483</f>
        <v>792.11168499999997</v>
      </c>
      <c r="BE458" s="67">
        <f t="shared" si="595"/>
        <v>546.07466399999998</v>
      </c>
      <c r="BF458" s="67">
        <f t="shared" si="595"/>
        <v>50.884599999999999</v>
      </c>
      <c r="BG458" s="67">
        <f t="shared" si="595"/>
        <v>0</v>
      </c>
      <c r="BH458" s="76">
        <f t="shared" si="595"/>
        <v>0</v>
      </c>
      <c r="BI458" s="67">
        <f t="shared" si="595"/>
        <v>0</v>
      </c>
      <c r="BJ458" s="67">
        <f t="shared" si="595"/>
        <v>0</v>
      </c>
      <c r="BK458" s="68">
        <f t="shared" si="595"/>
        <v>0</v>
      </c>
      <c r="BL458" s="67">
        <f t="shared" si="595"/>
        <v>0</v>
      </c>
      <c r="BM458" s="67">
        <f t="shared" si="595"/>
        <v>0</v>
      </c>
      <c r="BN458" s="67">
        <f t="shared" si="595"/>
        <v>0</v>
      </c>
      <c r="BO458" s="67">
        <f t="shared" si="595"/>
        <v>0</v>
      </c>
      <c r="BP458" s="144">
        <f t="shared" si="588"/>
        <v>20.603793</v>
      </c>
      <c r="BQ458" s="67">
        <f t="shared" si="589"/>
        <v>20.603793</v>
      </c>
      <c r="BR458" s="68">
        <f t="shared" si="590"/>
        <v>4.488556</v>
      </c>
      <c r="BS458" s="2"/>
    </row>
    <row r="459" spans="1:71" x14ac:dyDescent="0.35">
      <c r="A459" s="2"/>
      <c r="B459" s="2"/>
      <c r="C459" s="42" t="s">
        <v>297</v>
      </c>
      <c r="D459" s="109">
        <f t="shared" si="585"/>
        <v>1.0525273519579751E-2</v>
      </c>
      <c r="E459" s="109">
        <f t="shared" si="556"/>
        <v>9.9784499272309712E-3</v>
      </c>
      <c r="F459" s="109">
        <f t="shared" si="557"/>
        <v>1.2743830622920414E-2</v>
      </c>
      <c r="G459" s="109">
        <f t="shared" si="558"/>
        <v>0</v>
      </c>
      <c r="H459" s="110">
        <f t="shared" si="559"/>
        <v>0</v>
      </c>
      <c r="I459" s="109">
        <f t="shared" si="560"/>
        <v>0</v>
      </c>
      <c r="J459" s="109">
        <f t="shared" si="561"/>
        <v>0</v>
      </c>
      <c r="K459" s="111">
        <f t="shared" si="562"/>
        <v>0</v>
      </c>
      <c r="L459" s="109">
        <f t="shared" si="563"/>
        <v>0</v>
      </c>
      <c r="M459" s="109">
        <f t="shared" si="564"/>
        <v>0</v>
      </c>
      <c r="N459" s="109">
        <f t="shared" si="565"/>
        <v>0</v>
      </c>
      <c r="O459" s="109">
        <f t="shared" si="566"/>
        <v>0</v>
      </c>
      <c r="P459" s="147">
        <f t="shared" si="567"/>
        <v>0</v>
      </c>
      <c r="Q459" s="109">
        <f t="shared" si="568"/>
        <v>0</v>
      </c>
      <c r="R459" s="111">
        <f t="shared" si="569"/>
        <v>0</v>
      </c>
      <c r="S459" s="2"/>
      <c r="T459" s="42" t="s">
        <v>297</v>
      </c>
      <c r="U459" s="67">
        <f t="shared" si="586"/>
        <v>16070.015350000001</v>
      </c>
      <c r="V459" s="67">
        <f t="shared" si="570"/>
        <v>8674.949125000001</v>
      </c>
      <c r="W459" s="67">
        <f t="shared" si="571"/>
        <v>2001.1005</v>
      </c>
      <c r="X459" s="67">
        <f t="shared" si="572"/>
        <v>0</v>
      </c>
      <c r="Y459" s="76">
        <f t="shared" si="573"/>
        <v>0</v>
      </c>
      <c r="Z459" s="67">
        <f t="shared" si="574"/>
        <v>0</v>
      </c>
      <c r="AA459" s="67">
        <f t="shared" si="575"/>
        <v>0</v>
      </c>
      <c r="AB459" s="68">
        <f t="shared" si="576"/>
        <v>0</v>
      </c>
      <c r="AC459" s="67">
        <f t="shared" si="577"/>
        <v>0</v>
      </c>
      <c r="AD459" s="67">
        <f t="shared" si="578"/>
        <v>0</v>
      </c>
      <c r="AE459" s="67">
        <f t="shared" si="579"/>
        <v>0</v>
      </c>
      <c r="AF459" s="67">
        <f t="shared" si="580"/>
        <v>0</v>
      </c>
      <c r="AG459" s="144">
        <f t="shared" si="581"/>
        <v>0</v>
      </c>
      <c r="AH459" s="67">
        <f t="shared" si="582"/>
        <v>0</v>
      </c>
      <c r="AI459" s="68">
        <f t="shared" si="583"/>
        <v>0</v>
      </c>
      <c r="AJ459" s="2"/>
      <c r="AK459" s="219">
        <v>5</v>
      </c>
      <c r="AL459" s="42" t="s">
        <v>297</v>
      </c>
      <c r="AM459" s="62">
        <v>1</v>
      </c>
      <c r="AN459" s="62">
        <v>1</v>
      </c>
      <c r="AO459" s="62">
        <v>1</v>
      </c>
      <c r="AP459" s="62">
        <v>1.5</v>
      </c>
      <c r="AQ459" s="122"/>
      <c r="AR459" s="62"/>
      <c r="AS459" s="62"/>
      <c r="AT459" s="54"/>
      <c r="AU459" s="62"/>
      <c r="AV459" s="62"/>
      <c r="AW459" s="62"/>
      <c r="AX459" s="62"/>
      <c r="AY459" s="133"/>
      <c r="AZ459" s="134"/>
      <c r="BA459" s="135"/>
      <c r="BB459" s="2"/>
      <c r="BC459" s="42" t="s">
        <v>297</v>
      </c>
      <c r="BD459" s="67">
        <f t="shared" ref="BD459:BO459" si="596">$BC$475*AT484+$AO$475*AF484+$AA$475*R484+$M$475*D484</f>
        <v>3214.0030700000002</v>
      </c>
      <c r="BE459" s="67">
        <f t="shared" si="596"/>
        <v>1734.9898250000001</v>
      </c>
      <c r="BF459" s="67">
        <f t="shared" si="596"/>
        <v>400.2201</v>
      </c>
      <c r="BG459" s="67">
        <f t="shared" si="596"/>
        <v>0</v>
      </c>
      <c r="BH459" s="76">
        <f t="shared" si="596"/>
        <v>0</v>
      </c>
      <c r="BI459" s="67">
        <f t="shared" si="596"/>
        <v>0</v>
      </c>
      <c r="BJ459" s="67">
        <f t="shared" si="596"/>
        <v>0</v>
      </c>
      <c r="BK459" s="68">
        <f t="shared" si="596"/>
        <v>0</v>
      </c>
      <c r="BL459" s="67">
        <f t="shared" si="596"/>
        <v>0</v>
      </c>
      <c r="BM459" s="67">
        <f t="shared" si="596"/>
        <v>0</v>
      </c>
      <c r="BN459" s="67">
        <f t="shared" si="596"/>
        <v>0</v>
      </c>
      <c r="BO459" s="67">
        <f t="shared" si="596"/>
        <v>0</v>
      </c>
      <c r="BP459" s="144">
        <f t="shared" si="588"/>
        <v>43.153111000000003</v>
      </c>
      <c r="BQ459" s="67">
        <f t="shared" si="589"/>
        <v>43.153111000000003</v>
      </c>
      <c r="BR459" s="68">
        <f t="shared" si="590"/>
        <v>35.423883999999994</v>
      </c>
      <c r="BS459" s="2"/>
    </row>
    <row r="460" spans="1:71" x14ac:dyDescent="0.35">
      <c r="A460" s="2"/>
      <c r="B460" s="2"/>
      <c r="C460" s="42" t="s">
        <v>299</v>
      </c>
      <c r="D460" s="109">
        <f t="shared" si="585"/>
        <v>6.0890531482528251E-2</v>
      </c>
      <c r="E460" s="109">
        <f t="shared" si="556"/>
        <v>6.2007004590638147E-2</v>
      </c>
      <c r="F460" s="109">
        <f t="shared" si="557"/>
        <v>0.10484692164106461</v>
      </c>
      <c r="G460" s="109">
        <f t="shared" si="558"/>
        <v>6.8621996346284644E-2</v>
      </c>
      <c r="H460" s="110">
        <f t="shared" si="559"/>
        <v>0</v>
      </c>
      <c r="I460" s="109">
        <f t="shared" si="560"/>
        <v>0</v>
      </c>
      <c r="J460" s="109">
        <f t="shared" si="561"/>
        <v>0</v>
      </c>
      <c r="K460" s="111">
        <f t="shared" si="562"/>
        <v>0</v>
      </c>
      <c r="L460" s="109">
        <f t="shared" si="563"/>
        <v>0</v>
      </c>
      <c r="M460" s="109">
        <f t="shared" si="564"/>
        <v>0</v>
      </c>
      <c r="N460" s="109">
        <f t="shared" si="565"/>
        <v>0</v>
      </c>
      <c r="O460" s="109">
        <f t="shared" si="566"/>
        <v>0</v>
      </c>
      <c r="P460" s="147">
        <f t="shared" si="567"/>
        <v>0</v>
      </c>
      <c r="Q460" s="109">
        <f t="shared" si="568"/>
        <v>0</v>
      </c>
      <c r="R460" s="111">
        <f t="shared" si="569"/>
        <v>0</v>
      </c>
      <c r="S460" s="2"/>
      <c r="T460" s="42" t="s">
        <v>299</v>
      </c>
      <c r="U460" s="67">
        <f t="shared" si="586"/>
        <v>92967.82395000002</v>
      </c>
      <c r="V460" s="67">
        <f t="shared" si="570"/>
        <v>53906.930849999997</v>
      </c>
      <c r="W460" s="67">
        <f t="shared" si="571"/>
        <v>16463.591955000004</v>
      </c>
      <c r="X460" s="67">
        <f t="shared" si="572"/>
        <v>10149.127</v>
      </c>
      <c r="Y460" s="76">
        <f t="shared" si="573"/>
        <v>0</v>
      </c>
      <c r="Z460" s="67">
        <f t="shared" si="574"/>
        <v>0</v>
      </c>
      <c r="AA460" s="67">
        <f t="shared" si="575"/>
        <v>0</v>
      </c>
      <c r="AB460" s="68">
        <f t="shared" si="576"/>
        <v>0</v>
      </c>
      <c r="AC460" s="67">
        <f t="shared" si="577"/>
        <v>0</v>
      </c>
      <c r="AD460" s="67">
        <f t="shared" si="578"/>
        <v>0</v>
      </c>
      <c r="AE460" s="67">
        <f t="shared" si="579"/>
        <v>0</v>
      </c>
      <c r="AF460" s="67">
        <f t="shared" si="580"/>
        <v>0</v>
      </c>
      <c r="AG460" s="144">
        <f t="shared" si="581"/>
        <v>0</v>
      </c>
      <c r="AH460" s="67">
        <f t="shared" si="582"/>
        <v>0</v>
      </c>
      <c r="AI460" s="68">
        <f t="shared" si="583"/>
        <v>0</v>
      </c>
      <c r="AJ460" s="2"/>
      <c r="AK460" s="219">
        <v>5</v>
      </c>
      <c r="AL460" s="42" t="s">
        <v>299</v>
      </c>
      <c r="AM460" s="62">
        <v>1</v>
      </c>
      <c r="AN460" s="62">
        <v>1</v>
      </c>
      <c r="AO460" s="62">
        <v>1</v>
      </c>
      <c r="AP460" s="62">
        <v>1</v>
      </c>
      <c r="AQ460" s="122"/>
      <c r="AR460" s="62"/>
      <c r="AS460" s="62"/>
      <c r="AT460" s="54"/>
      <c r="AU460" s="62"/>
      <c r="AV460" s="62"/>
      <c r="AW460" s="62"/>
      <c r="AX460" s="62"/>
      <c r="AY460" s="133"/>
      <c r="AZ460" s="134"/>
      <c r="BA460" s="135"/>
      <c r="BB460" s="2"/>
      <c r="BC460" s="42" t="s">
        <v>299</v>
      </c>
      <c r="BD460" s="67">
        <f t="shared" ref="BD460:BO460" si="597">$BC$475*AT485+$AO$475*AF485+$AA$475*R485+$M$475*D485</f>
        <v>18593.564790000004</v>
      </c>
      <c r="BE460" s="67">
        <f t="shared" si="597"/>
        <v>10781.38617</v>
      </c>
      <c r="BF460" s="67">
        <f t="shared" si="597"/>
        <v>3292.7183910000003</v>
      </c>
      <c r="BG460" s="67">
        <f t="shared" si="597"/>
        <v>2029.8253999999999</v>
      </c>
      <c r="BH460" s="76">
        <f t="shared" si="597"/>
        <v>0</v>
      </c>
      <c r="BI460" s="67">
        <f t="shared" si="597"/>
        <v>0</v>
      </c>
      <c r="BJ460" s="67">
        <f t="shared" si="597"/>
        <v>0</v>
      </c>
      <c r="BK460" s="68">
        <f t="shared" si="597"/>
        <v>0</v>
      </c>
      <c r="BL460" s="67">
        <f t="shared" si="597"/>
        <v>0</v>
      </c>
      <c r="BM460" s="67">
        <f t="shared" si="597"/>
        <v>0</v>
      </c>
      <c r="BN460" s="67">
        <f t="shared" si="597"/>
        <v>0</v>
      </c>
      <c r="BO460" s="67">
        <f t="shared" si="597"/>
        <v>0</v>
      </c>
      <c r="BP460" s="144">
        <f t="shared" si="588"/>
        <v>130.71226000000001</v>
      </c>
      <c r="BQ460" s="67">
        <f t="shared" si="589"/>
        <v>130.71226000000001</v>
      </c>
      <c r="BR460" s="68">
        <f t="shared" si="590"/>
        <v>265.977891</v>
      </c>
      <c r="BS460" s="2"/>
    </row>
    <row r="461" spans="1:71" x14ac:dyDescent="0.35">
      <c r="A461" s="2"/>
      <c r="B461" s="2"/>
      <c r="C461" s="45" t="s">
        <v>301</v>
      </c>
      <c r="D461" s="112">
        <f t="shared" si="585"/>
        <v>1.5863055417533248E-2</v>
      </c>
      <c r="E461" s="112">
        <f t="shared" si="556"/>
        <v>4.3509481516718414E-2</v>
      </c>
      <c r="F461" s="112">
        <f t="shared" si="557"/>
        <v>0.18049355458604416</v>
      </c>
      <c r="G461" s="112">
        <f t="shared" si="558"/>
        <v>0.41221055554966157</v>
      </c>
      <c r="H461" s="113">
        <f t="shared" si="559"/>
        <v>0</v>
      </c>
      <c r="I461" s="112">
        <f t="shared" si="560"/>
        <v>0</v>
      </c>
      <c r="J461" s="112">
        <f t="shared" si="561"/>
        <v>0</v>
      </c>
      <c r="K461" s="114">
        <f t="shared" si="562"/>
        <v>0</v>
      </c>
      <c r="L461" s="112">
        <f t="shared" si="563"/>
        <v>0</v>
      </c>
      <c r="M461" s="112">
        <f t="shared" si="564"/>
        <v>0</v>
      </c>
      <c r="N461" s="112">
        <f t="shared" si="565"/>
        <v>0</v>
      </c>
      <c r="O461" s="112">
        <f t="shared" si="566"/>
        <v>0</v>
      </c>
      <c r="P461" s="152">
        <f t="shared" si="567"/>
        <v>0</v>
      </c>
      <c r="Q461" s="112">
        <f t="shared" si="568"/>
        <v>0</v>
      </c>
      <c r="R461" s="114">
        <f t="shared" si="569"/>
        <v>0</v>
      </c>
      <c r="S461" s="2"/>
      <c r="T461" s="45" t="s">
        <v>301</v>
      </c>
      <c r="U461" s="69">
        <f t="shared" si="586"/>
        <v>24219.754819999998</v>
      </c>
      <c r="V461" s="69">
        <f t="shared" si="570"/>
        <v>37825.768667999997</v>
      </c>
      <c r="W461" s="69">
        <f t="shared" si="571"/>
        <v>28342.007440000001</v>
      </c>
      <c r="X461" s="69">
        <f t="shared" si="572"/>
        <v>60965.543145999996</v>
      </c>
      <c r="Y461" s="77">
        <f t="shared" si="573"/>
        <v>0</v>
      </c>
      <c r="Z461" s="69">
        <f t="shared" si="574"/>
        <v>0</v>
      </c>
      <c r="AA461" s="69">
        <f t="shared" si="575"/>
        <v>0</v>
      </c>
      <c r="AB461" s="71">
        <f t="shared" si="576"/>
        <v>0</v>
      </c>
      <c r="AC461" s="69">
        <f t="shared" si="577"/>
        <v>0</v>
      </c>
      <c r="AD461" s="69">
        <f t="shared" si="578"/>
        <v>0</v>
      </c>
      <c r="AE461" s="69">
        <f t="shared" si="579"/>
        <v>0</v>
      </c>
      <c r="AF461" s="69">
        <f t="shared" si="580"/>
        <v>0</v>
      </c>
      <c r="AG461" s="146">
        <f t="shared" si="581"/>
        <v>0</v>
      </c>
      <c r="AH461" s="69">
        <f t="shared" si="582"/>
        <v>0</v>
      </c>
      <c r="AI461" s="71">
        <f t="shared" si="583"/>
        <v>0</v>
      </c>
      <c r="AJ461" s="2"/>
      <c r="AK461" s="219">
        <v>2</v>
      </c>
      <c r="AL461" s="45" t="s">
        <v>301</v>
      </c>
      <c r="AM461" s="63">
        <v>1</v>
      </c>
      <c r="AN461" s="63">
        <v>1</v>
      </c>
      <c r="AO461" s="63">
        <v>1</v>
      </c>
      <c r="AP461" s="63">
        <v>1</v>
      </c>
      <c r="AQ461" s="128"/>
      <c r="AR461" s="63"/>
      <c r="AS461" s="63"/>
      <c r="AT461" s="61"/>
      <c r="AU461" s="63"/>
      <c r="AV461" s="63"/>
      <c r="AW461" s="63"/>
      <c r="AX461" s="63"/>
      <c r="AY461" s="136"/>
      <c r="AZ461" s="137"/>
      <c r="BA461" s="138"/>
      <c r="BB461" s="2"/>
      <c r="BC461" s="45" t="s">
        <v>301</v>
      </c>
      <c r="BD461" s="69">
        <f t="shared" ref="BD461:BO461" si="598">$BC$475*AT486+$AO$475*AF486+$AA$475*R486+$M$475*D486</f>
        <v>12109.877409999999</v>
      </c>
      <c r="BE461" s="69">
        <f t="shared" si="598"/>
        <v>18912.884333999998</v>
      </c>
      <c r="BF461" s="69">
        <f t="shared" si="598"/>
        <v>14171.003720000001</v>
      </c>
      <c r="BG461" s="69">
        <f t="shared" si="598"/>
        <v>30482.771572999998</v>
      </c>
      <c r="BH461" s="77">
        <f t="shared" si="598"/>
        <v>0</v>
      </c>
      <c r="BI461" s="69">
        <f t="shared" si="598"/>
        <v>0</v>
      </c>
      <c r="BJ461" s="69">
        <f t="shared" si="598"/>
        <v>0</v>
      </c>
      <c r="BK461" s="71">
        <f t="shared" si="598"/>
        <v>0</v>
      </c>
      <c r="BL461" s="69">
        <f t="shared" si="598"/>
        <v>0</v>
      </c>
      <c r="BM461" s="69">
        <f t="shared" si="598"/>
        <v>0</v>
      </c>
      <c r="BN461" s="69">
        <f t="shared" si="598"/>
        <v>0</v>
      </c>
      <c r="BO461" s="69">
        <f t="shared" si="598"/>
        <v>0</v>
      </c>
      <c r="BP461" s="146">
        <f t="shared" si="588"/>
        <v>216.689064</v>
      </c>
      <c r="BQ461" s="69">
        <f t="shared" si="589"/>
        <v>216.689064</v>
      </c>
      <c r="BR461" s="71">
        <f t="shared" si="590"/>
        <v>708.66997300000003</v>
      </c>
      <c r="BS461" s="2"/>
    </row>
    <row r="462" spans="1:71" x14ac:dyDescent="0.35">
      <c r="A462" s="2"/>
      <c r="B462" s="2"/>
      <c r="C462" s="42" t="s">
        <v>303</v>
      </c>
      <c r="D462" s="109">
        <f t="shared" si="585"/>
        <v>0</v>
      </c>
      <c r="E462" s="109">
        <f t="shared" si="556"/>
        <v>0</v>
      </c>
      <c r="F462" s="109">
        <f t="shared" si="557"/>
        <v>0</v>
      </c>
      <c r="G462" s="109">
        <f t="shared" si="558"/>
        <v>0</v>
      </c>
      <c r="H462" s="110">
        <f t="shared" si="559"/>
        <v>0.15180033996701942</v>
      </c>
      <c r="I462" s="109">
        <f t="shared" si="560"/>
        <v>5.8134351107532088E-2</v>
      </c>
      <c r="J462" s="109">
        <f t="shared" si="561"/>
        <v>6.1220309451348459E-3</v>
      </c>
      <c r="K462" s="111">
        <f t="shared" si="562"/>
        <v>1.7944513159867635E-3</v>
      </c>
      <c r="L462" s="109">
        <f t="shared" si="563"/>
        <v>0</v>
      </c>
      <c r="M462" s="109">
        <f t="shared" si="564"/>
        <v>0</v>
      </c>
      <c r="N462" s="109">
        <f t="shared" si="565"/>
        <v>0</v>
      </c>
      <c r="O462" s="109">
        <f t="shared" si="566"/>
        <v>0</v>
      </c>
      <c r="P462" s="147">
        <f t="shared" si="567"/>
        <v>6.4778837750633454E-3</v>
      </c>
      <c r="Q462" s="109">
        <f t="shared" si="568"/>
        <v>6.4778837750633454E-3</v>
      </c>
      <c r="R462" s="111">
        <f t="shared" si="569"/>
        <v>5.6056851675149923E-3</v>
      </c>
      <c r="S462" s="2"/>
      <c r="T462" s="42" t="s">
        <v>303</v>
      </c>
      <c r="U462" s="67">
        <f t="shared" si="586"/>
        <v>0</v>
      </c>
      <c r="V462" s="67">
        <f t="shared" si="570"/>
        <v>0</v>
      </c>
      <c r="W462" s="67">
        <f t="shared" si="571"/>
        <v>0</v>
      </c>
      <c r="X462" s="67">
        <f t="shared" si="572"/>
        <v>0</v>
      </c>
      <c r="Y462" s="76">
        <f t="shared" si="573"/>
        <v>48403.527999999991</v>
      </c>
      <c r="Z462" s="67">
        <f t="shared" si="574"/>
        <v>13738.8994</v>
      </c>
      <c r="AA462" s="67">
        <f t="shared" si="575"/>
        <v>1144.06312</v>
      </c>
      <c r="AB462" s="68">
        <f t="shared" si="576"/>
        <v>318.1945808994289</v>
      </c>
      <c r="AC462" s="67">
        <f t="shared" si="577"/>
        <v>0</v>
      </c>
      <c r="AD462" s="67">
        <f t="shared" si="578"/>
        <v>0</v>
      </c>
      <c r="AE462" s="67">
        <f t="shared" si="579"/>
        <v>0</v>
      </c>
      <c r="AF462" s="67">
        <f t="shared" si="580"/>
        <v>0</v>
      </c>
      <c r="AG462" s="144">
        <f t="shared" si="581"/>
        <v>1764.6016599999998</v>
      </c>
      <c r="AH462" s="67">
        <f t="shared" si="582"/>
        <v>1764.6016599999998</v>
      </c>
      <c r="AI462" s="68">
        <f t="shared" si="583"/>
        <v>997.96640000000002</v>
      </c>
      <c r="AJ462" s="2"/>
      <c r="AK462" s="219">
        <v>2</v>
      </c>
      <c r="AL462" s="42" t="s">
        <v>303</v>
      </c>
      <c r="AM462" s="62"/>
      <c r="AN462" s="62"/>
      <c r="AO462" s="62"/>
      <c r="AP462" s="62"/>
      <c r="AQ462" s="122">
        <v>1</v>
      </c>
      <c r="AR462" s="62">
        <v>1</v>
      </c>
      <c r="AS462" s="62">
        <v>1</v>
      </c>
      <c r="AT462" s="54">
        <v>1</v>
      </c>
      <c r="AU462" s="62"/>
      <c r="AV462" s="62"/>
      <c r="AW462" s="62"/>
      <c r="AX462" s="62"/>
      <c r="AY462" s="123">
        <v>1</v>
      </c>
      <c r="AZ462" s="62">
        <v>1</v>
      </c>
      <c r="BA462" s="54">
        <v>1</v>
      </c>
      <c r="BB462" s="2"/>
      <c r="BC462" s="42" t="s">
        <v>303</v>
      </c>
      <c r="BD462" s="67">
        <f t="shared" ref="BD462:BO462" si="599">$BC$475*AT487+$AO$475*AF487+$AA$475*R487+$M$475*D487</f>
        <v>0</v>
      </c>
      <c r="BE462" s="67">
        <f t="shared" si="599"/>
        <v>0</v>
      </c>
      <c r="BF462" s="67">
        <f t="shared" si="599"/>
        <v>0</v>
      </c>
      <c r="BG462" s="67">
        <f t="shared" si="599"/>
        <v>0</v>
      </c>
      <c r="BH462" s="76">
        <f t="shared" si="599"/>
        <v>24201.763999999996</v>
      </c>
      <c r="BI462" s="67">
        <f t="shared" si="599"/>
        <v>6869.4497000000001</v>
      </c>
      <c r="BJ462" s="67">
        <f t="shared" si="599"/>
        <v>572.03156000000001</v>
      </c>
      <c r="BK462" s="68">
        <f t="shared" ref="BK462" si="600">BJ462/BJ463*BK463</f>
        <v>159.09729044971445</v>
      </c>
      <c r="BL462" s="67">
        <f t="shared" si="599"/>
        <v>0</v>
      </c>
      <c r="BM462" s="67">
        <f t="shared" si="599"/>
        <v>0</v>
      </c>
      <c r="BN462" s="67">
        <f t="shared" si="599"/>
        <v>0</v>
      </c>
      <c r="BO462" s="67">
        <f t="shared" si="599"/>
        <v>0</v>
      </c>
      <c r="BP462" s="144">
        <f t="shared" si="588"/>
        <v>882.30082999999991</v>
      </c>
      <c r="BQ462" s="67">
        <f t="shared" si="589"/>
        <v>882.30082999999991</v>
      </c>
      <c r="BR462" s="68">
        <f t="shared" si="590"/>
        <v>498.98320000000001</v>
      </c>
      <c r="BS462" s="2"/>
    </row>
    <row r="463" spans="1:71" x14ac:dyDescent="0.35">
      <c r="A463" s="2"/>
      <c r="B463" s="2"/>
      <c r="C463" s="42" t="s">
        <v>305</v>
      </c>
      <c r="D463" s="109">
        <f t="shared" si="585"/>
        <v>0</v>
      </c>
      <c r="E463" s="109">
        <f t="shared" si="556"/>
        <v>0</v>
      </c>
      <c r="F463" s="109">
        <f t="shared" si="557"/>
        <v>0</v>
      </c>
      <c r="G463" s="109">
        <f t="shared" si="558"/>
        <v>0</v>
      </c>
      <c r="H463" s="110">
        <f t="shared" si="559"/>
        <v>0.15009388118089237</v>
      </c>
      <c r="I463" s="109">
        <f t="shared" si="560"/>
        <v>7.9049771700914886E-2</v>
      </c>
      <c r="J463" s="109">
        <f t="shared" si="561"/>
        <v>1.2260127053967552E-2</v>
      </c>
      <c r="K463" s="111">
        <f t="shared" si="562"/>
        <v>3.5936115520030926E-3</v>
      </c>
      <c r="L463" s="109">
        <f t="shared" si="563"/>
        <v>0</v>
      </c>
      <c r="M463" s="109">
        <f t="shared" si="564"/>
        <v>0</v>
      </c>
      <c r="N463" s="109">
        <f t="shared" si="565"/>
        <v>0</v>
      </c>
      <c r="O463" s="109">
        <f t="shared" si="566"/>
        <v>0</v>
      </c>
      <c r="P463" s="147">
        <f t="shared" si="567"/>
        <v>5.999391885715845E-3</v>
      </c>
      <c r="Q463" s="109">
        <f t="shared" si="568"/>
        <v>5.999391885715845E-3</v>
      </c>
      <c r="R463" s="111">
        <f t="shared" si="569"/>
        <v>6.2917267356026813E-3</v>
      </c>
      <c r="S463" s="2"/>
      <c r="T463" s="42" t="s">
        <v>305</v>
      </c>
      <c r="U463" s="67">
        <f t="shared" si="586"/>
        <v>0</v>
      </c>
      <c r="V463" s="67">
        <f t="shared" si="570"/>
        <v>0</v>
      </c>
      <c r="W463" s="67">
        <f t="shared" si="571"/>
        <v>0</v>
      </c>
      <c r="X463" s="67">
        <f t="shared" si="572"/>
        <v>0</v>
      </c>
      <c r="Y463" s="76">
        <f t="shared" si="573"/>
        <v>47859.401250000003</v>
      </c>
      <c r="Z463" s="67">
        <f t="shared" si="574"/>
        <v>18681.843700000001</v>
      </c>
      <c r="AA463" s="67">
        <f t="shared" si="575"/>
        <v>2291.12844</v>
      </c>
      <c r="AB463" s="68">
        <f t="shared" si="576"/>
        <v>637.22415398947771</v>
      </c>
      <c r="AC463" s="67">
        <f t="shared" si="577"/>
        <v>0</v>
      </c>
      <c r="AD463" s="67">
        <f t="shared" si="578"/>
        <v>0</v>
      </c>
      <c r="AE463" s="67">
        <f t="shared" si="579"/>
        <v>0</v>
      </c>
      <c r="AF463" s="67">
        <f t="shared" si="580"/>
        <v>0</v>
      </c>
      <c r="AG463" s="144">
        <f t="shared" si="581"/>
        <v>1634.2585399999998</v>
      </c>
      <c r="AH463" s="67">
        <f t="shared" si="582"/>
        <v>1634.2585399999998</v>
      </c>
      <c r="AI463" s="68">
        <f t="shared" si="583"/>
        <v>1120.1007</v>
      </c>
      <c r="AJ463" s="2"/>
      <c r="AK463" s="219">
        <v>1</v>
      </c>
      <c r="AL463" s="42" t="s">
        <v>305</v>
      </c>
      <c r="AM463" s="62"/>
      <c r="AN463" s="62"/>
      <c r="AO463" s="62"/>
      <c r="AP463" s="62"/>
      <c r="AQ463" s="122">
        <v>1.5</v>
      </c>
      <c r="AR463" s="62">
        <v>1</v>
      </c>
      <c r="AS463" s="62">
        <v>1</v>
      </c>
      <c r="AT463" s="54">
        <v>1</v>
      </c>
      <c r="AU463" s="62"/>
      <c r="AV463" s="62"/>
      <c r="AW463" s="62"/>
      <c r="AX463" s="62"/>
      <c r="AY463" s="123">
        <v>1</v>
      </c>
      <c r="AZ463" s="62">
        <v>1</v>
      </c>
      <c r="BA463" s="54">
        <v>1</v>
      </c>
      <c r="BB463" s="2"/>
      <c r="BC463" s="42" t="s">
        <v>305</v>
      </c>
      <c r="BD463" s="67">
        <f t="shared" ref="BD463:BO463" si="601">$BC$475*AT488+$AO$475*AF488+$AA$475*R488+$M$475*D488</f>
        <v>0</v>
      </c>
      <c r="BE463" s="67">
        <f t="shared" si="601"/>
        <v>0</v>
      </c>
      <c r="BF463" s="67">
        <f t="shared" si="601"/>
        <v>0</v>
      </c>
      <c r="BG463" s="67">
        <f t="shared" si="601"/>
        <v>0</v>
      </c>
      <c r="BH463" s="76">
        <f t="shared" si="601"/>
        <v>31906.267500000002</v>
      </c>
      <c r="BI463" s="67">
        <f t="shared" si="601"/>
        <v>18681.843700000001</v>
      </c>
      <c r="BJ463" s="67">
        <f t="shared" si="601"/>
        <v>2291.12844</v>
      </c>
      <c r="BK463" s="68">
        <f>BJ463/BJ464*BK464</f>
        <v>637.22415398947771</v>
      </c>
      <c r="BL463" s="67">
        <f t="shared" si="601"/>
        <v>0</v>
      </c>
      <c r="BM463" s="67">
        <f t="shared" si="601"/>
        <v>0</v>
      </c>
      <c r="BN463" s="67">
        <f t="shared" si="601"/>
        <v>0</v>
      </c>
      <c r="BO463" s="67">
        <f t="shared" si="601"/>
        <v>0</v>
      </c>
      <c r="BP463" s="144">
        <f t="shared" si="588"/>
        <v>1634.2585399999998</v>
      </c>
      <c r="BQ463" s="67">
        <f t="shared" si="589"/>
        <v>1634.2585399999998</v>
      </c>
      <c r="BR463" s="68">
        <f t="shared" si="590"/>
        <v>1120.1007</v>
      </c>
      <c r="BS463" s="2"/>
    </row>
    <row r="464" spans="1:71" x14ac:dyDescent="0.35">
      <c r="A464" s="2"/>
      <c r="B464" s="2"/>
      <c r="C464" s="42" t="s">
        <v>307</v>
      </c>
      <c r="D464" s="109">
        <f t="shared" si="585"/>
        <v>0</v>
      </c>
      <c r="E464" s="109">
        <f t="shared" si="556"/>
        <v>0</v>
      </c>
      <c r="F464" s="109">
        <f t="shared" si="557"/>
        <v>0</v>
      </c>
      <c r="G464" s="109">
        <f t="shared" si="558"/>
        <v>0</v>
      </c>
      <c r="H464" s="110">
        <f t="shared" si="559"/>
        <v>0.22611182819539405</v>
      </c>
      <c r="I464" s="109">
        <f t="shared" si="560"/>
        <v>0.2020320843450806</v>
      </c>
      <c r="J464" s="109">
        <f t="shared" si="561"/>
        <v>2.949646205480955E-2</v>
      </c>
      <c r="K464" s="111">
        <f t="shared" si="562"/>
        <v>8.6458179688343219E-3</v>
      </c>
      <c r="L464" s="109">
        <f t="shared" si="563"/>
        <v>0</v>
      </c>
      <c r="M464" s="109">
        <f t="shared" si="564"/>
        <v>0</v>
      </c>
      <c r="N464" s="109">
        <f t="shared" si="565"/>
        <v>0</v>
      </c>
      <c r="O464" s="109">
        <f t="shared" si="566"/>
        <v>0</v>
      </c>
      <c r="P464" s="147">
        <f t="shared" si="567"/>
        <v>1.0350099732184993E-2</v>
      </c>
      <c r="Q464" s="109">
        <f t="shared" si="568"/>
        <v>1.0350099732184993E-2</v>
      </c>
      <c r="R464" s="111">
        <f t="shared" si="569"/>
        <v>1.3155655243554778E-2</v>
      </c>
      <c r="S464" s="2"/>
      <c r="T464" s="42" t="s">
        <v>307</v>
      </c>
      <c r="U464" s="67">
        <f t="shared" si="586"/>
        <v>0</v>
      </c>
      <c r="V464" s="67">
        <f t="shared" si="570"/>
        <v>0</v>
      </c>
      <c r="W464" s="67">
        <f t="shared" si="571"/>
        <v>0</v>
      </c>
      <c r="X464" s="67">
        <f t="shared" si="572"/>
        <v>0</v>
      </c>
      <c r="Y464" s="76">
        <f t="shared" si="573"/>
        <v>72098.720000000001</v>
      </c>
      <c r="Z464" s="67">
        <f t="shared" si="574"/>
        <v>47746.271000000001</v>
      </c>
      <c r="AA464" s="67">
        <f t="shared" si="575"/>
        <v>5512.1927200000009</v>
      </c>
      <c r="AB464" s="68">
        <f t="shared" si="576"/>
        <v>1533.08836</v>
      </c>
      <c r="AC464" s="67">
        <f t="shared" si="577"/>
        <v>0</v>
      </c>
      <c r="AD464" s="67">
        <f t="shared" si="578"/>
        <v>0</v>
      </c>
      <c r="AE464" s="67">
        <f t="shared" si="579"/>
        <v>0</v>
      </c>
      <c r="AF464" s="67">
        <f t="shared" si="580"/>
        <v>0</v>
      </c>
      <c r="AG464" s="144">
        <f t="shared" si="581"/>
        <v>2819.4088999999999</v>
      </c>
      <c r="AH464" s="67">
        <f t="shared" si="582"/>
        <v>2819.4088999999999</v>
      </c>
      <c r="AI464" s="68">
        <f t="shared" si="583"/>
        <v>2342.0690800000002</v>
      </c>
      <c r="AJ464" s="2"/>
      <c r="AK464" s="219">
        <v>1</v>
      </c>
      <c r="AL464" s="42" t="s">
        <v>307</v>
      </c>
      <c r="AM464" s="62"/>
      <c r="AN464" s="62"/>
      <c r="AO464" s="62"/>
      <c r="AP464" s="62"/>
      <c r="AQ464" s="122">
        <v>1</v>
      </c>
      <c r="AR464" s="62">
        <v>1</v>
      </c>
      <c r="AS464" s="62">
        <v>1</v>
      </c>
      <c r="AT464" s="54">
        <v>1</v>
      </c>
      <c r="AU464" s="62"/>
      <c r="AV464" s="62"/>
      <c r="AW464" s="62"/>
      <c r="AX464" s="62"/>
      <c r="AY464" s="123">
        <v>1</v>
      </c>
      <c r="AZ464" s="62">
        <v>1</v>
      </c>
      <c r="BA464" s="54">
        <v>1</v>
      </c>
      <c r="BB464" s="2"/>
      <c r="BC464" s="42" t="s">
        <v>307</v>
      </c>
      <c r="BD464" s="67">
        <f t="shared" ref="BD464:BO464" si="602">$BC$475*AT489+$AO$475*AF489+$AA$475*R489+$M$475*D489</f>
        <v>0</v>
      </c>
      <c r="BE464" s="67">
        <f t="shared" si="602"/>
        <v>0</v>
      </c>
      <c r="BF464" s="67">
        <f t="shared" si="602"/>
        <v>0</v>
      </c>
      <c r="BG464" s="67">
        <f t="shared" si="602"/>
        <v>0</v>
      </c>
      <c r="BH464" s="76">
        <f t="shared" si="602"/>
        <v>72098.720000000001</v>
      </c>
      <c r="BI464" s="67">
        <f t="shared" si="602"/>
        <v>47746.271000000001</v>
      </c>
      <c r="BJ464" s="67">
        <f t="shared" si="602"/>
        <v>5512.1927200000009</v>
      </c>
      <c r="BK464" s="68">
        <f t="shared" si="602"/>
        <v>1533.08836</v>
      </c>
      <c r="BL464" s="67">
        <f t="shared" si="602"/>
        <v>0</v>
      </c>
      <c r="BM464" s="67">
        <f t="shared" si="602"/>
        <v>0</v>
      </c>
      <c r="BN464" s="67">
        <f t="shared" si="602"/>
        <v>0</v>
      </c>
      <c r="BO464" s="67">
        <f t="shared" si="602"/>
        <v>0</v>
      </c>
      <c r="BP464" s="144">
        <f t="shared" si="588"/>
        <v>2819.4088999999999</v>
      </c>
      <c r="BQ464" s="67">
        <f t="shared" si="589"/>
        <v>2819.4088999999999</v>
      </c>
      <c r="BR464" s="68">
        <f t="shared" si="590"/>
        <v>2342.0690800000002</v>
      </c>
      <c r="BS464" s="2"/>
    </row>
    <row r="465" spans="1:71" x14ac:dyDescent="0.35">
      <c r="A465" s="2"/>
      <c r="B465" s="2"/>
      <c r="C465" s="42" t="s">
        <v>309</v>
      </c>
      <c r="D465" s="109">
        <f t="shared" si="585"/>
        <v>0</v>
      </c>
      <c r="E465" s="109">
        <f t="shared" si="556"/>
        <v>0</v>
      </c>
      <c r="F465" s="109">
        <f t="shared" si="557"/>
        <v>0</v>
      </c>
      <c r="G465" s="109">
        <f t="shared" si="558"/>
        <v>0</v>
      </c>
      <c r="H465" s="110">
        <f t="shared" si="559"/>
        <v>0.13424539340097949</v>
      </c>
      <c r="I465" s="109">
        <f t="shared" si="560"/>
        <v>0.19721027450442297</v>
      </c>
      <c r="J465" s="109">
        <f t="shared" si="561"/>
        <v>0.11478338931334393</v>
      </c>
      <c r="K465" s="111">
        <f t="shared" si="562"/>
        <v>3.3556900472192473E-2</v>
      </c>
      <c r="L465" s="109">
        <f t="shared" si="563"/>
        <v>0</v>
      </c>
      <c r="M465" s="109">
        <f t="shared" si="564"/>
        <v>0</v>
      </c>
      <c r="N465" s="109">
        <f t="shared" si="565"/>
        <v>0</v>
      </c>
      <c r="O465" s="109">
        <f t="shared" si="566"/>
        <v>0</v>
      </c>
      <c r="P465" s="147">
        <f t="shared" si="567"/>
        <v>1.1669350028112471E-2</v>
      </c>
      <c r="Q465" s="109">
        <f t="shared" si="568"/>
        <v>1.1669350028112471E-2</v>
      </c>
      <c r="R465" s="111">
        <f t="shared" si="569"/>
        <v>2.0548676173799775E-2</v>
      </c>
      <c r="S465" s="2"/>
      <c r="T465" s="42" t="s">
        <v>309</v>
      </c>
      <c r="U465" s="67">
        <f t="shared" si="586"/>
        <v>0</v>
      </c>
      <c r="V465" s="67">
        <f t="shared" si="570"/>
        <v>0</v>
      </c>
      <c r="W465" s="67">
        <f t="shared" si="571"/>
        <v>0</v>
      </c>
      <c r="X465" s="67">
        <f t="shared" si="572"/>
        <v>0</v>
      </c>
      <c r="Y465" s="76">
        <f t="shared" si="573"/>
        <v>42805.903200000001</v>
      </c>
      <c r="Z465" s="67">
        <f t="shared" si="574"/>
        <v>46606.732000000011</v>
      </c>
      <c r="AA465" s="67">
        <f t="shared" si="575"/>
        <v>21450.306880000004</v>
      </c>
      <c r="AB465" s="68">
        <f t="shared" si="576"/>
        <v>5950.3558479999992</v>
      </c>
      <c r="AC465" s="67">
        <f t="shared" si="577"/>
        <v>0</v>
      </c>
      <c r="AD465" s="67">
        <f t="shared" si="578"/>
        <v>0</v>
      </c>
      <c r="AE465" s="67">
        <f t="shared" si="579"/>
        <v>0</v>
      </c>
      <c r="AF465" s="67">
        <f t="shared" si="580"/>
        <v>0</v>
      </c>
      <c r="AG465" s="144">
        <f t="shared" si="581"/>
        <v>3178.7780000000002</v>
      </c>
      <c r="AH465" s="67">
        <f t="shared" si="582"/>
        <v>3178.7780000000002</v>
      </c>
      <c r="AI465" s="68">
        <f t="shared" si="583"/>
        <v>3658.2304880000006</v>
      </c>
      <c r="AJ465" s="2"/>
      <c r="AK465" s="219">
        <v>0.8</v>
      </c>
      <c r="AL465" s="42" t="s">
        <v>309</v>
      </c>
      <c r="AM465" s="62"/>
      <c r="AN465" s="62"/>
      <c r="AO465" s="62"/>
      <c r="AP465" s="62"/>
      <c r="AQ465" s="122">
        <v>0.6</v>
      </c>
      <c r="AR465" s="62">
        <v>1</v>
      </c>
      <c r="AS465" s="62">
        <v>2</v>
      </c>
      <c r="AT465" s="54">
        <v>1</v>
      </c>
      <c r="AU465" s="62"/>
      <c r="AV465" s="62"/>
      <c r="AW465" s="62"/>
      <c r="AX465" s="62"/>
      <c r="AY465" s="123">
        <v>1</v>
      </c>
      <c r="AZ465" s="62">
        <v>1</v>
      </c>
      <c r="BA465" s="54">
        <v>1</v>
      </c>
      <c r="BB465" s="2"/>
      <c r="BC465" s="42" t="s">
        <v>309</v>
      </c>
      <c r="BD465" s="67">
        <f t="shared" ref="BD465:BO465" si="603">$BC$475*AT490+$AO$475*AF490+$AA$475*R490+$M$475*D490</f>
        <v>0</v>
      </c>
      <c r="BE465" s="67">
        <f t="shared" si="603"/>
        <v>0</v>
      </c>
      <c r="BF465" s="67">
        <f t="shared" si="603"/>
        <v>0</v>
      </c>
      <c r="BG465" s="67">
        <f t="shared" si="603"/>
        <v>0</v>
      </c>
      <c r="BH465" s="76">
        <f t="shared" si="603"/>
        <v>89178.965000000011</v>
      </c>
      <c r="BI465" s="67">
        <f t="shared" si="603"/>
        <v>58258.415000000008</v>
      </c>
      <c r="BJ465" s="67">
        <f t="shared" si="603"/>
        <v>13406.441800000001</v>
      </c>
      <c r="BK465" s="68">
        <f t="shared" si="603"/>
        <v>7437.9448099999991</v>
      </c>
      <c r="BL465" s="67">
        <f t="shared" si="603"/>
        <v>0</v>
      </c>
      <c r="BM465" s="67">
        <f t="shared" si="603"/>
        <v>0</v>
      </c>
      <c r="BN465" s="67">
        <f t="shared" si="603"/>
        <v>0</v>
      </c>
      <c r="BO465" s="67">
        <f t="shared" si="603"/>
        <v>0</v>
      </c>
      <c r="BP465" s="144">
        <f t="shared" si="588"/>
        <v>3973.4724999999999</v>
      </c>
      <c r="BQ465" s="67">
        <f t="shared" si="589"/>
        <v>3973.4724999999999</v>
      </c>
      <c r="BR465" s="68">
        <f t="shared" si="590"/>
        <v>4572.7881100000004</v>
      </c>
      <c r="BS465" s="2"/>
    </row>
    <row r="466" spans="1:71" x14ac:dyDescent="0.35">
      <c r="A466" s="2"/>
      <c r="B466" s="2"/>
      <c r="C466" s="42" t="s">
        <v>311</v>
      </c>
      <c r="D466" s="109">
        <f t="shared" si="585"/>
        <v>0</v>
      </c>
      <c r="E466" s="109">
        <f t="shared" si="556"/>
        <v>0</v>
      </c>
      <c r="F466" s="109">
        <f t="shared" si="557"/>
        <v>0</v>
      </c>
      <c r="G466" s="109">
        <f t="shared" si="558"/>
        <v>0</v>
      </c>
      <c r="H466" s="110">
        <f t="shared" si="559"/>
        <v>0.33774855725571468</v>
      </c>
      <c r="I466" s="109">
        <f t="shared" si="560"/>
        <v>0.46357351834204952</v>
      </c>
      <c r="J466" s="109">
        <f t="shared" si="561"/>
        <v>0.83733799063274406</v>
      </c>
      <c r="K466" s="111">
        <f t="shared" si="562"/>
        <v>0.95240921869098338</v>
      </c>
      <c r="L466" s="109">
        <f t="shared" si="563"/>
        <v>0</v>
      </c>
      <c r="M466" s="109">
        <f t="shared" si="564"/>
        <v>0</v>
      </c>
      <c r="N466" s="109">
        <f t="shared" si="565"/>
        <v>0</v>
      </c>
      <c r="O466" s="109">
        <f t="shared" si="566"/>
        <v>0</v>
      </c>
      <c r="P466" s="147">
        <f t="shared" si="567"/>
        <v>2.4735801255584864E-2</v>
      </c>
      <c r="Q466" s="109">
        <f t="shared" si="568"/>
        <v>2.4735801255584864E-2</v>
      </c>
      <c r="R466" s="111">
        <f t="shared" si="569"/>
        <v>5.3967790186212929E-2</v>
      </c>
      <c r="S466" s="2"/>
      <c r="T466" s="42" t="s">
        <v>311</v>
      </c>
      <c r="U466" s="67">
        <f t="shared" si="586"/>
        <v>0</v>
      </c>
      <c r="V466" s="67">
        <f t="shared" si="570"/>
        <v>0</v>
      </c>
      <c r="W466" s="67">
        <f t="shared" si="571"/>
        <v>0</v>
      </c>
      <c r="X466" s="67">
        <f t="shared" si="572"/>
        <v>0</v>
      </c>
      <c r="Y466" s="76">
        <f t="shared" si="573"/>
        <v>107695.55425</v>
      </c>
      <c r="Z466" s="67">
        <f t="shared" si="574"/>
        <v>109556.395</v>
      </c>
      <c r="AA466" s="67">
        <f t="shared" si="575"/>
        <v>156478.7115</v>
      </c>
      <c r="AB466" s="68">
        <f t="shared" si="576"/>
        <v>168882.51550000001</v>
      </c>
      <c r="AC466" s="67">
        <f t="shared" si="577"/>
        <v>0</v>
      </c>
      <c r="AD466" s="67">
        <f t="shared" si="578"/>
        <v>0</v>
      </c>
      <c r="AE466" s="67">
        <f t="shared" si="579"/>
        <v>0</v>
      </c>
      <c r="AF466" s="67">
        <f t="shared" si="580"/>
        <v>0</v>
      </c>
      <c r="AG466" s="144">
        <f t="shared" si="581"/>
        <v>6738.1320000000005</v>
      </c>
      <c r="AH466" s="67">
        <f t="shared" si="582"/>
        <v>6738.1320000000005</v>
      </c>
      <c r="AI466" s="68">
        <f t="shared" si="583"/>
        <v>9607.7534999999989</v>
      </c>
      <c r="AJ466" s="2"/>
      <c r="AK466" s="219">
        <v>0.5</v>
      </c>
      <c r="AL466" s="42" t="s">
        <v>311</v>
      </c>
      <c r="AM466" s="62"/>
      <c r="AN466" s="62"/>
      <c r="AO466" s="62"/>
      <c r="AP466" s="62"/>
      <c r="AQ466" s="122">
        <v>0.5</v>
      </c>
      <c r="AR466" s="62">
        <v>0.5</v>
      </c>
      <c r="AS466" s="62">
        <v>1</v>
      </c>
      <c r="AT466" s="54">
        <v>1</v>
      </c>
      <c r="AU466" s="62"/>
      <c r="AV466" s="62"/>
      <c r="AW466" s="62"/>
      <c r="AX466" s="62"/>
      <c r="AY466" s="123">
        <v>1</v>
      </c>
      <c r="AZ466" s="62">
        <v>1</v>
      </c>
      <c r="BA466" s="54">
        <v>1</v>
      </c>
      <c r="BB466" s="2"/>
      <c r="BC466" s="42" t="s">
        <v>311</v>
      </c>
      <c r="BD466" s="67">
        <f t="shared" ref="BD466:BO466" si="604">$BC$475*AT491+$AO$475*AF491+$AA$475*R491+$M$475*D491</f>
        <v>0</v>
      </c>
      <c r="BE466" s="67">
        <f t="shared" si="604"/>
        <v>0</v>
      </c>
      <c r="BF466" s="67">
        <f t="shared" si="604"/>
        <v>0</v>
      </c>
      <c r="BG466" s="67">
        <f t="shared" si="604"/>
        <v>0</v>
      </c>
      <c r="BH466" s="76">
        <f t="shared" si="604"/>
        <v>430782.217</v>
      </c>
      <c r="BI466" s="67">
        <f t="shared" si="604"/>
        <v>438225.58</v>
      </c>
      <c r="BJ466" s="67">
        <f t="shared" si="604"/>
        <v>312957.42300000001</v>
      </c>
      <c r="BK466" s="68">
        <f t="shared" si="604"/>
        <v>337765.03100000002</v>
      </c>
      <c r="BL466" s="67">
        <f t="shared" si="604"/>
        <v>0</v>
      </c>
      <c r="BM466" s="67">
        <f t="shared" si="604"/>
        <v>0</v>
      </c>
      <c r="BN466" s="67">
        <f t="shared" si="604"/>
        <v>0</v>
      </c>
      <c r="BO466" s="67">
        <f t="shared" si="604"/>
        <v>0</v>
      </c>
      <c r="BP466" s="144">
        <f t="shared" si="588"/>
        <v>13476.264000000001</v>
      </c>
      <c r="BQ466" s="67">
        <f t="shared" si="589"/>
        <v>13476.264000000001</v>
      </c>
      <c r="BR466" s="68">
        <f t="shared" si="590"/>
        <v>19215.506999999998</v>
      </c>
      <c r="BS466" s="2"/>
    </row>
    <row r="467" spans="1:71" x14ac:dyDescent="0.35">
      <c r="A467" s="2"/>
      <c r="B467" s="2"/>
      <c r="C467" s="39" t="s">
        <v>322</v>
      </c>
      <c r="D467" s="148">
        <f t="shared" si="585"/>
        <v>0</v>
      </c>
      <c r="E467" s="148">
        <f t="shared" si="556"/>
        <v>0</v>
      </c>
      <c r="F467" s="148">
        <f t="shared" si="557"/>
        <v>0</v>
      </c>
      <c r="G467" s="148">
        <f t="shared" si="558"/>
        <v>0</v>
      </c>
      <c r="H467" s="149">
        <f t="shared" si="559"/>
        <v>0</v>
      </c>
      <c r="I467" s="148">
        <f t="shared" si="560"/>
        <v>0</v>
      </c>
      <c r="J467" s="148">
        <f t="shared" si="561"/>
        <v>0</v>
      </c>
      <c r="K467" s="150">
        <f t="shared" si="562"/>
        <v>0</v>
      </c>
      <c r="L467" s="148">
        <f t="shared" si="563"/>
        <v>6.087258101762838E-2</v>
      </c>
      <c r="M467" s="148">
        <f t="shared" si="564"/>
        <v>7.8495858231610836E-3</v>
      </c>
      <c r="N467" s="148">
        <f t="shared" si="565"/>
        <v>0</v>
      </c>
      <c r="O467" s="148">
        <f t="shared" si="566"/>
        <v>0</v>
      </c>
      <c r="P467" s="151">
        <f t="shared" si="567"/>
        <v>2.2486598131798209E-3</v>
      </c>
      <c r="Q467" s="148">
        <f t="shared" si="568"/>
        <v>2.2486598131798209E-3</v>
      </c>
      <c r="R467" s="150">
        <f t="shared" si="569"/>
        <v>6.510638358332609E-4</v>
      </c>
      <c r="S467" s="2"/>
      <c r="T467" s="39" t="s">
        <v>322</v>
      </c>
      <c r="U467" s="73">
        <f t="shared" si="586"/>
        <v>0</v>
      </c>
      <c r="V467" s="73">
        <f t="shared" si="570"/>
        <v>0</v>
      </c>
      <c r="W467" s="73">
        <f t="shared" si="571"/>
        <v>0</v>
      </c>
      <c r="X467" s="73">
        <f t="shared" si="572"/>
        <v>0</v>
      </c>
      <c r="Y467" s="72">
        <f t="shared" si="573"/>
        <v>0</v>
      </c>
      <c r="Z467" s="73">
        <f t="shared" si="574"/>
        <v>0</v>
      </c>
      <c r="AA467" s="73">
        <f t="shared" si="575"/>
        <v>0</v>
      </c>
      <c r="AB467" s="75">
        <f t="shared" si="576"/>
        <v>0</v>
      </c>
      <c r="AC467" s="73">
        <f t="shared" si="577"/>
        <v>35155.017219999994</v>
      </c>
      <c r="AD467" s="73">
        <f t="shared" si="578"/>
        <v>6004.6592799999999</v>
      </c>
      <c r="AE467" s="73">
        <f t="shared" si="579"/>
        <v>0</v>
      </c>
      <c r="AF467" s="73">
        <f t="shared" si="580"/>
        <v>0</v>
      </c>
      <c r="AG467" s="145">
        <f t="shared" si="581"/>
        <v>612.54399999999998</v>
      </c>
      <c r="AH467" s="73">
        <f t="shared" si="582"/>
        <v>612.54399999999998</v>
      </c>
      <c r="AI467" s="75">
        <f t="shared" si="583"/>
        <v>115.90729999999999</v>
      </c>
      <c r="AJ467" s="2"/>
      <c r="AK467" s="219">
        <v>2</v>
      </c>
      <c r="AL467" s="39" t="s">
        <v>322</v>
      </c>
      <c r="AM467" s="124"/>
      <c r="AN467" s="124"/>
      <c r="AO467" s="124"/>
      <c r="AP467" s="124"/>
      <c r="AQ467" s="125"/>
      <c r="AR467" s="124"/>
      <c r="AS467" s="124"/>
      <c r="AT467" s="126"/>
      <c r="AU467" s="124">
        <v>1</v>
      </c>
      <c r="AV467" s="124">
        <v>1</v>
      </c>
      <c r="AW467" s="124">
        <v>1</v>
      </c>
      <c r="AX467" s="124">
        <v>1</v>
      </c>
      <c r="AY467" s="127">
        <v>1</v>
      </c>
      <c r="AZ467" s="124">
        <v>1</v>
      </c>
      <c r="BA467" s="126">
        <v>1</v>
      </c>
      <c r="BB467" s="2"/>
      <c r="BC467" s="39" t="s">
        <v>322</v>
      </c>
      <c r="BD467" s="73">
        <f t="shared" ref="BD467:BN467" si="605">$BC$475*AT492+$AO$475*AF492+$AA$475*R492+$M$475*D492</f>
        <v>0</v>
      </c>
      <c r="BE467" s="73">
        <f t="shared" si="605"/>
        <v>0</v>
      </c>
      <c r="BF467" s="73">
        <f t="shared" si="605"/>
        <v>0</v>
      </c>
      <c r="BG467" s="73">
        <f t="shared" si="605"/>
        <v>0</v>
      </c>
      <c r="BH467" s="72">
        <f t="shared" si="605"/>
        <v>0</v>
      </c>
      <c r="BI467" s="73">
        <f t="shared" si="605"/>
        <v>0</v>
      </c>
      <c r="BJ467" s="73">
        <f t="shared" si="605"/>
        <v>0</v>
      </c>
      <c r="BK467" s="75">
        <f t="shared" si="605"/>
        <v>0</v>
      </c>
      <c r="BL467" s="73">
        <f t="shared" si="605"/>
        <v>17577.508609999997</v>
      </c>
      <c r="BM467" s="73">
        <f t="shared" si="605"/>
        <v>3002.3296399999999</v>
      </c>
      <c r="BN467" s="73">
        <f t="shared" si="605"/>
        <v>0</v>
      </c>
      <c r="BO467" s="73">
        <f t="shared" ref="BO467:BO468" si="606">BN467/BN468*BO468</f>
        <v>0</v>
      </c>
      <c r="BP467" s="145">
        <f t="shared" si="588"/>
        <v>306.27199999999999</v>
      </c>
      <c r="BQ467" s="73">
        <f t="shared" si="589"/>
        <v>306.27199999999999</v>
      </c>
      <c r="BR467" s="75">
        <f t="shared" si="590"/>
        <v>57.953649999999996</v>
      </c>
      <c r="BS467" s="2"/>
    </row>
    <row r="468" spans="1:71" x14ac:dyDescent="0.35">
      <c r="A468" s="2"/>
      <c r="B468" s="2"/>
      <c r="C468" s="42" t="s">
        <v>323</v>
      </c>
      <c r="D468" s="109">
        <f t="shared" si="585"/>
        <v>0</v>
      </c>
      <c r="E468" s="109">
        <f t="shared" si="556"/>
        <v>0</v>
      </c>
      <c r="F468" s="109">
        <f t="shared" si="557"/>
        <v>0</v>
      </c>
      <c r="G468" s="109">
        <f t="shared" si="558"/>
        <v>0</v>
      </c>
      <c r="H468" s="110">
        <f t="shared" si="559"/>
        <v>0</v>
      </c>
      <c r="I468" s="109">
        <f t="shared" si="560"/>
        <v>0</v>
      </c>
      <c r="J468" s="109">
        <f t="shared" si="561"/>
        <v>0</v>
      </c>
      <c r="K468" s="111">
        <f t="shared" si="562"/>
        <v>0</v>
      </c>
      <c r="L468" s="109">
        <f t="shared" si="563"/>
        <v>9.2296623116925353E-2</v>
      </c>
      <c r="M468" s="109">
        <f t="shared" si="564"/>
        <v>4.9579710892771439E-2</v>
      </c>
      <c r="N468" s="109">
        <f t="shared" si="565"/>
        <v>1.789961727426918E-2</v>
      </c>
      <c r="O468" s="109">
        <f t="shared" si="566"/>
        <v>2.438873584547036E-3</v>
      </c>
      <c r="P468" s="147">
        <f t="shared" si="567"/>
        <v>3.8892969175744322E-3</v>
      </c>
      <c r="Q468" s="109">
        <f t="shared" si="568"/>
        <v>3.8892969175744322E-3</v>
      </c>
      <c r="R468" s="111">
        <f t="shared" si="569"/>
        <v>6.7138225838702312E-3</v>
      </c>
      <c r="S468" s="2"/>
      <c r="T468" s="42" t="s">
        <v>323</v>
      </c>
      <c r="U468" s="67">
        <f t="shared" si="586"/>
        <v>0</v>
      </c>
      <c r="V468" s="67">
        <f t="shared" si="570"/>
        <v>0</v>
      </c>
      <c r="W468" s="67">
        <f t="shared" si="571"/>
        <v>0</v>
      </c>
      <c r="X468" s="67">
        <f t="shared" si="572"/>
        <v>0</v>
      </c>
      <c r="Y468" s="76">
        <f t="shared" si="573"/>
        <v>0</v>
      </c>
      <c r="Z468" s="67">
        <f t="shared" si="574"/>
        <v>0</v>
      </c>
      <c r="AA468" s="67">
        <f t="shared" si="575"/>
        <v>0</v>
      </c>
      <c r="AB468" s="68">
        <f t="shared" si="576"/>
        <v>0</v>
      </c>
      <c r="AC468" s="67">
        <f t="shared" si="577"/>
        <v>53302.970249999998</v>
      </c>
      <c r="AD468" s="67">
        <f t="shared" si="578"/>
        <v>37926.748979999997</v>
      </c>
      <c r="AE468" s="67">
        <f t="shared" si="579"/>
        <v>4219.3019624999997</v>
      </c>
      <c r="AF468" s="67">
        <f t="shared" si="580"/>
        <v>1050.0254956485996</v>
      </c>
      <c r="AG468" s="144">
        <f t="shared" si="581"/>
        <v>1059.4601625</v>
      </c>
      <c r="AH468" s="67">
        <f t="shared" si="582"/>
        <v>1059.4601625</v>
      </c>
      <c r="AI468" s="68">
        <f t="shared" si="583"/>
        <v>1195.24539</v>
      </c>
      <c r="AJ468" s="2"/>
      <c r="AK468" s="219">
        <v>1.5</v>
      </c>
      <c r="AL468" s="42" t="s">
        <v>323</v>
      </c>
      <c r="AM468" s="62"/>
      <c r="AN468" s="62"/>
      <c r="AO468" s="62"/>
      <c r="AP468" s="62"/>
      <c r="AQ468" s="122"/>
      <c r="AR468" s="62"/>
      <c r="AS468" s="62"/>
      <c r="AT468" s="54"/>
      <c r="AU468" s="62">
        <v>1.5</v>
      </c>
      <c r="AV468" s="62">
        <v>2</v>
      </c>
      <c r="AW468" s="62">
        <v>1</v>
      </c>
      <c r="AX468" s="62">
        <v>1</v>
      </c>
      <c r="AY468" s="123">
        <v>1</v>
      </c>
      <c r="AZ468" s="62">
        <v>1</v>
      </c>
      <c r="BA468" s="54">
        <v>1</v>
      </c>
      <c r="BB468" s="2"/>
      <c r="BC468" s="42" t="s">
        <v>323</v>
      </c>
      <c r="BD468" s="67">
        <f t="shared" ref="BD468:BN468" si="607">$BC$475*AT493+$AO$475*AF493+$AA$475*R493+$M$475*D493</f>
        <v>0</v>
      </c>
      <c r="BE468" s="67">
        <f t="shared" si="607"/>
        <v>0</v>
      </c>
      <c r="BF468" s="67">
        <f t="shared" si="607"/>
        <v>0</v>
      </c>
      <c r="BG468" s="67">
        <f t="shared" si="607"/>
        <v>0</v>
      </c>
      <c r="BH468" s="76">
        <f t="shared" si="607"/>
        <v>0</v>
      </c>
      <c r="BI468" s="67">
        <f t="shared" si="607"/>
        <v>0</v>
      </c>
      <c r="BJ468" s="67">
        <f t="shared" si="607"/>
        <v>0</v>
      </c>
      <c r="BK468" s="68">
        <f t="shared" si="607"/>
        <v>0</v>
      </c>
      <c r="BL468" s="67">
        <f t="shared" si="607"/>
        <v>23690.208999999999</v>
      </c>
      <c r="BM468" s="67">
        <f t="shared" si="607"/>
        <v>12642.249659999999</v>
      </c>
      <c r="BN468" s="67">
        <f t="shared" si="607"/>
        <v>2812.8679750000001</v>
      </c>
      <c r="BO468" s="67">
        <f t="shared" si="606"/>
        <v>700.01699709906643</v>
      </c>
      <c r="BP468" s="144">
        <f t="shared" si="588"/>
        <v>706.30677500000002</v>
      </c>
      <c r="BQ468" s="67">
        <f t="shared" si="589"/>
        <v>706.30677500000002</v>
      </c>
      <c r="BR468" s="68">
        <f t="shared" si="590"/>
        <v>796.83026000000007</v>
      </c>
      <c r="BS468" s="2"/>
    </row>
    <row r="469" spans="1:71" x14ac:dyDescent="0.35">
      <c r="A469" s="2"/>
      <c r="B469" s="2"/>
      <c r="C469" s="42" t="s">
        <v>324</v>
      </c>
      <c r="D469" s="109">
        <f t="shared" si="585"/>
        <v>0</v>
      </c>
      <c r="E469" s="109">
        <f t="shared" si="556"/>
        <v>0</v>
      </c>
      <c r="F469" s="109">
        <f t="shared" si="557"/>
        <v>0</v>
      </c>
      <c r="G469" s="109">
        <f t="shared" si="558"/>
        <v>0</v>
      </c>
      <c r="H469" s="110">
        <f t="shared" si="559"/>
        <v>0</v>
      </c>
      <c r="I469" s="109">
        <f t="shared" si="560"/>
        <v>0</v>
      </c>
      <c r="J469" s="109">
        <f t="shared" si="561"/>
        <v>0</v>
      </c>
      <c r="K469" s="111">
        <f t="shared" si="562"/>
        <v>0</v>
      </c>
      <c r="L469" s="109">
        <f t="shared" si="563"/>
        <v>0.12545825166274197</v>
      </c>
      <c r="M469" s="109">
        <f t="shared" si="564"/>
        <v>8.5298960927775697E-2</v>
      </c>
      <c r="N469" s="109">
        <f t="shared" si="565"/>
        <v>1.8310634098889143E-2</v>
      </c>
      <c r="O469" s="109">
        <f t="shared" si="566"/>
        <v>2.4948757918015455E-3</v>
      </c>
      <c r="P469" s="147">
        <f t="shared" si="567"/>
        <v>1.199568961752579E-2</v>
      </c>
      <c r="Q469" s="109">
        <f t="shared" si="568"/>
        <v>1.199568961752579E-2</v>
      </c>
      <c r="R469" s="111">
        <f t="shared" si="569"/>
        <v>1.0784635116917393E-2</v>
      </c>
      <c r="S469" s="2"/>
      <c r="T469" s="42" t="s">
        <v>324</v>
      </c>
      <c r="U469" s="67">
        <f t="shared" si="586"/>
        <v>0</v>
      </c>
      <c r="V469" s="67">
        <f t="shared" si="570"/>
        <v>0</v>
      </c>
      <c r="W469" s="67">
        <f t="shared" si="571"/>
        <v>0</v>
      </c>
      <c r="X469" s="67">
        <f t="shared" si="572"/>
        <v>0</v>
      </c>
      <c r="Y469" s="76">
        <f t="shared" si="573"/>
        <v>0</v>
      </c>
      <c r="Z469" s="67">
        <f t="shared" si="574"/>
        <v>0</v>
      </c>
      <c r="AA469" s="67">
        <f t="shared" si="575"/>
        <v>0</v>
      </c>
      <c r="AB469" s="68">
        <f t="shared" si="576"/>
        <v>0</v>
      </c>
      <c r="AC469" s="67">
        <f t="shared" si="577"/>
        <v>72454.410900000003</v>
      </c>
      <c r="AD469" s="67">
        <f t="shared" si="578"/>
        <v>65250.728999999992</v>
      </c>
      <c r="AE469" s="67">
        <f t="shared" si="579"/>
        <v>4316.18694435</v>
      </c>
      <c r="AF469" s="67">
        <f t="shared" si="580"/>
        <v>1074.1365220676887</v>
      </c>
      <c r="AG469" s="144">
        <f t="shared" si="581"/>
        <v>3267.6742199999999</v>
      </c>
      <c r="AH469" s="67">
        <f t="shared" si="582"/>
        <v>3267.6742199999999</v>
      </c>
      <c r="AI469" s="68">
        <f t="shared" si="583"/>
        <v>1919.9621743500002</v>
      </c>
      <c r="AJ469" s="2"/>
      <c r="AK469" s="219">
        <v>1.5</v>
      </c>
      <c r="AL469" s="42" t="s">
        <v>324</v>
      </c>
      <c r="AM469" s="62"/>
      <c r="AN469" s="62"/>
      <c r="AO469" s="62"/>
      <c r="AP469" s="62"/>
      <c r="AQ469" s="122"/>
      <c r="AR469" s="62"/>
      <c r="AS469" s="62"/>
      <c r="AT469" s="54"/>
      <c r="AU469" s="62">
        <v>2</v>
      </c>
      <c r="AV469" s="62">
        <v>2</v>
      </c>
      <c r="AW469" s="62">
        <v>1</v>
      </c>
      <c r="AX469" s="62">
        <v>1</v>
      </c>
      <c r="AY469" s="123">
        <v>1</v>
      </c>
      <c r="AZ469" s="62">
        <v>1</v>
      </c>
      <c r="BA469" s="54">
        <v>1</v>
      </c>
      <c r="BB469" s="2"/>
      <c r="BC469" s="42" t="s">
        <v>324</v>
      </c>
      <c r="BD469" s="67">
        <f t="shared" ref="BD469:BN469" si="608">$BC$475*AT494+$AO$475*AF494+$AA$475*R494+$M$475*D494</f>
        <v>0</v>
      </c>
      <c r="BE469" s="67">
        <f t="shared" si="608"/>
        <v>0</v>
      </c>
      <c r="BF469" s="67">
        <f t="shared" si="608"/>
        <v>0</v>
      </c>
      <c r="BG469" s="67">
        <f t="shared" si="608"/>
        <v>0</v>
      </c>
      <c r="BH469" s="76">
        <f t="shared" si="608"/>
        <v>0</v>
      </c>
      <c r="BI469" s="67">
        <f t="shared" si="608"/>
        <v>0</v>
      </c>
      <c r="BJ469" s="67">
        <f t="shared" si="608"/>
        <v>0</v>
      </c>
      <c r="BK469" s="68">
        <f t="shared" si="608"/>
        <v>0</v>
      </c>
      <c r="BL469" s="67">
        <f t="shared" si="608"/>
        <v>24151.470300000001</v>
      </c>
      <c r="BM469" s="67">
        <f t="shared" si="608"/>
        <v>21750.242999999999</v>
      </c>
      <c r="BN469" s="67">
        <f t="shared" si="608"/>
        <v>2877.4579629</v>
      </c>
      <c r="BO469" s="67">
        <f>BN469/BN470*BO470</f>
        <v>716.09101471179247</v>
      </c>
      <c r="BP469" s="144">
        <f t="shared" si="588"/>
        <v>2178.4494799999998</v>
      </c>
      <c r="BQ469" s="67">
        <f t="shared" si="589"/>
        <v>2178.4494799999998</v>
      </c>
      <c r="BR469" s="68">
        <f t="shared" si="590"/>
        <v>1279.9747829</v>
      </c>
      <c r="BS469" s="2"/>
    </row>
    <row r="470" spans="1:71" x14ac:dyDescent="0.35">
      <c r="A470" s="2"/>
      <c r="B470" s="2"/>
      <c r="C470" s="42" t="s">
        <v>325</v>
      </c>
      <c r="D470" s="109">
        <f t="shared" si="585"/>
        <v>0</v>
      </c>
      <c r="E470" s="109">
        <f t="shared" si="556"/>
        <v>0</v>
      </c>
      <c r="F470" s="109">
        <f t="shared" si="557"/>
        <v>0</v>
      </c>
      <c r="G470" s="109">
        <f t="shared" si="558"/>
        <v>0</v>
      </c>
      <c r="H470" s="110">
        <f t="shared" si="559"/>
        <v>0</v>
      </c>
      <c r="I470" s="109">
        <f t="shared" si="560"/>
        <v>0</v>
      </c>
      <c r="J470" s="109">
        <f t="shared" si="561"/>
        <v>0</v>
      </c>
      <c r="K470" s="111">
        <f t="shared" si="562"/>
        <v>0</v>
      </c>
      <c r="L470" s="109">
        <f t="shared" si="563"/>
        <v>0.22608939081518581</v>
      </c>
      <c r="M470" s="109">
        <f t="shared" si="564"/>
        <v>0.19139115516663627</v>
      </c>
      <c r="N470" s="109">
        <f t="shared" si="565"/>
        <v>5.7062492019943102E-2</v>
      </c>
      <c r="O470" s="109">
        <f t="shared" si="566"/>
        <v>7.7749262636984135E-3</v>
      </c>
      <c r="P470" s="147">
        <f t="shared" si="567"/>
        <v>2.000691361789057E-2</v>
      </c>
      <c r="Q470" s="109">
        <f t="shared" si="568"/>
        <v>2.000691361789057E-2</v>
      </c>
      <c r="R470" s="111">
        <f t="shared" si="569"/>
        <v>7.6436349045485408E-2</v>
      </c>
      <c r="S470" s="2"/>
      <c r="T470" s="42" t="s">
        <v>325</v>
      </c>
      <c r="U470" s="67">
        <f t="shared" si="586"/>
        <v>0</v>
      </c>
      <c r="V470" s="67">
        <f t="shared" si="570"/>
        <v>0</v>
      </c>
      <c r="W470" s="67">
        <f t="shared" si="571"/>
        <v>0</v>
      </c>
      <c r="X470" s="67">
        <f t="shared" si="572"/>
        <v>0</v>
      </c>
      <c r="Y470" s="76">
        <f t="shared" si="573"/>
        <v>0</v>
      </c>
      <c r="Z470" s="67">
        <f t="shared" si="574"/>
        <v>0</v>
      </c>
      <c r="AA470" s="67">
        <f t="shared" si="575"/>
        <v>0</v>
      </c>
      <c r="AB470" s="68">
        <f t="shared" si="576"/>
        <v>0</v>
      </c>
      <c r="AC470" s="67">
        <f t="shared" si="577"/>
        <v>130570.715</v>
      </c>
      <c r="AD470" s="67">
        <f t="shared" si="578"/>
        <v>146407.55599999998</v>
      </c>
      <c r="AE470" s="67">
        <f t="shared" si="579"/>
        <v>13450.783940000001</v>
      </c>
      <c r="AF470" s="67">
        <f t="shared" si="580"/>
        <v>3347.3940000000002</v>
      </c>
      <c r="AG470" s="144">
        <f t="shared" si="581"/>
        <v>5449.9639399999996</v>
      </c>
      <c r="AH470" s="67">
        <f t="shared" si="582"/>
        <v>5449.9639399999996</v>
      </c>
      <c r="AI470" s="68">
        <f t="shared" si="583"/>
        <v>13607.776000000002</v>
      </c>
      <c r="AJ470" s="2"/>
      <c r="AK470" s="219">
        <v>1</v>
      </c>
      <c r="AL470" s="42" t="s">
        <v>325</v>
      </c>
      <c r="AM470" s="62"/>
      <c r="AN470" s="62"/>
      <c r="AO470" s="62"/>
      <c r="AP470" s="62"/>
      <c r="AQ470" s="122"/>
      <c r="AR470" s="62"/>
      <c r="AS470" s="62"/>
      <c r="AT470" s="54"/>
      <c r="AU470" s="62">
        <v>1</v>
      </c>
      <c r="AV470" s="62">
        <v>2</v>
      </c>
      <c r="AW470" s="62">
        <v>1</v>
      </c>
      <c r="AX470" s="62">
        <v>1</v>
      </c>
      <c r="AY470" s="123">
        <v>1</v>
      </c>
      <c r="AZ470" s="62">
        <v>1</v>
      </c>
      <c r="BA470" s="54">
        <v>1</v>
      </c>
      <c r="BB470" s="2"/>
      <c r="BC470" s="42" t="s">
        <v>325</v>
      </c>
      <c r="BD470" s="67">
        <f t="shared" ref="BD470:BO470" si="609">$BC$475*AT495+$AO$475*AF495+$AA$475*R495+$M$475*D495</f>
        <v>0</v>
      </c>
      <c r="BE470" s="67">
        <f t="shared" si="609"/>
        <v>0</v>
      </c>
      <c r="BF470" s="67">
        <f t="shared" si="609"/>
        <v>0</v>
      </c>
      <c r="BG470" s="67">
        <f t="shared" si="609"/>
        <v>0</v>
      </c>
      <c r="BH470" s="76">
        <f t="shared" si="609"/>
        <v>0</v>
      </c>
      <c r="BI470" s="67">
        <f t="shared" si="609"/>
        <v>0</v>
      </c>
      <c r="BJ470" s="67">
        <f t="shared" si="609"/>
        <v>0</v>
      </c>
      <c r="BK470" s="68">
        <f t="shared" si="609"/>
        <v>0</v>
      </c>
      <c r="BL470" s="67">
        <f t="shared" si="609"/>
        <v>130570.715</v>
      </c>
      <c r="BM470" s="67">
        <f t="shared" si="609"/>
        <v>73203.777999999991</v>
      </c>
      <c r="BN470" s="67">
        <f t="shared" si="609"/>
        <v>13450.783940000001</v>
      </c>
      <c r="BO470" s="67">
        <f t="shared" si="609"/>
        <v>3347.3940000000002</v>
      </c>
      <c r="BP470" s="144">
        <f t="shared" si="588"/>
        <v>5449.9639399999996</v>
      </c>
      <c r="BQ470" s="67">
        <f t="shared" si="589"/>
        <v>5449.9639399999996</v>
      </c>
      <c r="BR470" s="68">
        <f t="shared" si="590"/>
        <v>13607.776000000002</v>
      </c>
      <c r="BS470" s="2"/>
    </row>
    <row r="471" spans="1:71" x14ac:dyDescent="0.35">
      <c r="A471" s="2"/>
      <c r="B471" s="2"/>
      <c r="C471" s="45" t="s">
        <v>326</v>
      </c>
      <c r="D471" s="112">
        <f t="shared" si="585"/>
        <v>0</v>
      </c>
      <c r="E471" s="112">
        <f t="shared" si="556"/>
        <v>0</v>
      </c>
      <c r="F471" s="112">
        <f t="shared" si="557"/>
        <v>0</v>
      </c>
      <c r="G471" s="112">
        <f t="shared" si="558"/>
        <v>0</v>
      </c>
      <c r="H471" s="113">
        <f t="shared" si="559"/>
        <v>0</v>
      </c>
      <c r="I471" s="112">
        <f t="shared" si="560"/>
        <v>0</v>
      </c>
      <c r="J471" s="112">
        <f t="shared" si="561"/>
        <v>0</v>
      </c>
      <c r="K471" s="114">
        <f t="shared" si="562"/>
        <v>0</v>
      </c>
      <c r="L471" s="112">
        <f t="shared" si="563"/>
        <v>0.49528315338751833</v>
      </c>
      <c r="M471" s="112">
        <f t="shared" si="564"/>
        <v>0.66588058718965548</v>
      </c>
      <c r="N471" s="112">
        <f t="shared" si="565"/>
        <v>0.90672725660689868</v>
      </c>
      <c r="O471" s="112">
        <f t="shared" si="566"/>
        <v>0.98729132435995293</v>
      </c>
      <c r="P471" s="152">
        <f t="shared" si="567"/>
        <v>3.3535070786410659E-2</v>
      </c>
      <c r="Q471" s="112">
        <f t="shared" si="568"/>
        <v>3.3535070786410659E-2</v>
      </c>
      <c r="R471" s="114">
        <f t="shared" si="569"/>
        <v>0.10748496191638268</v>
      </c>
      <c r="S471" s="2"/>
      <c r="T471" s="45" t="s">
        <v>326</v>
      </c>
      <c r="U471" s="69">
        <f t="shared" si="586"/>
        <v>0</v>
      </c>
      <c r="V471" s="69">
        <f t="shared" si="570"/>
        <v>0</v>
      </c>
      <c r="W471" s="69">
        <f t="shared" si="571"/>
        <v>0</v>
      </c>
      <c r="X471" s="69">
        <f t="shared" si="572"/>
        <v>0</v>
      </c>
      <c r="Y471" s="77">
        <f t="shared" si="573"/>
        <v>0</v>
      </c>
      <c r="Z471" s="69">
        <f t="shared" si="574"/>
        <v>0</v>
      </c>
      <c r="AA471" s="69">
        <f t="shared" si="575"/>
        <v>0</v>
      </c>
      <c r="AB471" s="71">
        <f t="shared" si="576"/>
        <v>0</v>
      </c>
      <c r="AC471" s="69">
        <f t="shared" si="577"/>
        <v>286034.98480000003</v>
      </c>
      <c r="AD471" s="69">
        <f t="shared" si="578"/>
        <v>509375.41639999999</v>
      </c>
      <c r="AE471" s="69">
        <f t="shared" si="579"/>
        <v>213733.96059999999</v>
      </c>
      <c r="AF471" s="69">
        <f t="shared" si="580"/>
        <v>425065.51744999993</v>
      </c>
      <c r="AG471" s="146">
        <f t="shared" si="581"/>
        <v>9135.0884999999998</v>
      </c>
      <c r="AH471" s="69">
        <f t="shared" si="582"/>
        <v>9135.0884999999998</v>
      </c>
      <c r="AI471" s="71">
        <f t="shared" si="583"/>
        <v>19135.284499999998</v>
      </c>
      <c r="AJ471" s="2"/>
      <c r="AK471" s="219">
        <v>0.5</v>
      </c>
      <c r="AL471" s="45" t="s">
        <v>326</v>
      </c>
      <c r="AM471" s="63"/>
      <c r="AN471" s="63"/>
      <c r="AO471" s="63"/>
      <c r="AP471" s="63"/>
      <c r="AQ471" s="128"/>
      <c r="AR471" s="63"/>
      <c r="AS471" s="63"/>
      <c r="AT471" s="61"/>
      <c r="AU471" s="63">
        <v>0.4</v>
      </c>
      <c r="AV471" s="63">
        <v>0.4</v>
      </c>
      <c r="AW471" s="63">
        <v>0.4</v>
      </c>
      <c r="AX471" s="63">
        <v>0.7</v>
      </c>
      <c r="AY471" s="129">
        <v>1</v>
      </c>
      <c r="AZ471" s="63">
        <v>1</v>
      </c>
      <c r="BA471" s="61">
        <v>1</v>
      </c>
      <c r="BB471" s="2"/>
      <c r="BC471" s="45" t="s">
        <v>326</v>
      </c>
      <c r="BD471" s="69">
        <f t="shared" ref="BD471:BO471" si="610">$BC$475*AT496+$AO$475*AF496+$AA$475*R496+$M$475*D496</f>
        <v>0</v>
      </c>
      <c r="BE471" s="69">
        <f t="shared" si="610"/>
        <v>0</v>
      </c>
      <c r="BF471" s="69">
        <f t="shared" si="610"/>
        <v>0</v>
      </c>
      <c r="BG471" s="69">
        <f t="shared" si="610"/>
        <v>0</v>
      </c>
      <c r="BH471" s="77">
        <f t="shared" si="610"/>
        <v>0</v>
      </c>
      <c r="BI471" s="69">
        <f t="shared" si="610"/>
        <v>0</v>
      </c>
      <c r="BJ471" s="69">
        <f t="shared" si="610"/>
        <v>0</v>
      </c>
      <c r="BK471" s="71">
        <f t="shared" si="610"/>
        <v>0</v>
      </c>
      <c r="BL471" s="69">
        <f t="shared" si="610"/>
        <v>1430174.9240000001</v>
      </c>
      <c r="BM471" s="69">
        <f t="shared" si="610"/>
        <v>2546877.0819999999</v>
      </c>
      <c r="BN471" s="69">
        <f t="shared" si="610"/>
        <v>1068669.8029999998</v>
      </c>
      <c r="BO471" s="69">
        <f t="shared" si="610"/>
        <v>1214472.9069999999</v>
      </c>
      <c r="BP471" s="146">
        <f t="shared" si="588"/>
        <v>18270.177</v>
      </c>
      <c r="BQ471" s="69">
        <f t="shared" si="589"/>
        <v>18270.177</v>
      </c>
      <c r="BR471" s="71">
        <f t="shared" si="590"/>
        <v>38270.568999999996</v>
      </c>
      <c r="BS471" s="2"/>
    </row>
    <row r="472" spans="1:7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</row>
    <row r="473" spans="1:7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</row>
    <row r="474" spans="1:71" x14ac:dyDescent="0.35">
      <c r="A474" s="2"/>
      <c r="B474" s="2"/>
      <c r="C474" s="4" t="s">
        <v>720</v>
      </c>
      <c r="D474" s="2"/>
      <c r="E474" s="2"/>
      <c r="F474" s="2"/>
      <c r="G474" s="2"/>
      <c r="H474" s="2"/>
      <c r="I474" s="2"/>
      <c r="J474" s="2"/>
      <c r="K474" s="2"/>
      <c r="L474" s="2"/>
      <c r="M474" s="23" t="s">
        <v>644</v>
      </c>
      <c r="N474" s="23" t="s">
        <v>634</v>
      </c>
      <c r="O474" s="23" t="s">
        <v>645</v>
      </c>
      <c r="P474" s="2"/>
      <c r="Q474" s="4" t="s">
        <v>722</v>
      </c>
      <c r="R474" s="2"/>
      <c r="S474" s="2"/>
      <c r="T474" s="2"/>
      <c r="U474" s="2"/>
      <c r="V474" s="2"/>
      <c r="W474" s="2"/>
      <c r="X474" s="2"/>
      <c r="Y474" s="2"/>
      <c r="Z474" s="2"/>
      <c r="AA474" s="23" t="s">
        <v>644</v>
      </c>
      <c r="AB474" s="23" t="s">
        <v>634</v>
      </c>
      <c r="AC474" s="23" t="s">
        <v>645</v>
      </c>
      <c r="AD474" s="2"/>
      <c r="AE474" s="4" t="s">
        <v>724</v>
      </c>
      <c r="AF474" s="2"/>
      <c r="AG474" s="2"/>
      <c r="AH474" s="2"/>
      <c r="AI474" s="2"/>
      <c r="AJ474" s="2"/>
      <c r="AK474" s="2"/>
      <c r="AL474" s="2"/>
      <c r="AM474" s="2"/>
      <c r="AN474" s="2"/>
      <c r="AO474" s="23" t="s">
        <v>644</v>
      </c>
      <c r="AP474" s="23" t="s">
        <v>634</v>
      </c>
      <c r="AQ474" s="23" t="s">
        <v>645</v>
      </c>
      <c r="AR474" s="2"/>
      <c r="AS474" s="4" t="s">
        <v>726</v>
      </c>
      <c r="AT474" s="2"/>
      <c r="AU474" s="2"/>
      <c r="AV474" s="2"/>
      <c r="AW474" s="2"/>
      <c r="AX474" s="2"/>
      <c r="AY474" s="2"/>
      <c r="AZ474" s="2"/>
      <c r="BA474" s="2"/>
      <c r="BB474" s="2"/>
      <c r="BC474" s="23" t="s">
        <v>644</v>
      </c>
      <c r="BD474" s="23" t="s">
        <v>634</v>
      </c>
      <c r="BE474" s="23" t="s">
        <v>645</v>
      </c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</row>
    <row r="475" spans="1:71" x14ac:dyDescent="0.35">
      <c r="A475" s="2"/>
      <c r="B475" s="2"/>
      <c r="C475" s="24" t="s">
        <v>721</v>
      </c>
      <c r="D475" s="2"/>
      <c r="E475" s="2"/>
      <c r="F475" s="2"/>
      <c r="G475" s="2"/>
      <c r="H475" s="2"/>
      <c r="I475" s="2"/>
      <c r="J475" s="2"/>
      <c r="K475" s="2"/>
      <c r="L475" s="2"/>
      <c r="M475" s="89">
        <v>1</v>
      </c>
      <c r="N475" s="28">
        <f>M475*O475</f>
        <v>1897726.3344000001</v>
      </c>
      <c r="O475" s="28">
        <f>SUM(D477:P496)</f>
        <v>1897726.3344000001</v>
      </c>
      <c r="P475" s="2"/>
      <c r="Q475" s="24" t="s">
        <v>723</v>
      </c>
      <c r="R475" s="2"/>
      <c r="S475" s="2"/>
      <c r="T475" s="2"/>
      <c r="U475" s="2"/>
      <c r="V475" s="2"/>
      <c r="W475" s="2"/>
      <c r="X475" s="2"/>
      <c r="Y475" s="2"/>
      <c r="Z475" s="2"/>
      <c r="AA475" s="89">
        <v>1</v>
      </c>
      <c r="AB475" s="28">
        <f>AA475*AC475</f>
        <v>11273800.930029998</v>
      </c>
      <c r="AC475" s="28">
        <f>SUM(R477:AD496)</f>
        <v>11273800.930029998</v>
      </c>
      <c r="AD475" s="2"/>
      <c r="AE475" s="24" t="s">
        <v>725</v>
      </c>
      <c r="AF475" s="2"/>
      <c r="AG475" s="2"/>
      <c r="AH475" s="2"/>
      <c r="AI475" s="2"/>
      <c r="AJ475" s="2"/>
      <c r="AK475" s="2"/>
      <c r="AL475" s="2"/>
      <c r="AM475" s="2"/>
      <c r="AN475" s="2"/>
      <c r="AO475" s="89">
        <v>1</v>
      </c>
      <c r="AP475" s="28">
        <f>AO475*AQ475</f>
        <v>524967.61198599997</v>
      </c>
      <c r="AQ475" s="28">
        <f>SUM(AF477:AQ496)</f>
        <v>524967.61198599997</v>
      </c>
      <c r="AR475" s="2"/>
      <c r="AS475" s="24" t="s">
        <v>727</v>
      </c>
      <c r="AT475" s="2"/>
      <c r="AU475" s="2"/>
      <c r="AV475" s="2"/>
      <c r="AW475" s="2"/>
      <c r="AX475" s="2"/>
      <c r="AY475" s="2"/>
      <c r="AZ475" s="2"/>
      <c r="BA475" s="2"/>
      <c r="BB475" s="2"/>
      <c r="BC475" s="89">
        <v>1</v>
      </c>
      <c r="BD475" s="28">
        <f>BC475*BE475</f>
        <v>345221.52269690007</v>
      </c>
      <c r="BE475" s="28">
        <f>SUM(AT477:BR496)</f>
        <v>345221.52269690007</v>
      </c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</row>
    <row r="476" spans="1:71" x14ac:dyDescent="0.35">
      <c r="A476" s="2"/>
      <c r="B476" s="2"/>
      <c r="C476" s="103" t="s">
        <v>728</v>
      </c>
      <c r="D476" s="103" t="s">
        <v>653</v>
      </c>
      <c r="E476" s="139" t="s">
        <v>654</v>
      </c>
      <c r="F476" s="139" t="s">
        <v>655</v>
      </c>
      <c r="G476" s="140" t="s">
        <v>656</v>
      </c>
      <c r="H476" s="139" t="s">
        <v>657</v>
      </c>
      <c r="I476" s="139" t="s">
        <v>658</v>
      </c>
      <c r="J476" s="139" t="s">
        <v>659</v>
      </c>
      <c r="K476" s="139" t="s">
        <v>660</v>
      </c>
      <c r="L476" s="103" t="s">
        <v>661</v>
      </c>
      <c r="M476" s="139" t="s">
        <v>662</v>
      </c>
      <c r="N476" s="139" t="s">
        <v>663</v>
      </c>
      <c r="O476" s="140" t="s">
        <v>664</v>
      </c>
      <c r="P476" s="2"/>
      <c r="Q476" s="103" t="s">
        <v>728</v>
      </c>
      <c r="R476" s="103" t="s">
        <v>653</v>
      </c>
      <c r="S476" s="139" t="s">
        <v>654</v>
      </c>
      <c r="T476" s="139" t="s">
        <v>655</v>
      </c>
      <c r="U476" s="140" t="s">
        <v>656</v>
      </c>
      <c r="V476" s="139" t="s">
        <v>657</v>
      </c>
      <c r="W476" s="139" t="s">
        <v>658</v>
      </c>
      <c r="X476" s="139" t="s">
        <v>659</v>
      </c>
      <c r="Y476" s="139" t="s">
        <v>660</v>
      </c>
      <c r="Z476" s="103" t="s">
        <v>661</v>
      </c>
      <c r="AA476" s="139" t="s">
        <v>662</v>
      </c>
      <c r="AB476" s="139" t="s">
        <v>663</v>
      </c>
      <c r="AC476" s="140" t="s">
        <v>664</v>
      </c>
      <c r="AD476" s="2"/>
      <c r="AE476" s="103" t="s">
        <v>728</v>
      </c>
      <c r="AF476" s="103" t="s">
        <v>653</v>
      </c>
      <c r="AG476" s="139" t="s">
        <v>654</v>
      </c>
      <c r="AH476" s="139" t="s">
        <v>655</v>
      </c>
      <c r="AI476" s="140" t="s">
        <v>656</v>
      </c>
      <c r="AJ476" s="139" t="s">
        <v>657</v>
      </c>
      <c r="AK476" s="139" t="s">
        <v>658</v>
      </c>
      <c r="AL476" s="139" t="s">
        <v>659</v>
      </c>
      <c r="AM476" s="139" t="s">
        <v>660</v>
      </c>
      <c r="AN476" s="103" t="s">
        <v>661</v>
      </c>
      <c r="AO476" s="139" t="s">
        <v>662</v>
      </c>
      <c r="AP476" s="139" t="s">
        <v>663</v>
      </c>
      <c r="AQ476" s="140" t="s">
        <v>664</v>
      </c>
      <c r="AR476" s="2"/>
      <c r="AS476" s="103" t="s">
        <v>728</v>
      </c>
      <c r="AT476" s="103" t="s">
        <v>653</v>
      </c>
      <c r="AU476" s="139" t="s">
        <v>654</v>
      </c>
      <c r="AV476" s="139" t="s">
        <v>655</v>
      </c>
      <c r="AW476" s="140" t="s">
        <v>656</v>
      </c>
      <c r="AX476" s="139" t="s">
        <v>657</v>
      </c>
      <c r="AY476" s="139" t="s">
        <v>658</v>
      </c>
      <c r="AZ476" s="139" t="s">
        <v>659</v>
      </c>
      <c r="BA476" s="139" t="s">
        <v>660</v>
      </c>
      <c r="BB476" s="103" t="s">
        <v>661</v>
      </c>
      <c r="BC476" s="139" t="s">
        <v>662</v>
      </c>
      <c r="BD476" s="139" t="s">
        <v>663</v>
      </c>
      <c r="BE476" s="140" t="s">
        <v>664</v>
      </c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</row>
    <row r="477" spans="1:71" x14ac:dyDescent="0.35">
      <c r="A477" s="2"/>
      <c r="B477" s="2"/>
      <c r="C477" s="104" t="s">
        <v>729</v>
      </c>
      <c r="D477" s="106">
        <v>102186.6</v>
      </c>
      <c r="E477" s="94">
        <v>43818.91</v>
      </c>
      <c r="F477" s="94">
        <v>1538.01</v>
      </c>
      <c r="G477" s="95">
        <v>113.5147</v>
      </c>
      <c r="H477" s="94"/>
      <c r="I477" s="94"/>
      <c r="J477" s="94"/>
      <c r="K477" s="94"/>
      <c r="L477" s="106"/>
      <c r="M477" s="94"/>
      <c r="N477" s="94"/>
      <c r="O477" s="95"/>
      <c r="P477" s="2"/>
      <c r="Q477" s="104" t="s">
        <v>729</v>
      </c>
      <c r="R477" s="106">
        <v>162435.70000000001</v>
      </c>
      <c r="S477" s="94">
        <v>45991.05</v>
      </c>
      <c r="T477" s="94">
        <v>1702.885</v>
      </c>
      <c r="U477" s="95">
        <v>20.940110000000001</v>
      </c>
      <c r="V477" s="94"/>
      <c r="W477" s="94"/>
      <c r="X477" s="94"/>
      <c r="Y477" s="94"/>
      <c r="Z477" s="106"/>
      <c r="AA477" s="94"/>
      <c r="AB477" s="94"/>
      <c r="AC477" s="95"/>
      <c r="AD477" s="2"/>
      <c r="AE477" s="104" t="s">
        <v>729</v>
      </c>
      <c r="AF477" s="106">
        <v>27661.59</v>
      </c>
      <c r="AG477" s="94">
        <v>12571.52</v>
      </c>
      <c r="AH477" s="94">
        <v>219.3304</v>
      </c>
      <c r="AI477" s="95"/>
      <c r="AJ477" s="94"/>
      <c r="AK477" s="94"/>
      <c r="AL477" s="94"/>
      <c r="AM477" s="94"/>
      <c r="AN477" s="106"/>
      <c r="AO477" s="94"/>
      <c r="AP477" s="94"/>
      <c r="AQ477" s="95"/>
      <c r="AR477" s="2"/>
      <c r="AS477" s="104" t="s">
        <v>729</v>
      </c>
      <c r="AT477" s="106">
        <v>13056.76</v>
      </c>
      <c r="AU477" s="94">
        <v>4788.5820000000003</v>
      </c>
      <c r="AV477" s="94">
        <v>98.507540000000006</v>
      </c>
      <c r="AW477" s="95"/>
      <c r="AX477" s="94"/>
      <c r="AY477" s="94"/>
      <c r="AZ477" s="94"/>
      <c r="BA477" s="94"/>
      <c r="BB477" s="106"/>
      <c r="BC477" s="94"/>
      <c r="BD477" s="94"/>
      <c r="BE477" s="95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</row>
    <row r="478" spans="1:71" x14ac:dyDescent="0.35">
      <c r="A478" s="2"/>
      <c r="B478" s="2"/>
      <c r="C478" s="104" t="s">
        <v>730</v>
      </c>
      <c r="D478" s="106">
        <v>91634.21</v>
      </c>
      <c r="E478" s="94">
        <v>58324.74</v>
      </c>
      <c r="F478" s="94">
        <v>5463.4449999999997</v>
      </c>
      <c r="G478" s="95">
        <v>696.88030000000003</v>
      </c>
      <c r="H478" s="94"/>
      <c r="I478" s="94"/>
      <c r="J478" s="94"/>
      <c r="K478" s="94"/>
      <c r="L478" s="106"/>
      <c r="M478" s="94"/>
      <c r="N478" s="94"/>
      <c r="O478" s="95"/>
      <c r="P478" s="2"/>
      <c r="Q478" s="104" t="s">
        <v>730</v>
      </c>
      <c r="R478" s="106">
        <v>276562.59999999998</v>
      </c>
      <c r="S478" s="94">
        <v>116355.8</v>
      </c>
      <c r="T478" s="94">
        <v>9546.3819999999996</v>
      </c>
      <c r="U478" s="95">
        <v>822.34979999999996</v>
      </c>
      <c r="V478" s="94"/>
      <c r="W478" s="94"/>
      <c r="X478" s="94"/>
      <c r="Y478" s="94"/>
      <c r="Z478" s="106"/>
      <c r="AA478" s="94"/>
      <c r="AB478" s="94"/>
      <c r="AC478" s="95"/>
      <c r="AD478" s="2"/>
      <c r="AE478" s="104" t="s">
        <v>730</v>
      </c>
      <c r="AF478" s="106">
        <v>41611.15</v>
      </c>
      <c r="AG478" s="94">
        <v>26061.119999999999</v>
      </c>
      <c r="AH478" s="94">
        <v>1024.1890000000001</v>
      </c>
      <c r="AI478" s="95">
        <v>53.041429999999998</v>
      </c>
      <c r="AJ478" s="94"/>
      <c r="AK478" s="94"/>
      <c r="AL478" s="94"/>
      <c r="AM478" s="94"/>
      <c r="AN478" s="106"/>
      <c r="AO478" s="94"/>
      <c r="AP478" s="94"/>
      <c r="AQ478" s="95"/>
      <c r="AR478" s="2"/>
      <c r="AS478" s="104" t="s">
        <v>730</v>
      </c>
      <c r="AT478" s="106">
        <v>21837.69</v>
      </c>
      <c r="AU478" s="94">
        <v>11593.02</v>
      </c>
      <c r="AV478" s="94">
        <v>340.47879999999998</v>
      </c>
      <c r="AW478" s="95">
        <v>3.9709699999999999</v>
      </c>
      <c r="AX478" s="94"/>
      <c r="AY478" s="94"/>
      <c r="AZ478" s="94"/>
      <c r="BA478" s="94"/>
      <c r="BB478" s="106"/>
      <c r="BC478" s="94"/>
      <c r="BD478" s="94"/>
      <c r="BE478" s="95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</row>
    <row r="479" spans="1:71" x14ac:dyDescent="0.35">
      <c r="A479" s="2"/>
      <c r="B479" s="2"/>
      <c r="C479" s="104" t="s">
        <v>731</v>
      </c>
      <c r="D479" s="106">
        <v>82986.09</v>
      </c>
      <c r="E479" s="94">
        <v>66435.92</v>
      </c>
      <c r="F479" s="94">
        <v>9646.4930000000004</v>
      </c>
      <c r="G479" s="95">
        <v>798.17269999999996</v>
      </c>
      <c r="H479" s="94"/>
      <c r="I479" s="94"/>
      <c r="J479" s="94"/>
      <c r="K479" s="94"/>
      <c r="L479" s="106"/>
      <c r="M479" s="94"/>
      <c r="N479" s="94"/>
      <c r="O479" s="95"/>
      <c r="P479" s="2"/>
      <c r="Q479" s="104" t="s">
        <v>731</v>
      </c>
      <c r="R479" s="106">
        <v>394327.6</v>
      </c>
      <c r="S479" s="94">
        <v>173733.8</v>
      </c>
      <c r="T479" s="94">
        <v>14266.13</v>
      </c>
      <c r="U479" s="95">
        <v>539.21349999999995</v>
      </c>
      <c r="V479" s="94"/>
      <c r="W479" s="94"/>
      <c r="X479" s="94"/>
      <c r="Y479" s="94"/>
      <c r="Z479" s="106"/>
      <c r="AA479" s="94"/>
      <c r="AB479" s="94"/>
      <c r="AC479" s="95"/>
      <c r="AD479" s="2"/>
      <c r="AE479" s="104" t="s">
        <v>731</v>
      </c>
      <c r="AF479" s="106">
        <v>56398.36</v>
      </c>
      <c r="AG479" s="94">
        <v>43416.02</v>
      </c>
      <c r="AH479" s="94">
        <v>1648.836</v>
      </c>
      <c r="AI479" s="95">
        <v>15.255750000000001</v>
      </c>
      <c r="AJ479" s="94"/>
      <c r="AK479" s="94"/>
      <c r="AL479" s="94"/>
      <c r="AM479" s="94"/>
      <c r="AN479" s="106"/>
      <c r="AO479" s="94"/>
      <c r="AP479" s="94"/>
      <c r="AQ479" s="95"/>
      <c r="AR479" s="2"/>
      <c r="AS479" s="104" t="s">
        <v>731</v>
      </c>
      <c r="AT479" s="106">
        <v>27297.81</v>
      </c>
      <c r="AU479" s="94">
        <v>19582.54</v>
      </c>
      <c r="AV479" s="94">
        <v>553.00400000000002</v>
      </c>
      <c r="AW479" s="95"/>
      <c r="AX479" s="94"/>
      <c r="AY479" s="94"/>
      <c r="AZ479" s="94"/>
      <c r="BA479" s="94"/>
      <c r="BB479" s="106"/>
      <c r="BC479" s="94"/>
      <c r="BD479" s="94"/>
      <c r="BE479" s="95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</row>
    <row r="480" spans="1:71" x14ac:dyDescent="0.35">
      <c r="A480" s="2"/>
      <c r="B480" s="2"/>
      <c r="C480" s="104" t="s">
        <v>732</v>
      </c>
      <c r="D480" s="106">
        <v>65763.44</v>
      </c>
      <c r="E480" s="94">
        <v>68257.070000000007</v>
      </c>
      <c r="F480" s="94">
        <v>15464.54</v>
      </c>
      <c r="G480" s="95">
        <v>6543.8869999999997</v>
      </c>
      <c r="H480" s="94"/>
      <c r="I480" s="94"/>
      <c r="J480" s="94"/>
      <c r="K480" s="94"/>
      <c r="L480" s="106"/>
      <c r="M480" s="94"/>
      <c r="N480" s="94"/>
      <c r="O480" s="95"/>
      <c r="P480" s="2"/>
      <c r="Q480" s="104" t="s">
        <v>732</v>
      </c>
      <c r="R480" s="106">
        <v>591261.4</v>
      </c>
      <c r="S480" s="94">
        <v>327224.7</v>
      </c>
      <c r="T480" s="94">
        <v>49409.760000000002</v>
      </c>
      <c r="U480" s="95">
        <v>37706.879999999997</v>
      </c>
      <c r="V480" s="94"/>
      <c r="W480" s="94"/>
      <c r="X480" s="94"/>
      <c r="Y480" s="94"/>
      <c r="Z480" s="106"/>
      <c r="AA480" s="94"/>
      <c r="AB480" s="94"/>
      <c r="AC480" s="95"/>
      <c r="AD480" s="2"/>
      <c r="AE480" s="104" t="s">
        <v>732</v>
      </c>
      <c r="AF480" s="106">
        <v>80274.78</v>
      </c>
      <c r="AG480" s="94">
        <v>63144.43</v>
      </c>
      <c r="AH480" s="94">
        <v>4385.0240000000003</v>
      </c>
      <c r="AI480" s="95">
        <v>1366.472</v>
      </c>
      <c r="AJ480" s="94"/>
      <c r="AK480" s="94"/>
      <c r="AL480" s="94"/>
      <c r="AM480" s="94"/>
      <c r="AN480" s="106"/>
      <c r="AO480" s="94"/>
      <c r="AP480" s="94"/>
      <c r="AQ480" s="95"/>
      <c r="AR480" s="2"/>
      <c r="AS480" s="104" t="s">
        <v>732</v>
      </c>
      <c r="AT480" s="106">
        <v>50885.03</v>
      </c>
      <c r="AU480" s="94">
        <v>31380.959999999999</v>
      </c>
      <c r="AV480" s="94">
        <v>3504.569</v>
      </c>
      <c r="AW480" s="95">
        <v>992.29949999999997</v>
      </c>
      <c r="AX480" s="94"/>
      <c r="AY480" s="94"/>
      <c r="AZ480" s="94"/>
      <c r="BA480" s="94"/>
      <c r="BB480" s="106"/>
      <c r="BC480" s="94"/>
      <c r="BD480" s="94"/>
      <c r="BE480" s="95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</row>
    <row r="481" spans="1:71" x14ac:dyDescent="0.35">
      <c r="A481" s="2"/>
      <c r="B481" s="2"/>
      <c r="C481" s="104" t="s">
        <v>733</v>
      </c>
      <c r="D481" s="106">
        <v>32309.26</v>
      </c>
      <c r="E481" s="94">
        <v>58195.54</v>
      </c>
      <c r="F481" s="94">
        <v>37627.31</v>
      </c>
      <c r="G481" s="95">
        <v>51465.93</v>
      </c>
      <c r="H481" s="94"/>
      <c r="I481" s="94"/>
      <c r="J481" s="94"/>
      <c r="K481" s="94"/>
      <c r="L481" s="106"/>
      <c r="M481" s="94"/>
      <c r="N481" s="94"/>
      <c r="O481" s="95"/>
      <c r="P481" s="2"/>
      <c r="Q481" s="104" t="s">
        <v>733</v>
      </c>
      <c r="R481" s="106">
        <v>639639.5</v>
      </c>
      <c r="S481" s="94">
        <v>857014</v>
      </c>
      <c r="T481" s="94">
        <v>164597.70000000001</v>
      </c>
      <c r="U481" s="95">
        <v>33386.04</v>
      </c>
      <c r="V481" s="94"/>
      <c r="W481" s="94"/>
      <c r="X481" s="94"/>
      <c r="Y481" s="94"/>
      <c r="Z481" s="106"/>
      <c r="AA481" s="94"/>
      <c r="AB481" s="94"/>
      <c r="AC481" s="95"/>
      <c r="AD481" s="2"/>
      <c r="AE481" s="104" t="s">
        <v>733</v>
      </c>
      <c r="AF481" s="106">
        <v>46974.2</v>
      </c>
      <c r="AG481" s="94">
        <v>54757.13</v>
      </c>
      <c r="AH481" s="94">
        <v>8559.7049999999999</v>
      </c>
      <c r="AI481" s="95">
        <v>4664.3519999999999</v>
      </c>
      <c r="AJ481" s="94"/>
      <c r="AK481" s="94"/>
      <c r="AL481" s="94"/>
      <c r="AM481" s="94"/>
      <c r="AN481" s="106"/>
      <c r="AO481" s="94"/>
      <c r="AP481" s="94"/>
      <c r="AQ481" s="95"/>
      <c r="AR481" s="2"/>
      <c r="AS481" s="104" t="s">
        <v>733</v>
      </c>
      <c r="AT481" s="106">
        <v>35593.83</v>
      </c>
      <c r="AU481" s="94">
        <v>31822.42</v>
      </c>
      <c r="AV481" s="94">
        <v>4862.6459999999997</v>
      </c>
      <c r="AW481" s="95">
        <v>4231.6170000000002</v>
      </c>
      <c r="AX481" s="94"/>
      <c r="AY481" s="94"/>
      <c r="AZ481" s="94"/>
      <c r="BA481" s="94"/>
      <c r="BB481" s="106"/>
      <c r="BC481" s="94"/>
      <c r="BD481" s="94"/>
      <c r="BE481" s="95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</row>
    <row r="482" spans="1:71" x14ac:dyDescent="0.35">
      <c r="A482" s="2"/>
      <c r="B482" s="2"/>
      <c r="C482" s="103" t="s">
        <v>734</v>
      </c>
      <c r="D482" s="141">
        <v>139.399</v>
      </c>
      <c r="E482" s="142">
        <v>109.29989999999999</v>
      </c>
      <c r="F482" s="142"/>
      <c r="G482" s="143"/>
      <c r="H482" s="142"/>
      <c r="I482" s="142"/>
      <c r="J482" s="142"/>
      <c r="K482" s="142"/>
      <c r="L482" s="141"/>
      <c r="M482" s="142"/>
      <c r="N482" s="142"/>
      <c r="O482" s="143"/>
      <c r="P482" s="2"/>
      <c r="Q482" s="103" t="s">
        <v>734</v>
      </c>
      <c r="R482" s="141">
        <v>2146.3000000000002</v>
      </c>
      <c r="S482" s="142">
        <v>379.46359999999999</v>
      </c>
      <c r="T482" s="142"/>
      <c r="U482" s="143"/>
      <c r="V482" s="142"/>
      <c r="W482" s="142"/>
      <c r="X482" s="142"/>
      <c r="Y482" s="142"/>
      <c r="Z482" s="141"/>
      <c r="AA482" s="142"/>
      <c r="AB482" s="142"/>
      <c r="AC482" s="143"/>
      <c r="AD482" s="2"/>
      <c r="AE482" s="103" t="s">
        <v>734</v>
      </c>
      <c r="AF482" s="141">
        <v>51.630110000000002</v>
      </c>
      <c r="AG482" s="142">
        <v>1.4441029999999999</v>
      </c>
      <c r="AH482" s="142"/>
      <c r="AI482" s="143"/>
      <c r="AJ482" s="142"/>
      <c r="AK482" s="142"/>
      <c r="AL482" s="142"/>
      <c r="AM482" s="142"/>
      <c r="AN482" s="141"/>
      <c r="AO482" s="142"/>
      <c r="AP482" s="142"/>
      <c r="AQ482" s="143"/>
      <c r="AR482" s="2"/>
      <c r="AS482" s="103" t="s">
        <v>734</v>
      </c>
      <c r="AT482" s="141">
        <v>18.675799999999999</v>
      </c>
      <c r="AU482" s="142"/>
      <c r="AV482" s="142"/>
      <c r="AW482" s="143"/>
      <c r="AX482" s="142"/>
      <c r="AY482" s="142"/>
      <c r="AZ482" s="142"/>
      <c r="BA482" s="142"/>
      <c r="BB482" s="141"/>
      <c r="BC482" s="142"/>
      <c r="BD482" s="142"/>
      <c r="BE482" s="143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</row>
    <row r="483" spans="1:71" x14ac:dyDescent="0.35">
      <c r="A483" s="2"/>
      <c r="B483" s="2"/>
      <c r="C483" s="104" t="s">
        <v>735</v>
      </c>
      <c r="D483" s="106">
        <v>168.2225</v>
      </c>
      <c r="E483" s="94">
        <v>142.03579999999999</v>
      </c>
      <c r="F483" s="94">
        <v>50.884599999999999</v>
      </c>
      <c r="G483" s="95"/>
      <c r="H483" s="94"/>
      <c r="I483" s="94"/>
      <c r="J483" s="94"/>
      <c r="K483" s="94"/>
      <c r="L483" s="106"/>
      <c r="M483" s="94"/>
      <c r="N483" s="94"/>
      <c r="O483" s="95"/>
      <c r="P483" s="2"/>
      <c r="Q483" s="104" t="s">
        <v>735</v>
      </c>
      <c r="R483" s="106">
        <v>606.47789999999998</v>
      </c>
      <c r="S483" s="94">
        <v>396.3578</v>
      </c>
      <c r="T483" s="94"/>
      <c r="U483" s="95"/>
      <c r="V483" s="94"/>
      <c r="W483" s="94"/>
      <c r="X483" s="94"/>
      <c r="Y483" s="94"/>
      <c r="Z483" s="106"/>
      <c r="AA483" s="94"/>
      <c r="AB483" s="94"/>
      <c r="AC483" s="95"/>
      <c r="AD483" s="2"/>
      <c r="AE483" s="104" t="s">
        <v>735</v>
      </c>
      <c r="AF483" s="106">
        <v>14.08441</v>
      </c>
      <c r="AG483" s="94">
        <v>6.5193830000000004</v>
      </c>
      <c r="AH483" s="94"/>
      <c r="AI483" s="95"/>
      <c r="AJ483" s="94"/>
      <c r="AK483" s="94"/>
      <c r="AL483" s="94"/>
      <c r="AM483" s="94"/>
      <c r="AN483" s="106"/>
      <c r="AO483" s="94"/>
      <c r="AP483" s="94"/>
      <c r="AQ483" s="95"/>
      <c r="AR483" s="2"/>
      <c r="AS483" s="104" t="s">
        <v>735</v>
      </c>
      <c r="AT483" s="106">
        <v>3.3268749999999998</v>
      </c>
      <c r="AU483" s="94">
        <v>1.161681</v>
      </c>
      <c r="AV483" s="94"/>
      <c r="AW483" s="95"/>
      <c r="AX483" s="94"/>
      <c r="AY483" s="94"/>
      <c r="AZ483" s="94"/>
      <c r="BA483" s="94"/>
      <c r="BB483" s="106"/>
      <c r="BC483" s="94"/>
      <c r="BD483" s="94"/>
      <c r="BE483" s="95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</row>
    <row r="484" spans="1:71" x14ac:dyDescent="0.35">
      <c r="A484" s="2"/>
      <c r="B484" s="2"/>
      <c r="C484" s="104" t="s">
        <v>736</v>
      </c>
      <c r="D484" s="106">
        <v>379.75740000000002</v>
      </c>
      <c r="E484" s="94">
        <v>599.7405</v>
      </c>
      <c r="F484" s="94">
        <v>104.35769999999999</v>
      </c>
      <c r="G484" s="95"/>
      <c r="H484" s="94"/>
      <c r="I484" s="94"/>
      <c r="J484" s="94"/>
      <c r="K484" s="94"/>
      <c r="L484" s="106"/>
      <c r="M484" s="94"/>
      <c r="N484" s="94"/>
      <c r="O484" s="95"/>
      <c r="P484" s="2"/>
      <c r="Q484" s="104" t="s">
        <v>736</v>
      </c>
      <c r="R484" s="106">
        <v>2762.172</v>
      </c>
      <c r="S484" s="94">
        <v>1128.7460000000001</v>
      </c>
      <c r="T484" s="94">
        <v>295.86239999999998</v>
      </c>
      <c r="U484" s="95"/>
      <c r="V484" s="94"/>
      <c r="W484" s="94"/>
      <c r="X484" s="94"/>
      <c r="Y484" s="94"/>
      <c r="Z484" s="106"/>
      <c r="AA484" s="94"/>
      <c r="AB484" s="94"/>
      <c r="AC484" s="95"/>
      <c r="AD484" s="2"/>
      <c r="AE484" s="104" t="s">
        <v>736</v>
      </c>
      <c r="AF484" s="106">
        <v>39.217080000000003</v>
      </c>
      <c r="AG484" s="94">
        <v>3.9360309999999998</v>
      </c>
      <c r="AH484" s="94"/>
      <c r="AI484" s="95"/>
      <c r="AJ484" s="94"/>
      <c r="AK484" s="94"/>
      <c r="AL484" s="94"/>
      <c r="AM484" s="94"/>
      <c r="AN484" s="106"/>
      <c r="AO484" s="94"/>
      <c r="AP484" s="94"/>
      <c r="AQ484" s="95"/>
      <c r="AR484" s="2"/>
      <c r="AS484" s="104" t="s">
        <v>736</v>
      </c>
      <c r="AT484" s="106">
        <v>32.856589999999997</v>
      </c>
      <c r="AU484" s="94">
        <v>2.567294</v>
      </c>
      <c r="AV484" s="94"/>
      <c r="AW484" s="95"/>
      <c r="AX484" s="94"/>
      <c r="AY484" s="94"/>
      <c r="AZ484" s="94"/>
      <c r="BA484" s="94"/>
      <c r="BB484" s="106"/>
      <c r="BC484" s="94"/>
      <c r="BD484" s="94"/>
      <c r="BE484" s="95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</row>
    <row r="485" spans="1:71" x14ac:dyDescent="0.35">
      <c r="A485" s="2"/>
      <c r="B485" s="2"/>
      <c r="C485" s="104" t="s">
        <v>737</v>
      </c>
      <c r="D485" s="106">
        <v>816.99519999999995</v>
      </c>
      <c r="E485" s="94">
        <v>1661.22</v>
      </c>
      <c r="F485" s="94">
        <v>1206.6980000000001</v>
      </c>
      <c r="G485" s="95">
        <v>917.05240000000003</v>
      </c>
      <c r="H485" s="94"/>
      <c r="I485" s="94"/>
      <c r="J485" s="94"/>
      <c r="K485" s="94"/>
      <c r="L485" s="106"/>
      <c r="M485" s="94"/>
      <c r="N485" s="94"/>
      <c r="O485" s="95"/>
      <c r="P485" s="2"/>
      <c r="Q485" s="104" t="s">
        <v>737</v>
      </c>
      <c r="R485" s="106">
        <v>17601.72</v>
      </c>
      <c r="S485" s="94">
        <v>8899.357</v>
      </c>
      <c r="T485" s="94">
        <v>2084.989</v>
      </c>
      <c r="U485" s="95">
        <v>1112.7729999999999</v>
      </c>
      <c r="V485" s="94"/>
      <c r="W485" s="94"/>
      <c r="X485" s="94"/>
      <c r="Y485" s="94"/>
      <c r="Z485" s="106"/>
      <c r="AA485" s="94"/>
      <c r="AB485" s="94"/>
      <c r="AC485" s="95"/>
      <c r="AD485" s="2"/>
      <c r="AE485" s="104" t="s">
        <v>737</v>
      </c>
      <c r="AF485" s="106">
        <v>45.384590000000003</v>
      </c>
      <c r="AG485" s="94">
        <v>85.327669999999998</v>
      </c>
      <c r="AH485" s="94"/>
      <c r="AI485" s="95"/>
      <c r="AJ485" s="94"/>
      <c r="AK485" s="94"/>
      <c r="AL485" s="94"/>
      <c r="AM485" s="94"/>
      <c r="AN485" s="106"/>
      <c r="AO485" s="94"/>
      <c r="AP485" s="94"/>
      <c r="AQ485" s="95"/>
      <c r="AR485" s="2"/>
      <c r="AS485" s="104" t="s">
        <v>737</v>
      </c>
      <c r="AT485" s="106">
        <v>129.465</v>
      </c>
      <c r="AU485" s="94">
        <v>135.48150000000001</v>
      </c>
      <c r="AV485" s="94">
        <v>1.0313909999999999</v>
      </c>
      <c r="AW485" s="95"/>
      <c r="AX485" s="94"/>
      <c r="AY485" s="94"/>
      <c r="AZ485" s="94"/>
      <c r="BA485" s="94"/>
      <c r="BB485" s="106"/>
      <c r="BC485" s="94"/>
      <c r="BD485" s="94"/>
      <c r="BE485" s="95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</row>
    <row r="486" spans="1:71" x14ac:dyDescent="0.35">
      <c r="A486" s="2"/>
      <c r="B486" s="2"/>
      <c r="C486" s="105" t="s">
        <v>738</v>
      </c>
      <c r="D486" s="107">
        <v>1547.481</v>
      </c>
      <c r="E486" s="97">
        <v>6182.7619999999997</v>
      </c>
      <c r="F486" s="97">
        <v>7459.3389999999999</v>
      </c>
      <c r="G486" s="98">
        <v>25520.5</v>
      </c>
      <c r="H486" s="97"/>
      <c r="I486" s="97"/>
      <c r="J486" s="97"/>
      <c r="K486" s="97"/>
      <c r="L486" s="107"/>
      <c r="M486" s="97"/>
      <c r="N486" s="97"/>
      <c r="O486" s="98"/>
      <c r="P486" s="2"/>
      <c r="Q486" s="105" t="s">
        <v>738</v>
      </c>
      <c r="R486" s="107">
        <v>10434.25</v>
      </c>
      <c r="S486" s="97">
        <v>12233.42</v>
      </c>
      <c r="T486" s="97">
        <v>6485.741</v>
      </c>
      <c r="U486" s="98">
        <v>4887.6850000000004</v>
      </c>
      <c r="V486" s="97"/>
      <c r="W486" s="97"/>
      <c r="X486" s="97"/>
      <c r="Y486" s="97"/>
      <c r="Z486" s="107"/>
      <c r="AA486" s="97"/>
      <c r="AB486" s="97"/>
      <c r="AC486" s="98"/>
      <c r="AD486" s="2"/>
      <c r="AE486" s="105" t="s">
        <v>738</v>
      </c>
      <c r="AF486" s="107">
        <v>52.020679999999999</v>
      </c>
      <c r="AG486" s="97">
        <v>7.1835339999999999</v>
      </c>
      <c r="AH486" s="97">
        <v>92.888419999999996</v>
      </c>
      <c r="AI486" s="98">
        <v>64.596429999999998</v>
      </c>
      <c r="AJ486" s="97"/>
      <c r="AK486" s="97"/>
      <c r="AL486" s="97"/>
      <c r="AM486" s="97"/>
      <c r="AN486" s="107"/>
      <c r="AO486" s="97"/>
      <c r="AP486" s="97"/>
      <c r="AQ486" s="98"/>
      <c r="AR486" s="2"/>
      <c r="AS486" s="105" t="s">
        <v>738</v>
      </c>
      <c r="AT486" s="107">
        <v>76.125730000000004</v>
      </c>
      <c r="AU486" s="97">
        <v>489.5188</v>
      </c>
      <c r="AV486" s="97">
        <v>133.03530000000001</v>
      </c>
      <c r="AW486" s="98">
        <v>9.9901429999999998</v>
      </c>
      <c r="AX486" s="97"/>
      <c r="AY486" s="97"/>
      <c r="AZ486" s="97"/>
      <c r="BA486" s="97"/>
      <c r="BB486" s="107"/>
      <c r="BC486" s="97"/>
      <c r="BD486" s="97"/>
      <c r="BE486" s="98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</row>
    <row r="487" spans="1:71" x14ac:dyDescent="0.35">
      <c r="A487" s="2"/>
      <c r="B487" s="2"/>
      <c r="C487" s="104" t="s">
        <v>739</v>
      </c>
      <c r="D487" s="106"/>
      <c r="E487" s="94"/>
      <c r="F487" s="94"/>
      <c r="G487" s="95"/>
      <c r="H487" s="94">
        <v>6060.9719999999998</v>
      </c>
      <c r="I487" s="94">
        <v>2508.34</v>
      </c>
      <c r="J487" s="94">
        <v>486.89519999999999</v>
      </c>
      <c r="K487" s="94"/>
      <c r="L487" s="106"/>
      <c r="M487" s="94"/>
      <c r="N487" s="94"/>
      <c r="O487" s="95"/>
      <c r="P487" s="2"/>
      <c r="Q487" s="104" t="s">
        <v>739</v>
      </c>
      <c r="R487" s="106"/>
      <c r="S487" s="94"/>
      <c r="T487" s="94"/>
      <c r="U487" s="95"/>
      <c r="V487" s="94">
        <v>17241.349999999999</v>
      </c>
      <c r="W487" s="94">
        <v>3910.55</v>
      </c>
      <c r="X487" s="94">
        <v>53.854030000000002</v>
      </c>
      <c r="Y487" s="94">
        <v>14.73969</v>
      </c>
      <c r="Z487" s="106"/>
      <c r="AA487" s="94"/>
      <c r="AB487" s="94"/>
      <c r="AC487" s="95"/>
      <c r="AD487" s="2"/>
      <c r="AE487" s="104" t="s">
        <v>739</v>
      </c>
      <c r="AF487" s="106"/>
      <c r="AG487" s="94"/>
      <c r="AH487" s="94"/>
      <c r="AI487" s="95"/>
      <c r="AJ487" s="94">
        <v>588.19719999999995</v>
      </c>
      <c r="AK487" s="94">
        <v>262.82130000000001</v>
      </c>
      <c r="AL487" s="94">
        <v>31.282330000000002</v>
      </c>
      <c r="AM487" s="94"/>
      <c r="AN487" s="106"/>
      <c r="AO487" s="94"/>
      <c r="AP487" s="94"/>
      <c r="AQ487" s="95"/>
      <c r="AR487" s="2"/>
      <c r="AS487" s="104" t="s">
        <v>739</v>
      </c>
      <c r="AT487" s="106"/>
      <c r="AU487" s="94"/>
      <c r="AV487" s="94"/>
      <c r="AW487" s="95"/>
      <c r="AX487" s="94">
        <v>311.2448</v>
      </c>
      <c r="AY487" s="94">
        <v>187.73840000000001</v>
      </c>
      <c r="AZ487" s="94"/>
      <c r="BA487" s="94"/>
      <c r="BB487" s="106"/>
      <c r="BC487" s="94"/>
      <c r="BD487" s="94"/>
      <c r="BE487" s="95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</row>
    <row r="488" spans="1:71" x14ac:dyDescent="0.35">
      <c r="A488" s="2"/>
      <c r="B488" s="2"/>
      <c r="C488" s="104" t="s">
        <v>740</v>
      </c>
      <c r="D488" s="106"/>
      <c r="E488" s="94"/>
      <c r="F488" s="94"/>
      <c r="G488" s="95"/>
      <c r="H488" s="94">
        <v>6466.2020000000002</v>
      </c>
      <c r="I488" s="94">
        <v>4065.8110000000001</v>
      </c>
      <c r="J488" s="94">
        <v>637.66840000000002</v>
      </c>
      <c r="K488" s="94"/>
      <c r="L488" s="106"/>
      <c r="M488" s="94"/>
      <c r="N488" s="94"/>
      <c r="O488" s="95"/>
      <c r="P488" s="2"/>
      <c r="Q488" s="104" t="s">
        <v>740</v>
      </c>
      <c r="R488" s="106"/>
      <c r="S488" s="94"/>
      <c r="T488" s="94"/>
      <c r="U488" s="95"/>
      <c r="V488" s="94">
        <v>24150.75</v>
      </c>
      <c r="W488" s="94">
        <v>13321.35</v>
      </c>
      <c r="X488" s="94">
        <v>1483.0989999999999</v>
      </c>
      <c r="Y488" s="94"/>
      <c r="Z488" s="106"/>
      <c r="AA488" s="94"/>
      <c r="AB488" s="94"/>
      <c r="AC488" s="95"/>
      <c r="AD488" s="2"/>
      <c r="AE488" s="104" t="s">
        <v>740</v>
      </c>
      <c r="AF488" s="106"/>
      <c r="AG488" s="94"/>
      <c r="AH488" s="94"/>
      <c r="AI488" s="95"/>
      <c r="AJ488" s="94">
        <v>784.40219999999999</v>
      </c>
      <c r="AK488" s="94">
        <v>814.91700000000003</v>
      </c>
      <c r="AL488" s="94">
        <v>34.939340000000001</v>
      </c>
      <c r="AM488" s="94"/>
      <c r="AN488" s="106"/>
      <c r="AO488" s="94"/>
      <c r="AP488" s="94"/>
      <c r="AQ488" s="95"/>
      <c r="AR488" s="2"/>
      <c r="AS488" s="104" t="s">
        <v>740</v>
      </c>
      <c r="AT488" s="106"/>
      <c r="AU488" s="94"/>
      <c r="AV488" s="94"/>
      <c r="AW488" s="95"/>
      <c r="AX488" s="94">
        <v>504.91329999999999</v>
      </c>
      <c r="AY488" s="94">
        <v>479.76569999999998</v>
      </c>
      <c r="AZ488" s="94">
        <v>135.42169999999999</v>
      </c>
      <c r="BA488" s="94"/>
      <c r="BB488" s="106"/>
      <c r="BC488" s="94"/>
      <c r="BD488" s="94"/>
      <c r="BE488" s="95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</row>
    <row r="489" spans="1:71" x14ac:dyDescent="0.35">
      <c r="A489" s="2"/>
      <c r="B489" s="2"/>
      <c r="C489" s="104" t="s">
        <v>741</v>
      </c>
      <c r="D489" s="106"/>
      <c r="E489" s="94"/>
      <c r="F489" s="94"/>
      <c r="G489" s="95"/>
      <c r="H489" s="94">
        <v>6566.2579999999998</v>
      </c>
      <c r="I489" s="94">
        <v>7788.2070000000003</v>
      </c>
      <c r="J489" s="94">
        <v>613.50250000000005</v>
      </c>
      <c r="K489" s="94">
        <v>379.71660000000003</v>
      </c>
      <c r="L489" s="106"/>
      <c r="M489" s="94"/>
      <c r="N489" s="94"/>
      <c r="O489" s="95"/>
      <c r="P489" s="2"/>
      <c r="Q489" s="104" t="s">
        <v>741</v>
      </c>
      <c r="R489" s="106"/>
      <c r="S489" s="94"/>
      <c r="T489" s="94"/>
      <c r="U489" s="95"/>
      <c r="V489" s="94">
        <v>63112.41</v>
      </c>
      <c r="W489" s="94">
        <v>37263.96</v>
      </c>
      <c r="X489" s="94">
        <v>4857.7370000000001</v>
      </c>
      <c r="Y489" s="94">
        <v>1147.0029999999999</v>
      </c>
      <c r="Z489" s="106"/>
      <c r="AA489" s="94"/>
      <c r="AB489" s="94"/>
      <c r="AC489" s="95"/>
      <c r="AD489" s="2"/>
      <c r="AE489" s="104" t="s">
        <v>741</v>
      </c>
      <c r="AF489" s="106"/>
      <c r="AG489" s="94"/>
      <c r="AH489" s="94"/>
      <c r="AI489" s="95"/>
      <c r="AJ489" s="94">
        <v>1361.0060000000001</v>
      </c>
      <c r="AK489" s="94">
        <v>1423.248</v>
      </c>
      <c r="AL489" s="94">
        <v>28.78614</v>
      </c>
      <c r="AM489" s="94">
        <v>6.36876</v>
      </c>
      <c r="AN489" s="106"/>
      <c r="AO489" s="94"/>
      <c r="AP489" s="94"/>
      <c r="AQ489" s="95"/>
      <c r="AR489" s="2"/>
      <c r="AS489" s="104" t="s">
        <v>741</v>
      </c>
      <c r="AT489" s="106"/>
      <c r="AU489" s="94"/>
      <c r="AV489" s="94"/>
      <c r="AW489" s="95"/>
      <c r="AX489" s="94">
        <v>1059.046</v>
      </c>
      <c r="AY489" s="94">
        <v>1270.856</v>
      </c>
      <c r="AZ489" s="94">
        <v>12.16708</v>
      </c>
      <c r="BA489" s="94"/>
      <c r="BB489" s="106"/>
      <c r="BC489" s="94"/>
      <c r="BD489" s="94"/>
      <c r="BE489" s="95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</row>
    <row r="490" spans="1:71" x14ac:dyDescent="0.35">
      <c r="A490" s="2"/>
      <c r="B490" s="2"/>
      <c r="C490" s="104" t="s">
        <v>742</v>
      </c>
      <c r="D490" s="106"/>
      <c r="E490" s="94"/>
      <c r="F490" s="94"/>
      <c r="G490" s="95"/>
      <c r="H490" s="94">
        <v>5423.652</v>
      </c>
      <c r="I490" s="94">
        <v>5625.8469999999998</v>
      </c>
      <c r="J490" s="94">
        <v>3335.348</v>
      </c>
      <c r="K490" s="94">
        <v>2654.5419999999999</v>
      </c>
      <c r="L490" s="106"/>
      <c r="M490" s="94"/>
      <c r="N490" s="94"/>
      <c r="O490" s="95"/>
      <c r="P490" s="2"/>
      <c r="Q490" s="104" t="s">
        <v>742</v>
      </c>
      <c r="R490" s="106"/>
      <c r="S490" s="94"/>
      <c r="T490" s="94"/>
      <c r="U490" s="95"/>
      <c r="V490" s="94">
        <v>80421.55</v>
      </c>
      <c r="W490" s="94">
        <v>48299.41</v>
      </c>
      <c r="X490" s="94">
        <v>9344.76</v>
      </c>
      <c r="Y490" s="94">
        <v>4630.3969999999999</v>
      </c>
      <c r="Z490" s="106"/>
      <c r="AA490" s="94"/>
      <c r="AB490" s="94"/>
      <c r="AC490" s="95"/>
      <c r="AD490" s="2"/>
      <c r="AE490" s="104" t="s">
        <v>742</v>
      </c>
      <c r="AF490" s="106"/>
      <c r="AG490" s="94"/>
      <c r="AH490" s="94"/>
      <c r="AI490" s="95"/>
      <c r="AJ490" s="94">
        <v>1617.2339999999999</v>
      </c>
      <c r="AK490" s="94">
        <v>2043.135</v>
      </c>
      <c r="AL490" s="94">
        <v>177.40600000000001</v>
      </c>
      <c r="AM490" s="94">
        <v>135.69749999999999</v>
      </c>
      <c r="AN490" s="106"/>
      <c r="AO490" s="94"/>
      <c r="AP490" s="94"/>
      <c r="AQ490" s="95"/>
      <c r="AR490" s="2"/>
      <c r="AS490" s="104" t="s">
        <v>742</v>
      </c>
      <c r="AT490" s="106"/>
      <c r="AU490" s="94"/>
      <c r="AV490" s="94"/>
      <c r="AW490" s="95"/>
      <c r="AX490" s="94">
        <v>1716.529</v>
      </c>
      <c r="AY490" s="94">
        <v>2290.0230000000001</v>
      </c>
      <c r="AZ490" s="94">
        <v>548.92780000000005</v>
      </c>
      <c r="BA490" s="94">
        <v>17.308309999999999</v>
      </c>
      <c r="BB490" s="106"/>
      <c r="BC490" s="94"/>
      <c r="BD490" s="94"/>
      <c r="BE490" s="95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</row>
    <row r="491" spans="1:71" x14ac:dyDescent="0.35">
      <c r="A491" s="2"/>
      <c r="B491" s="2"/>
      <c r="C491" s="104" t="s">
        <v>743</v>
      </c>
      <c r="D491" s="106"/>
      <c r="E491" s="94"/>
      <c r="F491" s="94"/>
      <c r="G491" s="95"/>
      <c r="H491" s="94">
        <v>12577.35</v>
      </c>
      <c r="I491" s="94">
        <v>27695.59</v>
      </c>
      <c r="J491" s="94">
        <v>33815.64</v>
      </c>
      <c r="K491" s="94">
        <v>103175.6</v>
      </c>
      <c r="L491" s="106"/>
      <c r="M491" s="94"/>
      <c r="N491" s="94"/>
      <c r="O491" s="95"/>
      <c r="P491" s="2"/>
      <c r="Q491" s="104" t="s">
        <v>743</v>
      </c>
      <c r="R491" s="106"/>
      <c r="S491" s="94"/>
      <c r="T491" s="94"/>
      <c r="U491" s="95"/>
      <c r="V491" s="94">
        <v>413438.2</v>
      </c>
      <c r="W491" s="94">
        <v>400516.3</v>
      </c>
      <c r="X491" s="94">
        <v>268573.2</v>
      </c>
      <c r="Y491" s="94">
        <v>227246.6</v>
      </c>
      <c r="Z491" s="106"/>
      <c r="AA491" s="94"/>
      <c r="AB491" s="94"/>
      <c r="AC491" s="95"/>
      <c r="AD491" s="2"/>
      <c r="AE491" s="104" t="s">
        <v>743</v>
      </c>
      <c r="AF491" s="106"/>
      <c r="AG491" s="94"/>
      <c r="AH491" s="94"/>
      <c r="AI491" s="95"/>
      <c r="AJ491" s="94">
        <v>2106.6129999999998</v>
      </c>
      <c r="AK491" s="94">
        <v>5092.9080000000004</v>
      </c>
      <c r="AL491" s="94">
        <v>4348.393</v>
      </c>
      <c r="AM491" s="94">
        <v>1928.35</v>
      </c>
      <c r="AN491" s="106"/>
      <c r="AO491" s="94"/>
      <c r="AP491" s="94"/>
      <c r="AQ491" s="95"/>
      <c r="AR491" s="2"/>
      <c r="AS491" s="104" t="s">
        <v>743</v>
      </c>
      <c r="AT491" s="106"/>
      <c r="AU491" s="94"/>
      <c r="AV491" s="94"/>
      <c r="AW491" s="95"/>
      <c r="AX491" s="94">
        <v>2660.0540000000001</v>
      </c>
      <c r="AY491" s="94">
        <v>4920.7820000000002</v>
      </c>
      <c r="AZ491" s="94">
        <v>6220.19</v>
      </c>
      <c r="BA491" s="94">
        <v>5414.4809999999998</v>
      </c>
      <c r="BB491" s="106"/>
      <c r="BC491" s="94"/>
      <c r="BD491" s="94"/>
      <c r="BE491" s="95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</row>
    <row r="492" spans="1:71" x14ac:dyDescent="0.35">
      <c r="A492" s="2"/>
      <c r="B492" s="2"/>
      <c r="C492" s="103" t="s">
        <v>744</v>
      </c>
      <c r="D492" s="141"/>
      <c r="E492" s="142"/>
      <c r="F492" s="142"/>
      <c r="G492" s="143"/>
      <c r="H492" s="142"/>
      <c r="I492" s="142"/>
      <c r="J492" s="142"/>
      <c r="K492" s="142"/>
      <c r="L492" s="141">
        <v>5145.902</v>
      </c>
      <c r="M492" s="142">
        <v>1928.2059999999999</v>
      </c>
      <c r="N492" s="142"/>
      <c r="O492" s="143"/>
      <c r="P492" s="2"/>
      <c r="Q492" s="103" t="s">
        <v>744</v>
      </c>
      <c r="R492" s="141"/>
      <c r="S492" s="142"/>
      <c r="T492" s="142"/>
      <c r="U492" s="143"/>
      <c r="V492" s="142"/>
      <c r="W492" s="142"/>
      <c r="X492" s="142"/>
      <c r="Y492" s="142"/>
      <c r="Z492" s="141">
        <v>12274.49</v>
      </c>
      <c r="AA492" s="142">
        <v>867.01459999999997</v>
      </c>
      <c r="AB492" s="142"/>
      <c r="AC492" s="143"/>
      <c r="AD492" s="2"/>
      <c r="AE492" s="103" t="s">
        <v>744</v>
      </c>
      <c r="AF492" s="141"/>
      <c r="AG492" s="142"/>
      <c r="AH492" s="142"/>
      <c r="AI492" s="143"/>
      <c r="AJ492" s="142"/>
      <c r="AK492" s="142"/>
      <c r="AL492" s="142"/>
      <c r="AM492" s="142"/>
      <c r="AN492" s="141">
        <v>138.2561</v>
      </c>
      <c r="AO492" s="142">
        <v>168.01589999999999</v>
      </c>
      <c r="AP492" s="142"/>
      <c r="AQ492" s="143"/>
      <c r="AR492" s="2"/>
      <c r="AS492" s="103" t="s">
        <v>744</v>
      </c>
      <c r="AT492" s="141"/>
      <c r="AU492" s="142"/>
      <c r="AV492" s="142"/>
      <c r="AW492" s="143"/>
      <c r="AX492" s="142"/>
      <c r="AY492" s="142"/>
      <c r="AZ492" s="142"/>
      <c r="BA492" s="142"/>
      <c r="BB492" s="141">
        <v>18.860510000000001</v>
      </c>
      <c r="BC492" s="142">
        <v>39.093139999999998</v>
      </c>
      <c r="BD492" s="142"/>
      <c r="BE492" s="143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</row>
    <row r="493" spans="1:71" x14ac:dyDescent="0.35">
      <c r="A493" s="2"/>
      <c r="B493" s="2"/>
      <c r="C493" s="104" t="s">
        <v>745</v>
      </c>
      <c r="D493" s="106"/>
      <c r="E493" s="94"/>
      <c r="F493" s="94"/>
      <c r="G493" s="95"/>
      <c r="H493" s="94"/>
      <c r="I493" s="94"/>
      <c r="J493" s="94"/>
      <c r="K493" s="94"/>
      <c r="L493" s="106">
        <v>7256.3270000000002</v>
      </c>
      <c r="M493" s="94">
        <v>6368.5429999999997</v>
      </c>
      <c r="N493" s="94">
        <v>2050.4780000000001</v>
      </c>
      <c r="O493" s="95"/>
      <c r="P493" s="2"/>
      <c r="Q493" s="104" t="s">
        <v>745</v>
      </c>
      <c r="R493" s="106"/>
      <c r="S493" s="94"/>
      <c r="T493" s="94"/>
      <c r="U493" s="95"/>
      <c r="V493" s="94"/>
      <c r="W493" s="94"/>
      <c r="X493" s="94"/>
      <c r="Y493" s="94"/>
      <c r="Z493" s="106">
        <v>15194.56</v>
      </c>
      <c r="AA493" s="94">
        <v>6013.9650000000001</v>
      </c>
      <c r="AB493" s="94">
        <v>758.31659999999999</v>
      </c>
      <c r="AC493" s="95"/>
      <c r="AD493" s="2"/>
      <c r="AE493" s="104" t="s">
        <v>745</v>
      </c>
      <c r="AF493" s="106"/>
      <c r="AG493" s="94"/>
      <c r="AH493" s="94"/>
      <c r="AI493" s="95"/>
      <c r="AJ493" s="94"/>
      <c r="AK493" s="94"/>
      <c r="AL493" s="94"/>
      <c r="AM493" s="94"/>
      <c r="AN493" s="106">
        <v>539.59609999999998</v>
      </c>
      <c r="AO493" s="94">
        <v>162.63730000000001</v>
      </c>
      <c r="AP493" s="94">
        <v>4.0733750000000004</v>
      </c>
      <c r="AQ493" s="95"/>
      <c r="AR493" s="2"/>
      <c r="AS493" s="104" t="s">
        <v>745</v>
      </c>
      <c r="AT493" s="106"/>
      <c r="AU493" s="94"/>
      <c r="AV493" s="94"/>
      <c r="AW493" s="95"/>
      <c r="AX493" s="94"/>
      <c r="AY493" s="94"/>
      <c r="AZ493" s="94"/>
      <c r="BA493" s="94"/>
      <c r="BB493" s="106">
        <v>699.72590000000002</v>
      </c>
      <c r="BC493" s="94">
        <v>97.10436</v>
      </c>
      <c r="BD493" s="94"/>
      <c r="BE493" s="95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</row>
    <row r="494" spans="1:71" x14ac:dyDescent="0.35">
      <c r="A494" s="2"/>
      <c r="B494" s="2"/>
      <c r="C494" s="104" t="s">
        <v>746</v>
      </c>
      <c r="D494" s="106"/>
      <c r="E494" s="94"/>
      <c r="F494" s="94"/>
      <c r="G494" s="95"/>
      <c r="H494" s="94"/>
      <c r="I494" s="94"/>
      <c r="J494" s="94"/>
      <c r="K494" s="94"/>
      <c r="L494" s="106">
        <v>9110.7090000000007</v>
      </c>
      <c r="M494" s="94">
        <v>13351.64</v>
      </c>
      <c r="N494" s="94">
        <v>1548.1590000000001</v>
      </c>
      <c r="O494" s="95"/>
      <c r="P494" s="2"/>
      <c r="Q494" s="104" t="s">
        <v>746</v>
      </c>
      <c r="R494" s="106"/>
      <c r="S494" s="94"/>
      <c r="T494" s="94"/>
      <c r="U494" s="95"/>
      <c r="V494" s="94"/>
      <c r="W494" s="94"/>
      <c r="X494" s="94"/>
      <c r="Y494" s="94"/>
      <c r="Z494" s="106">
        <v>12837.87</v>
      </c>
      <c r="AA494" s="94">
        <v>7155.8310000000001</v>
      </c>
      <c r="AB494" s="94">
        <v>1316.538</v>
      </c>
      <c r="AC494" s="95"/>
      <c r="AD494" s="2"/>
      <c r="AE494" s="104" t="s">
        <v>746</v>
      </c>
      <c r="AF494" s="106"/>
      <c r="AG494" s="94"/>
      <c r="AH494" s="94"/>
      <c r="AI494" s="95"/>
      <c r="AJ494" s="94"/>
      <c r="AK494" s="94"/>
      <c r="AL494" s="94"/>
      <c r="AM494" s="94"/>
      <c r="AN494" s="106">
        <v>1406.588</v>
      </c>
      <c r="AO494" s="94">
        <v>759.47040000000004</v>
      </c>
      <c r="AP494" s="94">
        <v>12.391080000000001</v>
      </c>
      <c r="AQ494" s="95"/>
      <c r="AR494" s="2"/>
      <c r="AS494" s="104" t="s">
        <v>746</v>
      </c>
      <c r="AT494" s="106"/>
      <c r="AU494" s="94"/>
      <c r="AV494" s="94"/>
      <c r="AW494" s="95"/>
      <c r="AX494" s="94"/>
      <c r="AY494" s="94"/>
      <c r="AZ494" s="94"/>
      <c r="BA494" s="94"/>
      <c r="BB494" s="106">
        <v>796.30330000000004</v>
      </c>
      <c r="BC494" s="94">
        <v>483.30160000000001</v>
      </c>
      <c r="BD494" s="94">
        <v>0.36988290000000001</v>
      </c>
      <c r="BE494" s="95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</row>
    <row r="495" spans="1:71" x14ac:dyDescent="0.35">
      <c r="A495" s="2"/>
      <c r="B495" s="2"/>
      <c r="C495" s="104" t="s">
        <v>747</v>
      </c>
      <c r="D495" s="106"/>
      <c r="E495" s="94"/>
      <c r="F495" s="94"/>
      <c r="G495" s="95"/>
      <c r="H495" s="94"/>
      <c r="I495" s="94"/>
      <c r="J495" s="94"/>
      <c r="K495" s="94"/>
      <c r="L495" s="106">
        <v>23171.64</v>
      </c>
      <c r="M495" s="94">
        <v>27735.54</v>
      </c>
      <c r="N495" s="94">
        <v>5535.5029999999997</v>
      </c>
      <c r="O495" s="95">
        <v>1613.768</v>
      </c>
      <c r="P495" s="2"/>
      <c r="Q495" s="104" t="s">
        <v>747</v>
      </c>
      <c r="R495" s="106"/>
      <c r="S495" s="94"/>
      <c r="T495" s="94"/>
      <c r="U495" s="95"/>
      <c r="V495" s="94"/>
      <c r="W495" s="94"/>
      <c r="X495" s="94"/>
      <c r="Y495" s="94"/>
      <c r="Z495" s="106">
        <v>92471.4</v>
      </c>
      <c r="AA495" s="94">
        <v>41470.35</v>
      </c>
      <c r="AB495" s="94">
        <v>7783.1040000000003</v>
      </c>
      <c r="AC495" s="95">
        <v>1733.626</v>
      </c>
      <c r="AD495" s="2"/>
      <c r="AE495" s="104" t="s">
        <v>747</v>
      </c>
      <c r="AF495" s="106"/>
      <c r="AG495" s="94"/>
      <c r="AH495" s="94"/>
      <c r="AI495" s="95"/>
      <c r="AJ495" s="94"/>
      <c r="AK495" s="94"/>
      <c r="AL495" s="94"/>
      <c r="AM495" s="94"/>
      <c r="AN495" s="106">
        <v>2870.2249999999999</v>
      </c>
      <c r="AO495" s="94">
        <v>2500.4389999999999</v>
      </c>
      <c r="AP495" s="94">
        <v>79.299940000000007</v>
      </c>
      <c r="AQ495" s="95"/>
      <c r="AR495" s="2"/>
      <c r="AS495" s="104" t="s">
        <v>747</v>
      </c>
      <c r="AT495" s="106"/>
      <c r="AU495" s="94"/>
      <c r="AV495" s="94"/>
      <c r="AW495" s="95"/>
      <c r="AX495" s="94"/>
      <c r="AY495" s="94"/>
      <c r="AZ495" s="94"/>
      <c r="BA495" s="94"/>
      <c r="BB495" s="106">
        <v>12057.45</v>
      </c>
      <c r="BC495" s="94">
        <v>1497.4490000000001</v>
      </c>
      <c r="BD495" s="94">
        <v>52.877000000000002</v>
      </c>
      <c r="BE495" s="95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</row>
    <row r="496" spans="1:71" x14ac:dyDescent="0.35">
      <c r="A496" s="2"/>
      <c r="B496" s="2"/>
      <c r="C496" s="105" t="s">
        <v>748</v>
      </c>
      <c r="D496" s="107"/>
      <c r="E496" s="97"/>
      <c r="F496" s="97"/>
      <c r="G496" s="98"/>
      <c r="H496" s="97"/>
      <c r="I496" s="97"/>
      <c r="J496" s="97"/>
      <c r="K496" s="97"/>
      <c r="L496" s="107">
        <v>55339.37</v>
      </c>
      <c r="M496" s="97">
        <v>159608.5</v>
      </c>
      <c r="N496" s="97">
        <v>103839.5</v>
      </c>
      <c r="O496" s="98">
        <v>397969.7</v>
      </c>
      <c r="P496" s="2"/>
      <c r="Q496" s="105" t="s">
        <v>748</v>
      </c>
      <c r="R496" s="107"/>
      <c r="S496" s="97"/>
      <c r="T496" s="97"/>
      <c r="U496" s="98"/>
      <c r="V496" s="97"/>
      <c r="W496" s="97"/>
      <c r="X496" s="97"/>
      <c r="Y496" s="97"/>
      <c r="Z496" s="107">
        <v>1364858</v>
      </c>
      <c r="AA496" s="97">
        <v>2372963</v>
      </c>
      <c r="AB496" s="97">
        <v>950704.2</v>
      </c>
      <c r="AC496" s="98">
        <v>798371.7</v>
      </c>
      <c r="AD496" s="2"/>
      <c r="AE496" s="105" t="s">
        <v>748</v>
      </c>
      <c r="AF496" s="107"/>
      <c r="AG496" s="97"/>
      <c r="AH496" s="97"/>
      <c r="AI496" s="98"/>
      <c r="AJ496" s="97"/>
      <c r="AK496" s="97"/>
      <c r="AL496" s="97"/>
      <c r="AM496" s="97"/>
      <c r="AN496" s="107">
        <v>4095.3310000000001</v>
      </c>
      <c r="AO496" s="97">
        <v>6135.5959999999995</v>
      </c>
      <c r="AP496" s="97">
        <v>1666.623</v>
      </c>
      <c r="AQ496" s="98">
        <v>6372.6270000000004</v>
      </c>
      <c r="AR496" s="2"/>
      <c r="AS496" s="105" t="s">
        <v>748</v>
      </c>
      <c r="AT496" s="107"/>
      <c r="AU496" s="97"/>
      <c r="AV496" s="97"/>
      <c r="AW496" s="98"/>
      <c r="AX496" s="97"/>
      <c r="AY496" s="97"/>
      <c r="AZ496" s="97"/>
      <c r="BA496" s="97"/>
      <c r="BB496" s="107">
        <v>5882.223</v>
      </c>
      <c r="BC496" s="97">
        <v>8169.9859999999999</v>
      </c>
      <c r="BD496" s="97">
        <v>12459.48</v>
      </c>
      <c r="BE496" s="98">
        <v>11758.88</v>
      </c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</row>
    <row r="497" spans="1:7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</row>
    <row r="498" spans="1:7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</row>
    <row r="499" spans="1:71" x14ac:dyDescent="0.35">
      <c r="A499" s="4" t="s">
        <v>749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</row>
    <row r="500" spans="1:71" x14ac:dyDescent="0.35">
      <c r="A500" s="24" t="s">
        <v>586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</row>
    <row r="501" spans="1:7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</row>
    <row r="502" spans="1:71" x14ac:dyDescent="0.35">
      <c r="A502" s="2"/>
      <c r="B502" s="2"/>
      <c r="C502" s="4" t="s">
        <v>750</v>
      </c>
      <c r="D502" s="2"/>
      <c r="E502" s="2"/>
      <c r="F502" s="2"/>
      <c r="G502" s="2"/>
      <c r="H502" s="2"/>
      <c r="I502" s="2"/>
      <c r="J502" s="2"/>
      <c r="K502" s="4" t="s">
        <v>751</v>
      </c>
      <c r="L502" s="2"/>
      <c r="M502" s="2"/>
      <c r="N502" s="2"/>
      <c r="O502" s="2"/>
      <c r="P502" s="2"/>
      <c r="Q502" s="2"/>
      <c r="R502" s="2"/>
      <c r="S502" s="4" t="s">
        <v>752</v>
      </c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</row>
    <row r="503" spans="1:71" x14ac:dyDescent="0.35">
      <c r="A503" s="2"/>
      <c r="B503" s="2"/>
      <c r="C503" s="116"/>
      <c r="D503" s="117" t="s">
        <v>590</v>
      </c>
      <c r="E503" s="117" t="s">
        <v>590</v>
      </c>
      <c r="F503" s="117" t="s">
        <v>590</v>
      </c>
      <c r="G503" s="117" t="s">
        <v>590</v>
      </c>
      <c r="H503" s="116" t="s">
        <v>591</v>
      </c>
      <c r="I503" s="118" t="s">
        <v>591</v>
      </c>
      <c r="J503" s="2"/>
      <c r="K503" s="116"/>
      <c r="L503" s="117" t="s">
        <v>590</v>
      </c>
      <c r="M503" s="117" t="s">
        <v>590</v>
      </c>
      <c r="N503" s="117" t="s">
        <v>590</v>
      </c>
      <c r="O503" s="117" t="s">
        <v>590</v>
      </c>
      <c r="P503" s="116" t="s">
        <v>591</v>
      </c>
      <c r="Q503" s="118" t="s">
        <v>591</v>
      </c>
      <c r="R503" s="2"/>
      <c r="S503" s="158"/>
      <c r="T503" s="159" t="s">
        <v>590</v>
      </c>
      <c r="U503" s="159" t="s">
        <v>590</v>
      </c>
      <c r="V503" s="159" t="s">
        <v>590</v>
      </c>
      <c r="W503" s="159" t="s">
        <v>590</v>
      </c>
      <c r="X503" s="158" t="s">
        <v>591</v>
      </c>
      <c r="Y503" s="160" t="s">
        <v>591</v>
      </c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</row>
    <row r="504" spans="1:71" x14ac:dyDescent="0.35">
      <c r="A504" s="2"/>
      <c r="B504" s="2"/>
      <c r="C504" s="153"/>
      <c r="D504" s="154" t="s">
        <v>30</v>
      </c>
      <c r="E504" s="154" t="s">
        <v>34</v>
      </c>
      <c r="F504" s="154" t="s">
        <v>54</v>
      </c>
      <c r="G504" s="154" t="s">
        <v>82</v>
      </c>
      <c r="H504" s="153" t="s">
        <v>34</v>
      </c>
      <c r="I504" s="155" t="s">
        <v>82</v>
      </c>
      <c r="J504" s="2"/>
      <c r="K504" s="153"/>
      <c r="L504" s="154" t="s">
        <v>30</v>
      </c>
      <c r="M504" s="154" t="s">
        <v>34</v>
      </c>
      <c r="N504" s="154" t="s">
        <v>54</v>
      </c>
      <c r="O504" s="154" t="s">
        <v>82</v>
      </c>
      <c r="P504" s="153" t="s">
        <v>34</v>
      </c>
      <c r="Q504" s="155" t="s">
        <v>82</v>
      </c>
      <c r="R504" s="2"/>
      <c r="S504" s="161"/>
      <c r="T504" s="157" t="s">
        <v>30</v>
      </c>
      <c r="U504" s="157" t="s">
        <v>34</v>
      </c>
      <c r="V504" s="157" t="s">
        <v>54</v>
      </c>
      <c r="W504" s="157" t="s">
        <v>82</v>
      </c>
      <c r="X504" s="161" t="s">
        <v>34</v>
      </c>
      <c r="Y504" s="162" t="s">
        <v>82</v>
      </c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</row>
    <row r="505" spans="1:71" x14ac:dyDescent="0.35">
      <c r="A505" s="2"/>
      <c r="B505" s="2"/>
      <c r="C505" s="116" t="s">
        <v>95</v>
      </c>
      <c r="D505" s="148">
        <f>1-SUM(E505:G505)</f>
        <v>0.98354242615307297</v>
      </c>
      <c r="E505" s="148">
        <f t="shared" ref="E505:E521" si="611">M505*U505</f>
        <v>0</v>
      </c>
      <c r="F505" s="148">
        <f t="shared" ref="F505:F521" si="612">N505*V505</f>
        <v>0</v>
      </c>
      <c r="G505" s="148">
        <f t="shared" ref="G505:G521" si="613">O505*W505</f>
        <v>1.645757384692708E-2</v>
      </c>
      <c r="H505" s="149">
        <f t="shared" ref="H505:H521" si="614">P505*X505</f>
        <v>0</v>
      </c>
      <c r="I505" s="150">
        <f t="shared" ref="I505:I521" si="615">Q505*Y505</f>
        <v>1.6453086960640663E-3</v>
      </c>
      <c r="J505" s="2"/>
      <c r="K505" s="116" t="s">
        <v>95</v>
      </c>
      <c r="L505" s="125">
        <v>1</v>
      </c>
      <c r="M505" s="124">
        <v>1</v>
      </c>
      <c r="N505" s="124">
        <v>1</v>
      </c>
      <c r="O505" s="124">
        <v>1</v>
      </c>
      <c r="P505" s="125">
        <v>1</v>
      </c>
      <c r="Q505" s="126">
        <v>1</v>
      </c>
      <c r="R505" s="2"/>
      <c r="S505" s="161" t="s">
        <v>95</v>
      </c>
      <c r="T505" s="207">
        <v>0</v>
      </c>
      <c r="U505" s="207">
        <v>0</v>
      </c>
      <c r="V505" s="207">
        <v>0</v>
      </c>
      <c r="W505" s="207">
        <v>1.645757384692708E-2</v>
      </c>
      <c r="X505" s="208">
        <v>0</v>
      </c>
      <c r="Y505" s="209">
        <v>1.6453086960640663E-3</v>
      </c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</row>
    <row r="506" spans="1:71" x14ac:dyDescent="0.35">
      <c r="A506" s="2"/>
      <c r="B506" s="2"/>
      <c r="C506" s="153" t="s">
        <v>97</v>
      </c>
      <c r="D506" s="109">
        <f t="shared" ref="D506:D521" si="616">1-SUM(E506:G506)</f>
        <v>0.98354242615307297</v>
      </c>
      <c r="E506" s="109">
        <f t="shared" si="611"/>
        <v>0</v>
      </c>
      <c r="F506" s="109">
        <f t="shared" si="612"/>
        <v>0</v>
      </c>
      <c r="G506" s="109">
        <f t="shared" si="613"/>
        <v>1.645757384692708E-2</v>
      </c>
      <c r="H506" s="110">
        <f t="shared" si="614"/>
        <v>0</v>
      </c>
      <c r="I506" s="111">
        <f t="shared" si="615"/>
        <v>1.6453086960640663E-3</v>
      </c>
      <c r="J506" s="2"/>
      <c r="K506" s="153" t="s">
        <v>97</v>
      </c>
      <c r="L506" s="122">
        <v>1</v>
      </c>
      <c r="M506" s="62">
        <v>1</v>
      </c>
      <c r="N506" s="62">
        <v>1</v>
      </c>
      <c r="O506" s="62">
        <v>1</v>
      </c>
      <c r="P506" s="122">
        <v>1</v>
      </c>
      <c r="Q506" s="54">
        <v>1</v>
      </c>
      <c r="R506" s="2"/>
      <c r="S506" s="161" t="s">
        <v>97</v>
      </c>
      <c r="T506" s="207">
        <v>0</v>
      </c>
      <c r="U506" s="207">
        <v>0</v>
      </c>
      <c r="V506" s="207">
        <v>0</v>
      </c>
      <c r="W506" s="207">
        <v>1.645757384692708E-2</v>
      </c>
      <c r="X506" s="208">
        <v>0</v>
      </c>
      <c r="Y506" s="209">
        <v>1.6453086960640663E-3</v>
      </c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</row>
    <row r="507" spans="1:71" x14ac:dyDescent="0.35">
      <c r="A507" s="2"/>
      <c r="B507" s="2"/>
      <c r="C507" s="153" t="s">
        <v>99</v>
      </c>
      <c r="D507" s="109">
        <f t="shared" si="616"/>
        <v>0.98354242615307297</v>
      </c>
      <c r="E507" s="109">
        <f t="shared" si="611"/>
        <v>0</v>
      </c>
      <c r="F507" s="109">
        <f t="shared" si="612"/>
        <v>0</v>
      </c>
      <c r="G507" s="109">
        <f t="shared" si="613"/>
        <v>1.645757384692708E-2</v>
      </c>
      <c r="H507" s="110">
        <f t="shared" si="614"/>
        <v>0</v>
      </c>
      <c r="I507" s="111">
        <f t="shared" si="615"/>
        <v>1.6453086960640663E-3</v>
      </c>
      <c r="J507" s="2"/>
      <c r="K507" s="153" t="s">
        <v>99</v>
      </c>
      <c r="L507" s="122">
        <v>1</v>
      </c>
      <c r="M507" s="62">
        <v>1</v>
      </c>
      <c r="N507" s="62">
        <v>1</v>
      </c>
      <c r="O507" s="62">
        <v>1</v>
      </c>
      <c r="P507" s="122">
        <v>1</v>
      </c>
      <c r="Q507" s="54">
        <v>1</v>
      </c>
      <c r="R507" s="2"/>
      <c r="S507" s="161" t="s">
        <v>99</v>
      </c>
      <c r="T507" s="207">
        <v>0</v>
      </c>
      <c r="U507" s="207">
        <v>0</v>
      </c>
      <c r="V507" s="207">
        <v>0</v>
      </c>
      <c r="W507" s="207">
        <v>1.645757384692708E-2</v>
      </c>
      <c r="X507" s="208">
        <v>0</v>
      </c>
      <c r="Y507" s="209">
        <v>1.6453086960640663E-3</v>
      </c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</row>
    <row r="508" spans="1:71" x14ac:dyDescent="0.35">
      <c r="A508" s="2"/>
      <c r="B508" s="2"/>
      <c r="C508" s="153" t="s">
        <v>101</v>
      </c>
      <c r="D508" s="109">
        <f t="shared" si="616"/>
        <v>0.98354242615307297</v>
      </c>
      <c r="E508" s="109">
        <f t="shared" si="611"/>
        <v>0</v>
      </c>
      <c r="F508" s="109">
        <f t="shared" si="612"/>
        <v>0</v>
      </c>
      <c r="G508" s="109">
        <f t="shared" si="613"/>
        <v>1.645757384692708E-2</v>
      </c>
      <c r="H508" s="110">
        <f t="shared" si="614"/>
        <v>0</v>
      </c>
      <c r="I508" s="111">
        <f t="shared" si="615"/>
        <v>1.6453086960640663E-3</v>
      </c>
      <c r="J508" s="2"/>
      <c r="K508" s="153" t="s">
        <v>101</v>
      </c>
      <c r="L508" s="122">
        <v>1</v>
      </c>
      <c r="M508" s="62">
        <v>1</v>
      </c>
      <c r="N508" s="62">
        <v>1</v>
      </c>
      <c r="O508" s="62">
        <v>1</v>
      </c>
      <c r="P508" s="122">
        <v>1</v>
      </c>
      <c r="Q508" s="54">
        <v>1</v>
      </c>
      <c r="R508" s="2"/>
      <c r="S508" s="161" t="s">
        <v>101</v>
      </c>
      <c r="T508" s="207">
        <v>0</v>
      </c>
      <c r="U508" s="207">
        <v>0</v>
      </c>
      <c r="V508" s="207">
        <v>0</v>
      </c>
      <c r="W508" s="207">
        <v>1.645757384692708E-2</v>
      </c>
      <c r="X508" s="208">
        <v>0</v>
      </c>
      <c r="Y508" s="209">
        <v>1.6453086960640663E-3</v>
      </c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</row>
    <row r="509" spans="1:71" x14ac:dyDescent="0.35">
      <c r="A509" s="2"/>
      <c r="B509" s="2"/>
      <c r="C509" s="153" t="s">
        <v>103</v>
      </c>
      <c r="D509" s="109">
        <f t="shared" si="616"/>
        <v>0.98354242615307297</v>
      </c>
      <c r="E509" s="109">
        <f t="shared" si="611"/>
        <v>0</v>
      </c>
      <c r="F509" s="109">
        <f t="shared" si="612"/>
        <v>0</v>
      </c>
      <c r="G509" s="109">
        <f t="shared" si="613"/>
        <v>1.645757384692708E-2</v>
      </c>
      <c r="H509" s="110">
        <f t="shared" si="614"/>
        <v>0</v>
      </c>
      <c r="I509" s="111">
        <f t="shared" si="615"/>
        <v>1.6453086960640663E-3</v>
      </c>
      <c r="J509" s="2"/>
      <c r="K509" s="153" t="s">
        <v>103</v>
      </c>
      <c r="L509" s="122">
        <v>1</v>
      </c>
      <c r="M509" s="62">
        <v>1</v>
      </c>
      <c r="N509" s="62">
        <v>1</v>
      </c>
      <c r="O509" s="62">
        <v>1</v>
      </c>
      <c r="P509" s="122">
        <v>1</v>
      </c>
      <c r="Q509" s="54">
        <v>1</v>
      </c>
      <c r="R509" s="2"/>
      <c r="S509" s="161" t="s">
        <v>103</v>
      </c>
      <c r="T509" s="207">
        <v>0</v>
      </c>
      <c r="U509" s="207">
        <v>0</v>
      </c>
      <c r="V509" s="207">
        <v>0</v>
      </c>
      <c r="W509" s="207">
        <v>1.645757384692708E-2</v>
      </c>
      <c r="X509" s="208">
        <v>0</v>
      </c>
      <c r="Y509" s="209">
        <v>1.6453086960640663E-3</v>
      </c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</row>
    <row r="510" spans="1:71" x14ac:dyDescent="0.35">
      <c r="A510" s="2"/>
      <c r="B510" s="2"/>
      <c r="C510" s="153" t="s">
        <v>105</v>
      </c>
      <c r="D510" s="109">
        <f t="shared" si="616"/>
        <v>0.98354242615307297</v>
      </c>
      <c r="E510" s="109">
        <f t="shared" si="611"/>
        <v>0</v>
      </c>
      <c r="F510" s="109">
        <f t="shared" si="612"/>
        <v>0</v>
      </c>
      <c r="G510" s="109">
        <f t="shared" si="613"/>
        <v>1.645757384692708E-2</v>
      </c>
      <c r="H510" s="110">
        <f t="shared" si="614"/>
        <v>0</v>
      </c>
      <c r="I510" s="111">
        <f t="shared" si="615"/>
        <v>1.6453086960640663E-3</v>
      </c>
      <c r="J510" s="2"/>
      <c r="K510" s="153" t="s">
        <v>105</v>
      </c>
      <c r="L510" s="122">
        <v>1</v>
      </c>
      <c r="M510" s="62">
        <v>1</v>
      </c>
      <c r="N510" s="62">
        <v>1</v>
      </c>
      <c r="O510" s="62">
        <v>1</v>
      </c>
      <c r="P510" s="122">
        <v>1</v>
      </c>
      <c r="Q510" s="54">
        <v>1</v>
      </c>
      <c r="R510" s="2"/>
      <c r="S510" s="161" t="s">
        <v>105</v>
      </c>
      <c r="T510" s="207">
        <v>0</v>
      </c>
      <c r="U510" s="207">
        <v>0</v>
      </c>
      <c r="V510" s="207">
        <v>0</v>
      </c>
      <c r="W510" s="207">
        <v>1.645757384692708E-2</v>
      </c>
      <c r="X510" s="208">
        <v>0</v>
      </c>
      <c r="Y510" s="209">
        <v>1.6453086960640663E-3</v>
      </c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</row>
    <row r="511" spans="1:71" x14ac:dyDescent="0.35">
      <c r="A511" s="2"/>
      <c r="B511" s="2"/>
      <c r="C511" s="153" t="s">
        <v>107</v>
      </c>
      <c r="D511" s="109">
        <f t="shared" si="616"/>
        <v>0.98354242615307297</v>
      </c>
      <c r="E511" s="109">
        <f t="shared" si="611"/>
        <v>0</v>
      </c>
      <c r="F511" s="109">
        <f t="shared" si="612"/>
        <v>0</v>
      </c>
      <c r="G511" s="109">
        <f t="shared" si="613"/>
        <v>1.645757384692708E-2</v>
      </c>
      <c r="H511" s="110">
        <f t="shared" si="614"/>
        <v>0</v>
      </c>
      <c r="I511" s="111">
        <f t="shared" si="615"/>
        <v>1.6453086960640663E-3</v>
      </c>
      <c r="J511" s="2"/>
      <c r="K511" s="153" t="s">
        <v>107</v>
      </c>
      <c r="L511" s="122">
        <v>1</v>
      </c>
      <c r="M511" s="62">
        <v>1</v>
      </c>
      <c r="N511" s="62">
        <v>1</v>
      </c>
      <c r="O511" s="62">
        <v>1</v>
      </c>
      <c r="P511" s="122">
        <v>1</v>
      </c>
      <c r="Q511" s="54">
        <v>1</v>
      </c>
      <c r="R511" s="2"/>
      <c r="S511" s="161" t="s">
        <v>107</v>
      </c>
      <c r="T511" s="207">
        <v>0</v>
      </c>
      <c r="U511" s="207">
        <v>0</v>
      </c>
      <c r="V511" s="207">
        <v>0</v>
      </c>
      <c r="W511" s="207">
        <v>1.645757384692708E-2</v>
      </c>
      <c r="X511" s="208">
        <v>0</v>
      </c>
      <c r="Y511" s="209">
        <v>1.6453086960640663E-3</v>
      </c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</row>
    <row r="512" spans="1:71" x14ac:dyDescent="0.35">
      <c r="A512" s="2"/>
      <c r="B512" s="2"/>
      <c r="C512" s="153" t="s">
        <v>109</v>
      </c>
      <c r="D512" s="109">
        <f t="shared" si="616"/>
        <v>0.98354242615307297</v>
      </c>
      <c r="E512" s="109">
        <f t="shared" si="611"/>
        <v>0</v>
      </c>
      <c r="F512" s="109">
        <f t="shared" si="612"/>
        <v>0</v>
      </c>
      <c r="G512" s="109">
        <f t="shared" si="613"/>
        <v>1.645757384692708E-2</v>
      </c>
      <c r="H512" s="110">
        <f t="shared" si="614"/>
        <v>0</v>
      </c>
      <c r="I512" s="111">
        <f t="shared" si="615"/>
        <v>1.6453086960640663E-3</v>
      </c>
      <c r="J512" s="2"/>
      <c r="K512" s="153" t="s">
        <v>109</v>
      </c>
      <c r="L512" s="122">
        <v>1</v>
      </c>
      <c r="M512" s="62">
        <v>1</v>
      </c>
      <c r="N512" s="62">
        <v>1</v>
      </c>
      <c r="O512" s="62">
        <v>1</v>
      </c>
      <c r="P512" s="122">
        <v>1</v>
      </c>
      <c r="Q512" s="54">
        <v>1</v>
      </c>
      <c r="R512" s="2"/>
      <c r="S512" s="161" t="s">
        <v>109</v>
      </c>
      <c r="T512" s="207">
        <v>0</v>
      </c>
      <c r="U512" s="207">
        <v>0</v>
      </c>
      <c r="V512" s="207">
        <v>0</v>
      </c>
      <c r="W512" s="207">
        <v>1.645757384692708E-2</v>
      </c>
      <c r="X512" s="208">
        <v>0</v>
      </c>
      <c r="Y512" s="209">
        <v>1.6453086960640663E-3</v>
      </c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</row>
    <row r="513" spans="1:71" x14ac:dyDescent="0.35">
      <c r="A513" s="2"/>
      <c r="B513" s="2"/>
      <c r="C513" s="153" t="s">
        <v>327</v>
      </c>
      <c r="D513" s="109">
        <f t="shared" si="616"/>
        <v>0.98354242615307297</v>
      </c>
      <c r="E513" s="109">
        <f t="shared" si="611"/>
        <v>0</v>
      </c>
      <c r="F513" s="109">
        <f t="shared" si="612"/>
        <v>0</v>
      </c>
      <c r="G513" s="109">
        <f t="shared" si="613"/>
        <v>1.645757384692708E-2</v>
      </c>
      <c r="H513" s="110">
        <f t="shared" si="614"/>
        <v>0</v>
      </c>
      <c r="I513" s="111">
        <f t="shared" si="615"/>
        <v>1.6453086960640663E-3</v>
      </c>
      <c r="J513" s="2"/>
      <c r="K513" s="153" t="s">
        <v>327</v>
      </c>
      <c r="L513" s="122">
        <v>1</v>
      </c>
      <c r="M513" s="62">
        <v>1</v>
      </c>
      <c r="N513" s="62">
        <v>1</v>
      </c>
      <c r="O513" s="62">
        <v>1</v>
      </c>
      <c r="P513" s="122">
        <v>1</v>
      </c>
      <c r="Q513" s="54">
        <v>1</v>
      </c>
      <c r="R513" s="2"/>
      <c r="S513" s="161" t="s">
        <v>327</v>
      </c>
      <c r="T513" s="207">
        <v>0</v>
      </c>
      <c r="U513" s="207">
        <v>0</v>
      </c>
      <c r="V513" s="207">
        <v>0</v>
      </c>
      <c r="W513" s="207">
        <v>1.645757384692708E-2</v>
      </c>
      <c r="X513" s="208">
        <v>0</v>
      </c>
      <c r="Y513" s="209">
        <v>1.6453086960640663E-3</v>
      </c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</row>
    <row r="514" spans="1:71" x14ac:dyDescent="0.35">
      <c r="A514" s="2"/>
      <c r="B514" s="2"/>
      <c r="C514" s="153" t="s">
        <v>328</v>
      </c>
      <c r="D514" s="109">
        <f t="shared" si="616"/>
        <v>0.98354242615307297</v>
      </c>
      <c r="E514" s="109">
        <f t="shared" si="611"/>
        <v>0</v>
      </c>
      <c r="F514" s="109">
        <f t="shared" si="612"/>
        <v>0</v>
      </c>
      <c r="G514" s="109">
        <f t="shared" si="613"/>
        <v>1.645757384692708E-2</v>
      </c>
      <c r="H514" s="110">
        <f t="shared" si="614"/>
        <v>0</v>
      </c>
      <c r="I514" s="111">
        <f t="shared" si="615"/>
        <v>1.6453086960640663E-3</v>
      </c>
      <c r="J514" s="2"/>
      <c r="K514" s="153" t="s">
        <v>328</v>
      </c>
      <c r="L514" s="122">
        <v>1</v>
      </c>
      <c r="M514" s="62">
        <v>1</v>
      </c>
      <c r="N514" s="62">
        <v>1</v>
      </c>
      <c r="O514" s="62">
        <v>1</v>
      </c>
      <c r="P514" s="122">
        <v>1</v>
      </c>
      <c r="Q514" s="54">
        <v>1</v>
      </c>
      <c r="R514" s="2"/>
      <c r="S514" s="161" t="s">
        <v>328</v>
      </c>
      <c r="T514" s="207">
        <v>0</v>
      </c>
      <c r="U514" s="207">
        <v>0</v>
      </c>
      <c r="V514" s="207">
        <v>0</v>
      </c>
      <c r="W514" s="207">
        <v>1.645757384692708E-2</v>
      </c>
      <c r="X514" s="208">
        <v>0</v>
      </c>
      <c r="Y514" s="209">
        <v>1.6453086960640663E-3</v>
      </c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</row>
    <row r="515" spans="1:71" x14ac:dyDescent="0.35">
      <c r="A515" s="2"/>
      <c r="B515" s="2"/>
      <c r="C515" s="153" t="s">
        <v>329</v>
      </c>
      <c r="D515" s="109">
        <f t="shared" si="616"/>
        <v>0.98354242615307297</v>
      </c>
      <c r="E515" s="109">
        <f t="shared" si="611"/>
        <v>0</v>
      </c>
      <c r="F515" s="109">
        <f t="shared" si="612"/>
        <v>0</v>
      </c>
      <c r="G515" s="109">
        <f t="shared" si="613"/>
        <v>1.645757384692708E-2</v>
      </c>
      <c r="H515" s="110">
        <f t="shared" si="614"/>
        <v>0</v>
      </c>
      <c r="I515" s="111">
        <f t="shared" si="615"/>
        <v>1.6453086960640663E-3</v>
      </c>
      <c r="J515" s="2"/>
      <c r="K515" s="153" t="s">
        <v>329</v>
      </c>
      <c r="L515" s="122">
        <v>1</v>
      </c>
      <c r="M515" s="62">
        <v>1</v>
      </c>
      <c r="N515" s="62">
        <v>1</v>
      </c>
      <c r="O515" s="62">
        <v>1</v>
      </c>
      <c r="P515" s="122">
        <v>1</v>
      </c>
      <c r="Q515" s="54">
        <v>1</v>
      </c>
      <c r="R515" s="2"/>
      <c r="S515" s="161" t="s">
        <v>329</v>
      </c>
      <c r="T515" s="207">
        <v>0</v>
      </c>
      <c r="U515" s="207">
        <v>0</v>
      </c>
      <c r="V515" s="207">
        <v>0</v>
      </c>
      <c r="W515" s="207">
        <v>1.645757384692708E-2</v>
      </c>
      <c r="X515" s="208">
        <v>0</v>
      </c>
      <c r="Y515" s="209">
        <v>1.6453086960640663E-3</v>
      </c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</row>
    <row r="516" spans="1:71" x14ac:dyDescent="0.35">
      <c r="A516" s="2"/>
      <c r="B516" s="2"/>
      <c r="C516" s="156" t="s">
        <v>330</v>
      </c>
      <c r="D516" s="112">
        <f t="shared" si="616"/>
        <v>0.98354242615307297</v>
      </c>
      <c r="E516" s="112">
        <f t="shared" si="611"/>
        <v>0</v>
      </c>
      <c r="F516" s="112">
        <f t="shared" si="612"/>
        <v>0</v>
      </c>
      <c r="G516" s="112">
        <f t="shared" si="613"/>
        <v>1.645757384692708E-2</v>
      </c>
      <c r="H516" s="113">
        <f t="shared" si="614"/>
        <v>0</v>
      </c>
      <c r="I516" s="114">
        <f t="shared" si="615"/>
        <v>1.6453086960640663E-3</v>
      </c>
      <c r="J516" s="2"/>
      <c r="K516" s="156" t="s">
        <v>330</v>
      </c>
      <c r="L516" s="122">
        <v>1</v>
      </c>
      <c r="M516" s="62">
        <v>1</v>
      </c>
      <c r="N516" s="62">
        <v>1</v>
      </c>
      <c r="O516" s="62">
        <v>1</v>
      </c>
      <c r="P516" s="122">
        <v>1</v>
      </c>
      <c r="Q516" s="54">
        <v>1</v>
      </c>
      <c r="R516" s="2"/>
      <c r="S516" s="161" t="s">
        <v>330</v>
      </c>
      <c r="T516" s="207">
        <v>0</v>
      </c>
      <c r="U516" s="207">
        <v>0</v>
      </c>
      <c r="V516" s="207">
        <v>0</v>
      </c>
      <c r="W516" s="207">
        <v>1.645757384692708E-2</v>
      </c>
      <c r="X516" s="208">
        <v>0</v>
      </c>
      <c r="Y516" s="209">
        <v>1.6453086960640663E-3</v>
      </c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</row>
    <row r="517" spans="1:71" x14ac:dyDescent="0.35">
      <c r="A517" s="2"/>
      <c r="B517" s="2"/>
      <c r="C517" s="153" t="s">
        <v>18</v>
      </c>
      <c r="D517" s="109">
        <f t="shared" si="616"/>
        <v>1</v>
      </c>
      <c r="E517" s="109">
        <f t="shared" si="611"/>
        <v>0</v>
      </c>
      <c r="F517" s="109">
        <f t="shared" si="612"/>
        <v>0</v>
      </c>
      <c r="G517" s="109">
        <f t="shared" si="613"/>
        <v>0</v>
      </c>
      <c r="H517" s="110">
        <f t="shared" si="614"/>
        <v>0</v>
      </c>
      <c r="I517" s="111">
        <f t="shared" si="615"/>
        <v>0</v>
      </c>
      <c r="J517" s="2"/>
      <c r="K517" s="153" t="s">
        <v>18</v>
      </c>
      <c r="L517" s="165">
        <v>1</v>
      </c>
      <c r="M517" s="166">
        <v>1</v>
      </c>
      <c r="N517" s="166">
        <v>1</v>
      </c>
      <c r="O517" s="166">
        <v>1</v>
      </c>
      <c r="P517" s="165">
        <v>1</v>
      </c>
      <c r="Q517" s="167">
        <v>1</v>
      </c>
      <c r="R517" s="2"/>
      <c r="S517" s="164" t="s">
        <v>18</v>
      </c>
      <c r="T517" s="210">
        <v>0</v>
      </c>
      <c r="U517" s="210">
        <v>0</v>
      </c>
      <c r="V517" s="210">
        <v>0</v>
      </c>
      <c r="W517" s="210">
        <v>0</v>
      </c>
      <c r="X517" s="211">
        <v>0</v>
      </c>
      <c r="Y517" s="212">
        <v>0</v>
      </c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</row>
    <row r="518" spans="1:71" x14ac:dyDescent="0.35">
      <c r="A518" s="2"/>
      <c r="B518" s="2"/>
      <c r="C518" s="116" t="s">
        <v>112</v>
      </c>
      <c r="D518" s="148">
        <f t="shared" si="616"/>
        <v>0.92203985730814897</v>
      </c>
      <c r="E518" s="148">
        <f t="shared" si="611"/>
        <v>4.5503843980373288E-4</v>
      </c>
      <c r="F518" s="148">
        <f t="shared" si="612"/>
        <v>0</v>
      </c>
      <c r="G518" s="148">
        <f t="shared" si="613"/>
        <v>7.7505104252047347E-2</v>
      </c>
      <c r="H518" s="149">
        <f t="shared" si="614"/>
        <v>0</v>
      </c>
      <c r="I518" s="150">
        <f t="shared" si="615"/>
        <v>3.9541628028049369E-3</v>
      </c>
      <c r="J518" s="2"/>
      <c r="K518" s="116" t="s">
        <v>112</v>
      </c>
      <c r="L518" s="122">
        <v>1</v>
      </c>
      <c r="M518" s="62">
        <v>1</v>
      </c>
      <c r="N518" s="62">
        <v>1</v>
      </c>
      <c r="O518" s="62">
        <v>1</v>
      </c>
      <c r="P518" s="122">
        <v>1</v>
      </c>
      <c r="Q518" s="54">
        <v>1</v>
      </c>
      <c r="R518" s="2"/>
      <c r="S518" s="161" t="s">
        <v>112</v>
      </c>
      <c r="T518" s="207">
        <v>0</v>
      </c>
      <c r="U518" s="207">
        <v>4.5503843980373288E-4</v>
      </c>
      <c r="V518" s="207">
        <v>0</v>
      </c>
      <c r="W518" s="207">
        <v>7.7505104252047347E-2</v>
      </c>
      <c r="X518" s="208">
        <v>0</v>
      </c>
      <c r="Y518" s="209">
        <v>3.9541628028049369E-3</v>
      </c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</row>
    <row r="519" spans="1:71" x14ac:dyDescent="0.35">
      <c r="A519" s="2"/>
      <c r="B519" s="2"/>
      <c r="C519" s="153" t="s">
        <v>114</v>
      </c>
      <c r="D519" s="109">
        <f t="shared" si="616"/>
        <v>0.92203985730814897</v>
      </c>
      <c r="E519" s="109">
        <f t="shared" si="611"/>
        <v>4.5503843980373288E-4</v>
      </c>
      <c r="F519" s="109">
        <f t="shared" si="612"/>
        <v>0</v>
      </c>
      <c r="G519" s="109">
        <f t="shared" si="613"/>
        <v>7.7505104252047347E-2</v>
      </c>
      <c r="H519" s="110">
        <f t="shared" si="614"/>
        <v>0</v>
      </c>
      <c r="I519" s="111">
        <f t="shared" si="615"/>
        <v>3.9541628028049369E-3</v>
      </c>
      <c r="J519" s="2"/>
      <c r="K519" s="153" t="s">
        <v>114</v>
      </c>
      <c r="L519" s="122">
        <v>1</v>
      </c>
      <c r="M519" s="62">
        <v>1</v>
      </c>
      <c r="N519" s="62">
        <v>1</v>
      </c>
      <c r="O519" s="62">
        <v>1</v>
      </c>
      <c r="P519" s="122">
        <v>1</v>
      </c>
      <c r="Q519" s="54">
        <v>1</v>
      </c>
      <c r="R519" s="2"/>
      <c r="S519" s="161" t="s">
        <v>114</v>
      </c>
      <c r="T519" s="207">
        <v>0</v>
      </c>
      <c r="U519" s="207">
        <v>4.5503843980373288E-4</v>
      </c>
      <c r="V519" s="207">
        <v>0</v>
      </c>
      <c r="W519" s="207">
        <v>7.7505104252047347E-2</v>
      </c>
      <c r="X519" s="208">
        <v>0</v>
      </c>
      <c r="Y519" s="209">
        <v>3.9541628028049369E-3</v>
      </c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</row>
    <row r="520" spans="1:71" x14ac:dyDescent="0.35">
      <c r="A520" s="2"/>
      <c r="B520" s="2"/>
      <c r="C520" s="153" t="s">
        <v>116</v>
      </c>
      <c r="D520" s="109">
        <f t="shared" si="616"/>
        <v>0.92203985730814897</v>
      </c>
      <c r="E520" s="109">
        <f t="shared" si="611"/>
        <v>4.5503843980373288E-4</v>
      </c>
      <c r="F520" s="109">
        <f t="shared" si="612"/>
        <v>0</v>
      </c>
      <c r="G520" s="109">
        <f t="shared" si="613"/>
        <v>7.7505104252047347E-2</v>
      </c>
      <c r="H520" s="110">
        <f t="shared" si="614"/>
        <v>0</v>
      </c>
      <c r="I520" s="111">
        <f t="shared" si="615"/>
        <v>3.9541628028049369E-3</v>
      </c>
      <c r="J520" s="2"/>
      <c r="K520" s="153" t="s">
        <v>116</v>
      </c>
      <c r="L520" s="122">
        <v>1</v>
      </c>
      <c r="M520" s="62">
        <v>1</v>
      </c>
      <c r="N520" s="62">
        <v>1</v>
      </c>
      <c r="O520" s="62">
        <v>1</v>
      </c>
      <c r="P520" s="122">
        <v>1</v>
      </c>
      <c r="Q520" s="54">
        <v>1</v>
      </c>
      <c r="R520" s="2"/>
      <c r="S520" s="161" t="s">
        <v>116</v>
      </c>
      <c r="T520" s="207">
        <v>0</v>
      </c>
      <c r="U520" s="207">
        <v>4.5503843980373288E-4</v>
      </c>
      <c r="V520" s="207">
        <v>0</v>
      </c>
      <c r="W520" s="207">
        <v>7.7505104252047347E-2</v>
      </c>
      <c r="X520" s="208">
        <v>0</v>
      </c>
      <c r="Y520" s="209">
        <v>3.9541628028049369E-3</v>
      </c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</row>
    <row r="521" spans="1:71" x14ac:dyDescent="0.35">
      <c r="A521" s="2"/>
      <c r="B521" s="2"/>
      <c r="C521" s="156" t="s">
        <v>118</v>
      </c>
      <c r="D521" s="112">
        <f t="shared" si="616"/>
        <v>0.92203985730814897</v>
      </c>
      <c r="E521" s="112">
        <f t="shared" si="611"/>
        <v>4.5503843980373288E-4</v>
      </c>
      <c r="F521" s="112">
        <f t="shared" si="612"/>
        <v>0</v>
      </c>
      <c r="G521" s="112">
        <f t="shared" si="613"/>
        <v>7.7505104252047347E-2</v>
      </c>
      <c r="H521" s="113">
        <f t="shared" si="614"/>
        <v>0</v>
      </c>
      <c r="I521" s="114">
        <f t="shared" si="615"/>
        <v>3.9541628028049369E-3</v>
      </c>
      <c r="J521" s="2"/>
      <c r="K521" s="156" t="s">
        <v>118</v>
      </c>
      <c r="L521" s="128">
        <v>1</v>
      </c>
      <c r="M521" s="63">
        <v>1</v>
      </c>
      <c r="N521" s="63">
        <v>1</v>
      </c>
      <c r="O521" s="63">
        <v>1</v>
      </c>
      <c r="P521" s="128">
        <v>1</v>
      </c>
      <c r="Q521" s="61">
        <v>1</v>
      </c>
      <c r="R521" s="2"/>
      <c r="S521" s="163" t="s">
        <v>118</v>
      </c>
      <c r="T521" s="213">
        <v>0</v>
      </c>
      <c r="U521" s="213">
        <v>4.5503843980373288E-4</v>
      </c>
      <c r="V521" s="213">
        <v>0</v>
      </c>
      <c r="W521" s="213">
        <v>7.7505104252047347E-2</v>
      </c>
      <c r="X521" s="214">
        <v>0</v>
      </c>
      <c r="Y521" s="215">
        <v>3.9541628028049369E-3</v>
      </c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</row>
    <row r="522" spans="1:7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</row>
    <row r="523" spans="1:7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</row>
    <row r="524" spans="1:71" x14ac:dyDescent="0.35">
      <c r="A524" s="4" t="s">
        <v>749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</row>
    <row r="525" spans="1:71" x14ac:dyDescent="0.35">
      <c r="A525" s="24" t="s">
        <v>607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</row>
    <row r="526" spans="1:7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4" t="s">
        <v>751</v>
      </c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</row>
    <row r="527" spans="1:71" x14ac:dyDescent="0.35">
      <c r="A527" s="2"/>
      <c r="B527" s="2"/>
      <c r="C527" s="4" t="s">
        <v>750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4" t="s">
        <v>750</v>
      </c>
      <c r="O527" s="2"/>
      <c r="P527" s="2"/>
      <c r="Q527" s="2"/>
      <c r="R527" s="2"/>
      <c r="S527" s="2"/>
      <c r="T527" s="2"/>
      <c r="U527" s="2"/>
      <c r="V527" s="2"/>
      <c r="W527" s="2"/>
      <c r="X527" s="4" t="s">
        <v>755</v>
      </c>
      <c r="Y527" s="2"/>
      <c r="Z527" s="2"/>
      <c r="AA527" s="4"/>
      <c r="AB527" s="189">
        <v>1.25</v>
      </c>
      <c r="AC527" s="189">
        <v>2.8</v>
      </c>
      <c r="AD527" s="189">
        <v>7</v>
      </c>
      <c r="AE527" s="200">
        <v>0.15</v>
      </c>
      <c r="AF527" s="189">
        <v>0.2</v>
      </c>
      <c r="AG527" s="189">
        <v>1.9</v>
      </c>
      <c r="AH527" s="189">
        <v>2</v>
      </c>
      <c r="AI527" s="2"/>
      <c r="AJ527" s="2"/>
      <c r="AK527" s="4" t="s">
        <v>719</v>
      </c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</row>
    <row r="528" spans="1:71" x14ac:dyDescent="0.35">
      <c r="A528" s="2"/>
      <c r="B528" s="2"/>
      <c r="C528" s="170"/>
      <c r="D528" s="201" t="s">
        <v>591</v>
      </c>
      <c r="E528" s="201" t="s">
        <v>591</v>
      </c>
      <c r="F528" s="201" t="s">
        <v>591</v>
      </c>
      <c r="G528" s="201" t="s">
        <v>591</v>
      </c>
      <c r="H528" s="202" t="s">
        <v>590</v>
      </c>
      <c r="I528" s="201" t="s">
        <v>590</v>
      </c>
      <c r="J528" s="201" t="s">
        <v>590</v>
      </c>
      <c r="K528" s="201" t="s">
        <v>590</v>
      </c>
      <c r="L528" s="203" t="s">
        <v>590</v>
      </c>
      <c r="M528" s="2"/>
      <c r="N528" s="170"/>
      <c r="O528" s="201" t="s">
        <v>591</v>
      </c>
      <c r="P528" s="201" t="s">
        <v>591</v>
      </c>
      <c r="Q528" s="201" t="s">
        <v>591</v>
      </c>
      <c r="R528" s="202" t="s">
        <v>590</v>
      </c>
      <c r="S528" s="201" t="s">
        <v>590</v>
      </c>
      <c r="T528" s="201" t="s">
        <v>590</v>
      </c>
      <c r="U528" s="203" t="s">
        <v>590</v>
      </c>
      <c r="V528" s="2"/>
      <c r="W528" s="2"/>
      <c r="X528" s="24" t="s">
        <v>756</v>
      </c>
      <c r="Y528" s="2"/>
      <c r="Z528" s="2"/>
      <c r="AA528" s="170"/>
      <c r="AB528" s="201" t="s">
        <v>591</v>
      </c>
      <c r="AC528" s="201" t="s">
        <v>591</v>
      </c>
      <c r="AD528" s="201" t="s">
        <v>591</v>
      </c>
      <c r="AE528" s="202" t="s">
        <v>590</v>
      </c>
      <c r="AF528" s="201" t="s">
        <v>590</v>
      </c>
      <c r="AG528" s="201" t="s">
        <v>590</v>
      </c>
      <c r="AH528" s="203" t="s">
        <v>590</v>
      </c>
      <c r="AI528" s="2"/>
      <c r="AJ528" s="2"/>
      <c r="AK528" s="170"/>
      <c r="AL528" s="201" t="s">
        <v>591</v>
      </c>
      <c r="AM528" s="201" t="s">
        <v>591</v>
      </c>
      <c r="AN528" s="201" t="s">
        <v>591</v>
      </c>
      <c r="AO528" s="202" t="s">
        <v>590</v>
      </c>
      <c r="AP528" s="201" t="s">
        <v>590</v>
      </c>
      <c r="AQ528" s="201" t="s">
        <v>590</v>
      </c>
      <c r="AR528" s="203" t="s">
        <v>590</v>
      </c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</row>
    <row r="529" spans="1:71" x14ac:dyDescent="0.35">
      <c r="A529" s="2"/>
      <c r="B529" s="2"/>
      <c r="C529" s="172"/>
      <c r="D529" s="204" t="s">
        <v>613</v>
      </c>
      <c r="E529" s="204" t="s">
        <v>26</v>
      </c>
      <c r="F529" s="204" t="s">
        <v>34</v>
      </c>
      <c r="G529" s="204" t="s">
        <v>82</v>
      </c>
      <c r="H529" s="205" t="s">
        <v>614</v>
      </c>
      <c r="I529" s="204" t="s">
        <v>34</v>
      </c>
      <c r="J529" s="204" t="s">
        <v>46</v>
      </c>
      <c r="K529" s="204" t="s">
        <v>74</v>
      </c>
      <c r="L529" s="206" t="s">
        <v>82</v>
      </c>
      <c r="M529" s="2"/>
      <c r="N529" s="172"/>
      <c r="O529" s="204" t="s">
        <v>26</v>
      </c>
      <c r="P529" s="204" t="s">
        <v>34</v>
      </c>
      <c r="Q529" s="204" t="s">
        <v>82</v>
      </c>
      <c r="R529" s="205" t="s">
        <v>34</v>
      </c>
      <c r="S529" s="204" t="s">
        <v>46</v>
      </c>
      <c r="T529" s="204" t="s">
        <v>74</v>
      </c>
      <c r="U529" s="206" t="s">
        <v>82</v>
      </c>
      <c r="V529" s="2"/>
      <c r="W529" s="2"/>
      <c r="X529" s="170"/>
      <c r="Y529" s="171" t="s">
        <v>613</v>
      </c>
      <c r="Z529" s="2"/>
      <c r="AA529" s="172"/>
      <c r="AB529" s="218" t="s">
        <v>26</v>
      </c>
      <c r="AC529" s="218" t="s">
        <v>34</v>
      </c>
      <c r="AD529" s="218" t="s">
        <v>82</v>
      </c>
      <c r="AE529" s="205" t="s">
        <v>34</v>
      </c>
      <c r="AF529" s="218" t="s">
        <v>46</v>
      </c>
      <c r="AG529" s="218" t="s">
        <v>74</v>
      </c>
      <c r="AH529" s="206" t="s">
        <v>82</v>
      </c>
      <c r="AI529" s="2"/>
      <c r="AJ529" s="2"/>
      <c r="AK529" s="172"/>
      <c r="AL529" s="204" t="s">
        <v>26</v>
      </c>
      <c r="AM529" s="204" t="s">
        <v>34</v>
      </c>
      <c r="AN529" s="204" t="s">
        <v>82</v>
      </c>
      <c r="AO529" s="205" t="s">
        <v>34</v>
      </c>
      <c r="AP529" s="204" t="s">
        <v>46</v>
      </c>
      <c r="AQ529" s="204" t="s">
        <v>74</v>
      </c>
      <c r="AR529" s="206" t="s">
        <v>82</v>
      </c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</row>
    <row r="530" spans="1:71" x14ac:dyDescent="0.35">
      <c r="A530" s="2"/>
      <c r="B530" s="2"/>
      <c r="C530" s="153" t="s">
        <v>283</v>
      </c>
      <c r="D530" s="109">
        <f>1-SUM(E530:G530)</f>
        <v>0.90609065643589703</v>
      </c>
      <c r="E530" s="109">
        <f>O530/$Y530</f>
        <v>2.1969065681014564E-2</v>
      </c>
      <c r="F530" s="109">
        <f t="shared" ref="F530:F559" si="617">P530/$Y530</f>
        <v>6.0957768285297163E-2</v>
      </c>
      <c r="G530" s="109">
        <f t="shared" ref="G530:G559" si="618">Q530/$Y530</f>
        <v>1.0982509597791297E-2</v>
      </c>
      <c r="H530" s="110">
        <f>1-SUM(I530:L530)</f>
        <v>0.96084667720447303</v>
      </c>
      <c r="I530" s="109">
        <f>R530/$Y530</f>
        <v>8.4190569907913399E-4</v>
      </c>
      <c r="J530" s="109">
        <f t="shared" ref="J530:J559" si="619">S530/$Y530</f>
        <v>5.0205176093650414E-3</v>
      </c>
      <c r="K530" s="109">
        <f t="shared" ref="K530:K559" si="620">T530/$Y530</f>
        <v>3.0153039601999571E-2</v>
      </c>
      <c r="L530" s="111">
        <f t="shared" ref="L530:L559" si="621">U530/$Y530</f>
        <v>3.1378598850832274E-3</v>
      </c>
      <c r="M530" s="2"/>
      <c r="N530" s="153" t="s">
        <v>283</v>
      </c>
      <c r="O530" s="67">
        <f t="shared" ref="O530:O548" si="622">AB530*AB$527*AL530</f>
        <v>6464.3441624999996</v>
      </c>
      <c r="P530" s="67">
        <f t="shared" ref="P530:P549" si="623">AC530*AC$527*AM530</f>
        <v>17936.675109247997</v>
      </c>
      <c r="Q530" s="67">
        <f t="shared" ref="Q530:Q549" si="624">AD530*AD$527*AN530</f>
        <v>3231.5767470000001</v>
      </c>
      <c r="R530" s="76">
        <f t="shared" ref="R530:R549" si="625">AE530*AE$527*AO530</f>
        <v>247.72870499999999</v>
      </c>
      <c r="S530" s="67">
        <f t="shared" ref="S530:S549" si="626">AF530*AF$527*AP530</f>
        <v>1477.2751000000001</v>
      </c>
      <c r="T530" s="67">
        <f t="shared" ref="T530:T548" si="627">AG530*AG$527*AQ530</f>
        <v>8872.4585907749697</v>
      </c>
      <c r="U530" s="68">
        <f t="shared" ref="U530:U549" si="628">AH530*AH$527*AR530</f>
        <v>923.30764199999999</v>
      </c>
      <c r="V530" s="2"/>
      <c r="W530" s="2"/>
      <c r="X530" s="153" t="s">
        <v>283</v>
      </c>
      <c r="Y530" s="68">
        <f t="array" ref="Y530:Y549">TRANSPOSE(S120:AL120)</f>
        <v>294247.56866589998</v>
      </c>
      <c r="Z530" s="2"/>
      <c r="AA530" s="153" t="s">
        <v>283</v>
      </c>
      <c r="AB530" s="219">
        <v>3</v>
      </c>
      <c r="AC530" s="219">
        <v>1</v>
      </c>
      <c r="AD530" s="219">
        <v>1</v>
      </c>
      <c r="AE530" s="122">
        <v>1</v>
      </c>
      <c r="AF530" s="219">
        <v>2</v>
      </c>
      <c r="AG530" s="219">
        <v>1</v>
      </c>
      <c r="AH530" s="54">
        <f>AD530</f>
        <v>1</v>
      </c>
      <c r="AI530" s="2"/>
      <c r="AJ530" s="2"/>
      <c r="AK530" s="153" t="s">
        <v>283</v>
      </c>
      <c r="AL530" s="67">
        <f>SUM(T477:U477,X477:Y477,AB477:AC477)</f>
        <v>1723.82511</v>
      </c>
      <c r="AM530" s="67">
        <f t="shared" ref="AM530:AN549" si="629">SUMIFS($I566:$AV566,$I$586:$AV$586,AM$528,$I$587:$AV$587,AM$529)</f>
        <v>6405.9553961599995</v>
      </c>
      <c r="AN530" s="67">
        <f t="shared" si="629"/>
        <v>461.65382099999999</v>
      </c>
      <c r="AO530" s="76">
        <f>SUM(F477:G477,J477:K477,N477:O477)</f>
        <v>1651.5246999999999</v>
      </c>
      <c r="AP530" s="67">
        <f>SUM(W452:X452,AA452:AB452,AE452:AF452)</f>
        <v>3693.1877500000001</v>
      </c>
      <c r="AQ530" s="67">
        <f t="shared" ref="AQ530:AQ549" si="630">SUMIFS($I566:$AV566,$I$586:$AV$586,AQ$528,$I$587:$AV$587,AQ$529)</f>
        <v>4669.7150477762998</v>
      </c>
      <c r="AR530" s="68">
        <f>AN530</f>
        <v>461.65382099999999</v>
      </c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</row>
    <row r="531" spans="1:71" x14ac:dyDescent="0.35">
      <c r="A531" s="2"/>
      <c r="B531" s="2"/>
      <c r="C531" s="153" t="s">
        <v>285</v>
      </c>
      <c r="D531" s="109">
        <f t="shared" ref="D531:D559" si="631">1-SUM(E531:G531)</f>
        <v>0.92236556250161139</v>
      </c>
      <c r="E531" s="109">
        <f t="shared" ref="E531:E559" si="632">O531/$Y531</f>
        <v>3.0149854811533806E-2</v>
      </c>
      <c r="F531" s="109">
        <f t="shared" si="617"/>
        <v>3.8403151236946452E-2</v>
      </c>
      <c r="G531" s="109">
        <f t="shared" si="618"/>
        <v>9.0814314499083684E-3</v>
      </c>
      <c r="H531" s="110">
        <f>1-SUM(I531:L531)</f>
        <v>0.96242338778358694</v>
      </c>
      <c r="I531" s="109">
        <f t="shared" ref="I531:I558" si="633">R531/$Y531</f>
        <v>2.1495347778614747E-3</v>
      </c>
      <c r="J531" s="109">
        <f t="shared" si="619"/>
        <v>5.0108696843791925E-3</v>
      </c>
      <c r="K531" s="109">
        <f t="shared" si="620"/>
        <v>2.7821513054198617E-2</v>
      </c>
      <c r="L531" s="111">
        <f t="shared" si="621"/>
        <v>2.5946946999738192E-3</v>
      </c>
      <c r="M531" s="2"/>
      <c r="N531" s="153" t="s">
        <v>285</v>
      </c>
      <c r="O531" s="67">
        <f t="shared" si="622"/>
        <v>12960.91475</v>
      </c>
      <c r="P531" s="67">
        <f t="shared" si="623"/>
        <v>16508.867867682398</v>
      </c>
      <c r="Q531" s="67">
        <f t="shared" si="624"/>
        <v>3903.9544158999997</v>
      </c>
      <c r="R531" s="76">
        <f t="shared" si="625"/>
        <v>924.04879499999993</v>
      </c>
      <c r="S531" s="67">
        <f t="shared" si="626"/>
        <v>2154.0884759999999</v>
      </c>
      <c r="T531" s="67">
        <f t="shared" si="627"/>
        <v>11959.999846285698</v>
      </c>
      <c r="U531" s="68">
        <f t="shared" si="628"/>
        <v>1115.4155473999999</v>
      </c>
      <c r="V531" s="2"/>
      <c r="W531" s="2"/>
      <c r="X531" s="153" t="s">
        <v>285</v>
      </c>
      <c r="Y531" s="68">
        <v>429883.15635409998</v>
      </c>
      <c r="Z531" s="2"/>
      <c r="AA531" s="153" t="s">
        <v>285</v>
      </c>
      <c r="AB531" s="219">
        <v>1</v>
      </c>
      <c r="AC531" s="219">
        <v>1</v>
      </c>
      <c r="AD531" s="219">
        <v>1</v>
      </c>
      <c r="AE531" s="122">
        <v>1</v>
      </c>
      <c r="AF531" s="219">
        <v>1</v>
      </c>
      <c r="AG531" s="219">
        <v>1</v>
      </c>
      <c r="AH531" s="54">
        <f t="shared" ref="AH531:AH549" si="634">AD531</f>
        <v>1</v>
      </c>
      <c r="AI531" s="2"/>
      <c r="AJ531" s="2"/>
      <c r="AK531" s="153" t="s">
        <v>285</v>
      </c>
      <c r="AL531" s="67">
        <f t="shared" ref="AL531:AL549" si="635">SUM(T478:U478,X478:Y478,AB478:AC478)</f>
        <v>10368.7318</v>
      </c>
      <c r="AM531" s="67">
        <f t="shared" si="629"/>
        <v>5896.0242384579997</v>
      </c>
      <c r="AN531" s="67">
        <f t="shared" si="629"/>
        <v>557.70777369999996</v>
      </c>
      <c r="AO531" s="76">
        <f t="shared" ref="AO531:AO549" si="636">SUM(F478:G478,J478:K478,N478:O478)</f>
        <v>6160.3252999999995</v>
      </c>
      <c r="AP531" s="67">
        <f t="shared" ref="AP531:AP549" si="637">SUM(W453:X453,AA453:AB453,AE453:AF453)</f>
        <v>10770.442379999999</v>
      </c>
      <c r="AQ531" s="67">
        <f t="shared" si="630"/>
        <v>6294.7367612029993</v>
      </c>
      <c r="AR531" s="68">
        <f t="shared" ref="AR531:AR549" si="638">AN531</f>
        <v>557.70777369999996</v>
      </c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</row>
    <row r="532" spans="1:71" x14ac:dyDescent="0.35">
      <c r="A532" s="2"/>
      <c r="B532" s="2"/>
      <c r="C532" s="153" t="s">
        <v>287</v>
      </c>
      <c r="D532" s="109">
        <f t="shared" si="631"/>
        <v>0.93474496989340772</v>
      </c>
      <c r="E532" s="109">
        <f t="shared" si="632"/>
        <v>2.0093062373183448E-2</v>
      </c>
      <c r="F532" s="109">
        <f t="shared" si="617"/>
        <v>3.1897305650115823E-2</v>
      </c>
      <c r="G532" s="109">
        <f t="shared" si="618"/>
        <v>1.3264662083293008E-2</v>
      </c>
      <c r="H532" s="110">
        <f t="shared" ref="H532:H558" si="639">1-SUM(I532:L532)</f>
        <v>0.95806306951039533</v>
      </c>
      <c r="I532" s="109">
        <f t="shared" si="633"/>
        <v>2.8349942624046483E-3</v>
      </c>
      <c r="J532" s="109">
        <f t="shared" si="619"/>
        <v>5.9643142001656463E-3</v>
      </c>
      <c r="K532" s="109">
        <f t="shared" si="620"/>
        <v>2.9347718574664949E-2</v>
      </c>
      <c r="L532" s="111">
        <f t="shared" si="621"/>
        <v>3.7899034523694308E-3</v>
      </c>
      <c r="M532" s="2"/>
      <c r="N532" s="153" t="s">
        <v>287</v>
      </c>
      <c r="O532" s="67">
        <f t="shared" si="622"/>
        <v>11104.007624999998</v>
      </c>
      <c r="P532" s="67">
        <f t="shared" si="623"/>
        <v>17627.373994943999</v>
      </c>
      <c r="Q532" s="67">
        <f t="shared" si="624"/>
        <v>7330.436056999999</v>
      </c>
      <c r="R532" s="76">
        <f t="shared" si="625"/>
        <v>1566.6998549999998</v>
      </c>
      <c r="S532" s="67">
        <f t="shared" si="626"/>
        <v>3296.0525940000002</v>
      </c>
      <c r="T532" s="67">
        <f t="shared" si="627"/>
        <v>16218.398409211888</v>
      </c>
      <c r="U532" s="68">
        <f t="shared" si="628"/>
        <v>2094.4103019999998</v>
      </c>
      <c r="V532" s="2"/>
      <c r="W532" s="2"/>
      <c r="X532" s="153" t="s">
        <v>287</v>
      </c>
      <c r="Y532" s="68">
        <v>552628.9332491</v>
      </c>
      <c r="Z532" s="2"/>
      <c r="AA532" s="153" t="s">
        <v>287</v>
      </c>
      <c r="AB532" s="219">
        <f t="shared" ref="AB532" si="640">AK454</f>
        <v>0.6</v>
      </c>
      <c r="AC532" s="219">
        <v>1</v>
      </c>
      <c r="AD532" s="219">
        <v>1</v>
      </c>
      <c r="AE532" s="122">
        <v>1</v>
      </c>
      <c r="AF532" s="219">
        <v>1</v>
      </c>
      <c r="AG532" s="219">
        <v>1</v>
      </c>
      <c r="AH532" s="54">
        <f t="shared" si="634"/>
        <v>1</v>
      </c>
      <c r="AI532" s="2"/>
      <c r="AJ532" s="2"/>
      <c r="AK532" s="153" t="s">
        <v>287</v>
      </c>
      <c r="AL532" s="67">
        <f t="shared" si="635"/>
        <v>14805.343499999999</v>
      </c>
      <c r="AM532" s="67">
        <f t="shared" si="629"/>
        <v>6295.4907124800002</v>
      </c>
      <c r="AN532" s="67">
        <f t="shared" si="629"/>
        <v>1047.2051509999999</v>
      </c>
      <c r="AO532" s="76">
        <f t="shared" si="636"/>
        <v>10444.6657</v>
      </c>
      <c r="AP532" s="67">
        <f t="shared" si="637"/>
        <v>16480.26297</v>
      </c>
      <c r="AQ532" s="67">
        <f t="shared" si="630"/>
        <v>8535.9991627430991</v>
      </c>
      <c r="AR532" s="68">
        <f t="shared" si="638"/>
        <v>1047.2051509999999</v>
      </c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</row>
    <row r="533" spans="1:71" x14ac:dyDescent="0.35">
      <c r="A533" s="2"/>
      <c r="B533" s="2"/>
      <c r="C533" s="153" t="s">
        <v>289</v>
      </c>
      <c r="D533" s="109">
        <f t="shared" si="631"/>
        <v>0.89390196793122711</v>
      </c>
      <c r="E533" s="109">
        <f t="shared" si="632"/>
        <v>6.0272902501763398E-2</v>
      </c>
      <c r="F533" s="109">
        <f t="shared" si="617"/>
        <v>3.2504147574661635E-2</v>
      </c>
      <c r="G533" s="109">
        <f t="shared" si="618"/>
        <v>1.3320981992347852E-2</v>
      </c>
      <c r="H533" s="110">
        <f t="shared" si="639"/>
        <v>0.93762172302556224</v>
      </c>
      <c r="I533" s="109">
        <f t="shared" si="633"/>
        <v>4.5680541907545226E-3</v>
      </c>
      <c r="J533" s="109">
        <f t="shared" si="619"/>
        <v>1.321443654961979E-2</v>
      </c>
      <c r="K533" s="109">
        <f t="shared" si="620"/>
        <v>4.078979137910696E-2</v>
      </c>
      <c r="L533" s="111">
        <f t="shared" si="621"/>
        <v>3.8059948549565292E-3</v>
      </c>
      <c r="M533" s="2"/>
      <c r="N533" s="153" t="s">
        <v>289</v>
      </c>
      <c r="O533" s="67">
        <f t="shared" si="622"/>
        <v>43558.32</v>
      </c>
      <c r="P533" s="67">
        <f t="shared" si="623"/>
        <v>23490.258517795999</v>
      </c>
      <c r="Q533" s="67">
        <f t="shared" si="624"/>
        <v>9626.8733087799992</v>
      </c>
      <c r="R533" s="76">
        <f t="shared" si="625"/>
        <v>3301.2640499999998</v>
      </c>
      <c r="S533" s="67">
        <f t="shared" si="626"/>
        <v>9549.874520000003</v>
      </c>
      <c r="T533" s="67">
        <f t="shared" si="627"/>
        <v>29478.168660824002</v>
      </c>
      <c r="U533" s="68">
        <f t="shared" si="628"/>
        <v>2750.5352310799999</v>
      </c>
      <c r="V533" s="2"/>
      <c r="W533" s="2"/>
      <c r="X533" s="153" t="s">
        <v>289</v>
      </c>
      <c r="Y533" s="68">
        <v>722684.95778389997</v>
      </c>
      <c r="Z533" s="2"/>
      <c r="AA533" s="153" t="s">
        <v>289</v>
      </c>
      <c r="AB533" s="219">
        <v>0.4</v>
      </c>
      <c r="AC533" s="219">
        <v>1</v>
      </c>
      <c r="AD533" s="219">
        <v>1.4</v>
      </c>
      <c r="AE533" s="122">
        <v>1</v>
      </c>
      <c r="AF533" s="219">
        <v>1</v>
      </c>
      <c r="AG533" s="219">
        <v>1</v>
      </c>
      <c r="AH533" s="54">
        <f t="shared" si="634"/>
        <v>1.4</v>
      </c>
      <c r="AI533" s="2"/>
      <c r="AJ533" s="2"/>
      <c r="AK533" s="153" t="s">
        <v>289</v>
      </c>
      <c r="AL533" s="67">
        <f t="shared" si="635"/>
        <v>87116.64</v>
      </c>
      <c r="AM533" s="67">
        <f t="shared" si="629"/>
        <v>8389.3780420700004</v>
      </c>
      <c r="AN533" s="67">
        <f t="shared" si="629"/>
        <v>982.3340111</v>
      </c>
      <c r="AO533" s="76">
        <f t="shared" si="636"/>
        <v>22008.427</v>
      </c>
      <c r="AP533" s="67">
        <f t="shared" si="637"/>
        <v>47749.37260000001</v>
      </c>
      <c r="AQ533" s="67">
        <f t="shared" si="630"/>
        <v>15514.825610960001</v>
      </c>
      <c r="AR533" s="68">
        <f t="shared" si="638"/>
        <v>982.3340111</v>
      </c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</row>
    <row r="534" spans="1:71" x14ac:dyDescent="0.35">
      <c r="A534" s="2"/>
      <c r="B534" s="2"/>
      <c r="C534" s="153" t="s">
        <v>291</v>
      </c>
      <c r="D534" s="109">
        <f t="shared" si="631"/>
        <v>0.86822890182963808</v>
      </c>
      <c r="E534" s="109">
        <f t="shared" si="632"/>
        <v>7.5416483634317882E-2</v>
      </c>
      <c r="F534" s="109">
        <f t="shared" si="617"/>
        <v>2.6995192339459441E-2</v>
      </c>
      <c r="G534" s="109">
        <f t="shared" si="618"/>
        <v>2.9359422196584554E-2</v>
      </c>
      <c r="H534" s="110">
        <f t="shared" si="639"/>
        <v>0.890552922316872</v>
      </c>
      <c r="I534" s="109">
        <f t="shared" si="633"/>
        <v>2.0362577885603195E-2</v>
      </c>
      <c r="J534" s="109">
        <f t="shared" si="619"/>
        <v>3.2912972370762981E-2</v>
      </c>
      <c r="K534" s="109">
        <f t="shared" si="620"/>
        <v>4.7783121084880531E-2</v>
      </c>
      <c r="L534" s="111">
        <f t="shared" si="621"/>
        <v>8.3884063418813003E-3</v>
      </c>
      <c r="M534" s="2"/>
      <c r="N534" s="153" t="s">
        <v>291</v>
      </c>
      <c r="O534" s="67">
        <f t="shared" si="622"/>
        <v>49495.935000000005</v>
      </c>
      <c r="P534" s="67">
        <f t="shared" si="623"/>
        <v>17716.979378475997</v>
      </c>
      <c r="Q534" s="67">
        <f t="shared" si="624"/>
        <v>19268.626467999999</v>
      </c>
      <c r="R534" s="76">
        <f t="shared" si="625"/>
        <v>13363.985999999999</v>
      </c>
      <c r="S534" s="67">
        <f t="shared" si="626"/>
        <v>21600.826008000004</v>
      </c>
      <c r="T534" s="67">
        <f t="shared" si="627"/>
        <v>31360.123693677004</v>
      </c>
      <c r="U534" s="68">
        <f t="shared" si="628"/>
        <v>5505.3218479999996</v>
      </c>
      <c r="V534" s="2"/>
      <c r="W534" s="2"/>
      <c r="X534" s="153" t="s">
        <v>291</v>
      </c>
      <c r="Y534" s="68">
        <v>656301.28341699997</v>
      </c>
      <c r="Z534" s="2"/>
      <c r="AA534" s="153" t="s">
        <v>291</v>
      </c>
      <c r="AB534" s="219">
        <v>0.2</v>
      </c>
      <c r="AC534" s="219">
        <v>1</v>
      </c>
      <c r="AD534" s="219">
        <v>1</v>
      </c>
      <c r="AE534" s="122">
        <v>1</v>
      </c>
      <c r="AF534" s="219">
        <v>1</v>
      </c>
      <c r="AG534" s="219">
        <v>1</v>
      </c>
      <c r="AH534" s="54">
        <f t="shared" si="634"/>
        <v>1</v>
      </c>
      <c r="AI534" s="2"/>
      <c r="AJ534" s="2"/>
      <c r="AK534" s="153" t="s">
        <v>291</v>
      </c>
      <c r="AL534" s="67">
        <f t="shared" si="635"/>
        <v>197983.74000000002</v>
      </c>
      <c r="AM534" s="67">
        <f t="shared" si="629"/>
        <v>6327.4926351699996</v>
      </c>
      <c r="AN534" s="67">
        <f t="shared" si="629"/>
        <v>2752.6609239999998</v>
      </c>
      <c r="AO534" s="76">
        <f t="shared" si="636"/>
        <v>89093.239999999991</v>
      </c>
      <c r="AP534" s="67">
        <f t="shared" si="637"/>
        <v>108004.13004</v>
      </c>
      <c r="AQ534" s="67">
        <f t="shared" si="630"/>
        <v>16505.328259830003</v>
      </c>
      <c r="AR534" s="68">
        <f t="shared" si="638"/>
        <v>2752.6609239999998</v>
      </c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</row>
    <row r="535" spans="1:71" x14ac:dyDescent="0.35">
      <c r="A535" s="2"/>
      <c r="B535" s="2"/>
      <c r="C535" s="116" t="s">
        <v>293</v>
      </c>
      <c r="D535" s="148">
        <f t="shared" si="631"/>
        <v>0.9089237385836324</v>
      </c>
      <c r="E535" s="148">
        <f t="shared" si="632"/>
        <v>0</v>
      </c>
      <c r="F535" s="148">
        <f>P535/$Y535</f>
        <v>7.5094827218615615E-2</v>
      </c>
      <c r="G535" s="148">
        <f>Q535/$Y535</f>
        <v>1.5981434197751946E-2</v>
      </c>
      <c r="H535" s="149">
        <f t="shared" si="639"/>
        <v>0.99217669496049898</v>
      </c>
      <c r="I535" s="148">
        <f t="shared" si="633"/>
        <v>0</v>
      </c>
      <c r="J535" s="148">
        <f t="shared" si="619"/>
        <v>0</v>
      </c>
      <c r="K535" s="148">
        <f t="shared" si="620"/>
        <v>3.257180983000429E-3</v>
      </c>
      <c r="L535" s="150">
        <f t="shared" si="621"/>
        <v>4.5661240565005564E-3</v>
      </c>
      <c r="M535" s="2"/>
      <c r="N535" s="116" t="s">
        <v>293</v>
      </c>
      <c r="O535" s="73">
        <f t="shared" si="622"/>
        <v>0</v>
      </c>
      <c r="P535" s="73">
        <f>AC535*AC$527*AM535</f>
        <v>74.198649740880001</v>
      </c>
      <c r="Q535" s="73">
        <f>AD535*AD$527*AN535</f>
        <v>15.7907126538</v>
      </c>
      <c r="R535" s="72">
        <f t="shared" si="625"/>
        <v>0</v>
      </c>
      <c r="S535" s="73">
        <f t="shared" si="626"/>
        <v>0</v>
      </c>
      <c r="T535" s="73">
        <f t="shared" si="627"/>
        <v>3.2183099669000002</v>
      </c>
      <c r="U535" s="75">
        <f t="shared" si="628"/>
        <v>4.5116321868</v>
      </c>
      <c r="V535" s="2"/>
      <c r="W535" s="2"/>
      <c r="X535" s="116" t="s">
        <v>293</v>
      </c>
      <c r="Y535" s="75">
        <v>988.06605579999984</v>
      </c>
      <c r="Z535" s="2"/>
      <c r="AA535" s="116" t="s">
        <v>293</v>
      </c>
      <c r="AB535" s="124">
        <v>1</v>
      </c>
      <c r="AC535" s="124">
        <v>0.6</v>
      </c>
      <c r="AD535" s="124">
        <v>0.3</v>
      </c>
      <c r="AE535" s="125">
        <v>1</v>
      </c>
      <c r="AF535" s="124">
        <v>1</v>
      </c>
      <c r="AG535" s="124">
        <v>1</v>
      </c>
      <c r="AH535" s="126">
        <f t="shared" si="634"/>
        <v>0.3</v>
      </c>
      <c r="AI535" s="2"/>
      <c r="AJ535" s="2"/>
      <c r="AK535" s="116" t="s">
        <v>293</v>
      </c>
      <c r="AL535" s="73">
        <f t="shared" si="635"/>
        <v>0</v>
      </c>
      <c r="AM535" s="73">
        <f t="shared" si="629"/>
        <v>44.165862941</v>
      </c>
      <c r="AN535" s="73">
        <f t="shared" si="629"/>
        <v>7.519386978</v>
      </c>
      <c r="AO535" s="72">
        <f t="shared" si="636"/>
        <v>0</v>
      </c>
      <c r="AP535" s="73">
        <f t="shared" si="637"/>
        <v>0</v>
      </c>
      <c r="AQ535" s="73">
        <f t="shared" si="630"/>
        <v>1.6938473510000001</v>
      </c>
      <c r="AR535" s="75">
        <f t="shared" si="638"/>
        <v>7.519386978</v>
      </c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</row>
    <row r="536" spans="1:71" x14ac:dyDescent="0.35">
      <c r="A536" s="2"/>
      <c r="B536" s="2"/>
      <c r="C536" s="153" t="s">
        <v>295</v>
      </c>
      <c r="D536" s="109">
        <f t="shared" si="631"/>
        <v>0.92648871591938919</v>
      </c>
      <c r="E536" s="109">
        <f t="shared" si="632"/>
        <v>0</v>
      </c>
      <c r="F536" s="109">
        <f t="shared" si="617"/>
        <v>7.351128408061082E-2</v>
      </c>
      <c r="G536" s="109">
        <f t="shared" si="618"/>
        <v>0</v>
      </c>
      <c r="H536" s="110">
        <f t="shared" si="639"/>
        <v>0.95106898344303847</v>
      </c>
      <c r="I536" s="109">
        <f t="shared" si="633"/>
        <v>7.0773367807029962E-3</v>
      </c>
      <c r="J536" s="109">
        <f t="shared" si="619"/>
        <v>2.8309347122811988E-2</v>
      </c>
      <c r="K536" s="109">
        <f t="shared" si="620"/>
        <v>1.354433265344656E-2</v>
      </c>
      <c r="L536" s="111">
        <f t="shared" si="621"/>
        <v>0</v>
      </c>
      <c r="M536" s="2"/>
      <c r="N536" s="153" t="s">
        <v>295</v>
      </c>
      <c r="O536" s="67">
        <f t="shared" si="622"/>
        <v>0</v>
      </c>
      <c r="P536" s="67">
        <f t="shared" si="623"/>
        <v>79.279658475359994</v>
      </c>
      <c r="Q536" s="67">
        <f t="shared" si="624"/>
        <v>0</v>
      </c>
      <c r="R536" s="76">
        <f t="shared" si="625"/>
        <v>7.6326899999999993</v>
      </c>
      <c r="S536" s="67">
        <f t="shared" si="626"/>
        <v>30.530760000000001</v>
      </c>
      <c r="T536" s="67">
        <f t="shared" si="627"/>
        <v>14.6071461065</v>
      </c>
      <c r="U536" s="68">
        <f t="shared" si="628"/>
        <v>0</v>
      </c>
      <c r="V536" s="2"/>
      <c r="W536" s="2"/>
      <c r="X536" s="153" t="s">
        <v>295</v>
      </c>
      <c r="Y536" s="68">
        <v>1078.4692373000003</v>
      </c>
      <c r="Z536" s="2"/>
      <c r="AA536" s="153" t="s">
        <v>295</v>
      </c>
      <c r="AB536" s="219">
        <v>1</v>
      </c>
      <c r="AC536" s="219">
        <v>0.6</v>
      </c>
      <c r="AD536" s="219">
        <v>1</v>
      </c>
      <c r="AE536" s="122">
        <v>1</v>
      </c>
      <c r="AF536" s="219">
        <v>0.5</v>
      </c>
      <c r="AG536" s="219">
        <v>1</v>
      </c>
      <c r="AH536" s="54">
        <f t="shared" si="634"/>
        <v>1</v>
      </c>
      <c r="AI536" s="2"/>
      <c r="AJ536" s="2"/>
      <c r="AK536" s="153" t="s">
        <v>295</v>
      </c>
      <c r="AL536" s="67">
        <f t="shared" si="635"/>
        <v>0</v>
      </c>
      <c r="AM536" s="67">
        <f t="shared" si="629"/>
        <v>47.190272901999997</v>
      </c>
      <c r="AN536" s="67">
        <f t="shared" si="629"/>
        <v>0</v>
      </c>
      <c r="AO536" s="76">
        <f t="shared" si="636"/>
        <v>50.884599999999999</v>
      </c>
      <c r="AP536" s="67">
        <f t="shared" si="637"/>
        <v>305.30759999999998</v>
      </c>
      <c r="AQ536" s="67">
        <f t="shared" si="630"/>
        <v>7.6879716350000002</v>
      </c>
      <c r="AR536" s="68">
        <f t="shared" si="638"/>
        <v>0</v>
      </c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</row>
    <row r="537" spans="1:71" x14ac:dyDescent="0.35">
      <c r="A537" s="2"/>
      <c r="B537" s="2"/>
      <c r="C537" s="153" t="s">
        <v>297</v>
      </c>
      <c r="D537" s="109">
        <f t="shared" si="631"/>
        <v>0.88447384855532096</v>
      </c>
      <c r="E537" s="109">
        <f t="shared" si="632"/>
        <v>5.5682486061881975E-2</v>
      </c>
      <c r="F537" s="109">
        <f t="shared" si="617"/>
        <v>2.6404508577557721E-2</v>
      </c>
      <c r="G537" s="109">
        <f t="shared" si="618"/>
        <v>3.3439156805239345E-2</v>
      </c>
      <c r="H537" s="110">
        <f t="shared" si="639"/>
        <v>0.89630656505609951</v>
      </c>
      <c r="I537" s="109">
        <f t="shared" si="633"/>
        <v>3.9281072388380953E-3</v>
      </c>
      <c r="J537" s="109">
        <f t="shared" si="619"/>
        <v>5.021534817071497E-2</v>
      </c>
      <c r="K537" s="109">
        <f t="shared" si="620"/>
        <v>3.9995934732850423E-2</v>
      </c>
      <c r="L537" s="111">
        <f t="shared" si="621"/>
        <v>9.554044801496955E-3</v>
      </c>
      <c r="M537" s="2"/>
      <c r="N537" s="153" t="s">
        <v>297</v>
      </c>
      <c r="O537" s="67">
        <f t="shared" si="622"/>
        <v>221.89679999999998</v>
      </c>
      <c r="P537" s="67">
        <f t="shared" si="623"/>
        <v>105.22295919799998</v>
      </c>
      <c r="Q537" s="67">
        <f t="shared" si="624"/>
        <v>133.25629681000001</v>
      </c>
      <c r="R537" s="76">
        <f t="shared" si="625"/>
        <v>15.653654999999999</v>
      </c>
      <c r="S537" s="67">
        <f t="shared" si="626"/>
        <v>200.11005</v>
      </c>
      <c r="T537" s="67">
        <f t="shared" si="627"/>
        <v>159.38530331359999</v>
      </c>
      <c r="U537" s="68">
        <f t="shared" si="628"/>
        <v>38.073227660000001</v>
      </c>
      <c r="V537" s="2"/>
      <c r="W537" s="2"/>
      <c r="X537" s="153" t="s">
        <v>297</v>
      </c>
      <c r="Y537" s="68">
        <v>3985.0375888999997</v>
      </c>
      <c r="Z537" s="2"/>
      <c r="AA537" s="153" t="s">
        <v>297</v>
      </c>
      <c r="AB537" s="219">
        <v>0.6</v>
      </c>
      <c r="AC537" s="219">
        <v>1</v>
      </c>
      <c r="AD537" s="219">
        <v>1</v>
      </c>
      <c r="AE537" s="122">
        <v>1</v>
      </c>
      <c r="AF537" s="219">
        <v>0.5</v>
      </c>
      <c r="AG537" s="219">
        <v>1</v>
      </c>
      <c r="AH537" s="54">
        <f t="shared" si="634"/>
        <v>1</v>
      </c>
      <c r="AI537" s="2"/>
      <c r="AJ537" s="2"/>
      <c r="AK537" s="153" t="s">
        <v>297</v>
      </c>
      <c r="AL537" s="67">
        <f t="shared" si="635"/>
        <v>295.86239999999998</v>
      </c>
      <c r="AM537" s="67">
        <f t="shared" si="629"/>
        <v>37.579628284999998</v>
      </c>
      <c r="AN537" s="67">
        <f t="shared" si="629"/>
        <v>19.03661383</v>
      </c>
      <c r="AO537" s="76">
        <f t="shared" si="636"/>
        <v>104.35769999999999</v>
      </c>
      <c r="AP537" s="67">
        <f t="shared" si="637"/>
        <v>2001.1005</v>
      </c>
      <c r="AQ537" s="67">
        <f t="shared" si="630"/>
        <v>83.887001744000003</v>
      </c>
      <c r="AR537" s="68">
        <f t="shared" si="638"/>
        <v>19.03661383</v>
      </c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</row>
    <row r="538" spans="1:71" x14ac:dyDescent="0.35">
      <c r="A538" s="2"/>
      <c r="B538" s="2"/>
      <c r="C538" s="153" t="s">
        <v>299</v>
      </c>
      <c r="D538" s="109">
        <f t="shared" si="631"/>
        <v>0.88697175056477362</v>
      </c>
      <c r="E538" s="109">
        <f t="shared" si="632"/>
        <v>8.199412084759114E-2</v>
      </c>
      <c r="F538" s="109">
        <f t="shared" si="617"/>
        <v>2.0294400188589207E-2</v>
      </c>
      <c r="G538" s="109">
        <f t="shared" si="618"/>
        <v>1.0739728399046009E-2</v>
      </c>
      <c r="H538" s="110">
        <f t="shared" si="639"/>
        <v>0.83091202342409287</v>
      </c>
      <c r="I538" s="109">
        <f t="shared" si="633"/>
        <v>3.2673172102436643E-2</v>
      </c>
      <c r="J538" s="109">
        <f t="shared" si="619"/>
        <v>5.4590341472048269E-2</v>
      </c>
      <c r="K538" s="109">
        <f t="shared" si="620"/>
        <v>7.8755969173123316E-2</v>
      </c>
      <c r="L538" s="111">
        <f t="shared" si="621"/>
        <v>3.0684938282988599E-3</v>
      </c>
      <c r="M538" s="2"/>
      <c r="N538" s="153" t="s">
        <v>299</v>
      </c>
      <c r="O538" s="67">
        <f t="shared" si="622"/>
        <v>799.44049999999993</v>
      </c>
      <c r="P538" s="67">
        <f t="shared" si="623"/>
        <v>197.86986269567998</v>
      </c>
      <c r="Q538" s="67">
        <f>AD538*AD$527*AN538</f>
        <v>104.71206657799999</v>
      </c>
      <c r="R538" s="76">
        <f t="shared" si="625"/>
        <v>318.56255999999996</v>
      </c>
      <c r="S538" s="67">
        <f t="shared" si="626"/>
        <v>532.25437910000016</v>
      </c>
      <c r="T538" s="67">
        <f t="shared" si="627"/>
        <v>767.86860719899994</v>
      </c>
      <c r="U538" s="68">
        <f t="shared" si="628"/>
        <v>29.917733307999999</v>
      </c>
      <c r="V538" s="2"/>
      <c r="W538" s="2"/>
      <c r="X538" s="153" t="s">
        <v>299</v>
      </c>
      <c r="Y538" s="68">
        <v>9749.9734339000024</v>
      </c>
      <c r="Z538" s="2"/>
      <c r="AA538" s="153" t="s">
        <v>299</v>
      </c>
      <c r="AB538" s="219">
        <v>0.2</v>
      </c>
      <c r="AC538" s="219">
        <v>1</v>
      </c>
      <c r="AD538" s="219">
        <v>2</v>
      </c>
      <c r="AE538" s="122">
        <v>1</v>
      </c>
      <c r="AF538" s="219">
        <v>0.1</v>
      </c>
      <c r="AG538" s="219">
        <v>0.5</v>
      </c>
      <c r="AH538" s="54">
        <f t="shared" si="634"/>
        <v>2</v>
      </c>
      <c r="AI538" s="2"/>
      <c r="AJ538" s="2"/>
      <c r="AK538" s="153" t="s">
        <v>299</v>
      </c>
      <c r="AL538" s="67">
        <f t="shared" si="635"/>
        <v>3197.7619999999997</v>
      </c>
      <c r="AM538" s="67">
        <f t="shared" si="629"/>
        <v>70.667808105600002</v>
      </c>
      <c r="AN538" s="67">
        <f t="shared" si="629"/>
        <v>7.4794333269999997</v>
      </c>
      <c r="AO538" s="76">
        <f t="shared" si="636"/>
        <v>2123.7503999999999</v>
      </c>
      <c r="AP538" s="67">
        <f t="shared" si="637"/>
        <v>26612.718955000004</v>
      </c>
      <c r="AQ538" s="67">
        <f t="shared" si="630"/>
        <v>808.28274441999997</v>
      </c>
      <c r="AR538" s="68">
        <f t="shared" si="638"/>
        <v>7.4794333269999997</v>
      </c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</row>
    <row r="539" spans="1:71" x14ac:dyDescent="0.35">
      <c r="A539" s="2"/>
      <c r="B539" s="2"/>
      <c r="C539" s="156" t="s">
        <v>301</v>
      </c>
      <c r="D539" s="112">
        <f t="shared" si="631"/>
        <v>0.83629267161857879</v>
      </c>
      <c r="E539" s="112">
        <f t="shared" si="632"/>
        <v>0.12222508268532312</v>
      </c>
      <c r="F539" s="112">
        <f t="shared" si="617"/>
        <v>2.9152479482710762E-2</v>
      </c>
      <c r="G539" s="112">
        <f t="shared" si="618"/>
        <v>1.2329766213387303E-2</v>
      </c>
      <c r="H539" s="113">
        <f t="shared" si="639"/>
        <v>0.81322400837018816</v>
      </c>
      <c r="I539" s="112">
        <f t="shared" si="633"/>
        <v>4.2530335700679572E-2</v>
      </c>
      <c r="J539" s="112">
        <f t="shared" si="619"/>
        <v>7.6779839283589849E-2</v>
      </c>
      <c r="K539" s="112">
        <f t="shared" si="620"/>
        <v>6.3943026298860312E-2</v>
      </c>
      <c r="L539" s="114">
        <f t="shared" si="621"/>
        <v>3.5227903466820867E-3</v>
      </c>
      <c r="M539" s="2"/>
      <c r="N539" s="156" t="s">
        <v>301</v>
      </c>
      <c r="O539" s="69">
        <f t="shared" si="622"/>
        <v>7108.3912499999997</v>
      </c>
      <c r="P539" s="69">
        <f t="shared" si="623"/>
        <v>1695.4558386695999</v>
      </c>
      <c r="Q539" s="69">
        <f t="shared" si="624"/>
        <v>717.07705439999995</v>
      </c>
      <c r="R539" s="77">
        <f t="shared" si="625"/>
        <v>2473.4879249999999</v>
      </c>
      <c r="S539" s="69">
        <f t="shared" si="626"/>
        <v>4465.3775292999999</v>
      </c>
      <c r="T539" s="69">
        <f t="shared" si="627"/>
        <v>3718.8115455120001</v>
      </c>
      <c r="U539" s="71">
        <f t="shared" si="628"/>
        <v>204.87915839999999</v>
      </c>
      <c r="V539" s="2"/>
      <c r="W539" s="2"/>
      <c r="X539" s="156" t="s">
        <v>301</v>
      </c>
      <c r="Y539" s="71">
        <v>58158.203650399992</v>
      </c>
      <c r="Z539" s="2"/>
      <c r="AA539" s="156" t="s">
        <v>301</v>
      </c>
      <c r="AB539" s="63">
        <v>0.5</v>
      </c>
      <c r="AC539" s="63">
        <v>1</v>
      </c>
      <c r="AD539" s="63">
        <v>3</v>
      </c>
      <c r="AE539" s="128">
        <v>0.5</v>
      </c>
      <c r="AF539" s="63">
        <v>0.25</v>
      </c>
      <c r="AG539" s="63">
        <v>1</v>
      </c>
      <c r="AH539" s="61">
        <f t="shared" si="634"/>
        <v>3</v>
      </c>
      <c r="AI539" s="2"/>
      <c r="AJ539" s="2"/>
      <c r="AK539" s="156" t="s">
        <v>301</v>
      </c>
      <c r="AL539" s="69">
        <f t="shared" si="635"/>
        <v>11373.425999999999</v>
      </c>
      <c r="AM539" s="69">
        <f t="shared" si="629"/>
        <v>605.51994238199995</v>
      </c>
      <c r="AN539" s="69">
        <f t="shared" si="629"/>
        <v>34.146526399999999</v>
      </c>
      <c r="AO539" s="77">
        <f t="shared" si="636"/>
        <v>32979.839</v>
      </c>
      <c r="AP539" s="69">
        <f t="shared" si="637"/>
        <v>89307.550585999998</v>
      </c>
      <c r="AQ539" s="69">
        <f t="shared" si="630"/>
        <v>1957.26923448</v>
      </c>
      <c r="AR539" s="71">
        <f t="shared" si="638"/>
        <v>34.146526399999999</v>
      </c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</row>
    <row r="540" spans="1:71" x14ac:dyDescent="0.35">
      <c r="A540" s="2"/>
      <c r="B540" s="2"/>
      <c r="C540" s="153" t="s">
        <v>303</v>
      </c>
      <c r="D540" s="109">
        <f t="shared" si="631"/>
        <v>0.914669384494608</v>
      </c>
      <c r="E540" s="109">
        <f t="shared" si="632"/>
        <v>2.5621418916945062E-2</v>
      </c>
      <c r="F540" s="109">
        <f t="shared" si="617"/>
        <v>5.1911684186458258E-2</v>
      </c>
      <c r="G540" s="109">
        <f t="shared" si="618"/>
        <v>7.7975124019886832E-3</v>
      </c>
      <c r="H540" s="110">
        <f t="shared" si="639"/>
        <v>0.94097383320371175</v>
      </c>
      <c r="I540" s="109">
        <f t="shared" si="633"/>
        <v>4.36481213306982E-3</v>
      </c>
      <c r="J540" s="109">
        <f t="shared" si="619"/>
        <v>1.7478039502985741E-2</v>
      </c>
      <c r="K540" s="109">
        <f t="shared" si="620"/>
        <v>3.4955454473950216E-2</v>
      </c>
      <c r="L540" s="111">
        <f t="shared" si="621"/>
        <v>2.2278606862824808E-3</v>
      </c>
      <c r="M540" s="2"/>
      <c r="N540" s="153" t="s">
        <v>303</v>
      </c>
      <c r="O540" s="67">
        <f t="shared" si="622"/>
        <v>428.71075000000002</v>
      </c>
      <c r="P540" s="67">
        <f t="shared" si="623"/>
        <v>868.61298093920004</v>
      </c>
      <c r="Q540" s="67">
        <f t="shared" si="624"/>
        <v>130.47198520999999</v>
      </c>
      <c r="R540" s="76">
        <f t="shared" si="625"/>
        <v>73.034279999999995</v>
      </c>
      <c r="S540" s="67">
        <f t="shared" si="626"/>
        <v>292.4515401798858</v>
      </c>
      <c r="T540" s="67">
        <f t="shared" si="627"/>
        <v>584.89263036900002</v>
      </c>
      <c r="U540" s="68">
        <f t="shared" si="628"/>
        <v>37.277710059999997</v>
      </c>
      <c r="V540" s="2"/>
      <c r="W540" s="2"/>
      <c r="X540" s="153" t="s">
        <v>303</v>
      </c>
      <c r="Y540" s="68">
        <v>16732.513971600009</v>
      </c>
      <c r="Z540" s="2"/>
      <c r="AA540" s="153" t="s">
        <v>303</v>
      </c>
      <c r="AB540" s="219">
        <v>5</v>
      </c>
      <c r="AC540" s="219">
        <v>1</v>
      </c>
      <c r="AD540" s="219">
        <v>1</v>
      </c>
      <c r="AE540" s="122">
        <v>1</v>
      </c>
      <c r="AF540" s="219">
        <v>1</v>
      </c>
      <c r="AG540" s="219">
        <v>1</v>
      </c>
      <c r="AH540" s="54">
        <f t="shared" si="634"/>
        <v>1</v>
      </c>
      <c r="AI540" s="2"/>
      <c r="AJ540" s="2"/>
      <c r="AK540" s="153" t="s">
        <v>303</v>
      </c>
      <c r="AL540" s="67">
        <f t="shared" si="635"/>
        <v>68.593720000000005</v>
      </c>
      <c r="AM540" s="67">
        <f t="shared" si="629"/>
        <v>310.21892176400002</v>
      </c>
      <c r="AN540" s="67">
        <f t="shared" si="629"/>
        <v>18.638855029999998</v>
      </c>
      <c r="AO540" s="76">
        <f t="shared" si="636"/>
        <v>486.89519999999999</v>
      </c>
      <c r="AP540" s="67">
        <f t="shared" si="637"/>
        <v>1462.257700899429</v>
      </c>
      <c r="AQ540" s="67">
        <f t="shared" si="630"/>
        <v>307.83822651000003</v>
      </c>
      <c r="AR540" s="68">
        <f t="shared" si="638"/>
        <v>18.638855029999998</v>
      </c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</row>
    <row r="541" spans="1:71" x14ac:dyDescent="0.35">
      <c r="A541" s="2"/>
      <c r="B541" s="2"/>
      <c r="C541" s="153" t="s">
        <v>305</v>
      </c>
      <c r="D541" s="109">
        <f t="shared" si="631"/>
        <v>0.89252966874849415</v>
      </c>
      <c r="E541" s="109">
        <f t="shared" si="632"/>
        <v>6.2500560740524583E-2</v>
      </c>
      <c r="F541" s="109">
        <f t="shared" si="617"/>
        <v>3.3183680195396512E-2</v>
      </c>
      <c r="G541" s="109">
        <f t="shared" si="618"/>
        <v>1.1786090315584778E-2</v>
      </c>
      <c r="H541" s="110">
        <f t="shared" si="639"/>
        <v>0.94265348083258382</v>
      </c>
      <c r="I541" s="109">
        <f t="shared" si="633"/>
        <v>3.2247044249787611E-3</v>
      </c>
      <c r="J541" s="109">
        <f t="shared" si="619"/>
        <v>1.9744999266569481E-2</v>
      </c>
      <c r="K541" s="109">
        <f t="shared" si="620"/>
        <v>3.1009361099986588E-2</v>
      </c>
      <c r="L541" s="111">
        <f t="shared" si="621"/>
        <v>3.3674543758813653E-3</v>
      </c>
      <c r="M541" s="2"/>
      <c r="N541" s="153" t="s">
        <v>305</v>
      </c>
      <c r="O541" s="67">
        <f t="shared" si="622"/>
        <v>1853.87375</v>
      </c>
      <c r="P541" s="67">
        <f t="shared" si="623"/>
        <v>984.28482742799986</v>
      </c>
      <c r="Q541" s="67">
        <f t="shared" si="624"/>
        <v>349.59563869999999</v>
      </c>
      <c r="R541" s="76">
        <f t="shared" si="625"/>
        <v>95.650260000000003</v>
      </c>
      <c r="S541" s="67">
        <f t="shared" si="626"/>
        <v>585.67051879789551</v>
      </c>
      <c r="T541" s="67">
        <f t="shared" si="627"/>
        <v>919.79079653700001</v>
      </c>
      <c r="U541" s="68">
        <f t="shared" si="628"/>
        <v>99.884468200000001</v>
      </c>
      <c r="V541" s="2"/>
      <c r="W541" s="2"/>
      <c r="X541" s="153" t="s">
        <v>305</v>
      </c>
      <c r="Y541" s="68">
        <v>29661.713879599985</v>
      </c>
      <c r="Z541" s="2"/>
      <c r="AA541" s="153" t="s">
        <v>305</v>
      </c>
      <c r="AB541" s="219">
        <v>1</v>
      </c>
      <c r="AC541" s="219">
        <v>1</v>
      </c>
      <c r="AD541" s="219">
        <v>1</v>
      </c>
      <c r="AE541" s="122">
        <v>1</v>
      </c>
      <c r="AF541" s="219">
        <v>1</v>
      </c>
      <c r="AG541" s="219">
        <v>1</v>
      </c>
      <c r="AH541" s="54">
        <f t="shared" si="634"/>
        <v>1</v>
      </c>
      <c r="AI541" s="2"/>
      <c r="AJ541" s="2"/>
      <c r="AK541" s="153" t="s">
        <v>305</v>
      </c>
      <c r="AL541" s="67">
        <f t="shared" si="635"/>
        <v>1483.0989999999999</v>
      </c>
      <c r="AM541" s="67">
        <f t="shared" si="629"/>
        <v>351.53029550999997</v>
      </c>
      <c r="AN541" s="67">
        <f t="shared" si="629"/>
        <v>49.9422341</v>
      </c>
      <c r="AO541" s="76">
        <f t="shared" si="636"/>
        <v>637.66840000000002</v>
      </c>
      <c r="AP541" s="67">
        <f t="shared" si="637"/>
        <v>2928.3525939894776</v>
      </c>
      <c r="AQ541" s="67">
        <f t="shared" si="630"/>
        <v>484.10041923</v>
      </c>
      <c r="AR541" s="68">
        <f t="shared" si="638"/>
        <v>49.9422341</v>
      </c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</row>
    <row r="542" spans="1:71" x14ac:dyDescent="0.35">
      <c r="A542" s="2"/>
      <c r="B542" s="2"/>
      <c r="C542" s="153" t="s">
        <v>307</v>
      </c>
      <c r="D542" s="109">
        <f t="shared" si="631"/>
        <v>0.86942365806214705</v>
      </c>
      <c r="E542" s="109">
        <f t="shared" si="632"/>
        <v>9.9752453509506886E-2</v>
      </c>
      <c r="F542" s="109">
        <f t="shared" si="617"/>
        <v>2.3835700349442088E-2</v>
      </c>
      <c r="G542" s="109">
        <f t="shared" si="618"/>
        <v>6.9881880789040406E-3</v>
      </c>
      <c r="H542" s="110">
        <f t="shared" si="639"/>
        <v>0.94158401362624877</v>
      </c>
      <c r="I542" s="109">
        <f t="shared" si="633"/>
        <v>3.2999277936265107E-3</v>
      </c>
      <c r="J542" s="109">
        <f t="shared" si="619"/>
        <v>3.1210191654997374E-2</v>
      </c>
      <c r="K542" s="109">
        <f t="shared" si="620"/>
        <v>2.190924175972617E-2</v>
      </c>
      <c r="L542" s="111">
        <f t="shared" si="621"/>
        <v>1.9966251654011543E-3</v>
      </c>
      <c r="M542" s="2"/>
      <c r="N542" s="153" t="s">
        <v>307</v>
      </c>
      <c r="O542" s="67">
        <f t="shared" si="622"/>
        <v>4503.5550000000003</v>
      </c>
      <c r="P542" s="67">
        <f t="shared" si="623"/>
        <v>1076.1177666372</v>
      </c>
      <c r="Q542" s="67">
        <f t="shared" si="624"/>
        <v>315.49789761</v>
      </c>
      <c r="R542" s="76">
        <f t="shared" si="625"/>
        <v>148.982865</v>
      </c>
      <c r="S542" s="67">
        <f t="shared" si="626"/>
        <v>1409.0562160000002</v>
      </c>
      <c r="T542" s="67">
        <f t="shared" si="627"/>
        <v>989.14334236219997</v>
      </c>
      <c r="U542" s="68">
        <f t="shared" si="628"/>
        <v>90.142256459999999</v>
      </c>
      <c r="V542" s="2"/>
      <c r="W542" s="2"/>
      <c r="X542" s="153" t="s">
        <v>307</v>
      </c>
      <c r="Y542" s="68">
        <v>45147.310582899998</v>
      </c>
      <c r="Z542" s="2"/>
      <c r="AA542" s="153" t="s">
        <v>307</v>
      </c>
      <c r="AB542" s="219">
        <v>0.6</v>
      </c>
      <c r="AC542" s="219">
        <v>1</v>
      </c>
      <c r="AD542" s="219">
        <v>1</v>
      </c>
      <c r="AE542" s="122">
        <v>1</v>
      </c>
      <c r="AF542" s="219">
        <v>1</v>
      </c>
      <c r="AG542" s="219">
        <v>1</v>
      </c>
      <c r="AH542" s="54">
        <f t="shared" si="634"/>
        <v>1</v>
      </c>
      <c r="AI542" s="2"/>
      <c r="AJ542" s="2"/>
      <c r="AK542" s="153" t="s">
        <v>307</v>
      </c>
      <c r="AL542" s="67">
        <f t="shared" si="635"/>
        <v>6004.74</v>
      </c>
      <c r="AM542" s="67">
        <f t="shared" si="629"/>
        <v>384.327773799</v>
      </c>
      <c r="AN542" s="67">
        <f t="shared" si="629"/>
        <v>45.071128229999999</v>
      </c>
      <c r="AO542" s="76">
        <f t="shared" si="636"/>
        <v>993.21910000000003</v>
      </c>
      <c r="AP542" s="67">
        <f t="shared" si="637"/>
        <v>7045.2810800000007</v>
      </c>
      <c r="AQ542" s="67">
        <f t="shared" si="630"/>
        <v>520.60175913800003</v>
      </c>
      <c r="AR542" s="68">
        <f t="shared" si="638"/>
        <v>45.071128229999999</v>
      </c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</row>
    <row r="543" spans="1:71" x14ac:dyDescent="0.35">
      <c r="A543" s="2"/>
      <c r="B543" s="2"/>
      <c r="C543" s="153" t="s">
        <v>309</v>
      </c>
      <c r="D543" s="109">
        <f t="shared" si="631"/>
        <v>0.86475116885279235</v>
      </c>
      <c r="E543" s="109">
        <f t="shared" si="632"/>
        <v>0.1009922401205242</v>
      </c>
      <c r="F543" s="109">
        <f t="shared" si="617"/>
        <v>2.3130302210454829E-2</v>
      </c>
      <c r="G543" s="109">
        <f t="shared" si="618"/>
        <v>1.1126288816228621E-2</v>
      </c>
      <c r="H543" s="110">
        <f t="shared" si="639"/>
        <v>0.87198681505785025</v>
      </c>
      <c r="I543" s="109">
        <f t="shared" si="633"/>
        <v>1.2985880784928428E-2</v>
      </c>
      <c r="J543" s="109">
        <f t="shared" si="619"/>
        <v>7.9204958046272381E-2</v>
      </c>
      <c r="K543" s="109">
        <f t="shared" si="620"/>
        <v>3.2643406449169292E-2</v>
      </c>
      <c r="L543" s="111">
        <f t="shared" si="621"/>
        <v>3.1789396617796055E-3</v>
      </c>
      <c r="M543" s="2"/>
      <c r="N543" s="153" t="s">
        <v>309</v>
      </c>
      <c r="O543" s="67">
        <f t="shared" si="622"/>
        <v>6987.5784999999996</v>
      </c>
      <c r="P543" s="67">
        <f t="shared" si="623"/>
        <v>1600.3685256549759</v>
      </c>
      <c r="Q543" s="67">
        <f t="shared" si="624"/>
        <v>769.81970520000004</v>
      </c>
      <c r="R543" s="76">
        <f t="shared" si="625"/>
        <v>898.48349999999994</v>
      </c>
      <c r="S543" s="67">
        <f t="shared" si="626"/>
        <v>5480.1325456000013</v>
      </c>
      <c r="T543" s="67">
        <f t="shared" si="627"/>
        <v>2258.573181452</v>
      </c>
      <c r="U543" s="68">
        <f t="shared" si="628"/>
        <v>219.94848719999999</v>
      </c>
      <c r="V543" s="2"/>
      <c r="W543" s="2"/>
      <c r="X543" s="153" t="s">
        <v>309</v>
      </c>
      <c r="Y543" s="68">
        <v>69189.26138940001</v>
      </c>
      <c r="Z543" s="2"/>
      <c r="AA543" s="153" t="s">
        <v>309</v>
      </c>
      <c r="AB543" s="219">
        <v>0.4</v>
      </c>
      <c r="AC543" s="219">
        <v>0.7</v>
      </c>
      <c r="AD543" s="219">
        <v>10</v>
      </c>
      <c r="AE543" s="122">
        <v>1</v>
      </c>
      <c r="AF543" s="219">
        <v>1</v>
      </c>
      <c r="AG543" s="219">
        <v>1</v>
      </c>
      <c r="AH543" s="54">
        <f t="shared" si="634"/>
        <v>10</v>
      </c>
      <c r="AI543" s="2"/>
      <c r="AJ543" s="2"/>
      <c r="AK543" s="153" t="s">
        <v>309</v>
      </c>
      <c r="AL543" s="67">
        <f t="shared" si="635"/>
        <v>13975.156999999999</v>
      </c>
      <c r="AM543" s="67">
        <f t="shared" si="629"/>
        <v>816.5145539056</v>
      </c>
      <c r="AN543" s="67">
        <f t="shared" si="629"/>
        <v>10.99742436</v>
      </c>
      <c r="AO543" s="76">
        <f t="shared" si="636"/>
        <v>5989.8899999999994</v>
      </c>
      <c r="AP543" s="67">
        <f t="shared" si="637"/>
        <v>27400.662728000003</v>
      </c>
      <c r="AQ543" s="67">
        <f t="shared" si="630"/>
        <v>1188.7227270800001</v>
      </c>
      <c r="AR543" s="68">
        <f t="shared" si="638"/>
        <v>10.99742436</v>
      </c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</row>
    <row r="544" spans="1:71" x14ac:dyDescent="0.35">
      <c r="A544" s="2"/>
      <c r="B544" s="2"/>
      <c r="C544" s="153" t="s">
        <v>311</v>
      </c>
      <c r="D544" s="109">
        <f t="shared" si="631"/>
        <v>0.83594296626287545</v>
      </c>
      <c r="E544" s="109">
        <f t="shared" si="632"/>
        <v>0.11119387728582068</v>
      </c>
      <c r="F544" s="109">
        <f t="shared" si="617"/>
        <v>3.5210294547434705E-2</v>
      </c>
      <c r="G544" s="109">
        <f t="shared" si="618"/>
        <v>1.7652861903869131E-2</v>
      </c>
      <c r="H544" s="110">
        <f t="shared" si="639"/>
        <v>0.67037987677491961</v>
      </c>
      <c r="I544" s="109">
        <f t="shared" si="633"/>
        <v>6.1444045315626396E-2</v>
      </c>
      <c r="J544" s="109">
        <f t="shared" si="619"/>
        <v>9.728850776996549E-2</v>
      </c>
      <c r="K544" s="109">
        <f t="shared" si="620"/>
        <v>0.1658438953098117</v>
      </c>
      <c r="L544" s="111">
        <f t="shared" si="621"/>
        <v>5.0436748296768946E-3</v>
      </c>
      <c r="M544" s="2"/>
      <c r="N544" s="153" t="s">
        <v>311</v>
      </c>
      <c r="O544" s="67">
        <f t="shared" si="622"/>
        <v>37186.485000000001</v>
      </c>
      <c r="P544" s="67">
        <f t="shared" si="623"/>
        <v>11775.352402435999</v>
      </c>
      <c r="Q544" s="67">
        <f t="shared" si="624"/>
        <v>5903.6333691999998</v>
      </c>
      <c r="R544" s="76">
        <f t="shared" si="625"/>
        <v>20548.685999999998</v>
      </c>
      <c r="S544" s="67">
        <f t="shared" si="626"/>
        <v>32536.122700000004</v>
      </c>
      <c r="T544" s="67">
        <f t="shared" si="627"/>
        <v>55463.049547479997</v>
      </c>
      <c r="U544" s="68">
        <f t="shared" si="628"/>
        <v>1686.7523911999999</v>
      </c>
      <c r="V544" s="2"/>
      <c r="W544" s="2"/>
      <c r="X544" s="153" t="s">
        <v>311</v>
      </c>
      <c r="Y544" s="68">
        <v>334429.25013230002</v>
      </c>
      <c r="Z544" s="2"/>
      <c r="AA544" s="153" t="s">
        <v>311</v>
      </c>
      <c r="AB544" s="219">
        <v>0.06</v>
      </c>
      <c r="AC544" s="219">
        <v>1</v>
      </c>
      <c r="AD544" s="219">
        <v>1</v>
      </c>
      <c r="AE544" s="122">
        <v>1</v>
      </c>
      <c r="AF544" s="219">
        <v>0.5</v>
      </c>
      <c r="AG544" s="219">
        <v>1</v>
      </c>
      <c r="AH544" s="54">
        <f t="shared" si="634"/>
        <v>1</v>
      </c>
      <c r="AI544" s="2"/>
      <c r="AJ544" s="2"/>
      <c r="AK544" s="153" t="s">
        <v>311</v>
      </c>
      <c r="AL544" s="67">
        <f t="shared" si="635"/>
        <v>495819.80000000005</v>
      </c>
      <c r="AM544" s="67">
        <f t="shared" si="629"/>
        <v>4205.4830008700001</v>
      </c>
      <c r="AN544" s="67">
        <f t="shared" si="629"/>
        <v>843.37619559999996</v>
      </c>
      <c r="AO544" s="76">
        <f t="shared" si="636"/>
        <v>136991.24</v>
      </c>
      <c r="AP544" s="67">
        <f t="shared" si="637"/>
        <v>325361.22700000001</v>
      </c>
      <c r="AQ544" s="67">
        <f t="shared" si="630"/>
        <v>29191.078709199999</v>
      </c>
      <c r="AR544" s="68">
        <f t="shared" si="638"/>
        <v>843.37619559999996</v>
      </c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</row>
    <row r="545" spans="1:71" x14ac:dyDescent="0.35">
      <c r="A545" s="2"/>
      <c r="B545" s="2"/>
      <c r="C545" s="116" t="s">
        <v>322</v>
      </c>
      <c r="D545" s="148">
        <f t="shared" si="631"/>
        <v>0.90265093385441819</v>
      </c>
      <c r="E545" s="148">
        <f t="shared" si="632"/>
        <v>0</v>
      </c>
      <c r="F545" s="148">
        <f>P545/$Y545</f>
        <v>8.2188506441782924E-2</v>
      </c>
      <c r="G545" s="148">
        <f t="shared" si="618"/>
        <v>1.5160559703798865E-2</v>
      </c>
      <c r="H545" s="149">
        <f t="shared" si="639"/>
        <v>0.97685772945688631</v>
      </c>
      <c r="I545" s="148">
        <f t="shared" si="633"/>
        <v>0</v>
      </c>
      <c r="J545" s="148">
        <f t="shared" si="619"/>
        <v>0</v>
      </c>
      <c r="K545" s="148">
        <f t="shared" si="620"/>
        <v>1.881068205631397E-2</v>
      </c>
      <c r="L545" s="150">
        <f t="shared" si="621"/>
        <v>4.331588486799676E-3</v>
      </c>
      <c r="M545" s="2"/>
      <c r="N545" s="116" t="s">
        <v>322</v>
      </c>
      <c r="O545" s="73">
        <f t="shared" si="622"/>
        <v>0</v>
      </c>
      <c r="P545" s="73">
        <f>AC545*AC$527*AM545</f>
        <v>562.06315026399989</v>
      </c>
      <c r="Q545" s="73">
        <f t="shared" si="624"/>
        <v>103.6786324</v>
      </c>
      <c r="R545" s="72">
        <f t="shared" si="625"/>
        <v>0</v>
      </c>
      <c r="S545" s="73">
        <f t="shared" si="626"/>
        <v>0</v>
      </c>
      <c r="T545" s="73">
        <f t="shared" si="627"/>
        <v>128.6407512792</v>
      </c>
      <c r="U545" s="75">
        <f t="shared" si="628"/>
        <v>29.6224664</v>
      </c>
      <c r="V545" s="2"/>
      <c r="W545" s="2"/>
      <c r="X545" s="116" t="s">
        <v>322</v>
      </c>
      <c r="Y545" s="75">
        <v>6838.7074373000005</v>
      </c>
      <c r="Z545" s="2"/>
      <c r="AA545" s="116" t="s">
        <v>322</v>
      </c>
      <c r="AB545" s="124">
        <v>1</v>
      </c>
      <c r="AC545" s="124">
        <v>1.1000000000000001</v>
      </c>
      <c r="AD545" s="124">
        <v>1</v>
      </c>
      <c r="AE545" s="125">
        <v>1</v>
      </c>
      <c r="AF545" s="124">
        <v>1</v>
      </c>
      <c r="AG545" s="124">
        <v>4</v>
      </c>
      <c r="AH545" s="126">
        <f t="shared" si="634"/>
        <v>1</v>
      </c>
      <c r="AI545" s="2"/>
      <c r="AJ545" s="2"/>
      <c r="AK545" s="116" t="s">
        <v>322</v>
      </c>
      <c r="AL545" s="73">
        <f t="shared" si="635"/>
        <v>0</v>
      </c>
      <c r="AM545" s="73">
        <f t="shared" si="629"/>
        <v>182.48803579999998</v>
      </c>
      <c r="AN545" s="73">
        <f t="shared" si="629"/>
        <v>14.8112332</v>
      </c>
      <c r="AO545" s="72">
        <f t="shared" si="636"/>
        <v>0</v>
      </c>
      <c r="AP545" s="73">
        <f t="shared" si="637"/>
        <v>0</v>
      </c>
      <c r="AQ545" s="73">
        <f t="shared" si="630"/>
        <v>16.926414642000001</v>
      </c>
      <c r="AR545" s="75">
        <f t="shared" si="638"/>
        <v>14.8112332</v>
      </c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</row>
    <row r="546" spans="1:71" x14ac:dyDescent="0.35">
      <c r="A546" s="2"/>
      <c r="B546" s="2"/>
      <c r="C546" s="153" t="s">
        <v>323</v>
      </c>
      <c r="D546" s="109">
        <f t="shared" si="631"/>
        <v>0.86611943787015533</v>
      </c>
      <c r="E546" s="109">
        <f t="shared" si="632"/>
        <v>4.9108670715699063E-2</v>
      </c>
      <c r="F546" s="109">
        <f t="shared" si="617"/>
        <v>7.5602669954876509E-2</v>
      </c>
      <c r="G546" s="109">
        <f t="shared" si="618"/>
        <v>9.169221459269036E-3</v>
      </c>
      <c r="H546" s="110">
        <f t="shared" si="639"/>
        <v>0.87555708433607282</v>
      </c>
      <c r="I546" s="109">
        <f t="shared" si="633"/>
        <v>1.5934703090258372E-2</v>
      </c>
      <c r="J546" s="109">
        <f t="shared" si="619"/>
        <v>5.4598760894415038E-2</v>
      </c>
      <c r="K546" s="109">
        <f t="shared" si="620"/>
        <v>5.1289674119462593E-2</v>
      </c>
      <c r="L546" s="111">
        <f t="shared" si="621"/>
        <v>2.6197775597911533E-3</v>
      </c>
      <c r="M546" s="2"/>
      <c r="N546" s="153" t="s">
        <v>323</v>
      </c>
      <c r="O546" s="67">
        <f t="shared" si="622"/>
        <v>947.89575000000002</v>
      </c>
      <c r="P546" s="67">
        <f t="shared" si="623"/>
        <v>1459.2830246567999</v>
      </c>
      <c r="Q546" s="67">
        <f t="shared" si="624"/>
        <v>176.98434768000001</v>
      </c>
      <c r="R546" s="76">
        <f t="shared" si="625"/>
        <v>307.57170000000002</v>
      </c>
      <c r="S546" s="67">
        <f t="shared" si="626"/>
        <v>1053.8654916297198</v>
      </c>
      <c r="T546" s="67">
        <f t="shared" si="627"/>
        <v>989.99348604199986</v>
      </c>
      <c r="U546" s="68">
        <f t="shared" si="628"/>
        <v>50.566956480000002</v>
      </c>
      <c r="V546" s="2"/>
      <c r="W546" s="2"/>
      <c r="X546" s="153" t="s">
        <v>323</v>
      </c>
      <c r="Y546" s="68">
        <v>19302.003825100008</v>
      </c>
      <c r="Z546" s="2"/>
      <c r="AA546" s="153" t="s">
        <v>323</v>
      </c>
      <c r="AB546" s="219">
        <v>1</v>
      </c>
      <c r="AC546" s="219">
        <v>1</v>
      </c>
      <c r="AD546" s="219">
        <v>1</v>
      </c>
      <c r="AE546" s="122">
        <v>1</v>
      </c>
      <c r="AF546" s="219">
        <v>1</v>
      </c>
      <c r="AG546" s="219">
        <v>1</v>
      </c>
      <c r="AH546" s="54">
        <f t="shared" si="634"/>
        <v>1</v>
      </c>
      <c r="AI546" s="2"/>
      <c r="AJ546" s="2"/>
      <c r="AK546" s="153" t="s">
        <v>323</v>
      </c>
      <c r="AL546" s="67">
        <f t="shared" si="635"/>
        <v>758.31659999999999</v>
      </c>
      <c r="AM546" s="67">
        <f t="shared" si="629"/>
        <v>521.172508806</v>
      </c>
      <c r="AN546" s="67">
        <f t="shared" si="629"/>
        <v>25.283478240000001</v>
      </c>
      <c r="AO546" s="76">
        <f t="shared" si="636"/>
        <v>2050.4780000000001</v>
      </c>
      <c r="AP546" s="67">
        <f t="shared" si="637"/>
        <v>5269.3274581485994</v>
      </c>
      <c r="AQ546" s="67">
        <f t="shared" si="630"/>
        <v>521.04920317999995</v>
      </c>
      <c r="AR546" s="68">
        <f t="shared" si="638"/>
        <v>25.283478240000001</v>
      </c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</row>
    <row r="547" spans="1:71" x14ac:dyDescent="0.35">
      <c r="A547" s="2"/>
      <c r="B547" s="2"/>
      <c r="C547" s="153" t="s">
        <v>324</v>
      </c>
      <c r="D547" s="109">
        <f t="shared" si="631"/>
        <v>0.91282703567347412</v>
      </c>
      <c r="E547" s="109">
        <f t="shared" si="632"/>
        <v>5.0360306019337962E-2</v>
      </c>
      <c r="F547" s="109">
        <f t="shared" si="617"/>
        <v>3.0651973071951832E-2</v>
      </c>
      <c r="G547" s="109">
        <f t="shared" si="618"/>
        <v>6.1606852352360571E-3</v>
      </c>
      <c r="H547" s="110">
        <f t="shared" si="639"/>
        <v>0.92266605284752035</v>
      </c>
      <c r="I547" s="109">
        <f t="shared" si="633"/>
        <v>7.106434695231788E-3</v>
      </c>
      <c r="J547" s="109">
        <f t="shared" si="619"/>
        <v>3.2990566386934629E-2</v>
      </c>
      <c r="K547" s="109">
        <f t="shared" si="620"/>
        <v>3.5476750288817228E-2</v>
      </c>
      <c r="L547" s="111">
        <f t="shared" si="621"/>
        <v>1.7601957814960163E-3</v>
      </c>
      <c r="M547" s="2"/>
      <c r="N547" s="153" t="s">
        <v>324</v>
      </c>
      <c r="O547" s="67">
        <f t="shared" si="622"/>
        <v>1645.6725000000001</v>
      </c>
      <c r="P547" s="67">
        <f t="shared" si="623"/>
        <v>1001.644214312</v>
      </c>
      <c r="Q547" s="67">
        <f t="shared" si="624"/>
        <v>201.31867882</v>
      </c>
      <c r="R547" s="76">
        <f t="shared" si="625"/>
        <v>232.22385</v>
      </c>
      <c r="S547" s="67">
        <f t="shared" si="626"/>
        <v>1078.0646932835377</v>
      </c>
      <c r="T547" s="67">
        <f t="shared" si="627"/>
        <v>1159.3081328229998</v>
      </c>
      <c r="U547" s="68">
        <f t="shared" si="628"/>
        <v>57.519622519999999</v>
      </c>
      <c r="V547" s="2"/>
      <c r="W547" s="2"/>
      <c r="X547" s="153" t="s">
        <v>324</v>
      </c>
      <c r="Y547" s="68">
        <v>32677.968624099998</v>
      </c>
      <c r="Z547" s="2"/>
      <c r="AA547" s="153" t="s">
        <v>324</v>
      </c>
      <c r="AB547" s="219">
        <v>1</v>
      </c>
      <c r="AC547" s="219">
        <v>1</v>
      </c>
      <c r="AD547" s="219">
        <v>1</v>
      </c>
      <c r="AE547" s="122">
        <v>1</v>
      </c>
      <c r="AF547" s="219">
        <v>1</v>
      </c>
      <c r="AG547" s="219">
        <v>1</v>
      </c>
      <c r="AH547" s="54">
        <f t="shared" si="634"/>
        <v>1</v>
      </c>
      <c r="AI547" s="2"/>
      <c r="AJ547" s="2"/>
      <c r="AK547" s="153" t="s">
        <v>324</v>
      </c>
      <c r="AL547" s="67">
        <f t="shared" si="635"/>
        <v>1316.538</v>
      </c>
      <c r="AM547" s="67">
        <f t="shared" si="629"/>
        <v>357.73007654000003</v>
      </c>
      <c r="AN547" s="67">
        <f t="shared" si="629"/>
        <v>28.759811259999999</v>
      </c>
      <c r="AO547" s="76">
        <f t="shared" si="636"/>
        <v>1548.1590000000001</v>
      </c>
      <c r="AP547" s="67">
        <f t="shared" si="637"/>
        <v>5390.3234664176889</v>
      </c>
      <c r="AQ547" s="67">
        <f t="shared" si="630"/>
        <v>610.16217516999995</v>
      </c>
      <c r="AR547" s="68">
        <f t="shared" si="638"/>
        <v>28.759811259999999</v>
      </c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</row>
    <row r="548" spans="1:71" x14ac:dyDescent="0.35">
      <c r="A548" s="2"/>
      <c r="B548" s="2"/>
      <c r="C548" s="153" t="s">
        <v>325</v>
      </c>
      <c r="D548" s="109">
        <f t="shared" si="631"/>
        <v>0.86927775442272937</v>
      </c>
      <c r="E548" s="109">
        <f t="shared" si="632"/>
        <v>9.4273439986703622E-2</v>
      </c>
      <c r="F548" s="109">
        <f t="shared" si="617"/>
        <v>3.1427082302809974E-2</v>
      </c>
      <c r="G548" s="109">
        <f t="shared" si="618"/>
        <v>5.0217232877570748E-3</v>
      </c>
      <c r="H548" s="110">
        <f t="shared" si="639"/>
        <v>0.82200713481086862</v>
      </c>
      <c r="I548" s="109">
        <f t="shared" si="633"/>
        <v>1.2140779518664447E-2</v>
      </c>
      <c r="J548" s="109">
        <f t="shared" si="619"/>
        <v>3.8035201945267424E-2</v>
      </c>
      <c r="K548" s="109">
        <f t="shared" si="620"/>
        <v>0.12638210564298313</v>
      </c>
      <c r="L548" s="111">
        <f t="shared" si="621"/>
        <v>1.4347780822163072E-3</v>
      </c>
      <c r="M548" s="2"/>
      <c r="N548" s="153" t="s">
        <v>325</v>
      </c>
      <c r="O548" s="67">
        <f t="shared" si="622"/>
        <v>8327.1387500000001</v>
      </c>
      <c r="P548" s="67">
        <f t="shared" si="623"/>
        <v>2775.9427775211993</v>
      </c>
      <c r="Q548" s="67">
        <f t="shared" si="624"/>
        <v>443.56699603999999</v>
      </c>
      <c r="R548" s="76">
        <f t="shared" si="625"/>
        <v>1072.3906499999998</v>
      </c>
      <c r="S548" s="67">
        <f t="shared" si="626"/>
        <v>3359.6355880000006</v>
      </c>
      <c r="T548" s="67">
        <f t="shared" si="627"/>
        <v>11163.285537842999</v>
      </c>
      <c r="U548" s="68">
        <f t="shared" si="628"/>
        <v>126.73342744</v>
      </c>
      <c r="V548" s="2"/>
      <c r="W548" s="2"/>
      <c r="X548" s="153" t="s">
        <v>325</v>
      </c>
      <c r="Y548" s="68">
        <v>88329.637182799997</v>
      </c>
      <c r="Z548" s="2"/>
      <c r="AA548" s="153" t="s">
        <v>325</v>
      </c>
      <c r="AB548" s="219">
        <v>0.7</v>
      </c>
      <c r="AC548" s="219">
        <v>1</v>
      </c>
      <c r="AD548" s="219">
        <v>8</v>
      </c>
      <c r="AE548" s="122">
        <v>1</v>
      </c>
      <c r="AF548" s="219">
        <v>1</v>
      </c>
      <c r="AG548" s="219">
        <v>1</v>
      </c>
      <c r="AH548" s="54">
        <f t="shared" si="634"/>
        <v>8</v>
      </c>
      <c r="AI548" s="2"/>
      <c r="AJ548" s="2"/>
      <c r="AK548" s="153" t="s">
        <v>325</v>
      </c>
      <c r="AL548" s="67">
        <f t="shared" si="635"/>
        <v>9516.73</v>
      </c>
      <c r="AM548" s="67">
        <f t="shared" si="629"/>
        <v>991.40813482899989</v>
      </c>
      <c r="AN548" s="67">
        <f t="shared" si="629"/>
        <v>7.920839215</v>
      </c>
      <c r="AO548" s="76">
        <f t="shared" si="636"/>
        <v>7149.2709999999997</v>
      </c>
      <c r="AP548" s="67">
        <f t="shared" si="637"/>
        <v>16798.177940000001</v>
      </c>
      <c r="AQ548" s="67">
        <f t="shared" si="630"/>
        <v>5875.41344097</v>
      </c>
      <c r="AR548" s="68">
        <f t="shared" si="638"/>
        <v>7.920839215</v>
      </c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</row>
    <row r="549" spans="1:71" x14ac:dyDescent="0.35">
      <c r="A549" s="2"/>
      <c r="B549" s="2"/>
      <c r="C549" s="156" t="s">
        <v>326</v>
      </c>
      <c r="D549" s="112">
        <f>1-SUM(E549:G549)</f>
        <v>0.81610024784293789</v>
      </c>
      <c r="E549" s="112">
        <f>O549/$Y549</f>
        <v>9.998170044618114E-2</v>
      </c>
      <c r="F549" s="112">
        <f t="shared" si="617"/>
        <v>2.9759089833709246E-2</v>
      </c>
      <c r="G549" s="112">
        <f t="shared" si="618"/>
        <v>5.4158961877171702E-2</v>
      </c>
      <c r="H549" s="113">
        <f t="shared" si="639"/>
        <v>0.57144255613799322</v>
      </c>
      <c r="I549" s="112">
        <f t="shared" si="633"/>
        <v>6.8843306958429162E-2</v>
      </c>
      <c r="J549" s="112">
        <f t="shared" si="619"/>
        <v>0.11684937502748183</v>
      </c>
      <c r="K549" s="112">
        <f>T549/$Y549</f>
        <v>0.22739077276833242</v>
      </c>
      <c r="L549" s="114">
        <f t="shared" si="621"/>
        <v>1.5473989107763342E-2</v>
      </c>
      <c r="M549" s="2"/>
      <c r="N549" s="156" t="s">
        <v>326</v>
      </c>
      <c r="O549" s="69">
        <f>AB549*AB$527*AL549</f>
        <v>109317.24374999999</v>
      </c>
      <c r="P549" s="69">
        <f t="shared" si="623"/>
        <v>32537.771038219998</v>
      </c>
      <c r="Q549" s="69">
        <f t="shared" si="624"/>
        <v>59215.920616999996</v>
      </c>
      <c r="R549" s="77">
        <f t="shared" si="625"/>
        <v>75271.38</v>
      </c>
      <c r="S549" s="69">
        <f t="shared" si="626"/>
        <v>127759.89560999999</v>
      </c>
      <c r="T549" s="69">
        <f>AG549*AG$527*AQ549</f>
        <v>248622.82219932089</v>
      </c>
      <c r="U549" s="71">
        <f t="shared" si="628"/>
        <v>16918.834461999999</v>
      </c>
      <c r="V549" s="2"/>
      <c r="W549" s="2"/>
      <c r="X549" s="156" t="s">
        <v>326</v>
      </c>
      <c r="Y549" s="71">
        <v>1093372.5197927</v>
      </c>
      <c r="Z549" s="2"/>
      <c r="AA549" s="156" t="s">
        <v>326</v>
      </c>
      <c r="AB549" s="63">
        <v>0.05</v>
      </c>
      <c r="AC549" s="63">
        <v>1</v>
      </c>
      <c r="AD549" s="63">
        <v>1</v>
      </c>
      <c r="AE549" s="128">
        <v>1</v>
      </c>
      <c r="AF549" s="63">
        <v>1</v>
      </c>
      <c r="AG549" s="63">
        <v>1</v>
      </c>
      <c r="AH549" s="61">
        <f t="shared" si="634"/>
        <v>1</v>
      </c>
      <c r="AI549" s="2"/>
      <c r="AJ549" s="2"/>
      <c r="AK549" s="156" t="s">
        <v>326</v>
      </c>
      <c r="AL549" s="69">
        <f t="shared" si="635"/>
        <v>1749075.9</v>
      </c>
      <c r="AM549" s="69">
        <f t="shared" si="629"/>
        <v>11620.63251365</v>
      </c>
      <c r="AN549" s="69">
        <f t="shared" si="629"/>
        <v>8459.4172309999994</v>
      </c>
      <c r="AO549" s="77">
        <f t="shared" si="636"/>
        <v>501809.2</v>
      </c>
      <c r="AP549" s="69">
        <f t="shared" si="637"/>
        <v>638799.47804999992</v>
      </c>
      <c r="AQ549" s="69">
        <f t="shared" si="630"/>
        <v>130854.116947011</v>
      </c>
      <c r="AR549" s="71">
        <f t="shared" si="638"/>
        <v>8459.4172309999994</v>
      </c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</row>
    <row r="550" spans="1:71" x14ac:dyDescent="0.35">
      <c r="A550" s="2"/>
      <c r="B550" s="2"/>
      <c r="C550" s="81" t="s">
        <v>713</v>
      </c>
      <c r="D550" s="169">
        <f t="shared" si="631"/>
        <v>0.90201429155769053</v>
      </c>
      <c r="E550" s="169">
        <f t="shared" si="632"/>
        <v>4.6534392300921275E-2</v>
      </c>
      <c r="F550" s="169">
        <f t="shared" si="617"/>
        <v>3.5123900553423452E-2</v>
      </c>
      <c r="G550" s="169">
        <f t="shared" si="618"/>
        <v>1.6327415587964772E-2</v>
      </c>
      <c r="H550" s="174">
        <f t="shared" si="639"/>
        <v>0.93683131209663806</v>
      </c>
      <c r="I550" s="169">
        <f t="shared" si="633"/>
        <v>7.3063192562482539E-3</v>
      </c>
      <c r="J550" s="169">
        <f t="shared" si="619"/>
        <v>1.4338012046106956E-2</v>
      </c>
      <c r="K550" s="169">
        <f t="shared" si="620"/>
        <v>3.6859380718731051E-2</v>
      </c>
      <c r="L550" s="181">
        <f t="shared" si="621"/>
        <v>4.6649758822756501E-3</v>
      </c>
      <c r="M550" s="2"/>
      <c r="N550" s="81" t="s">
        <v>713</v>
      </c>
      <c r="O550" s="190">
        <f t="shared" ref="O550:U550" si="641">SUM(O530:O534)</f>
        <v>123583.5215375</v>
      </c>
      <c r="P550" s="190">
        <f t="shared" si="641"/>
        <v>93280.15486814639</v>
      </c>
      <c r="Q550" s="190">
        <f t="shared" si="641"/>
        <v>43361.466996679999</v>
      </c>
      <c r="R550" s="191">
        <f t="shared" si="641"/>
        <v>19403.727404999998</v>
      </c>
      <c r="S550" s="190">
        <f t="shared" si="641"/>
        <v>38078.116698000005</v>
      </c>
      <c r="T550" s="190">
        <f t="shared" si="641"/>
        <v>97889.149200773551</v>
      </c>
      <c r="U550" s="185">
        <f t="shared" si="641"/>
        <v>12388.99057048</v>
      </c>
      <c r="V550" s="2"/>
      <c r="W550" s="2"/>
      <c r="X550" s="81" t="s">
        <v>713</v>
      </c>
      <c r="Y550" s="185">
        <f>SUM(Y530:Y534)</f>
        <v>2655745.8994699996</v>
      </c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</row>
    <row r="551" spans="1:71" x14ac:dyDescent="0.35">
      <c r="A551" s="2"/>
      <c r="B551" s="2"/>
      <c r="C551" s="81" t="s">
        <v>753</v>
      </c>
      <c r="D551" s="169">
        <f t="shared" si="631"/>
        <v>0.84785519617969773</v>
      </c>
      <c r="E551" s="169">
        <f t="shared" si="632"/>
        <v>0.1099209847748855</v>
      </c>
      <c r="F551" s="169">
        <f t="shared" si="617"/>
        <v>2.9097272094079526E-2</v>
      </c>
      <c r="G551" s="169">
        <f t="shared" si="618"/>
        <v>1.3126546951337243E-2</v>
      </c>
      <c r="H551" s="174">
        <f t="shared" si="639"/>
        <v>0.82443312453098605</v>
      </c>
      <c r="I551" s="169">
        <f t="shared" si="633"/>
        <v>3.8065797021796549E-2</v>
      </c>
      <c r="J551" s="169">
        <f t="shared" si="619"/>
        <v>7.0690784119501207E-2</v>
      </c>
      <c r="K551" s="169">
        <f t="shared" si="620"/>
        <v>6.3059852341619829E-2</v>
      </c>
      <c r="L551" s="181">
        <f t="shared" si="621"/>
        <v>3.7504419860963549E-3</v>
      </c>
      <c r="M551" s="2"/>
      <c r="N551" s="81" t="s">
        <v>753</v>
      </c>
      <c r="O551" s="190">
        <f t="shared" ref="O551:U551" si="642">SUM(O535:O539)</f>
        <v>8129.7285499999998</v>
      </c>
      <c r="P551" s="190">
        <f t="shared" si="642"/>
        <v>2152.0269687795198</v>
      </c>
      <c r="Q551" s="190">
        <f t="shared" si="642"/>
        <v>970.83613044179992</v>
      </c>
      <c r="R551" s="191">
        <f t="shared" si="642"/>
        <v>2815.3368299999997</v>
      </c>
      <c r="S551" s="190">
        <f t="shared" si="642"/>
        <v>5228.2727183999996</v>
      </c>
      <c r="T551" s="190">
        <f t="shared" si="642"/>
        <v>4663.8909120979997</v>
      </c>
      <c r="U551" s="185">
        <f t="shared" si="642"/>
        <v>277.38175155479996</v>
      </c>
      <c r="V551" s="2"/>
      <c r="W551" s="2"/>
      <c r="X551" s="81" t="s">
        <v>753</v>
      </c>
      <c r="Y551" s="185">
        <f>SUM(Y535:Y539)</f>
        <v>73959.749966299991</v>
      </c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</row>
    <row r="552" spans="1:71" x14ac:dyDescent="0.35">
      <c r="A552" s="2"/>
      <c r="B552" s="2"/>
      <c r="C552" s="81" t="s">
        <v>599</v>
      </c>
      <c r="D552" s="169">
        <f t="shared" si="631"/>
        <v>0.84907110719920476</v>
      </c>
      <c r="E552" s="169">
        <f t="shared" si="632"/>
        <v>0.10291662868308725</v>
      </c>
      <c r="F552" s="169">
        <f t="shared" si="617"/>
        <v>3.2928214835891548E-2</v>
      </c>
      <c r="G552" s="169">
        <f t="shared" si="618"/>
        <v>1.5084049281816485E-2</v>
      </c>
      <c r="H552" s="174">
        <f t="shared" si="639"/>
        <v>0.74873230332696661</v>
      </c>
      <c r="I552" s="169">
        <f t="shared" si="633"/>
        <v>4.3955155321885951E-2</v>
      </c>
      <c r="J552" s="169">
        <f t="shared" si="619"/>
        <v>8.1394760187489756E-2</v>
      </c>
      <c r="K552" s="169">
        <f t="shared" si="620"/>
        <v>0.12160805279742434</v>
      </c>
      <c r="L552" s="181">
        <f t="shared" si="621"/>
        <v>4.3097283662332812E-3</v>
      </c>
      <c r="M552" s="2"/>
      <c r="N552" s="81" t="s">
        <v>599</v>
      </c>
      <c r="O552" s="190">
        <f t="shared" ref="O552:U552" si="643">SUM(O540:O544)</f>
        <v>50960.203000000001</v>
      </c>
      <c r="P552" s="190">
        <f t="shared" si="643"/>
        <v>16304.736503095375</v>
      </c>
      <c r="Q552" s="190">
        <f t="shared" si="643"/>
        <v>7469.0185959199998</v>
      </c>
      <c r="R552" s="191">
        <f t="shared" si="643"/>
        <v>21764.836904999996</v>
      </c>
      <c r="S552" s="190">
        <f t="shared" si="643"/>
        <v>40303.43352057779</v>
      </c>
      <c r="T552" s="190">
        <f t="shared" si="643"/>
        <v>60215.4494982002</v>
      </c>
      <c r="U552" s="185">
        <f t="shared" si="643"/>
        <v>2134.0053131199998</v>
      </c>
      <c r="V552" s="2"/>
      <c r="W552" s="2"/>
      <c r="X552" s="81" t="s">
        <v>599</v>
      </c>
      <c r="Y552" s="185">
        <f>SUM(Y540:Y544)</f>
        <v>495160.0499558</v>
      </c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</row>
    <row r="553" spans="1:71" x14ac:dyDescent="0.35">
      <c r="A553" s="2"/>
      <c r="B553" s="2"/>
      <c r="C553" s="81" t="s">
        <v>668</v>
      </c>
      <c r="D553" s="169">
        <f t="shared" si="631"/>
        <v>0.82369008425511459</v>
      </c>
      <c r="E553" s="169">
        <f t="shared" si="632"/>
        <v>9.6925377774509477E-2</v>
      </c>
      <c r="F553" s="169">
        <f t="shared" si="617"/>
        <v>3.0903716459894266E-2</v>
      </c>
      <c r="G553" s="169">
        <f t="shared" si="618"/>
        <v>4.8480821510481692E-2</v>
      </c>
      <c r="H553" s="174">
        <f t="shared" si="639"/>
        <v>0.60550251145882039</v>
      </c>
      <c r="I553" s="169">
        <f t="shared" si="633"/>
        <v>6.1976843850912927E-2</v>
      </c>
      <c r="J553" s="169">
        <f t="shared" si="619"/>
        <v>0.1074157381507463</v>
      </c>
      <c r="K553" s="169">
        <f t="shared" si="620"/>
        <v>0.2112532432508113</v>
      </c>
      <c r="L553" s="181">
        <f t="shared" si="621"/>
        <v>1.3851663288709055E-2</v>
      </c>
      <c r="M553" s="2"/>
      <c r="N553" s="81" t="s">
        <v>668</v>
      </c>
      <c r="O553" s="190">
        <f t="shared" ref="O553:U553" si="644">SUM(O545:O549)</f>
        <v>120237.95074999999</v>
      </c>
      <c r="P553" s="190">
        <f t="shared" si="644"/>
        <v>38336.704204973998</v>
      </c>
      <c r="Q553" s="190">
        <f t="shared" si="644"/>
        <v>60141.469271939997</v>
      </c>
      <c r="R553" s="191">
        <f t="shared" si="644"/>
        <v>76883.566200000001</v>
      </c>
      <c r="S553" s="190">
        <f t="shared" si="644"/>
        <v>133251.46138291326</v>
      </c>
      <c r="T553" s="190">
        <f t="shared" si="644"/>
        <v>262064.05010730808</v>
      </c>
      <c r="U553" s="185">
        <f t="shared" si="644"/>
        <v>17183.27693484</v>
      </c>
      <c r="V553" s="2"/>
      <c r="W553" s="2"/>
      <c r="X553" s="81" t="s">
        <v>668</v>
      </c>
      <c r="Y553" s="185">
        <f>SUM(Y545:Y549)</f>
        <v>1240520.8368619999</v>
      </c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</row>
    <row r="554" spans="1:71" x14ac:dyDescent="0.35">
      <c r="A554" s="2"/>
      <c r="B554" s="2"/>
      <c r="C554" s="176" t="s">
        <v>707</v>
      </c>
      <c r="D554" s="177">
        <f t="shared" si="631"/>
        <v>0.9064759044336812</v>
      </c>
      <c r="E554" s="177">
        <f t="shared" si="632"/>
        <v>2.1621413655157542E-2</v>
      </c>
      <c r="F554" s="177">
        <f t="shared" si="617"/>
        <v>6.098222016350803E-2</v>
      </c>
      <c r="G554" s="177">
        <f t="shared" si="618"/>
        <v>1.0920461747653218E-2</v>
      </c>
      <c r="H554" s="178">
        <f t="shared" si="639"/>
        <v>0.96024420706615965</v>
      </c>
      <c r="I554" s="177">
        <f t="shared" si="633"/>
        <v>1.0061357804318947E-3</v>
      </c>
      <c r="J554" s="177">
        <f t="shared" si="619"/>
        <v>5.5510934164317762E-3</v>
      </c>
      <c r="K554" s="177">
        <f t="shared" si="620"/>
        <v>3.0078431809075733E-2</v>
      </c>
      <c r="L554" s="182">
        <f t="shared" si="621"/>
        <v>3.1201319279009192E-3</v>
      </c>
      <c r="M554" s="2"/>
      <c r="N554" s="176" t="s">
        <v>707</v>
      </c>
      <c r="O554" s="192">
        <f t="shared" ref="O554:U558" si="645">O530+O535+O540+O545</f>
        <v>6893.0549124999998</v>
      </c>
      <c r="P554" s="192">
        <f t="shared" si="645"/>
        <v>19441.549890192076</v>
      </c>
      <c r="Q554" s="192">
        <f t="shared" si="645"/>
        <v>3481.5180772638</v>
      </c>
      <c r="R554" s="193">
        <f t="shared" si="645"/>
        <v>320.76298499999996</v>
      </c>
      <c r="S554" s="192">
        <f t="shared" si="645"/>
        <v>1769.7266401798859</v>
      </c>
      <c r="T554" s="192">
        <f t="shared" si="645"/>
        <v>9589.2102823900696</v>
      </c>
      <c r="U554" s="186">
        <f t="shared" si="645"/>
        <v>994.71945064679994</v>
      </c>
      <c r="V554" s="2"/>
      <c r="W554" s="2"/>
      <c r="X554" s="176" t="s">
        <v>707</v>
      </c>
      <c r="Y554" s="186">
        <f>Y530+Y535+Y540+Y545</f>
        <v>318806.85613059998</v>
      </c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</row>
    <row r="555" spans="1:71" x14ac:dyDescent="0.35">
      <c r="A555" s="2"/>
      <c r="B555" s="2"/>
      <c r="C555" s="81" t="s">
        <v>708</v>
      </c>
      <c r="D555" s="169">
        <f t="shared" si="631"/>
        <v>0.9182686753711985</v>
      </c>
      <c r="E555" s="169">
        <f t="shared" si="632"/>
        <v>3.2844033911072046E-2</v>
      </c>
      <c r="F555" s="169">
        <f t="shared" si="617"/>
        <v>3.9655574859901795E-2</v>
      </c>
      <c r="G555" s="169">
        <f t="shared" si="618"/>
        <v>9.2317158578276801E-3</v>
      </c>
      <c r="H555" s="174">
        <f t="shared" si="639"/>
        <v>0.95768234117624296</v>
      </c>
      <c r="I555" s="169">
        <f t="shared" si="633"/>
        <v>2.7814814609121471E-3</v>
      </c>
      <c r="J555" s="169">
        <f t="shared" si="619"/>
        <v>7.9682294336938624E-3</v>
      </c>
      <c r="K555" s="169">
        <f t="shared" si="620"/>
        <v>2.8930314826914511E-2</v>
      </c>
      <c r="L555" s="181">
        <f t="shared" si="621"/>
        <v>2.63763310223648E-3</v>
      </c>
      <c r="M555" s="2"/>
      <c r="N555" s="81" t="s">
        <v>708</v>
      </c>
      <c r="O555" s="190">
        <f t="shared" si="645"/>
        <v>15762.68425</v>
      </c>
      <c r="P555" s="190">
        <f t="shared" si="645"/>
        <v>19031.715378242559</v>
      </c>
      <c r="Q555" s="190">
        <f t="shared" si="645"/>
        <v>4430.5344022799991</v>
      </c>
      <c r="R555" s="191">
        <f t="shared" si="645"/>
        <v>1334.9034449999999</v>
      </c>
      <c r="S555" s="190">
        <f t="shared" si="645"/>
        <v>3824.1552464276156</v>
      </c>
      <c r="T555" s="190">
        <f t="shared" si="645"/>
        <v>13884.391274971198</v>
      </c>
      <c r="U555" s="185">
        <f t="shared" si="645"/>
        <v>1265.8669720799999</v>
      </c>
      <c r="V555" s="2"/>
      <c r="W555" s="2"/>
      <c r="X555" s="81" t="s">
        <v>708</v>
      </c>
      <c r="Y555" s="185">
        <f t="shared" ref="Y555:Y558" si="646">Y531+Y536+Y541+Y546</f>
        <v>479925.34329609998</v>
      </c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</row>
    <row r="556" spans="1:71" x14ac:dyDescent="0.35">
      <c r="A556" s="2"/>
      <c r="B556" s="2"/>
      <c r="C556" s="81" t="s">
        <v>709</v>
      </c>
      <c r="D556" s="169">
        <f t="shared" si="631"/>
        <v>0.92865195558578617</v>
      </c>
      <c r="E556" s="169">
        <f t="shared" si="632"/>
        <v>2.7544216288258507E-2</v>
      </c>
      <c r="F556" s="169">
        <f t="shared" si="617"/>
        <v>3.1224989522142706E-2</v>
      </c>
      <c r="G556" s="169">
        <f t="shared" si="618"/>
        <v>1.2578838603812663E-2</v>
      </c>
      <c r="H556" s="174">
        <f t="shared" si="639"/>
        <v>0.95467931031600772</v>
      </c>
      <c r="I556" s="169">
        <f t="shared" si="633"/>
        <v>3.0949538901647831E-3</v>
      </c>
      <c r="J556" s="169">
        <f t="shared" si="619"/>
        <v>9.4308218680656218E-3</v>
      </c>
      <c r="K556" s="169">
        <f t="shared" si="620"/>
        <v>2.9200960038958258E-2</v>
      </c>
      <c r="L556" s="181">
        <f t="shared" si="621"/>
        <v>3.5939538868036188E-3</v>
      </c>
      <c r="M556" s="2"/>
      <c r="N556" s="81" t="s">
        <v>709</v>
      </c>
      <c r="O556" s="190">
        <f t="shared" si="645"/>
        <v>17475.131924999998</v>
      </c>
      <c r="P556" s="190">
        <f t="shared" si="645"/>
        <v>19810.358935091197</v>
      </c>
      <c r="Q556" s="190">
        <f t="shared" si="645"/>
        <v>7980.5089302399992</v>
      </c>
      <c r="R556" s="191">
        <f t="shared" si="645"/>
        <v>1963.5602249999999</v>
      </c>
      <c r="S556" s="190">
        <f t="shared" si="645"/>
        <v>5983.2835532835379</v>
      </c>
      <c r="T556" s="190">
        <f t="shared" si="645"/>
        <v>18526.235187710688</v>
      </c>
      <c r="U556" s="185">
        <f t="shared" si="645"/>
        <v>2280.1454086400004</v>
      </c>
      <c r="V556" s="2"/>
      <c r="W556" s="2"/>
      <c r="X556" s="81" t="s">
        <v>709</v>
      </c>
      <c r="Y556" s="185">
        <f t="shared" si="646"/>
        <v>634439.25004499988</v>
      </c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</row>
    <row r="557" spans="1:71" x14ac:dyDescent="0.35">
      <c r="A557" s="2"/>
      <c r="B557" s="2"/>
      <c r="C557" s="81" t="s">
        <v>710</v>
      </c>
      <c r="D557" s="169">
        <f t="shared" si="631"/>
        <v>0.88911572015645857</v>
      </c>
      <c r="E557" s="169">
        <f t="shared" si="632"/>
        <v>6.7051206200304511E-2</v>
      </c>
      <c r="F557" s="169">
        <f t="shared" si="617"/>
        <v>3.1534714211286827E-2</v>
      </c>
      <c r="G557" s="169">
        <f t="shared" si="618"/>
        <v>1.2298359431950142E-2</v>
      </c>
      <c r="H557" s="174">
        <f t="shared" si="639"/>
        <v>0.91987491230205476</v>
      </c>
      <c r="I557" s="169">
        <f t="shared" si="633"/>
        <v>6.2820121368759351E-3</v>
      </c>
      <c r="J557" s="169">
        <f t="shared" si="619"/>
        <v>2.1261661447274129E-2</v>
      </c>
      <c r="K557" s="169">
        <f t="shared" si="620"/>
        <v>4.9067597133238022E-2</v>
      </c>
      <c r="L557" s="181">
        <f t="shared" si="621"/>
        <v>3.513816980557184E-3</v>
      </c>
      <c r="M557" s="2"/>
      <c r="N557" s="81" t="s">
        <v>710</v>
      </c>
      <c r="O557" s="190">
        <f t="shared" si="645"/>
        <v>59672.477749999991</v>
      </c>
      <c r="P557" s="190">
        <f t="shared" si="645"/>
        <v>28064.439683667853</v>
      </c>
      <c r="Q557" s="190">
        <f t="shared" si="645"/>
        <v>10944.972076597998</v>
      </c>
      <c r="R557" s="191">
        <f t="shared" si="645"/>
        <v>5590.7007599999997</v>
      </c>
      <c r="S557" s="190">
        <f t="shared" si="645"/>
        <v>18921.897032700006</v>
      </c>
      <c r="T557" s="190">
        <f t="shared" si="645"/>
        <v>43667.895987317999</v>
      </c>
      <c r="U557" s="185">
        <f t="shared" si="645"/>
        <v>3127.1348790279999</v>
      </c>
      <c r="V557" s="2"/>
      <c r="W557" s="2"/>
      <c r="X557" s="81" t="s">
        <v>710</v>
      </c>
      <c r="Y557" s="185">
        <f t="shared" si="646"/>
        <v>889953.82978999999</v>
      </c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</row>
    <row r="558" spans="1:71" x14ac:dyDescent="0.35">
      <c r="A558" s="2"/>
      <c r="B558" s="2"/>
      <c r="C558" s="85" t="s">
        <v>711</v>
      </c>
      <c r="D558" s="179">
        <f t="shared" si="631"/>
        <v>0.83571617606505111</v>
      </c>
      <c r="E558" s="179">
        <f t="shared" si="632"/>
        <v>9.4810123805884883E-2</v>
      </c>
      <c r="F558" s="179">
        <f t="shared" si="617"/>
        <v>2.9746866050907476E-2</v>
      </c>
      <c r="G558" s="179">
        <f t="shared" si="618"/>
        <v>3.9726834078156477E-2</v>
      </c>
      <c r="H558" s="180">
        <f t="shared" si="639"/>
        <v>0.69121396633639587</v>
      </c>
      <c r="I558" s="179">
        <f t="shared" si="633"/>
        <v>5.2121345872519854E-2</v>
      </c>
      <c r="J558" s="179">
        <f t="shared" si="619"/>
        <v>8.6993227945008383E-2</v>
      </c>
      <c r="K558" s="179">
        <f t="shared" si="620"/>
        <v>0.15832093582374543</v>
      </c>
      <c r="L558" s="183">
        <f t="shared" si="621"/>
        <v>1.1350524022330421E-2</v>
      </c>
      <c r="M558" s="2"/>
      <c r="N558" s="85" t="s">
        <v>711</v>
      </c>
      <c r="O558" s="194">
        <f t="shared" si="645"/>
        <v>203108.05499999999</v>
      </c>
      <c r="P558" s="194">
        <f t="shared" si="645"/>
        <v>63725.558657801594</v>
      </c>
      <c r="Q558" s="194">
        <f t="shared" si="645"/>
        <v>85105.2575086</v>
      </c>
      <c r="R558" s="195">
        <f t="shared" si="645"/>
        <v>111657.539925</v>
      </c>
      <c r="S558" s="194">
        <f t="shared" si="645"/>
        <v>186362.22184730001</v>
      </c>
      <c r="T558" s="194">
        <f t="shared" si="645"/>
        <v>339164.80698598991</v>
      </c>
      <c r="U558" s="187">
        <f t="shared" si="645"/>
        <v>24315.787859599997</v>
      </c>
      <c r="V558" s="2"/>
      <c r="W558" s="2"/>
      <c r="X558" s="85" t="s">
        <v>711</v>
      </c>
      <c r="Y558" s="187">
        <f t="shared" si="646"/>
        <v>2142261.2569923997</v>
      </c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</row>
    <row r="559" spans="1:71" x14ac:dyDescent="0.35">
      <c r="A559" s="2"/>
      <c r="B559" s="2"/>
      <c r="C559" s="85" t="s">
        <v>87</v>
      </c>
      <c r="D559" s="173">
        <f t="shared" si="631"/>
        <v>0.87348736491435286</v>
      </c>
      <c r="E559" s="173">
        <f t="shared" si="632"/>
        <v>6.7835427320387082E-2</v>
      </c>
      <c r="F559" s="173">
        <f t="shared" si="617"/>
        <v>3.3608204200590491E-2</v>
      </c>
      <c r="G559" s="173">
        <f t="shared" si="618"/>
        <v>2.5069003564669626E-2</v>
      </c>
      <c r="H559" s="175">
        <f>1-SUM(I559:L559)</f>
        <v>0.82206580785394023</v>
      </c>
      <c r="I559" s="173">
        <f>R559/$Y559</f>
        <v>2.7067638234380634E-2</v>
      </c>
      <c r="J559" s="173">
        <f t="shared" si="619"/>
        <v>4.8564952341575006E-2</v>
      </c>
      <c r="K559" s="173">
        <f t="shared" si="620"/>
        <v>9.5139029123055718E-2</v>
      </c>
      <c r="L559" s="184">
        <f t="shared" si="621"/>
        <v>7.1625724470484641E-3</v>
      </c>
      <c r="M559" s="2"/>
      <c r="N559" s="85" t="s">
        <v>87</v>
      </c>
      <c r="O559" s="196">
        <f t="shared" ref="O559:U559" si="647">SUM(O530:O549)</f>
        <v>302911.40383750002</v>
      </c>
      <c r="P559" s="196">
        <f t="shared" si="647"/>
        <v>150073.62254499528</v>
      </c>
      <c r="Q559" s="196">
        <f t="shared" si="647"/>
        <v>111942.7909949818</v>
      </c>
      <c r="R559" s="197">
        <f t="shared" si="647"/>
        <v>120867.46734</v>
      </c>
      <c r="S559" s="196">
        <f t="shared" si="647"/>
        <v>216861.28431989107</v>
      </c>
      <c r="T559" s="196">
        <f t="shared" si="647"/>
        <v>424832.53971837979</v>
      </c>
      <c r="U559" s="188">
        <f t="shared" si="647"/>
        <v>31983.654569994796</v>
      </c>
      <c r="V559" s="2"/>
      <c r="W559" s="2"/>
      <c r="X559" s="85" t="s">
        <v>87</v>
      </c>
      <c r="Y559" s="187">
        <f>SUM(Y530:Y549)</f>
        <v>4465386.5362541005</v>
      </c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</row>
    <row r="560" spans="1:71" x14ac:dyDescent="0.35">
      <c r="A560" s="2"/>
      <c r="B560" s="2"/>
      <c r="C560" s="199" t="s">
        <v>813</v>
      </c>
      <c r="D560" s="198">
        <v>0.63949227884150994</v>
      </c>
      <c r="E560" s="198">
        <v>0.29888955713664694</v>
      </c>
      <c r="F560" s="198">
        <v>3.6571661014620074E-2</v>
      </c>
      <c r="G560" s="198">
        <v>2.5046503007222918E-2</v>
      </c>
      <c r="H560" s="198">
        <v>0.82362061844386403</v>
      </c>
      <c r="I560" s="198">
        <v>2.8461792565920026E-2</v>
      </c>
      <c r="J560" s="198">
        <v>4.578973326467152E-2</v>
      </c>
      <c r="K560" s="198">
        <v>9.513576158902054E-2</v>
      </c>
      <c r="L560" s="198">
        <v>6.9920941365242727E-3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</row>
    <row r="561" spans="1:71" x14ac:dyDescent="0.35">
      <c r="A561" s="2"/>
      <c r="B561" s="2"/>
      <c r="C561" s="199" t="s">
        <v>754</v>
      </c>
      <c r="D561" s="168">
        <f>D560-D559</f>
        <v>-0.23399508607284292</v>
      </c>
      <c r="E561" s="168">
        <f t="shared" ref="E561:L561" si="648">E560-E559</f>
        <v>0.23105412981625986</v>
      </c>
      <c r="F561" s="168">
        <f t="shared" si="648"/>
        <v>2.9634568140295831E-3</v>
      </c>
      <c r="G561" s="168">
        <f t="shared" si="648"/>
        <v>-2.2500557446708536E-5</v>
      </c>
      <c r="H561" s="168">
        <f>H560-H559</f>
        <v>1.5548105899237941E-3</v>
      </c>
      <c r="I561" s="168">
        <f t="shared" si="648"/>
        <v>1.3941543315393913E-3</v>
      </c>
      <c r="J561" s="168">
        <f t="shared" si="648"/>
        <v>-2.775219076903486E-3</v>
      </c>
      <c r="K561" s="168">
        <f t="shared" si="648"/>
        <v>-3.2675340351784321E-6</v>
      </c>
      <c r="L561" s="168">
        <f t="shared" si="648"/>
        <v>-1.7047831052419138E-4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</row>
    <row r="562" spans="1:7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</row>
    <row r="563" spans="1:71" x14ac:dyDescent="0.35">
      <c r="A563" s="2"/>
      <c r="B563" s="2"/>
      <c r="C563" s="4" t="s">
        <v>757</v>
      </c>
      <c r="D563" s="2"/>
      <c r="E563" s="2"/>
      <c r="F563" s="2"/>
      <c r="G563" s="2"/>
      <c r="H563" s="4" t="s">
        <v>761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</row>
    <row r="564" spans="1:71" x14ac:dyDescent="0.35">
      <c r="A564" s="2"/>
      <c r="B564" s="2"/>
      <c r="C564" s="24" t="s">
        <v>758</v>
      </c>
      <c r="D564" s="2"/>
      <c r="E564" s="2"/>
      <c r="F564" s="2"/>
      <c r="G564" s="2"/>
      <c r="H564" s="24" t="s">
        <v>762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</row>
    <row r="565" spans="1:71" x14ac:dyDescent="0.35">
      <c r="A565" s="2"/>
      <c r="B565" s="2"/>
      <c r="C565" s="20" t="s">
        <v>728</v>
      </c>
      <c r="D565" s="20" t="s">
        <v>759</v>
      </c>
      <c r="E565" s="20" t="s">
        <v>760</v>
      </c>
      <c r="F565" s="2"/>
      <c r="G565" s="2"/>
      <c r="H565" s="20" t="s">
        <v>728</v>
      </c>
      <c r="I565" s="20" t="s">
        <v>763</v>
      </c>
      <c r="J565" s="20" t="s">
        <v>764</v>
      </c>
      <c r="K565" s="20" t="s">
        <v>765</v>
      </c>
      <c r="L565" s="20" t="s">
        <v>766</v>
      </c>
      <c r="M565" s="20" t="s">
        <v>767</v>
      </c>
      <c r="N565" s="20" t="s">
        <v>768</v>
      </c>
      <c r="O565" s="20" t="s">
        <v>769</v>
      </c>
      <c r="P565" s="20" t="s">
        <v>770</v>
      </c>
      <c r="Q565" s="20" t="s">
        <v>771</v>
      </c>
      <c r="R565" s="20" t="s">
        <v>772</v>
      </c>
      <c r="S565" s="20" t="s">
        <v>773</v>
      </c>
      <c r="T565" s="20" t="s">
        <v>774</v>
      </c>
      <c r="U565" s="20" t="s">
        <v>775</v>
      </c>
      <c r="V565" s="20" t="s">
        <v>776</v>
      </c>
      <c r="W565" s="20" t="s">
        <v>777</v>
      </c>
      <c r="X565" s="20" t="s">
        <v>778</v>
      </c>
      <c r="Y565" s="20" t="s">
        <v>779</v>
      </c>
      <c r="Z565" s="20" t="s">
        <v>780</v>
      </c>
      <c r="AA565" s="20" t="s">
        <v>781</v>
      </c>
      <c r="AB565" s="20" t="s">
        <v>782</v>
      </c>
      <c r="AC565" s="20" t="s">
        <v>783</v>
      </c>
      <c r="AD565" s="20" t="s">
        <v>784</v>
      </c>
      <c r="AE565" s="20" t="s">
        <v>785</v>
      </c>
      <c r="AF565" s="20" t="s">
        <v>786</v>
      </c>
      <c r="AG565" s="20" t="s">
        <v>787</v>
      </c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</row>
    <row r="566" spans="1:71" x14ac:dyDescent="0.35">
      <c r="A566" s="2"/>
      <c r="B566" s="2"/>
      <c r="C566" s="20" t="s">
        <v>729</v>
      </c>
      <c r="D566" s="19">
        <v>2151.384</v>
      </c>
      <c r="E566" s="19">
        <v>402.54930000000002</v>
      </c>
      <c r="F566" s="2"/>
      <c r="G566" s="2"/>
      <c r="H566" s="20" t="s">
        <v>729</v>
      </c>
      <c r="I566" s="19">
        <v>0</v>
      </c>
      <c r="J566" s="19">
        <v>1114.1399630000001</v>
      </c>
      <c r="K566" s="19">
        <v>52.546338660000004</v>
      </c>
      <c r="L566" s="19">
        <v>636.23781389999999</v>
      </c>
      <c r="M566" s="19">
        <v>0</v>
      </c>
      <c r="N566" s="19">
        <v>432.558176</v>
      </c>
      <c r="O566" s="19">
        <v>0</v>
      </c>
      <c r="P566" s="19">
        <v>876.43733259999999</v>
      </c>
      <c r="Q566" s="19">
        <v>0</v>
      </c>
      <c r="R566" s="19">
        <v>3294.0357720000002</v>
      </c>
      <c r="S566" s="19">
        <v>566.95027870000001</v>
      </c>
      <c r="T566" s="19">
        <v>11.22504181</v>
      </c>
      <c r="U566" s="19">
        <v>0.35917419430000003</v>
      </c>
      <c r="V566" s="19">
        <v>4.3161419719999996</v>
      </c>
      <c r="W566" s="19">
        <v>1360.96488</v>
      </c>
      <c r="X566" s="19">
        <v>1.1917263309999999</v>
      </c>
      <c r="Y566" s="19">
        <v>4053.0522959999998</v>
      </c>
      <c r="Z566" s="19">
        <v>211.99984409999999</v>
      </c>
      <c r="AA566" s="19">
        <v>261.84324149999998</v>
      </c>
      <c r="AB566" s="19">
        <v>0</v>
      </c>
      <c r="AC566" s="19">
        <v>461.65382099999999</v>
      </c>
      <c r="AD566" s="19">
        <v>388.76254970000002</v>
      </c>
      <c r="AE566" s="19">
        <v>0</v>
      </c>
      <c r="AF566" s="19">
        <v>265.35219999999998</v>
      </c>
      <c r="AG566" s="19">
        <v>650.94015850000005</v>
      </c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</row>
    <row r="567" spans="1:71" x14ac:dyDescent="0.35">
      <c r="A567" s="2"/>
      <c r="B567" s="2"/>
      <c r="C567" s="20" t="s">
        <v>730</v>
      </c>
      <c r="D567" s="19">
        <v>2082.6959999999999</v>
      </c>
      <c r="E567" s="19">
        <v>431.7919</v>
      </c>
      <c r="F567" s="2"/>
      <c r="G567" s="2"/>
      <c r="H567" s="20" t="s">
        <v>730</v>
      </c>
      <c r="I567" s="19">
        <v>35.247739090000003</v>
      </c>
      <c r="J567" s="19">
        <v>893.0711129</v>
      </c>
      <c r="K567" s="19">
        <v>49.150750109999997</v>
      </c>
      <c r="L567" s="19">
        <v>254.06578690000001</v>
      </c>
      <c r="M567" s="19">
        <v>6.0912965579999998</v>
      </c>
      <c r="N567" s="19">
        <v>341.87273329999999</v>
      </c>
      <c r="O567" s="19">
        <v>0</v>
      </c>
      <c r="P567" s="19">
        <v>747.24046060000001</v>
      </c>
      <c r="Q567" s="19">
        <v>21.765016450000001</v>
      </c>
      <c r="R567" s="19">
        <v>3569.2843590000002</v>
      </c>
      <c r="S567" s="19">
        <v>352.76787050000001</v>
      </c>
      <c r="T567" s="19">
        <v>0</v>
      </c>
      <c r="U567" s="19">
        <v>0</v>
      </c>
      <c r="V567" s="19">
        <v>3.2306613400000002</v>
      </c>
      <c r="W567" s="19">
        <v>2321.5399600000001</v>
      </c>
      <c r="X567" s="19">
        <v>22.804524709999999</v>
      </c>
      <c r="Y567" s="19">
        <v>5077.7640970000002</v>
      </c>
      <c r="Z567" s="19">
        <v>505.26752040000002</v>
      </c>
      <c r="AA567" s="19">
        <v>585.26730980000002</v>
      </c>
      <c r="AB567" s="19">
        <v>0</v>
      </c>
      <c r="AC567" s="19">
        <v>557.70777369999996</v>
      </c>
      <c r="AD567" s="19">
        <v>706.24728300000004</v>
      </c>
      <c r="AE567" s="19">
        <v>2.2271994629999998</v>
      </c>
      <c r="AF567" s="19">
        <v>564.1902</v>
      </c>
      <c r="AG567" s="19">
        <v>716.55618100000004</v>
      </c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</row>
    <row r="568" spans="1:71" x14ac:dyDescent="0.35">
      <c r="A568" s="2"/>
      <c r="B568" s="2"/>
      <c r="C568" s="20" t="s">
        <v>731</v>
      </c>
      <c r="D568" s="19">
        <v>2026.14</v>
      </c>
      <c r="E568" s="19">
        <v>451.92509999999999</v>
      </c>
      <c r="F568" s="2"/>
      <c r="G568" s="2"/>
      <c r="H568" s="20" t="s">
        <v>731</v>
      </c>
      <c r="I568" s="19">
        <v>47.342681210000002</v>
      </c>
      <c r="J568" s="19">
        <v>694.44617879999998</v>
      </c>
      <c r="K568" s="19">
        <v>164.93104149999999</v>
      </c>
      <c r="L568" s="19">
        <v>224.0885275</v>
      </c>
      <c r="M568" s="19">
        <v>0</v>
      </c>
      <c r="N568" s="19">
        <v>671.32928809999999</v>
      </c>
      <c r="O568" s="19">
        <v>25.98768127</v>
      </c>
      <c r="P568" s="19">
        <v>781.55823410000005</v>
      </c>
      <c r="Q568" s="19">
        <v>6.1224417109999996</v>
      </c>
      <c r="R568" s="19">
        <v>3685.80708</v>
      </c>
      <c r="S568" s="19">
        <v>348.93272139999999</v>
      </c>
      <c r="T568" s="19">
        <v>57.586315290000002</v>
      </c>
      <c r="U568" s="19">
        <v>0</v>
      </c>
      <c r="V568" s="19">
        <v>5.1479134220000002</v>
      </c>
      <c r="W568" s="19">
        <v>3259.033015</v>
      </c>
      <c r="X568" s="19">
        <v>6.7485117580000002</v>
      </c>
      <c r="Y568" s="19">
        <v>7093.2997480000004</v>
      </c>
      <c r="Z568" s="19">
        <v>693.49465439999994</v>
      </c>
      <c r="AA568" s="19">
        <v>678.12981360000003</v>
      </c>
      <c r="AB568" s="19">
        <v>0</v>
      </c>
      <c r="AC568" s="19">
        <v>1047.2051509999999</v>
      </c>
      <c r="AD568" s="19">
        <v>686.39853819999996</v>
      </c>
      <c r="AE568" s="19">
        <v>7.1993431100000005E-2</v>
      </c>
      <c r="AF568" s="19">
        <v>700.17250000000001</v>
      </c>
      <c r="AG568" s="19">
        <v>533.39762340000004</v>
      </c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</row>
    <row r="569" spans="1:71" x14ac:dyDescent="0.35">
      <c r="A569" s="2"/>
      <c r="B569" s="2"/>
      <c r="C569" s="20" t="s">
        <v>732</v>
      </c>
      <c r="D569" s="19">
        <v>1890.2070000000001</v>
      </c>
      <c r="E569" s="19">
        <v>468.1506</v>
      </c>
      <c r="F569" s="2"/>
      <c r="G569" s="2"/>
      <c r="H569" s="20" t="s">
        <v>732</v>
      </c>
      <c r="I569" s="19">
        <v>450.0773805</v>
      </c>
      <c r="J569" s="19">
        <v>501.60305579999999</v>
      </c>
      <c r="K569" s="19">
        <v>181.4607992</v>
      </c>
      <c r="L569" s="19">
        <v>1073.929294</v>
      </c>
      <c r="M569" s="19">
        <v>108.27153629999999</v>
      </c>
      <c r="N569" s="19">
        <v>1289.4064060000001</v>
      </c>
      <c r="O569" s="19">
        <v>43.709969770000001</v>
      </c>
      <c r="P569" s="19">
        <v>793.53090250000002</v>
      </c>
      <c r="Q569" s="19">
        <v>204.6397044</v>
      </c>
      <c r="R569" s="19">
        <v>3947.3886980000002</v>
      </c>
      <c r="S569" s="19">
        <v>414.82605230000001</v>
      </c>
      <c r="T569" s="19">
        <v>0</v>
      </c>
      <c r="U569" s="19">
        <v>14.37671417</v>
      </c>
      <c r="V569" s="19">
        <v>15.33702121</v>
      </c>
      <c r="W569" s="19">
        <v>9068.7131229999995</v>
      </c>
      <c r="X569" s="19">
        <v>43.980478089999998</v>
      </c>
      <c r="Y569" s="19">
        <v>12496.28736</v>
      </c>
      <c r="Z569" s="19">
        <v>1694.5176570000001</v>
      </c>
      <c r="AA569" s="19">
        <v>884.46799280000005</v>
      </c>
      <c r="AB569" s="19">
        <v>0</v>
      </c>
      <c r="AC569" s="19">
        <v>982.3340111</v>
      </c>
      <c r="AD569" s="19">
        <v>1271.736715</v>
      </c>
      <c r="AE569" s="19">
        <v>22.57014358</v>
      </c>
      <c r="AF569" s="19">
        <v>922.55859999999996</v>
      </c>
      <c r="AG569" s="19">
        <v>433.80597230000001</v>
      </c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</row>
    <row r="570" spans="1:71" x14ac:dyDescent="0.35">
      <c r="A570" s="2"/>
      <c r="B570" s="2"/>
      <c r="C570" s="20" t="s">
        <v>733</v>
      </c>
      <c r="D570" s="19">
        <v>970.25139999999999</v>
      </c>
      <c r="E570" s="19">
        <v>285.11840000000001</v>
      </c>
      <c r="F570" s="2"/>
      <c r="G570" s="2"/>
      <c r="H570" s="20" t="s">
        <v>733</v>
      </c>
      <c r="I570" s="19">
        <v>807.23369609999997</v>
      </c>
      <c r="J570" s="19">
        <v>434.73839500000003</v>
      </c>
      <c r="K570" s="19">
        <v>64.905411450000003</v>
      </c>
      <c r="L570" s="19">
        <v>857.3547949</v>
      </c>
      <c r="M570" s="19">
        <v>0</v>
      </c>
      <c r="N570" s="19">
        <v>1663.908719</v>
      </c>
      <c r="O570" s="19">
        <v>29.513497919999999</v>
      </c>
      <c r="P570" s="19">
        <v>316.2725398</v>
      </c>
      <c r="Q570" s="19">
        <v>809.86635279999996</v>
      </c>
      <c r="R570" s="19">
        <v>2153.5655809999998</v>
      </c>
      <c r="S570" s="19">
        <v>405.1432504</v>
      </c>
      <c r="T570" s="19">
        <v>10.79356293</v>
      </c>
      <c r="U570" s="19">
        <v>58.815135959999999</v>
      </c>
      <c r="V570" s="19">
        <v>89.797177899999994</v>
      </c>
      <c r="W570" s="19">
        <v>8173.9908489999998</v>
      </c>
      <c r="X570" s="19">
        <v>140.72579619999999</v>
      </c>
      <c r="Y570" s="19">
        <v>10874.189420000001</v>
      </c>
      <c r="Z570" s="19">
        <v>4242.3711309999999</v>
      </c>
      <c r="AA570" s="19">
        <v>504.1236265</v>
      </c>
      <c r="AB570" s="19">
        <v>1.773709717</v>
      </c>
      <c r="AC570" s="19">
        <v>2752.6609239999998</v>
      </c>
      <c r="AD570" s="19">
        <v>1207.189363</v>
      </c>
      <c r="AE570" s="19">
        <v>22.172469039999999</v>
      </c>
      <c r="AF570" s="19">
        <v>529.25810000000001</v>
      </c>
      <c r="AG570" s="19">
        <v>117.2195833</v>
      </c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</row>
    <row r="571" spans="1:71" x14ac:dyDescent="0.35">
      <c r="A571" s="2"/>
      <c r="B571" s="2"/>
      <c r="C571" s="20" t="s">
        <v>734</v>
      </c>
      <c r="D571" s="19">
        <v>8.8694009999999999</v>
      </c>
      <c r="E571" s="19">
        <v>2.806686</v>
      </c>
      <c r="F571" s="2"/>
      <c r="G571" s="2"/>
      <c r="H571" s="20" t="s">
        <v>734</v>
      </c>
      <c r="I571" s="19">
        <v>0</v>
      </c>
      <c r="J571" s="19">
        <v>4.5087017210000004</v>
      </c>
      <c r="K571" s="19">
        <v>0</v>
      </c>
      <c r="L571" s="19">
        <v>0</v>
      </c>
      <c r="M571" s="19">
        <v>0</v>
      </c>
      <c r="N571" s="19">
        <v>0</v>
      </c>
      <c r="O571" s="19">
        <v>0</v>
      </c>
      <c r="P571" s="19">
        <v>24.079244289999998</v>
      </c>
      <c r="Q571" s="19">
        <v>0</v>
      </c>
      <c r="R571" s="19">
        <v>15.577916930000001</v>
      </c>
      <c r="S571" s="19">
        <v>0.9689556198</v>
      </c>
      <c r="T571" s="19">
        <v>0</v>
      </c>
      <c r="U571" s="19">
        <v>0</v>
      </c>
      <c r="V571" s="19">
        <v>0</v>
      </c>
      <c r="W571" s="19">
        <v>0</v>
      </c>
      <c r="X571" s="19">
        <v>0</v>
      </c>
      <c r="Y571" s="19">
        <v>0</v>
      </c>
      <c r="Z571" s="19">
        <v>0</v>
      </c>
      <c r="AA571" s="19">
        <v>0</v>
      </c>
      <c r="AB571" s="19">
        <v>0</v>
      </c>
      <c r="AC571" s="19">
        <v>7.519386978</v>
      </c>
      <c r="AD571" s="19">
        <v>1.6938473510000001</v>
      </c>
      <c r="AE571" s="19">
        <v>0</v>
      </c>
      <c r="AF571" s="19">
        <v>59.030500000000004</v>
      </c>
      <c r="AG571" s="19">
        <v>0</v>
      </c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</row>
    <row r="572" spans="1:71" x14ac:dyDescent="0.35">
      <c r="A572" s="2"/>
      <c r="B572" s="2"/>
      <c r="C572" s="20" t="s">
        <v>735</v>
      </c>
      <c r="D572" s="19">
        <v>9.1705089999999991</v>
      </c>
      <c r="E572" s="19">
        <v>3.6336200000000001</v>
      </c>
      <c r="F572" s="2"/>
      <c r="G572" s="2"/>
      <c r="H572" s="20" t="s">
        <v>735</v>
      </c>
      <c r="I572" s="19">
        <v>0</v>
      </c>
      <c r="J572" s="19">
        <v>8.7271574709999999</v>
      </c>
      <c r="K572" s="19">
        <v>0</v>
      </c>
      <c r="L572" s="19">
        <v>0</v>
      </c>
      <c r="M572" s="19">
        <v>0</v>
      </c>
      <c r="N572" s="19">
        <v>0</v>
      </c>
      <c r="O572" s="19">
        <v>0</v>
      </c>
      <c r="P572" s="19">
        <v>3.0986840610000002</v>
      </c>
      <c r="Q572" s="19">
        <v>0</v>
      </c>
      <c r="R572" s="19">
        <v>35.364431369999998</v>
      </c>
      <c r="S572" s="19">
        <v>0</v>
      </c>
      <c r="T572" s="19">
        <v>0</v>
      </c>
      <c r="U572" s="19">
        <v>0</v>
      </c>
      <c r="V572" s="19">
        <v>0</v>
      </c>
      <c r="W572" s="19">
        <v>0</v>
      </c>
      <c r="X572" s="19">
        <v>0</v>
      </c>
      <c r="Y572" s="19">
        <v>2.6266724400000001</v>
      </c>
      <c r="Z572" s="19">
        <v>1.6836008</v>
      </c>
      <c r="AA572" s="19">
        <v>12.34001056</v>
      </c>
      <c r="AB572" s="19">
        <v>0</v>
      </c>
      <c r="AC572" s="19">
        <v>0</v>
      </c>
      <c r="AD572" s="19">
        <v>3.3776983949999999</v>
      </c>
      <c r="AE572" s="19">
        <v>0</v>
      </c>
      <c r="AF572" s="19">
        <v>50.626730000000002</v>
      </c>
      <c r="AG572" s="19">
        <v>0</v>
      </c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</row>
    <row r="573" spans="1:71" x14ac:dyDescent="0.35">
      <c r="A573" s="2"/>
      <c r="B573" s="2"/>
      <c r="C573" s="20" t="s">
        <v>736</v>
      </c>
      <c r="D573" s="19">
        <v>18.082000000000001</v>
      </c>
      <c r="E573" s="19">
        <v>6.0741120000000004</v>
      </c>
      <c r="F573" s="2"/>
      <c r="G573" s="2"/>
      <c r="H573" s="20" t="s">
        <v>736</v>
      </c>
      <c r="I573" s="19">
        <v>0</v>
      </c>
      <c r="J573" s="19">
        <v>4.0702771000000002</v>
      </c>
      <c r="K573" s="19">
        <v>1.3916915889999999</v>
      </c>
      <c r="L573" s="19">
        <v>0</v>
      </c>
      <c r="M573" s="19">
        <v>0</v>
      </c>
      <c r="N573" s="19">
        <v>0</v>
      </c>
      <c r="O573" s="19">
        <v>0</v>
      </c>
      <c r="P573" s="19">
        <v>4.1830135159999999</v>
      </c>
      <c r="Q573" s="19">
        <v>0</v>
      </c>
      <c r="R573" s="19">
        <v>27.93464608</v>
      </c>
      <c r="S573" s="19">
        <v>2.2172879640000001</v>
      </c>
      <c r="T573" s="19">
        <v>0</v>
      </c>
      <c r="U573" s="19">
        <v>0</v>
      </c>
      <c r="V573" s="19">
        <v>4.0607799360000003</v>
      </c>
      <c r="W573" s="19">
        <v>23.577429630000001</v>
      </c>
      <c r="X573" s="19">
        <v>1.858190765</v>
      </c>
      <c r="Y573" s="19">
        <v>0.28669507599999999</v>
      </c>
      <c r="Z573" s="19">
        <v>76.294907530000003</v>
      </c>
      <c r="AA573" s="19">
        <v>0</v>
      </c>
      <c r="AB573" s="19">
        <v>0</v>
      </c>
      <c r="AC573" s="19">
        <v>19.03661383</v>
      </c>
      <c r="AD573" s="19">
        <v>3.244619202</v>
      </c>
      <c r="AE573" s="19">
        <v>0</v>
      </c>
      <c r="AF573" s="19">
        <v>76.064210000000003</v>
      </c>
      <c r="AG573" s="19">
        <v>0</v>
      </c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</row>
    <row r="574" spans="1:71" x14ac:dyDescent="0.35">
      <c r="A574" s="2"/>
      <c r="B574" s="2"/>
      <c r="C574" s="20" t="s">
        <v>737</v>
      </c>
      <c r="D574" s="19">
        <v>30.331399999999999</v>
      </c>
      <c r="E574" s="19">
        <v>11.051439999999999</v>
      </c>
      <c r="F574" s="2"/>
      <c r="G574" s="2"/>
      <c r="H574" s="20" t="s">
        <v>737</v>
      </c>
      <c r="I574" s="19">
        <v>0</v>
      </c>
      <c r="J574" s="19">
        <v>8.9351009139999995</v>
      </c>
      <c r="K574" s="19">
        <v>0.52308087160000005</v>
      </c>
      <c r="L574" s="19">
        <v>0</v>
      </c>
      <c r="M574" s="19">
        <v>0</v>
      </c>
      <c r="N574" s="19">
        <v>0</v>
      </c>
      <c r="O574" s="19">
        <v>0</v>
      </c>
      <c r="P574" s="19">
        <v>3.0137546999999998</v>
      </c>
      <c r="Q574" s="19">
        <v>0</v>
      </c>
      <c r="R574" s="19">
        <v>58.195871619999998</v>
      </c>
      <c r="S574" s="19">
        <v>0.3319640579</v>
      </c>
      <c r="T574" s="19">
        <v>0</v>
      </c>
      <c r="U574" s="19">
        <v>0</v>
      </c>
      <c r="V574" s="19">
        <v>0</v>
      </c>
      <c r="W574" s="19">
        <v>60.957349749999999</v>
      </c>
      <c r="X574" s="19">
        <v>0.51791226199999996</v>
      </c>
      <c r="Y574" s="19">
        <v>753.73122960000001</v>
      </c>
      <c r="Z574" s="19">
        <v>16.7508017</v>
      </c>
      <c r="AA574" s="19">
        <v>0</v>
      </c>
      <c r="AB574" s="19">
        <v>0</v>
      </c>
      <c r="AC574" s="19">
        <v>7.4794333269999997</v>
      </c>
      <c r="AD574" s="19">
        <v>37.800713119999998</v>
      </c>
      <c r="AE574" s="19">
        <v>0</v>
      </c>
      <c r="AF574" s="19">
        <v>66.651399999999995</v>
      </c>
      <c r="AG574" s="19">
        <v>0</v>
      </c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</row>
    <row r="575" spans="1:71" x14ac:dyDescent="0.35">
      <c r="A575" s="2"/>
      <c r="B575" s="2"/>
      <c r="C575" s="20" t="s">
        <v>738</v>
      </c>
      <c r="D575" s="19">
        <v>63.092329999999997</v>
      </c>
      <c r="E575" s="19">
        <v>28.499300000000002</v>
      </c>
      <c r="F575" s="2"/>
      <c r="G575" s="2"/>
      <c r="H575" s="20" t="s">
        <v>738</v>
      </c>
      <c r="I575" s="19">
        <v>26.88698913</v>
      </c>
      <c r="J575" s="19">
        <v>128.77103360000001</v>
      </c>
      <c r="K575" s="19">
        <v>0</v>
      </c>
      <c r="L575" s="19">
        <v>0</v>
      </c>
      <c r="M575" s="19">
        <v>0</v>
      </c>
      <c r="N575" s="19">
        <v>311.65057830000001</v>
      </c>
      <c r="O575" s="19">
        <v>0</v>
      </c>
      <c r="P575" s="19">
        <v>1.926118752</v>
      </c>
      <c r="Q575" s="19">
        <v>0</v>
      </c>
      <c r="R575" s="19">
        <v>136.2852226</v>
      </c>
      <c r="S575" s="19">
        <v>25.97238084</v>
      </c>
      <c r="T575" s="19">
        <v>0</v>
      </c>
      <c r="U575" s="19">
        <v>0</v>
      </c>
      <c r="V575" s="19">
        <v>11.262881569999999</v>
      </c>
      <c r="W575" s="19">
        <v>601.59732529999997</v>
      </c>
      <c r="X575" s="19">
        <v>42.070218349999998</v>
      </c>
      <c r="Y575" s="19">
        <v>974.15209919999995</v>
      </c>
      <c r="Z575" s="19">
        <v>933.96351900000002</v>
      </c>
      <c r="AA575" s="19">
        <v>12.76705623</v>
      </c>
      <c r="AB575" s="19">
        <v>0</v>
      </c>
      <c r="AC575" s="19">
        <v>34.146526399999999</v>
      </c>
      <c r="AD575" s="19">
        <v>37.890734709999997</v>
      </c>
      <c r="AE575" s="19">
        <v>0</v>
      </c>
      <c r="AF575" s="19">
        <v>38.74118</v>
      </c>
      <c r="AG575" s="19">
        <v>16.814532509999999</v>
      </c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</row>
    <row r="576" spans="1:71" x14ac:dyDescent="0.35">
      <c r="A576" s="2"/>
      <c r="B576" s="2"/>
      <c r="C576" s="20" t="s">
        <v>739</v>
      </c>
      <c r="D576" s="19">
        <v>128.81870000000001</v>
      </c>
      <c r="E576" s="19">
        <v>23.159749999999999</v>
      </c>
      <c r="F576" s="2"/>
      <c r="G576" s="2"/>
      <c r="H576" s="20" t="s">
        <v>739</v>
      </c>
      <c r="I576" s="19">
        <v>18.120093749999999</v>
      </c>
      <c r="J576" s="19">
        <v>52.37371332</v>
      </c>
      <c r="K576" s="19">
        <v>72.014401050000004</v>
      </c>
      <c r="L576" s="19">
        <v>2.3805152440000001</v>
      </c>
      <c r="M576" s="19">
        <v>0</v>
      </c>
      <c r="N576" s="19">
        <v>20.827555019999998</v>
      </c>
      <c r="O576" s="19">
        <v>0</v>
      </c>
      <c r="P576" s="19">
        <v>61.751246709999997</v>
      </c>
      <c r="Q576" s="19">
        <v>0</v>
      </c>
      <c r="R576" s="19">
        <v>82.751396670000005</v>
      </c>
      <c r="S576" s="19">
        <v>0</v>
      </c>
      <c r="T576" s="19">
        <v>0</v>
      </c>
      <c r="U576" s="19">
        <v>0</v>
      </c>
      <c r="V576" s="19">
        <v>0</v>
      </c>
      <c r="W576" s="19">
        <v>7.9168752170000003</v>
      </c>
      <c r="X576" s="19">
        <v>0</v>
      </c>
      <c r="Y576" s="19">
        <v>179.75911360000001</v>
      </c>
      <c r="Z576" s="19">
        <v>54.92002797</v>
      </c>
      <c r="AA576" s="19">
        <v>15.1788241</v>
      </c>
      <c r="AB576" s="19">
        <v>0</v>
      </c>
      <c r="AC576" s="19">
        <v>18.638855029999998</v>
      </c>
      <c r="AD576" s="19">
        <v>73.15908494</v>
      </c>
      <c r="AE576" s="19">
        <v>0</v>
      </c>
      <c r="AF576" s="19">
        <v>0</v>
      </c>
      <c r="AG576" s="19">
        <v>2.4065938980000001</v>
      </c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</row>
    <row r="577" spans="1:71" x14ac:dyDescent="0.35">
      <c r="A577" s="2"/>
      <c r="B577" s="2"/>
      <c r="C577" s="20" t="s">
        <v>740</v>
      </c>
      <c r="D577" s="19">
        <v>142.28299999999999</v>
      </c>
      <c r="E577" s="19">
        <v>27.979669999999999</v>
      </c>
      <c r="F577" s="2"/>
      <c r="G577" s="2"/>
      <c r="H577" s="20" t="s">
        <v>740</v>
      </c>
      <c r="I577" s="19">
        <v>26.60913025</v>
      </c>
      <c r="J577" s="19">
        <v>31.71473559</v>
      </c>
      <c r="K577" s="19">
        <v>0</v>
      </c>
      <c r="L577" s="19">
        <v>11.694504909999999</v>
      </c>
      <c r="M577" s="19">
        <v>0</v>
      </c>
      <c r="N577" s="19">
        <v>21.480549329999999</v>
      </c>
      <c r="O577" s="19">
        <v>0</v>
      </c>
      <c r="P577" s="19">
        <v>80.495765829999996</v>
      </c>
      <c r="Q577" s="19">
        <v>50.333593749999999</v>
      </c>
      <c r="R577" s="19">
        <v>179.53560959999999</v>
      </c>
      <c r="S577" s="19">
        <v>8.2030238109999996</v>
      </c>
      <c r="T577" s="19">
        <v>0</v>
      </c>
      <c r="U577" s="19">
        <v>0</v>
      </c>
      <c r="V577" s="19">
        <v>0</v>
      </c>
      <c r="W577" s="19">
        <v>32.121224009999999</v>
      </c>
      <c r="X577" s="19">
        <v>5.3487907520000002</v>
      </c>
      <c r="Y577" s="19">
        <v>217.63198109999999</v>
      </c>
      <c r="Z577" s="19">
        <v>189.728216</v>
      </c>
      <c r="AA577" s="19">
        <v>61.159001670000002</v>
      </c>
      <c r="AB577" s="19">
        <v>0</v>
      </c>
      <c r="AC577" s="19">
        <v>49.9422341</v>
      </c>
      <c r="AD577" s="19">
        <v>76.740222130000006</v>
      </c>
      <c r="AE577" s="19">
        <v>0</v>
      </c>
      <c r="AF577" s="19">
        <v>4.7634619999999996</v>
      </c>
      <c r="AG577" s="19">
        <v>0</v>
      </c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</row>
    <row r="578" spans="1:71" x14ac:dyDescent="0.35">
      <c r="A578" s="2"/>
      <c r="B578" s="2"/>
      <c r="C578" s="20" t="s">
        <v>741</v>
      </c>
      <c r="D578" s="19">
        <v>159.03149999999999</v>
      </c>
      <c r="E578" s="19">
        <v>34.375039999999998</v>
      </c>
      <c r="F578" s="2"/>
      <c r="G578" s="2"/>
      <c r="H578" s="20" t="s">
        <v>741</v>
      </c>
      <c r="I578" s="19">
        <v>105.91959919999999</v>
      </c>
      <c r="J578" s="19">
        <v>44.39078971</v>
      </c>
      <c r="K578" s="19">
        <v>6.3557711790000004</v>
      </c>
      <c r="L578" s="19">
        <v>16.982377570000001</v>
      </c>
      <c r="M578" s="19">
        <v>0</v>
      </c>
      <c r="N578" s="19">
        <v>20.696977969999999</v>
      </c>
      <c r="O578" s="19">
        <v>0</v>
      </c>
      <c r="P578" s="19">
        <v>31.752851069999998</v>
      </c>
      <c r="Q578" s="19">
        <v>0</v>
      </c>
      <c r="R578" s="19">
        <v>158.2294071</v>
      </c>
      <c r="S578" s="19">
        <v>4.8248012539999996</v>
      </c>
      <c r="T578" s="19">
        <v>13.17639404</v>
      </c>
      <c r="U578" s="19">
        <v>0</v>
      </c>
      <c r="V578" s="19">
        <v>3.0985546880000001</v>
      </c>
      <c r="W578" s="19">
        <v>68.134159839999995</v>
      </c>
      <c r="X578" s="19">
        <v>9.7586965160000005</v>
      </c>
      <c r="Y578" s="19">
        <v>270.98234350000001</v>
      </c>
      <c r="Z578" s="19">
        <v>176.365306</v>
      </c>
      <c r="AA578" s="19">
        <v>128.9082348</v>
      </c>
      <c r="AB578" s="19">
        <v>0</v>
      </c>
      <c r="AC578" s="19">
        <v>45.071128229999999</v>
      </c>
      <c r="AD578" s="19">
        <v>56.979160909999997</v>
      </c>
      <c r="AE578" s="19">
        <v>0</v>
      </c>
      <c r="AF578" s="19">
        <v>3.692E-3</v>
      </c>
      <c r="AG578" s="19">
        <v>0</v>
      </c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</row>
    <row r="579" spans="1:71" x14ac:dyDescent="0.35">
      <c r="A579" s="2"/>
      <c r="B579" s="2"/>
      <c r="C579" s="20" t="s">
        <v>742</v>
      </c>
      <c r="D579" s="19">
        <v>166.74299999999999</v>
      </c>
      <c r="E579" s="19">
        <v>37.565829999999998</v>
      </c>
      <c r="F579" s="2"/>
      <c r="G579" s="2"/>
      <c r="H579" s="20" t="s">
        <v>742</v>
      </c>
      <c r="I579" s="19">
        <v>120.7477701</v>
      </c>
      <c r="J579" s="19">
        <v>31.245871489999999</v>
      </c>
      <c r="K579" s="19">
        <v>0</v>
      </c>
      <c r="L579" s="19">
        <v>131.16147050000001</v>
      </c>
      <c r="M579" s="19">
        <v>0.23704101559999999</v>
      </c>
      <c r="N579" s="19">
        <v>193.65830729999999</v>
      </c>
      <c r="O579" s="19">
        <v>0</v>
      </c>
      <c r="P579" s="19">
        <v>137.6206765</v>
      </c>
      <c r="Q579" s="19">
        <v>22.146284179999999</v>
      </c>
      <c r="R579" s="19">
        <v>201.84341699999999</v>
      </c>
      <c r="S579" s="19">
        <v>9.1048380739999999</v>
      </c>
      <c r="T579" s="19">
        <v>0</v>
      </c>
      <c r="U579" s="19">
        <v>0</v>
      </c>
      <c r="V579" s="19">
        <v>0</v>
      </c>
      <c r="W579" s="19">
        <v>190.8404678</v>
      </c>
      <c r="X579" s="19">
        <v>4.5864074710000002</v>
      </c>
      <c r="Y579" s="19">
        <v>383.79495409999998</v>
      </c>
      <c r="Z579" s="19">
        <v>719.7667007</v>
      </c>
      <c r="AA579" s="19">
        <v>20.417876069999998</v>
      </c>
      <c r="AB579" s="19">
        <v>0</v>
      </c>
      <c r="AC579" s="19">
        <v>10.99742436</v>
      </c>
      <c r="AD579" s="19">
        <v>85.161072279999999</v>
      </c>
      <c r="AE579" s="19">
        <v>0</v>
      </c>
      <c r="AF579" s="19">
        <v>8.4260870000000008</v>
      </c>
      <c r="AG579" s="19">
        <v>0</v>
      </c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</row>
    <row r="580" spans="1:71" x14ac:dyDescent="0.35">
      <c r="A580" s="2"/>
      <c r="B580" s="2"/>
      <c r="C580" s="20" t="s">
        <v>743</v>
      </c>
      <c r="D580" s="19">
        <v>364.5625</v>
      </c>
      <c r="E580" s="19">
        <v>97.864819999999995</v>
      </c>
      <c r="F580" s="2"/>
      <c r="G580" s="2"/>
      <c r="H580" s="20" t="s">
        <v>743</v>
      </c>
      <c r="I580" s="19">
        <v>1366.6416260000001</v>
      </c>
      <c r="J580" s="19">
        <v>351.8173238</v>
      </c>
      <c r="K580" s="19">
        <v>0</v>
      </c>
      <c r="L580" s="19">
        <v>532.54228499999999</v>
      </c>
      <c r="M580" s="19">
        <v>36.047763789999998</v>
      </c>
      <c r="N580" s="19">
        <v>1312.7346990000001</v>
      </c>
      <c r="O580" s="19">
        <v>116.67540529999999</v>
      </c>
      <c r="P580" s="19">
        <v>22.685946080000001</v>
      </c>
      <c r="Q580" s="19">
        <v>364.49351009999998</v>
      </c>
      <c r="R580" s="19">
        <v>466.33795190000001</v>
      </c>
      <c r="S580" s="19">
        <v>3129.332116</v>
      </c>
      <c r="T580" s="19">
        <v>229.97980100000001</v>
      </c>
      <c r="U580" s="19">
        <v>0</v>
      </c>
      <c r="V580" s="19">
        <v>0</v>
      </c>
      <c r="W580" s="19">
        <v>2325.546456</v>
      </c>
      <c r="X580" s="19">
        <v>430.53636399999999</v>
      </c>
      <c r="Y580" s="19">
        <v>22642.30661</v>
      </c>
      <c r="Z580" s="19">
        <v>5784.7828719999998</v>
      </c>
      <c r="AA580" s="19">
        <v>446.84274360000001</v>
      </c>
      <c r="AB580" s="19">
        <v>0.14049057009999999</v>
      </c>
      <c r="AC580" s="19">
        <v>843.37619559999996</v>
      </c>
      <c r="AD580" s="19">
        <v>534.00942620000001</v>
      </c>
      <c r="AE580" s="19">
        <v>0</v>
      </c>
      <c r="AF580" s="19">
        <v>1.9204499999999999E-2</v>
      </c>
      <c r="AG580" s="19">
        <v>0</v>
      </c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</row>
    <row r="581" spans="1:71" x14ac:dyDescent="0.35">
      <c r="A581" s="2"/>
      <c r="B581" s="2"/>
      <c r="C581" s="20" t="s">
        <v>744</v>
      </c>
      <c r="D581" s="19">
        <v>59.672469999999997</v>
      </c>
      <c r="E581" s="19">
        <v>10.77877</v>
      </c>
      <c r="F581" s="2"/>
      <c r="G581" s="2"/>
      <c r="H581" s="20" t="s">
        <v>744</v>
      </c>
      <c r="I581" s="19">
        <v>0</v>
      </c>
      <c r="J581" s="19">
        <v>65.75133572</v>
      </c>
      <c r="K581" s="19">
        <v>0</v>
      </c>
      <c r="L581" s="19">
        <v>0</v>
      </c>
      <c r="M581" s="19">
        <v>0</v>
      </c>
      <c r="N581" s="19">
        <v>12.00245507</v>
      </c>
      <c r="O581" s="19">
        <v>0</v>
      </c>
      <c r="P581" s="19">
        <v>21.33906726</v>
      </c>
      <c r="Q581" s="19">
        <v>0</v>
      </c>
      <c r="R581" s="19">
        <v>83.395177750000002</v>
      </c>
      <c r="S581" s="19">
        <v>3.492730968</v>
      </c>
      <c r="T581" s="19">
        <v>0</v>
      </c>
      <c r="U581" s="19">
        <v>0</v>
      </c>
      <c r="V581" s="19">
        <v>0</v>
      </c>
      <c r="W581" s="19">
        <v>4.3115414430000003</v>
      </c>
      <c r="X581" s="19">
        <v>0</v>
      </c>
      <c r="Y581" s="19">
        <v>6.6348889160000004</v>
      </c>
      <c r="Z581" s="19">
        <v>5.0078731379999999</v>
      </c>
      <c r="AA581" s="19">
        <v>16.81777954</v>
      </c>
      <c r="AB581" s="19">
        <v>0</v>
      </c>
      <c r="AC581" s="19">
        <v>14.8112332</v>
      </c>
      <c r="AD581" s="19">
        <v>5.2836525879999998</v>
      </c>
      <c r="AE581" s="19">
        <v>0</v>
      </c>
      <c r="AF581" s="19">
        <v>0</v>
      </c>
      <c r="AG581" s="19">
        <v>4.734855499</v>
      </c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</row>
    <row r="582" spans="1:71" x14ac:dyDescent="0.35">
      <c r="A582" s="2"/>
      <c r="B582" s="2"/>
      <c r="C582" s="20" t="s">
        <v>745</v>
      </c>
      <c r="D582" s="19">
        <v>115.8914</v>
      </c>
      <c r="E582" s="19">
        <v>22.454820000000002</v>
      </c>
      <c r="F582" s="2"/>
      <c r="G582" s="2"/>
      <c r="H582" s="20" t="s">
        <v>745</v>
      </c>
      <c r="I582" s="19">
        <v>0</v>
      </c>
      <c r="J582" s="19">
        <v>58.883765169999997</v>
      </c>
      <c r="K582" s="19">
        <v>60.53134155</v>
      </c>
      <c r="L582" s="19">
        <v>93.359371949999996</v>
      </c>
      <c r="M582" s="19">
        <v>0</v>
      </c>
      <c r="N582" s="19">
        <v>61.572752340000001</v>
      </c>
      <c r="O582" s="19">
        <v>0</v>
      </c>
      <c r="P582" s="19">
        <v>9.7770368960000003</v>
      </c>
      <c r="Q582" s="19">
        <v>0</v>
      </c>
      <c r="R582" s="19">
        <v>237.0482409</v>
      </c>
      <c r="S582" s="19">
        <v>2.1590340769999998</v>
      </c>
      <c r="T582" s="19">
        <v>0</v>
      </c>
      <c r="U582" s="19">
        <v>0</v>
      </c>
      <c r="V582" s="19">
        <v>0</v>
      </c>
      <c r="W582" s="19">
        <v>1.041063965</v>
      </c>
      <c r="X582" s="19">
        <v>0</v>
      </c>
      <c r="Y582" s="19">
        <v>414.2420123</v>
      </c>
      <c r="Z582" s="19">
        <v>55.799941490000002</v>
      </c>
      <c r="AA582" s="19">
        <v>5.8445647430000003</v>
      </c>
      <c r="AB582" s="19">
        <v>0</v>
      </c>
      <c r="AC582" s="19">
        <v>25.283478240000001</v>
      </c>
      <c r="AD582" s="19">
        <v>51.007249389999998</v>
      </c>
      <c r="AE582" s="19">
        <v>0</v>
      </c>
      <c r="AF582" s="19">
        <v>0</v>
      </c>
      <c r="AG582" s="19">
        <v>19.70368835</v>
      </c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</row>
    <row r="583" spans="1:71" x14ac:dyDescent="0.35">
      <c r="A583" s="2"/>
      <c r="B583" s="2"/>
      <c r="C583" s="20" t="s">
        <v>746</v>
      </c>
      <c r="D583" s="19">
        <v>144.8509</v>
      </c>
      <c r="E583" s="19">
        <v>34.94632</v>
      </c>
      <c r="F583" s="2"/>
      <c r="G583" s="2"/>
      <c r="H583" s="20" t="s">
        <v>746</v>
      </c>
      <c r="I583" s="19">
        <v>0</v>
      </c>
      <c r="J583" s="19">
        <v>54.424733940000003</v>
      </c>
      <c r="K583" s="19">
        <v>11.26849402</v>
      </c>
      <c r="L583" s="19">
        <v>0</v>
      </c>
      <c r="M583" s="19">
        <v>0</v>
      </c>
      <c r="N583" s="19">
        <v>14.619822689999999</v>
      </c>
      <c r="O583" s="19">
        <v>0</v>
      </c>
      <c r="P583" s="19">
        <v>22.727326390000002</v>
      </c>
      <c r="Q583" s="19">
        <v>39.313726809999999</v>
      </c>
      <c r="R583" s="19">
        <v>254.68969949999999</v>
      </c>
      <c r="S583" s="19">
        <v>7.4659309140000003</v>
      </c>
      <c r="T583" s="19">
        <v>0</v>
      </c>
      <c r="U583" s="19">
        <v>0</v>
      </c>
      <c r="V583" s="19">
        <v>0</v>
      </c>
      <c r="W583" s="19">
        <v>74.81614132</v>
      </c>
      <c r="X583" s="19">
        <v>0</v>
      </c>
      <c r="Y583" s="19">
        <v>158.69509769999999</v>
      </c>
      <c r="Z583" s="19">
        <v>436.02889690000001</v>
      </c>
      <c r="AA583" s="19">
        <v>51.200199339999998</v>
      </c>
      <c r="AB583" s="19">
        <v>0</v>
      </c>
      <c r="AC583" s="19">
        <v>28.759811259999999</v>
      </c>
      <c r="AD583" s="19">
        <v>15.43818057</v>
      </c>
      <c r="AE583" s="19">
        <v>0</v>
      </c>
      <c r="AF583" s="19">
        <v>82.957700000000003</v>
      </c>
      <c r="AG583" s="19">
        <v>14.447808909999999</v>
      </c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</row>
    <row r="584" spans="1:71" x14ac:dyDescent="0.35">
      <c r="A584" s="2"/>
      <c r="B584" s="2"/>
      <c r="C584" s="20" t="s">
        <v>747</v>
      </c>
      <c r="D584" s="19">
        <v>264.86779999999999</v>
      </c>
      <c r="E584" s="19">
        <v>64.586820000000003</v>
      </c>
      <c r="F584" s="2"/>
      <c r="G584" s="2"/>
      <c r="H584" s="20" t="s">
        <v>747</v>
      </c>
      <c r="I584" s="19">
        <v>23.097659180000001</v>
      </c>
      <c r="J584" s="19">
        <v>101.4741823</v>
      </c>
      <c r="K584" s="19">
        <v>41.086996310000004</v>
      </c>
      <c r="L584" s="19">
        <v>178.31242449999999</v>
      </c>
      <c r="M584" s="19">
        <v>0</v>
      </c>
      <c r="N584" s="19">
        <v>171.8086338</v>
      </c>
      <c r="O584" s="19">
        <v>0</v>
      </c>
      <c r="P584" s="19">
        <v>7.691818939</v>
      </c>
      <c r="Q584" s="19">
        <v>0</v>
      </c>
      <c r="R584" s="19">
        <v>467.93641980000001</v>
      </c>
      <c r="S584" s="19">
        <v>131.28460749999999</v>
      </c>
      <c r="T584" s="19">
        <v>0</v>
      </c>
      <c r="U584" s="19">
        <v>0</v>
      </c>
      <c r="V584" s="19">
        <v>0</v>
      </c>
      <c r="W584" s="19">
        <v>290.59831839999998</v>
      </c>
      <c r="X584" s="19">
        <v>18.729584119999998</v>
      </c>
      <c r="Y584" s="19">
        <v>4840.5761279999997</v>
      </c>
      <c r="Z584" s="19">
        <v>988.41698180000003</v>
      </c>
      <c r="AA584" s="19">
        <v>582.40748659999997</v>
      </c>
      <c r="AB584" s="19">
        <v>0</v>
      </c>
      <c r="AC584" s="19">
        <v>7.920839215</v>
      </c>
      <c r="AD584" s="19">
        <v>46.420331169999997</v>
      </c>
      <c r="AE584" s="19">
        <v>0</v>
      </c>
      <c r="AF584" s="19">
        <v>59.27957</v>
      </c>
      <c r="AG584" s="19">
        <v>24.88083344</v>
      </c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</row>
    <row r="585" spans="1:71" x14ac:dyDescent="0.35">
      <c r="A585" s="2"/>
      <c r="B585" s="2"/>
      <c r="C585" s="20" t="s">
        <v>748</v>
      </c>
      <c r="D585" s="19">
        <v>959.89110000000005</v>
      </c>
      <c r="E585" s="19">
        <v>276.95150000000001</v>
      </c>
      <c r="F585" s="2"/>
      <c r="G585" s="2"/>
      <c r="H585" s="20" t="s">
        <v>748</v>
      </c>
      <c r="I585" s="19">
        <v>3754.6514980000002</v>
      </c>
      <c r="J585" s="19">
        <v>321.11550410000001</v>
      </c>
      <c r="K585" s="19">
        <v>62.193198549999998</v>
      </c>
      <c r="L585" s="19">
        <v>1758.7570940000001</v>
      </c>
      <c r="M585" s="19">
        <v>307.37923810000001</v>
      </c>
      <c r="N585" s="19">
        <v>3259.169261</v>
      </c>
      <c r="O585" s="19">
        <v>109.0579065</v>
      </c>
      <c r="P585" s="19">
        <v>134.69716639999999</v>
      </c>
      <c r="Q585" s="19">
        <v>3688.3164379999998</v>
      </c>
      <c r="R585" s="19">
        <v>1913.6116469999999</v>
      </c>
      <c r="S585" s="19">
        <v>101.8513651</v>
      </c>
      <c r="T585" s="19">
        <v>1392.879772</v>
      </c>
      <c r="U585" s="19">
        <v>4.8743933110000004</v>
      </c>
      <c r="V585" s="19">
        <v>0</v>
      </c>
      <c r="W585" s="19">
        <v>11383.54371</v>
      </c>
      <c r="X585" s="19">
        <v>126.0535457</v>
      </c>
      <c r="Y585" s="19">
        <v>72415.332760000005</v>
      </c>
      <c r="Z585" s="19">
        <v>56760.824390000002</v>
      </c>
      <c r="AA585" s="19">
        <v>2444.5232970000002</v>
      </c>
      <c r="AB585" s="19">
        <v>17.501264800000001</v>
      </c>
      <c r="AC585" s="19">
        <v>8459.4172309999994</v>
      </c>
      <c r="AD585" s="19">
        <v>280.20563170000003</v>
      </c>
      <c r="AE585" s="19">
        <v>0</v>
      </c>
      <c r="AF585" s="19">
        <v>30.91892</v>
      </c>
      <c r="AG585" s="19">
        <v>0</v>
      </c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</row>
    <row r="586" spans="1:71" x14ac:dyDescent="0.35">
      <c r="A586" s="2"/>
      <c r="B586" s="2"/>
      <c r="C586" s="2"/>
      <c r="D586" s="2"/>
      <c r="E586" s="2"/>
      <c r="F586" s="2"/>
      <c r="G586" s="2"/>
      <c r="H586" s="2"/>
      <c r="I586" s="2" t="s">
        <v>591</v>
      </c>
      <c r="J586" s="2" t="s">
        <v>591</v>
      </c>
      <c r="K586" s="2" t="s">
        <v>591</v>
      </c>
      <c r="L586" s="2" t="s">
        <v>591</v>
      </c>
      <c r="M586" s="2" t="s">
        <v>591</v>
      </c>
      <c r="N586" s="2" t="s">
        <v>591</v>
      </c>
      <c r="O586" s="2" t="s">
        <v>591</v>
      </c>
      <c r="P586" s="2" t="s">
        <v>591</v>
      </c>
      <c r="Q586" s="2" t="s">
        <v>591</v>
      </c>
      <c r="R586" s="2" t="s">
        <v>591</v>
      </c>
      <c r="S586" s="2" t="s">
        <v>591</v>
      </c>
      <c r="T586" s="2" t="s">
        <v>590</v>
      </c>
      <c r="U586" s="2" t="s">
        <v>590</v>
      </c>
      <c r="V586" s="2" t="s">
        <v>590</v>
      </c>
      <c r="W586" s="2" t="s">
        <v>591</v>
      </c>
      <c r="X586" s="2"/>
      <c r="Y586" s="2" t="s">
        <v>590</v>
      </c>
      <c r="Z586" s="2" t="s">
        <v>590</v>
      </c>
      <c r="AA586" s="2"/>
      <c r="AB586" s="21"/>
      <c r="AC586" s="2" t="s">
        <v>591</v>
      </c>
      <c r="AD586" s="2" t="s">
        <v>590</v>
      </c>
      <c r="AE586" s="2" t="s">
        <v>590</v>
      </c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</row>
    <row r="587" spans="1:71" x14ac:dyDescent="0.35">
      <c r="A587" s="2"/>
      <c r="B587" s="2"/>
      <c r="C587" s="2"/>
      <c r="D587" s="2"/>
      <c r="E587" s="2"/>
      <c r="F587" s="2"/>
      <c r="G587" s="2"/>
      <c r="H587" s="2"/>
      <c r="I587" s="2" t="s">
        <v>34</v>
      </c>
      <c r="J587" s="2" t="s">
        <v>34</v>
      </c>
      <c r="K587" s="2" t="s">
        <v>34</v>
      </c>
      <c r="L587" s="2" t="s">
        <v>34</v>
      </c>
      <c r="M587" s="2" t="s">
        <v>34</v>
      </c>
      <c r="N587" s="2" t="s">
        <v>34</v>
      </c>
      <c r="O587" s="2" t="s">
        <v>34</v>
      </c>
      <c r="P587" s="2" t="s">
        <v>34</v>
      </c>
      <c r="Q587" s="2"/>
      <c r="R587" s="2" t="s">
        <v>34</v>
      </c>
      <c r="S587" s="2"/>
      <c r="T587" s="2" t="s">
        <v>74</v>
      </c>
      <c r="U587" s="2" t="s">
        <v>74</v>
      </c>
      <c r="V587" s="2" t="s">
        <v>74</v>
      </c>
      <c r="W587" s="2"/>
      <c r="X587" s="2"/>
      <c r="Y587" s="2" t="s">
        <v>74</v>
      </c>
      <c r="Z587" s="2" t="s">
        <v>74</v>
      </c>
      <c r="AA587" s="2"/>
      <c r="AB587" s="21"/>
      <c r="AC587" s="2" t="s">
        <v>82</v>
      </c>
      <c r="AD587" s="2" t="s">
        <v>74</v>
      </c>
      <c r="AE587" s="2" t="s">
        <v>74</v>
      </c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</row>
    <row r="588" spans="1:71" x14ac:dyDescent="0.35">
      <c r="A588" s="2"/>
      <c r="B588" s="2"/>
      <c r="C588" s="2"/>
      <c r="D588" s="2"/>
      <c r="E588" s="2"/>
      <c r="F588" s="2"/>
      <c r="G588" s="2"/>
      <c r="H588" s="2"/>
      <c r="I588" s="6" t="s">
        <v>788</v>
      </c>
      <c r="J588" s="6"/>
      <c r="K588" s="6"/>
      <c r="L588" s="6"/>
      <c r="M588" s="6"/>
      <c r="N588" s="6"/>
      <c r="O588" s="6"/>
      <c r="P588" s="6"/>
      <c r="Q588" s="6"/>
      <c r="R588" s="6"/>
      <c r="S588" s="6" t="s">
        <v>789</v>
      </c>
      <c r="T588" s="6"/>
      <c r="U588" s="6"/>
      <c r="V588" s="6"/>
      <c r="W588" s="6"/>
      <c r="X588" s="6"/>
      <c r="Y588" s="6"/>
      <c r="Z588" s="6"/>
      <c r="AA588" s="6"/>
      <c r="AB588" s="6"/>
      <c r="AC588" s="6" t="s">
        <v>790</v>
      </c>
      <c r="AD588" s="6"/>
      <c r="AE588" s="6"/>
      <c r="AF588" s="6"/>
      <c r="AG588" s="6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</row>
    <row r="589" spans="1:71" x14ac:dyDescent="0.35">
      <c r="A589" s="2"/>
      <c r="B589" s="2"/>
      <c r="C589" s="2"/>
      <c r="D589" s="2"/>
      <c r="E589" s="2"/>
      <c r="F589" s="2"/>
      <c r="G589" s="2"/>
      <c r="H589" s="2"/>
      <c r="I589" s="6"/>
      <c r="J589" s="6" t="s">
        <v>791</v>
      </c>
      <c r="K589" s="6"/>
      <c r="L589" s="6"/>
      <c r="M589" s="6"/>
      <c r="N589" s="6"/>
      <c r="O589" s="6"/>
      <c r="P589" s="6"/>
      <c r="Q589" s="6"/>
      <c r="R589" s="6"/>
      <c r="S589" s="6"/>
      <c r="T589" s="6" t="s">
        <v>792</v>
      </c>
      <c r="U589" s="6"/>
      <c r="V589" s="6"/>
      <c r="W589" s="6"/>
      <c r="X589" s="6"/>
      <c r="Y589" s="6"/>
      <c r="Z589" s="6"/>
      <c r="AA589" s="6"/>
      <c r="AB589" s="6"/>
      <c r="AC589" s="6"/>
      <c r="AD589" s="6" t="s">
        <v>793</v>
      </c>
      <c r="AE589" s="6"/>
      <c r="AF589" s="6"/>
      <c r="AG589" s="6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</row>
    <row r="590" spans="1:71" x14ac:dyDescent="0.35">
      <c r="A590" s="2"/>
      <c r="B590" s="2"/>
      <c r="C590" s="2"/>
      <c r="D590" s="2"/>
      <c r="E590" s="2"/>
      <c r="F590" s="2"/>
      <c r="G590" s="2"/>
      <c r="H590" s="2"/>
      <c r="I590" s="6"/>
      <c r="J590" s="6"/>
      <c r="K590" s="6" t="s">
        <v>794</v>
      </c>
      <c r="L590" s="6"/>
      <c r="M590" s="6"/>
      <c r="N590" s="6"/>
      <c r="O590" s="6"/>
      <c r="P590" s="6"/>
      <c r="Q590" s="6"/>
      <c r="R590" s="6"/>
      <c r="S590" s="6"/>
      <c r="T590" s="6"/>
      <c r="U590" s="6" t="s">
        <v>795</v>
      </c>
      <c r="V590" s="6"/>
      <c r="W590" s="6"/>
      <c r="X590" s="6"/>
      <c r="Y590" s="6"/>
      <c r="Z590" s="6"/>
      <c r="AA590" s="6"/>
      <c r="AB590" s="6"/>
      <c r="AC590" s="6"/>
      <c r="AD590" s="6"/>
      <c r="AE590" s="6" t="s">
        <v>796</v>
      </c>
      <c r="AF590" s="6"/>
      <c r="AG590" s="6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</row>
    <row r="591" spans="1:71" x14ac:dyDescent="0.35">
      <c r="A591" s="2"/>
      <c r="B591" s="2"/>
      <c r="C591" s="2"/>
      <c r="D591" s="2"/>
      <c r="E591" s="2"/>
      <c r="F591" s="2"/>
      <c r="G591" s="2"/>
      <c r="H591" s="2"/>
      <c r="I591" s="6"/>
      <c r="J591" s="6"/>
      <c r="K591" s="6"/>
      <c r="L591" s="6" t="s">
        <v>797</v>
      </c>
      <c r="M591" s="6"/>
      <c r="N591" s="6"/>
      <c r="O591" s="6"/>
      <c r="P591" s="6"/>
      <c r="Q591" s="6"/>
      <c r="R591" s="6"/>
      <c r="S591" s="6"/>
      <c r="T591" s="6"/>
      <c r="U591" s="6"/>
      <c r="V591" s="6" t="s">
        <v>798</v>
      </c>
      <c r="W591" s="6"/>
      <c r="X591" s="6"/>
      <c r="Y591" s="6"/>
      <c r="Z591" s="6"/>
      <c r="AA591" s="6"/>
      <c r="AB591" s="6"/>
      <c r="AC591" s="6"/>
      <c r="AD591" s="6"/>
      <c r="AE591" s="6"/>
      <c r="AF591" s="6" t="s">
        <v>799</v>
      </c>
      <c r="AG591" s="6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</row>
    <row r="592" spans="1:71" x14ac:dyDescent="0.35">
      <c r="A592" s="2"/>
      <c r="B592" s="2"/>
      <c r="C592" s="2"/>
      <c r="D592" s="2"/>
      <c r="E592" s="2"/>
      <c r="F592" s="2"/>
      <c r="G592" s="2"/>
      <c r="H592" s="2"/>
      <c r="I592" s="6"/>
      <c r="J592" s="6"/>
      <c r="K592" s="6"/>
      <c r="L592" s="6"/>
      <c r="M592" s="6" t="s">
        <v>800</v>
      </c>
      <c r="N592" s="6"/>
      <c r="O592" s="6"/>
      <c r="P592" s="6"/>
      <c r="Q592" s="6"/>
      <c r="R592" s="6"/>
      <c r="S592" s="6"/>
      <c r="T592" s="6"/>
      <c r="U592" s="6"/>
      <c r="V592" s="6"/>
      <c r="W592" s="6" t="s">
        <v>801</v>
      </c>
      <c r="X592" s="6"/>
      <c r="Y592" s="6"/>
      <c r="Z592" s="6"/>
      <c r="AA592" s="6"/>
      <c r="AB592" s="6"/>
      <c r="AC592" s="6"/>
      <c r="AD592" s="6"/>
      <c r="AE592" s="6"/>
      <c r="AF592" s="6"/>
      <c r="AG592" s="6" t="s">
        <v>802</v>
      </c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</row>
    <row r="593" spans="1:71" x14ac:dyDescent="0.35">
      <c r="A593" s="2"/>
      <c r="B593" s="2"/>
      <c r="C593" s="2"/>
      <c r="D593" s="2"/>
      <c r="E593" s="2"/>
      <c r="F593" s="2"/>
      <c r="G593" s="2"/>
      <c r="H593" s="2"/>
      <c r="I593" s="6"/>
      <c r="J593" s="6"/>
      <c r="K593" s="6"/>
      <c r="L593" s="6"/>
      <c r="M593" s="6"/>
      <c r="N593" s="6" t="s">
        <v>803</v>
      </c>
      <c r="O593" s="6"/>
      <c r="P593" s="6"/>
      <c r="Q593" s="6"/>
      <c r="R593" s="6"/>
      <c r="S593" s="6"/>
      <c r="T593" s="6"/>
      <c r="U593" s="6"/>
      <c r="V593" s="6"/>
      <c r="W593" s="6"/>
      <c r="X593" s="6" t="s">
        <v>804</v>
      </c>
      <c r="Y593" s="6"/>
      <c r="Z593" s="6"/>
      <c r="AA593" s="6"/>
      <c r="AB593" s="6"/>
      <c r="AC593" s="6"/>
      <c r="AD593" s="6"/>
      <c r="AE593" s="6"/>
      <c r="AF593" s="6"/>
      <c r="AG593" s="6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</row>
    <row r="594" spans="1:71" x14ac:dyDescent="0.35">
      <c r="A594" s="2"/>
      <c r="B594" s="2"/>
      <c r="C594" s="2"/>
      <c r="D594" s="2"/>
      <c r="E594" s="2"/>
      <c r="F594" s="2"/>
      <c r="G594" s="2"/>
      <c r="H594" s="2"/>
      <c r="I594" s="6"/>
      <c r="J594" s="6"/>
      <c r="K594" s="6"/>
      <c r="L594" s="6"/>
      <c r="M594" s="6"/>
      <c r="N594" s="6"/>
      <c r="O594" s="6" t="s">
        <v>805</v>
      </c>
      <c r="P594" s="6"/>
      <c r="Q594" s="6"/>
      <c r="R594" s="6"/>
      <c r="S594" s="6"/>
      <c r="T594" s="6"/>
      <c r="U594" s="6"/>
      <c r="V594" s="6"/>
      <c r="W594" s="6"/>
      <c r="X594" s="6"/>
      <c r="Y594" s="6" t="s">
        <v>806</v>
      </c>
      <c r="Z594" s="6"/>
      <c r="AA594" s="6"/>
      <c r="AB594" s="6"/>
      <c r="AC594" s="6"/>
      <c r="AD594" s="6"/>
      <c r="AE594" s="6"/>
      <c r="AF594" s="6"/>
      <c r="AG594" s="6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</row>
    <row r="595" spans="1:71" x14ac:dyDescent="0.35">
      <c r="A595" s="2"/>
      <c r="B595" s="2"/>
      <c r="C595" s="2"/>
      <c r="D595" s="2"/>
      <c r="E595" s="2"/>
      <c r="F595" s="2"/>
      <c r="G595" s="2"/>
      <c r="H595" s="2"/>
      <c r="I595" s="6"/>
      <c r="J595" s="6"/>
      <c r="K595" s="6"/>
      <c r="L595" s="6"/>
      <c r="M595" s="6"/>
      <c r="N595" s="6"/>
      <c r="O595" s="6"/>
      <c r="P595" s="6" t="s">
        <v>807</v>
      </c>
      <c r="Q595" s="6"/>
      <c r="R595" s="6"/>
      <c r="S595" s="6"/>
      <c r="T595" s="6"/>
      <c r="U595" s="6"/>
      <c r="V595" s="6"/>
      <c r="W595" s="6"/>
      <c r="X595" s="6"/>
      <c r="Y595" s="6"/>
      <c r="Z595" s="6" t="s">
        <v>808</v>
      </c>
      <c r="AA595" s="6"/>
      <c r="AB595" s="6"/>
      <c r="AC595" s="6"/>
      <c r="AD595" s="6"/>
      <c r="AE595" s="6"/>
      <c r="AF595" s="6"/>
      <c r="AG595" s="6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</row>
    <row r="596" spans="1:71" x14ac:dyDescent="0.35">
      <c r="A596" s="2"/>
      <c r="B596" s="2"/>
      <c r="C596" s="2"/>
      <c r="D596" s="2"/>
      <c r="E596" s="2"/>
      <c r="F596" s="2"/>
      <c r="G596" s="2"/>
      <c r="H596" s="2"/>
      <c r="I596" s="6"/>
      <c r="J596" s="6"/>
      <c r="K596" s="6"/>
      <c r="L596" s="6"/>
      <c r="M596" s="6"/>
      <c r="N596" s="6"/>
      <c r="O596" s="6"/>
      <c r="P596" s="6"/>
      <c r="Q596" s="6" t="s">
        <v>809</v>
      </c>
      <c r="R596" s="6"/>
      <c r="S596" s="6"/>
      <c r="T596" s="6"/>
      <c r="U596" s="6"/>
      <c r="V596" s="6"/>
      <c r="W596" s="6"/>
      <c r="X596" s="6"/>
      <c r="Y596" s="6"/>
      <c r="Z596" s="6"/>
      <c r="AA596" s="6" t="s">
        <v>810</v>
      </c>
      <c r="AB596" s="6"/>
      <c r="AC596" s="6"/>
      <c r="AD596" s="6"/>
      <c r="AE596" s="6"/>
      <c r="AF596" s="6"/>
      <c r="AG596" s="6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</row>
    <row r="597" spans="1:71" x14ac:dyDescent="0.35">
      <c r="A597" s="2"/>
      <c r="B597" s="2"/>
      <c r="C597" s="2"/>
      <c r="D597" s="2"/>
      <c r="E597" s="2"/>
      <c r="F597" s="2"/>
      <c r="G597" s="2"/>
      <c r="H597" s="2"/>
      <c r="I597" s="6"/>
      <c r="J597" s="6"/>
      <c r="K597" s="6"/>
      <c r="L597" s="6"/>
      <c r="M597" s="6"/>
      <c r="N597" s="6"/>
      <c r="O597" s="6"/>
      <c r="P597" s="6"/>
      <c r="Q597" s="6"/>
      <c r="R597" s="6" t="s">
        <v>811</v>
      </c>
      <c r="S597" s="6"/>
      <c r="T597" s="6"/>
      <c r="U597" s="6"/>
      <c r="V597" s="6"/>
      <c r="W597" s="6"/>
      <c r="X597" s="6"/>
      <c r="Y597" s="6"/>
      <c r="Z597" s="6"/>
      <c r="AA597" s="6"/>
      <c r="AB597" s="6" t="s">
        <v>812</v>
      </c>
      <c r="AC597" s="6"/>
      <c r="AD597" s="6"/>
      <c r="AE597" s="6"/>
      <c r="AF597" s="6"/>
      <c r="AG597" s="6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</row>
    <row r="598" spans="1:7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</row>
    <row r="599" spans="1:7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</row>
    <row r="600" spans="1:7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</row>
    <row r="601" spans="1:7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</row>
    <row r="602" spans="1:7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</row>
    <row r="603" spans="1:7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</row>
    <row r="604" spans="1:7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</row>
    <row r="605" spans="1:7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</row>
    <row r="606" spans="1:7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</row>
    <row r="607" spans="1:7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</row>
    <row r="608" spans="1:7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</row>
  </sheetData>
  <conditionalFormatting sqref="BF7:BQ110">
    <cfRule type="cellIs" dxfId="32" priority="37" operator="equal">
      <formula>1</formula>
    </cfRule>
    <cfRule type="cellIs" dxfId="31" priority="38" operator="lessThan">
      <formula>1</formula>
    </cfRule>
    <cfRule type="cellIs" dxfId="30" priority="39" operator="greaterThan">
      <formula>1</formula>
    </cfRule>
  </conditionalFormatting>
  <conditionalFormatting sqref="AN7:AO110">
    <cfRule type="cellIs" dxfId="29" priority="34" operator="equal">
      <formula>1</formula>
    </cfRule>
    <cfRule type="cellIs" dxfId="28" priority="35" operator="lessThan">
      <formula>1</formula>
    </cfRule>
    <cfRule type="cellIs" dxfId="27" priority="36" operator="greaterThan">
      <formula>1</formula>
    </cfRule>
  </conditionalFormatting>
  <conditionalFormatting sqref="AK7:AM109">
    <cfRule type="cellIs" dxfId="26" priority="33" operator="lessThan">
      <formula>0.01</formula>
    </cfRule>
  </conditionalFormatting>
  <conditionalFormatting sqref="D7:O110">
    <cfRule type="cellIs" dxfId="25" priority="32" operator="between">
      <formula>0.000000001</formula>
      <formula>0.01</formula>
    </cfRule>
  </conditionalFormatting>
  <conditionalFormatting sqref="AI7:AJ110">
    <cfRule type="cellIs" dxfId="24" priority="31" operator="equal">
      <formula>0</formula>
    </cfRule>
  </conditionalFormatting>
  <conditionalFormatting sqref="D117:D220">
    <cfRule type="cellIs" dxfId="23" priority="30" operator="between">
      <formula>0.000000001</formula>
      <formula>0.01</formula>
    </cfRule>
  </conditionalFormatting>
  <conditionalFormatting sqref="X229:X332">
    <cfRule type="cellIs" dxfId="22" priority="29" operator="between">
      <formula>0.000000001</formula>
      <formula>0.01</formula>
    </cfRule>
  </conditionalFormatting>
  <conditionalFormatting sqref="P7:P110">
    <cfRule type="cellIs" dxfId="21" priority="28" operator="between">
      <formula>0.000000001</formula>
      <formula>0.01</formula>
    </cfRule>
  </conditionalFormatting>
  <conditionalFormatting sqref="X339:X442">
    <cfRule type="cellIs" dxfId="20" priority="24" operator="between">
      <formula>0.000000001</formula>
      <formula>0.01</formula>
    </cfRule>
  </conditionalFormatting>
  <conditionalFormatting sqref="H117:H220">
    <cfRule type="cellIs" dxfId="19" priority="25" operator="equal">
      <formula>1</formula>
    </cfRule>
    <cfRule type="cellIs" dxfId="18" priority="26" operator="lessThan">
      <formula>1</formula>
    </cfRule>
    <cfRule type="cellIs" dxfId="17" priority="27" operator="greaterThan">
      <formula>1</formula>
    </cfRule>
  </conditionalFormatting>
  <conditionalFormatting sqref="AM452:BA471">
    <cfRule type="cellIs" dxfId="16" priority="18" operator="equal">
      <formula>1</formula>
    </cfRule>
    <cfRule type="cellIs" dxfId="15" priority="19" operator="lessThan">
      <formula>1</formula>
    </cfRule>
    <cfRule type="cellIs" dxfId="14" priority="20" operator="greaterThan">
      <formula>1</formula>
    </cfRule>
  </conditionalFormatting>
  <conditionalFormatting sqref="L505:Q521">
    <cfRule type="cellIs" dxfId="13" priority="15" operator="equal">
      <formula>1</formula>
    </cfRule>
    <cfRule type="cellIs" dxfId="12" priority="16" operator="lessThan">
      <formula>1</formula>
    </cfRule>
    <cfRule type="cellIs" dxfId="11" priority="17" operator="greaterThan">
      <formula>1</formula>
    </cfRule>
  </conditionalFormatting>
  <conditionalFormatting sqref="S157:W157">
    <cfRule type="containsText" dxfId="10" priority="11" operator="containsText" text="High">
      <formula>NOT(ISERROR(SEARCH("High",S157)))</formula>
    </cfRule>
  </conditionalFormatting>
  <conditionalFormatting sqref="S158:W158">
    <cfRule type="containsText" dxfId="9" priority="10" operator="containsText" text="High">
      <formula>NOT(ISERROR(SEARCH("High",S158)))</formula>
    </cfRule>
  </conditionalFormatting>
  <conditionalFormatting sqref="S159:W159">
    <cfRule type="containsText" dxfId="8" priority="9" operator="containsText" text="High">
      <formula>NOT(ISERROR(SEARCH("High",S159)))</formula>
    </cfRule>
  </conditionalFormatting>
  <conditionalFormatting sqref="S160:W160">
    <cfRule type="containsText" dxfId="7" priority="8" operator="containsText" text="High">
      <formula>NOT(ISERROR(SEARCH("High",S160)))</formula>
    </cfRule>
  </conditionalFormatting>
  <conditionalFormatting sqref="AU339:AU442">
    <cfRule type="cellIs" dxfId="6" priority="7" operator="lessThan">
      <formula>1</formula>
    </cfRule>
  </conditionalFormatting>
  <conditionalFormatting sqref="AB530:AH549">
    <cfRule type="cellIs" dxfId="5" priority="4" operator="equal">
      <formula>1</formula>
    </cfRule>
    <cfRule type="cellIs" dxfId="4" priority="5" operator="lessThan">
      <formula>1</formula>
    </cfRule>
    <cfRule type="cellIs" dxfId="3" priority="6" operator="greaterThan">
      <formula>1</formula>
    </cfRule>
  </conditionalFormatting>
  <conditionalFormatting sqref="AK452:AK471">
    <cfRule type="cellIs" dxfId="2" priority="1" operator="equal">
      <formula>1</formula>
    </cfRule>
    <cfRule type="cellIs" dxfId="1" priority="2" operator="lessThan">
      <formula>1</formula>
    </cfRule>
    <cfRule type="cellIs" dxfId="0" priority="3" operator="greaterThan">
      <formula>1</formula>
    </cfRule>
  </conditionalFormatting>
  <pageMargins left="0.7" right="0.7" top="0.75" bottom="0.75" header="0.3" footer="0.3"/>
  <ignoredErrors>
    <ignoredError sqref="S123:AL123" formulaRange="1"/>
    <ignoredError sqref="S134:Z135 S137:Z137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Notes</vt:lpstr>
      <vt:lpstr>Index</vt:lpstr>
      <vt:lpstr>Sets</vt:lpstr>
      <vt:lpstr>FA</vt:lpstr>
      <vt:lpstr>MF</vt:lpstr>
      <vt:lpstr>HF</vt:lpstr>
      <vt:lpstr>AH</vt:lpstr>
      <vt:lpstr>CH</vt:lpstr>
      <vt:lpstr>MH</vt:lpstr>
      <vt:lpstr>SVY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Thurlow</dc:creator>
  <cp:lastModifiedBy>Administrator</cp:lastModifiedBy>
  <dcterms:created xsi:type="dcterms:W3CDTF">2015-06-05T18:17:20Z</dcterms:created>
  <dcterms:modified xsi:type="dcterms:W3CDTF">2020-11-25T16:38:15Z</dcterms:modified>
</cp:coreProperties>
</file>