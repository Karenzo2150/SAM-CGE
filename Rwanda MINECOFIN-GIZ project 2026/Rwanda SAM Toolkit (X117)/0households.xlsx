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A3744F0-271A-45C0-B2A5-F712BB204C4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dex" sheetId="1" r:id="rId1"/>
    <sheet name="Data" sheetId="2" r:id="rId2"/>
    <sheet name="Work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6" i="2" l="1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K58" i="3" s="1"/>
  <c r="H57" i="2"/>
  <c r="G57" i="2"/>
  <c r="F57" i="2"/>
  <c r="E57" i="2"/>
  <c r="D57" i="2"/>
  <c r="C57" i="2"/>
  <c r="B57" i="2"/>
  <c r="I56" i="2"/>
  <c r="K57" i="3" s="1"/>
  <c r="H56" i="2"/>
  <c r="G56" i="2"/>
  <c r="F56" i="2"/>
  <c r="E56" i="2"/>
  <c r="D56" i="2"/>
  <c r="C56" i="2"/>
  <c r="B56" i="2"/>
  <c r="I55" i="2"/>
  <c r="K56" i="3" s="1"/>
  <c r="H55" i="2"/>
  <c r="G55" i="2"/>
  <c r="F55" i="2"/>
  <c r="E55" i="2"/>
  <c r="D55" i="2"/>
  <c r="C55" i="2"/>
  <c r="B55" i="2"/>
  <c r="I54" i="2"/>
  <c r="H54" i="2"/>
  <c r="G54" i="2"/>
  <c r="F54" i="2"/>
  <c r="E54" i="2"/>
  <c r="D54" i="2"/>
  <c r="C54" i="2"/>
  <c r="B54" i="2"/>
  <c r="I53" i="2"/>
  <c r="K54" i="3" s="1"/>
  <c r="H53" i="2"/>
  <c r="G53" i="2"/>
  <c r="F53" i="2"/>
  <c r="E53" i="2"/>
  <c r="D53" i="2"/>
  <c r="C53" i="2"/>
  <c r="B53" i="2"/>
  <c r="I52" i="2"/>
  <c r="K53" i="3" s="1"/>
  <c r="H52" i="2"/>
  <c r="G52" i="2"/>
  <c r="F52" i="2"/>
  <c r="E52" i="2"/>
  <c r="D52" i="2"/>
  <c r="C52" i="2"/>
  <c r="B52" i="2"/>
  <c r="I51" i="2"/>
  <c r="K52" i="3" s="1"/>
  <c r="H51" i="2"/>
  <c r="G51" i="2"/>
  <c r="F51" i="2"/>
  <c r="E51" i="2"/>
  <c r="D51" i="2"/>
  <c r="C51" i="2"/>
  <c r="B51" i="2"/>
  <c r="I50" i="2"/>
  <c r="H50" i="2"/>
  <c r="G50" i="2"/>
  <c r="F50" i="2"/>
  <c r="E50" i="2"/>
  <c r="D50" i="2"/>
  <c r="C50" i="2"/>
  <c r="B50" i="2"/>
  <c r="I49" i="2"/>
  <c r="K50" i="3" s="1"/>
  <c r="H49" i="2"/>
  <c r="G49" i="2"/>
  <c r="F49" i="2"/>
  <c r="E49" i="2"/>
  <c r="D49" i="2"/>
  <c r="C49" i="2"/>
  <c r="B49" i="2"/>
  <c r="I48" i="2"/>
  <c r="K49" i="3" s="1"/>
  <c r="H48" i="2"/>
  <c r="G48" i="2"/>
  <c r="F48" i="2"/>
  <c r="E48" i="2"/>
  <c r="D48" i="2"/>
  <c r="C48" i="2"/>
  <c r="B48" i="2"/>
  <c r="I47" i="2"/>
  <c r="K48" i="3" s="1"/>
  <c r="H47" i="2"/>
  <c r="G47" i="2"/>
  <c r="F47" i="2"/>
  <c r="E47" i="2"/>
  <c r="D47" i="2"/>
  <c r="C47" i="2"/>
  <c r="B47" i="2"/>
  <c r="I46" i="2"/>
  <c r="K47" i="3" s="1"/>
  <c r="H46" i="2"/>
  <c r="G46" i="2"/>
  <c r="F46" i="2"/>
  <c r="E46" i="2"/>
  <c r="D46" i="2"/>
  <c r="C46" i="2"/>
  <c r="B46" i="2"/>
  <c r="I45" i="2"/>
  <c r="K46" i="3" s="1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K44" i="3" s="1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S25" i="2"/>
  <c r="R25" i="2"/>
  <c r="Q25" i="2"/>
  <c r="P25" i="2"/>
  <c r="O25" i="2"/>
  <c r="N25" i="2"/>
  <c r="I25" i="2"/>
  <c r="H25" i="2"/>
  <c r="G25" i="2"/>
  <c r="F25" i="2"/>
  <c r="E25" i="2"/>
  <c r="D25" i="2"/>
  <c r="C25" i="2"/>
  <c r="B25" i="2"/>
  <c r="S24" i="2"/>
  <c r="R24" i="2"/>
  <c r="Q24" i="2"/>
  <c r="P24" i="2"/>
  <c r="O24" i="2"/>
  <c r="N24" i="2"/>
  <c r="I24" i="2"/>
  <c r="H24" i="2"/>
  <c r="G24" i="2"/>
  <c r="F24" i="2"/>
  <c r="E24" i="2"/>
  <c r="D24" i="2"/>
  <c r="C24" i="2"/>
  <c r="B24" i="2"/>
  <c r="S23" i="2"/>
  <c r="R23" i="2"/>
  <c r="Q23" i="2"/>
  <c r="L24" i="3" s="1"/>
  <c r="P23" i="2"/>
  <c r="O23" i="2"/>
  <c r="N23" i="2"/>
  <c r="I23" i="2"/>
  <c r="H23" i="2"/>
  <c r="G23" i="2"/>
  <c r="F23" i="2"/>
  <c r="E23" i="2"/>
  <c r="D23" i="2"/>
  <c r="C23" i="2"/>
  <c r="B23" i="2"/>
  <c r="S22" i="2"/>
  <c r="R22" i="2"/>
  <c r="Q22" i="2"/>
  <c r="P22" i="2"/>
  <c r="O22" i="2"/>
  <c r="N22" i="2"/>
  <c r="I23" i="3" s="1"/>
  <c r="I22" i="2"/>
  <c r="H22" i="2"/>
  <c r="G22" i="2"/>
  <c r="F22" i="2"/>
  <c r="E22" i="2"/>
  <c r="D22" i="2"/>
  <c r="C22" i="2"/>
  <c r="B22" i="2"/>
  <c r="S21" i="2"/>
  <c r="R21" i="2"/>
  <c r="Q21" i="2"/>
  <c r="P21" i="2"/>
  <c r="O21" i="2"/>
  <c r="N21" i="2"/>
  <c r="I21" i="2"/>
  <c r="H21" i="2"/>
  <c r="G21" i="2"/>
  <c r="F21" i="2"/>
  <c r="E21" i="2"/>
  <c r="D21" i="2"/>
  <c r="C21" i="2"/>
  <c r="B21" i="2"/>
  <c r="S20" i="2"/>
  <c r="R20" i="2"/>
  <c r="Q20" i="2"/>
  <c r="P20" i="2"/>
  <c r="O20" i="2"/>
  <c r="N20" i="2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I19" i="2"/>
  <c r="H19" i="2"/>
  <c r="G19" i="2"/>
  <c r="F19" i="2"/>
  <c r="E19" i="2"/>
  <c r="D19" i="2"/>
  <c r="C19" i="2"/>
  <c r="B19" i="2"/>
  <c r="S18" i="2"/>
  <c r="R18" i="2"/>
  <c r="M19" i="3" s="1"/>
  <c r="Q18" i="2"/>
  <c r="P18" i="2"/>
  <c r="O18" i="2"/>
  <c r="N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J18" i="3" s="1"/>
  <c r="N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I14" i="2"/>
  <c r="H14" i="2"/>
  <c r="G14" i="2"/>
  <c r="F14" i="2"/>
  <c r="E14" i="2"/>
  <c r="D14" i="2"/>
  <c r="C14" i="2"/>
  <c r="B14" i="2"/>
  <c r="S13" i="2"/>
  <c r="N14" i="3" s="1"/>
  <c r="R13" i="2"/>
  <c r="Q13" i="2"/>
  <c r="P13" i="2"/>
  <c r="O13" i="2"/>
  <c r="N13" i="2"/>
  <c r="I13" i="2"/>
  <c r="H13" i="2"/>
  <c r="G13" i="2"/>
  <c r="F13" i="2"/>
  <c r="E13" i="2"/>
  <c r="D13" i="2"/>
  <c r="C13" i="2"/>
  <c r="B13" i="2"/>
  <c r="S12" i="2"/>
  <c r="R12" i="2"/>
  <c r="Q12" i="2"/>
  <c r="P12" i="2"/>
  <c r="K13" i="3" s="1"/>
  <c r="O12" i="2"/>
  <c r="N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I8" i="2"/>
  <c r="H8" i="2"/>
  <c r="G8" i="2"/>
  <c r="F8" i="2"/>
  <c r="E8" i="2"/>
  <c r="D8" i="2"/>
  <c r="C8" i="2"/>
  <c r="B8" i="2"/>
  <c r="S7" i="2"/>
  <c r="R7" i="2"/>
  <c r="Q7" i="2"/>
  <c r="L8" i="3" s="1"/>
  <c r="P7" i="2"/>
  <c r="O7" i="2"/>
  <c r="N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I7" i="3" s="1"/>
  <c r="I6" i="2"/>
  <c r="H6" i="2"/>
  <c r="G6" i="2"/>
  <c r="F6" i="2"/>
  <c r="E6" i="2"/>
  <c r="D6" i="2"/>
  <c r="C6" i="2"/>
  <c r="B6" i="2"/>
  <c r="M18" i="3" l="1"/>
  <c r="M14" i="3"/>
  <c r="I18" i="3"/>
  <c r="S52" i="3"/>
  <c r="T52" i="3" s="1"/>
  <c r="J48" i="3"/>
  <c r="J9" i="3"/>
  <c r="L18" i="3"/>
  <c r="J25" i="3"/>
  <c r="L12" i="3"/>
  <c r="I9" i="3"/>
  <c r="P55" i="3"/>
  <c r="D12" i="3"/>
  <c r="I24" i="3"/>
  <c r="J8" i="3"/>
  <c r="J24" i="3"/>
  <c r="K25" i="3"/>
  <c r="K8" i="3"/>
  <c r="K24" i="3"/>
  <c r="M24" i="3"/>
  <c r="M12" i="3"/>
  <c r="G63" i="2"/>
  <c r="N16" i="3"/>
  <c r="J22" i="3"/>
  <c r="D52" i="3"/>
  <c r="D58" i="3"/>
  <c r="I22" i="3"/>
  <c r="P44" i="3"/>
  <c r="P60" i="3"/>
  <c r="L25" i="3"/>
  <c r="J23" i="3"/>
  <c r="G26" i="3"/>
  <c r="H59" i="3"/>
  <c r="H61" i="3"/>
  <c r="J7" i="3"/>
  <c r="M7" i="3"/>
  <c r="N19" i="3"/>
  <c r="E20" i="3"/>
  <c r="N7" i="3"/>
  <c r="K21" i="3"/>
  <c r="D66" i="2"/>
  <c r="D68" i="2"/>
  <c r="D70" i="2"/>
  <c r="P43" i="3"/>
  <c r="P51" i="3"/>
  <c r="P59" i="3"/>
  <c r="M23" i="3"/>
  <c r="L21" i="3"/>
  <c r="E66" i="2"/>
  <c r="E63" i="2"/>
  <c r="K23" i="3"/>
  <c r="I19" i="3"/>
  <c r="M21" i="3"/>
  <c r="F66" i="2"/>
  <c r="E32" i="2"/>
  <c r="G33" i="2"/>
  <c r="O35" i="2"/>
  <c r="J19" i="3"/>
  <c r="N21" i="3"/>
  <c r="G61" i="2"/>
  <c r="K19" i="3"/>
  <c r="N12" i="3"/>
  <c r="C104" i="2"/>
  <c r="D20" i="3"/>
  <c r="C66" i="2"/>
  <c r="E44" i="3"/>
  <c r="E46" i="3"/>
  <c r="E48" i="3"/>
  <c r="C69" i="2"/>
  <c r="O52" i="3"/>
  <c r="O54" i="3"/>
  <c r="E56" i="3"/>
  <c r="O58" i="3"/>
  <c r="E60" i="3"/>
  <c r="D16" i="3"/>
  <c r="I20" i="3"/>
  <c r="L32" i="2"/>
  <c r="L27" i="2"/>
  <c r="D63" i="2"/>
  <c r="F58" i="3"/>
  <c r="E16" i="3"/>
  <c r="J20" i="3"/>
  <c r="F14" i="3"/>
  <c r="G44" i="3"/>
  <c r="G46" i="3"/>
  <c r="G48" i="3"/>
  <c r="G50" i="3"/>
  <c r="G54" i="3"/>
  <c r="G56" i="3"/>
  <c r="G58" i="3"/>
  <c r="G60" i="3"/>
  <c r="O59" i="3"/>
  <c r="D32" i="2"/>
  <c r="F33" i="2"/>
  <c r="H34" i="2"/>
  <c r="N35" i="2"/>
  <c r="K20" i="3"/>
  <c r="J33" i="2"/>
  <c r="S50" i="3"/>
  <c r="T50" i="3" s="1"/>
  <c r="H44" i="3"/>
  <c r="H46" i="3"/>
  <c r="H48" i="3"/>
  <c r="H50" i="3"/>
  <c r="H52" i="3"/>
  <c r="H54" i="3"/>
  <c r="H56" i="3"/>
  <c r="H58" i="3"/>
  <c r="H60" i="3"/>
  <c r="B31" i="2"/>
  <c r="G10" i="3"/>
  <c r="G16" i="3"/>
  <c r="G18" i="3"/>
  <c r="L20" i="3"/>
  <c r="K33" i="2"/>
  <c r="I44" i="3"/>
  <c r="I46" i="3"/>
  <c r="I48" i="3"/>
  <c r="I50" i="3"/>
  <c r="I52" i="3"/>
  <c r="I54" i="3"/>
  <c r="I56" i="3"/>
  <c r="I58" i="3"/>
  <c r="I60" i="3"/>
  <c r="C98" i="2"/>
  <c r="O60" i="3"/>
  <c r="N20" i="3"/>
  <c r="O61" i="3"/>
  <c r="M20" i="3"/>
  <c r="I66" i="2"/>
  <c r="D60" i="3"/>
  <c r="O53" i="3"/>
  <c r="K18" i="3"/>
  <c r="I25" i="3"/>
  <c r="K26" i="3"/>
  <c r="S54" i="3"/>
  <c r="T54" i="3" s="1"/>
  <c r="B67" i="2"/>
  <c r="D47" i="3"/>
  <c r="O51" i="3"/>
  <c r="D53" i="3"/>
  <c r="D57" i="3"/>
  <c r="D59" i="3"/>
  <c r="P46" i="3"/>
  <c r="B103" i="2"/>
  <c r="E47" i="3"/>
  <c r="E57" i="3"/>
  <c r="E49" i="3"/>
  <c r="M25" i="3"/>
  <c r="E43" i="3"/>
  <c r="E51" i="3"/>
  <c r="L22" i="3"/>
  <c r="N9" i="3"/>
  <c r="N25" i="3"/>
  <c r="C97" i="2"/>
  <c r="E45" i="3"/>
  <c r="E53" i="3"/>
  <c r="H63" i="2"/>
  <c r="J59" i="3"/>
  <c r="J61" i="3"/>
  <c r="P57" i="3"/>
  <c r="C99" i="2"/>
  <c r="E33" i="2"/>
  <c r="S29" i="2"/>
  <c r="E26" i="3"/>
  <c r="M32" i="2"/>
  <c r="M27" i="2"/>
  <c r="G24" i="3"/>
  <c r="E28" i="2"/>
  <c r="M13" i="3"/>
  <c r="G66" i="2"/>
  <c r="P48" i="3"/>
  <c r="P56" i="3"/>
  <c r="E18" i="3"/>
  <c r="F16" i="3"/>
  <c r="K28" i="2"/>
  <c r="C67" i="2"/>
  <c r="E58" i="3"/>
  <c r="E67" i="2"/>
  <c r="C32" i="2"/>
  <c r="G23" i="3"/>
  <c r="J26" i="3"/>
  <c r="H66" i="2"/>
  <c r="J46" i="3"/>
  <c r="J50" i="3"/>
  <c r="J52" i="3"/>
  <c r="J54" i="3"/>
  <c r="J56" i="3"/>
  <c r="J58" i="3"/>
  <c r="J60" i="3"/>
  <c r="G67" i="2"/>
  <c r="O49" i="3"/>
  <c r="O57" i="3"/>
  <c r="F28" i="2"/>
  <c r="F60" i="3"/>
  <c r="C70" i="2"/>
  <c r="P50" i="3"/>
  <c r="P58" i="3"/>
  <c r="O27" i="2"/>
  <c r="L26" i="3"/>
  <c r="G20" i="3"/>
  <c r="O55" i="3"/>
  <c r="C101" i="2"/>
  <c r="O50" i="3"/>
  <c r="P45" i="3"/>
  <c r="G19" i="3"/>
  <c r="I26" i="3"/>
  <c r="K34" i="2"/>
  <c r="L34" i="2"/>
  <c r="L29" i="2"/>
  <c r="E21" i="3"/>
  <c r="L33" i="2"/>
  <c r="Q33" i="2"/>
  <c r="J16" i="3"/>
  <c r="N18" i="3"/>
  <c r="D69" i="2"/>
  <c r="D62" i="2"/>
  <c r="D64" i="2"/>
  <c r="G34" i="2"/>
  <c r="N13" i="3"/>
  <c r="R34" i="2"/>
  <c r="M26" i="3"/>
  <c r="N26" i="3"/>
  <c r="D67" i="2"/>
  <c r="K16" i="3"/>
  <c r="L7" i="3"/>
  <c r="L23" i="3"/>
  <c r="G43" i="3"/>
  <c r="E69" i="2"/>
  <c r="E62" i="2"/>
  <c r="E70" i="2"/>
  <c r="E64" i="2"/>
  <c r="P53" i="3"/>
  <c r="L13" i="3"/>
  <c r="P27" i="2"/>
  <c r="N32" i="2"/>
  <c r="J15" i="3"/>
  <c r="L16" i="3"/>
  <c r="K35" i="2"/>
  <c r="F8" i="3"/>
  <c r="N24" i="3"/>
  <c r="P54" i="3"/>
  <c r="I35" i="2"/>
  <c r="I17" i="3"/>
  <c r="K29" i="2"/>
  <c r="I16" i="3"/>
  <c r="M16" i="3"/>
  <c r="D26" i="3"/>
  <c r="L35" i="2"/>
  <c r="G9" i="3"/>
  <c r="S60" i="3"/>
  <c r="T60" i="3" s="1"/>
  <c r="I43" i="3"/>
  <c r="G69" i="2"/>
  <c r="G62" i="2"/>
  <c r="G64" i="2"/>
  <c r="I59" i="3"/>
  <c r="B104" i="2"/>
  <c r="P70" i="3" s="1"/>
  <c r="P61" i="3"/>
  <c r="B33" i="2"/>
  <c r="D34" i="2"/>
  <c r="I13" i="3"/>
  <c r="M15" i="3"/>
  <c r="F18" i="3"/>
  <c r="I21" i="3"/>
  <c r="P29" i="2"/>
  <c r="G11" i="3"/>
  <c r="I34" i="2"/>
  <c r="I67" i="2"/>
  <c r="K68" i="3" s="1"/>
  <c r="S45" i="3"/>
  <c r="T45" i="3" s="1"/>
  <c r="F51" i="3"/>
  <c r="D55" i="3"/>
  <c r="N23" i="3"/>
  <c r="B66" i="2"/>
  <c r="O44" i="3"/>
  <c r="B70" i="2"/>
  <c r="B63" i="2"/>
  <c r="C61" i="2"/>
  <c r="B99" i="2"/>
  <c r="E55" i="3"/>
  <c r="Q27" i="2"/>
  <c r="R35" i="2"/>
  <c r="E27" i="2"/>
  <c r="R32" i="2"/>
  <c r="M8" i="3"/>
  <c r="G49" i="3"/>
  <c r="B32" i="2"/>
  <c r="D33" i="2"/>
  <c r="F34" i="2"/>
  <c r="H35" i="2"/>
  <c r="N27" i="2"/>
  <c r="D28" i="2"/>
  <c r="R29" i="2"/>
  <c r="M22" i="3"/>
  <c r="F13" i="3"/>
  <c r="S48" i="3"/>
  <c r="T48" i="3" s="1"/>
  <c r="J43" i="3"/>
  <c r="J45" i="3"/>
  <c r="J47" i="3"/>
  <c r="J49" i="3"/>
  <c r="J51" i="3"/>
  <c r="J53" i="3"/>
  <c r="J55" i="3"/>
  <c r="J57" i="3"/>
  <c r="F63" i="2"/>
  <c r="H69" i="2"/>
  <c r="G13" i="3"/>
  <c r="E19" i="3"/>
  <c r="F24" i="3"/>
  <c r="J13" i="3"/>
  <c r="M11" i="3"/>
  <c r="F45" i="3"/>
  <c r="F48" i="3"/>
  <c r="H51" i="3"/>
  <c r="K60" i="3"/>
  <c r="O45" i="3"/>
  <c r="S59" i="3"/>
  <c r="T59" i="3" s="1"/>
  <c r="D14" i="3"/>
  <c r="S49" i="3"/>
  <c r="T49" i="3" s="1"/>
  <c r="L14" i="3"/>
  <c r="P47" i="3"/>
  <c r="B97" i="2"/>
  <c r="S51" i="3"/>
  <c r="T51" i="3" s="1"/>
  <c r="I63" i="2"/>
  <c r="K64" i="3" s="1"/>
  <c r="K14" i="3"/>
  <c r="D49" i="3"/>
  <c r="E52" i="3"/>
  <c r="F55" i="3"/>
  <c r="I61" i="3"/>
  <c r="O46" i="3"/>
  <c r="D26" i="2"/>
  <c r="F32" i="2"/>
  <c r="H33" i="2"/>
  <c r="N34" i="2"/>
  <c r="P35" i="2"/>
  <c r="R27" i="2"/>
  <c r="H28" i="2"/>
  <c r="B29" i="2"/>
  <c r="L28" i="2"/>
  <c r="T28" i="2"/>
  <c r="F17" i="3"/>
  <c r="F61" i="2"/>
  <c r="B64" i="2"/>
  <c r="H67" i="2"/>
  <c r="F70" i="2"/>
  <c r="O56" i="3"/>
  <c r="E15" i="3"/>
  <c r="F20" i="3"/>
  <c r="I8" i="3"/>
  <c r="D46" i="3"/>
  <c r="F52" i="3"/>
  <c r="H55" i="3"/>
  <c r="O47" i="3"/>
  <c r="I69" i="2"/>
  <c r="K70" i="3" s="1"/>
  <c r="I14" i="3"/>
  <c r="E61" i="2"/>
  <c r="E9" i="3"/>
  <c r="G14" i="3"/>
  <c r="K22" i="3"/>
  <c r="E26" i="2"/>
  <c r="G32" i="2"/>
  <c r="I33" i="2"/>
  <c r="O34" i="2"/>
  <c r="J10" i="3"/>
  <c r="Q35" i="2"/>
  <c r="L11" i="3"/>
  <c r="S27" i="2"/>
  <c r="I28" i="2"/>
  <c r="L19" i="3"/>
  <c r="C29" i="2"/>
  <c r="D18" i="3"/>
  <c r="C64" i="2"/>
  <c r="G70" i="2"/>
  <c r="P49" i="3"/>
  <c r="B102" i="2"/>
  <c r="E10" i="3"/>
  <c r="G15" i="3"/>
  <c r="N22" i="3"/>
  <c r="F49" i="3"/>
  <c r="G52" i="3"/>
  <c r="K55" i="3"/>
  <c r="K61" i="3"/>
  <c r="S47" i="3"/>
  <c r="T47" i="3" s="1"/>
  <c r="S61" i="3"/>
  <c r="T61" i="3" s="1"/>
  <c r="K43" i="3"/>
  <c r="H43" i="3"/>
  <c r="K51" i="3"/>
  <c r="P34" i="2"/>
  <c r="D29" i="2"/>
  <c r="J34" i="2"/>
  <c r="J29" i="2"/>
  <c r="F19" i="3"/>
  <c r="D19" i="3"/>
  <c r="H61" i="2"/>
  <c r="C68" i="2"/>
  <c r="H70" i="2"/>
  <c r="C102" i="2"/>
  <c r="F10" i="3"/>
  <c r="D21" i="3"/>
  <c r="F43" i="3"/>
  <c r="F46" i="3"/>
  <c r="H49" i="3"/>
  <c r="D56" i="3"/>
  <c r="O48" i="3"/>
  <c r="J14" i="3"/>
  <c r="N33" i="2"/>
  <c r="Q34" i="2"/>
  <c r="O28" i="2"/>
  <c r="E29" i="2"/>
  <c r="S55" i="3"/>
  <c r="T55" i="3" s="1"/>
  <c r="I61" i="2"/>
  <c r="E68" i="2"/>
  <c r="I70" i="2"/>
  <c r="K71" i="3" s="1"/>
  <c r="L15" i="3"/>
  <c r="K45" i="3"/>
  <c r="H45" i="3"/>
  <c r="G8" i="3"/>
  <c r="C26" i="2"/>
  <c r="N28" i="2"/>
  <c r="O33" i="2"/>
  <c r="H26" i="2"/>
  <c r="P33" i="2"/>
  <c r="K9" i="3"/>
  <c r="P28" i="2"/>
  <c r="F29" i="2"/>
  <c r="S56" i="3"/>
  <c r="T56" i="3" s="1"/>
  <c r="F21" i="3"/>
  <c r="J21" i="3"/>
  <c r="J44" i="3"/>
  <c r="B62" i="2"/>
  <c r="H64" i="2"/>
  <c r="F68" i="2"/>
  <c r="O42" i="3"/>
  <c r="E11" i="3"/>
  <c r="G21" i="3"/>
  <c r="I10" i="3"/>
  <c r="J17" i="3"/>
  <c r="D50" i="3"/>
  <c r="F56" i="3"/>
  <c r="F59" i="3"/>
  <c r="F26" i="2"/>
  <c r="I32" i="2"/>
  <c r="I26" i="2"/>
  <c r="C27" i="2"/>
  <c r="Q28" i="2"/>
  <c r="L17" i="3"/>
  <c r="G29" i="2"/>
  <c r="M34" i="2"/>
  <c r="M29" i="2"/>
  <c r="T29" i="2"/>
  <c r="D22" i="3"/>
  <c r="C62" i="2"/>
  <c r="I64" i="2"/>
  <c r="K65" i="3" s="1"/>
  <c r="G68" i="2"/>
  <c r="B105" i="2"/>
  <c r="E22" i="3"/>
  <c r="K10" i="3"/>
  <c r="K17" i="3"/>
  <c r="N15" i="3"/>
  <c r="D25" i="3"/>
  <c r="D44" i="3"/>
  <c r="E50" i="3"/>
  <c r="F53" i="3"/>
  <c r="E14" i="3"/>
  <c r="G28" i="2"/>
  <c r="G26" i="2"/>
  <c r="S35" i="2"/>
  <c r="N11" i="3"/>
  <c r="S34" i="2"/>
  <c r="N10" i="3"/>
  <c r="N31" i="2"/>
  <c r="P32" i="2"/>
  <c r="R33" i="2"/>
  <c r="B35" i="2"/>
  <c r="D27" i="2"/>
  <c r="I15" i="3"/>
  <c r="R28" i="2"/>
  <c r="F35" i="2"/>
  <c r="H29" i="2"/>
  <c r="J26" i="2"/>
  <c r="J35" i="2"/>
  <c r="J28" i="2"/>
  <c r="T26" i="2"/>
  <c r="F7" i="3"/>
  <c r="D7" i="3"/>
  <c r="S58" i="3"/>
  <c r="T58" i="3" s="1"/>
  <c r="F23" i="3"/>
  <c r="D23" i="3"/>
  <c r="D43" i="3"/>
  <c r="D45" i="3"/>
  <c r="H68" i="2"/>
  <c r="O43" i="3"/>
  <c r="C105" i="2"/>
  <c r="D17" i="3"/>
  <c r="F22" i="3"/>
  <c r="I11" i="3"/>
  <c r="E25" i="3"/>
  <c r="F50" i="3"/>
  <c r="H53" i="3"/>
  <c r="S42" i="3"/>
  <c r="T42" i="3" s="1"/>
  <c r="G45" i="3"/>
  <c r="O31" i="2"/>
  <c r="S28" i="2"/>
  <c r="I29" i="2"/>
  <c r="K26" i="2"/>
  <c r="T32" i="2"/>
  <c r="N8" i="3"/>
  <c r="E59" i="3"/>
  <c r="E61" i="3"/>
  <c r="I68" i="2"/>
  <c r="K69" i="3" s="1"/>
  <c r="P52" i="3"/>
  <c r="B98" i="2"/>
  <c r="B101" i="2"/>
  <c r="P42" i="3"/>
  <c r="E12" i="3"/>
  <c r="E17" i="3"/>
  <c r="G22" i="3"/>
  <c r="J11" i="3"/>
  <c r="L9" i="3"/>
  <c r="M17" i="3"/>
  <c r="F25" i="3"/>
  <c r="F44" i="3"/>
  <c r="F47" i="3"/>
  <c r="K59" i="3"/>
  <c r="S57" i="3"/>
  <c r="T57" i="3" s="1"/>
  <c r="I45" i="3"/>
  <c r="C35" i="2"/>
  <c r="B34" i="2"/>
  <c r="D35" i="2"/>
  <c r="F27" i="2"/>
  <c r="K15" i="3"/>
  <c r="N29" i="2"/>
  <c r="L26" i="2"/>
  <c r="T33" i="2"/>
  <c r="F9" i="3"/>
  <c r="H62" i="2"/>
  <c r="B69" i="2"/>
  <c r="C103" i="2"/>
  <c r="E7" i="3"/>
  <c r="F12" i="3"/>
  <c r="G17" i="3"/>
  <c r="E23" i="3"/>
  <c r="K11" i="3"/>
  <c r="M9" i="3"/>
  <c r="N17" i="3"/>
  <c r="G25" i="3"/>
  <c r="H47" i="3"/>
  <c r="D54" i="3"/>
  <c r="F15" i="3"/>
  <c r="D15" i="3"/>
  <c r="D9" i="3"/>
  <c r="G51" i="3"/>
  <c r="G53" i="3"/>
  <c r="G55" i="3"/>
  <c r="G57" i="3"/>
  <c r="G59" i="3"/>
  <c r="G61" i="3"/>
  <c r="I62" i="2"/>
  <c r="K63" i="3" s="1"/>
  <c r="G7" i="3"/>
  <c r="G12" i="3"/>
  <c r="I12" i="3"/>
  <c r="D51" i="3"/>
  <c r="E54" i="3"/>
  <c r="F57" i="3"/>
  <c r="S43" i="3"/>
  <c r="T43" i="3" s="1"/>
  <c r="F61" i="3"/>
  <c r="H32" i="2"/>
  <c r="S33" i="2"/>
  <c r="J32" i="2"/>
  <c r="T35" i="2"/>
  <c r="S46" i="3"/>
  <c r="T46" i="3" s="1"/>
  <c r="F11" i="3"/>
  <c r="D11" i="3"/>
  <c r="F67" i="2"/>
  <c r="F69" i="2"/>
  <c r="F62" i="2"/>
  <c r="F64" i="2"/>
  <c r="C63" i="2"/>
  <c r="D8" i="3"/>
  <c r="D13" i="3"/>
  <c r="D24" i="3"/>
  <c r="J12" i="3"/>
  <c r="L10" i="3"/>
  <c r="D48" i="3"/>
  <c r="F54" i="3"/>
  <c r="H57" i="3"/>
  <c r="D61" i="3"/>
  <c r="Q32" i="2"/>
  <c r="P31" i="2"/>
  <c r="K7" i="3"/>
  <c r="G47" i="3"/>
  <c r="R26" i="2"/>
  <c r="H27" i="2"/>
  <c r="F26" i="3"/>
  <c r="J27" i="2"/>
  <c r="O32" i="2"/>
  <c r="I47" i="3"/>
  <c r="I49" i="3"/>
  <c r="I51" i="3"/>
  <c r="I53" i="3"/>
  <c r="I55" i="3"/>
  <c r="I57" i="3"/>
  <c r="C96" i="2"/>
  <c r="E8" i="3"/>
  <c r="E13" i="3"/>
  <c r="E24" i="3"/>
  <c r="K12" i="3"/>
  <c r="M10" i="3"/>
  <c r="S44" i="3"/>
  <c r="T44" i="3" s="1"/>
  <c r="B61" i="2"/>
  <c r="B68" i="2"/>
  <c r="M33" i="2"/>
  <c r="M28" i="2"/>
  <c r="D61" i="2"/>
  <c r="S53" i="3"/>
  <c r="T53" i="3" s="1"/>
  <c r="Q26" i="2"/>
  <c r="S32" i="2"/>
  <c r="C34" i="2"/>
  <c r="E35" i="2"/>
  <c r="G27" i="2"/>
  <c r="O29" i="2"/>
  <c r="M31" i="2"/>
  <c r="M35" i="2"/>
  <c r="T34" i="2"/>
  <c r="S26" i="2"/>
  <c r="C33" i="2"/>
  <c r="E34" i="2"/>
  <c r="G35" i="2"/>
  <c r="I27" i="2"/>
  <c r="C28" i="2"/>
  <c r="Q29" i="2"/>
  <c r="K32" i="2"/>
  <c r="K27" i="2"/>
  <c r="T27" i="2"/>
  <c r="D10" i="3"/>
  <c r="B96" i="2"/>
  <c r="M26" i="2"/>
  <c r="Q31" i="2"/>
  <c r="N26" i="2"/>
  <c r="O26" i="2"/>
  <c r="C31" i="2"/>
  <c r="S31" i="2"/>
  <c r="P26" i="2"/>
  <c r="D31" i="2"/>
  <c r="T31" i="2"/>
  <c r="R31" i="2"/>
  <c r="E31" i="2"/>
  <c r="F31" i="2"/>
  <c r="G31" i="2"/>
  <c r="H31" i="2"/>
  <c r="I31" i="2"/>
  <c r="J31" i="2"/>
  <c r="K31" i="2"/>
  <c r="L31" i="2"/>
  <c r="L32" i="3" l="1"/>
  <c r="N30" i="3"/>
  <c r="H23" i="3"/>
  <c r="J28" i="3"/>
  <c r="C46" i="3"/>
  <c r="C58" i="3"/>
  <c r="H25" i="3"/>
  <c r="C56" i="3"/>
  <c r="C51" i="3"/>
  <c r="K32" i="3"/>
  <c r="G67" i="3"/>
  <c r="C26" i="3"/>
  <c r="O70" i="3"/>
  <c r="H24" i="3"/>
  <c r="F67" i="3"/>
  <c r="H67" i="3"/>
  <c r="C52" i="3"/>
  <c r="J67" i="3"/>
  <c r="H22" i="3"/>
  <c r="D67" i="3"/>
  <c r="J68" i="3"/>
  <c r="N33" i="3"/>
  <c r="E30" i="2"/>
  <c r="O71" i="3"/>
  <c r="C44" i="3"/>
  <c r="L33" i="3"/>
  <c r="C57" i="3"/>
  <c r="C43" i="3"/>
  <c r="C48" i="3"/>
  <c r="C23" i="3"/>
  <c r="C60" i="3"/>
  <c r="D65" i="3"/>
  <c r="I67" i="3"/>
  <c r="L34" i="3"/>
  <c r="K67" i="3"/>
  <c r="C24" i="3"/>
  <c r="C49" i="3"/>
  <c r="D68" i="3"/>
  <c r="O64" i="3"/>
  <c r="H65" i="3"/>
  <c r="P64" i="3"/>
  <c r="P63" i="3"/>
  <c r="P67" i="3"/>
  <c r="H68" i="3"/>
  <c r="E68" i="3"/>
  <c r="O65" i="3"/>
  <c r="C47" i="3"/>
  <c r="E67" i="3"/>
  <c r="F68" i="3"/>
  <c r="C45" i="3"/>
  <c r="C55" i="3"/>
  <c r="H26" i="3"/>
  <c r="I68" i="3"/>
  <c r="G65" i="2"/>
  <c r="D71" i="3"/>
  <c r="C53" i="3"/>
  <c r="C22" i="3"/>
  <c r="F30" i="2"/>
  <c r="E62" i="3"/>
  <c r="C59" i="3"/>
  <c r="D64" i="3"/>
  <c r="P69" i="3"/>
  <c r="O68" i="3"/>
  <c r="M30" i="2"/>
  <c r="C61" i="3"/>
  <c r="G69" i="3"/>
  <c r="J63" i="3"/>
  <c r="J35" i="3"/>
  <c r="O67" i="3"/>
  <c r="P71" i="3"/>
  <c r="K34" i="3"/>
  <c r="J33" i="3"/>
  <c r="L30" i="2"/>
  <c r="H30" i="2"/>
  <c r="D30" i="2"/>
  <c r="D69" i="3"/>
  <c r="C54" i="3"/>
  <c r="E63" i="3"/>
  <c r="K30" i="2"/>
  <c r="P65" i="3"/>
  <c r="N36" i="3"/>
  <c r="G30" i="2"/>
  <c r="J64" i="3"/>
  <c r="S30" i="2"/>
  <c r="M35" i="3"/>
  <c r="C25" i="3"/>
  <c r="G62" i="3"/>
  <c r="F69" i="3"/>
  <c r="I69" i="3"/>
  <c r="H63" i="3"/>
  <c r="H69" i="3"/>
  <c r="G68" i="3"/>
  <c r="H70" i="3"/>
  <c r="O30" i="2"/>
  <c r="J27" i="3"/>
  <c r="M27" i="3"/>
  <c r="J32" i="3"/>
  <c r="B100" i="2"/>
  <c r="P62" i="3"/>
  <c r="I30" i="3"/>
  <c r="J30" i="3"/>
  <c r="I65" i="2"/>
  <c r="K66" i="3" s="1"/>
  <c r="K62" i="3"/>
  <c r="E69" i="3"/>
  <c r="L36" i="3"/>
  <c r="G70" i="3"/>
  <c r="M30" i="3"/>
  <c r="J30" i="2"/>
  <c r="C65" i="2"/>
  <c r="J34" i="3"/>
  <c r="L35" i="3"/>
  <c r="G30" i="3"/>
  <c r="S65" i="3"/>
  <c r="T65" i="3" s="1"/>
  <c r="F30" i="3"/>
  <c r="E30" i="3"/>
  <c r="D30" i="3"/>
  <c r="I29" i="3"/>
  <c r="I34" i="3"/>
  <c r="M28" i="3"/>
  <c r="I28" i="3"/>
  <c r="L27" i="3"/>
  <c r="L30" i="3"/>
  <c r="I64" i="3"/>
  <c r="C30" i="2"/>
  <c r="P68" i="3"/>
  <c r="K36" i="3"/>
  <c r="J70" i="3"/>
  <c r="I65" i="3"/>
  <c r="F63" i="3"/>
  <c r="F27" i="3"/>
  <c r="E27" i="3"/>
  <c r="S62" i="3"/>
  <c r="T62" i="3" s="1"/>
  <c r="G27" i="3"/>
  <c r="S64" i="3"/>
  <c r="T64" i="3" s="1"/>
  <c r="G29" i="3"/>
  <c r="E29" i="3"/>
  <c r="F29" i="3"/>
  <c r="N30" i="2"/>
  <c r="I27" i="3"/>
  <c r="T30" i="2"/>
  <c r="R30" i="2"/>
  <c r="M29" i="3"/>
  <c r="C50" i="3"/>
  <c r="K35" i="3"/>
  <c r="I35" i="3"/>
  <c r="H64" i="3"/>
  <c r="F70" i="3"/>
  <c r="I62" i="3"/>
  <c r="J29" i="3"/>
  <c r="O69" i="3"/>
  <c r="L29" i="3"/>
  <c r="J65" i="3"/>
  <c r="I71" i="3"/>
  <c r="H71" i="3"/>
  <c r="D65" i="2"/>
  <c r="F62" i="3"/>
  <c r="S71" i="3"/>
  <c r="T71" i="3" s="1"/>
  <c r="E36" i="3"/>
  <c r="D36" i="3"/>
  <c r="F36" i="3"/>
  <c r="J36" i="3"/>
  <c r="I36" i="3"/>
  <c r="G36" i="3"/>
  <c r="Q30" i="2"/>
  <c r="K30" i="3"/>
  <c r="D70" i="3"/>
  <c r="J69" i="3"/>
  <c r="D63" i="3"/>
  <c r="E65" i="3"/>
  <c r="S68" i="3"/>
  <c r="T68" i="3" s="1"/>
  <c r="G33" i="3"/>
  <c r="F33" i="3"/>
  <c r="E33" i="3"/>
  <c r="D33" i="3"/>
  <c r="I30" i="2"/>
  <c r="I63" i="3"/>
  <c r="O63" i="3"/>
  <c r="N34" i="3"/>
  <c r="M32" i="3"/>
  <c r="B65" i="2"/>
  <c r="D62" i="3"/>
  <c r="F65" i="3"/>
  <c r="M34" i="3"/>
  <c r="F65" i="2"/>
  <c r="H62" i="3"/>
  <c r="I70" i="3"/>
  <c r="C100" i="2"/>
  <c r="O62" i="3"/>
  <c r="E28" i="3"/>
  <c r="G28" i="3"/>
  <c r="F28" i="3"/>
  <c r="K28" i="3"/>
  <c r="S63" i="3"/>
  <c r="T63" i="3" s="1"/>
  <c r="F32" i="3"/>
  <c r="D32" i="3"/>
  <c r="S67" i="3"/>
  <c r="T67" i="3" s="1"/>
  <c r="G32" i="3"/>
  <c r="E32" i="3"/>
  <c r="N27" i="3"/>
  <c r="K33" i="3"/>
  <c r="F64" i="3"/>
  <c r="M33" i="3"/>
  <c r="G65" i="3"/>
  <c r="S70" i="3"/>
  <c r="T70" i="3" s="1"/>
  <c r="F35" i="3"/>
  <c r="E35" i="3"/>
  <c r="G35" i="3"/>
  <c r="D35" i="3"/>
  <c r="S69" i="3"/>
  <c r="T69" i="3" s="1"/>
  <c r="F34" i="3"/>
  <c r="D34" i="3"/>
  <c r="G34" i="3"/>
  <c r="E34" i="3"/>
  <c r="N29" i="3"/>
  <c r="I32" i="3"/>
  <c r="E71" i="3"/>
  <c r="F71" i="3"/>
  <c r="G71" i="3"/>
  <c r="H65" i="2"/>
  <c r="J62" i="3"/>
  <c r="P30" i="2"/>
  <c r="K27" i="3"/>
  <c r="N28" i="3"/>
  <c r="M36" i="3"/>
  <c r="G63" i="3"/>
  <c r="G64" i="3"/>
  <c r="N32" i="3"/>
  <c r="E64" i="3"/>
  <c r="N35" i="3"/>
  <c r="K29" i="3"/>
  <c r="J71" i="3"/>
  <c r="L28" i="3"/>
  <c r="E65" i="2"/>
  <c r="I33" i="3"/>
  <c r="E70" i="3"/>
  <c r="K42" i="3"/>
  <c r="O23" i="3" l="1"/>
  <c r="O25" i="3"/>
  <c r="O22" i="3"/>
  <c r="O26" i="3"/>
  <c r="O24" i="3"/>
  <c r="C67" i="3"/>
  <c r="C69" i="3"/>
  <c r="C62" i="3"/>
  <c r="C64" i="3"/>
  <c r="C68" i="3"/>
  <c r="E66" i="3"/>
  <c r="F66" i="3"/>
  <c r="D66" i="3"/>
  <c r="C71" i="3"/>
  <c r="H66" i="3"/>
  <c r="C65" i="3"/>
  <c r="G66" i="3"/>
  <c r="M31" i="3"/>
  <c r="I66" i="3"/>
  <c r="C35" i="3"/>
  <c r="C70" i="3"/>
  <c r="H32" i="3"/>
  <c r="H34" i="3"/>
  <c r="H29" i="3"/>
  <c r="C63" i="3"/>
  <c r="J66" i="3"/>
  <c r="C34" i="3"/>
  <c r="C30" i="3"/>
  <c r="G31" i="3"/>
  <c r="F31" i="3"/>
  <c r="S66" i="3"/>
  <c r="T66" i="3" s="1"/>
  <c r="E31" i="3"/>
  <c r="H30" i="3"/>
  <c r="C32" i="3"/>
  <c r="L31" i="3"/>
  <c r="H27" i="3"/>
  <c r="P66" i="3"/>
  <c r="R68" i="3" s="1"/>
  <c r="H33" i="3"/>
  <c r="K31" i="3"/>
  <c r="I31" i="3"/>
  <c r="H36" i="3"/>
  <c r="J31" i="3"/>
  <c r="C33" i="3"/>
  <c r="C36" i="3"/>
  <c r="O66" i="3"/>
  <c r="Q69" i="3" s="1"/>
  <c r="H35" i="3"/>
  <c r="H28" i="3"/>
  <c r="N31" i="3"/>
  <c r="G42" i="3"/>
  <c r="J42" i="3"/>
  <c r="I42" i="3"/>
  <c r="H42" i="3"/>
  <c r="F42" i="3"/>
  <c r="C66" i="3" l="1"/>
  <c r="O35" i="3"/>
  <c r="O36" i="3"/>
  <c r="O34" i="3"/>
  <c r="O32" i="3"/>
  <c r="R62" i="3"/>
  <c r="Q66" i="3"/>
  <c r="Q57" i="3"/>
  <c r="Q60" i="3"/>
  <c r="Q53" i="3"/>
  <c r="Q51" i="3"/>
  <c r="Q54" i="3"/>
  <c r="Q58" i="3"/>
  <c r="Q49" i="3"/>
  <c r="Q44" i="3"/>
  <c r="Q59" i="3"/>
  <c r="Q61" i="3"/>
  <c r="Q65" i="3"/>
  <c r="Q52" i="3"/>
  <c r="Q55" i="3"/>
  <c r="Q50" i="3"/>
  <c r="Q64" i="3"/>
  <c r="Q48" i="3"/>
  <c r="Q70" i="3"/>
  <c r="Q47" i="3"/>
  <c r="Q68" i="3"/>
  <c r="Q56" i="3"/>
  <c r="Q46" i="3"/>
  <c r="Q42" i="3"/>
  <c r="Q67" i="3"/>
  <c r="Q45" i="3"/>
  <c r="Q43" i="3"/>
  <c r="Q71" i="3"/>
  <c r="O33" i="3"/>
  <c r="Q62" i="3"/>
  <c r="R66" i="3"/>
  <c r="R60" i="3"/>
  <c r="R45" i="3"/>
  <c r="R49" i="3"/>
  <c r="R48" i="3"/>
  <c r="R58" i="3"/>
  <c r="R43" i="3"/>
  <c r="R57" i="3"/>
  <c r="R56" i="3"/>
  <c r="R65" i="3"/>
  <c r="R54" i="3"/>
  <c r="R70" i="3"/>
  <c r="R61" i="3"/>
  <c r="R51" i="3"/>
  <c r="R59" i="3"/>
  <c r="R53" i="3"/>
  <c r="R55" i="3"/>
  <c r="R44" i="3"/>
  <c r="R50" i="3"/>
  <c r="R46" i="3"/>
  <c r="R52" i="3"/>
  <c r="R67" i="3"/>
  <c r="R69" i="3"/>
  <c r="R64" i="3"/>
  <c r="R47" i="3"/>
  <c r="R63" i="3"/>
  <c r="R42" i="3"/>
  <c r="R71" i="3"/>
  <c r="H31" i="3"/>
  <c r="O30" i="3"/>
  <c r="Q63" i="3"/>
  <c r="D42" i="3"/>
  <c r="E42" i="3"/>
  <c r="C42" i="3" l="1"/>
  <c r="B28" i="2" l="1"/>
  <c r="D29" i="3" s="1"/>
  <c r="C29" i="3" s="1"/>
  <c r="O29" i="3" s="1"/>
  <c r="B27" i="2"/>
  <c r="D28" i="3" s="1"/>
  <c r="C28" i="3" s="1"/>
  <c r="O28" i="3" s="1"/>
  <c r="B26" i="2"/>
  <c r="D27" i="3" s="1"/>
  <c r="C27" i="3" s="1"/>
  <c r="O27" i="3" s="1"/>
  <c r="B30" i="2" l="1"/>
  <c r="D31" i="3" s="1"/>
  <c r="C31" i="3" s="1"/>
  <c r="O31" i="3" s="1"/>
  <c r="H19" i="3" l="1"/>
  <c r="C19" i="3"/>
  <c r="H9" i="3"/>
  <c r="H18" i="3"/>
  <c r="C7" i="3"/>
  <c r="H8" i="3"/>
  <c r="H20" i="3"/>
  <c r="C8" i="3"/>
  <c r="C17" i="3"/>
  <c r="H15" i="3"/>
  <c r="C14" i="3"/>
  <c r="C12" i="3"/>
  <c r="C21" i="3"/>
  <c r="C18" i="3"/>
  <c r="H21" i="3"/>
  <c r="C13" i="3"/>
  <c r="H13" i="3"/>
  <c r="C15" i="3"/>
  <c r="H14" i="3"/>
  <c r="C20" i="3"/>
  <c r="C11" i="3"/>
  <c r="H10" i="3"/>
  <c r="H7" i="3"/>
  <c r="C10" i="3"/>
  <c r="C16" i="3"/>
  <c r="H17" i="3"/>
  <c r="H11" i="3"/>
  <c r="C9" i="3"/>
  <c r="H16" i="3"/>
  <c r="H12" i="3"/>
  <c r="O10" i="3" l="1"/>
  <c r="O8" i="3"/>
  <c r="O11" i="3"/>
  <c r="O16" i="3"/>
  <c r="O17" i="3"/>
  <c r="O20" i="3"/>
  <c r="O15" i="3"/>
  <c r="O7" i="3"/>
  <c r="O19" i="3"/>
  <c r="O13" i="3"/>
  <c r="O18" i="3"/>
  <c r="O21" i="3"/>
  <c r="O9" i="3"/>
  <c r="O12" i="3"/>
  <c r="O14" i="3"/>
</calcChain>
</file>

<file path=xl/sharedStrings.xml><?xml version="1.0" encoding="utf-8"?>
<sst xmlns="http://schemas.openxmlformats.org/spreadsheetml/2006/main" count="450" uniqueCount="127">
  <si>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</si>
  <si>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</si>
  <si>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</si>
  <si>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</si>
  <si>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</si>
  <si>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</si>
  <si>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</si>
  <si>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</si>
  <si>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</si>
  <si>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inctab</t>
  </si>
  <si>
    <t>exptab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</si>
  <si>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</si>
  <si>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</si>
  <si>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</si>
  <si>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</si>
  <si>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</si>
  <si>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</si>
  <si>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</si>
  <si>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</si>
  <si>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</si>
  <si>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</si>
  <si>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</si>
  <si>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</si>
  <si>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</si>
  <si>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</si>
  <si>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</si>
  <si>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</si>
  <si>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</si>
  <si>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</si>
  <si>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</si>
  <si>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</si>
  <si>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</si>
  <si>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</si>
  <si>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</si>
  <si>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</si>
  <si>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</si>
  <si>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</si>
  <si>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ent</t>
  </si>
  <si>
    <t>gov</t>
  </si>
  <si>
    <t>row</t>
  </si>
  <si>
    <t>total</t>
  </si>
  <si>
    <t>amaiz</t>
  </si>
  <si>
    <t>dtax</t>
  </si>
  <si>
    <t>s-i</t>
  </si>
  <si>
    <t>INCTAB</t>
  </si>
  <si>
    <t>Household income table</t>
  </si>
  <si>
    <t>Farm</t>
  </si>
  <si>
    <t>Non-farm</t>
  </si>
  <si>
    <t>Urban</t>
  </si>
  <si>
    <t>Total</t>
  </si>
  <si>
    <t>Q1</t>
  </si>
  <si>
    <t>Q2</t>
  </si>
  <si>
    <t>Q3</t>
  </si>
  <si>
    <t>Q4</t>
  </si>
  <si>
    <t>Q5</t>
  </si>
  <si>
    <t>Household expenditure table</t>
  </si>
  <si>
    <t>EXPTAB</t>
  </si>
  <si>
    <t>hhddata</t>
  </si>
  <si>
    <t>tcons</t>
  </si>
  <si>
    <t>pop</t>
  </si>
  <si>
    <t>HHDDATA</t>
  </si>
  <si>
    <t>Survey household consumption and population data</t>
  </si>
  <si>
    <t>Rural - farm q1</t>
  </si>
  <si>
    <t>Rural - farm q2</t>
  </si>
  <si>
    <t>Rural - farm q3</t>
  </si>
  <si>
    <t>Rural - farm q4</t>
  </si>
  <si>
    <t>Rural - farm q5</t>
  </si>
  <si>
    <t>Rural - nonfarm q1</t>
  </si>
  <si>
    <t>Rural - nonfarm q2</t>
  </si>
  <si>
    <t>Rural - nonfarm q3</t>
  </si>
  <si>
    <t>Rural - nonfarm q4</t>
  </si>
  <si>
    <t>Rural - nonfarm q5</t>
  </si>
  <si>
    <t>Urban - q1</t>
  </si>
  <si>
    <t>Urban - q2</t>
  </si>
  <si>
    <t>Urban - q3</t>
  </si>
  <si>
    <t>Urban - q4</t>
  </si>
  <si>
    <t>Urban - q5</t>
  </si>
  <si>
    <t>Labor</t>
  </si>
  <si>
    <t>None</t>
  </si>
  <si>
    <t>Second.</t>
  </si>
  <si>
    <t>Tertiary</t>
  </si>
  <si>
    <t>Primary</t>
  </si>
  <si>
    <t>Land</t>
  </si>
  <si>
    <t>Livestock</t>
  </si>
  <si>
    <t>Crops</t>
  </si>
  <si>
    <t>Farm earnnings</t>
  </si>
  <si>
    <t>Non-farm earnings</t>
  </si>
  <si>
    <t>Enterprises</t>
  </si>
  <si>
    <t>Government</t>
  </si>
  <si>
    <t>Rest of world</t>
  </si>
  <si>
    <t>Household incomes</t>
  </si>
  <si>
    <t>Household expenses</t>
  </si>
  <si>
    <t>Consumption</t>
  </si>
  <si>
    <t>cmaiz</t>
  </si>
  <si>
    <t>Own</t>
  </si>
  <si>
    <t>Marketed</t>
  </si>
  <si>
    <t>Other expenditures</t>
  </si>
  <si>
    <t>Taxes</t>
  </si>
  <si>
    <t>Saving</t>
  </si>
  <si>
    <t>cfood</t>
  </si>
  <si>
    <t>Per capita consumption</t>
  </si>
  <si>
    <t>SAM</t>
  </si>
  <si>
    <t>Survey</t>
  </si>
  <si>
    <t>Foods</t>
  </si>
  <si>
    <t>Ratios</t>
  </si>
  <si>
    <t>Abs</t>
  </si>
  <si>
    <t>Inc-Exp differences</t>
  </si>
  <si>
    <t>% exp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</si>
  <si>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</si>
  <si>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</si>
  <si>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</si>
  <si>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</si>
  <si>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</si>
  <si>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</si>
  <si>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</si>
  <si>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</si>
  <si>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</si>
  <si>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data!aa5</t>
  </si>
  <si>
    <t>data!aa40</t>
  </si>
  <si>
    <t>data!aa75</t>
  </si>
  <si>
    <t>Kigali</t>
  </si>
  <si>
    <t>Kigali - q1</t>
  </si>
  <si>
    <t>Kigali - q2</t>
  </si>
  <si>
    <t>Kigali - q3</t>
  </si>
  <si>
    <t>Kigali - q4</t>
  </si>
  <si>
    <t>Kigali - q5</t>
  </si>
  <si>
    <t>Household Income Sources and Expenditure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</si>
</sst>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3" fillId="0" borderId="0" xfId="0" applyFont="1"/>
    <xf numFmtId="164" fontId="0" fillId="0" borderId="0" xfId="0" applyNumberFormat="1"/>
    <xf numFmtId="3" fontId="4" fillId="0" borderId="0" xfId="0" applyNumberFormat="1" applyFont="1"/>
    <xf numFmtId="3" fontId="5" fillId="0" borderId="0" xfId="0" applyNumberFormat="1" applyFont="1"/>
    <xf numFmtId="164" fontId="0" fillId="0" borderId="0" xfId="0" quotePrefix="1" applyNumberFormat="1"/>
    <xf numFmtId="3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3" fontId="0" fillId="0" borderId="0" xfId="0" quotePrefix="1" applyNumberForma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0" fillId="2" borderId="0" xfId="0" quotePrefix="1" applyFill="1"/>
    <xf numFmtId="0" fontId="4" fillId="2" borderId="0" xfId="0" applyFont="1" applyFill="1"/>
    <xf numFmtId="164" fontId="7" fillId="2" borderId="0" xfId="0" applyNumberFormat="1" applyFont="1" applyFill="1"/>
    <xf numFmtId="164" fontId="6" fillId="2" borderId="0" xfId="0" applyNumberFormat="1" applyFont="1" applyFill="1"/>
    <xf numFmtId="0" fontId="4" fillId="2" borderId="1" xfId="0" applyFont="1" applyFill="1" applyBorder="1"/>
    <xf numFmtId="0" fontId="0" fillId="2" borderId="1" xfId="0" quotePrefix="1" applyFill="1" applyBorder="1"/>
    <xf numFmtId="164" fontId="7" fillId="2" borderId="1" xfId="0" applyNumberFormat="1" applyFont="1" applyFill="1" applyBorder="1"/>
    <xf numFmtId="164" fontId="6" fillId="2" borderId="1" xfId="0" applyNumberFormat="1" applyFont="1" applyFill="1" applyBorder="1"/>
    <xf numFmtId="3" fontId="4" fillId="2" borderId="0" xfId="0" applyNumberFormat="1" applyFont="1" applyFill="1"/>
    <xf numFmtId="3" fontId="4" fillId="2" borderId="1" xfId="0" applyNumberFormat="1" applyFont="1" applyFill="1" applyBorder="1"/>
    <xf numFmtId="0" fontId="0" fillId="2" borderId="1" xfId="0" applyFill="1" applyBorder="1"/>
    <xf numFmtId="3" fontId="5" fillId="2" borderId="2" xfId="0" applyNumberFormat="1" applyFont="1" applyFill="1" applyBorder="1"/>
    <xf numFmtId="0" fontId="0" fillId="2" borderId="2" xfId="0" applyFill="1" applyBorder="1"/>
    <xf numFmtId="164" fontId="7" fillId="2" borderId="2" xfId="0" applyNumberFormat="1" applyFont="1" applyFill="1" applyBorder="1"/>
    <xf numFmtId="164" fontId="6" fillId="2" borderId="2" xfId="0" applyNumberFormat="1" applyFont="1" applyFill="1" applyBorder="1"/>
    <xf numFmtId="0" fontId="0" fillId="2" borderId="3" xfId="0" applyFill="1" applyBorder="1"/>
    <xf numFmtId="164" fontId="0" fillId="2" borderId="0" xfId="0" applyNumberFormat="1" applyFill="1"/>
    <xf numFmtId="164" fontId="4" fillId="2" borderId="0" xfId="0" applyNumberFormat="1" applyFont="1" applyFill="1"/>
    <xf numFmtId="4" fontId="0" fillId="2" borderId="3" xfId="0" applyNumberFormat="1" applyFill="1" applyBorder="1"/>
    <xf numFmtId="4" fontId="0" fillId="2" borderId="0" xfId="0" applyNumberFormat="1" applyFill="1"/>
    <xf numFmtId="3" fontId="0" fillId="2" borderId="3" xfId="0" applyNumberFormat="1" applyFill="1" applyBorder="1"/>
    <xf numFmtId="164" fontId="0" fillId="2" borderId="1" xfId="0" applyNumberFormat="1" applyFill="1" applyBorder="1"/>
    <xf numFmtId="164" fontId="4" fillId="2" borderId="1" xfId="0" applyNumberFormat="1" applyFont="1" applyFill="1" applyBorder="1"/>
    <xf numFmtId="4" fontId="0" fillId="2" borderId="4" xfId="0" applyNumberFormat="1" applyFill="1" applyBorder="1"/>
    <xf numFmtId="4" fontId="0" fillId="2" borderId="1" xfId="0" applyNumberFormat="1" applyFill="1" applyBorder="1"/>
    <xf numFmtId="3" fontId="0" fillId="2" borderId="4" xfId="0" applyNumberFormat="1" applyFill="1" applyBorder="1"/>
    <xf numFmtId="4" fontId="4" fillId="2" borderId="3" xfId="0" applyNumberFormat="1" applyFont="1" applyFill="1" applyBorder="1"/>
    <xf numFmtId="4" fontId="4" fillId="2" borderId="0" xfId="0" applyNumberFormat="1" applyFont="1" applyFill="1"/>
    <xf numFmtId="3" fontId="4" fillId="2" borderId="3" xfId="0" applyNumberFormat="1" applyFont="1" applyFill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3" fontId="4" fillId="2" borderId="4" xfId="0" applyNumberFormat="1" applyFont="1" applyFill="1" applyBorder="1"/>
    <xf numFmtId="164" fontId="4" fillId="2" borderId="2" xfId="0" applyNumberFormat="1" applyFont="1" applyFill="1" applyBorder="1"/>
    <xf numFmtId="4" fontId="4" fillId="2" borderId="5" xfId="0" applyNumberFormat="1" applyFont="1" applyFill="1" applyBorder="1"/>
    <xf numFmtId="4" fontId="4" fillId="2" borderId="2" xfId="0" applyNumberFormat="1" applyFont="1" applyFill="1" applyBorder="1"/>
    <xf numFmtId="3" fontId="4" fillId="2" borderId="5" xfId="0" applyNumberFormat="1" applyFont="1" applyFill="1" applyBorder="1"/>
    <xf numFmtId="0" fontId="8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Workings!$Q$41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Workings!$M$42:$M$71</c:f>
              <c:strCache>
                <c:ptCount val="30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Rural - nonfarm q1</c:v>
                </c:pt>
                <c:pt idx="6">
                  <c:v>Rural - nonfarm q2</c:v>
                </c:pt>
                <c:pt idx="7">
                  <c:v>Rural - nonfarm q3</c:v>
                </c:pt>
                <c:pt idx="8">
                  <c:v>Rural - nonfarm q4</c:v>
                </c:pt>
                <c:pt idx="9">
                  <c:v>Rural - nonfarm q5</c:v>
                </c:pt>
                <c:pt idx="10">
                  <c:v>Urban - q1</c:v>
                </c:pt>
                <c:pt idx="11">
                  <c:v>Urban - q2</c:v>
                </c:pt>
                <c:pt idx="12">
                  <c:v>Urban - q3</c:v>
                </c:pt>
                <c:pt idx="13">
                  <c:v>Urban - q4</c:v>
                </c:pt>
                <c:pt idx="14">
                  <c:v>Urban - q5</c:v>
                </c:pt>
                <c:pt idx="15">
                  <c:v>Kigali - q1</c:v>
                </c:pt>
                <c:pt idx="16">
                  <c:v>Kigali - q2</c:v>
                </c:pt>
                <c:pt idx="17">
                  <c:v>Kigali - q3</c:v>
                </c:pt>
                <c:pt idx="18">
                  <c:v>Kigali - q4</c:v>
                </c:pt>
                <c:pt idx="19">
                  <c:v>Kigali - q5</c:v>
                </c:pt>
                <c:pt idx="20">
                  <c:v>Farm</c:v>
                </c:pt>
                <c:pt idx="21">
                  <c:v>Non-farm</c:v>
                </c:pt>
                <c:pt idx="22">
                  <c:v>Urban</c:v>
                </c:pt>
                <c:pt idx="23">
                  <c:v>Kigali</c:v>
                </c:pt>
                <c:pt idx="24">
                  <c:v>Total</c:v>
                </c:pt>
                <c:pt idx="25">
                  <c:v>Q1</c:v>
                </c:pt>
                <c:pt idx="26">
                  <c:v>Q2</c:v>
                </c:pt>
                <c:pt idx="27">
                  <c:v>Q3</c:v>
                </c:pt>
                <c:pt idx="28">
                  <c:v>Q4</c:v>
                </c:pt>
                <c:pt idx="29">
                  <c:v>Q5</c:v>
                </c:pt>
              </c:strCache>
            </c:strRef>
          </c:cat>
          <c:val>
            <c:numRef>
              <c:f>Workings!$Q$42:$Q$71</c:f>
              <c:numCache>
                <c:formatCode>#,##0.00</c:formatCode>
                <c:ptCount val="30"/>
                <c:pt idx="0">
                  <c:v>0.32518334451540304</c:v>
                </c:pt>
                <c:pt idx="1">
                  <c:v>0.44046923840114022</c:v>
                </c:pt>
                <c:pt idx="2">
                  <c:v>0.60850743579014066</c:v>
                </c:pt>
                <c:pt idx="3">
                  <c:v>0.89753219697132358</c:v>
                </c:pt>
                <c:pt idx="4">
                  <c:v>1.7976921237916847</c:v>
                </c:pt>
                <c:pt idx="5">
                  <c:v>0.19387039426310376</c:v>
                </c:pt>
                <c:pt idx="6">
                  <c:v>0.25839828652542174</c:v>
                </c:pt>
                <c:pt idx="7">
                  <c:v>0.45500797097640056</c:v>
                </c:pt>
                <c:pt idx="8">
                  <c:v>0.78398223997757821</c:v>
                </c:pt>
                <c:pt idx="9">
                  <c:v>3.4818978470227755</c:v>
                </c:pt>
                <c:pt idx="10">
                  <c:v>0.3289286163388957</c:v>
                </c:pt>
                <c:pt idx="11">
                  <c:v>0.44588364741785136</c:v>
                </c:pt>
                <c:pt idx="12">
                  <c:v>0.72502797368675276</c:v>
                </c:pt>
                <c:pt idx="13">
                  <c:v>1.0061420493926743</c:v>
                </c:pt>
                <c:pt idx="14">
                  <c:v>3.0237049427509994</c:v>
                </c:pt>
                <c:pt idx="15">
                  <c:v>0.26266240052431644</c:v>
                </c:pt>
                <c:pt idx="16">
                  <c:v>0.40833423081632986</c:v>
                </c:pt>
                <c:pt idx="17">
                  <c:v>0.57220350278678755</c:v>
                </c:pt>
                <c:pt idx="18">
                  <c:v>0.81044401238105923</c:v>
                </c:pt>
                <c:pt idx="19">
                  <c:v>3.4990343909764872</c:v>
                </c:pt>
                <c:pt idx="20">
                  <c:v>0.68970899825481102</c:v>
                </c:pt>
                <c:pt idx="21">
                  <c:v>1.9744156508579924</c:v>
                </c:pt>
                <c:pt idx="22">
                  <c:v>1.5510221118476282</c:v>
                </c:pt>
                <c:pt idx="23">
                  <c:v>2.4069998716255987</c:v>
                </c:pt>
                <c:pt idx="24">
                  <c:v>1</c:v>
                </c:pt>
                <c:pt idx="25">
                  <c:v>0.32330447468255763</c:v>
                </c:pt>
                <c:pt idx="26">
                  <c:v>0.43850183606997323</c:v>
                </c:pt>
                <c:pt idx="27">
                  <c:v>0.61297751013209378</c:v>
                </c:pt>
                <c:pt idx="28">
                  <c:v>0.89396054751911858</c:v>
                </c:pt>
                <c:pt idx="29">
                  <c:v>2.7249652333571932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DF1-91D2-0D72E29293C3}"/>
            </c:ext>
          </c:extLst>
        </c:ser>
        <c:ser>
          <c:idx val="1"/>
          <c:order val="1"/>
          <c:tx>
            <c:strRef>
              <c:f>Workings!$R$41</c:f>
              <c:strCache>
                <c:ptCount val="1"/>
                <c:pt idx="0">
                  <c:v>Survey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Workings!$M$42:$M$71</c:f>
              <c:strCache>
                <c:ptCount val="30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Rural - nonfarm q1</c:v>
                </c:pt>
                <c:pt idx="6">
                  <c:v>Rural - nonfarm q2</c:v>
                </c:pt>
                <c:pt idx="7">
                  <c:v>Rural - nonfarm q3</c:v>
                </c:pt>
                <c:pt idx="8">
                  <c:v>Rural - nonfarm q4</c:v>
                </c:pt>
                <c:pt idx="9">
                  <c:v>Rural - nonfarm q5</c:v>
                </c:pt>
                <c:pt idx="10">
                  <c:v>Urban - q1</c:v>
                </c:pt>
                <c:pt idx="11">
                  <c:v>Urban - q2</c:v>
                </c:pt>
                <c:pt idx="12">
                  <c:v>Urban - q3</c:v>
                </c:pt>
                <c:pt idx="13">
                  <c:v>Urban - q4</c:v>
                </c:pt>
                <c:pt idx="14">
                  <c:v>Urban - q5</c:v>
                </c:pt>
                <c:pt idx="15">
                  <c:v>Kigali - q1</c:v>
                </c:pt>
                <c:pt idx="16">
                  <c:v>Kigali - q2</c:v>
                </c:pt>
                <c:pt idx="17">
                  <c:v>Kigali - q3</c:v>
                </c:pt>
                <c:pt idx="18">
                  <c:v>Kigali - q4</c:v>
                </c:pt>
                <c:pt idx="19">
                  <c:v>Kigali - q5</c:v>
                </c:pt>
                <c:pt idx="20">
                  <c:v>Farm</c:v>
                </c:pt>
                <c:pt idx="21">
                  <c:v>Non-farm</c:v>
                </c:pt>
                <c:pt idx="22">
                  <c:v>Urban</c:v>
                </c:pt>
                <c:pt idx="23">
                  <c:v>Kigali</c:v>
                </c:pt>
                <c:pt idx="24">
                  <c:v>Total</c:v>
                </c:pt>
                <c:pt idx="25">
                  <c:v>Q1</c:v>
                </c:pt>
                <c:pt idx="26">
                  <c:v>Q2</c:v>
                </c:pt>
                <c:pt idx="27">
                  <c:v>Q3</c:v>
                </c:pt>
                <c:pt idx="28">
                  <c:v>Q4</c:v>
                </c:pt>
                <c:pt idx="29">
                  <c:v>Q5</c:v>
                </c:pt>
              </c:strCache>
            </c:strRef>
          </c:cat>
          <c:val>
            <c:numRef>
              <c:f>Workings!$R$42:$R$71</c:f>
              <c:numCache>
                <c:formatCode>#,##0.00</c:formatCode>
                <c:ptCount val="30"/>
                <c:pt idx="0">
                  <c:v>0.36010268971837056</c:v>
                </c:pt>
                <c:pt idx="1">
                  <c:v>0.54344545717962656</c:v>
                </c:pt>
                <c:pt idx="2">
                  <c:v>0.71811762379341171</c:v>
                </c:pt>
                <c:pt idx="3">
                  <c:v>1.0066327710058993</c:v>
                </c:pt>
                <c:pt idx="4">
                  <c:v>1.780944526637571</c:v>
                </c:pt>
                <c:pt idx="5">
                  <c:v>0.29330745791098112</c:v>
                </c:pt>
                <c:pt idx="6">
                  <c:v>0.30963192789751398</c:v>
                </c:pt>
                <c:pt idx="7">
                  <c:v>0.58025297261743025</c:v>
                </c:pt>
                <c:pt idx="8">
                  <c:v>0.84633517778635325</c:v>
                </c:pt>
                <c:pt idx="9">
                  <c:v>2.4269779708709969</c:v>
                </c:pt>
                <c:pt idx="10">
                  <c:v>0.34199023129128148</c:v>
                </c:pt>
                <c:pt idx="11">
                  <c:v>0.5488765093973399</c:v>
                </c:pt>
                <c:pt idx="12">
                  <c:v>0.74744655745736943</c:v>
                </c:pt>
                <c:pt idx="13">
                  <c:v>1.0925026527348274</c:v>
                </c:pt>
                <c:pt idx="14">
                  <c:v>2.4152588268395596</c:v>
                </c:pt>
                <c:pt idx="15">
                  <c:v>0.30173898611107658</c:v>
                </c:pt>
                <c:pt idx="16">
                  <c:v>0.43851313318632923</c:v>
                </c:pt>
                <c:pt idx="17">
                  <c:v>0.59397103918325778</c:v>
                </c:pt>
                <c:pt idx="18">
                  <c:v>0.87802867389738903</c:v>
                </c:pt>
                <c:pt idx="19">
                  <c:v>2.9990078745481643</c:v>
                </c:pt>
                <c:pt idx="20">
                  <c:v>0.76663879713741656</c:v>
                </c:pt>
                <c:pt idx="21">
                  <c:v>1.5031559838314537</c:v>
                </c:pt>
                <c:pt idx="22">
                  <c:v>1.3559866546678079</c:v>
                </c:pt>
                <c:pt idx="23">
                  <c:v>2.1137721961831919</c:v>
                </c:pt>
                <c:pt idx="24">
                  <c:v>1</c:v>
                </c:pt>
                <c:pt idx="25">
                  <c:v>0.357374268979952</c:v>
                </c:pt>
                <c:pt idx="26">
                  <c:v>0.53768717588634252</c:v>
                </c:pt>
                <c:pt idx="27">
                  <c:v>0.71138394158520513</c:v>
                </c:pt>
                <c:pt idx="28">
                  <c:v>0.99617130325463166</c:v>
                </c:pt>
                <c:pt idx="29">
                  <c:v>2.3921994088447627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5-4DF1-91D2-0D72E292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97096"/>
        <c:axId val="170171120"/>
      </c:barChart>
      <c:catAx>
        <c:axId val="17009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1120"/>
        <c:crosses val="autoZero"/>
        <c:auto val="1"/>
        <c:lblAlgn val="ctr"/>
        <c:lblOffset val="100"/>
        <c:noMultiLvlLbl val="0"/>
      </c:catAx>
      <c:valAx>
        <c:axId val="1701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325437</xdr:colOff>
      <xdr:row>7</xdr:row>
      <xdr:rowOff>99102</xdr:rowOff>
    </xdr:from>
    <xdr:to>
      <xdr:col>36</xdr:col>
      <xdr:colOff>247198</xdr:colOff>
      <xdr:row>35</xdr:row>
      <xdr:rowOff>58962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85" zoomScaleNormal="85" workbookViewId="0">
      <pane ySplit="5" topLeftCell="A6" activePane="bottomLeft" state="frozen"/>
      <selection pane="bottomLeft" activeCell="F35" sqref="F35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9</v>
      </c>
      <c r="C6" t="s">
        <v>117</v>
      </c>
      <c r="D6">
        <v>1</v>
      </c>
      <c r="E6">
        <v>1</v>
      </c>
    </row>
    <row r="7" spans="1:5" x14ac:dyDescent="0.35">
      <c r="A7" t="s">
        <v>8</v>
      </c>
      <c r="B7" t="s">
        <v>10</v>
      </c>
      <c r="C7" t="s">
        <v>118</v>
      </c>
      <c r="D7">
        <v>1</v>
      </c>
      <c r="E7">
        <v>1</v>
      </c>
    </row>
    <row r="8" spans="1:5" x14ac:dyDescent="0.35">
      <c r="A8" t="s">
        <v>8</v>
      </c>
      <c r="B8" t="s">
        <v>57</v>
      </c>
      <c r="C8" t="s">
        <v>119</v>
      </c>
      <c r="D8">
        <v>1</v>
      </c>
      <c r="E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U105"/>
  <sheetViews>
    <sheetView showZeros="0" tabSelected="1" zoomScaleNormal="100" workbookViewId="0"/>
  </sheetViews>
  <sheetFormatPr defaultRowHeight="14.5" x14ac:dyDescent="0.35"/>
  <sheetData>
    <row r="3" spans="1:47" x14ac:dyDescent="0.35">
      <c r="A3" s="2" t="s">
        <v>45</v>
      </c>
    </row>
    <row r="4" spans="1:47" x14ac:dyDescent="0.35">
      <c r="A4" s="4" t="s">
        <v>44</v>
      </c>
    </row>
    <row r="5" spans="1:47" x14ac:dyDescent="0.35"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39</v>
      </c>
      <c r="T5" t="s">
        <v>40</v>
      </c>
      <c r="AA5" s="5"/>
      <c r="AB5" s="8" t="s">
        <v>26</v>
      </c>
      <c r="AC5" s="8" t="s">
        <v>27</v>
      </c>
      <c r="AD5" s="8" t="s">
        <v>28</v>
      </c>
      <c r="AE5" s="8" t="s">
        <v>29</v>
      </c>
      <c r="AF5" s="8" t="s">
        <v>30</v>
      </c>
      <c r="AG5" s="8" t="s">
        <v>31</v>
      </c>
      <c r="AH5" s="8" t="s">
        <v>32</v>
      </c>
      <c r="AI5" s="8" t="s">
        <v>33</v>
      </c>
      <c r="AJ5" s="8" t="s">
        <v>113</v>
      </c>
      <c r="AK5" s="8" t="s">
        <v>114</v>
      </c>
      <c r="AL5" s="8" t="s">
        <v>115</v>
      </c>
      <c r="AM5" s="8" t="s">
        <v>116</v>
      </c>
      <c r="AN5" s="8" t="s">
        <v>34</v>
      </c>
      <c r="AO5" s="8" t="s">
        <v>35</v>
      </c>
      <c r="AP5" s="8" t="s">
        <v>36</v>
      </c>
      <c r="AQ5" s="8" t="s">
        <v>37</v>
      </c>
      <c r="AR5" s="8" t="s">
        <v>38</v>
      </c>
      <c r="AS5" s="8" t="s">
        <v>39</v>
      </c>
      <c r="AT5" s="8" t="s">
        <v>40</v>
      </c>
      <c r="AU5" s="5"/>
    </row>
    <row r="6" spans="1:47" x14ac:dyDescent="0.35">
      <c r="A6" s="8" t="s">
        <v>11</v>
      </c>
      <c r="B6" s="5">
        <f>IF(ISNA(INDEX($AB$6:$AT$25,MATCH($A6,$AA$6:$AA$25,0),MATCH(B$5,$AB$5:$AT$5,0))),0,INDEX($AB$6:$AT$25,MATCH($A6,$AA$6:$AA$25,0),MATCH(B$5,$AB$5:$AT$5,0)))</f>
        <v>119.06684229062438</v>
      </c>
      <c r="C6" s="5">
        <f t="shared" ref="C6:M21" si="0">IF(ISNA(INDEX($AB$6:$AT$25,MATCH($A6,$AA$6:$AA$25,0),MATCH(C$5,$AB$5:$AT$5,0))),0,INDEX($AB$6:$AT$25,MATCH($A6,$AA$6:$AA$25,0),MATCH(C$5,$AB$5:$AT$5,0)))</f>
        <v>77.873940633808644</v>
      </c>
      <c r="D6" s="5">
        <f t="shared" si="0"/>
        <v>2.9336711561155822</v>
      </c>
      <c r="E6" s="5">
        <f t="shared" si="0"/>
        <v>0.15527474971248778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ref="N6:T15" si="1">IF(ISNA(INDEX($AB$6:$AT$25,MATCH($A6,$AA$6:$AA$25,0),MATCH(N$5,$AB$5:$AT$5,0))),0,INDEX($AB$6:$AT$25,MATCH($A6,$AA$6:$AA$25,0),MATCH(N$5,$AB$5:$AT$5,0)))</f>
        <v>69.428866749641514</v>
      </c>
      <c r="O6" s="5">
        <f t="shared" si="1"/>
        <v>35.231460573534548</v>
      </c>
      <c r="P6" s="5">
        <f t="shared" si="1"/>
        <v>7.5632189401393024</v>
      </c>
      <c r="Q6" s="5">
        <f t="shared" si="1"/>
        <v>18.12672240198216</v>
      </c>
      <c r="R6" s="5">
        <f t="shared" si="1"/>
        <v>19.817945207601433</v>
      </c>
      <c r="S6" s="5">
        <f t="shared" si="1"/>
        <v>2.4717513196168137</v>
      </c>
      <c r="T6" s="5">
        <f t="shared" si="1"/>
        <v>352.66969402277687</v>
      </c>
      <c r="AA6" s="8" t="s">
        <v>11</v>
      </c>
      <c r="AB6" s="5">
        <v>119.06684229062438</v>
      </c>
      <c r="AC6" s="5">
        <v>77.873940633808644</v>
      </c>
      <c r="AD6" s="5">
        <v>2.9336711561155822</v>
      </c>
      <c r="AE6" s="5">
        <v>0.15527474971248778</v>
      </c>
      <c r="AF6" s="5"/>
      <c r="AG6" s="5"/>
      <c r="AH6" s="5"/>
      <c r="AI6" s="5"/>
      <c r="AJ6" s="5"/>
      <c r="AK6" s="5"/>
      <c r="AL6" s="5"/>
      <c r="AM6" s="5"/>
      <c r="AN6" s="5">
        <v>69.428866749641514</v>
      </c>
      <c r="AO6" s="5">
        <v>35.231460573534548</v>
      </c>
      <c r="AP6" s="5">
        <v>7.5632189401393024</v>
      </c>
      <c r="AQ6" s="5">
        <v>18.12672240198216</v>
      </c>
      <c r="AR6" s="5">
        <v>19.817945207601433</v>
      </c>
      <c r="AS6" s="5">
        <v>2.4717513196168137</v>
      </c>
      <c r="AT6" s="5">
        <v>352.66969402277687</v>
      </c>
      <c r="AU6" s="5"/>
    </row>
    <row r="7" spans="1:47" x14ac:dyDescent="0.35">
      <c r="A7" s="8" t="s">
        <v>12</v>
      </c>
      <c r="B7" s="5">
        <f t="shared" ref="B7:M22" si="2">IF(ISNA(INDEX($AB$6:$AT$25,MATCH($A7,$AA$6:$AA$25,0),MATCH(B$5,$AB$5:$AT$5,0))),0,INDEX($AB$6:$AT$25,MATCH($A7,$AA$6:$AA$25,0),MATCH(B$5,$AB$5:$AT$5,0)))</f>
        <v>125.59889003972329</v>
      </c>
      <c r="C7" s="5">
        <f t="shared" si="0"/>
        <v>114.3997284730214</v>
      </c>
      <c r="D7" s="5">
        <f t="shared" si="0"/>
        <v>9.9060009639655426</v>
      </c>
      <c r="E7" s="5">
        <f t="shared" si="0"/>
        <v>1.3257161551535446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1"/>
        <v>86.579001318636173</v>
      </c>
      <c r="O7" s="5">
        <f t="shared" si="1"/>
        <v>43.559057745558171</v>
      </c>
      <c r="P7" s="5">
        <f t="shared" si="1"/>
        <v>10.278078223254262</v>
      </c>
      <c r="Q7" s="5">
        <f t="shared" si="1"/>
        <v>45.728616366833009</v>
      </c>
      <c r="R7" s="5">
        <f t="shared" si="1"/>
        <v>20.592044836222144</v>
      </c>
      <c r="S7" s="5">
        <f t="shared" si="1"/>
        <v>3.7607142094496004</v>
      </c>
      <c r="T7" s="5">
        <f t="shared" si="1"/>
        <v>461.72784833181714</v>
      </c>
      <c r="AA7" s="8" t="s">
        <v>12</v>
      </c>
      <c r="AB7" s="5">
        <v>125.59889003972329</v>
      </c>
      <c r="AC7" s="5">
        <v>114.3997284730214</v>
      </c>
      <c r="AD7" s="5">
        <v>9.9060009639655426</v>
      </c>
      <c r="AE7" s="5">
        <v>1.3257161551535446</v>
      </c>
      <c r="AF7" s="5"/>
      <c r="AG7" s="5"/>
      <c r="AH7" s="5"/>
      <c r="AI7" s="5"/>
      <c r="AJ7" s="5"/>
      <c r="AK7" s="5"/>
      <c r="AL7" s="5"/>
      <c r="AM7" s="5"/>
      <c r="AN7" s="5">
        <v>86.579001318636173</v>
      </c>
      <c r="AO7" s="5">
        <v>43.559057745558171</v>
      </c>
      <c r="AP7" s="5">
        <v>10.278078223254262</v>
      </c>
      <c r="AQ7" s="5">
        <v>45.728616366833009</v>
      </c>
      <c r="AR7" s="5">
        <v>20.592044836222144</v>
      </c>
      <c r="AS7" s="5">
        <v>3.7607142094496004</v>
      </c>
      <c r="AT7" s="5">
        <v>461.72784833181714</v>
      </c>
      <c r="AU7" s="5"/>
    </row>
    <row r="8" spans="1:47" x14ac:dyDescent="0.35">
      <c r="A8" s="8" t="s">
        <v>13</v>
      </c>
      <c r="B8" s="5">
        <f t="shared" si="2"/>
        <v>166.80104748749443</v>
      </c>
      <c r="C8" s="5">
        <f t="shared" si="0"/>
        <v>165.00562471149388</v>
      </c>
      <c r="D8" s="5">
        <f t="shared" si="0"/>
        <v>15.9584976188945</v>
      </c>
      <c r="E8" s="5">
        <f t="shared" si="0"/>
        <v>1.1400639350835911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1"/>
        <v>125.61094081418106</v>
      </c>
      <c r="O8" s="5">
        <f t="shared" si="1"/>
        <v>63.200469876976769</v>
      </c>
      <c r="P8" s="5">
        <f t="shared" si="1"/>
        <v>14.259224328362425</v>
      </c>
      <c r="Q8" s="5">
        <f t="shared" si="1"/>
        <v>41.062073776009647</v>
      </c>
      <c r="R8" s="5">
        <f t="shared" si="1"/>
        <v>22.932415610261689</v>
      </c>
      <c r="S8" s="5">
        <f t="shared" si="1"/>
        <v>7.3789090404244577</v>
      </c>
      <c r="T8" s="5">
        <f t="shared" si="1"/>
        <v>623.34926719918246</v>
      </c>
      <c r="AA8" s="8" t="s">
        <v>13</v>
      </c>
      <c r="AB8" s="5">
        <v>166.80104748749443</v>
      </c>
      <c r="AC8" s="5">
        <v>165.00562471149388</v>
      </c>
      <c r="AD8" s="5">
        <v>15.9584976188945</v>
      </c>
      <c r="AE8" s="5">
        <v>1.1400639350835911</v>
      </c>
      <c r="AF8" s="5"/>
      <c r="AG8" s="5"/>
      <c r="AH8" s="5"/>
      <c r="AI8" s="5"/>
      <c r="AJ8" s="5"/>
      <c r="AK8" s="5"/>
      <c r="AL8" s="5"/>
      <c r="AM8" s="5"/>
      <c r="AN8" s="5">
        <v>125.61094081418106</v>
      </c>
      <c r="AO8" s="5">
        <v>63.200469876976769</v>
      </c>
      <c r="AP8" s="5">
        <v>14.259224328362425</v>
      </c>
      <c r="AQ8" s="5">
        <v>41.062073776009647</v>
      </c>
      <c r="AR8" s="5">
        <v>22.932415610261689</v>
      </c>
      <c r="AS8" s="5">
        <v>7.3789090404244577</v>
      </c>
      <c r="AT8" s="5">
        <v>623.34926719918246</v>
      </c>
      <c r="AU8" s="5"/>
    </row>
    <row r="9" spans="1:47" x14ac:dyDescent="0.35">
      <c r="A9" s="8" t="s">
        <v>14</v>
      </c>
      <c r="B9" s="5">
        <f t="shared" si="2"/>
        <v>169.88052928815307</v>
      </c>
      <c r="C9" s="5">
        <f t="shared" si="0"/>
        <v>193.78904179027685</v>
      </c>
      <c r="D9" s="5">
        <f t="shared" si="0"/>
        <v>32.491153735667169</v>
      </c>
      <c r="E9" s="5">
        <f t="shared" si="0"/>
        <v>28.969572657941523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1"/>
        <v>132.86358226865551</v>
      </c>
      <c r="O9" s="5">
        <f t="shared" si="1"/>
        <v>66.290636659637116</v>
      </c>
      <c r="P9" s="5">
        <f t="shared" si="1"/>
        <v>18.219063839765766</v>
      </c>
      <c r="Q9" s="5">
        <f t="shared" si="1"/>
        <v>187.6652737682661</v>
      </c>
      <c r="R9" s="5">
        <f t="shared" si="1"/>
        <v>34.08284572562377</v>
      </c>
      <c r="S9" s="5">
        <f t="shared" si="1"/>
        <v>11.387531922339662</v>
      </c>
      <c r="T9" s="5">
        <f t="shared" si="1"/>
        <v>875.63923165632673</v>
      </c>
      <c r="AA9" s="8" t="s">
        <v>14</v>
      </c>
      <c r="AB9" s="5">
        <v>169.88052928815307</v>
      </c>
      <c r="AC9" s="5">
        <v>193.78904179027685</v>
      </c>
      <c r="AD9" s="5">
        <v>32.491153735667169</v>
      </c>
      <c r="AE9" s="5">
        <v>28.969572657941523</v>
      </c>
      <c r="AF9" s="5"/>
      <c r="AG9" s="5"/>
      <c r="AH9" s="5"/>
      <c r="AI9" s="5"/>
      <c r="AJ9" s="5"/>
      <c r="AK9" s="5"/>
      <c r="AL9" s="5"/>
      <c r="AM9" s="5"/>
      <c r="AN9" s="5">
        <v>132.86358226865551</v>
      </c>
      <c r="AO9" s="5">
        <v>66.290636659637116</v>
      </c>
      <c r="AP9" s="5">
        <v>18.219063839765766</v>
      </c>
      <c r="AQ9" s="5">
        <v>187.6652737682661</v>
      </c>
      <c r="AR9" s="5">
        <v>34.08284572562377</v>
      </c>
      <c r="AS9" s="5">
        <v>11.387531922339662</v>
      </c>
      <c r="AT9" s="5">
        <v>875.63923165632673</v>
      </c>
      <c r="AU9" s="5"/>
    </row>
    <row r="10" spans="1:47" x14ac:dyDescent="0.35">
      <c r="A10" s="8" t="s">
        <v>15</v>
      </c>
      <c r="B10" s="5">
        <f t="shared" si="2"/>
        <v>94.42016623548821</v>
      </c>
      <c r="C10" s="5">
        <f t="shared" si="0"/>
        <v>170.12491424505831</v>
      </c>
      <c r="D10" s="5">
        <f t="shared" si="0"/>
        <v>70.584017643212746</v>
      </c>
      <c r="E10" s="5">
        <f t="shared" si="0"/>
        <v>114.56714474457681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1"/>
        <v>89.251469897210058</v>
      </c>
      <c r="O10" s="5">
        <f t="shared" si="1"/>
        <v>44.554273927650591</v>
      </c>
      <c r="P10" s="5">
        <f t="shared" si="1"/>
        <v>13.931625378159877</v>
      </c>
      <c r="Q10" s="5">
        <f t="shared" si="1"/>
        <v>284.60777219388785</v>
      </c>
      <c r="R10" s="5">
        <f t="shared" si="1"/>
        <v>29.968273728714518</v>
      </c>
      <c r="S10" s="5">
        <f t="shared" si="1"/>
        <v>30.356467399388215</v>
      </c>
      <c r="T10" s="5">
        <f t="shared" si="1"/>
        <v>942.36612539334715</v>
      </c>
      <c r="AA10" s="8" t="s">
        <v>15</v>
      </c>
      <c r="AB10" s="5">
        <v>94.42016623548821</v>
      </c>
      <c r="AC10" s="5">
        <v>170.12491424505831</v>
      </c>
      <c r="AD10" s="5">
        <v>70.584017643212746</v>
      </c>
      <c r="AE10" s="5">
        <v>114.56714474457681</v>
      </c>
      <c r="AF10" s="5"/>
      <c r="AG10" s="5"/>
      <c r="AH10" s="5"/>
      <c r="AI10" s="5"/>
      <c r="AJ10" s="5"/>
      <c r="AK10" s="5"/>
      <c r="AL10" s="5"/>
      <c r="AM10" s="5"/>
      <c r="AN10" s="5">
        <v>89.251469897210058</v>
      </c>
      <c r="AO10" s="5">
        <v>44.554273927650591</v>
      </c>
      <c r="AP10" s="5">
        <v>13.931625378159877</v>
      </c>
      <c r="AQ10" s="5">
        <v>284.60777219388785</v>
      </c>
      <c r="AR10" s="5">
        <v>29.968273728714518</v>
      </c>
      <c r="AS10" s="5">
        <v>30.356467399388215</v>
      </c>
      <c r="AT10" s="5">
        <v>942.36612539334715</v>
      </c>
      <c r="AU10" s="5"/>
    </row>
    <row r="11" spans="1:47" x14ac:dyDescent="0.35">
      <c r="A11" s="8" t="s">
        <v>16</v>
      </c>
      <c r="B11" s="5">
        <f t="shared" si="2"/>
        <v>0.54979765219993149</v>
      </c>
      <c r="C11" s="5">
        <f t="shared" si="0"/>
        <v>0.21888957764364039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1"/>
        <v>0</v>
      </c>
      <c r="O11" s="5">
        <f t="shared" si="1"/>
        <v>0</v>
      </c>
      <c r="P11" s="5">
        <f t="shared" si="1"/>
        <v>0</v>
      </c>
      <c r="Q11" s="5">
        <f t="shared" si="1"/>
        <v>0</v>
      </c>
      <c r="R11" s="5">
        <f t="shared" si="1"/>
        <v>6.8936101344838505E-2</v>
      </c>
      <c r="S11" s="5">
        <f t="shared" si="1"/>
        <v>9.7603389528693092E-4</v>
      </c>
      <c r="T11" s="5">
        <f t="shared" si="1"/>
        <v>0.83859936508369726</v>
      </c>
      <c r="AA11" s="8" t="s">
        <v>16</v>
      </c>
      <c r="AB11" s="5">
        <v>0.54979765219993149</v>
      </c>
      <c r="AC11" s="5">
        <v>0.21888957764364039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6.8936101344838505E-2</v>
      </c>
      <c r="AS11" s="5">
        <v>9.7603389528693092E-4</v>
      </c>
      <c r="AT11" s="5">
        <v>0.83859936508369726</v>
      </c>
      <c r="AU11" s="5"/>
    </row>
    <row r="12" spans="1:47" x14ac:dyDescent="0.35">
      <c r="A12" s="8" t="s">
        <v>17</v>
      </c>
      <c r="B12" s="5">
        <f t="shared" si="2"/>
        <v>0.45314944717850347</v>
      </c>
      <c r="C12" s="5">
        <f t="shared" si="0"/>
        <v>0.59426506785080058</v>
      </c>
      <c r="D12" s="5">
        <f t="shared" si="0"/>
        <v>6.2743988032968503E-2</v>
      </c>
      <c r="E12" s="5">
        <f t="shared" si="0"/>
        <v>0</v>
      </c>
      <c r="F12" s="5">
        <f t="shared" si="0"/>
        <v>0</v>
      </c>
      <c r="G12" s="5">
        <f t="shared" si="0"/>
        <v>0</v>
      </c>
      <c r="H12" s="5">
        <f t="shared" si="0"/>
        <v>0</v>
      </c>
      <c r="I12" s="5">
        <f t="shared" si="0"/>
        <v>0</v>
      </c>
      <c r="J12" s="5">
        <f t="shared" si="0"/>
        <v>0</v>
      </c>
      <c r="K12" s="5">
        <f t="shared" si="0"/>
        <v>0</v>
      </c>
      <c r="L12" s="5">
        <f t="shared" si="0"/>
        <v>0</v>
      </c>
      <c r="M12" s="5">
        <f t="shared" si="0"/>
        <v>0</v>
      </c>
      <c r="N12" s="5">
        <f t="shared" si="1"/>
        <v>0</v>
      </c>
      <c r="O12" s="5">
        <f t="shared" si="1"/>
        <v>0</v>
      </c>
      <c r="P12" s="5">
        <f t="shared" si="1"/>
        <v>0</v>
      </c>
      <c r="Q12" s="5">
        <f t="shared" si="1"/>
        <v>0</v>
      </c>
      <c r="R12" s="5">
        <f t="shared" si="1"/>
        <v>9.4359972753324514E-2</v>
      </c>
      <c r="S12" s="5">
        <f t="shared" si="1"/>
        <v>0</v>
      </c>
      <c r="T12" s="5">
        <f t="shared" si="1"/>
        <v>1.2045184758155969</v>
      </c>
      <c r="AA12" s="8" t="s">
        <v>17</v>
      </c>
      <c r="AB12" s="5">
        <v>0.45314944717850347</v>
      </c>
      <c r="AC12" s="5">
        <v>0.59426506785080058</v>
      </c>
      <c r="AD12" s="5">
        <v>6.2743988032968503E-2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9.4359972753324514E-2</v>
      </c>
      <c r="AS12" s="5"/>
      <c r="AT12" s="5">
        <v>1.2045184758155969</v>
      </c>
      <c r="AU12" s="5"/>
    </row>
    <row r="13" spans="1:47" x14ac:dyDescent="0.35">
      <c r="A13" s="8" t="s">
        <v>18</v>
      </c>
      <c r="B13" s="5">
        <f t="shared" si="2"/>
        <v>1.7759154299289579</v>
      </c>
      <c r="C13" s="5">
        <f t="shared" si="0"/>
        <v>1.827041284501435</v>
      </c>
      <c r="D13" s="5">
        <f t="shared" si="0"/>
        <v>0.47742916388335133</v>
      </c>
      <c r="E13" s="5">
        <f t="shared" si="0"/>
        <v>0</v>
      </c>
      <c r="F13" s="5">
        <f t="shared" si="0"/>
        <v>0</v>
      </c>
      <c r="G13" s="5">
        <f t="shared" si="0"/>
        <v>0</v>
      </c>
      <c r="H13" s="5">
        <f t="shared" si="0"/>
        <v>0</v>
      </c>
      <c r="I13" s="5">
        <f t="shared" si="0"/>
        <v>0</v>
      </c>
      <c r="J13" s="5">
        <f t="shared" si="0"/>
        <v>0</v>
      </c>
      <c r="K13" s="5">
        <f t="shared" si="0"/>
        <v>0</v>
      </c>
      <c r="L13" s="5">
        <f t="shared" si="0"/>
        <v>0</v>
      </c>
      <c r="M13" s="5">
        <f t="shared" si="0"/>
        <v>0</v>
      </c>
      <c r="N13" s="5">
        <f t="shared" si="1"/>
        <v>0</v>
      </c>
      <c r="O13" s="5">
        <f t="shared" si="1"/>
        <v>0</v>
      </c>
      <c r="P13" s="5">
        <f t="shared" si="1"/>
        <v>0</v>
      </c>
      <c r="Q13" s="5">
        <f t="shared" si="1"/>
        <v>0.18019994083126237</v>
      </c>
      <c r="R13" s="5">
        <f t="shared" si="1"/>
        <v>0.12189142969514168</v>
      </c>
      <c r="S13" s="5">
        <f t="shared" si="1"/>
        <v>2.9393211721165761E-2</v>
      </c>
      <c r="T13" s="5">
        <f t="shared" si="1"/>
        <v>4.4118704605613139</v>
      </c>
      <c r="AA13" s="8" t="s">
        <v>18</v>
      </c>
      <c r="AB13" s="5">
        <v>1.7759154299289579</v>
      </c>
      <c r="AC13" s="5">
        <v>1.827041284501435</v>
      </c>
      <c r="AD13" s="5">
        <v>0.47742916388335133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0.18019994083126237</v>
      </c>
      <c r="AR13" s="5">
        <v>0.12189142969514168</v>
      </c>
      <c r="AS13" s="5">
        <v>2.9393211721165761E-2</v>
      </c>
      <c r="AT13" s="5">
        <v>4.4118704605613139</v>
      </c>
      <c r="AU13" s="5"/>
    </row>
    <row r="14" spans="1:47" x14ac:dyDescent="0.35">
      <c r="A14" s="8" t="s">
        <v>19</v>
      </c>
      <c r="B14" s="5">
        <f t="shared" si="2"/>
        <v>4.5812877634791045</v>
      </c>
      <c r="C14" s="5">
        <f t="shared" si="0"/>
        <v>5.0570386459490972</v>
      </c>
      <c r="D14" s="5">
        <f t="shared" si="0"/>
        <v>1.7466957563949461</v>
      </c>
      <c r="E14" s="5">
        <f t="shared" si="0"/>
        <v>1.5129253789747792</v>
      </c>
      <c r="F14" s="5">
        <f t="shared" si="0"/>
        <v>0</v>
      </c>
      <c r="G14" s="5">
        <f t="shared" si="0"/>
        <v>0</v>
      </c>
      <c r="H14" s="5">
        <f t="shared" si="0"/>
        <v>0</v>
      </c>
      <c r="I14" s="5">
        <f t="shared" si="0"/>
        <v>0</v>
      </c>
      <c r="J14" s="5">
        <f t="shared" si="0"/>
        <v>0</v>
      </c>
      <c r="K14" s="5">
        <f t="shared" si="0"/>
        <v>0</v>
      </c>
      <c r="L14" s="5">
        <f t="shared" si="0"/>
        <v>0</v>
      </c>
      <c r="M14" s="5">
        <f t="shared" si="0"/>
        <v>0</v>
      </c>
      <c r="N14" s="5">
        <f t="shared" si="1"/>
        <v>0</v>
      </c>
      <c r="O14" s="5">
        <f t="shared" si="1"/>
        <v>0</v>
      </c>
      <c r="P14" s="5">
        <f t="shared" si="1"/>
        <v>0</v>
      </c>
      <c r="Q14" s="5">
        <f t="shared" si="1"/>
        <v>0.36768057395584569</v>
      </c>
      <c r="R14" s="5">
        <f t="shared" si="1"/>
        <v>0.29412952143324633</v>
      </c>
      <c r="S14" s="5">
        <f t="shared" si="1"/>
        <v>1.3076630455684985E-2</v>
      </c>
      <c r="T14" s="5">
        <f t="shared" si="1"/>
        <v>13.572834270642707</v>
      </c>
      <c r="AA14" s="8" t="s">
        <v>19</v>
      </c>
      <c r="AB14" s="5">
        <v>4.5812877634791045</v>
      </c>
      <c r="AC14" s="5">
        <v>5.0570386459490972</v>
      </c>
      <c r="AD14" s="5">
        <v>1.7466957563949461</v>
      </c>
      <c r="AE14" s="5">
        <v>1.5129253789747792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0.36768057395584569</v>
      </c>
      <c r="AR14" s="5">
        <v>0.29412952143324633</v>
      </c>
      <c r="AS14" s="5">
        <v>1.3076630455684985E-2</v>
      </c>
      <c r="AT14" s="5">
        <v>13.572834270642707</v>
      </c>
      <c r="AU14" s="5"/>
    </row>
    <row r="15" spans="1:47" x14ac:dyDescent="0.35">
      <c r="A15" s="8" t="s">
        <v>20</v>
      </c>
      <c r="B15" s="5">
        <f t="shared" si="2"/>
        <v>7.0508191654157457</v>
      </c>
      <c r="C15" s="5">
        <f t="shared" si="0"/>
        <v>20.625617777708786</v>
      </c>
      <c r="D15" s="5">
        <f t="shared" si="0"/>
        <v>17.798422297326045</v>
      </c>
      <c r="E15" s="5">
        <f t="shared" si="0"/>
        <v>53.459894610433494</v>
      </c>
      <c r="F15" s="5">
        <f t="shared" si="0"/>
        <v>0</v>
      </c>
      <c r="G15" s="5">
        <f t="shared" si="0"/>
        <v>0</v>
      </c>
      <c r="H15" s="5">
        <f t="shared" si="0"/>
        <v>0</v>
      </c>
      <c r="I15" s="5">
        <f t="shared" si="0"/>
        <v>0</v>
      </c>
      <c r="J15" s="5">
        <f t="shared" si="0"/>
        <v>0</v>
      </c>
      <c r="K15" s="5">
        <f t="shared" si="0"/>
        <v>0</v>
      </c>
      <c r="L15" s="5">
        <f t="shared" si="0"/>
        <v>0</v>
      </c>
      <c r="M15" s="5">
        <f t="shared" si="0"/>
        <v>0</v>
      </c>
      <c r="N15" s="5">
        <f t="shared" si="1"/>
        <v>0</v>
      </c>
      <c r="O15" s="5">
        <f t="shared" si="1"/>
        <v>0</v>
      </c>
      <c r="P15" s="5">
        <f t="shared" si="1"/>
        <v>0</v>
      </c>
      <c r="Q15" s="5">
        <f t="shared" si="1"/>
        <v>24.306941264773236</v>
      </c>
      <c r="R15" s="5">
        <f t="shared" si="1"/>
        <v>3.1388331436866497</v>
      </c>
      <c r="S15" s="5">
        <f t="shared" si="1"/>
        <v>0.69034371165705333</v>
      </c>
      <c r="T15" s="5">
        <f t="shared" si="1"/>
        <v>127.07087197100101</v>
      </c>
      <c r="AA15" s="8" t="s">
        <v>20</v>
      </c>
      <c r="AB15" s="5">
        <v>7.0508191654157457</v>
      </c>
      <c r="AC15" s="5">
        <v>20.625617777708786</v>
      </c>
      <c r="AD15" s="5">
        <v>17.798422297326045</v>
      </c>
      <c r="AE15" s="5">
        <v>53.459894610433494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24.306941264773236</v>
      </c>
      <c r="AR15" s="5">
        <v>3.1388331436866497</v>
      </c>
      <c r="AS15" s="5">
        <v>0.69034371165705333</v>
      </c>
      <c r="AT15" s="5">
        <v>127.07087197100101</v>
      </c>
      <c r="AU15" s="5"/>
    </row>
    <row r="16" spans="1:47" x14ac:dyDescent="0.35">
      <c r="A16" s="8" t="s">
        <v>21</v>
      </c>
      <c r="B16" s="5">
        <f t="shared" si="2"/>
        <v>0</v>
      </c>
      <c r="C16" s="5">
        <f t="shared" si="0"/>
        <v>0</v>
      </c>
      <c r="D16" s="5">
        <f t="shared" si="0"/>
        <v>0</v>
      </c>
      <c r="E16" s="5">
        <f t="shared" si="0"/>
        <v>0</v>
      </c>
      <c r="F16" s="5">
        <f t="shared" si="0"/>
        <v>8.3787533485621584</v>
      </c>
      <c r="G16" s="5">
        <f t="shared" si="0"/>
        <v>4.8066006941151906</v>
      </c>
      <c r="H16" s="5">
        <f t="shared" si="0"/>
        <v>0.36879068744302607</v>
      </c>
      <c r="I16" s="5">
        <f t="shared" si="0"/>
        <v>0.46481470282524995</v>
      </c>
      <c r="J16" s="5">
        <f t="shared" si="0"/>
        <v>0</v>
      </c>
      <c r="K16" s="5">
        <f t="shared" si="0"/>
        <v>0</v>
      </c>
      <c r="L16" s="5">
        <f t="shared" si="0"/>
        <v>0</v>
      </c>
      <c r="M16" s="5">
        <f t="shared" si="0"/>
        <v>0</v>
      </c>
      <c r="N16" s="5">
        <f t="shared" ref="N16:T25" si="3">IF(ISNA(INDEX($AB$6:$AT$25,MATCH($A16,$AA$6:$AA$25,0),MATCH(N$5,$AB$5:$AT$5,0))),0,INDEX($AB$6:$AT$25,MATCH($A16,$AA$6:$AA$25,0),MATCH(N$5,$AB$5:$AT$5,0)))</f>
        <v>3.229851762385207</v>
      </c>
      <c r="O16" s="5">
        <f t="shared" si="3"/>
        <v>1.6310136510039559</v>
      </c>
      <c r="P16" s="5">
        <f t="shared" si="3"/>
        <v>0.44296081572831791</v>
      </c>
      <c r="Q16" s="5">
        <f t="shared" si="3"/>
        <v>1.3209115296741276</v>
      </c>
      <c r="R16" s="5">
        <f t="shared" si="3"/>
        <v>1.026263811280232</v>
      </c>
      <c r="S16" s="5">
        <f t="shared" si="3"/>
        <v>0.10957830156314285</v>
      </c>
      <c r="T16" s="5">
        <f t="shared" si="3"/>
        <v>21.779539304580602</v>
      </c>
      <c r="AA16" s="8" t="s">
        <v>21</v>
      </c>
      <c r="AB16" s="5"/>
      <c r="AC16" s="5"/>
      <c r="AD16" s="5"/>
      <c r="AE16" s="5"/>
      <c r="AF16" s="5">
        <v>8.3787533485621584</v>
      </c>
      <c r="AG16" s="5">
        <v>4.8066006941151906</v>
      </c>
      <c r="AH16" s="5">
        <v>0.36879068744302607</v>
      </c>
      <c r="AI16" s="5">
        <v>0.46481470282524995</v>
      </c>
      <c r="AJ16" s="5"/>
      <c r="AK16" s="5"/>
      <c r="AL16" s="5"/>
      <c r="AM16" s="5"/>
      <c r="AN16" s="5">
        <v>3.229851762385207</v>
      </c>
      <c r="AO16" s="5">
        <v>1.6310136510039559</v>
      </c>
      <c r="AP16" s="5">
        <v>0.44296081572831791</v>
      </c>
      <c r="AQ16" s="5">
        <v>1.3209115296741276</v>
      </c>
      <c r="AR16" s="5">
        <v>1.026263811280232</v>
      </c>
      <c r="AS16" s="5">
        <v>0.10957830156314285</v>
      </c>
      <c r="AT16" s="5">
        <v>21.779539304580602</v>
      </c>
      <c r="AU16" s="5"/>
    </row>
    <row r="17" spans="1:47" x14ac:dyDescent="0.35">
      <c r="A17" s="8" t="s">
        <v>22</v>
      </c>
      <c r="B17" s="5">
        <f t="shared" si="2"/>
        <v>0</v>
      </c>
      <c r="C17" s="5">
        <f t="shared" si="0"/>
        <v>0</v>
      </c>
      <c r="D17" s="5">
        <f t="shared" si="0"/>
        <v>0</v>
      </c>
      <c r="E17" s="5">
        <f t="shared" si="0"/>
        <v>0</v>
      </c>
      <c r="F17" s="5">
        <f t="shared" si="0"/>
        <v>9.6752028160068893</v>
      </c>
      <c r="G17" s="5">
        <f t="shared" si="0"/>
        <v>7.5511292846555058</v>
      </c>
      <c r="H17" s="5">
        <f t="shared" si="0"/>
        <v>0.84535815364667466</v>
      </c>
      <c r="I17" s="5">
        <f t="shared" si="0"/>
        <v>1.0655349409279617</v>
      </c>
      <c r="J17" s="5">
        <f t="shared" si="0"/>
        <v>0</v>
      </c>
      <c r="K17" s="5">
        <f t="shared" si="0"/>
        <v>0</v>
      </c>
      <c r="L17" s="5">
        <f t="shared" si="0"/>
        <v>0</v>
      </c>
      <c r="M17" s="5">
        <f t="shared" si="0"/>
        <v>0</v>
      </c>
      <c r="N17" s="5">
        <f t="shared" si="3"/>
        <v>3.4479837886034845</v>
      </c>
      <c r="O17" s="5">
        <f t="shared" si="3"/>
        <v>1.7349634528015225</v>
      </c>
      <c r="P17" s="5">
        <f t="shared" si="3"/>
        <v>0.56932086960011863</v>
      </c>
      <c r="Q17" s="5">
        <f t="shared" si="3"/>
        <v>6.1777418383628531</v>
      </c>
      <c r="R17" s="5">
        <f t="shared" si="3"/>
        <v>1.1658678959560786</v>
      </c>
      <c r="S17" s="5">
        <f t="shared" si="3"/>
        <v>0.31886503321300907</v>
      </c>
      <c r="T17" s="5">
        <f t="shared" si="3"/>
        <v>32.551968073774098</v>
      </c>
      <c r="AA17" s="8" t="s">
        <v>22</v>
      </c>
      <c r="AB17" s="5"/>
      <c r="AC17" s="5"/>
      <c r="AD17" s="5"/>
      <c r="AE17" s="5"/>
      <c r="AF17" s="5">
        <v>9.6752028160068893</v>
      </c>
      <c r="AG17" s="5">
        <v>7.5511292846555058</v>
      </c>
      <c r="AH17" s="5">
        <v>0.84535815364667466</v>
      </c>
      <c r="AI17" s="5">
        <v>1.0655349409279617</v>
      </c>
      <c r="AJ17" s="5"/>
      <c r="AK17" s="5"/>
      <c r="AL17" s="5"/>
      <c r="AM17" s="5"/>
      <c r="AN17" s="5">
        <v>3.4479837886034845</v>
      </c>
      <c r="AO17" s="5">
        <v>1.7349634528015225</v>
      </c>
      <c r="AP17" s="5">
        <v>0.56932086960011863</v>
      </c>
      <c r="AQ17" s="5">
        <v>6.1777418383628531</v>
      </c>
      <c r="AR17" s="5">
        <v>1.1658678959560786</v>
      </c>
      <c r="AS17" s="5">
        <v>0.31886503321300907</v>
      </c>
      <c r="AT17" s="5">
        <v>32.551968073774098</v>
      </c>
      <c r="AU17" s="5"/>
    </row>
    <row r="18" spans="1:47" x14ac:dyDescent="0.35">
      <c r="A18" s="8" t="s">
        <v>23</v>
      </c>
      <c r="B18" s="5">
        <f t="shared" si="2"/>
        <v>0</v>
      </c>
      <c r="C18" s="5">
        <f t="shared" si="0"/>
        <v>0</v>
      </c>
      <c r="D18" s="5">
        <f t="shared" si="0"/>
        <v>0</v>
      </c>
      <c r="E18" s="5">
        <f t="shared" si="0"/>
        <v>0</v>
      </c>
      <c r="F18" s="5">
        <f t="shared" si="0"/>
        <v>13.159444089046433</v>
      </c>
      <c r="G18" s="5">
        <f t="shared" si="0"/>
        <v>17.204169558496559</v>
      </c>
      <c r="H18" s="5">
        <f t="shared" si="0"/>
        <v>1.8257391396502205</v>
      </c>
      <c r="I18" s="5">
        <f t="shared" si="0"/>
        <v>2.3002950774515258</v>
      </c>
      <c r="J18" s="5">
        <f t="shared" si="0"/>
        <v>0</v>
      </c>
      <c r="K18" s="5">
        <f t="shared" si="0"/>
        <v>0</v>
      </c>
      <c r="L18" s="5">
        <f t="shared" si="0"/>
        <v>0</v>
      </c>
      <c r="M18" s="5">
        <f t="shared" si="0"/>
        <v>0</v>
      </c>
      <c r="N18" s="5">
        <f t="shared" si="3"/>
        <v>5.3271570542834601</v>
      </c>
      <c r="O18" s="5">
        <f t="shared" si="3"/>
        <v>2.6852725129418715</v>
      </c>
      <c r="P18" s="5">
        <f t="shared" si="3"/>
        <v>1.068242734665473</v>
      </c>
      <c r="Q18" s="5">
        <f t="shared" si="3"/>
        <v>13.999867531387778</v>
      </c>
      <c r="R18" s="5">
        <f t="shared" si="3"/>
        <v>1.3179286651826385</v>
      </c>
      <c r="S18" s="5">
        <f t="shared" si="3"/>
        <v>0.27255135528415453</v>
      </c>
      <c r="T18" s="5">
        <f t="shared" si="3"/>
        <v>59.160667718390116</v>
      </c>
      <c r="AA18" s="8" t="s">
        <v>23</v>
      </c>
      <c r="AB18" s="5"/>
      <c r="AC18" s="5"/>
      <c r="AD18" s="5"/>
      <c r="AE18" s="5"/>
      <c r="AF18" s="5">
        <v>13.159444089046433</v>
      </c>
      <c r="AG18" s="5">
        <v>17.204169558496559</v>
      </c>
      <c r="AH18" s="5">
        <v>1.8257391396502205</v>
      </c>
      <c r="AI18" s="5">
        <v>2.3002950774515258</v>
      </c>
      <c r="AJ18" s="5"/>
      <c r="AK18" s="5"/>
      <c r="AL18" s="5"/>
      <c r="AM18" s="5"/>
      <c r="AN18" s="5">
        <v>5.3271570542834601</v>
      </c>
      <c r="AO18" s="5">
        <v>2.6852725129418715</v>
      </c>
      <c r="AP18" s="5">
        <v>1.068242734665473</v>
      </c>
      <c r="AQ18" s="5">
        <v>13.999867531387778</v>
      </c>
      <c r="AR18" s="5">
        <v>1.3179286651826385</v>
      </c>
      <c r="AS18" s="5">
        <v>0.27255135528415453</v>
      </c>
      <c r="AT18" s="5">
        <v>59.160667718390116</v>
      </c>
      <c r="AU18" s="5"/>
    </row>
    <row r="19" spans="1:47" x14ac:dyDescent="0.35">
      <c r="A19" s="8" t="s">
        <v>24</v>
      </c>
      <c r="B19" s="5">
        <f t="shared" si="2"/>
        <v>0</v>
      </c>
      <c r="C19" s="5">
        <f t="shared" si="0"/>
        <v>0</v>
      </c>
      <c r="D19" s="5">
        <f t="shared" si="0"/>
        <v>0</v>
      </c>
      <c r="E19" s="5">
        <f t="shared" si="0"/>
        <v>0</v>
      </c>
      <c r="F19" s="5">
        <f t="shared" si="0"/>
        <v>8.9380023779192754</v>
      </c>
      <c r="G19" s="5">
        <f t="shared" si="0"/>
        <v>19.600906362732857</v>
      </c>
      <c r="H19" s="5">
        <f t="shared" si="0"/>
        <v>8.0853776864399425</v>
      </c>
      <c r="I19" s="5">
        <f t="shared" si="0"/>
        <v>10.167310373421071</v>
      </c>
      <c r="J19" s="5">
        <f t="shared" si="0"/>
        <v>0</v>
      </c>
      <c r="K19" s="5">
        <f t="shared" si="0"/>
        <v>0</v>
      </c>
      <c r="L19" s="5">
        <f t="shared" si="0"/>
        <v>0</v>
      </c>
      <c r="M19" s="5">
        <f t="shared" si="0"/>
        <v>0</v>
      </c>
      <c r="N19" s="5">
        <f t="shared" si="3"/>
        <v>6.8768155547374468</v>
      </c>
      <c r="O19" s="5">
        <f t="shared" si="3"/>
        <v>3.4530871276675024</v>
      </c>
      <c r="P19" s="5">
        <f t="shared" si="3"/>
        <v>1.8955242982802372</v>
      </c>
      <c r="Q19" s="5">
        <f t="shared" si="3"/>
        <v>29.66782845564213</v>
      </c>
      <c r="R19" s="5">
        <f t="shared" si="3"/>
        <v>2.3801619421094906</v>
      </c>
      <c r="S19" s="5">
        <f t="shared" si="3"/>
        <v>0.89189623297347842</v>
      </c>
      <c r="T19" s="5">
        <f t="shared" si="3"/>
        <v>91.956910411923445</v>
      </c>
      <c r="AA19" s="8" t="s">
        <v>24</v>
      </c>
      <c r="AB19" s="5"/>
      <c r="AC19" s="5"/>
      <c r="AD19" s="5"/>
      <c r="AE19" s="5"/>
      <c r="AF19" s="5">
        <v>8.9380023779192754</v>
      </c>
      <c r="AG19" s="5">
        <v>19.600906362732857</v>
      </c>
      <c r="AH19" s="5">
        <v>8.0853776864399425</v>
      </c>
      <c r="AI19" s="5">
        <v>10.167310373421071</v>
      </c>
      <c r="AJ19" s="5"/>
      <c r="AK19" s="5"/>
      <c r="AL19" s="5"/>
      <c r="AM19" s="5"/>
      <c r="AN19" s="5">
        <v>6.8768155547374468</v>
      </c>
      <c r="AO19" s="5">
        <v>3.4530871276675024</v>
      </c>
      <c r="AP19" s="5">
        <v>1.8955242982802372</v>
      </c>
      <c r="AQ19" s="5">
        <v>29.66782845564213</v>
      </c>
      <c r="AR19" s="5">
        <v>2.3801619421094906</v>
      </c>
      <c r="AS19" s="5">
        <v>0.89189623297347842</v>
      </c>
      <c r="AT19" s="5">
        <v>91.956910411923445</v>
      </c>
      <c r="AU19" s="5"/>
    </row>
    <row r="20" spans="1:47" x14ac:dyDescent="0.35">
      <c r="A20" s="8" t="s">
        <v>25</v>
      </c>
      <c r="B20" s="5">
        <f t="shared" si="2"/>
        <v>0</v>
      </c>
      <c r="C20" s="5">
        <f t="shared" si="0"/>
        <v>0</v>
      </c>
      <c r="D20" s="5">
        <f t="shared" si="0"/>
        <v>0</v>
      </c>
      <c r="E20" s="5">
        <f t="shared" si="0"/>
        <v>0</v>
      </c>
      <c r="F20" s="5">
        <f t="shared" si="0"/>
        <v>23.198569021981587</v>
      </c>
      <c r="G20" s="5">
        <f t="shared" si="0"/>
        <v>46.425025643915617</v>
      </c>
      <c r="H20" s="5">
        <f t="shared" si="0"/>
        <v>57.657473931568234</v>
      </c>
      <c r="I20" s="5">
        <f t="shared" si="0"/>
        <v>281.86645924624975</v>
      </c>
      <c r="J20" s="5">
        <f t="shared" si="0"/>
        <v>0</v>
      </c>
      <c r="K20" s="5">
        <f t="shared" si="0"/>
        <v>0</v>
      </c>
      <c r="L20" s="5">
        <f t="shared" si="0"/>
        <v>0</v>
      </c>
      <c r="M20" s="5">
        <f t="shared" si="0"/>
        <v>0</v>
      </c>
      <c r="N20" s="5">
        <f t="shared" si="3"/>
        <v>14.267121847120826</v>
      </c>
      <c r="O20" s="5">
        <f t="shared" si="3"/>
        <v>7.1569677080883336</v>
      </c>
      <c r="P20" s="5">
        <f t="shared" si="3"/>
        <v>4.840361979973455</v>
      </c>
      <c r="Q20" s="5">
        <f t="shared" si="3"/>
        <v>247.93707437484787</v>
      </c>
      <c r="R20" s="5">
        <f t="shared" si="3"/>
        <v>27.98653479445078</v>
      </c>
      <c r="S20" s="5">
        <f t="shared" si="3"/>
        <v>10.719252159501366</v>
      </c>
      <c r="T20" s="5">
        <f t="shared" si="3"/>
        <v>722.05484070769785</v>
      </c>
      <c r="AA20" s="8" t="s">
        <v>25</v>
      </c>
      <c r="AB20" s="5"/>
      <c r="AC20" s="5"/>
      <c r="AD20" s="5"/>
      <c r="AE20" s="5"/>
      <c r="AF20" s="5">
        <v>23.198569021981587</v>
      </c>
      <c r="AG20" s="5">
        <v>46.425025643915617</v>
      </c>
      <c r="AH20" s="5">
        <v>57.657473931568234</v>
      </c>
      <c r="AI20" s="5">
        <v>281.86645924624975</v>
      </c>
      <c r="AJ20" s="5"/>
      <c r="AK20" s="5"/>
      <c r="AL20" s="5"/>
      <c r="AM20" s="5"/>
      <c r="AN20" s="5">
        <v>14.267121847120826</v>
      </c>
      <c r="AO20" s="5">
        <v>7.1569677080883336</v>
      </c>
      <c r="AP20" s="5">
        <v>4.840361979973455</v>
      </c>
      <c r="AQ20" s="5">
        <v>247.93707437484787</v>
      </c>
      <c r="AR20" s="5">
        <v>27.98653479445078</v>
      </c>
      <c r="AS20" s="5">
        <v>10.719252159501366</v>
      </c>
      <c r="AT20" s="5">
        <v>722.05484070769785</v>
      </c>
      <c r="AU20" s="5"/>
    </row>
    <row r="21" spans="1:47" x14ac:dyDescent="0.35">
      <c r="A21" s="3" t="s">
        <v>108</v>
      </c>
      <c r="B21" s="5">
        <f t="shared" si="2"/>
        <v>0</v>
      </c>
      <c r="C21" s="5">
        <f t="shared" si="0"/>
        <v>0</v>
      </c>
      <c r="D21" s="5">
        <f t="shared" si="0"/>
        <v>0</v>
      </c>
      <c r="E21" s="5">
        <f t="shared" si="0"/>
        <v>0</v>
      </c>
      <c r="F21" s="5">
        <f t="shared" si="0"/>
        <v>0</v>
      </c>
      <c r="G21" s="5">
        <f t="shared" si="0"/>
        <v>0</v>
      </c>
      <c r="H21" s="5">
        <f t="shared" si="0"/>
        <v>0</v>
      </c>
      <c r="I21" s="5">
        <f t="shared" si="0"/>
        <v>0</v>
      </c>
      <c r="J21" s="5">
        <f t="shared" si="0"/>
        <v>4.7125446734698793</v>
      </c>
      <c r="K21" s="5">
        <f t="shared" si="0"/>
        <v>0.78958269256981073</v>
      </c>
      <c r="L21" s="5">
        <f t="shared" si="0"/>
        <v>0</v>
      </c>
      <c r="M21" s="5">
        <f t="shared" si="0"/>
        <v>0</v>
      </c>
      <c r="N21" s="5">
        <f t="shared" si="3"/>
        <v>1.0347638597114241</v>
      </c>
      <c r="O21" s="5">
        <f t="shared" si="3"/>
        <v>0.520779071340292</v>
      </c>
      <c r="P21" s="5">
        <f t="shared" si="3"/>
        <v>4.7242205364022898E-2</v>
      </c>
      <c r="Q21" s="5">
        <f t="shared" si="3"/>
        <v>0</v>
      </c>
      <c r="R21" s="5">
        <f t="shared" si="3"/>
        <v>0.59334259208760776</v>
      </c>
      <c r="S21" s="5">
        <f t="shared" si="3"/>
        <v>7.2606278940766447E-2</v>
      </c>
      <c r="T21" s="5">
        <f t="shared" si="3"/>
        <v>7.7708613734838039</v>
      </c>
      <c r="AA21" s="8" t="s">
        <v>108</v>
      </c>
      <c r="AB21" s="5"/>
      <c r="AC21" s="5"/>
      <c r="AD21" s="5"/>
      <c r="AE21" s="5"/>
      <c r="AF21" s="5"/>
      <c r="AG21" s="5"/>
      <c r="AH21" s="5"/>
      <c r="AI21" s="5"/>
      <c r="AJ21" s="5">
        <v>4.7125446734698793</v>
      </c>
      <c r="AK21" s="5">
        <v>0.78958269256981073</v>
      </c>
      <c r="AL21" s="5"/>
      <c r="AM21" s="5"/>
      <c r="AN21" s="5">
        <v>1.0347638597114241</v>
      </c>
      <c r="AO21" s="5">
        <v>0.520779071340292</v>
      </c>
      <c r="AP21" s="5">
        <v>4.7242205364022898E-2</v>
      </c>
      <c r="AQ21" s="5"/>
      <c r="AR21" s="5">
        <v>0.59334259208760776</v>
      </c>
      <c r="AS21" s="5">
        <v>7.2606278940766447E-2</v>
      </c>
      <c r="AT21" s="5">
        <v>7.7708613734838039</v>
      </c>
      <c r="AU21" s="5"/>
    </row>
    <row r="22" spans="1:47" x14ac:dyDescent="0.35">
      <c r="A22" s="3" t="s">
        <v>109</v>
      </c>
      <c r="B22" s="5">
        <f t="shared" si="2"/>
        <v>0</v>
      </c>
      <c r="C22" s="5">
        <f t="shared" si="2"/>
        <v>0</v>
      </c>
      <c r="D22" s="5">
        <f t="shared" si="2"/>
        <v>0</v>
      </c>
      <c r="E22" s="5">
        <f t="shared" si="2"/>
        <v>0</v>
      </c>
      <c r="F22" s="5">
        <f t="shared" si="2"/>
        <v>0</v>
      </c>
      <c r="G22" s="5">
        <f t="shared" si="2"/>
        <v>0</v>
      </c>
      <c r="H22" s="5">
        <f t="shared" si="2"/>
        <v>0</v>
      </c>
      <c r="I22" s="5">
        <f t="shared" si="2"/>
        <v>0</v>
      </c>
      <c r="J22" s="5">
        <f t="shared" si="2"/>
        <v>7.5537375982046955</v>
      </c>
      <c r="K22" s="5">
        <f t="shared" si="2"/>
        <v>5.1988453111526791</v>
      </c>
      <c r="L22" s="5">
        <f t="shared" si="2"/>
        <v>2.6945600532555498</v>
      </c>
      <c r="M22" s="5">
        <f t="shared" si="2"/>
        <v>2.3502580041887722</v>
      </c>
      <c r="N22" s="5">
        <f t="shared" si="3"/>
        <v>1.8829348624921898</v>
      </c>
      <c r="O22" s="5">
        <f t="shared" si="3"/>
        <v>0.94804581278484179</v>
      </c>
      <c r="P22" s="5">
        <f t="shared" si="3"/>
        <v>0.51177752451774605</v>
      </c>
      <c r="Q22" s="5">
        <f t="shared" si="3"/>
        <v>2.8830097790185918</v>
      </c>
      <c r="R22" s="5">
        <f t="shared" si="3"/>
        <v>1.7066943572340225</v>
      </c>
      <c r="S22" s="5">
        <f t="shared" si="3"/>
        <v>0.1473793221777869</v>
      </c>
      <c r="T22" s="5">
        <f t="shared" si="3"/>
        <v>25.877242625026877</v>
      </c>
      <c r="AA22" s="8" t="s">
        <v>109</v>
      </c>
      <c r="AB22" s="5"/>
      <c r="AC22" s="5"/>
      <c r="AD22" s="5"/>
      <c r="AE22" s="5"/>
      <c r="AF22" s="5"/>
      <c r="AG22" s="5"/>
      <c r="AH22" s="5"/>
      <c r="AI22" s="5"/>
      <c r="AJ22" s="5">
        <v>7.5537375982046955</v>
      </c>
      <c r="AK22" s="5">
        <v>5.1988453111526791</v>
      </c>
      <c r="AL22" s="5">
        <v>2.6945600532555498</v>
      </c>
      <c r="AM22" s="5">
        <v>2.3502580041887722</v>
      </c>
      <c r="AN22" s="5">
        <v>1.8829348624921898</v>
      </c>
      <c r="AO22" s="5">
        <v>0.94804581278484179</v>
      </c>
      <c r="AP22" s="5">
        <v>0.51177752451774605</v>
      </c>
      <c r="AQ22" s="5">
        <v>2.8830097790185918</v>
      </c>
      <c r="AR22" s="5">
        <v>1.7066943572340225</v>
      </c>
      <c r="AS22" s="5">
        <v>0.1473793221777869</v>
      </c>
      <c r="AT22" s="5">
        <v>25.877242625026877</v>
      </c>
      <c r="AU22" s="5"/>
    </row>
    <row r="23" spans="1:47" x14ac:dyDescent="0.35">
      <c r="A23" s="3" t="s">
        <v>110</v>
      </c>
      <c r="B23" s="5">
        <f t="shared" ref="B23:M25" si="4">IF(ISNA(INDEX($AB$6:$AT$25,MATCH($A23,$AA$6:$AA$25,0),MATCH(B$5,$AB$5:$AT$5,0))),0,INDEX($AB$6:$AT$25,MATCH($A23,$AA$6:$AA$25,0),MATCH(B$5,$AB$5:$AT$5,0)))</f>
        <v>0</v>
      </c>
      <c r="C23" s="5">
        <f t="shared" si="4"/>
        <v>0</v>
      </c>
      <c r="D23" s="5">
        <f t="shared" si="4"/>
        <v>0</v>
      </c>
      <c r="E23" s="5">
        <f t="shared" si="4"/>
        <v>0</v>
      </c>
      <c r="F23" s="5">
        <f t="shared" si="4"/>
        <v>0</v>
      </c>
      <c r="G23" s="5">
        <f t="shared" si="4"/>
        <v>0</v>
      </c>
      <c r="H23" s="5">
        <f t="shared" si="4"/>
        <v>0</v>
      </c>
      <c r="I23" s="5">
        <f t="shared" si="4"/>
        <v>0</v>
      </c>
      <c r="J23" s="5">
        <f t="shared" si="4"/>
        <v>11.09003551856075</v>
      </c>
      <c r="K23" s="5">
        <f t="shared" si="4"/>
        <v>9.5839683846390589</v>
      </c>
      <c r="L23" s="5">
        <f t="shared" si="4"/>
        <v>2.9566835460049896</v>
      </c>
      <c r="M23" s="5">
        <f t="shared" si="4"/>
        <v>2.5776513146744828</v>
      </c>
      <c r="N23" s="5">
        <f t="shared" si="3"/>
        <v>6.1709302139494122</v>
      </c>
      <c r="O23" s="5">
        <f t="shared" si="3"/>
        <v>3.1139931271108465</v>
      </c>
      <c r="P23" s="5">
        <f t="shared" si="3"/>
        <v>0.87799148549668571</v>
      </c>
      <c r="Q23" s="5">
        <f t="shared" si="3"/>
        <v>5.498619358830048</v>
      </c>
      <c r="R23" s="5">
        <f t="shared" si="3"/>
        <v>1.2968448920895483</v>
      </c>
      <c r="S23" s="5">
        <f t="shared" si="3"/>
        <v>0.18427916552077381</v>
      </c>
      <c r="T23" s="5">
        <f t="shared" si="3"/>
        <v>43.35099700687659</v>
      </c>
      <c r="AA23" s="8" t="s">
        <v>110</v>
      </c>
      <c r="AB23" s="5"/>
      <c r="AC23" s="5"/>
      <c r="AD23" s="5"/>
      <c r="AE23" s="5"/>
      <c r="AF23" s="5"/>
      <c r="AG23" s="5"/>
      <c r="AH23" s="5"/>
      <c r="AI23" s="5"/>
      <c r="AJ23" s="5">
        <v>11.09003551856075</v>
      </c>
      <c r="AK23" s="5">
        <v>9.5839683846390589</v>
      </c>
      <c r="AL23" s="5">
        <v>2.9566835460049896</v>
      </c>
      <c r="AM23" s="5">
        <v>2.5776513146744828</v>
      </c>
      <c r="AN23" s="5">
        <v>6.1709302139494122</v>
      </c>
      <c r="AO23" s="5">
        <v>3.1139931271108465</v>
      </c>
      <c r="AP23" s="5">
        <v>0.87799148549668571</v>
      </c>
      <c r="AQ23" s="5">
        <v>5.498619358830048</v>
      </c>
      <c r="AR23" s="5">
        <v>1.2968448920895483</v>
      </c>
      <c r="AS23" s="5">
        <v>0.18427916552077381</v>
      </c>
      <c r="AT23" s="5">
        <v>43.35099700687659</v>
      </c>
      <c r="AU23" s="5"/>
    </row>
    <row r="24" spans="1:47" x14ac:dyDescent="0.35">
      <c r="A24" s="3" t="s">
        <v>111</v>
      </c>
      <c r="B24" s="5">
        <f t="shared" si="4"/>
        <v>0</v>
      </c>
      <c r="C24" s="5">
        <f t="shared" si="4"/>
        <v>0</v>
      </c>
      <c r="D24" s="5">
        <f t="shared" si="4"/>
        <v>0</v>
      </c>
      <c r="E24" s="5">
        <f t="shared" si="4"/>
        <v>0</v>
      </c>
      <c r="F24" s="5">
        <f t="shared" si="4"/>
        <v>0</v>
      </c>
      <c r="G24" s="5">
        <f t="shared" si="4"/>
        <v>0</v>
      </c>
      <c r="H24" s="5">
        <f t="shared" si="4"/>
        <v>0</v>
      </c>
      <c r="I24" s="5">
        <f t="shared" si="4"/>
        <v>0</v>
      </c>
      <c r="J24" s="5">
        <f t="shared" si="4"/>
        <v>21.838882882827519</v>
      </c>
      <c r="K24" s="5">
        <f t="shared" si="4"/>
        <v>23.202735760179323</v>
      </c>
      <c r="L24" s="5">
        <f t="shared" si="4"/>
        <v>9.82657230475386</v>
      </c>
      <c r="M24" s="5">
        <f t="shared" si="4"/>
        <v>8.5588046870567283</v>
      </c>
      <c r="N24" s="5">
        <f t="shared" si="3"/>
        <v>11.008698770445168</v>
      </c>
      <c r="O24" s="5">
        <f t="shared" si="3"/>
        <v>5.53934156756885</v>
      </c>
      <c r="P24" s="5">
        <f t="shared" si="3"/>
        <v>6.5208296042592195</v>
      </c>
      <c r="Q24" s="5">
        <f t="shared" si="3"/>
        <v>32.616017461807999</v>
      </c>
      <c r="R24" s="5">
        <f t="shared" si="3"/>
        <v>4.031980159639212</v>
      </c>
      <c r="S24" s="5">
        <f t="shared" si="3"/>
        <v>0.48011019163026741</v>
      </c>
      <c r="T24" s="5">
        <f t="shared" si="3"/>
        <v>123.62397339016816</v>
      </c>
      <c r="AA24" s="8" t="s">
        <v>111</v>
      </c>
      <c r="AB24" s="5"/>
      <c r="AC24" s="5"/>
      <c r="AD24" s="5"/>
      <c r="AE24" s="5"/>
      <c r="AF24" s="5"/>
      <c r="AG24" s="5"/>
      <c r="AH24" s="5"/>
      <c r="AI24" s="5"/>
      <c r="AJ24" s="5">
        <v>21.838882882827519</v>
      </c>
      <c r="AK24" s="5">
        <v>23.202735760179323</v>
      </c>
      <c r="AL24" s="5">
        <v>9.82657230475386</v>
      </c>
      <c r="AM24" s="5">
        <v>8.5588046870567283</v>
      </c>
      <c r="AN24" s="5">
        <v>11.008698770445168</v>
      </c>
      <c r="AO24" s="5">
        <v>5.53934156756885</v>
      </c>
      <c r="AP24" s="5">
        <v>6.5208296042592195</v>
      </c>
      <c r="AQ24" s="5">
        <v>32.616017461807999</v>
      </c>
      <c r="AR24" s="5">
        <v>4.031980159639212</v>
      </c>
      <c r="AS24" s="5">
        <v>0.48011019163026741</v>
      </c>
      <c r="AT24" s="5">
        <v>123.62397339016816</v>
      </c>
      <c r="AU24" s="5"/>
    </row>
    <row r="25" spans="1:47" x14ac:dyDescent="0.35">
      <c r="A25" s="3" t="s">
        <v>112</v>
      </c>
      <c r="B25" s="5">
        <f t="shared" si="4"/>
        <v>0</v>
      </c>
      <c r="C25" s="5">
        <f t="shared" si="4"/>
        <v>0</v>
      </c>
      <c r="D25" s="5">
        <f t="shared" si="4"/>
        <v>0</v>
      </c>
      <c r="E25" s="5">
        <f t="shared" si="4"/>
        <v>0</v>
      </c>
      <c r="F25" s="5">
        <f t="shared" si="4"/>
        <v>0</v>
      </c>
      <c r="G25" s="5">
        <f t="shared" si="4"/>
        <v>0</v>
      </c>
      <c r="H25" s="5">
        <f t="shared" si="4"/>
        <v>0</v>
      </c>
      <c r="I25" s="5">
        <f t="shared" si="4"/>
        <v>0</v>
      </c>
      <c r="J25" s="5">
        <f t="shared" si="4"/>
        <v>52.702882762084663</v>
      </c>
      <c r="K25" s="5">
        <f t="shared" si="4"/>
        <v>86.863385705645143</v>
      </c>
      <c r="L25" s="5">
        <f t="shared" si="4"/>
        <v>163.90420279828348</v>
      </c>
      <c r="M25" s="5">
        <f t="shared" si="4"/>
        <v>1133.9744284801502</v>
      </c>
      <c r="N25" s="5">
        <f t="shared" si="3"/>
        <v>18.910210648203943</v>
      </c>
      <c r="O25" s="5">
        <f t="shared" si="3"/>
        <v>9.4859541664312967</v>
      </c>
      <c r="P25" s="5">
        <f t="shared" si="3"/>
        <v>9.3228153724929363</v>
      </c>
      <c r="Q25" s="5">
        <f t="shared" si="3"/>
        <v>712.798758914205</v>
      </c>
      <c r="R25" s="5">
        <f t="shared" si="3"/>
        <v>81.470814803814122</v>
      </c>
      <c r="S25" s="5">
        <f t="shared" si="3"/>
        <v>105.04191065489712</v>
      </c>
      <c r="T25" s="5">
        <f t="shared" si="3"/>
        <v>2374.4753643062077</v>
      </c>
      <c r="AA25" s="8" t="s">
        <v>112</v>
      </c>
      <c r="AB25" s="5"/>
      <c r="AC25" s="5"/>
      <c r="AD25" s="5"/>
      <c r="AE25" s="5"/>
      <c r="AF25" s="5"/>
      <c r="AG25" s="5"/>
      <c r="AH25" s="5"/>
      <c r="AI25" s="5"/>
      <c r="AJ25" s="5">
        <v>52.702882762084663</v>
      </c>
      <c r="AK25" s="5">
        <v>86.863385705645143</v>
      </c>
      <c r="AL25" s="5">
        <v>163.90420279828348</v>
      </c>
      <c r="AM25" s="5">
        <v>1133.9744284801502</v>
      </c>
      <c r="AN25" s="5">
        <v>18.910210648203943</v>
      </c>
      <c r="AO25" s="5">
        <v>9.4859541664312967</v>
      </c>
      <c r="AP25" s="5">
        <v>9.3228153724929363</v>
      </c>
      <c r="AQ25" s="5">
        <v>712.798758914205</v>
      </c>
      <c r="AR25" s="5">
        <v>81.470814803814122</v>
      </c>
      <c r="AS25" s="5">
        <v>105.04191065489712</v>
      </c>
      <c r="AT25" s="5">
        <v>2374.4753643062077</v>
      </c>
      <c r="AU25" s="5"/>
    </row>
    <row r="26" spans="1:47" x14ac:dyDescent="0.35">
      <c r="A26" s="6" t="s">
        <v>46</v>
      </c>
      <c r="B26" s="10">
        <f>SUM(B6:B10)</f>
        <v>675.76747534148342</v>
      </c>
      <c r="C26" s="10">
        <f t="shared" ref="C26:T26" si="5">SUM(C6:C10)</f>
        <v>721.19324985365915</v>
      </c>
      <c r="D26" s="10">
        <f t="shared" si="5"/>
        <v>131.87334111785555</v>
      </c>
      <c r="E26" s="10">
        <f t="shared" si="5"/>
        <v>146.15777224246796</v>
      </c>
      <c r="F26" s="10">
        <f t="shared" si="5"/>
        <v>0</v>
      </c>
      <c r="G26" s="10">
        <f t="shared" si="5"/>
        <v>0</v>
      </c>
      <c r="H26" s="10">
        <f t="shared" si="5"/>
        <v>0</v>
      </c>
      <c r="I26" s="10">
        <f t="shared" si="5"/>
        <v>0</v>
      </c>
      <c r="J26" s="10">
        <f t="shared" si="5"/>
        <v>0</v>
      </c>
      <c r="K26" s="10">
        <f t="shared" si="5"/>
        <v>0</v>
      </c>
      <c r="L26" s="10">
        <f t="shared" si="5"/>
        <v>0</v>
      </c>
      <c r="M26" s="10">
        <f t="shared" si="5"/>
        <v>0</v>
      </c>
      <c r="N26" s="10">
        <f t="shared" si="5"/>
        <v>503.73386104832434</v>
      </c>
      <c r="O26" s="10">
        <f t="shared" si="5"/>
        <v>252.83589878335718</v>
      </c>
      <c r="P26" s="10">
        <f t="shared" si="5"/>
        <v>64.251210709681629</v>
      </c>
      <c r="Q26" s="10">
        <f t="shared" si="5"/>
        <v>577.19045850697876</v>
      </c>
      <c r="R26" s="10">
        <f t="shared" si="5"/>
        <v>127.39352510842356</v>
      </c>
      <c r="S26" s="10">
        <f t="shared" si="5"/>
        <v>55.355373891218747</v>
      </c>
      <c r="T26" s="10">
        <f t="shared" si="5"/>
        <v>3255.75216660345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35">
      <c r="A27" s="6" t="s">
        <v>47</v>
      </c>
      <c r="B27" s="10">
        <f>SUM(B11:B15)</f>
        <v>14.410969458202242</v>
      </c>
      <c r="C27" s="10">
        <f t="shared" ref="C27:T27" si="6">SUM(C11:C15)</f>
        <v>28.322852353653758</v>
      </c>
      <c r="D27" s="10">
        <f t="shared" si="6"/>
        <v>20.085291205637311</v>
      </c>
      <c r="E27" s="10">
        <f t="shared" si="6"/>
        <v>54.972819989408272</v>
      </c>
      <c r="F27" s="10">
        <f t="shared" si="6"/>
        <v>0</v>
      </c>
      <c r="G27" s="10">
        <f t="shared" si="6"/>
        <v>0</v>
      </c>
      <c r="H27" s="10">
        <f t="shared" si="6"/>
        <v>0</v>
      </c>
      <c r="I27" s="10">
        <f t="shared" si="6"/>
        <v>0</v>
      </c>
      <c r="J27" s="10">
        <f t="shared" si="6"/>
        <v>0</v>
      </c>
      <c r="K27" s="10">
        <f t="shared" si="6"/>
        <v>0</v>
      </c>
      <c r="L27" s="10">
        <f t="shared" si="6"/>
        <v>0</v>
      </c>
      <c r="M27" s="10">
        <f t="shared" si="6"/>
        <v>0</v>
      </c>
      <c r="N27" s="10">
        <f t="shared" si="6"/>
        <v>0</v>
      </c>
      <c r="O27" s="10">
        <f t="shared" si="6"/>
        <v>0</v>
      </c>
      <c r="P27" s="10">
        <f t="shared" si="6"/>
        <v>0</v>
      </c>
      <c r="Q27" s="10">
        <f t="shared" si="6"/>
        <v>24.854821779560343</v>
      </c>
      <c r="R27" s="10">
        <f t="shared" si="6"/>
        <v>3.7181501689132008</v>
      </c>
      <c r="S27" s="10">
        <f t="shared" si="6"/>
        <v>0.73378958772919101</v>
      </c>
      <c r="T27" s="10">
        <f t="shared" si="6"/>
        <v>147.09869454310433</v>
      </c>
    </row>
    <row r="28" spans="1:47" x14ac:dyDescent="0.35">
      <c r="A28" s="6" t="s">
        <v>48</v>
      </c>
      <c r="B28" s="10">
        <f>SUM(B16:B20)</f>
        <v>0</v>
      </c>
      <c r="C28" s="10">
        <f t="shared" ref="C28:T28" si="7">SUM(C16:C20)</f>
        <v>0</v>
      </c>
      <c r="D28" s="10">
        <f t="shared" si="7"/>
        <v>0</v>
      </c>
      <c r="E28" s="10">
        <f t="shared" si="7"/>
        <v>0</v>
      </c>
      <c r="F28" s="10">
        <f t="shared" si="7"/>
        <v>63.349971653516349</v>
      </c>
      <c r="G28" s="10">
        <f t="shared" si="7"/>
        <v>95.587831543915726</v>
      </c>
      <c r="H28" s="10">
        <f t="shared" si="7"/>
        <v>68.782739598748094</v>
      </c>
      <c r="I28" s="10">
        <f t="shared" si="7"/>
        <v>295.86441434087556</v>
      </c>
      <c r="J28" s="10">
        <f t="shared" si="7"/>
        <v>0</v>
      </c>
      <c r="K28" s="10">
        <f t="shared" si="7"/>
        <v>0</v>
      </c>
      <c r="L28" s="10">
        <f t="shared" si="7"/>
        <v>0</v>
      </c>
      <c r="M28" s="10">
        <f t="shared" si="7"/>
        <v>0</v>
      </c>
      <c r="N28" s="10">
        <f t="shared" si="7"/>
        <v>33.148930007130424</v>
      </c>
      <c r="O28" s="10">
        <f t="shared" si="7"/>
        <v>16.661304452503188</v>
      </c>
      <c r="P28" s="10">
        <f t="shared" si="7"/>
        <v>8.8164106982476014</v>
      </c>
      <c r="Q28" s="10">
        <f t="shared" si="7"/>
        <v>299.10342372991477</v>
      </c>
      <c r="R28" s="10">
        <f t="shared" si="7"/>
        <v>33.87675710897922</v>
      </c>
      <c r="S28" s="10">
        <f t="shared" si="7"/>
        <v>12.312143082535151</v>
      </c>
      <c r="T28" s="10">
        <f t="shared" si="7"/>
        <v>927.50392621636615</v>
      </c>
    </row>
    <row r="29" spans="1:47" x14ac:dyDescent="0.35">
      <c r="A29" s="6" t="s">
        <v>120</v>
      </c>
      <c r="B29" s="10">
        <f>SUM(B21:B25)</f>
        <v>0</v>
      </c>
      <c r="C29" s="10">
        <f t="shared" ref="C29:T29" si="8">SUM(C21:C25)</f>
        <v>0</v>
      </c>
      <c r="D29" s="10">
        <f t="shared" si="8"/>
        <v>0</v>
      </c>
      <c r="E29" s="10">
        <f t="shared" si="8"/>
        <v>0</v>
      </c>
      <c r="F29" s="10">
        <f t="shared" si="8"/>
        <v>0</v>
      </c>
      <c r="G29" s="10">
        <f t="shared" si="8"/>
        <v>0</v>
      </c>
      <c r="H29" s="10">
        <f t="shared" si="8"/>
        <v>0</v>
      </c>
      <c r="I29" s="10">
        <f t="shared" si="8"/>
        <v>0</v>
      </c>
      <c r="J29" s="10">
        <f t="shared" si="8"/>
        <v>97.898083435147498</v>
      </c>
      <c r="K29" s="10">
        <f t="shared" si="8"/>
        <v>125.63851785418601</v>
      </c>
      <c r="L29" s="10">
        <f t="shared" si="8"/>
        <v>179.38201870229787</v>
      </c>
      <c r="M29" s="10">
        <f t="shared" si="8"/>
        <v>1147.4611424860702</v>
      </c>
      <c r="N29" s="10">
        <f t="shared" si="8"/>
        <v>39.007538354802136</v>
      </c>
      <c r="O29" s="10">
        <f t="shared" si="8"/>
        <v>19.608113745236125</v>
      </c>
      <c r="P29" s="10">
        <f t="shared" si="8"/>
        <v>17.280656192130611</v>
      </c>
      <c r="Q29" s="10">
        <f t="shared" si="8"/>
        <v>753.7964055138616</v>
      </c>
      <c r="R29" s="10">
        <f t="shared" si="8"/>
        <v>89.099676804864515</v>
      </c>
      <c r="S29" s="10">
        <f t="shared" si="8"/>
        <v>105.92628561316671</v>
      </c>
      <c r="T29" s="10">
        <f t="shared" si="8"/>
        <v>2575.0984387017629</v>
      </c>
    </row>
    <row r="30" spans="1:47" x14ac:dyDescent="0.35">
      <c r="A30" s="7" t="s">
        <v>49</v>
      </c>
      <c r="B30" s="11">
        <f>SUM(B26:B29)</f>
        <v>690.17844479968562</v>
      </c>
      <c r="C30" s="11">
        <f t="shared" ref="C30:T30" si="9">SUM(C26:C29)</f>
        <v>749.51610220731288</v>
      </c>
      <c r="D30" s="11">
        <f t="shared" si="9"/>
        <v>151.95863232349285</v>
      </c>
      <c r="E30" s="11">
        <f t="shared" si="9"/>
        <v>201.13059223187622</v>
      </c>
      <c r="F30" s="11">
        <f t="shared" si="9"/>
        <v>63.349971653516349</v>
      </c>
      <c r="G30" s="11">
        <f t="shared" si="9"/>
        <v>95.587831543915726</v>
      </c>
      <c r="H30" s="11">
        <f t="shared" si="9"/>
        <v>68.782739598748094</v>
      </c>
      <c r="I30" s="11">
        <f t="shared" si="9"/>
        <v>295.86441434087556</v>
      </c>
      <c r="J30" s="11">
        <f t="shared" si="9"/>
        <v>97.898083435147498</v>
      </c>
      <c r="K30" s="11">
        <f t="shared" si="9"/>
        <v>125.63851785418601</v>
      </c>
      <c r="L30" s="11">
        <f t="shared" si="9"/>
        <v>179.38201870229787</v>
      </c>
      <c r="M30" s="11">
        <f t="shared" si="9"/>
        <v>1147.4611424860702</v>
      </c>
      <c r="N30" s="11">
        <f t="shared" si="9"/>
        <v>575.89032941025687</v>
      </c>
      <c r="O30" s="11">
        <f t="shared" si="9"/>
        <v>289.10531698109651</v>
      </c>
      <c r="P30" s="11">
        <f t="shared" si="9"/>
        <v>90.348277600059845</v>
      </c>
      <c r="Q30" s="11">
        <f t="shared" si="9"/>
        <v>1654.9451095303154</v>
      </c>
      <c r="R30" s="11">
        <f t="shared" si="9"/>
        <v>254.08810919118051</v>
      </c>
      <c r="S30" s="11">
        <f t="shared" si="9"/>
        <v>174.32759217464979</v>
      </c>
      <c r="T30" s="11">
        <f t="shared" si="9"/>
        <v>6905.4532260646829</v>
      </c>
    </row>
    <row r="31" spans="1:47" x14ac:dyDescent="0.35">
      <c r="A31" s="6" t="s">
        <v>50</v>
      </c>
      <c r="B31" s="10">
        <f>B6+B11+B16+B21</f>
        <v>119.61663994282431</v>
      </c>
      <c r="C31" s="10">
        <f t="shared" ref="C31:T31" si="10">C6+C11+C16+C21</f>
        <v>78.092830211452281</v>
      </c>
      <c r="D31" s="10">
        <f t="shared" si="10"/>
        <v>2.9336711561155822</v>
      </c>
      <c r="E31" s="10">
        <f t="shared" si="10"/>
        <v>0.15527474971248778</v>
      </c>
      <c r="F31" s="10">
        <f t="shared" si="10"/>
        <v>8.3787533485621584</v>
      </c>
      <c r="G31" s="10">
        <f t="shared" si="10"/>
        <v>4.8066006941151906</v>
      </c>
      <c r="H31" s="10">
        <f t="shared" si="10"/>
        <v>0.36879068744302607</v>
      </c>
      <c r="I31" s="10">
        <f t="shared" si="10"/>
        <v>0.46481470282524995</v>
      </c>
      <c r="J31" s="10">
        <f t="shared" si="10"/>
        <v>4.7125446734698793</v>
      </c>
      <c r="K31" s="10">
        <f t="shared" si="10"/>
        <v>0.78958269256981073</v>
      </c>
      <c r="L31" s="10">
        <f t="shared" si="10"/>
        <v>0</v>
      </c>
      <c r="M31" s="10">
        <f t="shared" si="10"/>
        <v>0</v>
      </c>
      <c r="N31" s="10">
        <f t="shared" si="10"/>
        <v>73.693482371738142</v>
      </c>
      <c r="O31" s="10">
        <f t="shared" si="10"/>
        <v>37.383253295878795</v>
      </c>
      <c r="P31" s="10">
        <f t="shared" si="10"/>
        <v>8.0534219612316438</v>
      </c>
      <c r="Q31" s="10">
        <f t="shared" si="10"/>
        <v>19.447633931656288</v>
      </c>
      <c r="R31" s="10">
        <f t="shared" si="10"/>
        <v>21.506487712314112</v>
      </c>
      <c r="S31" s="10">
        <f t="shared" si="10"/>
        <v>2.6549119340160101</v>
      </c>
      <c r="T31" s="10">
        <f t="shared" si="10"/>
        <v>383.05869406592501</v>
      </c>
    </row>
    <row r="32" spans="1:47" x14ac:dyDescent="0.35">
      <c r="A32" s="6" t="s">
        <v>51</v>
      </c>
      <c r="B32" s="10">
        <f t="shared" ref="B32:T32" si="11">B7+B12+B17+B22</f>
        <v>126.05203948690179</v>
      </c>
      <c r="C32" s="10">
        <f t="shared" si="11"/>
        <v>114.9939935408722</v>
      </c>
      <c r="D32" s="10">
        <f t="shared" si="11"/>
        <v>9.9687449519985112</v>
      </c>
      <c r="E32" s="10">
        <f t="shared" si="11"/>
        <v>1.3257161551535446</v>
      </c>
      <c r="F32" s="10">
        <f t="shared" si="11"/>
        <v>9.6752028160068893</v>
      </c>
      <c r="G32" s="10">
        <f t="shared" si="11"/>
        <v>7.5511292846555058</v>
      </c>
      <c r="H32" s="10">
        <f t="shared" si="11"/>
        <v>0.84535815364667466</v>
      </c>
      <c r="I32" s="10">
        <f t="shared" si="11"/>
        <v>1.0655349409279617</v>
      </c>
      <c r="J32" s="10">
        <f t="shared" si="11"/>
        <v>7.5537375982046955</v>
      </c>
      <c r="K32" s="10">
        <f t="shared" si="11"/>
        <v>5.1988453111526791</v>
      </c>
      <c r="L32" s="10">
        <f t="shared" si="11"/>
        <v>2.6945600532555498</v>
      </c>
      <c r="M32" s="10">
        <f t="shared" si="11"/>
        <v>2.3502580041887722</v>
      </c>
      <c r="N32" s="10">
        <f t="shared" si="11"/>
        <v>91.909919969731845</v>
      </c>
      <c r="O32" s="10">
        <f t="shared" si="11"/>
        <v>46.242067011144535</v>
      </c>
      <c r="P32" s="10">
        <f t="shared" si="11"/>
        <v>11.359176617372128</v>
      </c>
      <c r="Q32" s="10">
        <f t="shared" si="11"/>
        <v>54.789367984214458</v>
      </c>
      <c r="R32" s="10">
        <f t="shared" si="11"/>
        <v>23.558967062165571</v>
      </c>
      <c r="S32" s="10">
        <f t="shared" si="11"/>
        <v>4.2269585648403964</v>
      </c>
      <c r="T32" s="10">
        <f t="shared" si="11"/>
        <v>521.36157750643372</v>
      </c>
    </row>
    <row r="33" spans="1:41" x14ac:dyDescent="0.35">
      <c r="A33" s="6" t="s">
        <v>52</v>
      </c>
      <c r="B33" s="10">
        <f t="shared" ref="B33:T33" si="12">B8+B13+B18+B23</f>
        <v>168.5769629174234</v>
      </c>
      <c r="C33" s="10">
        <f t="shared" si="12"/>
        <v>166.83266599599531</v>
      </c>
      <c r="D33" s="10">
        <f t="shared" si="12"/>
        <v>16.435926782777852</v>
      </c>
      <c r="E33" s="10">
        <f t="shared" si="12"/>
        <v>1.1400639350835911</v>
      </c>
      <c r="F33" s="10">
        <f t="shared" si="12"/>
        <v>13.159444089046433</v>
      </c>
      <c r="G33" s="10">
        <f t="shared" si="12"/>
        <v>17.204169558496559</v>
      </c>
      <c r="H33" s="10">
        <f t="shared" si="12"/>
        <v>1.8257391396502205</v>
      </c>
      <c r="I33" s="10">
        <f t="shared" si="12"/>
        <v>2.3002950774515258</v>
      </c>
      <c r="J33" s="10">
        <f t="shared" si="12"/>
        <v>11.09003551856075</v>
      </c>
      <c r="K33" s="10">
        <f t="shared" si="12"/>
        <v>9.5839683846390589</v>
      </c>
      <c r="L33" s="10">
        <f t="shared" si="12"/>
        <v>2.9566835460049896</v>
      </c>
      <c r="M33" s="10">
        <f t="shared" si="12"/>
        <v>2.5776513146744828</v>
      </c>
      <c r="N33" s="10">
        <f t="shared" si="12"/>
        <v>137.10902808241394</v>
      </c>
      <c r="O33" s="10">
        <f t="shared" si="12"/>
        <v>68.999735517029492</v>
      </c>
      <c r="P33" s="10">
        <f t="shared" si="12"/>
        <v>16.205458548524582</v>
      </c>
      <c r="Q33" s="10">
        <f t="shared" si="12"/>
        <v>60.740760607058739</v>
      </c>
      <c r="R33" s="10">
        <f t="shared" si="12"/>
        <v>25.669080597229019</v>
      </c>
      <c r="S33" s="10">
        <f t="shared" si="12"/>
        <v>7.8651327729505525</v>
      </c>
      <c r="T33" s="10">
        <f t="shared" si="12"/>
        <v>730.27280238501044</v>
      </c>
    </row>
    <row r="34" spans="1:41" x14ac:dyDescent="0.35">
      <c r="A34" s="6" t="s">
        <v>53</v>
      </c>
      <c r="B34" s="10">
        <f t="shared" ref="B34:T34" si="13">B9+B14+B19+B24</f>
        <v>174.46181705163218</v>
      </c>
      <c r="C34" s="10">
        <f t="shared" si="13"/>
        <v>198.84608043622595</v>
      </c>
      <c r="D34" s="10">
        <f t="shared" si="13"/>
        <v>34.237849492062118</v>
      </c>
      <c r="E34" s="10">
        <f t="shared" si="13"/>
        <v>30.482498036916301</v>
      </c>
      <c r="F34" s="10">
        <f t="shared" si="13"/>
        <v>8.9380023779192754</v>
      </c>
      <c r="G34" s="10">
        <f t="shared" si="13"/>
        <v>19.600906362732857</v>
      </c>
      <c r="H34" s="10">
        <f t="shared" si="13"/>
        <v>8.0853776864399425</v>
      </c>
      <c r="I34" s="10">
        <f t="shared" si="13"/>
        <v>10.167310373421071</v>
      </c>
      <c r="J34" s="10">
        <f t="shared" si="13"/>
        <v>21.838882882827519</v>
      </c>
      <c r="K34" s="10">
        <f t="shared" si="13"/>
        <v>23.202735760179323</v>
      </c>
      <c r="L34" s="10">
        <f t="shared" si="13"/>
        <v>9.82657230475386</v>
      </c>
      <c r="M34" s="10">
        <f t="shared" si="13"/>
        <v>8.5588046870567283</v>
      </c>
      <c r="N34" s="10">
        <f t="shared" si="13"/>
        <v>150.74909659383812</v>
      </c>
      <c r="O34" s="10">
        <f t="shared" si="13"/>
        <v>75.283065354873472</v>
      </c>
      <c r="P34" s="10">
        <f t="shared" si="13"/>
        <v>26.635417742305222</v>
      </c>
      <c r="Q34" s="10">
        <f t="shared" si="13"/>
        <v>250.31680025967211</v>
      </c>
      <c r="R34" s="10">
        <f t="shared" si="13"/>
        <v>40.789117348805718</v>
      </c>
      <c r="S34" s="10">
        <f t="shared" si="13"/>
        <v>12.772614977399092</v>
      </c>
      <c r="T34" s="10">
        <f t="shared" si="13"/>
        <v>1104.7929497290611</v>
      </c>
    </row>
    <row r="35" spans="1:41" x14ac:dyDescent="0.35">
      <c r="A35" s="6" t="s">
        <v>54</v>
      </c>
      <c r="B35" s="10">
        <f t="shared" ref="B35:T35" si="14">B10+B15+B20+B25</f>
        <v>101.47098540090396</v>
      </c>
      <c r="C35" s="10">
        <f t="shared" si="14"/>
        <v>190.75053202276709</v>
      </c>
      <c r="D35" s="10">
        <f t="shared" si="14"/>
        <v>88.382439940538788</v>
      </c>
      <c r="E35" s="10">
        <f t="shared" si="14"/>
        <v>168.02703935501029</v>
      </c>
      <c r="F35" s="10">
        <f t="shared" si="14"/>
        <v>23.198569021981587</v>
      </c>
      <c r="G35" s="10">
        <f t="shared" si="14"/>
        <v>46.425025643915617</v>
      </c>
      <c r="H35" s="10">
        <f t="shared" si="14"/>
        <v>57.657473931568234</v>
      </c>
      <c r="I35" s="10">
        <f t="shared" si="14"/>
        <v>281.86645924624975</v>
      </c>
      <c r="J35" s="10">
        <f t="shared" si="14"/>
        <v>52.702882762084663</v>
      </c>
      <c r="K35" s="10">
        <f t="shared" si="14"/>
        <v>86.863385705645143</v>
      </c>
      <c r="L35" s="10">
        <f t="shared" si="14"/>
        <v>163.90420279828348</v>
      </c>
      <c r="M35" s="10">
        <f t="shared" si="14"/>
        <v>1133.9744284801502</v>
      </c>
      <c r="N35" s="10">
        <f t="shared" si="14"/>
        <v>122.42880239253482</v>
      </c>
      <c r="O35" s="10">
        <f t="shared" si="14"/>
        <v>61.197195802170221</v>
      </c>
      <c r="P35" s="10">
        <f t="shared" si="14"/>
        <v>28.094802730626267</v>
      </c>
      <c r="Q35" s="10">
        <f t="shared" si="14"/>
        <v>1269.6505467477141</v>
      </c>
      <c r="R35" s="10">
        <f t="shared" si="14"/>
        <v>142.56445647066607</v>
      </c>
      <c r="S35" s="10">
        <f t="shared" si="14"/>
        <v>146.80797392544378</v>
      </c>
      <c r="T35" s="10">
        <f t="shared" si="14"/>
        <v>4165.9672023782532</v>
      </c>
    </row>
    <row r="38" spans="1:41" x14ac:dyDescent="0.35">
      <c r="A38" s="2" t="s">
        <v>55</v>
      </c>
    </row>
    <row r="39" spans="1:41" x14ac:dyDescent="0.35">
      <c r="A39" s="4" t="s">
        <v>56</v>
      </c>
    </row>
    <row r="40" spans="1:41" x14ac:dyDescent="0.35">
      <c r="B40" s="3" t="s">
        <v>41</v>
      </c>
      <c r="C40" s="3" t="s">
        <v>93</v>
      </c>
      <c r="D40" t="s">
        <v>99</v>
      </c>
      <c r="E40" s="3" t="s">
        <v>38</v>
      </c>
      <c r="F40" s="3" t="s">
        <v>42</v>
      </c>
      <c r="G40" s="3" t="s">
        <v>43</v>
      </c>
      <c r="H40" s="3" t="s">
        <v>39</v>
      </c>
      <c r="I40" s="3" t="s">
        <v>40</v>
      </c>
      <c r="J40" s="3"/>
      <c r="K40" s="3"/>
      <c r="L40" s="3"/>
      <c r="M40" s="3"/>
      <c r="N40" s="3"/>
      <c r="O40" s="3"/>
      <c r="P40" s="3"/>
      <c r="AA40" s="5"/>
      <c r="AB40" s="8" t="s">
        <v>41</v>
      </c>
      <c r="AC40" s="8" t="s">
        <v>93</v>
      </c>
      <c r="AD40" s="8" t="s">
        <v>99</v>
      </c>
      <c r="AE40" s="8" t="s">
        <v>38</v>
      </c>
      <c r="AF40" s="8" t="s">
        <v>42</v>
      </c>
      <c r="AG40" s="8" t="s">
        <v>43</v>
      </c>
      <c r="AH40" s="8" t="s">
        <v>39</v>
      </c>
      <c r="AI40" s="8" t="s">
        <v>40</v>
      </c>
      <c r="AJ40" s="5"/>
      <c r="AK40" s="5"/>
      <c r="AL40" s="5"/>
      <c r="AM40" s="5"/>
      <c r="AN40" s="5"/>
      <c r="AO40" s="5"/>
    </row>
    <row r="41" spans="1:41" x14ac:dyDescent="0.35">
      <c r="A41" s="8" t="s">
        <v>11</v>
      </c>
      <c r="B41" s="5">
        <f>IF(ISNA(INDEX($AB$41:$AI$60,MATCH($A41,$AA$41:$AA$60,0),MATCH(B$40,$AB$40:$AI$40,0))),0,INDEX($AB$41:$AI$60,MATCH($A41,$AA$41:$AA$60,0),MATCH(B$40,$AB$40:$AI$40,0)))</f>
        <v>113.61740143503725</v>
      </c>
      <c r="C41" s="5">
        <f t="shared" ref="C41:I56" si="15">IF(ISNA(INDEX($AB$41:$AI$60,MATCH($A41,$AA$41:$AA$60,0),MATCH(C$40,$AB$40:$AI$40,0))),0,INDEX($AB$41:$AI$60,MATCH($A41,$AA$41:$AA$60,0),MATCH(C$40,$AB$40:$AI$40,0)))</f>
        <v>224.68157021353923</v>
      </c>
      <c r="D41" s="5">
        <f t="shared" si="15"/>
        <v>59.630031484489962</v>
      </c>
      <c r="E41" s="5">
        <f t="shared" si="15"/>
        <v>0.31483112357363519</v>
      </c>
      <c r="F41" s="5">
        <f t="shared" si="15"/>
        <v>1.712981907832237</v>
      </c>
      <c r="G41" s="5">
        <f t="shared" si="15"/>
        <v>11.185573313520202</v>
      </c>
      <c r="H41" s="5">
        <f t="shared" si="15"/>
        <v>1.1573360292744608</v>
      </c>
      <c r="I41" s="5">
        <f t="shared" si="15"/>
        <v>352.66969402277704</v>
      </c>
      <c r="J41" s="5"/>
      <c r="K41" s="5"/>
      <c r="L41" s="5"/>
      <c r="M41" s="5"/>
      <c r="N41" s="5"/>
      <c r="O41" s="5"/>
      <c r="P41" s="5"/>
      <c r="AA41" s="8" t="s">
        <v>11</v>
      </c>
      <c r="AB41" s="5">
        <v>113.61740143503725</v>
      </c>
      <c r="AC41" s="5">
        <v>224.68157021353923</v>
      </c>
      <c r="AD41" s="5">
        <v>59.630031484489962</v>
      </c>
      <c r="AE41" s="5">
        <v>0.31483112357363519</v>
      </c>
      <c r="AF41" s="5">
        <v>1.712981907832237</v>
      </c>
      <c r="AG41" s="5">
        <v>11.185573313520202</v>
      </c>
      <c r="AH41" s="5">
        <v>1.1573360292744608</v>
      </c>
      <c r="AI41" s="5">
        <v>352.66969402277704</v>
      </c>
      <c r="AJ41" s="5"/>
      <c r="AK41" s="5"/>
      <c r="AL41" s="5"/>
      <c r="AM41" s="5"/>
      <c r="AN41" s="5"/>
      <c r="AO41" s="5"/>
    </row>
    <row r="42" spans="1:41" x14ac:dyDescent="0.35">
      <c r="A42" s="8" t="s">
        <v>12</v>
      </c>
      <c r="B42" s="5">
        <f t="shared" ref="B42:I57" si="16">IF(ISNA(INDEX($AB$41:$AI$60,MATCH($A42,$AA$41:$AA$60,0),MATCH(B$40,$AB$40:$AI$40,0))),0,INDEX($AB$41:$AI$60,MATCH($A42,$AA$41:$AA$60,0),MATCH(B$40,$AB$40:$AI$40,0)))</f>
        <v>156.66759953731986</v>
      </c>
      <c r="C42" s="5">
        <f t="shared" si="15"/>
        <v>286.9368729425845</v>
      </c>
      <c r="D42" s="5">
        <f t="shared" si="15"/>
        <v>102.13870845221038</v>
      </c>
      <c r="E42" s="5">
        <f t="shared" si="15"/>
        <v>1.0543925360054838</v>
      </c>
      <c r="F42" s="5">
        <f t="shared" si="15"/>
        <v>2.2430669494499522</v>
      </c>
      <c r="G42" s="5">
        <f t="shared" si="15"/>
        <v>13.570560584898452</v>
      </c>
      <c r="H42" s="5">
        <f t="shared" si="15"/>
        <v>1.2553557815587435</v>
      </c>
      <c r="I42" s="5">
        <f t="shared" si="15"/>
        <v>461.72784833181674</v>
      </c>
      <c r="J42" s="5"/>
      <c r="K42" s="5"/>
      <c r="L42" s="5"/>
      <c r="M42" s="5"/>
      <c r="N42" s="5"/>
      <c r="O42" s="5"/>
      <c r="P42" s="5"/>
      <c r="AA42" s="8" t="s">
        <v>12</v>
      </c>
      <c r="AB42" s="5">
        <v>156.66759953731986</v>
      </c>
      <c r="AC42" s="5">
        <v>286.9368729425845</v>
      </c>
      <c r="AD42" s="5">
        <v>102.13870845221038</v>
      </c>
      <c r="AE42" s="5">
        <v>1.0543925360054838</v>
      </c>
      <c r="AF42" s="5">
        <v>2.2430669494499522</v>
      </c>
      <c r="AG42" s="5">
        <v>13.570560584898452</v>
      </c>
      <c r="AH42" s="5">
        <v>1.2553557815587435</v>
      </c>
      <c r="AI42" s="5">
        <v>461.72784833181674</v>
      </c>
      <c r="AJ42" s="5"/>
      <c r="AK42" s="5"/>
      <c r="AL42" s="5"/>
      <c r="AM42" s="5"/>
      <c r="AN42" s="5"/>
      <c r="AO42" s="5"/>
    </row>
    <row r="43" spans="1:41" x14ac:dyDescent="0.35">
      <c r="A43" s="8" t="s">
        <v>13</v>
      </c>
      <c r="B43" s="5">
        <f t="shared" si="16"/>
        <v>202.11893360648563</v>
      </c>
      <c r="C43" s="5">
        <f t="shared" si="15"/>
        <v>394.07807103862325</v>
      </c>
      <c r="D43" s="5">
        <f t="shared" si="15"/>
        <v>145.01663692202817</v>
      </c>
      <c r="E43" s="5">
        <f t="shared" si="15"/>
        <v>1.8690184458154373</v>
      </c>
      <c r="F43" s="5">
        <f t="shared" si="15"/>
        <v>3.5881141827938934</v>
      </c>
      <c r="G43" s="5">
        <f t="shared" si="15"/>
        <v>19.229196877349324</v>
      </c>
      <c r="H43" s="5">
        <f t="shared" si="15"/>
        <v>2.4659330481148061</v>
      </c>
      <c r="I43" s="5">
        <f t="shared" si="15"/>
        <v>623.34926719918258</v>
      </c>
      <c r="J43" s="5"/>
      <c r="K43" s="5"/>
      <c r="L43" s="5"/>
      <c r="M43" s="5"/>
      <c r="N43" s="5"/>
      <c r="O43" s="5"/>
      <c r="P43" s="5"/>
      <c r="AA43" s="8" t="s">
        <v>13</v>
      </c>
      <c r="AB43" s="5">
        <v>202.11893360648563</v>
      </c>
      <c r="AC43" s="5">
        <v>394.07807103862325</v>
      </c>
      <c r="AD43" s="5">
        <v>145.01663692202817</v>
      </c>
      <c r="AE43" s="5">
        <v>1.8690184458154373</v>
      </c>
      <c r="AF43" s="5">
        <v>3.5881141827938934</v>
      </c>
      <c r="AG43" s="5">
        <v>19.229196877349324</v>
      </c>
      <c r="AH43" s="5">
        <v>2.4659330481148061</v>
      </c>
      <c r="AI43" s="5">
        <v>623.34926719918258</v>
      </c>
      <c r="AJ43" s="5"/>
      <c r="AK43" s="5"/>
      <c r="AL43" s="5"/>
      <c r="AM43" s="5"/>
      <c r="AN43" s="5"/>
      <c r="AO43" s="5"/>
    </row>
    <row r="44" spans="1:41" x14ac:dyDescent="0.35">
      <c r="A44" s="8" t="s">
        <v>14</v>
      </c>
      <c r="B44" s="5">
        <f t="shared" si="16"/>
        <v>256.09221139872164</v>
      </c>
      <c r="C44" s="5">
        <f t="shared" si="15"/>
        <v>564.28550214926111</v>
      </c>
      <c r="D44" s="5">
        <f t="shared" si="15"/>
        <v>191.704929786576</v>
      </c>
      <c r="E44" s="5">
        <f t="shared" si="15"/>
        <v>4.1442805755271808</v>
      </c>
      <c r="F44" s="5">
        <f t="shared" si="15"/>
        <v>10.941351301552272</v>
      </c>
      <c r="G44" s="5">
        <f t="shared" si="15"/>
        <v>36.767093791134052</v>
      </c>
      <c r="H44" s="5">
        <f t="shared" si="15"/>
        <v>3.4087924401304432</v>
      </c>
      <c r="I44" s="5">
        <f t="shared" si="15"/>
        <v>875.63923165632684</v>
      </c>
      <c r="J44" s="5"/>
      <c r="K44" s="5"/>
      <c r="L44" s="5"/>
      <c r="M44" s="5"/>
      <c r="N44" s="5"/>
      <c r="O44" s="5"/>
      <c r="P44" s="5"/>
      <c r="AA44" s="8" t="s">
        <v>14</v>
      </c>
      <c r="AB44" s="5">
        <v>256.09221139872164</v>
      </c>
      <c r="AC44" s="5">
        <v>564.28550214926111</v>
      </c>
      <c r="AD44" s="5">
        <v>191.704929786576</v>
      </c>
      <c r="AE44" s="5">
        <v>4.1442805755271808</v>
      </c>
      <c r="AF44" s="5">
        <v>10.941351301552272</v>
      </c>
      <c r="AG44" s="5">
        <v>36.767093791134052</v>
      </c>
      <c r="AH44" s="5">
        <v>3.4087924401304432</v>
      </c>
      <c r="AI44" s="5">
        <v>875.63923165632684</v>
      </c>
      <c r="AJ44" s="5"/>
      <c r="AK44" s="5"/>
      <c r="AL44" s="5"/>
      <c r="AM44" s="5"/>
      <c r="AN44" s="5"/>
      <c r="AO44" s="5"/>
    </row>
    <row r="45" spans="1:41" x14ac:dyDescent="0.35">
      <c r="A45" s="8" t="s">
        <v>15</v>
      </c>
      <c r="B45" s="5">
        <f t="shared" si="16"/>
        <v>183.26227947805896</v>
      </c>
      <c r="C45" s="5">
        <f t="shared" si="15"/>
        <v>660.1774291240306</v>
      </c>
      <c r="D45" s="5">
        <f t="shared" si="15"/>
        <v>125.34997794950358</v>
      </c>
      <c r="E45" s="5">
        <f t="shared" si="15"/>
        <v>18.995210426093163</v>
      </c>
      <c r="F45" s="5">
        <f t="shared" si="15"/>
        <v>28.001543031697825</v>
      </c>
      <c r="G45" s="5">
        <f t="shared" si="15"/>
        <v>44.190613107909591</v>
      </c>
      <c r="H45" s="5">
        <f t="shared" si="15"/>
        <v>7.7390502255569498</v>
      </c>
      <c r="I45" s="5">
        <f t="shared" si="15"/>
        <v>942.36612539334703</v>
      </c>
      <c r="J45" s="5"/>
      <c r="K45" s="5"/>
      <c r="L45" s="5"/>
      <c r="M45" s="5"/>
      <c r="N45" s="5"/>
      <c r="O45" s="5"/>
      <c r="P45" s="5"/>
      <c r="AA45" s="8" t="s">
        <v>15</v>
      </c>
      <c r="AB45" s="5">
        <v>183.26227947805896</v>
      </c>
      <c r="AC45" s="5">
        <v>660.1774291240306</v>
      </c>
      <c r="AD45" s="5">
        <v>125.34997794950358</v>
      </c>
      <c r="AE45" s="5">
        <v>18.995210426093163</v>
      </c>
      <c r="AF45" s="5">
        <v>28.001543031697825</v>
      </c>
      <c r="AG45" s="5">
        <v>44.190613107909591</v>
      </c>
      <c r="AH45" s="5">
        <v>7.7390502255569498</v>
      </c>
      <c r="AI45" s="5">
        <v>942.36612539334703</v>
      </c>
      <c r="AJ45" s="5"/>
      <c r="AK45" s="5"/>
      <c r="AL45" s="5"/>
      <c r="AM45" s="5"/>
      <c r="AN45" s="5"/>
      <c r="AO45" s="5"/>
    </row>
    <row r="46" spans="1:41" x14ac:dyDescent="0.35">
      <c r="A46" s="8" t="s">
        <v>16</v>
      </c>
      <c r="B46" s="5">
        <f t="shared" si="16"/>
        <v>0.13825084970180934</v>
      </c>
      <c r="C46" s="5">
        <f t="shared" si="15"/>
        <v>0.6932452831800725</v>
      </c>
      <c r="D46" s="5">
        <f t="shared" si="15"/>
        <v>0</v>
      </c>
      <c r="E46" s="5">
        <f t="shared" si="15"/>
        <v>0</v>
      </c>
      <c r="F46" s="5">
        <f t="shared" si="15"/>
        <v>0</v>
      </c>
      <c r="G46" s="5">
        <f t="shared" si="15"/>
        <v>2.9669393327182506E-3</v>
      </c>
      <c r="H46" s="5">
        <f t="shared" si="15"/>
        <v>4.1362928690972037E-3</v>
      </c>
      <c r="I46" s="5">
        <f t="shared" si="15"/>
        <v>0.83859936508369759</v>
      </c>
      <c r="J46" s="5"/>
      <c r="K46" s="5"/>
      <c r="L46" s="5"/>
      <c r="M46" s="5"/>
      <c r="N46" s="5"/>
      <c r="O46" s="5"/>
      <c r="P46" s="5"/>
      <c r="AA46" s="8" t="s">
        <v>16</v>
      </c>
      <c r="AB46" s="5">
        <v>0.13825084970180934</v>
      </c>
      <c r="AC46" s="5">
        <v>0.6932452831800725</v>
      </c>
      <c r="AD46" s="5"/>
      <c r="AE46" s="5"/>
      <c r="AF46" s="5"/>
      <c r="AG46" s="5">
        <v>2.9669393327182506E-3</v>
      </c>
      <c r="AH46" s="5">
        <v>4.1362928690972037E-3</v>
      </c>
      <c r="AI46" s="5">
        <v>0.83859936508369759</v>
      </c>
      <c r="AJ46" s="5"/>
      <c r="AK46" s="5"/>
      <c r="AL46" s="5"/>
      <c r="AM46" s="5"/>
      <c r="AN46" s="5"/>
      <c r="AO46" s="5"/>
    </row>
    <row r="47" spans="1:41" x14ac:dyDescent="0.35">
      <c r="A47" s="8" t="s">
        <v>17</v>
      </c>
      <c r="B47" s="5">
        <f t="shared" si="16"/>
        <v>0.10591676387237565</v>
      </c>
      <c r="C47" s="5">
        <f t="shared" si="15"/>
        <v>1.0399589650674066</v>
      </c>
      <c r="D47" s="5">
        <f t="shared" si="15"/>
        <v>8.9752975753047747E-4</v>
      </c>
      <c r="E47" s="5">
        <f t="shared" si="15"/>
        <v>8.9616840058117393E-3</v>
      </c>
      <c r="F47" s="5">
        <f t="shared" si="15"/>
        <v>3.2685621727828885E-2</v>
      </c>
      <c r="G47" s="5">
        <f t="shared" si="15"/>
        <v>1.6995441142174356E-2</v>
      </c>
      <c r="H47" s="5">
        <f t="shared" si="15"/>
        <v>0</v>
      </c>
      <c r="I47" s="5">
        <f t="shared" si="15"/>
        <v>1.2045184758155973</v>
      </c>
      <c r="J47" s="5"/>
      <c r="K47" s="5"/>
      <c r="L47" s="5"/>
      <c r="M47" s="5"/>
      <c r="N47" s="5"/>
      <c r="O47" s="5"/>
      <c r="P47" s="5"/>
      <c r="AA47" s="8" t="s">
        <v>17</v>
      </c>
      <c r="AB47" s="5">
        <v>0.10591676387237565</v>
      </c>
      <c r="AC47" s="5">
        <v>1.0399589650674066</v>
      </c>
      <c r="AD47" s="5">
        <v>8.9752975753047747E-4</v>
      </c>
      <c r="AE47" s="5">
        <v>8.9616840058117393E-3</v>
      </c>
      <c r="AF47" s="5">
        <v>3.2685621727828885E-2</v>
      </c>
      <c r="AG47" s="5">
        <v>1.6995441142174356E-2</v>
      </c>
      <c r="AH47" s="5"/>
      <c r="AI47" s="5">
        <v>1.2045184758155973</v>
      </c>
      <c r="AJ47" s="5"/>
      <c r="AK47" s="5"/>
      <c r="AL47" s="5"/>
      <c r="AM47" s="5"/>
      <c r="AN47" s="5"/>
      <c r="AO47" s="5"/>
    </row>
    <row r="48" spans="1:41" x14ac:dyDescent="0.35">
      <c r="A48" s="8" t="s">
        <v>18</v>
      </c>
      <c r="B48" s="5">
        <f t="shared" si="16"/>
        <v>0.23962163160685518</v>
      </c>
      <c r="C48" s="5">
        <f t="shared" si="15"/>
        <v>3.7388834717760591</v>
      </c>
      <c r="D48" s="5">
        <f t="shared" si="15"/>
        <v>2.129344068478512E-3</v>
      </c>
      <c r="E48" s="5">
        <f t="shared" si="15"/>
        <v>1.7265456508062327E-2</v>
      </c>
      <c r="F48" s="5">
        <f t="shared" si="15"/>
        <v>0.20085537901044045</v>
      </c>
      <c r="G48" s="5">
        <f t="shared" si="15"/>
        <v>0.17386484153483667</v>
      </c>
      <c r="H48" s="5">
        <f t="shared" si="15"/>
        <v>4.1379680125060971E-2</v>
      </c>
      <c r="I48" s="5">
        <f t="shared" si="15"/>
        <v>4.4118704605613148</v>
      </c>
      <c r="J48" s="5"/>
      <c r="K48" s="5"/>
      <c r="L48" s="5"/>
      <c r="M48" s="5"/>
      <c r="N48" s="5"/>
      <c r="O48" s="5"/>
      <c r="P48" s="5"/>
      <c r="AA48" s="8" t="s">
        <v>18</v>
      </c>
      <c r="AB48" s="5">
        <v>0.23962163160685518</v>
      </c>
      <c r="AC48" s="5">
        <v>3.7388834717760591</v>
      </c>
      <c r="AD48" s="5">
        <v>2.129344068478512E-3</v>
      </c>
      <c r="AE48" s="5">
        <v>1.7265456508062327E-2</v>
      </c>
      <c r="AF48" s="5">
        <v>0.20085537901044045</v>
      </c>
      <c r="AG48" s="5">
        <v>0.17386484153483667</v>
      </c>
      <c r="AH48" s="5">
        <v>4.1379680125060971E-2</v>
      </c>
      <c r="AI48" s="5">
        <v>4.4118704605613148</v>
      </c>
      <c r="AJ48" s="5"/>
      <c r="AK48" s="5"/>
      <c r="AL48" s="5"/>
      <c r="AM48" s="5"/>
      <c r="AN48" s="5"/>
      <c r="AO48" s="5"/>
    </row>
    <row r="49" spans="1:41" x14ac:dyDescent="0.35">
      <c r="A49" s="8" t="s">
        <v>19</v>
      </c>
      <c r="B49" s="5">
        <f t="shared" si="16"/>
        <v>0.38658398966001239</v>
      </c>
      <c r="C49" s="5">
        <f t="shared" si="15"/>
        <v>11.112232169525493</v>
      </c>
      <c r="D49" s="5">
        <f t="shared" si="15"/>
        <v>4.9264283679909843E-2</v>
      </c>
      <c r="E49" s="5">
        <f t="shared" si="15"/>
        <v>0.41467404657722107</v>
      </c>
      <c r="F49" s="5">
        <f t="shared" si="15"/>
        <v>0.63172813686700857</v>
      </c>
      <c r="G49" s="5">
        <f t="shared" si="15"/>
        <v>0.98919069319363639</v>
      </c>
      <c r="H49" s="5">
        <f t="shared" si="15"/>
        <v>3.8425234819334415E-2</v>
      </c>
      <c r="I49" s="5">
        <f t="shared" si="15"/>
        <v>13.572834270642709</v>
      </c>
      <c r="J49" s="5"/>
      <c r="K49" s="5"/>
      <c r="L49" s="5"/>
      <c r="M49" s="5"/>
      <c r="N49" s="5"/>
      <c r="O49" s="5"/>
      <c r="P49" s="5"/>
      <c r="AA49" s="8" t="s">
        <v>19</v>
      </c>
      <c r="AB49" s="5">
        <v>0.38658398966001239</v>
      </c>
      <c r="AC49" s="5">
        <v>11.112232169525493</v>
      </c>
      <c r="AD49" s="5">
        <v>4.9264283679909843E-2</v>
      </c>
      <c r="AE49" s="5">
        <v>0.41467404657722107</v>
      </c>
      <c r="AF49" s="5">
        <v>0.63172813686700857</v>
      </c>
      <c r="AG49" s="5">
        <v>0.98919069319363639</v>
      </c>
      <c r="AH49" s="5">
        <v>3.8425234819334415E-2</v>
      </c>
      <c r="AI49" s="5">
        <v>13.572834270642709</v>
      </c>
      <c r="AJ49" s="5"/>
      <c r="AK49" s="5"/>
      <c r="AL49" s="5"/>
      <c r="AM49" s="5"/>
      <c r="AN49" s="5"/>
      <c r="AO49" s="5"/>
    </row>
    <row r="50" spans="1:41" x14ac:dyDescent="0.35">
      <c r="A50" s="8" t="s">
        <v>20</v>
      </c>
      <c r="B50" s="5">
        <f t="shared" si="16"/>
        <v>0.18647758750579629</v>
      </c>
      <c r="C50" s="5">
        <f t="shared" si="15"/>
        <v>106.04348816015323</v>
      </c>
      <c r="D50" s="5">
        <f t="shared" si="15"/>
        <v>5.0546665709729349E-3</v>
      </c>
      <c r="E50" s="5">
        <f t="shared" si="15"/>
        <v>4.9531734399915202</v>
      </c>
      <c r="F50" s="5">
        <f t="shared" si="15"/>
        <v>8.1232903094918836</v>
      </c>
      <c r="G50" s="5">
        <f t="shared" si="15"/>
        <v>7.3575853358975936</v>
      </c>
      <c r="H50" s="5">
        <f t="shared" si="15"/>
        <v>0.40685713796098033</v>
      </c>
      <c r="I50" s="5">
        <f t="shared" si="15"/>
        <v>127.07087197100101</v>
      </c>
      <c r="J50" s="5"/>
      <c r="K50" s="5"/>
      <c r="L50" s="5"/>
      <c r="M50" s="5"/>
      <c r="N50" s="5"/>
      <c r="O50" s="5"/>
      <c r="P50" s="5"/>
      <c r="AA50" s="8" t="s">
        <v>20</v>
      </c>
      <c r="AB50" s="5">
        <v>0.18647758750579629</v>
      </c>
      <c r="AC50" s="5">
        <v>106.04348816015323</v>
      </c>
      <c r="AD50" s="5">
        <v>5.0546665709729349E-3</v>
      </c>
      <c r="AE50" s="5">
        <v>4.9531734399915202</v>
      </c>
      <c r="AF50" s="5">
        <v>8.1232903094918836</v>
      </c>
      <c r="AG50" s="5">
        <v>7.3575853358975936</v>
      </c>
      <c r="AH50" s="5">
        <v>0.40685713796098033</v>
      </c>
      <c r="AI50" s="5">
        <v>127.07087197100101</v>
      </c>
      <c r="AJ50" s="5"/>
      <c r="AK50" s="5"/>
      <c r="AL50" s="5"/>
      <c r="AM50" s="5"/>
      <c r="AN50" s="5"/>
      <c r="AO50" s="5"/>
    </row>
    <row r="51" spans="1:41" x14ac:dyDescent="0.35">
      <c r="A51" s="8" t="s">
        <v>21</v>
      </c>
      <c r="B51" s="5">
        <f t="shared" si="16"/>
        <v>4.7921229593710368</v>
      </c>
      <c r="C51" s="5">
        <f t="shared" si="15"/>
        <v>15.697549688009055</v>
      </c>
      <c r="D51" s="5">
        <f t="shared" si="15"/>
        <v>0.87026692836761499</v>
      </c>
      <c r="E51" s="5">
        <f t="shared" si="15"/>
        <v>9.8777397275202225E-2</v>
      </c>
      <c r="F51" s="5">
        <f t="shared" si="15"/>
        <v>0.36032616031515818</v>
      </c>
      <c r="G51" s="5">
        <f t="shared" si="15"/>
        <v>0.78105233867531998</v>
      </c>
      <c r="H51" s="5">
        <f t="shared" si="15"/>
        <v>4.9710760934833266E-2</v>
      </c>
      <c r="I51" s="5">
        <f t="shared" si="15"/>
        <v>21.779539304580609</v>
      </c>
      <c r="J51" s="5"/>
      <c r="K51" s="5"/>
      <c r="L51" s="5"/>
      <c r="M51" s="5"/>
      <c r="N51" s="5"/>
      <c r="O51" s="5"/>
      <c r="P51" s="5"/>
      <c r="AA51" s="8" t="s">
        <v>21</v>
      </c>
      <c r="AB51" s="5">
        <v>4.7921229593710368</v>
      </c>
      <c r="AC51" s="5">
        <v>15.697549688009055</v>
      </c>
      <c r="AD51" s="5">
        <v>0.87026692836761499</v>
      </c>
      <c r="AE51" s="5">
        <v>9.8777397275202225E-2</v>
      </c>
      <c r="AF51" s="5">
        <v>0.36032616031515818</v>
      </c>
      <c r="AG51" s="5">
        <v>0.78105233867531998</v>
      </c>
      <c r="AH51" s="5">
        <v>4.9710760934833266E-2</v>
      </c>
      <c r="AI51" s="5">
        <v>21.779539304580609</v>
      </c>
      <c r="AJ51" s="5"/>
      <c r="AK51" s="5"/>
      <c r="AL51" s="5"/>
      <c r="AM51" s="5"/>
      <c r="AN51" s="5"/>
      <c r="AO51" s="5"/>
    </row>
    <row r="52" spans="1:41" x14ac:dyDescent="0.35">
      <c r="A52" s="8" t="s">
        <v>22</v>
      </c>
      <c r="B52" s="5">
        <f t="shared" si="16"/>
        <v>6.7931781896124734</v>
      </c>
      <c r="C52" s="5">
        <f t="shared" si="15"/>
        <v>23.884960638008966</v>
      </c>
      <c r="D52" s="5">
        <f t="shared" si="15"/>
        <v>2.2414607555164308</v>
      </c>
      <c r="E52" s="5">
        <f t="shared" si="15"/>
        <v>0.10933489715015098</v>
      </c>
      <c r="F52" s="5">
        <f t="shared" si="15"/>
        <v>0.61055068875440643</v>
      </c>
      <c r="G52" s="5">
        <f t="shared" si="15"/>
        <v>1.0413967724300168</v>
      </c>
      <c r="H52" s="5">
        <f t="shared" si="15"/>
        <v>0.11254688781806477</v>
      </c>
      <c r="I52" s="5">
        <f t="shared" si="15"/>
        <v>32.55196807377407</v>
      </c>
      <c r="J52" s="5"/>
      <c r="K52" s="5"/>
      <c r="L52" s="5"/>
      <c r="M52" s="5"/>
      <c r="N52" s="5"/>
      <c r="O52" s="5"/>
      <c r="P52" s="5"/>
      <c r="AA52" s="8" t="s">
        <v>22</v>
      </c>
      <c r="AB52" s="5">
        <v>6.7931781896124734</v>
      </c>
      <c r="AC52" s="5">
        <v>23.884960638008966</v>
      </c>
      <c r="AD52" s="5">
        <v>2.2414607555164308</v>
      </c>
      <c r="AE52" s="5">
        <v>0.10933489715015098</v>
      </c>
      <c r="AF52" s="5">
        <v>0.61055068875440643</v>
      </c>
      <c r="AG52" s="5">
        <v>1.0413967724300168</v>
      </c>
      <c r="AH52" s="5">
        <v>0.11254688781806477</v>
      </c>
      <c r="AI52" s="5">
        <v>32.55196807377407</v>
      </c>
      <c r="AJ52" s="5"/>
      <c r="AK52" s="5"/>
      <c r="AL52" s="5"/>
      <c r="AM52" s="5"/>
      <c r="AN52" s="5"/>
      <c r="AO52" s="5"/>
    </row>
    <row r="53" spans="1:41" x14ac:dyDescent="0.35">
      <c r="A53" s="8" t="s">
        <v>23</v>
      </c>
      <c r="B53" s="5">
        <f t="shared" si="16"/>
        <v>9.7001263306432524</v>
      </c>
      <c r="C53" s="5">
        <f t="shared" si="15"/>
        <v>46.055971090624219</v>
      </c>
      <c r="D53" s="5">
        <f t="shared" si="15"/>
        <v>4.4784503940324099</v>
      </c>
      <c r="E53" s="5">
        <f t="shared" si="15"/>
        <v>0.20321944858315927</v>
      </c>
      <c r="F53" s="5">
        <f t="shared" si="15"/>
        <v>1.7466468094534562</v>
      </c>
      <c r="G53" s="5">
        <f t="shared" si="15"/>
        <v>1.3334733368547271</v>
      </c>
      <c r="H53" s="5">
        <f t="shared" si="15"/>
        <v>0.12123070223133009</v>
      </c>
      <c r="I53" s="5">
        <f t="shared" si="15"/>
        <v>59.160667718390116</v>
      </c>
      <c r="J53" s="5"/>
      <c r="K53" s="5"/>
      <c r="L53" s="5"/>
      <c r="M53" s="5"/>
      <c r="N53" s="5"/>
      <c r="O53" s="5"/>
      <c r="P53" s="5"/>
      <c r="AA53" s="8" t="s">
        <v>23</v>
      </c>
      <c r="AB53" s="5">
        <v>9.7001263306432524</v>
      </c>
      <c r="AC53" s="5">
        <v>46.055971090624219</v>
      </c>
      <c r="AD53" s="5">
        <v>4.4784503940324099</v>
      </c>
      <c r="AE53" s="5">
        <v>0.20321944858315927</v>
      </c>
      <c r="AF53" s="5">
        <v>1.7466468094534562</v>
      </c>
      <c r="AG53" s="5">
        <v>1.3334733368547271</v>
      </c>
      <c r="AH53" s="5">
        <v>0.12123070223133009</v>
      </c>
      <c r="AI53" s="5">
        <v>59.160667718390116</v>
      </c>
      <c r="AJ53" s="5"/>
      <c r="AK53" s="5"/>
      <c r="AL53" s="5"/>
      <c r="AM53" s="5"/>
      <c r="AN53" s="5"/>
      <c r="AO53" s="5"/>
    </row>
    <row r="54" spans="1:41" x14ac:dyDescent="0.35">
      <c r="A54" s="8" t="s">
        <v>24</v>
      </c>
      <c r="B54" s="5">
        <f t="shared" si="16"/>
        <v>10.484220616825541</v>
      </c>
      <c r="C54" s="5">
        <f t="shared" si="15"/>
        <v>70.642021707188121</v>
      </c>
      <c r="D54" s="5">
        <f t="shared" si="15"/>
        <v>4.0748686815377839</v>
      </c>
      <c r="E54" s="5">
        <f t="shared" si="15"/>
        <v>1.1646278093630007</v>
      </c>
      <c r="F54" s="5">
        <f t="shared" si="15"/>
        <v>6.4829511418666081</v>
      </c>
      <c r="G54" s="5">
        <f t="shared" si="15"/>
        <v>2.9020536541875868</v>
      </c>
      <c r="H54" s="5">
        <f t="shared" si="15"/>
        <v>0.28103548249256544</v>
      </c>
      <c r="I54" s="5">
        <f t="shared" si="15"/>
        <v>91.956910411923431</v>
      </c>
      <c r="J54" s="5"/>
      <c r="K54" s="5"/>
      <c r="L54" s="5"/>
      <c r="M54" s="5"/>
      <c r="N54" s="5"/>
      <c r="O54" s="5"/>
      <c r="P54" s="5"/>
      <c r="AA54" s="8" t="s">
        <v>24</v>
      </c>
      <c r="AB54" s="5">
        <v>10.484220616825541</v>
      </c>
      <c r="AC54" s="5">
        <v>70.642021707188121</v>
      </c>
      <c r="AD54" s="5">
        <v>4.0748686815377839</v>
      </c>
      <c r="AE54" s="5">
        <v>1.1646278093630007</v>
      </c>
      <c r="AF54" s="5">
        <v>6.4829511418666081</v>
      </c>
      <c r="AG54" s="5">
        <v>2.9020536541875868</v>
      </c>
      <c r="AH54" s="5">
        <v>0.28103548249256544</v>
      </c>
      <c r="AI54" s="5">
        <v>91.956910411923431</v>
      </c>
      <c r="AJ54" s="5"/>
      <c r="AK54" s="5"/>
      <c r="AL54" s="5"/>
      <c r="AM54" s="5"/>
      <c r="AN54" s="5"/>
      <c r="AO54" s="5"/>
    </row>
    <row r="55" spans="1:41" x14ac:dyDescent="0.35">
      <c r="A55" s="8" t="s">
        <v>25</v>
      </c>
      <c r="B55" s="5">
        <f t="shared" si="16"/>
        <v>49.047784199524848</v>
      </c>
      <c r="C55" s="5">
        <f t="shared" si="15"/>
        <v>483.99964525178717</v>
      </c>
      <c r="D55" s="5">
        <f t="shared" si="15"/>
        <v>9.5351504922532495</v>
      </c>
      <c r="E55" s="5">
        <f t="shared" si="15"/>
        <v>36.306217360733804</v>
      </c>
      <c r="F55" s="5">
        <f t="shared" si="15"/>
        <v>52.431531132189342</v>
      </c>
      <c r="G55" s="5">
        <f t="shared" si="15"/>
        <v>97.333020286980684</v>
      </c>
      <c r="H55" s="5">
        <f t="shared" si="15"/>
        <v>2.9366424764821191</v>
      </c>
      <c r="I55" s="5">
        <f t="shared" si="15"/>
        <v>722.05484070769785</v>
      </c>
      <c r="J55" s="5"/>
      <c r="K55" s="5"/>
      <c r="L55" s="5"/>
      <c r="M55" s="5"/>
      <c r="N55" s="5"/>
      <c r="O55" s="5"/>
      <c r="P55" s="5"/>
      <c r="AA55" s="8" t="s">
        <v>25</v>
      </c>
      <c r="AB55" s="5">
        <v>49.047784199524848</v>
      </c>
      <c r="AC55" s="5">
        <v>483.99964525178717</v>
      </c>
      <c r="AD55" s="5">
        <v>9.5351504922532495</v>
      </c>
      <c r="AE55" s="5">
        <v>36.306217360733804</v>
      </c>
      <c r="AF55" s="5">
        <v>52.431531132189342</v>
      </c>
      <c r="AG55" s="5">
        <v>97.333020286980684</v>
      </c>
      <c r="AH55" s="5">
        <v>2.9366424764821191</v>
      </c>
      <c r="AI55" s="5">
        <v>722.05484070769785</v>
      </c>
      <c r="AJ55" s="5"/>
      <c r="AK55" s="5"/>
      <c r="AL55" s="5"/>
      <c r="AM55" s="5"/>
      <c r="AN55" s="5"/>
      <c r="AO55" s="5"/>
    </row>
    <row r="56" spans="1:41" x14ac:dyDescent="0.35">
      <c r="A56" s="3" t="s">
        <v>108</v>
      </c>
      <c r="B56" s="5">
        <f t="shared" si="16"/>
        <v>1.2840379012562386</v>
      </c>
      <c r="C56" s="5">
        <f t="shared" si="15"/>
        <v>6.2952145625840714</v>
      </c>
      <c r="D56" s="5">
        <f t="shared" si="15"/>
        <v>0.41119699290216172</v>
      </c>
      <c r="E56" s="5">
        <f t="shared" si="15"/>
        <v>0</v>
      </c>
      <c r="F56" s="5">
        <f t="shared" si="15"/>
        <v>0</v>
      </c>
      <c r="G56" s="5">
        <f t="shared" si="15"/>
        <v>0.15585845376644961</v>
      </c>
      <c r="H56" s="5">
        <f t="shared" si="15"/>
        <v>3.5750455877041995E-2</v>
      </c>
      <c r="I56" s="5">
        <f t="shared" si="15"/>
        <v>7.7708613734838021</v>
      </c>
      <c r="J56" s="6"/>
      <c r="K56" s="6"/>
      <c r="L56" s="6"/>
      <c r="M56" s="6"/>
      <c r="N56" s="6"/>
      <c r="O56" s="6"/>
      <c r="P56" s="6"/>
      <c r="AA56" s="8" t="s">
        <v>108</v>
      </c>
      <c r="AB56" s="5">
        <v>1.2840379012562386</v>
      </c>
      <c r="AC56" s="5">
        <v>6.2952145625840714</v>
      </c>
      <c r="AD56" s="5">
        <v>0.41119699290216172</v>
      </c>
      <c r="AE56" s="5"/>
      <c r="AF56" s="5"/>
      <c r="AG56" s="5">
        <v>0.15585845376644961</v>
      </c>
      <c r="AH56" s="5">
        <v>3.5750455877041995E-2</v>
      </c>
      <c r="AI56" s="5">
        <v>7.7708613734838021</v>
      </c>
      <c r="AJ56" s="5"/>
      <c r="AK56" s="5"/>
      <c r="AL56" s="5"/>
      <c r="AM56" s="5"/>
      <c r="AN56" s="5"/>
      <c r="AO56" s="5"/>
    </row>
    <row r="57" spans="1:41" x14ac:dyDescent="0.35">
      <c r="A57" s="3" t="s">
        <v>109</v>
      </c>
      <c r="B57" s="5">
        <f t="shared" si="16"/>
        <v>2.0671225478361661</v>
      </c>
      <c r="C57" s="5">
        <f t="shared" si="16"/>
        <v>20.81632463510871</v>
      </c>
      <c r="D57" s="5">
        <f t="shared" si="16"/>
        <v>1.2039313704519945</v>
      </c>
      <c r="E57" s="5">
        <f t="shared" si="16"/>
        <v>0.40187040842863392</v>
      </c>
      <c r="F57" s="5">
        <f t="shared" si="16"/>
        <v>1.2505701143251804</v>
      </c>
      <c r="G57" s="5">
        <f t="shared" si="16"/>
        <v>1.2761115495747808</v>
      </c>
      <c r="H57" s="5">
        <f t="shared" si="16"/>
        <v>6.5243369753406222E-2</v>
      </c>
      <c r="I57" s="5">
        <f t="shared" si="16"/>
        <v>25.877242625026888</v>
      </c>
      <c r="J57" s="6"/>
      <c r="K57" s="6"/>
      <c r="L57" s="6"/>
      <c r="M57" s="6"/>
      <c r="AA57" s="8" t="s">
        <v>109</v>
      </c>
      <c r="AB57" s="5">
        <v>2.0671225478361661</v>
      </c>
      <c r="AC57" s="5">
        <v>20.81632463510871</v>
      </c>
      <c r="AD57" s="5">
        <v>1.2039313704519945</v>
      </c>
      <c r="AE57" s="5">
        <v>0.40187040842863392</v>
      </c>
      <c r="AF57" s="5">
        <v>1.2505701143251804</v>
      </c>
      <c r="AG57" s="5">
        <v>1.2761115495747808</v>
      </c>
      <c r="AH57" s="5">
        <v>6.5243369753406222E-2</v>
      </c>
      <c r="AI57" s="5">
        <v>25.877242625026888</v>
      </c>
      <c r="AJ57" s="5"/>
      <c r="AK57" s="5"/>
      <c r="AL57" s="5"/>
      <c r="AM57" s="5"/>
      <c r="AN57" s="5"/>
      <c r="AO57" s="5"/>
    </row>
    <row r="58" spans="1:41" x14ac:dyDescent="0.35">
      <c r="A58" s="3" t="s">
        <v>110</v>
      </c>
      <c r="B58" s="5">
        <f t="shared" ref="B58:I60" si="17">IF(ISNA(INDEX($AB$41:$AI$60,MATCH($A58,$AA$41:$AA$60,0),MATCH(B$40,$AB$40:$AI$40,0))),0,INDEX($AB$41:$AI$60,MATCH($A58,$AA$41:$AA$60,0),MATCH(B$40,$AB$40:$AI$40,0)))</f>
        <v>3.8677104531057251</v>
      </c>
      <c r="C58" s="5">
        <f t="shared" si="17"/>
        <v>36.212146212513922</v>
      </c>
      <c r="D58" s="5">
        <f t="shared" si="17"/>
        <v>2.3634070377757284</v>
      </c>
      <c r="E58" s="5">
        <f t="shared" si="17"/>
        <v>0.3144897091615137</v>
      </c>
      <c r="F58" s="5">
        <f t="shared" si="17"/>
        <v>1.3285597230656467</v>
      </c>
      <c r="G58" s="5">
        <f t="shared" si="17"/>
        <v>1.5512609765604657</v>
      </c>
      <c r="H58" s="5">
        <f t="shared" si="17"/>
        <v>7.6829932469322029E-2</v>
      </c>
      <c r="I58" s="5">
        <f t="shared" si="17"/>
        <v>43.350997006876597</v>
      </c>
      <c r="J58" s="6"/>
      <c r="K58" s="6"/>
      <c r="L58" s="6"/>
      <c r="M58" s="6"/>
      <c r="AA58" s="8" t="s">
        <v>110</v>
      </c>
      <c r="AB58" s="5">
        <v>3.8677104531057251</v>
      </c>
      <c r="AC58" s="5">
        <v>36.212146212513922</v>
      </c>
      <c r="AD58" s="5">
        <v>2.3634070377757284</v>
      </c>
      <c r="AE58" s="5">
        <v>0.3144897091615137</v>
      </c>
      <c r="AF58" s="5">
        <v>1.3285597230656467</v>
      </c>
      <c r="AG58" s="5">
        <v>1.5512609765604657</v>
      </c>
      <c r="AH58" s="5">
        <v>7.6829932469322029E-2</v>
      </c>
      <c r="AI58" s="5">
        <v>43.350997006876597</v>
      </c>
      <c r="AJ58" s="5"/>
      <c r="AK58" s="5"/>
      <c r="AL58" s="5"/>
      <c r="AM58" s="5"/>
      <c r="AN58" s="5"/>
      <c r="AO58" s="5"/>
    </row>
    <row r="59" spans="1:41" x14ac:dyDescent="0.35">
      <c r="A59" s="3" t="s">
        <v>111</v>
      </c>
      <c r="B59" s="5">
        <f t="shared" si="17"/>
        <v>7.1471628019263278</v>
      </c>
      <c r="C59" s="5">
        <f t="shared" si="17"/>
        <v>96.655054867249802</v>
      </c>
      <c r="D59" s="5">
        <f t="shared" si="17"/>
        <v>4.5676559700406187</v>
      </c>
      <c r="E59" s="5">
        <f t="shared" si="17"/>
        <v>1.3913754191113537</v>
      </c>
      <c r="F59" s="5">
        <f t="shared" si="17"/>
        <v>3.9732277348526934</v>
      </c>
      <c r="G59" s="5">
        <f t="shared" si="17"/>
        <v>14.294999409368456</v>
      </c>
      <c r="H59" s="5">
        <f t="shared" si="17"/>
        <v>0.16215315765953123</v>
      </c>
      <c r="I59" s="5">
        <f t="shared" si="17"/>
        <v>123.62397339016815</v>
      </c>
      <c r="J59" s="7"/>
      <c r="K59" s="7"/>
      <c r="L59" s="7"/>
      <c r="M59" s="7"/>
      <c r="AA59" s="8" t="s">
        <v>111</v>
      </c>
      <c r="AB59" s="5">
        <v>7.1471628019263278</v>
      </c>
      <c r="AC59" s="5">
        <v>96.655054867249802</v>
      </c>
      <c r="AD59" s="5">
        <v>4.5676559700406187</v>
      </c>
      <c r="AE59" s="5">
        <v>1.3913754191113537</v>
      </c>
      <c r="AF59" s="5">
        <v>3.9732277348526934</v>
      </c>
      <c r="AG59" s="5">
        <v>14.294999409368456</v>
      </c>
      <c r="AH59" s="5">
        <v>0.16215315765953123</v>
      </c>
      <c r="AI59" s="5">
        <v>123.62397339016815</v>
      </c>
      <c r="AJ59" s="5"/>
      <c r="AK59" s="5"/>
      <c r="AL59" s="5"/>
      <c r="AM59" s="5"/>
      <c r="AN59" s="5"/>
      <c r="AO59" s="5"/>
    </row>
    <row r="60" spans="1:41" x14ac:dyDescent="0.35">
      <c r="A60" s="3" t="s">
        <v>112</v>
      </c>
      <c r="B60" s="5">
        <f t="shared" si="17"/>
        <v>12.928487091246566</v>
      </c>
      <c r="C60" s="5">
        <f t="shared" si="17"/>
        <v>1611.2158633013014</v>
      </c>
      <c r="D60" s="5">
        <f t="shared" si="17"/>
        <v>10.165214663990463</v>
      </c>
      <c r="E60" s="5">
        <f t="shared" si="17"/>
        <v>124.07635636245311</v>
      </c>
      <c r="F60" s="5">
        <f t="shared" si="17"/>
        <v>191.62292064476478</v>
      </c>
      <c r="G60" s="5">
        <f t="shared" si="17"/>
        <v>406.83182950535939</v>
      </c>
      <c r="H60" s="5">
        <f t="shared" si="17"/>
        <v>27.799907401082798</v>
      </c>
      <c r="I60" s="5">
        <f t="shared" si="17"/>
        <v>2374.4753643062081</v>
      </c>
      <c r="J60" s="6"/>
      <c r="K60" s="6"/>
      <c r="L60" s="6"/>
      <c r="M60" s="6"/>
      <c r="AA60" s="8" t="s">
        <v>112</v>
      </c>
      <c r="AB60" s="5">
        <v>12.928487091246566</v>
      </c>
      <c r="AC60" s="5">
        <v>1611.2158633013014</v>
      </c>
      <c r="AD60" s="5">
        <v>10.165214663990463</v>
      </c>
      <c r="AE60" s="5">
        <v>124.07635636245311</v>
      </c>
      <c r="AF60" s="5">
        <v>191.62292064476478</v>
      </c>
      <c r="AG60" s="5">
        <v>406.83182950535939</v>
      </c>
      <c r="AH60" s="5">
        <v>27.799907401082798</v>
      </c>
      <c r="AI60" s="5">
        <v>2374.4753643062081</v>
      </c>
      <c r="AJ60" s="5"/>
      <c r="AK60" s="5"/>
      <c r="AL60" s="5"/>
      <c r="AM60" s="5"/>
      <c r="AN60" s="5"/>
      <c r="AO60" s="5"/>
    </row>
    <row r="61" spans="1:41" x14ac:dyDescent="0.35">
      <c r="A61" s="6" t="s">
        <v>46</v>
      </c>
      <c r="B61" s="10">
        <f>SUM(B41:B45)</f>
        <v>911.7584254556233</v>
      </c>
      <c r="C61" s="10">
        <f t="shared" ref="C61:I61" si="18">SUM(C41:C45)</f>
        <v>2130.1594454680389</v>
      </c>
      <c r="D61" s="10">
        <f t="shared" si="18"/>
        <v>623.84028459480805</v>
      </c>
      <c r="E61" s="10">
        <f t="shared" si="18"/>
        <v>26.377733107014897</v>
      </c>
      <c r="F61" s="10">
        <f t="shared" si="18"/>
        <v>46.487057373326181</v>
      </c>
      <c r="G61" s="10">
        <f t="shared" si="18"/>
        <v>124.94303767481162</v>
      </c>
      <c r="H61" s="10">
        <f t="shared" si="18"/>
        <v>16.0264675246354</v>
      </c>
      <c r="I61" s="10">
        <f t="shared" si="18"/>
        <v>3255.75216660345</v>
      </c>
      <c r="J61" s="6"/>
      <c r="K61" s="6"/>
      <c r="L61" s="6"/>
      <c r="M61" s="6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5">
      <c r="A62" s="6" t="s">
        <v>47</v>
      </c>
      <c r="B62" s="10">
        <f>SUM(B46:B50)</f>
        <v>1.0568508223468489</v>
      </c>
      <c r="C62" s="10">
        <f t="shared" ref="C62:I62" si="19">SUM(C46:C50)</f>
        <v>122.62780804970225</v>
      </c>
      <c r="D62" s="10">
        <f t="shared" si="19"/>
        <v>5.7345824076891767E-2</v>
      </c>
      <c r="E62" s="10">
        <f t="shared" si="19"/>
        <v>5.394074627082615</v>
      </c>
      <c r="F62" s="10">
        <f t="shared" si="19"/>
        <v>8.9885594470971615</v>
      </c>
      <c r="G62" s="10">
        <f t="shared" si="19"/>
        <v>8.5406032511009595</v>
      </c>
      <c r="H62" s="10">
        <f t="shared" si="19"/>
        <v>0.4907983457744729</v>
      </c>
      <c r="I62" s="10">
        <f t="shared" si="19"/>
        <v>147.09869454310433</v>
      </c>
      <c r="J62" s="6"/>
      <c r="K62" s="6"/>
      <c r="L62" s="6"/>
      <c r="M62" s="6"/>
    </row>
    <row r="63" spans="1:41" x14ac:dyDescent="0.35">
      <c r="A63" s="6" t="s">
        <v>48</v>
      </c>
      <c r="B63" s="10">
        <f>SUM(B51:B55)</f>
        <v>80.817432295977142</v>
      </c>
      <c r="C63" s="10">
        <f t="shared" ref="C63:I63" si="20">SUM(C51:C55)</f>
        <v>640.2801483756175</v>
      </c>
      <c r="D63" s="10">
        <f t="shared" si="20"/>
        <v>21.200197251707486</v>
      </c>
      <c r="E63" s="10">
        <f t="shared" si="20"/>
        <v>37.882176913105319</v>
      </c>
      <c r="F63" s="10">
        <f t="shared" si="20"/>
        <v>61.63200593257897</v>
      </c>
      <c r="G63" s="10">
        <f t="shared" si="20"/>
        <v>103.39099638912833</v>
      </c>
      <c r="H63" s="10">
        <f t="shared" si="20"/>
        <v>3.5011663099589123</v>
      </c>
      <c r="I63" s="10">
        <f t="shared" si="20"/>
        <v>927.50392621636615</v>
      </c>
      <c r="J63" s="6"/>
      <c r="K63" s="6"/>
      <c r="L63" s="6"/>
      <c r="M63" s="6"/>
    </row>
    <row r="64" spans="1:41" x14ac:dyDescent="0.35">
      <c r="A64" s="6" t="s">
        <v>120</v>
      </c>
      <c r="B64" s="10">
        <f>SUM(B56:B60)</f>
        <v>27.294520795371024</v>
      </c>
      <c r="C64" s="10">
        <f t="shared" ref="C64:I64" si="21">SUM(C56:C60)</f>
        <v>1771.1946035787578</v>
      </c>
      <c r="D64" s="10">
        <f t="shared" si="21"/>
        <v>18.711406035160969</v>
      </c>
      <c r="E64" s="10">
        <f t="shared" si="21"/>
        <v>126.18409189915461</v>
      </c>
      <c r="F64" s="10">
        <f t="shared" si="21"/>
        <v>198.1752782170083</v>
      </c>
      <c r="G64" s="10">
        <f t="shared" si="21"/>
        <v>424.11005989462956</v>
      </c>
      <c r="H64" s="10">
        <f t="shared" si="21"/>
        <v>28.1398843168421</v>
      </c>
      <c r="I64" s="10">
        <f t="shared" si="21"/>
        <v>2575.0984387017634</v>
      </c>
      <c r="J64" s="6"/>
      <c r="K64" s="6"/>
      <c r="L64" s="6"/>
      <c r="M64" s="6"/>
    </row>
    <row r="65" spans="1:34" x14ac:dyDescent="0.35">
      <c r="A65" s="7" t="s">
        <v>49</v>
      </c>
      <c r="B65" s="11">
        <f>SUM(B61:B64)</f>
        <v>1020.9272293693183</v>
      </c>
      <c r="C65" s="11">
        <f t="shared" ref="C65" si="22">SUM(C61:C64)</f>
        <v>4664.2620054721165</v>
      </c>
      <c r="D65" s="11">
        <f t="shared" ref="D65" si="23">SUM(D61:D64)</f>
        <v>663.8092337057534</v>
      </c>
      <c r="E65" s="11">
        <f t="shared" ref="E65" si="24">SUM(E61:E64)</f>
        <v>195.83807654635746</v>
      </c>
      <c r="F65" s="11">
        <f t="shared" ref="F65" si="25">SUM(F61:F64)</f>
        <v>315.28290097001059</v>
      </c>
      <c r="G65" s="11">
        <f t="shared" ref="G65" si="26">SUM(G61:G64)</f>
        <v>660.98469720967046</v>
      </c>
      <c r="H65" s="11">
        <f t="shared" ref="H65" si="27">SUM(H61:H64)</f>
        <v>48.158316497210883</v>
      </c>
      <c r="I65" s="11">
        <f t="shared" ref="I65" si="28">SUM(I61:I64)</f>
        <v>6905.4532260646838</v>
      </c>
    </row>
    <row r="66" spans="1:34" x14ac:dyDescent="0.35">
      <c r="A66" s="6" t="s">
        <v>50</v>
      </c>
      <c r="B66" s="10">
        <f>B41+B46+B51+B56</f>
        <v>119.83181314536634</v>
      </c>
      <c r="C66" s="10">
        <f t="shared" ref="C66:I66" si="29">C41+C46+C51+C56</f>
        <v>247.36757974731242</v>
      </c>
      <c r="D66" s="10">
        <f t="shared" si="29"/>
        <v>60.911495405759737</v>
      </c>
      <c r="E66" s="10">
        <f t="shared" si="29"/>
        <v>0.41360852084883742</v>
      </c>
      <c r="F66" s="10">
        <f t="shared" si="29"/>
        <v>2.0733080681473952</v>
      </c>
      <c r="G66" s="10">
        <f t="shared" si="29"/>
        <v>12.125451045294691</v>
      </c>
      <c r="H66" s="10">
        <f t="shared" si="29"/>
        <v>1.2469335389554332</v>
      </c>
      <c r="I66" s="10">
        <f t="shared" si="29"/>
        <v>383.05869406592518</v>
      </c>
    </row>
    <row r="67" spans="1:34" x14ac:dyDescent="0.35">
      <c r="A67" s="6" t="s">
        <v>51</v>
      </c>
      <c r="B67" s="10">
        <f t="shared" ref="B67:I67" si="30">B42+B47+B52+B57</f>
        <v>165.63381703864087</v>
      </c>
      <c r="C67" s="10">
        <f t="shared" si="30"/>
        <v>332.67811718076956</v>
      </c>
      <c r="D67" s="10">
        <f t="shared" si="30"/>
        <v>105.58499810793634</v>
      </c>
      <c r="E67" s="10">
        <f t="shared" si="30"/>
        <v>1.5745595255900804</v>
      </c>
      <c r="F67" s="10">
        <f t="shared" si="30"/>
        <v>4.1368733742573678</v>
      </c>
      <c r="G67" s="10">
        <f t="shared" si="30"/>
        <v>15.905064348045425</v>
      </c>
      <c r="H67" s="10">
        <f t="shared" si="30"/>
        <v>1.4331460391302144</v>
      </c>
      <c r="I67" s="10">
        <f t="shared" si="30"/>
        <v>521.36157750643326</v>
      </c>
    </row>
    <row r="68" spans="1:34" x14ac:dyDescent="0.35">
      <c r="A68" s="6" t="s">
        <v>52</v>
      </c>
      <c r="B68" s="10">
        <f t="shared" ref="B68:I68" si="31">B43+B48+B53+B58</f>
        <v>215.92639202184148</v>
      </c>
      <c r="C68" s="10">
        <f t="shared" si="31"/>
        <v>480.08507181353741</v>
      </c>
      <c r="D68" s="10">
        <f t="shared" si="31"/>
        <v>151.86062369790477</v>
      </c>
      <c r="E68" s="10">
        <f t="shared" si="31"/>
        <v>2.4039930600681725</v>
      </c>
      <c r="F68" s="10">
        <f t="shared" si="31"/>
        <v>6.8641760943234367</v>
      </c>
      <c r="G68" s="10">
        <f t="shared" si="31"/>
        <v>22.287796032299354</v>
      </c>
      <c r="H68" s="10">
        <f t="shared" si="31"/>
        <v>2.7053733629405192</v>
      </c>
      <c r="I68" s="10">
        <f t="shared" si="31"/>
        <v>730.27280238501055</v>
      </c>
    </row>
    <row r="69" spans="1:34" x14ac:dyDescent="0.35">
      <c r="A69" s="6" t="s">
        <v>53</v>
      </c>
      <c r="B69" s="10">
        <f t="shared" ref="B69:I69" si="32">B44+B49+B54+B59</f>
        <v>274.11017880713359</v>
      </c>
      <c r="C69" s="10">
        <f t="shared" si="32"/>
        <v>742.69481089322437</v>
      </c>
      <c r="D69" s="10">
        <f t="shared" si="32"/>
        <v>200.39671872183433</v>
      </c>
      <c r="E69" s="10">
        <f t="shared" si="32"/>
        <v>7.1149578505787563</v>
      </c>
      <c r="F69" s="10">
        <f t="shared" si="32"/>
        <v>22.029258315138581</v>
      </c>
      <c r="G69" s="10">
        <f t="shared" si="32"/>
        <v>54.953337547883734</v>
      </c>
      <c r="H69" s="10">
        <f t="shared" si="32"/>
        <v>3.8904063151018744</v>
      </c>
      <c r="I69" s="10">
        <f t="shared" si="32"/>
        <v>1104.7929497290611</v>
      </c>
    </row>
    <row r="70" spans="1:34" x14ac:dyDescent="0.35">
      <c r="A70" s="6" t="s">
        <v>54</v>
      </c>
      <c r="B70" s="10">
        <f t="shared" ref="B70:I70" si="33">B45+B50+B55+B60</f>
        <v>245.42502835633616</v>
      </c>
      <c r="C70" s="10">
        <f t="shared" si="33"/>
        <v>2861.4364258372725</v>
      </c>
      <c r="D70" s="10">
        <f t="shared" si="33"/>
        <v>145.05539777231826</v>
      </c>
      <c r="E70" s="10">
        <f t="shared" si="33"/>
        <v>184.33095758927161</v>
      </c>
      <c r="F70" s="10">
        <f t="shared" si="33"/>
        <v>280.17928511814381</v>
      </c>
      <c r="G70" s="10">
        <f t="shared" si="33"/>
        <v>555.7130482361473</v>
      </c>
      <c r="H70" s="10">
        <f t="shared" si="33"/>
        <v>38.882457241082847</v>
      </c>
      <c r="I70" s="10">
        <f t="shared" si="33"/>
        <v>4165.9672023782541</v>
      </c>
    </row>
    <row r="73" spans="1:34" x14ac:dyDescent="0.35">
      <c r="A73" s="2" t="s">
        <v>61</v>
      </c>
    </row>
    <row r="74" spans="1:34" x14ac:dyDescent="0.35">
      <c r="A74" s="4" t="s">
        <v>60</v>
      </c>
    </row>
    <row r="75" spans="1:34" x14ac:dyDescent="0.35">
      <c r="B75" s="3" t="s">
        <v>58</v>
      </c>
      <c r="C75" s="3" t="s">
        <v>59</v>
      </c>
      <c r="AA75" s="9"/>
      <c r="AB75" s="12" t="s">
        <v>58</v>
      </c>
      <c r="AC75" s="12" t="s">
        <v>59</v>
      </c>
      <c r="AD75" s="9"/>
      <c r="AE75" s="9"/>
      <c r="AF75" s="9"/>
      <c r="AG75" s="9"/>
      <c r="AH75" s="9"/>
    </row>
    <row r="76" spans="1:34" x14ac:dyDescent="0.35">
      <c r="A76" s="8" t="s">
        <v>11</v>
      </c>
      <c r="B76" s="5">
        <f>INDEX($AB$76:$AC$95,MATCH($A76,$AA$76:$AA$95,0),MATCH(B$75,$AB$75:$AC$75,0))</f>
        <v>294247.56866589998</v>
      </c>
      <c r="C76" s="5">
        <f t="shared" ref="C76:C95" si="34">INDEX($AB$76:$AC$95,MATCH($A76,$AA$76:$AA$95,0),MATCH(C$75,$AB$75:$AC$75,0))</f>
        <v>2151.384</v>
      </c>
      <c r="AA76" s="12" t="s">
        <v>11</v>
      </c>
      <c r="AB76" s="9">
        <v>294247.56866589998</v>
      </c>
      <c r="AC76" s="9">
        <v>2151.384</v>
      </c>
      <c r="AD76" s="9"/>
      <c r="AE76" s="9"/>
      <c r="AF76" s="9"/>
      <c r="AG76" s="9"/>
      <c r="AH76" s="9"/>
    </row>
    <row r="77" spans="1:34" x14ac:dyDescent="0.35">
      <c r="A77" s="8" t="s">
        <v>12</v>
      </c>
      <c r="B77" s="5">
        <f t="shared" ref="B77:B95" si="35">INDEX($AB$76:$AC$95,MATCH($A77,$AA$76:$AA$95,0),MATCH(B$75,$AB$75:$AC$75,0))</f>
        <v>429883.15635409998</v>
      </c>
      <c r="C77" s="5">
        <f t="shared" si="34"/>
        <v>2082.6959999999999</v>
      </c>
      <c r="AA77" s="12" t="s">
        <v>12</v>
      </c>
      <c r="AB77" s="9">
        <v>429883.15635409998</v>
      </c>
      <c r="AC77" s="9">
        <v>2082.6959999999999</v>
      </c>
      <c r="AD77" s="9"/>
      <c r="AE77" s="9"/>
      <c r="AF77" s="9"/>
      <c r="AG77" s="9"/>
      <c r="AH77" s="9"/>
    </row>
    <row r="78" spans="1:34" x14ac:dyDescent="0.35">
      <c r="A78" s="8" t="s">
        <v>13</v>
      </c>
      <c r="B78" s="5">
        <f t="shared" si="35"/>
        <v>552628.9332491</v>
      </c>
      <c r="C78" s="5">
        <f t="shared" si="34"/>
        <v>2026.14</v>
      </c>
      <c r="AA78" s="12" t="s">
        <v>13</v>
      </c>
      <c r="AB78" s="9">
        <v>552628.9332491</v>
      </c>
      <c r="AC78" s="9">
        <v>2026.14</v>
      </c>
      <c r="AD78" s="9"/>
      <c r="AE78" s="9"/>
      <c r="AF78" s="9"/>
      <c r="AG78" s="9"/>
      <c r="AH78" s="9"/>
    </row>
    <row r="79" spans="1:34" x14ac:dyDescent="0.35">
      <c r="A79" s="8" t="s">
        <v>14</v>
      </c>
      <c r="B79" s="5">
        <f t="shared" si="35"/>
        <v>722684.95778389997</v>
      </c>
      <c r="C79" s="5">
        <f t="shared" si="34"/>
        <v>1890.2070000000001</v>
      </c>
      <c r="AA79" s="12" t="s">
        <v>14</v>
      </c>
      <c r="AB79" s="9">
        <v>722684.95778389997</v>
      </c>
      <c r="AC79" s="9">
        <v>1890.2070000000001</v>
      </c>
      <c r="AD79" s="9"/>
      <c r="AE79" s="9"/>
      <c r="AF79" s="9"/>
      <c r="AG79" s="9"/>
      <c r="AH79" s="9"/>
    </row>
    <row r="80" spans="1:34" x14ac:dyDescent="0.35">
      <c r="A80" s="8" t="s">
        <v>15</v>
      </c>
      <c r="B80" s="5">
        <f t="shared" si="35"/>
        <v>656301.28341699997</v>
      </c>
      <c r="C80" s="5">
        <f t="shared" si="34"/>
        <v>970.25139999999999</v>
      </c>
      <c r="AA80" s="12" t="s">
        <v>15</v>
      </c>
      <c r="AB80" s="9">
        <v>656301.28341699997</v>
      </c>
      <c r="AC80" s="9">
        <v>970.25139999999999</v>
      </c>
      <c r="AD80" s="9"/>
      <c r="AE80" s="9"/>
      <c r="AF80" s="9"/>
      <c r="AG80" s="9"/>
      <c r="AH80" s="9"/>
    </row>
    <row r="81" spans="1:34" x14ac:dyDescent="0.35">
      <c r="A81" s="8" t="s">
        <v>16</v>
      </c>
      <c r="B81" s="5">
        <f t="shared" si="35"/>
        <v>988.06605579999984</v>
      </c>
      <c r="C81" s="5">
        <f t="shared" si="34"/>
        <v>8.8694009999999999</v>
      </c>
      <c r="AA81" s="12" t="s">
        <v>16</v>
      </c>
      <c r="AB81" s="9">
        <v>988.06605579999984</v>
      </c>
      <c r="AC81" s="9">
        <v>8.8694009999999999</v>
      </c>
      <c r="AD81" s="9"/>
      <c r="AE81" s="9"/>
      <c r="AF81" s="9"/>
      <c r="AG81" s="9"/>
      <c r="AH81" s="9"/>
    </row>
    <row r="82" spans="1:34" x14ac:dyDescent="0.35">
      <c r="A82" s="8" t="s">
        <v>17</v>
      </c>
      <c r="B82" s="5">
        <f t="shared" si="35"/>
        <v>1078.4692373000003</v>
      </c>
      <c r="C82" s="5">
        <f t="shared" si="34"/>
        <v>9.1705089999999991</v>
      </c>
      <c r="AA82" s="12" t="s">
        <v>17</v>
      </c>
      <c r="AB82" s="9">
        <v>1078.4692373000003</v>
      </c>
      <c r="AC82" s="9">
        <v>9.1705089999999991</v>
      </c>
      <c r="AD82" s="9"/>
      <c r="AE82" s="9"/>
      <c r="AF82" s="9"/>
      <c r="AG82" s="9"/>
      <c r="AH82" s="9"/>
    </row>
    <row r="83" spans="1:34" x14ac:dyDescent="0.35">
      <c r="A83" s="8" t="s">
        <v>18</v>
      </c>
      <c r="B83" s="5">
        <f t="shared" si="35"/>
        <v>3985.0375888999997</v>
      </c>
      <c r="C83" s="5">
        <f t="shared" si="34"/>
        <v>18.082000000000001</v>
      </c>
      <c r="AA83" s="12" t="s">
        <v>18</v>
      </c>
      <c r="AB83" s="9">
        <v>3985.0375888999997</v>
      </c>
      <c r="AC83" s="9">
        <v>18.082000000000001</v>
      </c>
      <c r="AD83" s="9"/>
      <c r="AE83" s="9"/>
      <c r="AF83" s="9"/>
      <c r="AG83" s="9"/>
      <c r="AH83" s="9"/>
    </row>
    <row r="84" spans="1:34" x14ac:dyDescent="0.35">
      <c r="A84" s="8" t="s">
        <v>19</v>
      </c>
      <c r="B84" s="5">
        <f t="shared" si="35"/>
        <v>9749.9734339000024</v>
      </c>
      <c r="C84" s="5">
        <f t="shared" si="34"/>
        <v>30.331399999999999</v>
      </c>
      <c r="AA84" s="12" t="s">
        <v>19</v>
      </c>
      <c r="AB84" s="9">
        <v>9749.9734339000024</v>
      </c>
      <c r="AC84" s="9">
        <v>30.331399999999999</v>
      </c>
      <c r="AD84" s="9"/>
      <c r="AE84" s="9"/>
      <c r="AF84" s="9"/>
      <c r="AG84" s="9"/>
      <c r="AH84" s="9"/>
    </row>
    <row r="85" spans="1:34" x14ac:dyDescent="0.35">
      <c r="A85" s="8" t="s">
        <v>20</v>
      </c>
      <c r="B85" s="5">
        <f t="shared" si="35"/>
        <v>58158.203650399992</v>
      </c>
      <c r="C85" s="5">
        <f t="shared" si="34"/>
        <v>63.092329999999997</v>
      </c>
      <c r="AA85" s="12" t="s">
        <v>20</v>
      </c>
      <c r="AB85" s="9">
        <v>58158.203650399992</v>
      </c>
      <c r="AC85" s="9">
        <v>63.092329999999997</v>
      </c>
      <c r="AD85" s="9"/>
      <c r="AE85" s="9"/>
      <c r="AF85" s="9"/>
      <c r="AG85" s="9"/>
      <c r="AH85" s="9"/>
    </row>
    <row r="86" spans="1:34" x14ac:dyDescent="0.35">
      <c r="A86" s="8" t="s">
        <v>21</v>
      </c>
      <c r="B86" s="5">
        <f t="shared" si="35"/>
        <v>16732.513971600009</v>
      </c>
      <c r="C86" s="5">
        <f t="shared" si="34"/>
        <v>128.81870000000001</v>
      </c>
      <c r="AA86" s="12" t="s">
        <v>21</v>
      </c>
      <c r="AB86" s="9">
        <v>16732.513971600009</v>
      </c>
      <c r="AC86" s="9">
        <v>128.81870000000001</v>
      </c>
      <c r="AD86" s="9"/>
      <c r="AE86" s="9"/>
      <c r="AF86" s="9"/>
      <c r="AG86" s="9"/>
      <c r="AH86" s="9"/>
    </row>
    <row r="87" spans="1:34" x14ac:dyDescent="0.35">
      <c r="A87" s="8" t="s">
        <v>22</v>
      </c>
      <c r="B87" s="5">
        <f t="shared" si="35"/>
        <v>29661.713879599985</v>
      </c>
      <c r="C87" s="5">
        <f t="shared" si="34"/>
        <v>142.28299999999999</v>
      </c>
      <c r="AA87" s="12" t="s">
        <v>22</v>
      </c>
      <c r="AB87" s="9">
        <v>29661.713879599985</v>
      </c>
      <c r="AC87" s="9">
        <v>142.28299999999999</v>
      </c>
      <c r="AD87" s="9"/>
      <c r="AE87" s="9"/>
      <c r="AF87" s="9"/>
      <c r="AG87" s="9"/>
      <c r="AH87" s="9"/>
    </row>
    <row r="88" spans="1:34" x14ac:dyDescent="0.35">
      <c r="A88" s="8" t="s">
        <v>23</v>
      </c>
      <c r="B88" s="5">
        <f t="shared" si="35"/>
        <v>45147.310582899998</v>
      </c>
      <c r="C88" s="5">
        <f t="shared" si="34"/>
        <v>159.03149999999999</v>
      </c>
      <c r="AA88" s="12" t="s">
        <v>23</v>
      </c>
      <c r="AB88" s="9">
        <v>45147.310582899998</v>
      </c>
      <c r="AC88" s="9">
        <v>159.03149999999999</v>
      </c>
      <c r="AD88" s="9"/>
      <c r="AE88" s="9"/>
      <c r="AF88" s="9"/>
      <c r="AG88" s="9"/>
      <c r="AH88" s="9"/>
    </row>
    <row r="89" spans="1:34" x14ac:dyDescent="0.35">
      <c r="A89" s="8" t="s">
        <v>24</v>
      </c>
      <c r="B89" s="5">
        <f t="shared" si="35"/>
        <v>69189.26138940001</v>
      </c>
      <c r="C89" s="5">
        <f t="shared" si="34"/>
        <v>166.74299999999999</v>
      </c>
      <c r="AA89" s="12" t="s">
        <v>24</v>
      </c>
      <c r="AB89" s="9">
        <v>69189.26138940001</v>
      </c>
      <c r="AC89" s="9">
        <v>166.74299999999999</v>
      </c>
      <c r="AD89" s="9"/>
      <c r="AE89" s="9"/>
      <c r="AF89" s="9"/>
      <c r="AG89" s="9"/>
      <c r="AH89" s="9"/>
    </row>
    <row r="90" spans="1:34" x14ac:dyDescent="0.35">
      <c r="A90" s="8" t="s">
        <v>25</v>
      </c>
      <c r="B90" s="5">
        <f t="shared" si="35"/>
        <v>334429.25013230002</v>
      </c>
      <c r="C90" s="5">
        <f t="shared" si="34"/>
        <v>364.5625</v>
      </c>
      <c r="AA90" s="12" t="s">
        <v>25</v>
      </c>
      <c r="AB90" s="9">
        <v>334429.25013230002</v>
      </c>
      <c r="AC90" s="9">
        <v>364.5625</v>
      </c>
      <c r="AD90" s="9"/>
      <c r="AE90" s="9"/>
      <c r="AF90" s="9"/>
      <c r="AG90" s="9"/>
      <c r="AH90" s="9"/>
    </row>
    <row r="91" spans="1:34" x14ac:dyDescent="0.35">
      <c r="A91" s="3" t="s">
        <v>108</v>
      </c>
      <c r="B91" s="5">
        <f t="shared" si="35"/>
        <v>6838.7074373000005</v>
      </c>
      <c r="C91" s="5">
        <f t="shared" si="34"/>
        <v>59.672469999999997</v>
      </c>
      <c r="AA91" s="12" t="s">
        <v>108</v>
      </c>
      <c r="AB91" s="9">
        <v>6838.7074373000005</v>
      </c>
      <c r="AC91" s="9">
        <v>59.672469999999997</v>
      </c>
      <c r="AD91" s="9"/>
      <c r="AE91" s="9"/>
      <c r="AF91" s="9"/>
      <c r="AG91" s="9"/>
      <c r="AH91" s="9"/>
    </row>
    <row r="92" spans="1:34" x14ac:dyDescent="0.35">
      <c r="A92" s="3" t="s">
        <v>109</v>
      </c>
      <c r="B92" s="5">
        <f t="shared" si="35"/>
        <v>19302.003825100008</v>
      </c>
      <c r="C92" s="5">
        <f t="shared" si="34"/>
        <v>115.8914</v>
      </c>
      <c r="AA92" s="12" t="s">
        <v>109</v>
      </c>
      <c r="AB92" s="9">
        <v>19302.003825100008</v>
      </c>
      <c r="AC92" s="9">
        <v>115.8914</v>
      </c>
      <c r="AD92" s="9"/>
      <c r="AE92" s="9"/>
      <c r="AF92" s="9"/>
      <c r="AG92" s="9"/>
      <c r="AH92" s="9"/>
    </row>
    <row r="93" spans="1:34" x14ac:dyDescent="0.35">
      <c r="A93" s="3" t="s">
        <v>110</v>
      </c>
      <c r="B93" s="5">
        <f t="shared" si="35"/>
        <v>32677.968624099998</v>
      </c>
      <c r="C93" s="5">
        <f t="shared" si="34"/>
        <v>144.8509</v>
      </c>
      <c r="AA93" s="12" t="s">
        <v>110</v>
      </c>
      <c r="AB93" s="9">
        <v>32677.968624099998</v>
      </c>
      <c r="AC93" s="9">
        <v>144.8509</v>
      </c>
      <c r="AD93" s="9"/>
      <c r="AE93" s="9"/>
      <c r="AF93" s="9"/>
      <c r="AG93" s="9"/>
      <c r="AH93" s="9"/>
    </row>
    <row r="94" spans="1:34" x14ac:dyDescent="0.35">
      <c r="A94" s="3" t="s">
        <v>111</v>
      </c>
      <c r="B94" s="5">
        <f t="shared" si="35"/>
        <v>88329.637182799997</v>
      </c>
      <c r="C94" s="5">
        <f t="shared" si="34"/>
        <v>264.86779999999999</v>
      </c>
      <c r="AA94" s="12" t="s">
        <v>111</v>
      </c>
      <c r="AB94" s="9">
        <v>88329.637182799997</v>
      </c>
      <c r="AC94" s="9">
        <v>264.86779999999999</v>
      </c>
      <c r="AD94" s="9"/>
      <c r="AE94" s="9"/>
      <c r="AF94" s="9"/>
      <c r="AG94" s="9"/>
      <c r="AH94" s="9"/>
    </row>
    <row r="95" spans="1:34" x14ac:dyDescent="0.35">
      <c r="A95" s="3" t="s">
        <v>112</v>
      </c>
      <c r="B95" s="5">
        <f t="shared" si="35"/>
        <v>1093372.5197927</v>
      </c>
      <c r="C95" s="5">
        <f t="shared" si="34"/>
        <v>959.89110000000005</v>
      </c>
      <c r="AA95" s="12" t="s">
        <v>112</v>
      </c>
      <c r="AB95" s="9">
        <v>1093372.5197927</v>
      </c>
      <c r="AC95" s="9">
        <v>959.89110000000005</v>
      </c>
      <c r="AD95" s="9"/>
      <c r="AE95" s="9"/>
      <c r="AF95" s="9"/>
      <c r="AG95" s="9"/>
      <c r="AH95" s="9"/>
    </row>
    <row r="96" spans="1:34" x14ac:dyDescent="0.35">
      <c r="A96" s="6" t="s">
        <v>46</v>
      </c>
      <c r="B96" s="10">
        <f>SUM(B76:B80)</f>
        <v>2655745.8994699996</v>
      </c>
      <c r="C96" s="10">
        <f t="shared" ref="C96" si="36">SUM(C76:C80)</f>
        <v>9120.6784000000007</v>
      </c>
      <c r="AA96" s="9"/>
      <c r="AB96" s="9"/>
      <c r="AC96" s="9"/>
      <c r="AD96" s="9"/>
      <c r="AE96" s="9"/>
      <c r="AF96" s="9"/>
      <c r="AG96" s="9"/>
      <c r="AH96" s="9"/>
    </row>
    <row r="97" spans="1:34" x14ac:dyDescent="0.35">
      <c r="A97" s="6" t="s">
        <v>47</v>
      </c>
      <c r="B97" s="10">
        <f>SUM(B81:B85)</f>
        <v>73959.749966299991</v>
      </c>
      <c r="C97" s="10">
        <f t="shared" ref="C97" si="37">SUM(C81:C85)</f>
        <v>129.54563999999999</v>
      </c>
      <c r="AA97" s="9"/>
      <c r="AB97" s="9"/>
      <c r="AC97" s="9"/>
      <c r="AD97" s="9"/>
      <c r="AE97" s="9"/>
      <c r="AF97" s="9"/>
      <c r="AG97" s="9"/>
      <c r="AH97" s="9"/>
    </row>
    <row r="98" spans="1:34" x14ac:dyDescent="0.35">
      <c r="A98" s="6" t="s">
        <v>48</v>
      </c>
      <c r="B98" s="10">
        <f>SUM(B86:B90)</f>
        <v>495160.0499558</v>
      </c>
      <c r="C98" s="10">
        <f t="shared" ref="C98" si="38">SUM(C86:C90)</f>
        <v>961.43869999999993</v>
      </c>
      <c r="AA98" s="9"/>
      <c r="AB98" s="9"/>
      <c r="AC98" s="9"/>
      <c r="AD98" s="9"/>
      <c r="AE98" s="9"/>
      <c r="AF98" s="9"/>
      <c r="AG98" s="9"/>
      <c r="AH98" s="9"/>
    </row>
    <row r="99" spans="1:34" x14ac:dyDescent="0.35">
      <c r="A99" s="6" t="s">
        <v>120</v>
      </c>
      <c r="B99" s="10">
        <f>SUM(B91:B95)</f>
        <v>1240520.8368619999</v>
      </c>
      <c r="C99" s="10">
        <f t="shared" ref="C99" si="39">SUM(C91:C95)</f>
        <v>1545.1736700000001</v>
      </c>
      <c r="AA99" s="9"/>
      <c r="AB99" s="9"/>
      <c r="AC99" s="9"/>
      <c r="AD99" s="9"/>
      <c r="AE99" s="9"/>
      <c r="AF99" s="9"/>
      <c r="AG99" s="9"/>
      <c r="AH99" s="9"/>
    </row>
    <row r="100" spans="1:34" x14ac:dyDescent="0.35">
      <c r="A100" s="7" t="s">
        <v>49</v>
      </c>
      <c r="B100" s="11">
        <f>SUM(B96:B99)</f>
        <v>4465386.5362540996</v>
      </c>
      <c r="C100" s="11">
        <f t="shared" ref="C100" si="40">SUM(C96:C99)</f>
        <v>11756.836410000002</v>
      </c>
    </row>
    <row r="101" spans="1:34" x14ac:dyDescent="0.35">
      <c r="A101" s="6" t="s">
        <v>50</v>
      </c>
      <c r="B101" s="10">
        <f>B76+B81+B86+B91</f>
        <v>318806.85613059998</v>
      </c>
      <c r="C101" s="10">
        <f t="shared" ref="C101" si="41">C76+C81+C86+C91</f>
        <v>2348.7445709999997</v>
      </c>
    </row>
    <row r="102" spans="1:34" x14ac:dyDescent="0.35">
      <c r="A102" s="6" t="s">
        <v>51</v>
      </c>
      <c r="B102" s="10">
        <f t="shared" ref="B102:C102" si="42">B77+B82+B87+B92</f>
        <v>479925.34329609998</v>
      </c>
      <c r="C102" s="10">
        <f t="shared" si="42"/>
        <v>2350.0409089999998</v>
      </c>
    </row>
    <row r="103" spans="1:34" x14ac:dyDescent="0.35">
      <c r="A103" s="6" t="s">
        <v>52</v>
      </c>
      <c r="B103" s="10">
        <f t="shared" ref="B103:C103" si="43">B78+B83+B88+B93</f>
        <v>634439.25004499988</v>
      </c>
      <c r="C103" s="10">
        <f t="shared" si="43"/>
        <v>2348.1044000000002</v>
      </c>
    </row>
    <row r="104" spans="1:34" x14ac:dyDescent="0.35">
      <c r="A104" s="6" t="s">
        <v>53</v>
      </c>
      <c r="B104" s="10">
        <f t="shared" ref="B104:C104" si="44">B79+B84+B89+B94</f>
        <v>889953.82978999999</v>
      </c>
      <c r="C104" s="10">
        <f t="shared" si="44"/>
        <v>2352.1492000000003</v>
      </c>
    </row>
    <row r="105" spans="1:34" x14ac:dyDescent="0.35">
      <c r="A105" s="6" t="s">
        <v>54</v>
      </c>
      <c r="B105" s="10">
        <f t="shared" ref="B105:C105" si="45">B80+B85+B90+B95</f>
        <v>2142261.2569923997</v>
      </c>
      <c r="C105" s="10">
        <f t="shared" si="45"/>
        <v>2357.7973300000003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showZeros="0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44" sqref="Y44"/>
    </sheetView>
  </sheetViews>
  <sheetFormatPr defaultColWidth="0" defaultRowHeight="14.5" zeroHeight="1" x14ac:dyDescent="0.35"/>
  <cols>
    <col min="1" max="1" width="18.54296875" customWidth="1"/>
    <col min="2" max="37" width="8.7265625" customWidth="1"/>
    <col min="38" max="16384" width="8.7265625" hidden="1"/>
  </cols>
  <sheetData>
    <row r="1" spans="1:37" ht="18.5" x14ac:dyDescent="0.45">
      <c r="A1" s="53" t="s">
        <v>126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x14ac:dyDescent="0.3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x14ac:dyDescent="0.35">
      <c r="A5" s="15" t="s">
        <v>90</v>
      </c>
      <c r="B5" s="13"/>
      <c r="C5" s="15" t="s">
        <v>77</v>
      </c>
      <c r="D5" s="13"/>
      <c r="E5" s="13"/>
      <c r="F5" s="13"/>
      <c r="G5" s="13"/>
      <c r="H5" s="15" t="s">
        <v>85</v>
      </c>
      <c r="I5" s="13"/>
      <c r="J5" s="13"/>
      <c r="K5" s="13"/>
      <c r="L5" s="15" t="s">
        <v>86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x14ac:dyDescent="0.35">
      <c r="A6" s="13"/>
      <c r="B6" s="13"/>
      <c r="C6" s="15" t="s">
        <v>49</v>
      </c>
      <c r="D6" s="13" t="s">
        <v>78</v>
      </c>
      <c r="E6" s="13" t="s">
        <v>81</v>
      </c>
      <c r="F6" s="13" t="s">
        <v>79</v>
      </c>
      <c r="G6" s="13" t="s">
        <v>80</v>
      </c>
      <c r="H6" s="16" t="s">
        <v>49</v>
      </c>
      <c r="I6" s="17" t="s">
        <v>82</v>
      </c>
      <c r="J6" s="17" t="s">
        <v>84</v>
      </c>
      <c r="K6" s="17" t="s">
        <v>83</v>
      </c>
      <c r="L6" s="16" t="s">
        <v>87</v>
      </c>
      <c r="M6" s="16" t="s">
        <v>88</v>
      </c>
      <c r="N6" s="16" t="s">
        <v>89</v>
      </c>
      <c r="O6" s="17" t="s">
        <v>49</v>
      </c>
      <c r="P6" s="17"/>
      <c r="Q6" s="17"/>
      <c r="R6" s="17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37" x14ac:dyDescent="0.35">
      <c r="A7" s="18" t="s">
        <v>62</v>
      </c>
      <c r="B7" s="17" t="s">
        <v>11</v>
      </c>
      <c r="C7" s="19">
        <f>SUM(D7:G7)</f>
        <v>56.718717888286236</v>
      </c>
      <c r="D7" s="20">
        <f>SUM(Data!B6,Data!F6,Data!J6)/Data!$T6*100</f>
        <v>33.761574728032784</v>
      </c>
      <c r="E7" s="20">
        <f>SUM(Data!C6,Data!G6,Data!K6)/Data!$T6*100</f>
        <v>22.081268096934696</v>
      </c>
      <c r="F7" s="20">
        <f>SUM(Data!D6,Data!H6,Data!L6)/Data!$T6*100</f>
        <v>0.83184668425921338</v>
      </c>
      <c r="G7" s="20">
        <f>SUM(Data!E6,Data!I6,Data!M6)/Data!$T6*100</f>
        <v>4.402837905954559E-2</v>
      </c>
      <c r="H7" s="19">
        <f>SUM(I7:K7)</f>
        <v>31.821148277080905</v>
      </c>
      <c r="I7" s="20">
        <f>Data!N6/Data!$T6*100</f>
        <v>19.686655226223522</v>
      </c>
      <c r="J7" s="20">
        <f>Data!O6/Data!$T6*100</f>
        <v>9.9899314204353367</v>
      </c>
      <c r="K7" s="20">
        <f>Data!P6/Data!$T6*100</f>
        <v>2.1445616304220456</v>
      </c>
      <c r="L7" s="19">
        <f>Data!Q6/Data!$T6*100</f>
        <v>5.1398582609174976</v>
      </c>
      <c r="M7" s="19">
        <f>Data!R6/Data!$T6*100</f>
        <v>5.6194069248041227</v>
      </c>
      <c r="N7" s="19">
        <f>Data!S6/Data!$T6*100</f>
        <v>0.70086864891123246</v>
      </c>
      <c r="O7" s="20">
        <f>C7+H7+L7+M7+N7</f>
        <v>100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37" x14ac:dyDescent="0.35">
      <c r="A8" s="18" t="s">
        <v>63</v>
      </c>
      <c r="B8" s="17" t="s">
        <v>12</v>
      </c>
      <c r="C8" s="19">
        <f t="shared" ref="C8:C21" si="0">SUM(D8:G8)</f>
        <v>54.410912519038497</v>
      </c>
      <c r="D8" s="20">
        <f>SUM(Data!B7,Data!F7,Data!J7)/Data!$T7*100</f>
        <v>27.201930854615163</v>
      </c>
      <c r="E8" s="20">
        <f>SUM(Data!C7,Data!G7,Data!K7)/Data!$T7*100</f>
        <v>24.776441119230245</v>
      </c>
      <c r="F8" s="20">
        <f>SUM(Data!D7,Data!H7,Data!L7)/Data!$T7*100</f>
        <v>2.1454198614519502</v>
      </c>
      <c r="G8" s="20">
        <f>SUM(Data!E7,Data!I7,Data!M7)/Data!$T7*100</f>
        <v>0.28712068374113509</v>
      </c>
      <c r="H8" s="19">
        <f t="shared" ref="H8:H21" si="1">SUM(I8:K8)</f>
        <v>30.411017614545017</v>
      </c>
      <c r="I8" s="20">
        <f>Data!N7/Data!$T7*100</f>
        <v>18.751089333562753</v>
      </c>
      <c r="J8" s="20">
        <f>Data!O7/Data!$T7*100</f>
        <v>9.4339247465651663</v>
      </c>
      <c r="K8" s="20">
        <f>Data!P7/Data!$T7*100</f>
        <v>2.2260035344170968</v>
      </c>
      <c r="L8" s="19">
        <f>Data!Q7/Data!$T7*100</f>
        <v>9.9038029722587773</v>
      </c>
      <c r="M8" s="19">
        <f>Data!R7/Data!$T7*100</f>
        <v>4.4597796972002932</v>
      </c>
      <c r="N8" s="19">
        <f>Data!S7/Data!$T7*100</f>
        <v>0.81448719695741467</v>
      </c>
      <c r="O8" s="20">
        <f t="shared" ref="O8:O24" si="2">C8+H8+L8+M8+N8</f>
        <v>100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x14ac:dyDescent="0.35">
      <c r="A9" s="18" t="s">
        <v>64</v>
      </c>
      <c r="B9" s="17" t="s">
        <v>13</v>
      </c>
      <c r="C9" s="19">
        <f t="shared" si="0"/>
        <v>55.972670878504239</v>
      </c>
      <c r="D9" s="20">
        <f>SUM(Data!B8,Data!F8,Data!J8)/Data!$T8*100</f>
        <v>26.758842315955672</v>
      </c>
      <c r="E9" s="20">
        <f>SUM(Data!C8,Data!G8,Data!K8)/Data!$T8*100</f>
        <v>26.470813939172988</v>
      </c>
      <c r="F9" s="20">
        <f>SUM(Data!D8,Data!H8,Data!L8)/Data!$T8*100</f>
        <v>2.5601213410579313</v>
      </c>
      <c r="G9" s="20">
        <f>SUM(Data!E8,Data!I8,Data!M8)/Data!$T8*100</f>
        <v>0.18289328231764804</v>
      </c>
      <c r="H9" s="19">
        <f t="shared" si="1"/>
        <v>32.577343987577343</v>
      </c>
      <c r="I9" s="20">
        <f>Data!N8/Data!$T8*100</f>
        <v>20.150972724901571</v>
      </c>
      <c r="J9" s="20">
        <f>Data!O8/Data!$T8*100</f>
        <v>10.138853641546346</v>
      </c>
      <c r="K9" s="20">
        <f>Data!P8/Data!$T8*100</f>
        <v>2.2875176211294224</v>
      </c>
      <c r="L9" s="19">
        <f>Data!Q8/Data!$T8*100</f>
        <v>6.5873300790917337</v>
      </c>
      <c r="M9" s="19">
        <f>Data!R8/Data!$T8*100</f>
        <v>3.6789031153114293</v>
      </c>
      <c r="N9" s="19">
        <f>Data!S8/Data!$T8*100</f>
        <v>1.183751939515256</v>
      </c>
      <c r="O9" s="20">
        <f t="shared" si="2"/>
        <v>100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37" x14ac:dyDescent="0.35">
      <c r="A10" s="18" t="s">
        <v>65</v>
      </c>
      <c r="B10" s="17" t="s">
        <v>14</v>
      </c>
      <c r="C10" s="19">
        <f t="shared" si="0"/>
        <v>48.550850864445394</v>
      </c>
      <c r="D10" s="20">
        <f>SUM(Data!B9,Data!F9,Data!J9)/Data!$T9*100</f>
        <v>19.400744410093797</v>
      </c>
      <c r="E10" s="20">
        <f>SUM(Data!C9,Data!G9,Data!K9)/Data!$T9*100</f>
        <v>22.13115113900421</v>
      </c>
      <c r="F10" s="20">
        <f>SUM(Data!D9,Data!H9,Data!L9)/Data!$T9*100</f>
        <v>3.7105639584247618</v>
      </c>
      <c r="G10" s="20">
        <f>SUM(Data!E9,Data!I9,Data!M9)/Data!$T9*100</f>
        <v>3.3083913569226167</v>
      </c>
      <c r="H10" s="19">
        <f t="shared" si="1"/>
        <v>24.824525319278251</v>
      </c>
      <c r="I10" s="20">
        <f>Data!N9/Data!$T9*100</f>
        <v>15.173324522855797</v>
      </c>
      <c r="J10" s="20">
        <f>Data!O9/Data!$T9*100</f>
        <v>7.5705420980560918</v>
      </c>
      <c r="K10" s="20">
        <f>Data!P9/Data!$T9*100</f>
        <v>2.0806586983663649</v>
      </c>
      <c r="L10" s="19">
        <f>Data!Q9/Data!$T9*100</f>
        <v>21.431802845709118</v>
      </c>
      <c r="M10" s="19">
        <f>Data!R9/Data!$T9*100</f>
        <v>3.8923388187112087</v>
      </c>
      <c r="N10" s="19">
        <f>Data!S9/Data!$T9*100</f>
        <v>1.3004821518560135</v>
      </c>
      <c r="O10" s="20">
        <f t="shared" si="2"/>
        <v>99.999999999999986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35">
      <c r="A11" s="21" t="s">
        <v>66</v>
      </c>
      <c r="B11" s="22" t="s">
        <v>15</v>
      </c>
      <c r="C11" s="23">
        <f t="shared" si="0"/>
        <v>47.719907448989758</v>
      </c>
      <c r="D11" s="24">
        <f>SUM(Data!B10,Data!F10,Data!J10)/Data!$T10*100</f>
        <v>10.019477959914665</v>
      </c>
      <c r="E11" s="24">
        <f>SUM(Data!C10,Data!G10,Data!K10)/Data!$T10*100</f>
        <v>18.052953057289439</v>
      </c>
      <c r="F11" s="24">
        <f>SUM(Data!D10,Data!H10,Data!L10)/Data!$T10*100</f>
        <v>7.4900843463309661</v>
      </c>
      <c r="G11" s="24">
        <f>SUM(Data!E10,Data!I10,Data!M10)/Data!$T10*100</f>
        <v>12.15739208545469</v>
      </c>
      <c r="H11" s="23">
        <f t="shared" si="1"/>
        <v>15.677279267795665</v>
      </c>
      <c r="I11" s="24">
        <f>Data!N10/Data!$T10*100</f>
        <v>9.470997258093945</v>
      </c>
      <c r="J11" s="24">
        <f>Data!O10/Data!$T10*100</f>
        <v>4.7279154807324453</v>
      </c>
      <c r="K11" s="24">
        <f>Data!P10/Data!$T10*100</f>
        <v>1.4783665289692756</v>
      </c>
      <c r="L11" s="23">
        <f>Data!Q10/Data!$T10*100</f>
        <v>30.201400976196112</v>
      </c>
      <c r="M11" s="23">
        <f>Data!R10/Data!$T10*100</f>
        <v>3.1801093992216289</v>
      </c>
      <c r="N11" s="23">
        <f>Data!S10/Data!$T10*100</f>
        <v>3.2213029077968303</v>
      </c>
      <c r="O11" s="24">
        <f t="shared" si="2"/>
        <v>100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35">
      <c r="A12" s="18" t="s">
        <v>67</v>
      </c>
      <c r="B12" s="17" t="s">
        <v>16</v>
      </c>
      <c r="C12" s="19">
        <f t="shared" si="0"/>
        <v>91.663225832141222</v>
      </c>
      <c r="D12" s="20">
        <f>SUM(Data!B11,Data!F11,Data!J11)/Data!$T11*100</f>
        <v>65.56142004055279</v>
      </c>
      <c r="E12" s="20">
        <f>SUM(Data!C11,Data!G11,Data!K11)/Data!$T11*100</f>
        <v>26.10180579158844</v>
      </c>
      <c r="F12" s="20">
        <f>SUM(Data!D11,Data!H11,Data!L11)/Data!$T11*100</f>
        <v>0</v>
      </c>
      <c r="G12" s="20">
        <f>SUM(Data!E11,Data!I11,Data!M11)/Data!$T11*100</f>
        <v>0</v>
      </c>
      <c r="H12" s="19">
        <f t="shared" si="1"/>
        <v>0</v>
      </c>
      <c r="I12" s="20">
        <f>Data!N11/Data!$T11*100</f>
        <v>0</v>
      </c>
      <c r="J12" s="20">
        <f>Data!O11/Data!$T11*100</f>
        <v>0</v>
      </c>
      <c r="K12" s="20">
        <f>Data!P11/Data!$T11*100</f>
        <v>0</v>
      </c>
      <c r="L12" s="19">
        <f>Data!Q11/Data!$T11*100</f>
        <v>0</v>
      </c>
      <c r="M12" s="19">
        <f>Data!R11/Data!$T11*100</f>
        <v>8.2203855875753344</v>
      </c>
      <c r="N12" s="19">
        <f>Data!S11/Data!$T11*100</f>
        <v>0.11638858028344881</v>
      </c>
      <c r="O12" s="20">
        <f t="shared" si="2"/>
        <v>100.00000000000001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35">
      <c r="A13" s="18" t="s">
        <v>68</v>
      </c>
      <c r="B13" s="17" t="s">
        <v>17</v>
      </c>
      <c r="C13" s="19">
        <f t="shared" si="0"/>
        <v>92.166166426842736</v>
      </c>
      <c r="D13" s="20">
        <f>SUM(Data!B12,Data!F12,Data!J12)/Data!$T12*100</f>
        <v>37.620796714775956</v>
      </c>
      <c r="E13" s="20">
        <f>SUM(Data!C12,Data!G12,Data!K12)/Data!$T12*100</f>
        <v>49.336318187100872</v>
      </c>
      <c r="F13" s="20">
        <f>SUM(Data!D12,Data!H12,Data!L12)/Data!$T12*100</f>
        <v>5.2090515249659113</v>
      </c>
      <c r="G13" s="20">
        <f>SUM(Data!E12,Data!I12,Data!M12)/Data!$T12*100</f>
        <v>0</v>
      </c>
      <c r="H13" s="19">
        <f t="shared" si="1"/>
        <v>0</v>
      </c>
      <c r="I13" s="20">
        <f>Data!N12/Data!$T12*100</f>
        <v>0</v>
      </c>
      <c r="J13" s="20">
        <f>Data!O12/Data!$T12*100</f>
        <v>0</v>
      </c>
      <c r="K13" s="20">
        <f>Data!P12/Data!$T12*100</f>
        <v>0</v>
      </c>
      <c r="L13" s="19">
        <f>Data!Q12/Data!$T12*100</f>
        <v>0</v>
      </c>
      <c r="M13" s="19">
        <f>Data!R12/Data!$T12*100</f>
        <v>7.8338335731572739</v>
      </c>
      <c r="N13" s="19">
        <f>Data!S12/Data!$T12*100</f>
        <v>0</v>
      </c>
      <c r="O13" s="20">
        <f t="shared" si="2"/>
        <v>100.00000000000001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x14ac:dyDescent="0.35">
      <c r="A14" s="18" t="s">
        <v>69</v>
      </c>
      <c r="B14" s="17" t="s">
        <v>18</v>
      </c>
      <c r="C14" s="19">
        <f t="shared" si="0"/>
        <v>92.486529574909696</v>
      </c>
      <c r="D14" s="20">
        <f>SUM(Data!B13,Data!F13,Data!J13)/Data!$T13*100</f>
        <v>40.25311816845619</v>
      </c>
      <c r="E14" s="20">
        <f>SUM(Data!C13,Data!G13,Data!K13)/Data!$T13*100</f>
        <v>41.411943093836527</v>
      </c>
      <c r="F14" s="20">
        <f>SUM(Data!D13,Data!H13,Data!L13)/Data!$T13*100</f>
        <v>10.821468312616979</v>
      </c>
      <c r="G14" s="20">
        <f>SUM(Data!E13,Data!I13,Data!M13)/Data!$T13*100</f>
        <v>0</v>
      </c>
      <c r="H14" s="19">
        <f t="shared" si="1"/>
        <v>0</v>
      </c>
      <c r="I14" s="20">
        <f>Data!N13/Data!$T13*100</f>
        <v>0</v>
      </c>
      <c r="J14" s="20">
        <f>Data!O13/Data!$T13*100</f>
        <v>0</v>
      </c>
      <c r="K14" s="20">
        <f>Data!P13/Data!$T13*100</f>
        <v>0</v>
      </c>
      <c r="L14" s="19">
        <f>Data!Q13/Data!$T13*100</f>
        <v>4.0844340839584818</v>
      </c>
      <c r="M14" s="19">
        <f>Data!R13/Data!$T13*100</f>
        <v>2.7628061790289657</v>
      </c>
      <c r="N14" s="19">
        <f>Data!S13/Data!$T13*100</f>
        <v>0.66623016210285824</v>
      </c>
      <c r="O14" s="20">
        <f t="shared" si="2"/>
        <v>100.00000000000001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x14ac:dyDescent="0.35">
      <c r="A15" s="18" t="s">
        <v>70</v>
      </c>
      <c r="B15" s="17" t="s">
        <v>19</v>
      </c>
      <c r="C15" s="19">
        <f t="shared" si="0"/>
        <v>95.027665464798886</v>
      </c>
      <c r="D15" s="20">
        <f>SUM(Data!B14,Data!F14,Data!J14)/Data!$T14*100</f>
        <v>33.753361104453901</v>
      </c>
      <c r="E15" s="20">
        <f>SUM(Data!C14,Data!G14,Data!K14)/Data!$T14*100</f>
        <v>37.258530864752345</v>
      </c>
      <c r="F15" s="20">
        <f>SUM(Data!D14,Data!H14,Data!L14)/Data!$T14*100</f>
        <v>12.869056834893748</v>
      </c>
      <c r="G15" s="20">
        <f>SUM(Data!E14,Data!I14,Data!M14)/Data!$T14*100</f>
        <v>11.146716660698889</v>
      </c>
      <c r="H15" s="19">
        <f t="shared" si="1"/>
        <v>0</v>
      </c>
      <c r="I15" s="20">
        <f>Data!N14/Data!$T14*100</f>
        <v>0</v>
      </c>
      <c r="J15" s="20">
        <f>Data!O14/Data!$T14*100</f>
        <v>0</v>
      </c>
      <c r="K15" s="20">
        <f>Data!P14/Data!$T14*100</f>
        <v>0</v>
      </c>
      <c r="L15" s="19">
        <f>Data!Q14/Data!$T14*100</f>
        <v>2.7089446951482974</v>
      </c>
      <c r="M15" s="19">
        <f>Data!R14/Data!$T14*100</f>
        <v>2.167045700023261</v>
      </c>
      <c r="N15" s="19">
        <f>Data!S14/Data!$T14*100</f>
        <v>9.6344140029536923E-2</v>
      </c>
      <c r="O15" s="20">
        <f t="shared" si="2"/>
        <v>100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x14ac:dyDescent="0.35">
      <c r="A16" s="21" t="s">
        <v>71</v>
      </c>
      <c r="B16" s="22" t="s">
        <v>20</v>
      </c>
      <c r="C16" s="23">
        <f t="shared" si="0"/>
        <v>77.857932598008844</v>
      </c>
      <c r="D16" s="24">
        <f>SUM(Data!B15,Data!F15,Data!J15)/Data!$T15*100</f>
        <v>5.5487296624712084</v>
      </c>
      <c r="E16" s="24">
        <f>SUM(Data!C15,Data!G15,Data!K15)/Data!$T15*100</f>
        <v>16.231585931365753</v>
      </c>
      <c r="F16" s="24">
        <f>SUM(Data!D15,Data!H15,Data!L15)/Data!$T15*100</f>
        <v>14.006689354730991</v>
      </c>
      <c r="G16" s="24">
        <f>SUM(Data!E15,Data!I15,Data!M15)/Data!$T15*100</f>
        <v>42.07092764944089</v>
      </c>
      <c r="H16" s="23">
        <f t="shared" si="1"/>
        <v>0</v>
      </c>
      <c r="I16" s="24">
        <f>Data!N15/Data!$T15*100</f>
        <v>0</v>
      </c>
      <c r="J16" s="24">
        <f>Data!O15/Data!$T15*100</f>
        <v>0</v>
      </c>
      <c r="K16" s="24">
        <f>Data!P15/Data!$T15*100</f>
        <v>0</v>
      </c>
      <c r="L16" s="23">
        <f>Data!Q15/Data!$T15*100</f>
        <v>19.128649144959319</v>
      </c>
      <c r="M16" s="23">
        <f>Data!R15/Data!$T15*100</f>
        <v>2.4701437040606495</v>
      </c>
      <c r="N16" s="23">
        <f>Data!S15/Data!$T15*100</f>
        <v>0.54327455297119354</v>
      </c>
      <c r="O16" s="24">
        <f t="shared" si="2"/>
        <v>100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x14ac:dyDescent="0.35">
      <c r="A17" s="18" t="s">
        <v>72</v>
      </c>
      <c r="B17" s="17" t="s">
        <v>21</v>
      </c>
      <c r="C17" s="19">
        <f t="shared" si="0"/>
        <v>64.367566443415086</v>
      </c>
      <c r="D17" s="20">
        <f>SUM(Data!B16,Data!F16,Data!J16)/Data!$T16*100</f>
        <v>38.470755654597184</v>
      </c>
      <c r="E17" s="20">
        <f>SUM(Data!C16,Data!G16,Data!K16)/Data!$T16*100</f>
        <v>22.069340525969171</v>
      </c>
      <c r="F17" s="20">
        <f>SUM(Data!D16,Data!H16,Data!L16)/Data!$T16*100</f>
        <v>1.6932896618500246</v>
      </c>
      <c r="G17" s="20">
        <f>SUM(Data!E16,Data!I16,Data!M16)/Data!$T16*100</f>
        <v>2.1341806009987163</v>
      </c>
      <c r="H17" s="19">
        <f t="shared" si="1"/>
        <v>24.352334339790175</v>
      </c>
      <c r="I17" s="20">
        <f>Data!N16/Data!$T16*100</f>
        <v>14.829752444331618</v>
      </c>
      <c r="J17" s="20">
        <f>Data!O16/Data!$T16*100</f>
        <v>7.4887426597720834</v>
      </c>
      <c r="K17" s="20">
        <f>Data!P16/Data!$T16*100</f>
        <v>2.0338392356864765</v>
      </c>
      <c r="L17" s="19">
        <f>Data!Q16/Data!$T16*100</f>
        <v>6.0649195155212388</v>
      </c>
      <c r="M17" s="19">
        <f>Data!R16/Data!$T16*100</f>
        <v>4.7120547268159685</v>
      </c>
      <c r="N17" s="19">
        <f>Data!S16/Data!$T16*100</f>
        <v>0.50312497445754834</v>
      </c>
      <c r="O17" s="20">
        <f t="shared" si="2"/>
        <v>100.00000000000001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35">
      <c r="A18" s="18" t="s">
        <v>73</v>
      </c>
      <c r="B18" s="17" t="s">
        <v>22</v>
      </c>
      <c r="C18" s="19">
        <f t="shared" si="0"/>
        <v>58.789763961015858</v>
      </c>
      <c r="D18" s="20">
        <f>SUM(Data!B17,Data!F17,Data!J17)/Data!$T17*100</f>
        <v>29.722328290810278</v>
      </c>
      <c r="E18" s="20">
        <f>SUM(Data!C17,Data!G17,Data!K17)/Data!$T17*100</f>
        <v>23.197151298324012</v>
      </c>
      <c r="F18" s="20">
        <f>SUM(Data!D17,Data!H17,Data!L17)/Data!$T17*100</f>
        <v>2.5969494432127687</v>
      </c>
      <c r="G18" s="20">
        <f>SUM(Data!E17,Data!I17,Data!M17)/Data!$T17*100</f>
        <v>3.2733349286687932</v>
      </c>
      <c r="H18" s="19">
        <f t="shared" si="1"/>
        <v>17.671030206126037</v>
      </c>
      <c r="I18" s="20">
        <f>Data!N17/Data!$T17*100</f>
        <v>10.592243703327405</v>
      </c>
      <c r="J18" s="20">
        <f>Data!O17/Data!$T17*100</f>
        <v>5.3298265987159086</v>
      </c>
      <c r="K18" s="20">
        <f>Data!P17/Data!$T17*100</f>
        <v>1.7489599040827246</v>
      </c>
      <c r="L18" s="19">
        <f>Data!Q17/Data!$T17*100</f>
        <v>18.978090124572308</v>
      </c>
      <c r="M18" s="19">
        <f>Data!R17/Data!$T17*100</f>
        <v>3.5815588578663382</v>
      </c>
      <c r="N18" s="19">
        <f>Data!S17/Data!$T17*100</f>
        <v>0.97955685041945795</v>
      </c>
      <c r="O18" s="20">
        <f t="shared" si="2"/>
        <v>100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x14ac:dyDescent="0.35">
      <c r="A19" s="18" t="s">
        <v>74</v>
      </c>
      <c r="B19" s="17" t="s">
        <v>23</v>
      </c>
      <c r="C19" s="19">
        <f t="shared" si="0"/>
        <v>58.298273489438017</v>
      </c>
      <c r="D19" s="20">
        <f>SUM(Data!B18,Data!F18,Data!J18)/Data!$T18*100</f>
        <v>22.243569243820104</v>
      </c>
      <c r="E19" s="20">
        <f>SUM(Data!C18,Data!G18,Data!K18)/Data!$T18*100</f>
        <v>29.080418159561503</v>
      </c>
      <c r="F19" s="20">
        <f>SUM(Data!D18,Data!H18,Data!L18)/Data!$T18*100</f>
        <v>3.0860691910052407</v>
      </c>
      <c r="G19" s="20">
        <f>SUM(Data!E18,Data!I18,Data!M18)/Data!$T18*100</f>
        <v>3.8882168950511664</v>
      </c>
      <c r="H19" s="19">
        <f t="shared" si="1"/>
        <v>15.349171420977852</v>
      </c>
      <c r="I19" s="20">
        <f>Data!N18/Data!$T18*100</f>
        <v>9.0045587038354391</v>
      </c>
      <c r="J19" s="20">
        <f>Data!O18/Data!$T18*100</f>
        <v>4.5389489613673746</v>
      </c>
      <c r="K19" s="20">
        <f>Data!P18/Data!$T18*100</f>
        <v>1.8056637557750375</v>
      </c>
      <c r="L19" s="19">
        <f>Data!Q18/Data!$T18*100</f>
        <v>23.664147264240416</v>
      </c>
      <c r="M19" s="19">
        <f>Data!R18/Data!$T18*100</f>
        <v>2.2277109370301442</v>
      </c>
      <c r="N19" s="19">
        <f>Data!S18/Data!$T18*100</f>
        <v>0.46069688831357092</v>
      </c>
      <c r="O19" s="20">
        <f t="shared" si="2"/>
        <v>100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x14ac:dyDescent="0.35">
      <c r="A20" s="18" t="s">
        <v>75</v>
      </c>
      <c r="B20" s="17" t="s">
        <v>24</v>
      </c>
      <c r="C20" s="19">
        <f t="shared" si="0"/>
        <v>50.88426371754872</v>
      </c>
      <c r="D20" s="20">
        <f>SUM(Data!B19,Data!F19,Data!J19)/Data!$T19*100</f>
        <v>9.7197723780423395</v>
      </c>
      <c r="E20" s="20">
        <f>SUM(Data!C19,Data!G19,Data!K19)/Data!$T19*100</f>
        <v>21.315316352985406</v>
      </c>
      <c r="F20" s="20">
        <f>SUM(Data!D19,Data!H19,Data!L19)/Data!$T19*100</f>
        <v>8.7925721408225623</v>
      </c>
      <c r="G20" s="20">
        <f>SUM(Data!E19,Data!I19,Data!M19)/Data!$T19*100</f>
        <v>11.056602845698416</v>
      </c>
      <c r="H20" s="19">
        <f t="shared" si="1"/>
        <v>13.294734377134963</v>
      </c>
      <c r="I20" s="20">
        <f>Data!N19/Data!$T19*100</f>
        <v>7.4783020916346228</v>
      </c>
      <c r="J20" s="20">
        <f>Data!O19/Data!$T19*100</f>
        <v>3.7551143380082106</v>
      </c>
      <c r="K20" s="20">
        <f>Data!P19/Data!$T19*100</f>
        <v>2.0613179474921299</v>
      </c>
      <c r="L20" s="19">
        <f>Data!Q19/Data!$T19*100</f>
        <v>32.262750371608071</v>
      </c>
      <c r="M20" s="19">
        <f>Data!R19/Data!$T19*100</f>
        <v>2.5883448361275856</v>
      </c>
      <c r="N20" s="19">
        <f>Data!S19/Data!$T19*100</f>
        <v>0.96990669758064441</v>
      </c>
      <c r="O20" s="20">
        <f t="shared" si="2"/>
        <v>99.999999999999986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x14ac:dyDescent="0.35">
      <c r="A21" s="21" t="s">
        <v>76</v>
      </c>
      <c r="B21" s="22" t="s">
        <v>25</v>
      </c>
      <c r="C21" s="23">
        <f t="shared" si="0"/>
        <v>56.664328632254986</v>
      </c>
      <c r="D21" s="24">
        <f>SUM(Data!B20,Data!F20,Data!J20)/Data!$T20*100</f>
        <v>3.212854164822756</v>
      </c>
      <c r="E21" s="24">
        <f>SUM(Data!C20,Data!G20,Data!K20)/Data!$T20*100</f>
        <v>6.429570584751386</v>
      </c>
      <c r="F21" s="24">
        <f>SUM(Data!D20,Data!H20,Data!L20)/Data!$T20*100</f>
        <v>7.9851931849189182</v>
      </c>
      <c r="G21" s="24">
        <f>SUM(Data!E20,Data!I20,Data!M20)/Data!$T20*100</f>
        <v>39.036710697761926</v>
      </c>
      <c r="H21" s="23">
        <f t="shared" si="1"/>
        <v>3.637459380431602</v>
      </c>
      <c r="I21" s="24">
        <f>Data!N20/Data!$T20*100</f>
        <v>1.9759055743103093</v>
      </c>
      <c r="J21" s="24">
        <f>Data!O20/Data!$T20*100</f>
        <v>0.99119447784238535</v>
      </c>
      <c r="K21" s="24">
        <f>Data!P20/Data!$T20*100</f>
        <v>0.67035932827890699</v>
      </c>
      <c r="L21" s="23">
        <f>Data!Q20/Data!$T20*100</f>
        <v>34.337706832882759</v>
      </c>
      <c r="M21" s="23">
        <f>Data!R20/Data!$T20*100</f>
        <v>3.8759569518321788</v>
      </c>
      <c r="N21" s="23">
        <f>Data!S20/Data!$T20*100</f>
        <v>1.4845482025984689</v>
      </c>
      <c r="O21" s="24">
        <f t="shared" si="2"/>
        <v>100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x14ac:dyDescent="0.35">
      <c r="A22" s="18" t="s">
        <v>121</v>
      </c>
      <c r="B22" s="17" t="s">
        <v>108</v>
      </c>
      <c r="C22" s="19">
        <f t="shared" ref="C22:C24" si="3">SUM(D22:G22)</f>
        <v>70.804600694774663</v>
      </c>
      <c r="D22" s="20">
        <f>SUM(Data!B21,Data!F21,Data!J21)/Data!$T21*100</f>
        <v>60.643787695792703</v>
      </c>
      <c r="E22" s="20">
        <f>SUM(Data!C21,Data!G21,Data!K21)/Data!$T21*100</f>
        <v>10.160812998981964</v>
      </c>
      <c r="F22" s="20">
        <f>SUM(Data!D21,Data!H21,Data!L21)/Data!$T21*100</f>
        <v>0</v>
      </c>
      <c r="G22" s="20">
        <f>SUM(Data!E21,Data!I21,Data!M21)/Data!$T21*100</f>
        <v>0</v>
      </c>
      <c r="H22" s="19">
        <f t="shared" ref="H22:H24" si="4">SUM(I22:K22)</f>
        <v>20.625578805006842</v>
      </c>
      <c r="I22" s="20">
        <f>Data!N21/Data!$T21*100</f>
        <v>13.315948000852352</v>
      </c>
      <c r="J22" s="20">
        <f>Data!O21/Data!$T21*100</f>
        <v>6.7016904087019924</v>
      </c>
      <c r="K22" s="20">
        <f>Data!P21/Data!$T21*100</f>
        <v>0.60794039545249856</v>
      </c>
      <c r="L22" s="19">
        <f>Data!Q21/Data!$T21*100</f>
        <v>0</v>
      </c>
      <c r="M22" s="19">
        <f>Data!R21/Data!$T21*100</f>
        <v>7.6354803357095866</v>
      </c>
      <c r="N22" s="19">
        <f>Data!S21/Data!$T21*100</f>
        <v>0.93434016450889101</v>
      </c>
      <c r="O22" s="20">
        <f t="shared" si="2"/>
        <v>99.999999999999986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x14ac:dyDescent="0.35">
      <c r="A23" s="18" t="s">
        <v>122</v>
      </c>
      <c r="B23" s="17" t="s">
        <v>109</v>
      </c>
      <c r="C23" s="19">
        <f t="shared" si="3"/>
        <v>68.776265016695191</v>
      </c>
      <c r="D23" s="20">
        <f>SUM(Data!B22,Data!F22,Data!J22)/Data!$T22*100</f>
        <v>29.190658787189271</v>
      </c>
      <c r="E23" s="20">
        <f>SUM(Data!C22,Data!G22,Data!K22)/Data!$T22*100</f>
        <v>20.09041452555952</v>
      </c>
      <c r="F23" s="20">
        <f>SUM(Data!D22,Data!H22,Data!L22)/Data!$T22*100</f>
        <v>10.412856162076315</v>
      </c>
      <c r="G23" s="20">
        <f>SUM(Data!E22,Data!I22,Data!M22)/Data!$T22*100</f>
        <v>9.0823355418700871</v>
      </c>
      <c r="H23" s="19">
        <f t="shared" si="4"/>
        <v>12.917752668755625</v>
      </c>
      <c r="I23" s="20">
        <f>Data!N22/Data!$T22*100</f>
        <v>7.2764122892720069</v>
      </c>
      <c r="J23" s="20">
        <f>Data!O22/Data!$T22*100</f>
        <v>3.6636276380851727</v>
      </c>
      <c r="K23" s="20">
        <f>Data!P22/Data!$T22*100</f>
        <v>1.9777127413984452</v>
      </c>
      <c r="L23" s="19">
        <f>Data!Q22/Data!$T22*100</f>
        <v>11.141101162881712</v>
      </c>
      <c r="M23" s="19">
        <f>Data!R22/Data!$T22*100</f>
        <v>6.5953485924478388</v>
      </c>
      <c r="N23" s="19">
        <f>Data!S22/Data!$T22*100</f>
        <v>0.56953255921962365</v>
      </c>
      <c r="O23" s="20">
        <f t="shared" si="2"/>
        <v>99.999999999999986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x14ac:dyDescent="0.35">
      <c r="A24" s="18" t="s">
        <v>123</v>
      </c>
      <c r="B24" s="17" t="s">
        <v>110</v>
      </c>
      <c r="C24" s="19">
        <f t="shared" si="3"/>
        <v>60.456138436036341</v>
      </c>
      <c r="D24" s="20">
        <f>SUM(Data!B23,Data!F23,Data!J23)/Data!$T23*100</f>
        <v>25.58196185615197</v>
      </c>
      <c r="E24" s="20">
        <f>SUM(Data!C23,Data!G23,Data!K23)/Data!$T23*100</f>
        <v>22.107838449756514</v>
      </c>
      <c r="F24" s="20">
        <f>SUM(Data!D23,Data!H23,Data!L23)/Data!$T23*100</f>
        <v>6.82033574807053</v>
      </c>
      <c r="G24" s="20">
        <f>SUM(Data!E23,Data!I23,Data!M23)/Data!$T23*100</f>
        <v>5.946002382057328</v>
      </c>
      <c r="H24" s="19">
        <f t="shared" si="4"/>
        <v>23.443324325262559</v>
      </c>
      <c r="I24" s="20">
        <f>Data!N23/Data!$T23*100</f>
        <v>14.234805748459586</v>
      </c>
      <c r="J24" s="20">
        <f>Data!O23/Data!$T23*100</f>
        <v>7.1832099423616178</v>
      </c>
      <c r="K24" s="20">
        <f>Data!P23/Data!$T23*100</f>
        <v>2.0253086344413567</v>
      </c>
      <c r="L24" s="19">
        <f>Data!Q23/Data!$T23*100</f>
        <v>12.683951324021049</v>
      </c>
      <c r="M24" s="19">
        <f>Data!R23/Data!$T23*100</f>
        <v>2.9914995770081947</v>
      </c>
      <c r="N24" s="19">
        <f>Data!S23/Data!$T23*100</f>
        <v>0.42508633767187026</v>
      </c>
      <c r="O24" s="20">
        <f t="shared" si="2"/>
        <v>100.00000000000003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x14ac:dyDescent="0.35">
      <c r="A25" s="18" t="s">
        <v>124</v>
      </c>
      <c r="B25" s="17" t="s">
        <v>111</v>
      </c>
      <c r="C25" s="19">
        <f t="shared" ref="C25:C36" si="5">SUM(D25:G25)</f>
        <v>51.306388150651202</v>
      </c>
      <c r="D25" s="20">
        <f>SUM(Data!B24,Data!F24,Data!J24)/Data!$T24*100</f>
        <v>17.665572691068647</v>
      </c>
      <c r="E25" s="20">
        <f>SUM(Data!C24,Data!G24,Data!K24)/Data!$T24*100</f>
        <v>18.768799549056268</v>
      </c>
      <c r="F25" s="20">
        <f>SUM(Data!D24,Data!H24,Data!L24)/Data!$T24*100</f>
        <v>7.9487594802832708</v>
      </c>
      <c r="G25" s="20">
        <f>SUM(Data!E24,Data!I24,Data!M24)/Data!$T24*100</f>
        <v>6.9232564302430131</v>
      </c>
      <c r="H25" s="19">
        <f t="shared" ref="H25:H36" si="6">SUM(I25:K25)</f>
        <v>18.660514873976627</v>
      </c>
      <c r="I25" s="20">
        <f>Data!N24/Data!$T24*100</f>
        <v>8.9049870090332277</v>
      </c>
      <c r="J25" s="20">
        <f>Data!O24/Data!$T24*100</f>
        <v>4.4807988415695066</v>
      </c>
      <c r="K25" s="20">
        <f>Data!P24/Data!$T24*100</f>
        <v>5.2747290233738937</v>
      </c>
      <c r="L25" s="19">
        <f>Data!Q24/Data!$T24*100</f>
        <v>26.383246361827389</v>
      </c>
      <c r="M25" s="19">
        <f>Data!R24/Data!$T24*100</f>
        <v>3.2614872739237453</v>
      </c>
      <c r="N25" s="19">
        <f>Data!S24/Data!$T24*100</f>
        <v>0.38836333962102748</v>
      </c>
      <c r="O25" s="20">
        <f t="shared" ref="O25:O36" si="7">C25+H25+L25+M25+N25</f>
        <v>99.999999999999986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1:37" x14ac:dyDescent="0.35">
      <c r="A26" s="21" t="s">
        <v>125</v>
      </c>
      <c r="B26" s="22" t="s">
        <v>112</v>
      </c>
      <c r="C26" s="23">
        <f t="shared" si="5"/>
        <v>60.53736843743448</v>
      </c>
      <c r="D26" s="24">
        <f>SUM(Data!B25,Data!F25,Data!J25)/Data!$T25*100</f>
        <v>2.2195590467826896</v>
      </c>
      <c r="E26" s="24">
        <f>SUM(Data!C25,Data!G25,Data!K25)/Data!$T25*100</f>
        <v>3.6582138105705533</v>
      </c>
      <c r="F26" s="24">
        <f>SUM(Data!D25,Data!H25,Data!L25)/Data!$T25*100</f>
        <v>6.9027544047050693</v>
      </c>
      <c r="G26" s="24">
        <f>SUM(Data!E25,Data!I25,Data!M25)/Data!$T25*100</f>
        <v>47.756841175376167</v>
      </c>
      <c r="H26" s="23">
        <f t="shared" si="6"/>
        <v>1.5885184893526656</v>
      </c>
      <c r="I26" s="24">
        <f>Data!N25/Data!$T25*100</f>
        <v>0.7963953188341153</v>
      </c>
      <c r="J26" s="24">
        <f>Data!O25/Data!$T25*100</f>
        <v>0.39949684503056426</v>
      </c>
      <c r="K26" s="24">
        <f>Data!P25/Data!$T25*100</f>
        <v>0.39262632548798615</v>
      </c>
      <c r="L26" s="23">
        <f>Data!Q25/Data!$T25*100</f>
        <v>30.019210543482561</v>
      </c>
      <c r="M26" s="23">
        <f>Data!R25/Data!$T25*100</f>
        <v>3.431108026156291</v>
      </c>
      <c r="N26" s="23">
        <f>Data!S25/Data!$T25*100</f>
        <v>4.4237945035740172</v>
      </c>
      <c r="O26" s="24">
        <f t="shared" si="7"/>
        <v>100.00000000000001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x14ac:dyDescent="0.35">
      <c r="A27" s="25" t="s">
        <v>46</v>
      </c>
      <c r="B27" s="13" t="s">
        <v>46</v>
      </c>
      <c r="C27" s="19">
        <f t="shared" si="5"/>
        <v>51.447154231733009</v>
      </c>
      <c r="D27" s="20">
        <f>SUM(Data!B26,Data!F26,Data!J26)/Data!$T26*100</f>
        <v>20.756109211054447</v>
      </c>
      <c r="E27" s="20">
        <f>SUM(Data!C26,Data!G26,Data!K26)/Data!$T26*100</f>
        <v>22.151355906369279</v>
      </c>
      <c r="F27" s="20">
        <f>SUM(Data!D26,Data!H26,Data!L26)/Data!$T26*100</f>
        <v>4.0504723446266446</v>
      </c>
      <c r="G27" s="20">
        <f>SUM(Data!E26,Data!I26,Data!M26)/Data!$T26*100</f>
        <v>4.4892167696826402</v>
      </c>
      <c r="H27" s="19">
        <f t="shared" si="6"/>
        <v>25.211408256473071</v>
      </c>
      <c r="I27" s="20">
        <f>Data!N26/Data!$T26*100</f>
        <v>15.472119352802046</v>
      </c>
      <c r="J27" s="20">
        <f>Data!O26/Data!$T26*100</f>
        <v>7.7658214091623323</v>
      </c>
      <c r="K27" s="20">
        <f>Data!P26/Data!$T26*100</f>
        <v>1.9734674945086941</v>
      </c>
      <c r="L27" s="19">
        <f>Data!Q26/Data!$T26*100</f>
        <v>17.728329091741966</v>
      </c>
      <c r="M27" s="19">
        <f>Data!R26/Data!$T26*100</f>
        <v>3.9128753845329185</v>
      </c>
      <c r="N27" s="19">
        <f>Data!S26/Data!$T26*100</f>
        <v>1.70023303551904</v>
      </c>
      <c r="O27" s="20">
        <f t="shared" si="7"/>
        <v>100.00000000000001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x14ac:dyDescent="0.35">
      <c r="A28" s="25" t="s">
        <v>47</v>
      </c>
      <c r="B28" s="13" t="s">
        <v>47</v>
      </c>
      <c r="C28" s="19">
        <f t="shared" si="5"/>
        <v>80.076803789978584</v>
      </c>
      <c r="D28" s="20">
        <f>SUM(Data!B27,Data!F27,Data!J27)/Data!$T27*100</f>
        <v>9.7968030939794613</v>
      </c>
      <c r="E28" s="20">
        <f>SUM(Data!C27,Data!G27,Data!K27)/Data!$T27*100</f>
        <v>19.254319313727365</v>
      </c>
      <c r="F28" s="20">
        <f>SUM(Data!D27,Data!H27,Data!L27)/Data!$T27*100</f>
        <v>13.654296027590998</v>
      </c>
      <c r="G28" s="20">
        <f>SUM(Data!E27,Data!I27,Data!M27)/Data!$T27*100</f>
        <v>37.371385354680761</v>
      </c>
      <c r="H28" s="19">
        <f t="shared" si="6"/>
        <v>0</v>
      </c>
      <c r="I28" s="20">
        <f>Data!N27/Data!$T27*100</f>
        <v>0</v>
      </c>
      <c r="J28" s="20">
        <f>Data!O27/Data!$T27*100</f>
        <v>0</v>
      </c>
      <c r="K28" s="20">
        <f>Data!P27/Data!$T27*100</f>
        <v>0</v>
      </c>
      <c r="L28" s="19">
        <f>Data!Q27/Data!$T27*100</f>
        <v>16.896697728528878</v>
      </c>
      <c r="M28" s="19">
        <f>Data!R27/Data!$T27*100</f>
        <v>2.5276568092340694</v>
      </c>
      <c r="N28" s="19">
        <f>Data!S27/Data!$T27*100</f>
        <v>0.4988416722584636</v>
      </c>
      <c r="O28" s="20">
        <f t="shared" si="7"/>
        <v>100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x14ac:dyDescent="0.35">
      <c r="A29" s="25" t="s">
        <v>48</v>
      </c>
      <c r="B29" s="13" t="s">
        <v>48</v>
      </c>
      <c r="C29" s="19">
        <f t="shared" si="5"/>
        <v>56.450969353084432</v>
      </c>
      <c r="D29" s="20">
        <f>SUM(Data!B28,Data!F28,Data!J28)/Data!$T28*100</f>
        <v>6.8301567101655802</v>
      </c>
      <c r="E29" s="20">
        <f>SUM(Data!C28,Data!G28,Data!K28)/Data!$T28*100</f>
        <v>10.305922038934549</v>
      </c>
      <c r="F29" s="20">
        <f>SUM(Data!D28,Data!H28,Data!L28)/Data!$T28*100</f>
        <v>7.4158974053445252</v>
      </c>
      <c r="G29" s="20">
        <f>SUM(Data!E28,Data!I28,Data!M28)/Data!$T28*100</f>
        <v>31.898993198639779</v>
      </c>
      <c r="H29" s="19">
        <f t="shared" si="6"/>
        <v>6.3209053353597255</v>
      </c>
      <c r="I29" s="20">
        <f>Data!N28/Data!$T28*100</f>
        <v>3.5739934969717329</v>
      </c>
      <c r="J29" s="20">
        <f>Data!O28/Data!$T28*100</f>
        <v>1.7963594526732467</v>
      </c>
      <c r="K29" s="20">
        <f>Data!P28/Data!$T28*100</f>
        <v>0.95055238571474554</v>
      </c>
      <c r="L29" s="19">
        <f>Data!Q28/Data!$T28*100</f>
        <v>32.24821106149588</v>
      </c>
      <c r="M29" s="19">
        <f>Data!R28/Data!$T28*100</f>
        <v>3.6524650895199038</v>
      </c>
      <c r="N29" s="19">
        <f>Data!S28/Data!$T28*100</f>
        <v>1.3274491605400494</v>
      </c>
      <c r="O29" s="20">
        <f t="shared" si="7"/>
        <v>100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x14ac:dyDescent="0.35">
      <c r="A30" s="26" t="s">
        <v>120</v>
      </c>
      <c r="B30" s="27" t="s">
        <v>120</v>
      </c>
      <c r="C30" s="23">
        <f t="shared" si="5"/>
        <v>60.206621198501693</v>
      </c>
      <c r="D30" s="24">
        <f>SUM(Data!B29,Data!F29,Data!J29)/Data!$T29*100</f>
        <v>3.8017219832769915</v>
      </c>
      <c r="E30" s="24">
        <f>SUM(Data!C29,Data!G29,Data!K29)/Data!$T29*100</f>
        <v>4.8789792252573738</v>
      </c>
      <c r="F30" s="24">
        <f>SUM(Data!D29,Data!H29,Data!L29)/Data!$T29*100</f>
        <v>6.9660256868756214</v>
      </c>
      <c r="G30" s="24">
        <f>SUM(Data!E29,Data!I29,Data!M29)/Data!$T29*100</f>
        <v>44.559894303091703</v>
      </c>
      <c r="H30" s="23">
        <f t="shared" si="6"/>
        <v>2.9473167763804797</v>
      </c>
      <c r="I30" s="24">
        <f>Data!N29/Data!$T29*100</f>
        <v>1.5147979498006221</v>
      </c>
      <c r="J30" s="24">
        <f>Data!O29/Data!$T29*100</f>
        <v>0.76145103622219446</v>
      </c>
      <c r="K30" s="24">
        <f>Data!P29/Data!$T29*100</f>
        <v>0.6710677903576634</v>
      </c>
      <c r="L30" s="23">
        <f>Data!Q29/Data!$T29*100</f>
        <v>29.272527767671995</v>
      </c>
      <c r="M30" s="23">
        <f>Data!R29/Data!$T29*100</f>
        <v>3.4600493505710079</v>
      </c>
      <c r="N30" s="23">
        <f>Data!S29/Data!$T29*100</f>
        <v>4.1134849068748416</v>
      </c>
      <c r="O30" s="24">
        <f t="shared" si="7"/>
        <v>100.00000000000003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x14ac:dyDescent="0.35">
      <c r="A31" s="28" t="s">
        <v>49</v>
      </c>
      <c r="B31" s="29" t="s">
        <v>49</v>
      </c>
      <c r="C31" s="30">
        <f t="shared" si="5"/>
        <v>55.99557863315988</v>
      </c>
      <c r="D31" s="31">
        <f>SUM(Data!B30,Data!F30,Data!J30)/Data!$T30*100</f>
        <v>12.329769995032827</v>
      </c>
      <c r="E31" s="31">
        <f>SUM(Data!C30,Data!G30,Data!K30)/Data!$T30*100</f>
        <v>14.057621126754436</v>
      </c>
      <c r="F31" s="31">
        <f>SUM(Data!D30,Data!H30,Data!L30)/Data!$T30*100</f>
        <v>5.7943103446747015</v>
      </c>
      <c r="G31" s="31">
        <f>SUM(Data!E30,Data!I30,Data!M30)/Data!$T30*100</f>
        <v>23.813877166697917</v>
      </c>
      <c r="H31" s="30">
        <f t="shared" si="6"/>
        <v>13.834630294583137</v>
      </c>
      <c r="I31" s="30">
        <f>Data!N30/Data!$T30*100</f>
        <v>8.3396456475377274</v>
      </c>
      <c r="J31" s="30">
        <f>Data!O30/Data!$T30*100</f>
        <v>4.1866233470363161</v>
      </c>
      <c r="K31" s="30">
        <f>Data!P30/Data!$T30*100</f>
        <v>1.3083613000090946</v>
      </c>
      <c r="L31" s="30">
        <f>Data!Q30/Data!$T30*100</f>
        <v>23.965771041409901</v>
      </c>
      <c r="M31" s="30">
        <f>Data!R30/Data!$T30*100</f>
        <v>3.6795283506102554</v>
      </c>
      <c r="N31" s="30">
        <f>Data!S30/Data!$T30*100</f>
        <v>2.5244916802368458</v>
      </c>
      <c r="O31" s="30">
        <f t="shared" si="7"/>
        <v>100.00000000000001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x14ac:dyDescent="0.35">
      <c r="A32" s="25" t="s">
        <v>50</v>
      </c>
      <c r="B32" s="13" t="s">
        <v>50</v>
      </c>
      <c r="C32" s="19">
        <f t="shared" si="5"/>
        <v>57.515860172898897</v>
      </c>
      <c r="D32" s="20">
        <f>SUM(Data!B31,Data!F31,Data!J31)/Data!$T31*100</f>
        <v>34.644282983436767</v>
      </c>
      <c r="E32" s="20">
        <f>SUM(Data!C31,Data!G31,Data!K31)/Data!$T31*100</f>
        <v>21.847569287576142</v>
      </c>
      <c r="F32" s="20">
        <f>SUM(Data!D31,Data!H31,Data!L31)/Data!$T31*100</f>
        <v>0.86212945815302389</v>
      </c>
      <c r="G32" s="20">
        <f>SUM(Data!E31,Data!I31,Data!M31)/Data!$T31*100</f>
        <v>0.16187844373296467</v>
      </c>
      <c r="H32" s="19">
        <f t="shared" si="6"/>
        <v>31.099713823058686</v>
      </c>
      <c r="I32" s="20">
        <f>Data!N31/Data!$T31*100</f>
        <v>19.238169897549792</v>
      </c>
      <c r="J32" s="20">
        <f>Data!O31/Data!$T31*100</f>
        <v>9.7591449756900897</v>
      </c>
      <c r="K32" s="20">
        <f>Data!P31/Data!$T31*100</f>
        <v>2.1023989498188072</v>
      </c>
      <c r="L32" s="19">
        <f>Data!Q31/Data!$T31*100</f>
        <v>5.0769331783680443</v>
      </c>
      <c r="M32" s="19">
        <f>Data!R31/Data!$T31*100</f>
        <v>5.614410544774846</v>
      </c>
      <c r="N32" s="19">
        <f>Data!S31/Data!$T31*100</f>
        <v>0.69308228089951551</v>
      </c>
      <c r="O32" s="20">
        <f t="shared" si="7"/>
        <v>100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x14ac:dyDescent="0.35">
      <c r="A33" s="25" t="s">
        <v>51</v>
      </c>
      <c r="B33" s="13" t="s">
        <v>51</v>
      </c>
      <c r="C33" s="19">
        <f t="shared" si="5"/>
        <v>55.484549068711353</v>
      </c>
      <c r="D33" s="20">
        <f>SUM(Data!B32,Data!F32,Data!J32)/Data!$T32*100</f>
        <v>27.482075028696425</v>
      </c>
      <c r="E33" s="20">
        <f>SUM(Data!C32,Data!G32,Data!K32)/Data!$T32*100</f>
        <v>24.501991256750021</v>
      </c>
      <c r="F33" s="20">
        <f>SUM(Data!D32,Data!H32,Data!L32)/Data!$T32*100</f>
        <v>2.5910354237283695</v>
      </c>
      <c r="G33" s="20">
        <f>SUM(Data!E32,Data!I32,Data!M32)/Data!$T32*100</f>
        <v>0.90944735953653344</v>
      </c>
      <c r="H33" s="19">
        <f t="shared" si="6"/>
        <v>28.677058312070091</v>
      </c>
      <c r="I33" s="20">
        <f>Data!N32/Data!$T32*100</f>
        <v>17.628824971974012</v>
      </c>
      <c r="J33" s="20">
        <f>Data!O32/Data!$T32*100</f>
        <v>8.869481182773562</v>
      </c>
      <c r="K33" s="20">
        <f>Data!P32/Data!$T32*100</f>
        <v>2.1787521573225166</v>
      </c>
      <c r="L33" s="19">
        <f>Data!Q32/Data!$T32*100</f>
        <v>10.508900223576283</v>
      </c>
      <c r="M33" s="19">
        <f>Data!R32/Data!$T32*100</f>
        <v>4.518738641010585</v>
      </c>
      <c r="N33" s="19">
        <f>Data!S32/Data!$T32*100</f>
        <v>0.81075375463168542</v>
      </c>
      <c r="O33" s="20">
        <f t="shared" si="7"/>
        <v>100.00000000000001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x14ac:dyDescent="0.35">
      <c r="A34" s="25" t="s">
        <v>52</v>
      </c>
      <c r="B34" s="13" t="s">
        <v>52</v>
      </c>
      <c r="C34" s="19">
        <f t="shared" si="5"/>
        <v>56.647817761903198</v>
      </c>
      <c r="D34" s="20">
        <f>SUM(Data!B33,Data!F33,Data!J33)/Data!$T33*100</f>
        <v>26.404713676214612</v>
      </c>
      <c r="E34" s="20">
        <f>SUM(Data!C33,Data!G33,Data!K33)/Data!$T33*100</f>
        <v>26.513489658492201</v>
      </c>
      <c r="F34" s="20">
        <f>SUM(Data!D33,Data!H33,Data!L33)/Data!$T33*100</f>
        <v>2.9055374100111204</v>
      </c>
      <c r="G34" s="20">
        <f>SUM(Data!E33,Data!I33,Data!M33)/Data!$T33*100</f>
        <v>0.82407701718525983</v>
      </c>
      <c r="H34" s="19">
        <f t="shared" si="6"/>
        <v>30.442626566662238</v>
      </c>
      <c r="I34" s="20">
        <f>Data!N33/Data!$T33*100</f>
        <v>18.775042372470566</v>
      </c>
      <c r="J34" s="20">
        <f>Data!O33/Data!$T33*100</f>
        <v>9.4484876462168756</v>
      </c>
      <c r="K34" s="20">
        <f>Data!P33/Data!$T33*100</f>
        <v>2.2190965479747979</v>
      </c>
      <c r="L34" s="19">
        <f>Data!Q33/Data!$T33*100</f>
        <v>8.3175438560335877</v>
      </c>
      <c r="M34" s="19">
        <f>Data!R33/Data!$T33*100</f>
        <v>3.5149988488405879</v>
      </c>
      <c r="N34" s="19">
        <f>Data!S33/Data!$T33*100</f>
        <v>1.0770129665603978</v>
      </c>
      <c r="O34" s="20">
        <f t="shared" si="7"/>
        <v>100.00000000000001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x14ac:dyDescent="0.35">
      <c r="A35" s="25" t="s">
        <v>53</v>
      </c>
      <c r="B35" s="13" t="s">
        <v>53</v>
      </c>
      <c r="C35" s="19">
        <f t="shared" si="5"/>
        <v>49.624396823551308</v>
      </c>
      <c r="D35" s="20">
        <f>SUM(Data!B34,Data!F34,Data!J34)/Data!$T34*100</f>
        <v>18.57711912107256</v>
      </c>
      <c r="E35" s="20">
        <f>SUM(Data!C34,Data!G34,Data!K34)/Data!$T34*100</f>
        <v>21.872851616078847</v>
      </c>
      <c r="F35" s="20">
        <f>SUM(Data!D34,Data!H34,Data!L34)/Data!$T34*100</f>
        <v>4.7203233416763846</v>
      </c>
      <c r="G35" s="20">
        <f>SUM(Data!E34,Data!I34,Data!M34)/Data!$T34*100</f>
        <v>4.4541027447235244</v>
      </c>
      <c r="H35" s="19">
        <f t="shared" si="6"/>
        <v>22.870129625010811</v>
      </c>
      <c r="I35" s="20">
        <f>Data!N34/Data!$T34*100</f>
        <v>13.645008925048604</v>
      </c>
      <c r="J35" s="20">
        <f>Data!O34/Data!$T34*100</f>
        <v>6.8142239116692274</v>
      </c>
      <c r="K35" s="20">
        <f>Data!P34/Data!$T34*100</f>
        <v>2.4108967882929813</v>
      </c>
      <c r="L35" s="19">
        <f>Data!Q34/Data!$T34*100</f>
        <v>22.657349535137755</v>
      </c>
      <c r="M35" s="19">
        <f>Data!R34/Data!$T34*100</f>
        <v>3.6920146312310211</v>
      </c>
      <c r="N35" s="19">
        <f>Data!S34/Data!$T34*100</f>
        <v>1.1561093850690702</v>
      </c>
      <c r="O35" s="20">
        <f t="shared" si="7"/>
        <v>99.999999999999957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x14ac:dyDescent="0.35">
      <c r="A36" s="25" t="s">
        <v>54</v>
      </c>
      <c r="B36" s="13" t="s">
        <v>54</v>
      </c>
      <c r="C36" s="19">
        <f t="shared" si="5"/>
        <v>57.495013953583737</v>
      </c>
      <c r="D36" s="20">
        <f>SUM(Data!B35,Data!F35,Data!J35)/Data!$T35*100</f>
        <v>4.257653230772255</v>
      </c>
      <c r="E36" s="20">
        <f>SUM(Data!C35,Data!G35,Data!K35)/Data!$T35*100</f>
        <v>7.7782403852661535</v>
      </c>
      <c r="F36" s="20">
        <f>SUM(Data!D35,Data!H35,Data!L35)/Data!$T35*100</f>
        <v>7.4399077480362941</v>
      </c>
      <c r="G36" s="20">
        <f>SUM(Data!E35,Data!I35,Data!M35)/Data!$T35*100</f>
        <v>38.019212589509038</v>
      </c>
      <c r="H36" s="19">
        <f t="shared" si="6"/>
        <v>5.0821523703898785</v>
      </c>
      <c r="I36" s="20">
        <f>Data!N35/Data!$T35*100</f>
        <v>2.9387845953910317</v>
      </c>
      <c r="J36" s="20">
        <f>Data!O35/Data!$T35*100</f>
        <v>1.468979298906486</v>
      </c>
      <c r="K36" s="20">
        <f>Data!P35/Data!$T35*100</f>
        <v>0.67438847609236097</v>
      </c>
      <c r="L36" s="19">
        <f>Data!Q35/Data!$T35*100</f>
        <v>30.476729294049658</v>
      </c>
      <c r="M36" s="19">
        <f>Data!R35/Data!$T35*100</f>
        <v>3.4221214317116888</v>
      </c>
      <c r="N36" s="19">
        <f>Data!S35/Data!$T35*100</f>
        <v>3.5239829502650561</v>
      </c>
      <c r="O36" s="20">
        <f t="shared" si="7"/>
        <v>100.00000000000001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1:37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x14ac:dyDescent="0.35">
      <c r="A40" s="15" t="s">
        <v>91</v>
      </c>
      <c r="B40" s="13"/>
      <c r="C40" s="15" t="s">
        <v>92</v>
      </c>
      <c r="D40" s="13"/>
      <c r="E40" s="13"/>
      <c r="F40" s="13"/>
      <c r="G40" s="15" t="s">
        <v>96</v>
      </c>
      <c r="H40" s="13"/>
      <c r="I40" s="13"/>
      <c r="J40" s="13"/>
      <c r="K40" s="13"/>
      <c r="L40" s="13"/>
      <c r="M40" s="15" t="s">
        <v>100</v>
      </c>
      <c r="N40" s="13"/>
      <c r="O40" s="13"/>
      <c r="P40" s="13"/>
      <c r="Q40" s="14" t="s">
        <v>104</v>
      </c>
      <c r="R40" s="13"/>
      <c r="S40" s="14" t="s">
        <v>106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x14ac:dyDescent="0.35">
      <c r="A41" s="13"/>
      <c r="B41" s="13"/>
      <c r="C41" s="13" t="s">
        <v>49</v>
      </c>
      <c r="D41" s="13" t="s">
        <v>94</v>
      </c>
      <c r="E41" s="13" t="s">
        <v>95</v>
      </c>
      <c r="F41" s="18" t="s">
        <v>103</v>
      </c>
      <c r="G41" s="13" t="s">
        <v>88</v>
      </c>
      <c r="H41" s="13" t="s">
        <v>97</v>
      </c>
      <c r="I41" s="13" t="s">
        <v>98</v>
      </c>
      <c r="J41" s="13" t="s">
        <v>89</v>
      </c>
      <c r="K41" s="13" t="s">
        <v>49</v>
      </c>
      <c r="L41" s="13"/>
      <c r="M41" s="13"/>
      <c r="N41" s="13"/>
      <c r="O41" s="13" t="s">
        <v>101</v>
      </c>
      <c r="P41" s="13" t="s">
        <v>102</v>
      </c>
      <c r="Q41" s="32" t="s">
        <v>101</v>
      </c>
      <c r="R41" s="13" t="s">
        <v>102</v>
      </c>
      <c r="S41" s="32" t="s">
        <v>105</v>
      </c>
      <c r="T41" s="13" t="s">
        <v>107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x14ac:dyDescent="0.35">
      <c r="A42" s="18" t="s">
        <v>62</v>
      </c>
      <c r="B42" s="17" t="s">
        <v>11</v>
      </c>
      <c r="C42" s="33">
        <f>SUM(D42:E42)</f>
        <v>95.925160960024982</v>
      </c>
      <c r="D42" s="33">
        <f>Data!B41/Data!$I41*100</f>
        <v>32.216377919816189</v>
      </c>
      <c r="E42" s="33">
        <f>Data!C41/Data!$I41*100</f>
        <v>63.708783040208793</v>
      </c>
      <c r="F42" s="34">
        <f>Data!D41/Data!$I41*100</f>
        <v>16.908181364922946</v>
      </c>
      <c r="G42" s="33">
        <f>Data!E41/Data!$I41*100</f>
        <v>8.9270818817026545E-2</v>
      </c>
      <c r="H42" s="33">
        <f>Data!F41/Data!$I41*100</f>
        <v>0.48571848867785183</v>
      </c>
      <c r="I42" s="33">
        <f>Data!G41/Data!$I41*100</f>
        <v>3.1716854334520121</v>
      </c>
      <c r="J42" s="33">
        <f>Data!H41/Data!$I41*100</f>
        <v>0.32816429902811967</v>
      </c>
      <c r="K42" s="33">
        <f>Data!I41/Data!$I41*100</f>
        <v>100</v>
      </c>
      <c r="L42" s="13"/>
      <c r="M42" s="18" t="s">
        <v>62</v>
      </c>
      <c r="N42" s="17" t="s">
        <v>11</v>
      </c>
      <c r="O42" s="33">
        <f>SUM(Data!B41:C41)/Data!C76*1000</f>
        <v>157.24713563388798</v>
      </c>
      <c r="P42" s="33">
        <f>Data!B76/Data!C76</f>
        <v>136.77129172007415</v>
      </c>
      <c r="Q42" s="35">
        <f t="shared" ref="Q42:Q71" si="8">O42/O$66</f>
        <v>0.32518334451540304</v>
      </c>
      <c r="R42" s="36">
        <f t="shared" ref="R42:R71" si="9">P42/P$66</f>
        <v>0.36010268971837056</v>
      </c>
      <c r="S42" s="37">
        <f>Data!T6-Data!I41</f>
        <v>0</v>
      </c>
      <c r="T42" s="33">
        <f>S42/Data!I41*100</f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1:37" x14ac:dyDescent="0.35">
      <c r="A43" s="18" t="s">
        <v>63</v>
      </c>
      <c r="B43" s="17" t="s">
        <v>12</v>
      </c>
      <c r="C43" s="33">
        <f t="shared" ref="C43:C71" si="10">SUM(D43:E43)</f>
        <v>96.074879191846321</v>
      </c>
      <c r="D43" s="33">
        <f>Data!B42/Data!$I42*100</f>
        <v>33.930723499426449</v>
      </c>
      <c r="E43" s="33">
        <f>Data!C42/Data!$I42*100</f>
        <v>62.144155692419879</v>
      </c>
      <c r="F43" s="34">
        <f>Data!D42/Data!$I42*100</f>
        <v>22.120976419600595</v>
      </c>
      <c r="G43" s="33">
        <f>Data!E42/Data!$I42*100</f>
        <v>0.22835801215259463</v>
      </c>
      <c r="H43" s="33">
        <f>Data!F42/Data!$I42*100</f>
        <v>0.48579849743825532</v>
      </c>
      <c r="I43" s="33">
        <f>Data!G42/Data!$I42*100</f>
        <v>2.9390821094997253</v>
      </c>
      <c r="J43" s="33">
        <f>Data!H42/Data!$I42*100</f>
        <v>0.27188218906315414</v>
      </c>
      <c r="K43" s="33">
        <f>Data!I42/Data!$I42*100</f>
        <v>100</v>
      </c>
      <c r="L43" s="13"/>
      <c r="M43" s="18" t="s">
        <v>63</v>
      </c>
      <c r="N43" s="17" t="s">
        <v>12</v>
      </c>
      <c r="O43" s="33">
        <f>SUM(Data!B42:C42)/Data!C77*1000</f>
        <v>212.9953063144618</v>
      </c>
      <c r="P43" s="33">
        <f>Data!B77/Data!C77</f>
        <v>206.40705909748709</v>
      </c>
      <c r="Q43" s="35">
        <f t="shared" si="8"/>
        <v>0.44046923840114022</v>
      </c>
      <c r="R43" s="36">
        <f t="shared" si="9"/>
        <v>0.54344545717962656</v>
      </c>
      <c r="S43" s="37">
        <f>Data!T7-Data!I42</f>
        <v>0</v>
      </c>
      <c r="T43" s="33">
        <f>S43/Data!I42*100</f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1:37" x14ac:dyDescent="0.35">
      <c r="A44" s="18" t="s">
        <v>64</v>
      </c>
      <c r="B44" s="17" t="s">
        <v>13</v>
      </c>
      <c r="C44" s="33">
        <f t="shared" si="10"/>
        <v>95.644133396342383</v>
      </c>
      <c r="D44" s="33">
        <f>Data!B43/Data!$I43*100</f>
        <v>32.424668519246261</v>
      </c>
      <c r="E44" s="33">
        <f>Data!C43/Data!$I43*100</f>
        <v>63.219464877096122</v>
      </c>
      <c r="F44" s="34">
        <f>Data!D43/Data!$I43*100</f>
        <v>23.264106425217008</v>
      </c>
      <c r="G44" s="33">
        <f>Data!E43/Data!$I43*100</f>
        <v>0.29983486692994193</v>
      </c>
      <c r="H44" s="33">
        <f>Data!F43/Data!$I43*100</f>
        <v>0.57561857719283427</v>
      </c>
      <c r="I44" s="33">
        <f>Data!G43/Data!$I43*100</f>
        <v>3.0848190395329209</v>
      </c>
      <c r="J44" s="33">
        <f>Data!H43/Data!$I43*100</f>
        <v>0.39559412000188515</v>
      </c>
      <c r="K44" s="33">
        <f>Data!I43/Data!$I43*100</f>
        <v>100</v>
      </c>
      <c r="L44" s="13"/>
      <c r="M44" s="18" t="s">
        <v>64</v>
      </c>
      <c r="N44" s="17" t="s">
        <v>13</v>
      </c>
      <c r="O44" s="33">
        <f>SUM(Data!B43:C43)/Data!C78*1000</f>
        <v>294.25262057168254</v>
      </c>
      <c r="P44" s="33">
        <f>Data!B78/Data!C78</f>
        <v>272.7496289738616</v>
      </c>
      <c r="Q44" s="35">
        <f t="shared" si="8"/>
        <v>0.60850743579014066</v>
      </c>
      <c r="R44" s="36">
        <f t="shared" si="9"/>
        <v>0.71811762379341171</v>
      </c>
      <c r="S44" s="37">
        <f>Data!T8-Data!I43</f>
        <v>0</v>
      </c>
      <c r="T44" s="33">
        <f>S44/Data!I43*100</f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1:37" x14ac:dyDescent="0.35">
      <c r="A45" s="18" t="s">
        <v>65</v>
      </c>
      <c r="B45" s="17" t="s">
        <v>14</v>
      </c>
      <c r="C45" s="33">
        <f t="shared" si="10"/>
        <v>93.689008428298322</v>
      </c>
      <c r="D45" s="33">
        <f>Data!B44/Data!$I44*100</f>
        <v>29.24631539341917</v>
      </c>
      <c r="E45" s="33">
        <f>Data!C44/Data!$I44*100</f>
        <v>64.442693034879156</v>
      </c>
      <c r="F45" s="34">
        <f>Data!D44/Data!$I44*100</f>
        <v>21.893140788581849</v>
      </c>
      <c r="G45" s="33">
        <f>Data!E44/Data!$I44*100</f>
        <v>0.47328630624372692</v>
      </c>
      <c r="H45" s="33">
        <f>Data!F44/Data!$I44*100</f>
        <v>1.2495273059951888</v>
      </c>
      <c r="I45" s="33">
        <f>Data!G44/Data!$I44*100</f>
        <v>4.1988860779555042</v>
      </c>
      <c r="J45" s="33">
        <f>Data!H44/Data!$I44*100</f>
        <v>0.3892918815072387</v>
      </c>
      <c r="K45" s="33">
        <f>Data!I44/Data!$I44*100</f>
        <v>100</v>
      </c>
      <c r="L45" s="13"/>
      <c r="M45" s="18" t="s">
        <v>65</v>
      </c>
      <c r="N45" s="17" t="s">
        <v>14</v>
      </c>
      <c r="O45" s="33">
        <f>SUM(Data!B44:C44)/Data!C79*1000</f>
        <v>434.01474735200043</v>
      </c>
      <c r="P45" s="33">
        <f>Data!B79/Data!C79</f>
        <v>382.33111917578333</v>
      </c>
      <c r="Q45" s="35">
        <f t="shared" si="8"/>
        <v>0.89753219697132358</v>
      </c>
      <c r="R45" s="36">
        <f t="shared" si="9"/>
        <v>1.0066327710058993</v>
      </c>
      <c r="S45" s="37">
        <f>Data!T9-Data!I44</f>
        <v>0</v>
      </c>
      <c r="T45" s="33">
        <f>S45/Data!I44*100</f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 x14ac:dyDescent="0.35">
      <c r="A46" s="21" t="s">
        <v>66</v>
      </c>
      <c r="B46" s="22" t="s">
        <v>15</v>
      </c>
      <c r="C46" s="38">
        <f t="shared" si="10"/>
        <v>89.502337347921411</v>
      </c>
      <c r="D46" s="38">
        <f>Data!B45/Data!$I45*100</f>
        <v>19.44703598100628</v>
      </c>
      <c r="E46" s="38">
        <f>Data!C45/Data!$I45*100</f>
        <v>70.055301366915131</v>
      </c>
      <c r="F46" s="39">
        <f>Data!D45/Data!$I45*100</f>
        <v>13.301621797704374</v>
      </c>
      <c r="G46" s="38">
        <f>Data!E45/Data!$I45*100</f>
        <v>2.0156932549081699</v>
      </c>
      <c r="H46" s="38">
        <f>Data!F45/Data!$I45*100</f>
        <v>2.9714080628704558</v>
      </c>
      <c r="I46" s="38">
        <f>Data!G45/Data!$I45*100</f>
        <v>4.6893252969448866</v>
      </c>
      <c r="J46" s="38">
        <f>Data!H45/Data!$I45*100</f>
        <v>0.82123603735508244</v>
      </c>
      <c r="K46" s="38">
        <f>Data!I45/Data!$I45*100</f>
        <v>100</v>
      </c>
      <c r="L46" s="13"/>
      <c r="M46" s="21" t="s">
        <v>66</v>
      </c>
      <c r="N46" s="22" t="s">
        <v>15</v>
      </c>
      <c r="O46" s="38">
        <f>SUM(Data!B45:C45)/Data!C80*1000</f>
        <v>869.30017168961524</v>
      </c>
      <c r="P46" s="38">
        <f>Data!B80/Data!C80</f>
        <v>676.42394890334606</v>
      </c>
      <c r="Q46" s="40">
        <f t="shared" si="8"/>
        <v>1.7976921237916847</v>
      </c>
      <c r="R46" s="41">
        <f t="shared" si="9"/>
        <v>1.780944526637571</v>
      </c>
      <c r="S46" s="42">
        <f>Data!T10-Data!I45</f>
        <v>0</v>
      </c>
      <c r="T46" s="38">
        <f>S46/Data!I45*100</f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 x14ac:dyDescent="0.35">
      <c r="A47" s="18" t="s">
        <v>67</v>
      </c>
      <c r="B47" s="17" t="s">
        <v>16</v>
      </c>
      <c r="C47" s="33">
        <f t="shared" si="10"/>
        <v>99.152964753186183</v>
      </c>
      <c r="D47" s="33">
        <f>Data!B46/Data!$I46*100</f>
        <v>16.485923488388408</v>
      </c>
      <c r="E47" s="33">
        <f>Data!C46/Data!$I46*100</f>
        <v>82.667041264797774</v>
      </c>
      <c r="F47" s="34">
        <f>Data!D46/Data!$I46*100</f>
        <v>0</v>
      </c>
      <c r="G47" s="33">
        <f>Data!E46/Data!$I46*100</f>
        <v>0</v>
      </c>
      <c r="H47" s="33">
        <f>Data!F46/Data!$I46*100</f>
        <v>0</v>
      </c>
      <c r="I47" s="33">
        <f>Data!G46/Data!$I46*100</f>
        <v>0.35379699249141822</v>
      </c>
      <c r="J47" s="33">
        <f>Data!H46/Data!$I46*100</f>
        <v>0.49323825432235752</v>
      </c>
      <c r="K47" s="33">
        <f>Data!I46/Data!$I46*100</f>
        <v>100</v>
      </c>
      <c r="L47" s="13"/>
      <c r="M47" s="18" t="s">
        <v>67</v>
      </c>
      <c r="N47" s="17" t="s">
        <v>16</v>
      </c>
      <c r="O47" s="33">
        <f>SUM(Data!B46:C46)/Data!C81*1000</f>
        <v>93.748848753357962</v>
      </c>
      <c r="P47" s="33">
        <f>Data!B81/Data!C81</f>
        <v>111.40166689948958</v>
      </c>
      <c r="Q47" s="35">
        <f t="shared" si="8"/>
        <v>0.19387039426310376</v>
      </c>
      <c r="R47" s="36">
        <f t="shared" si="9"/>
        <v>0.29330745791098112</v>
      </c>
      <c r="S47" s="37">
        <f>Data!T11-Data!I46</f>
        <v>0</v>
      </c>
      <c r="T47" s="33">
        <f>S47/Data!I46*100</f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 x14ac:dyDescent="0.35">
      <c r="A48" s="18" t="s">
        <v>68</v>
      </c>
      <c r="B48" s="17" t="s">
        <v>17</v>
      </c>
      <c r="C48" s="33">
        <f t="shared" si="10"/>
        <v>95.131436499045208</v>
      </c>
      <c r="D48" s="33">
        <f>Data!B47/Data!$I47*100</f>
        <v>8.7932867779929946</v>
      </c>
      <c r="E48" s="33">
        <f>Data!C47/Data!$I47*100</f>
        <v>86.338149721052218</v>
      </c>
      <c r="F48" s="34">
        <f>Data!D47/Data!$I47*100</f>
        <v>7.4513573311754039E-2</v>
      </c>
      <c r="G48" s="33">
        <f>Data!E47/Data!$I47*100</f>
        <v>0.7440055246760453</v>
      </c>
      <c r="H48" s="33">
        <f>Data!F47/Data!$I47*100</f>
        <v>2.713584090580011</v>
      </c>
      <c r="I48" s="33">
        <f>Data!G47/Data!$I47*100</f>
        <v>1.4109738856987222</v>
      </c>
      <c r="J48" s="33">
        <f>Data!H47/Data!$I47*100</f>
        <v>0</v>
      </c>
      <c r="K48" s="33">
        <f>Data!I47/Data!$I47*100</f>
        <v>100</v>
      </c>
      <c r="L48" s="13"/>
      <c r="M48" s="18" t="s">
        <v>68</v>
      </c>
      <c r="N48" s="17" t="s">
        <v>17</v>
      </c>
      <c r="O48" s="33">
        <f>SUM(Data!B47:C47)/Data!C82*1000</f>
        <v>124.95224953596168</v>
      </c>
      <c r="P48" s="33">
        <f>Data!B82/Data!C82</f>
        <v>117.60189508564905</v>
      </c>
      <c r="Q48" s="35">
        <f t="shared" si="8"/>
        <v>0.25839828652542174</v>
      </c>
      <c r="R48" s="36">
        <f t="shared" si="9"/>
        <v>0.30963192789751398</v>
      </c>
      <c r="S48" s="37">
        <f>Data!T12-Data!I47</f>
        <v>0</v>
      </c>
      <c r="T48" s="33">
        <f>S48/Data!I47*100</f>
        <v>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 x14ac:dyDescent="0.35">
      <c r="A49" s="18" t="s">
        <v>69</v>
      </c>
      <c r="B49" s="17" t="s">
        <v>18</v>
      </c>
      <c r="C49" s="33">
        <f t="shared" si="10"/>
        <v>90.177287364795745</v>
      </c>
      <c r="D49" s="33">
        <f>Data!B48/Data!$I48*100</f>
        <v>5.4312934558910086</v>
      </c>
      <c r="E49" s="33">
        <f>Data!C48/Data!$I48*100</f>
        <v>84.745993908904737</v>
      </c>
      <c r="F49" s="34">
        <f>Data!D48/Data!$I48*100</f>
        <v>4.8263975280171741E-2</v>
      </c>
      <c r="G49" s="33">
        <f>Data!E48/Data!$I48*100</f>
        <v>0.39134096665806617</v>
      </c>
      <c r="H49" s="33">
        <f>Data!F48/Data!$I48*100</f>
        <v>4.5526127932796552</v>
      </c>
      <c r="I49" s="33">
        <f>Data!G48/Data!$I48*100</f>
        <v>3.9408419419620975</v>
      </c>
      <c r="J49" s="33">
        <f>Data!H48/Data!$I48*100</f>
        <v>0.93791693330443571</v>
      </c>
      <c r="K49" s="33">
        <f>Data!I48/Data!$I48*100</f>
        <v>100</v>
      </c>
      <c r="L49" s="13"/>
      <c r="M49" s="18" t="s">
        <v>69</v>
      </c>
      <c r="N49" s="17" t="s">
        <v>18</v>
      </c>
      <c r="O49" s="33">
        <f>SUM(Data!B48:C48)/Data!C83*1000</f>
        <v>220.02572189928736</v>
      </c>
      <c r="P49" s="33">
        <f>Data!B83/Data!C83</f>
        <v>220.38699197544517</v>
      </c>
      <c r="Q49" s="35">
        <f t="shared" si="8"/>
        <v>0.45500797097640056</v>
      </c>
      <c r="R49" s="36">
        <f t="shared" si="9"/>
        <v>0.58025297261743025</v>
      </c>
      <c r="S49" s="37">
        <f>Data!T13-Data!I48</f>
        <v>0</v>
      </c>
      <c r="T49" s="33">
        <f>S49/Data!I48*100</f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 x14ac:dyDescent="0.35">
      <c r="A50" s="18" t="s">
        <v>70</v>
      </c>
      <c r="B50" s="17" t="s">
        <v>19</v>
      </c>
      <c r="C50" s="33">
        <f t="shared" si="10"/>
        <v>84.719344021291178</v>
      </c>
      <c r="D50" s="33">
        <f>Data!B49/Data!$I49*100</f>
        <v>2.8482185957001791</v>
      </c>
      <c r="E50" s="33">
        <f>Data!C49/Data!$I49*100</f>
        <v>81.871125425591003</v>
      </c>
      <c r="F50" s="34">
        <f>Data!D49/Data!$I49*100</f>
        <v>0.36296239015063914</v>
      </c>
      <c r="G50" s="33">
        <f>Data!E49/Data!$I49*100</f>
        <v>3.0551765262038022</v>
      </c>
      <c r="H50" s="33">
        <f>Data!F49/Data!$I49*100</f>
        <v>4.6543568150198489</v>
      </c>
      <c r="I50" s="33">
        <f>Data!G49/Data!$I49*100</f>
        <v>7.2880186515884988</v>
      </c>
      <c r="J50" s="33">
        <f>Data!H49/Data!$I49*100</f>
        <v>0.28310398589663827</v>
      </c>
      <c r="K50" s="33">
        <f>Data!I49/Data!$I49*100</f>
        <v>100</v>
      </c>
      <c r="L50" s="13"/>
      <c r="M50" s="18" t="s">
        <v>70</v>
      </c>
      <c r="N50" s="17" t="s">
        <v>19</v>
      </c>
      <c r="O50" s="33">
        <f>SUM(Data!B49:C49)/Data!C84*1000</f>
        <v>379.1060142026252</v>
      </c>
      <c r="P50" s="33">
        <f>Data!B84/Data!C84</f>
        <v>321.44818352927996</v>
      </c>
      <c r="Q50" s="35">
        <f t="shared" si="8"/>
        <v>0.78398223997757821</v>
      </c>
      <c r="R50" s="36">
        <f t="shared" si="9"/>
        <v>0.84633517778635325</v>
      </c>
      <c r="S50" s="37">
        <f>Data!T14-Data!I49</f>
        <v>0</v>
      </c>
      <c r="T50" s="33">
        <f>S50/Data!I49*100</f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x14ac:dyDescent="0.35">
      <c r="A51" s="21" t="s">
        <v>71</v>
      </c>
      <c r="B51" s="22" t="s">
        <v>20</v>
      </c>
      <c r="C51" s="38">
        <f t="shared" si="10"/>
        <v>83.598990154015681</v>
      </c>
      <c r="D51" s="38">
        <f>Data!B50/Data!$I50*100</f>
        <v>0.1467508521924305</v>
      </c>
      <c r="E51" s="38">
        <f>Data!C50/Data!$I50*100</f>
        <v>83.452239301823255</v>
      </c>
      <c r="F51" s="39">
        <f>Data!D50/Data!$I50*100</f>
        <v>3.9778326004770524E-3</v>
      </c>
      <c r="G51" s="38">
        <f>Data!E50/Data!$I50*100</f>
        <v>3.8979613212396069</v>
      </c>
      <c r="H51" s="38">
        <f>Data!F50/Data!$I50*100</f>
        <v>6.3927241416472755</v>
      </c>
      <c r="I51" s="38">
        <f>Data!G50/Data!$I50*100</f>
        <v>5.7901431081520212</v>
      </c>
      <c r="J51" s="38">
        <f>Data!H50/Data!$I50*100</f>
        <v>0.320181274945394</v>
      </c>
      <c r="K51" s="38">
        <f>Data!I50/Data!$I50*100</f>
        <v>100</v>
      </c>
      <c r="L51" s="13"/>
      <c r="M51" s="21" t="s">
        <v>71</v>
      </c>
      <c r="N51" s="22" t="s">
        <v>20</v>
      </c>
      <c r="O51" s="38">
        <f>SUM(Data!B50:C50)/Data!C85*1000</f>
        <v>1683.7223438674562</v>
      </c>
      <c r="P51" s="38">
        <f>Data!B85/Data!C85</f>
        <v>921.79514768910883</v>
      </c>
      <c r="Q51" s="40">
        <f t="shared" si="8"/>
        <v>3.4818978470227755</v>
      </c>
      <c r="R51" s="41">
        <f t="shared" si="9"/>
        <v>2.4269779708709969</v>
      </c>
      <c r="S51" s="42">
        <f>Data!T15-Data!I50</f>
        <v>0</v>
      </c>
      <c r="T51" s="38">
        <f>S51/Data!I50*100</f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 x14ac:dyDescent="0.35">
      <c r="A52" s="18" t="s">
        <v>72</v>
      </c>
      <c r="B52" s="17" t="s">
        <v>21</v>
      </c>
      <c r="C52" s="33">
        <f t="shared" si="10"/>
        <v>94.077621940656755</v>
      </c>
      <c r="D52" s="33">
        <f>Data!B51/Data!$I51*100</f>
        <v>22.002866508582077</v>
      </c>
      <c r="E52" s="33">
        <f>Data!C51/Data!$I51*100</f>
        <v>72.074755432074681</v>
      </c>
      <c r="F52" s="34">
        <f>Data!D51/Data!$I51*100</f>
        <v>3.9958004446153867</v>
      </c>
      <c r="G52" s="33">
        <f>Data!E51/Data!$I51*100</f>
        <v>0.45353299669854658</v>
      </c>
      <c r="H52" s="33">
        <f>Data!F51/Data!$I51*100</f>
        <v>1.6544250788600265</v>
      </c>
      <c r="I52" s="33">
        <f>Data!G51/Data!$I51*100</f>
        <v>3.5861747475579122</v>
      </c>
      <c r="J52" s="33">
        <f>Data!H51/Data!$I51*100</f>
        <v>0.22824523622672882</v>
      </c>
      <c r="K52" s="33">
        <f>Data!I51/Data!$I51*100</f>
        <v>100</v>
      </c>
      <c r="L52" s="13"/>
      <c r="M52" s="18" t="s">
        <v>72</v>
      </c>
      <c r="N52" s="17" t="s">
        <v>21</v>
      </c>
      <c r="O52" s="33">
        <f>SUM(Data!B51:C51)/Data!C86*1000</f>
        <v>159.05821629452936</v>
      </c>
      <c r="P52" s="33">
        <f>Data!B86/Data!C86</f>
        <v>129.89196422258576</v>
      </c>
      <c r="Q52" s="35">
        <f t="shared" si="8"/>
        <v>0.3289286163388957</v>
      </c>
      <c r="R52" s="36">
        <f t="shared" si="9"/>
        <v>0.34199023129128148</v>
      </c>
      <c r="S52" s="37">
        <f>Data!T16-Data!I51</f>
        <v>0</v>
      </c>
      <c r="T52" s="33">
        <f>S52/Data!I51*100</f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1:37" x14ac:dyDescent="0.35">
      <c r="A53" s="18" t="s">
        <v>73</v>
      </c>
      <c r="B53" s="17" t="s">
        <v>22</v>
      </c>
      <c r="C53" s="33">
        <f t="shared" si="10"/>
        <v>94.243576173625257</v>
      </c>
      <c r="D53" s="33">
        <f>Data!B52/Data!$I52*100</f>
        <v>20.868717289894029</v>
      </c>
      <c r="E53" s="33">
        <f>Data!C52/Data!$I52*100</f>
        <v>73.374858883731235</v>
      </c>
      <c r="F53" s="34">
        <f>Data!D52/Data!$I52*100</f>
        <v>6.88579182197679</v>
      </c>
      <c r="G53" s="33">
        <f>Data!E52/Data!$I52*100</f>
        <v>0.33587799331321566</v>
      </c>
      <c r="H53" s="33">
        <f>Data!F52/Data!$I52*100</f>
        <v>1.8756183569936122</v>
      </c>
      <c r="I53" s="33">
        <f>Data!G52/Data!$I52*100</f>
        <v>3.199182212485125</v>
      </c>
      <c r="J53" s="33">
        <f>Data!H52/Data!$I52*100</f>
        <v>0.34574526358281754</v>
      </c>
      <c r="K53" s="33">
        <f>Data!I52/Data!$I52*100</f>
        <v>100</v>
      </c>
      <c r="L53" s="13"/>
      <c r="M53" s="18" t="s">
        <v>73</v>
      </c>
      <c r="N53" s="17" t="s">
        <v>22</v>
      </c>
      <c r="O53" s="33">
        <f>SUM(Data!B52:C52)/Data!C87*1000</f>
        <v>215.6135225404401</v>
      </c>
      <c r="P53" s="33">
        <f>Data!B87/Data!C87</f>
        <v>208.46983743384655</v>
      </c>
      <c r="Q53" s="35">
        <f t="shared" si="8"/>
        <v>0.44588364741785136</v>
      </c>
      <c r="R53" s="36">
        <f t="shared" si="9"/>
        <v>0.5488765093973399</v>
      </c>
      <c r="S53" s="37">
        <f>Data!T17-Data!I52</f>
        <v>0</v>
      </c>
      <c r="T53" s="33">
        <f>S53/Data!I52*100</f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1:37" x14ac:dyDescent="0.35">
      <c r="A54" s="18" t="s">
        <v>74</v>
      </c>
      <c r="B54" s="17" t="s">
        <v>23</v>
      </c>
      <c r="C54" s="33">
        <f t="shared" si="10"/>
        <v>94.245213199200705</v>
      </c>
      <c r="D54" s="33">
        <f>Data!B53/Data!$I53*100</f>
        <v>16.396242139822846</v>
      </c>
      <c r="E54" s="33">
        <f>Data!C53/Data!$I53*100</f>
        <v>77.84897105937786</v>
      </c>
      <c r="F54" s="34">
        <f>Data!D53/Data!$I53*100</f>
        <v>7.5699794589037097</v>
      </c>
      <c r="G54" s="33">
        <f>Data!E53/Data!$I53*100</f>
        <v>0.34350431869785747</v>
      </c>
      <c r="H54" s="33">
        <f>Data!F53/Data!$I53*100</f>
        <v>2.9523784582142407</v>
      </c>
      <c r="I54" s="33">
        <f>Data!G53/Data!$I53*100</f>
        <v>2.2539862856216826</v>
      </c>
      <c r="J54" s="33">
        <f>Data!H53/Data!$I53*100</f>
        <v>0.20491773826556303</v>
      </c>
      <c r="K54" s="33">
        <f>Data!I53/Data!$I53*100</f>
        <v>100</v>
      </c>
      <c r="L54" s="13"/>
      <c r="M54" s="18" t="s">
        <v>74</v>
      </c>
      <c r="N54" s="17" t="s">
        <v>23</v>
      </c>
      <c r="O54" s="33">
        <f>SUM(Data!B53:C53)/Data!C88*1000</f>
        <v>350.59782132009991</v>
      </c>
      <c r="P54" s="33">
        <f>Data!B88/Data!C88</f>
        <v>283.88910739633343</v>
      </c>
      <c r="Q54" s="35">
        <f t="shared" si="8"/>
        <v>0.72502797368675276</v>
      </c>
      <c r="R54" s="36">
        <f t="shared" si="9"/>
        <v>0.74744655745736943</v>
      </c>
      <c r="S54" s="37">
        <f>Data!T18-Data!I53</f>
        <v>0</v>
      </c>
      <c r="T54" s="33">
        <f>S54/Data!I53*100</f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1:37" x14ac:dyDescent="0.35">
      <c r="A55" s="18" t="s">
        <v>75</v>
      </c>
      <c r="B55" s="17" t="s">
        <v>24</v>
      </c>
      <c r="C55" s="33">
        <f t="shared" si="10"/>
        <v>88.222018291617786</v>
      </c>
      <c r="D55" s="33">
        <f>Data!B54/Data!$I54*100</f>
        <v>11.401231913796577</v>
      </c>
      <c r="E55" s="33">
        <f>Data!C54/Data!$I54*100</f>
        <v>76.820786377821207</v>
      </c>
      <c r="F55" s="34">
        <f>Data!D54/Data!$I54*100</f>
        <v>4.4312805457298428</v>
      </c>
      <c r="G55" s="33">
        <f>Data!E54/Data!$I54*100</f>
        <v>1.2664929738787649</v>
      </c>
      <c r="H55" s="33">
        <f>Data!F54/Data!$I54*100</f>
        <v>7.0499879920128423</v>
      </c>
      <c r="I55" s="33">
        <f>Data!G54/Data!$I54*100</f>
        <v>3.1558842518607468</v>
      </c>
      <c r="J55" s="33">
        <f>Data!H54/Data!$I54*100</f>
        <v>0.30561649062986079</v>
      </c>
      <c r="K55" s="33">
        <f>Data!I54/Data!$I54*100</f>
        <v>100</v>
      </c>
      <c r="L55" s="13"/>
      <c r="M55" s="18" t="s">
        <v>75</v>
      </c>
      <c r="N55" s="17" t="s">
        <v>24</v>
      </c>
      <c r="O55" s="33">
        <f>SUM(Data!B54:C54)/Data!C89*1000</f>
        <v>486.53462108762386</v>
      </c>
      <c r="P55" s="33">
        <f>Data!B89/Data!C89</f>
        <v>414.94552328673473</v>
      </c>
      <c r="Q55" s="35">
        <f t="shared" si="8"/>
        <v>1.0061420493926743</v>
      </c>
      <c r="R55" s="36">
        <f t="shared" si="9"/>
        <v>1.0925026527348274</v>
      </c>
      <c r="S55" s="37">
        <f>Data!T19-Data!I54</f>
        <v>0</v>
      </c>
      <c r="T55" s="33">
        <f>S55/Data!I54*100</f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x14ac:dyDescent="0.35">
      <c r="A56" s="21" t="s">
        <v>76</v>
      </c>
      <c r="B56" s="22" t="s">
        <v>25</v>
      </c>
      <c r="C56" s="38">
        <f t="shared" si="10"/>
        <v>73.823676457713873</v>
      </c>
      <c r="D56" s="38">
        <f>Data!B55/Data!$I55*100</f>
        <v>6.7928059524470896</v>
      </c>
      <c r="E56" s="38">
        <f>Data!C55/Data!$I55*100</f>
        <v>67.030870505266776</v>
      </c>
      <c r="F56" s="39">
        <f>Data!D55/Data!$I55*100</f>
        <v>1.3205576577684448</v>
      </c>
      <c r="G56" s="38">
        <f>Data!E55/Data!$I55*100</f>
        <v>5.028180037564665</v>
      </c>
      <c r="H56" s="38">
        <f>Data!F55/Data!$I55*100</f>
        <v>7.2614333671387534</v>
      </c>
      <c r="I56" s="38">
        <f>Data!G55/Data!$I55*100</f>
        <v>13.480003844525577</v>
      </c>
      <c r="J56" s="38">
        <f>Data!H55/Data!$I55*100</f>
        <v>0.40670629305716827</v>
      </c>
      <c r="K56" s="38">
        <f>Data!I55/Data!$I55*100</f>
        <v>100</v>
      </c>
      <c r="L56" s="13"/>
      <c r="M56" s="21" t="s">
        <v>76</v>
      </c>
      <c r="N56" s="22" t="s">
        <v>25</v>
      </c>
      <c r="O56" s="38">
        <f>SUM(Data!B55:C55)/Data!C90*1000</f>
        <v>1462.1565011522359</v>
      </c>
      <c r="P56" s="38">
        <f>Data!B90/Data!C90</f>
        <v>917.34407716728958</v>
      </c>
      <c r="Q56" s="40">
        <f t="shared" si="8"/>
        <v>3.0237049427509994</v>
      </c>
      <c r="R56" s="41">
        <f t="shared" si="9"/>
        <v>2.4152588268395596</v>
      </c>
      <c r="S56" s="42">
        <f>Data!T20-Data!I55</f>
        <v>0</v>
      </c>
      <c r="T56" s="38">
        <f>S56/Data!I55*100</f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x14ac:dyDescent="0.35">
      <c r="A57" s="18" t="s">
        <v>121</v>
      </c>
      <c r="B57" s="17" t="s">
        <v>108</v>
      </c>
      <c r="C57" s="33">
        <f t="shared" si="10"/>
        <v>97.534264215582198</v>
      </c>
      <c r="D57" s="33">
        <f>Data!B56/Data!$I56*100</f>
        <v>16.523752510084783</v>
      </c>
      <c r="E57" s="33">
        <f>Data!C56/Data!$I56*100</f>
        <v>81.010511705497407</v>
      </c>
      <c r="F57" s="34">
        <f>Data!D56/Data!$I56*100</f>
        <v>5.2915239783490753</v>
      </c>
      <c r="G57" s="33">
        <f>Data!E56/Data!$I56*100</f>
        <v>0</v>
      </c>
      <c r="H57" s="33">
        <f>Data!F56/Data!$I56*100</f>
        <v>0</v>
      </c>
      <c r="I57" s="33">
        <f>Data!G56/Data!$I56*100</f>
        <v>2.0056779586659355</v>
      </c>
      <c r="J57" s="33">
        <f>Data!H56/Data!$I56*100</f>
        <v>0.46005782575187659</v>
      </c>
      <c r="K57" s="33">
        <f>Data!I56/Data!$I56*100</f>
        <v>100</v>
      </c>
      <c r="L57" s="13"/>
      <c r="M57" s="18" t="s">
        <v>121</v>
      </c>
      <c r="N57" s="17" t="s">
        <v>108</v>
      </c>
      <c r="O57" s="33">
        <f>SUM(Data!B56:C56)/Data!C91*1000</f>
        <v>127.0142238764427</v>
      </c>
      <c r="P57" s="33">
        <f>Data!B91/Data!C91</f>
        <v>114.60406176080865</v>
      </c>
      <c r="Q57" s="35">
        <f t="shared" si="8"/>
        <v>0.26266240052431644</v>
      </c>
      <c r="R57" s="36">
        <f t="shared" si="9"/>
        <v>0.30173898611107658</v>
      </c>
      <c r="S57" s="37">
        <f>Data!T21-Data!I56</f>
        <v>0</v>
      </c>
      <c r="T57" s="33">
        <f>S57/Data!I56*100</f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1:37" x14ac:dyDescent="0.35">
      <c r="A58" s="18" t="s">
        <v>122</v>
      </c>
      <c r="B58" s="17" t="s">
        <v>109</v>
      </c>
      <c r="C58" s="33">
        <f t="shared" si="10"/>
        <v>88.430778790988356</v>
      </c>
      <c r="D58" s="33">
        <f>Data!B57/Data!$I57*100</f>
        <v>7.9881870637831076</v>
      </c>
      <c r="E58" s="33">
        <f>Data!C57/Data!$I57*100</f>
        <v>80.442591727205254</v>
      </c>
      <c r="F58" s="34">
        <f>Data!D57/Data!$I57*100</f>
        <v>4.65247162496218</v>
      </c>
      <c r="G58" s="33">
        <f>Data!E57/Data!$I57*100</f>
        <v>1.5529877516392316</v>
      </c>
      <c r="H58" s="33">
        <f>Data!F57/Data!$I57*100</f>
        <v>4.8327023572276033</v>
      </c>
      <c r="I58" s="33">
        <f>Data!G57/Data!$I57*100</f>
        <v>4.9314046634188289</v>
      </c>
      <c r="J58" s="33">
        <f>Data!H57/Data!$I57*100</f>
        <v>0.25212643672593937</v>
      </c>
      <c r="K58" s="33">
        <f>Data!I57/Data!$I57*100</f>
        <v>100</v>
      </c>
      <c r="L58" s="13"/>
      <c r="M58" s="18" t="s">
        <v>122</v>
      </c>
      <c r="N58" s="17" t="s">
        <v>109</v>
      </c>
      <c r="O58" s="33">
        <f>SUM(Data!B57:C57)/Data!C92*1000</f>
        <v>197.45595603250004</v>
      </c>
      <c r="P58" s="33">
        <f>Data!B92/Data!C92</f>
        <v>166.55251230980045</v>
      </c>
      <c r="Q58" s="35">
        <f t="shared" si="8"/>
        <v>0.40833423081632986</v>
      </c>
      <c r="R58" s="36">
        <f t="shared" si="9"/>
        <v>0.43851313318632923</v>
      </c>
      <c r="S58" s="37">
        <f>Data!T22-Data!I57</f>
        <v>0</v>
      </c>
      <c r="T58" s="33">
        <f>S58/Data!I57*100</f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1:37" x14ac:dyDescent="0.35">
      <c r="A59" s="18" t="s">
        <v>123</v>
      </c>
      <c r="B59" s="17" t="s">
        <v>110</v>
      </c>
      <c r="C59" s="33">
        <f t="shared" si="10"/>
        <v>92.454290403660011</v>
      </c>
      <c r="D59" s="33">
        <f>Data!B58/Data!$I58*100</f>
        <v>8.9218489080936383</v>
      </c>
      <c r="E59" s="33">
        <f>Data!C58/Data!$I58*100</f>
        <v>83.532441495566374</v>
      </c>
      <c r="F59" s="34">
        <f>Data!D58/Data!$I58*100</f>
        <v>5.4517939631257626</v>
      </c>
      <c r="G59" s="33">
        <f>Data!E58/Data!$I58*100</f>
        <v>0.72544977249687581</v>
      </c>
      <c r="H59" s="33">
        <f>Data!F58/Data!$I58*100</f>
        <v>3.0646578274887255</v>
      </c>
      <c r="I59" s="33">
        <f>Data!G58/Data!$I58*100</f>
        <v>3.5783743942830086</v>
      </c>
      <c r="J59" s="33">
        <f>Data!H58/Data!$I58*100</f>
        <v>0.1772276020713775</v>
      </c>
      <c r="K59" s="33">
        <f>Data!I58/Data!$I58*100</f>
        <v>100</v>
      </c>
      <c r="L59" s="13"/>
      <c r="M59" s="18" t="s">
        <v>123</v>
      </c>
      <c r="N59" s="17" t="s">
        <v>110</v>
      </c>
      <c r="O59" s="33">
        <f>SUM(Data!B58:C58)/Data!C93*1000</f>
        <v>276.69732577167031</v>
      </c>
      <c r="P59" s="33">
        <f>Data!B93/Data!C93</f>
        <v>225.59727709044265</v>
      </c>
      <c r="Q59" s="35">
        <f t="shared" si="8"/>
        <v>0.57220350278678755</v>
      </c>
      <c r="R59" s="36">
        <f t="shared" si="9"/>
        <v>0.59397103918325778</v>
      </c>
      <c r="S59" s="37">
        <f>Data!T23-Data!I58</f>
        <v>0</v>
      </c>
      <c r="T59" s="33">
        <f>S59/Data!I58*100</f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1:37" x14ac:dyDescent="0.35">
      <c r="A60" s="18" t="s">
        <v>124</v>
      </c>
      <c r="B60" s="17" t="s">
        <v>111</v>
      </c>
      <c r="C60" s="33">
        <f t="shared" si="10"/>
        <v>83.966090736759611</v>
      </c>
      <c r="D60" s="33">
        <f>Data!B59/Data!$I59*100</f>
        <v>5.7813728243220694</v>
      </c>
      <c r="E60" s="33">
        <f>Data!C59/Data!$I59*100</f>
        <v>78.184717912437534</v>
      </c>
      <c r="F60" s="34">
        <f>Data!D59/Data!$I59*100</f>
        <v>3.6947978978354743</v>
      </c>
      <c r="G60" s="33">
        <f>Data!E59/Data!$I59*100</f>
        <v>1.1254899684546218</v>
      </c>
      <c r="H60" s="33">
        <f>Data!F59/Data!$I59*100</f>
        <v>3.2139621676071171</v>
      </c>
      <c r="I60" s="33">
        <f>Data!G59/Data!$I59*100</f>
        <v>11.563290693021312</v>
      </c>
      <c r="J60" s="33">
        <f>Data!H59/Data!$I59*100</f>
        <v>0.13116643415736332</v>
      </c>
      <c r="K60" s="33">
        <f>Data!I59/Data!$I59*100</f>
        <v>100</v>
      </c>
      <c r="L60" s="13"/>
      <c r="M60" s="18" t="s">
        <v>124</v>
      </c>
      <c r="N60" s="17" t="s">
        <v>111</v>
      </c>
      <c r="O60" s="33">
        <f>SUM(Data!B59:C59)/Data!C94*1000</f>
        <v>391.90198910239798</v>
      </c>
      <c r="P60" s="33">
        <f>Data!B94/Data!C94</f>
        <v>333.48575093990286</v>
      </c>
      <c r="Q60" s="35">
        <f t="shared" si="8"/>
        <v>0.81044401238105923</v>
      </c>
      <c r="R60" s="36">
        <f t="shared" si="9"/>
        <v>0.87802867389738903</v>
      </c>
      <c r="S60" s="37">
        <f>Data!T24-Data!I59</f>
        <v>0</v>
      </c>
      <c r="T60" s="33">
        <f>S60/Data!I59*100</f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x14ac:dyDescent="0.35">
      <c r="A61" s="21" t="s">
        <v>125</v>
      </c>
      <c r="B61" s="22" t="s">
        <v>112</v>
      </c>
      <c r="C61" s="38">
        <f t="shared" si="10"/>
        <v>68.400134817448517</v>
      </c>
      <c r="D61" s="38">
        <f>Data!B60/Data!$I60*100</f>
        <v>0.54447762590386395</v>
      </c>
      <c r="E61" s="38">
        <f>Data!C60/Data!$I60*100</f>
        <v>67.855657191544651</v>
      </c>
      <c r="F61" s="39">
        <f>Data!D60/Data!$I60*100</f>
        <v>0.42810360624485194</v>
      </c>
      <c r="G61" s="38">
        <f>Data!E60/Data!$I60*100</f>
        <v>5.2254219280437413</v>
      </c>
      <c r="H61" s="38">
        <f>Data!F60/Data!$I60*100</f>
        <v>8.0701161833597119</v>
      </c>
      <c r="I61" s="38">
        <f>Data!G60/Data!$I60*100</f>
        <v>17.133546029618653</v>
      </c>
      <c r="J61" s="38">
        <f>Data!H60/Data!$I60*100</f>
        <v>1.1707810415293813</v>
      </c>
      <c r="K61" s="38">
        <f>Data!I60/Data!$I60*100</f>
        <v>100</v>
      </c>
      <c r="L61" s="13"/>
      <c r="M61" s="21" t="s">
        <v>125</v>
      </c>
      <c r="N61" s="22" t="s">
        <v>112</v>
      </c>
      <c r="O61" s="38">
        <f>SUM(Data!B60:C60)/Data!C95*1000</f>
        <v>1692.0089689263166</v>
      </c>
      <c r="P61" s="38">
        <f>Data!B95/Data!C95</f>
        <v>1139.0589201136461</v>
      </c>
      <c r="Q61" s="40">
        <f t="shared" si="8"/>
        <v>3.4990343909764872</v>
      </c>
      <c r="R61" s="41">
        <f t="shared" si="9"/>
        <v>2.9990078745481643</v>
      </c>
      <c r="S61" s="42">
        <f>Data!T25-Data!I60</f>
        <v>0</v>
      </c>
      <c r="T61" s="38">
        <f>S61/Data!I60*100</f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1:37" x14ac:dyDescent="0.35">
      <c r="A62" s="25" t="s">
        <v>46</v>
      </c>
      <c r="B62" s="13" t="s">
        <v>46</v>
      </c>
      <c r="C62" s="34">
        <f t="shared" si="10"/>
        <v>93.432107705456303</v>
      </c>
      <c r="D62" s="34">
        <f>Data!B61/Data!$I61*100</f>
        <v>28.00454023522348</v>
      </c>
      <c r="E62" s="34">
        <f>Data!C61/Data!$I61*100</f>
        <v>65.427567470232816</v>
      </c>
      <c r="F62" s="34">
        <f>Data!D61/Data!$I61*100</f>
        <v>19.161172370365858</v>
      </c>
      <c r="G62" s="34">
        <f>Data!E61/Data!$I61*100</f>
        <v>0.81018860641758739</v>
      </c>
      <c r="H62" s="34">
        <f>Data!F61/Data!$I61*100</f>
        <v>1.4278438589453082</v>
      </c>
      <c r="I62" s="34">
        <f>Data!G61/Data!$I61*100</f>
        <v>3.8376089849970962</v>
      </c>
      <c r="J62" s="34">
        <f>Data!H61/Data!$I61*100</f>
        <v>0.49225084418372506</v>
      </c>
      <c r="K62" s="34">
        <f>Data!I61/Data!$I61*100</f>
        <v>100</v>
      </c>
      <c r="L62" s="13"/>
      <c r="M62" s="25" t="s">
        <v>46</v>
      </c>
      <c r="N62" s="13" t="s">
        <v>46</v>
      </c>
      <c r="O62" s="34">
        <f>SUM(Data!B61:C61)/Data!C96*1000</f>
        <v>333.51881707874514</v>
      </c>
      <c r="P62" s="34">
        <f>Data!B96/Data!C96</f>
        <v>291.17854867791408</v>
      </c>
      <c r="Q62" s="43">
        <f t="shared" si="8"/>
        <v>0.68970899825481102</v>
      </c>
      <c r="R62" s="44">
        <f t="shared" si="9"/>
        <v>0.76663879713741656</v>
      </c>
      <c r="S62" s="45">
        <f>Data!T26-Data!I61</f>
        <v>0</v>
      </c>
      <c r="T62" s="34">
        <f>S62/Data!I61*100</f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1:37" x14ac:dyDescent="0.35">
      <c r="A63" s="25" t="s">
        <v>47</v>
      </c>
      <c r="B63" s="13" t="s">
        <v>47</v>
      </c>
      <c r="C63" s="34">
        <f t="shared" si="10"/>
        <v>84.082771268786331</v>
      </c>
      <c r="D63" s="34">
        <f>Data!B62/Data!$I62*100</f>
        <v>0.71846376722069405</v>
      </c>
      <c r="E63" s="34">
        <f>Data!C62/Data!$I62*100</f>
        <v>83.364307501565634</v>
      </c>
      <c r="F63" s="34">
        <f>Data!D62/Data!$I62*100</f>
        <v>3.8984590757253607E-2</v>
      </c>
      <c r="G63" s="34">
        <f>Data!E62/Data!$I62*100</f>
        <v>3.6669765451262992</v>
      </c>
      <c r="H63" s="34">
        <f>Data!F62/Data!$I62*100</f>
        <v>6.1105637103144002</v>
      </c>
      <c r="I63" s="34">
        <f>Data!G62/Data!$I62*100</f>
        <v>5.8060360614541739</v>
      </c>
      <c r="J63" s="34">
        <f>Data!H62/Data!$I62*100</f>
        <v>0.33365241431877851</v>
      </c>
      <c r="K63" s="34">
        <f>Data!I62/Data!$I62*100</f>
        <v>100</v>
      </c>
      <c r="L63" s="13"/>
      <c r="M63" s="25" t="s">
        <v>47</v>
      </c>
      <c r="N63" s="13" t="s">
        <v>47</v>
      </c>
      <c r="O63" s="34">
        <f>SUM(Data!B62:C62)/Data!C97*1000</f>
        <v>954.75740342978042</v>
      </c>
      <c r="P63" s="34">
        <f>Data!B97/Data!C97</f>
        <v>570.91655084879733</v>
      </c>
      <c r="Q63" s="43">
        <f t="shared" si="8"/>
        <v>1.9744156508579924</v>
      </c>
      <c r="R63" s="44">
        <f t="shared" si="9"/>
        <v>1.5031559838314537</v>
      </c>
      <c r="S63" s="45">
        <f>Data!T27-Data!I62</f>
        <v>0</v>
      </c>
      <c r="T63" s="34">
        <f>S63/Data!I62*100</f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1:37" x14ac:dyDescent="0.35">
      <c r="A64" s="25" t="s">
        <v>48</v>
      </c>
      <c r="B64" s="13" t="s">
        <v>48</v>
      </c>
      <c r="C64" s="34">
        <f t="shared" si="10"/>
        <v>77.746040775613778</v>
      </c>
      <c r="D64" s="34">
        <f>Data!B63/Data!$I63*100</f>
        <v>8.7134329043394487</v>
      </c>
      <c r="E64" s="34">
        <f>Data!C63/Data!$I63*100</f>
        <v>69.032607871274323</v>
      </c>
      <c r="F64" s="34">
        <f>Data!D63/Data!$I63*100</f>
        <v>2.285725876998816</v>
      </c>
      <c r="G64" s="34">
        <f>Data!E63/Data!$I63*100</f>
        <v>4.0843144532703839</v>
      </c>
      <c r="H64" s="34">
        <f>Data!F63/Data!$I63*100</f>
        <v>6.6449320795868614</v>
      </c>
      <c r="I64" s="34">
        <f>Data!G63/Data!$I63*100</f>
        <v>11.147230051186813</v>
      </c>
      <c r="J64" s="34">
        <f>Data!H63/Data!$I63*100</f>
        <v>0.37748264034217877</v>
      </c>
      <c r="K64" s="34">
        <f>Data!I63/Data!$I63*100</f>
        <v>100</v>
      </c>
      <c r="L64" s="13"/>
      <c r="M64" s="25" t="s">
        <v>48</v>
      </c>
      <c r="N64" s="13" t="s">
        <v>48</v>
      </c>
      <c r="O64" s="34">
        <f>SUM(Data!B63:C63)/Data!C98*1000</f>
        <v>750.01929990086182</v>
      </c>
      <c r="P64" s="34">
        <f>Data!B98/Data!C98</f>
        <v>515.01988629727521</v>
      </c>
      <c r="Q64" s="43">
        <f t="shared" si="8"/>
        <v>1.5510221118476282</v>
      </c>
      <c r="R64" s="44">
        <f t="shared" si="9"/>
        <v>1.3559866546678079</v>
      </c>
      <c r="S64" s="45">
        <f>Data!T28-Data!I63</f>
        <v>0</v>
      </c>
      <c r="T64" s="34">
        <f>S64/Data!I63*100</f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x14ac:dyDescent="0.35">
      <c r="A65" s="26" t="s">
        <v>120</v>
      </c>
      <c r="B65" s="27" t="s">
        <v>120</v>
      </c>
      <c r="C65" s="39">
        <f t="shared" si="10"/>
        <v>69.84156789287006</v>
      </c>
      <c r="D65" s="39">
        <f>Data!B64/Data!$I64*100</f>
        <v>1.0599408700325865</v>
      </c>
      <c r="E65" s="39">
        <f>Data!C64/Data!$I64*100</f>
        <v>68.781627022837469</v>
      </c>
      <c r="F65" s="39">
        <f>Data!D64/Data!$I64*100</f>
        <v>0.72662876703829349</v>
      </c>
      <c r="G65" s="39">
        <f>Data!E64/Data!$I64*100</f>
        <v>4.9001657568776418</v>
      </c>
      <c r="H65" s="39">
        <f>Data!F64/Data!$I64*100</f>
        <v>7.6958331083031695</v>
      </c>
      <c r="I65" s="39">
        <f>Data!G64/Data!$I64*100</f>
        <v>16.469663975581639</v>
      </c>
      <c r="J65" s="39">
        <f>Data!H64/Data!$I64*100</f>
        <v>1.0927692663674957</v>
      </c>
      <c r="K65" s="39">
        <f>Data!I64/Data!$I64*100</f>
        <v>100</v>
      </c>
      <c r="L65" s="13"/>
      <c r="M65" s="26" t="s">
        <v>120</v>
      </c>
      <c r="N65" s="27" t="s">
        <v>120</v>
      </c>
      <c r="O65" s="39">
        <f>SUM(Data!B64:C64)/Data!C99*1000</f>
        <v>1163.939794789623</v>
      </c>
      <c r="P65" s="39">
        <f>Data!B99/Data!C99</f>
        <v>802.83586301467324</v>
      </c>
      <c r="Q65" s="46">
        <f t="shared" si="8"/>
        <v>2.4069998716255987</v>
      </c>
      <c r="R65" s="47">
        <f t="shared" si="9"/>
        <v>2.1137721961831919</v>
      </c>
      <c r="S65" s="48">
        <f>Data!T29-Data!I64</f>
        <v>0</v>
      </c>
      <c r="T65" s="39">
        <f>S65/Data!I64*100</f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1:37" x14ac:dyDescent="0.35">
      <c r="A66" s="28" t="s">
        <v>49</v>
      </c>
      <c r="B66" s="29" t="s">
        <v>49</v>
      </c>
      <c r="C66" s="49">
        <f t="shared" si="10"/>
        <v>82.328980426406275</v>
      </c>
      <c r="D66" s="49">
        <f>Data!B65/Data!$I65*100</f>
        <v>14.784362386466118</v>
      </c>
      <c r="E66" s="49">
        <f>Data!C65/Data!$I65*100</f>
        <v>67.544618039940161</v>
      </c>
      <c r="F66" s="49">
        <f>Data!D65/Data!$I65*100</f>
        <v>9.6128264427337022</v>
      </c>
      <c r="G66" s="49">
        <f>Data!E65/Data!$I65*100</f>
        <v>2.8359916450837028</v>
      </c>
      <c r="H66" s="49">
        <f>Data!F65/Data!$I65*100</f>
        <v>4.5657090222546577</v>
      </c>
      <c r="I66" s="49">
        <f>Data!G65/Data!$I65*100</f>
        <v>9.5719234577504455</v>
      </c>
      <c r="J66" s="49">
        <f>Data!H65/Data!$I65*100</f>
        <v>0.69739544850491442</v>
      </c>
      <c r="K66" s="49">
        <f>Data!I65/Data!$I65*100</f>
        <v>100</v>
      </c>
      <c r="L66" s="13"/>
      <c r="M66" s="28" t="s">
        <v>49</v>
      </c>
      <c r="N66" s="29" t="s">
        <v>49</v>
      </c>
      <c r="O66" s="49">
        <f>SUM(Data!B65:C65)/Data!C100*1000</f>
        <v>483.5645437752105</v>
      </c>
      <c r="P66" s="49">
        <f>Data!B100/Data!C100</f>
        <v>379.81191372672157</v>
      </c>
      <c r="Q66" s="50">
        <f t="shared" si="8"/>
        <v>1</v>
      </c>
      <c r="R66" s="51">
        <f t="shared" si="9"/>
        <v>1</v>
      </c>
      <c r="S66" s="52">
        <f>Data!T30-Data!I65</f>
        <v>0</v>
      </c>
      <c r="T66" s="49">
        <f>S66/Data!I65*100</f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x14ac:dyDescent="0.35">
      <c r="A67" s="25" t="s">
        <v>50</v>
      </c>
      <c r="B67" s="13" t="s">
        <v>50</v>
      </c>
      <c r="C67" s="34">
        <f t="shared" si="10"/>
        <v>95.859824768650981</v>
      </c>
      <c r="D67" s="34">
        <f>Data!B66/Data!$I66*100</f>
        <v>31.282885626071455</v>
      </c>
      <c r="E67" s="34">
        <f>Data!C66/Data!$I66*100</f>
        <v>64.576939142579533</v>
      </c>
      <c r="F67" s="34">
        <f>Data!D66/Data!$I66*100</f>
        <v>15.901347848086367</v>
      </c>
      <c r="G67" s="34">
        <f>Data!E66/Data!$I66*100</f>
        <v>0.10797523388874045</v>
      </c>
      <c r="H67" s="34">
        <f>Data!F66/Data!$I66*100</f>
        <v>0.54125075354393981</v>
      </c>
      <c r="I67" s="34">
        <f>Data!G66/Data!$I66*100</f>
        <v>3.1654290147002579</v>
      </c>
      <c r="J67" s="34">
        <f>Data!H66/Data!$I66*100</f>
        <v>0.32552022921605672</v>
      </c>
      <c r="K67" s="34">
        <f>Data!I66/Data!$I66*100</f>
        <v>100</v>
      </c>
      <c r="L67" s="13"/>
      <c r="M67" s="25" t="s">
        <v>50</v>
      </c>
      <c r="N67" s="13" t="s">
        <v>50</v>
      </c>
      <c r="O67" s="34">
        <f>SUM(Data!B66:C66)/Data!C101*1000</f>
        <v>156.33858080035506</v>
      </c>
      <c r="P67" s="34">
        <f>Data!B101/Data!C101</f>
        <v>135.73500501796372</v>
      </c>
      <c r="Q67" s="43">
        <f t="shared" si="8"/>
        <v>0.32330447468255763</v>
      </c>
      <c r="R67" s="44">
        <f t="shared" si="9"/>
        <v>0.357374268979952</v>
      </c>
      <c r="S67" s="45">
        <f>Data!T31-Data!I66</f>
        <v>0</v>
      </c>
      <c r="T67" s="34">
        <f>S67/Data!I66*100</f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x14ac:dyDescent="0.35">
      <c r="A68" s="25" t="s">
        <v>51</v>
      </c>
      <c r="B68" s="13" t="s">
        <v>51</v>
      </c>
      <c r="C68" s="34">
        <f t="shared" si="10"/>
        <v>95.578952442705003</v>
      </c>
      <c r="D68" s="34">
        <f>Data!B67/Data!$I67*100</f>
        <v>31.769471358214357</v>
      </c>
      <c r="E68" s="34">
        <f>Data!C67/Data!$I67*100</f>
        <v>63.809481084490649</v>
      </c>
      <c r="F68" s="34">
        <f>Data!D67/Data!$I67*100</f>
        <v>20.25177969825241</v>
      </c>
      <c r="G68" s="34">
        <f>Data!E67/Data!$I67*100</f>
        <v>0.30200912255960238</v>
      </c>
      <c r="H68" s="34">
        <f>Data!F67/Data!$I67*100</f>
        <v>0.7934749227289043</v>
      </c>
      <c r="I68" s="34">
        <f>Data!G67/Data!$I67*100</f>
        <v>3.0506782690270589</v>
      </c>
      <c r="J68" s="34">
        <f>Data!H67/Data!$I67*100</f>
        <v>0.27488524297948103</v>
      </c>
      <c r="K68" s="34">
        <f>Data!I67/Data!$I67*100</f>
        <v>100</v>
      </c>
      <c r="L68" s="13"/>
      <c r="M68" s="25" t="s">
        <v>51</v>
      </c>
      <c r="N68" s="13" t="s">
        <v>51</v>
      </c>
      <c r="O68" s="34">
        <f>SUM(Data!B67:C67)/Data!C102*1000</f>
        <v>212.04394030376875</v>
      </c>
      <c r="P68" s="34">
        <f>Data!B102/Data!C102</f>
        <v>204.21999525970807</v>
      </c>
      <c r="Q68" s="43">
        <f t="shared" si="8"/>
        <v>0.43850183606997323</v>
      </c>
      <c r="R68" s="44">
        <f t="shared" si="9"/>
        <v>0.53768717588634252</v>
      </c>
      <c r="S68" s="45">
        <f>Data!T32-Data!I67</f>
        <v>0</v>
      </c>
      <c r="T68" s="34">
        <f>S68/Data!I67*100</f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x14ac:dyDescent="0.35">
      <c r="A69" s="25" t="s">
        <v>52</v>
      </c>
      <c r="B69" s="13" t="s">
        <v>52</v>
      </c>
      <c r="C69" s="34">
        <f t="shared" si="10"/>
        <v>95.308419204749654</v>
      </c>
      <c r="D69" s="34">
        <f>Data!B68/Data!$I68*100</f>
        <v>29.567908227807987</v>
      </c>
      <c r="E69" s="34">
        <f>Data!C68/Data!$I68*100</f>
        <v>65.740510976941664</v>
      </c>
      <c r="F69" s="34">
        <f>Data!D68/Data!$I68*100</f>
        <v>20.795054012957973</v>
      </c>
      <c r="G69" s="34">
        <f>Data!E68/Data!$I68*100</f>
        <v>0.32919109847949013</v>
      </c>
      <c r="H69" s="34">
        <f>Data!F68/Data!$I68*100</f>
        <v>0.93994683519714894</v>
      </c>
      <c r="I69" s="34">
        <f>Data!G68/Data!$I68*100</f>
        <v>3.0519822126072964</v>
      </c>
      <c r="J69" s="34">
        <f>Data!H68/Data!$I68*100</f>
        <v>0.37046064896638536</v>
      </c>
      <c r="K69" s="34">
        <f>Data!I68/Data!$I68*100</f>
        <v>100</v>
      </c>
      <c r="L69" s="13"/>
      <c r="M69" s="25" t="s">
        <v>52</v>
      </c>
      <c r="N69" s="13" t="s">
        <v>52</v>
      </c>
      <c r="O69" s="34">
        <f>SUM(Data!B68:C68)/Data!C103*1000</f>
        <v>296.41419003149042</v>
      </c>
      <c r="P69" s="34">
        <f>Data!B103/Data!C103</f>
        <v>270.19209624793507</v>
      </c>
      <c r="Q69" s="43">
        <f t="shared" si="8"/>
        <v>0.61297751013209378</v>
      </c>
      <c r="R69" s="44">
        <f t="shared" si="9"/>
        <v>0.71138394158520513</v>
      </c>
      <c r="S69" s="45">
        <f>Data!T33-Data!I68</f>
        <v>0</v>
      </c>
      <c r="T69" s="34">
        <f>S69/Data!I68*100</f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x14ac:dyDescent="0.35">
      <c r="A70" s="25" t="s">
        <v>53</v>
      </c>
      <c r="B70" s="13" t="s">
        <v>53</v>
      </c>
      <c r="C70" s="34">
        <f t="shared" si="10"/>
        <v>92.03579638607566</v>
      </c>
      <c r="D70" s="34">
        <f>Data!B69/Data!$I69*100</f>
        <v>24.811000004512724</v>
      </c>
      <c r="E70" s="34">
        <f>Data!C69/Data!$I69*100</f>
        <v>67.224796381562939</v>
      </c>
      <c r="F70" s="34">
        <f>Data!D69/Data!$I69*100</f>
        <v>18.138848439517968</v>
      </c>
      <c r="G70" s="34">
        <f>Data!E69/Data!$I69*100</f>
        <v>0.64400825985752586</v>
      </c>
      <c r="H70" s="34">
        <f>Data!F69/Data!$I69*100</f>
        <v>1.9939716596255459</v>
      </c>
      <c r="I70" s="34">
        <f>Data!G69/Data!$I69*100</f>
        <v>4.9740847424271184</v>
      </c>
      <c r="J70" s="34">
        <f>Data!H69/Data!$I69*100</f>
        <v>0.35213895201412682</v>
      </c>
      <c r="K70" s="34">
        <f>Data!I69/Data!$I69*100</f>
        <v>100</v>
      </c>
      <c r="L70" s="13"/>
      <c r="M70" s="25" t="s">
        <v>53</v>
      </c>
      <c r="N70" s="13" t="s">
        <v>53</v>
      </c>
      <c r="O70" s="34">
        <f>SUM(Data!B69:C69)/Data!C104*1000</f>
        <v>432.28762431411997</v>
      </c>
      <c r="P70" s="34">
        <f>Data!B104/Data!C104</f>
        <v>378.35772908878397</v>
      </c>
      <c r="Q70" s="43">
        <f t="shared" si="8"/>
        <v>0.89396054751911858</v>
      </c>
      <c r="R70" s="44">
        <f t="shared" si="9"/>
        <v>0.99617130325463166</v>
      </c>
      <c r="S70" s="45">
        <f>Data!T34-Data!I69</f>
        <v>0</v>
      </c>
      <c r="T70" s="34">
        <f>S70/Data!I69*100</f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x14ac:dyDescent="0.35">
      <c r="A71" s="25" t="s">
        <v>54</v>
      </c>
      <c r="B71" s="13" t="s">
        <v>54</v>
      </c>
      <c r="C71" s="34">
        <f t="shared" si="10"/>
        <v>74.577194280837688</v>
      </c>
      <c r="D71" s="34">
        <f>Data!B70/Data!$I70*100</f>
        <v>5.8911896429772348</v>
      </c>
      <c r="E71" s="34">
        <f>Data!C70/Data!$I70*100</f>
        <v>68.686004637860449</v>
      </c>
      <c r="F71" s="34">
        <f>Data!D70/Data!$I70*100</f>
        <v>3.48191406042538</v>
      </c>
      <c r="G71" s="34">
        <f>Data!E70/Data!$I70*100</f>
        <v>4.424685760464973</v>
      </c>
      <c r="H71" s="34">
        <f>Data!F70/Data!$I70*100</f>
        <v>6.7254318506923427</v>
      </c>
      <c r="I71" s="34">
        <f>Data!G70/Data!$I70*100</f>
        <v>13.339352453828814</v>
      </c>
      <c r="J71" s="34">
        <f>Data!H70/Data!$I70*100</f>
        <v>0.93333565417619591</v>
      </c>
      <c r="K71" s="34">
        <f>Data!I70/Data!$I70*100</f>
        <v>100</v>
      </c>
      <c r="L71" s="13"/>
      <c r="M71" s="25" t="s">
        <v>54</v>
      </c>
      <c r="N71" s="13" t="s">
        <v>54</v>
      </c>
      <c r="O71" s="34">
        <f>SUM(Data!B70:C70)/Data!C105*1000</f>
        <v>1317.696569871681</v>
      </c>
      <c r="P71" s="34">
        <f>Data!B105/Data!C105</f>
        <v>908.58583548926129</v>
      </c>
      <c r="Q71" s="43">
        <f t="shared" si="8"/>
        <v>2.7249652333571932</v>
      </c>
      <c r="R71" s="44">
        <f t="shared" si="9"/>
        <v>2.3921994088447627</v>
      </c>
      <c r="S71" s="45">
        <f>Data!T35-Data!I70</f>
        <v>0</v>
      </c>
      <c r="T71" s="34">
        <f>S71/Data!I70*100</f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</sheetData>
  <conditionalFormatting sqref="C42:K71">
    <cfRule type="cellIs" dxfId="2" priority="7" operator="lessThan">
      <formula>0</formula>
    </cfRule>
  </conditionalFormatting>
  <conditionalFormatting sqref="C7:O36">
    <cfRule type="cellIs" dxfId="1" priority="11" operator="lessThan">
      <formula>0</formula>
    </cfRule>
  </conditionalFormatting>
  <conditionalFormatting sqref="O42:R7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2026-02-03T13:59:55Z</dcterms:modified>
</cp:coreProperties>
</file>